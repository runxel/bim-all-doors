
<file path=[Content_Types].xml><?xml version="1.0" encoding="utf-8"?>
<Types xmlns="http://schemas.openxmlformats.org/package/2006/content-types">
  <Override PartName="/xl/activeX/activeX2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activeX/activeX5.xml" ContentType="application/vnd.ms-office.activeX+xml"/>
  <Override PartName="/xl/activeX/activeX6.xml" ContentType="application/vnd.ms-office.activeX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activeX/activeX1.xml" ContentType="application/vnd.ms-office.activeX+xml"/>
  <Override PartName="/xl/comments2.xml" ContentType="application/vnd.openxmlformats-officedocument.spreadsheetml.comment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activeX/activeX9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docProps/core.xml" ContentType="application/vnd.openxmlformats-package.core-properties+xml"/>
  <Default Extension="bin" ContentType="application/vnd.openxmlformats-officedocument.spreadsheetml.printerSettings"/>
  <Override PartName="/xl/activeX/activeX3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DieseArbeitsmappe" defaultThemeVersion="124226"/>
  <bookViews>
    <workbookView xWindow="0" yWindow="75" windowWidth="2040" windowHeight="7875" tabRatio="718" activeTab="2"/>
  </bookViews>
  <sheets>
    <sheet name="PROJECT SETTINGS" sheetId="1" r:id="rId1"/>
    <sheet name="PARAMETERS" sheetId="6" r:id="rId2"/>
    <sheet name="DEFAULT" sheetId="7" r:id="rId3"/>
    <sheet name="VALUES" sheetId="8" r:id="rId4"/>
    <sheet name="TEXT" sheetId="15" r:id="rId5"/>
    <sheet name="base" sheetId="5" r:id="rId6"/>
    <sheet name="SORT IMPORT" sheetId="13" r:id="rId7"/>
    <sheet name="RAW IMPORT" sheetId="14" r:id="rId8"/>
    <sheet name="IMPORT AUFBEREITET" sheetId="17" r:id="rId9"/>
    <sheet name="IMPORT GS-Tür OL FL 2S2 20" sheetId="16" r:id="rId10"/>
    <sheet name="Reimport Parameters" sheetId="18" r:id="rId11"/>
    <sheet name="Tabelle1" sheetId="19" r:id="rId12"/>
  </sheets>
  <functionGroups/>
  <externalReferences>
    <externalReference r:id="rId13"/>
    <externalReference r:id="rId14"/>
  </externalReferences>
  <definedNames>
    <definedName name="ARRAY">PARAMETERS!$Z$2:$Z$1604</definedName>
    <definedName name="ARRAYval">DEFAULT!$B$5:$CI$156</definedName>
    <definedName name="checkbox">base!$I$2</definedName>
    <definedName name="CRLF">base!$A$2</definedName>
    <definedName name="DefaultValue">base!$M$2:$M$4</definedName>
    <definedName name="digits">base!$N$2</definedName>
    <definedName name="DV">base!$A$8</definedName>
    <definedName name="Filenames">'PROJECT SETTINGS'!$F$14:$F$29</definedName>
    <definedName name="GDL_Version">'PROJECT SETTINGS'!$B$7</definedName>
    <definedName name="HK">base!$A$3</definedName>
    <definedName name="IMPORT">'IMPORT GS-Tür OL FL 2S2 20'!$A$9:$K$455</definedName>
    <definedName name="ImportTranslation">base!$S$2:$T$56</definedName>
    <definedName name="INDEXNAMEN">'SORT IMPORT'!$A$2:$E$2</definedName>
    <definedName name="InterfaceLanguage">base!$X$2</definedName>
    <definedName name="makeGUID">base!$Q$9</definedName>
    <definedName name="MLtextDivisions">base!$W$2:$W$5</definedName>
    <definedName name="NK">base!$N$3</definedName>
    <definedName name="OBJEKTNAME">'PROJECT SETTINGS'!$B$1</definedName>
    <definedName name="ParameterClass">base!$J$2:$J$3</definedName>
    <definedName name="ParameterDefault">PARAMETERS!$O$2:$O$1605</definedName>
    <definedName name="PARAMETERLISTE">PARAMETERS!$A$2:$Q$1605</definedName>
    <definedName name="preIndex">base!$V$2</definedName>
    <definedName name="PriorityValues">base!$H$2:$H$5</definedName>
    <definedName name="prodArrayNames">'SORT IMPORT'!$F$3:$F$11</definedName>
    <definedName name="prodIndex">'SORT IMPORT'!$A$2:$F$11</definedName>
    <definedName name="prodRowOffset">'SORT IMPORT'!$G$3:$G$11</definedName>
    <definedName name="PRODUKTE">'SORT IMPORT'!$A$13:$E$122</definedName>
    <definedName name="PRODUKTINDIZES">'SORT IMPORT'!$A$2:$E$11</definedName>
    <definedName name="read_write">base!$L$2:$L$6</definedName>
    <definedName name="Reimport">'Reimport Parameters'!$B:$D</definedName>
    <definedName name="Stakeholder">base!$K$2:$K$6</definedName>
    <definedName name="TB">base!$A$4</definedName>
    <definedName name="TypeClass">base!$B$2:$G$20</definedName>
    <definedName name="TypeClassValues">base!$B$2:$B$20</definedName>
    <definedName name="UIpicIdxArray">base!$U$2</definedName>
    <definedName name="UItextArray">base!$U$3</definedName>
    <definedName name="UIvaluesArray">base!$U$4</definedName>
    <definedName name="undefiniert">base!$A$9</definedName>
    <definedName name="VALUES">PARAMETERS!$AA$2:$AA$1604</definedName>
    <definedName name="VALUES1dim">VALUES!$B$6:$GQ$35</definedName>
    <definedName name="VALUESdim">VALUES!$B$1:$GQ$1</definedName>
    <definedName name="VALUESLIST">VALUES!$B$5:$GP$96</definedName>
    <definedName name="VALUESnames">VALUES!$B$5:$GR$5</definedName>
    <definedName name="VALUESval">VALUES!$B$6:$GQ$96</definedName>
  </definedNames>
  <calcPr calcId="125725"/>
</workbook>
</file>

<file path=xl/calcChain.xml><?xml version="1.0" encoding="utf-8"?>
<calcChain xmlns="http://schemas.openxmlformats.org/spreadsheetml/2006/main">
  <c r="AB996" i="6"/>
  <c r="AA996"/>
  <c r="B996" s="1"/>
  <c r="Z996"/>
  <c r="X996"/>
  <c r="W996"/>
  <c r="C996"/>
  <c r="AB995"/>
  <c r="AA995"/>
  <c r="B995" s="1"/>
  <c r="Z995"/>
  <c r="X995"/>
  <c r="W995"/>
  <c r="C995"/>
  <c r="AB994"/>
  <c r="AA994"/>
  <c r="B994" s="1"/>
  <c r="Z994"/>
  <c r="X994"/>
  <c r="W994"/>
  <c r="C994"/>
  <c r="AC993"/>
  <c r="AB993"/>
  <c r="AA993"/>
  <c r="B993" s="1"/>
  <c r="Z993"/>
  <c r="X993"/>
  <c r="W993"/>
  <c r="C993"/>
  <c r="AC992"/>
  <c r="AB992"/>
  <c r="AA992"/>
  <c r="Z992"/>
  <c r="X992"/>
  <c r="W992"/>
  <c r="O992"/>
  <c r="C992"/>
  <c r="B992"/>
  <c r="AB991"/>
  <c r="AA991"/>
  <c r="AC991" s="1"/>
  <c r="Z991"/>
  <c r="X991"/>
  <c r="W991"/>
  <c r="O991"/>
  <c r="C991"/>
  <c r="AB990"/>
  <c r="AA990"/>
  <c r="AC990" s="1"/>
  <c r="Z990"/>
  <c r="X990"/>
  <c r="W990"/>
  <c r="C990"/>
  <c r="AB989"/>
  <c r="AA989"/>
  <c r="AC989" s="1"/>
  <c r="Z989"/>
  <c r="X989"/>
  <c r="W989"/>
  <c r="C989"/>
  <c r="AB988"/>
  <c r="AA988"/>
  <c r="AC988" s="1"/>
  <c r="Z988"/>
  <c r="X988"/>
  <c r="W988"/>
  <c r="C988"/>
  <c r="AB987"/>
  <c r="AA987"/>
  <c r="AC987" s="1"/>
  <c r="Z987"/>
  <c r="X987"/>
  <c r="C987"/>
  <c r="AB986"/>
  <c r="AA986"/>
  <c r="AC986" s="1"/>
  <c r="Z986"/>
  <c r="X986"/>
  <c r="C986"/>
  <c r="AB985"/>
  <c r="AA985"/>
  <c r="AC985" s="1"/>
  <c r="Z985"/>
  <c r="X985"/>
  <c r="C985"/>
  <c r="AB984"/>
  <c r="AA984"/>
  <c r="AC984" s="1"/>
  <c r="Z984"/>
  <c r="X984"/>
  <c r="C984"/>
  <c r="B984"/>
  <c r="AC983"/>
  <c r="AB983"/>
  <c r="AA983"/>
  <c r="Z983"/>
  <c r="X983"/>
  <c r="C983"/>
  <c r="B983"/>
  <c r="AC982"/>
  <c r="AB982"/>
  <c r="AA982"/>
  <c r="B982" s="1"/>
  <c r="Z982"/>
  <c r="X982"/>
  <c r="C982"/>
  <c r="AB981"/>
  <c r="AA981"/>
  <c r="B981" s="1"/>
  <c r="Z981"/>
  <c r="X981"/>
  <c r="O981"/>
  <c r="C981"/>
  <c r="AB980"/>
  <c r="AA980"/>
  <c r="B980" s="1"/>
  <c r="Z980"/>
  <c r="X980"/>
  <c r="C980"/>
  <c r="AB979"/>
  <c r="AA979"/>
  <c r="AC979" s="1"/>
  <c r="Z979"/>
  <c r="X979"/>
  <c r="O979"/>
  <c r="C979"/>
  <c r="AB978"/>
  <c r="AA978"/>
  <c r="AC978" s="1"/>
  <c r="Z978"/>
  <c r="X978"/>
  <c r="C978"/>
  <c r="AB977"/>
  <c r="AA977"/>
  <c r="AC977" s="1"/>
  <c r="Z977"/>
  <c r="X977"/>
  <c r="C977"/>
  <c r="AB976"/>
  <c r="AA976"/>
  <c r="AC976" s="1"/>
  <c r="Z976"/>
  <c r="X976"/>
  <c r="C976"/>
  <c r="AB975"/>
  <c r="AA975"/>
  <c r="AC975" s="1"/>
  <c r="Z975"/>
  <c r="C975"/>
  <c r="B975"/>
  <c r="AB974"/>
  <c r="AA974"/>
  <c r="AC974" s="1"/>
  <c r="Z974"/>
  <c r="X974"/>
  <c r="W974"/>
  <c r="C974"/>
  <c r="AB973"/>
  <c r="AA973"/>
  <c r="AC973" s="1"/>
  <c r="Z973"/>
  <c r="X973"/>
  <c r="C973"/>
  <c r="B985" l="1"/>
  <c r="B986"/>
  <c r="AC994"/>
  <c r="B973"/>
  <c r="AC995"/>
  <c r="AC996"/>
  <c r="B974"/>
  <c r="B976"/>
  <c r="AC980"/>
  <c r="AC981"/>
  <c r="B977"/>
  <c r="B987"/>
  <c r="B978"/>
  <c r="B988"/>
  <c r="B989"/>
  <c r="B990"/>
  <c r="B991"/>
  <c r="B979"/>
  <c r="C882" l="1"/>
  <c r="W882"/>
  <c r="X882"/>
  <c r="Z882"/>
  <c r="AA882"/>
  <c r="AC882" s="1"/>
  <c r="AB882"/>
  <c r="B882" l="1"/>
  <c r="Z997"/>
  <c r="AA997"/>
  <c r="AC997" s="1"/>
  <c r="AB997"/>
  <c r="Z998"/>
  <c r="AA998"/>
  <c r="AC998" s="1"/>
  <c r="AB998"/>
  <c r="Z999"/>
  <c r="AA999"/>
  <c r="AC999" s="1"/>
  <c r="AB999"/>
  <c r="Z1000"/>
  <c r="AA1000"/>
  <c r="AC1000" s="1"/>
  <c r="AB1000"/>
  <c r="Z1001"/>
  <c r="AA1001"/>
  <c r="AC1001" s="1"/>
  <c r="AB1001"/>
  <c r="Z1002"/>
  <c r="AA1002"/>
  <c r="AC1002" s="1"/>
  <c r="AB1002"/>
  <c r="Z1003"/>
  <c r="AA1003"/>
  <c r="AC1003" s="1"/>
  <c r="AB1003"/>
  <c r="Z1004"/>
  <c r="AA1004"/>
  <c r="AC1004" s="1"/>
  <c r="AB1004"/>
  <c r="Z1005"/>
  <c r="AA1005"/>
  <c r="AC1005" s="1"/>
  <c r="AB1005"/>
  <c r="Z1006"/>
  <c r="AA1006"/>
  <c r="AB1006"/>
  <c r="Z1007"/>
  <c r="AA1007"/>
  <c r="AC1007" s="1"/>
  <c r="AB1007"/>
  <c r="Z1008"/>
  <c r="AA1008"/>
  <c r="AB1008"/>
  <c r="Z1009"/>
  <c r="AA1009"/>
  <c r="AC1009" s="1"/>
  <c r="AB1009"/>
  <c r="Z1010"/>
  <c r="AA1010"/>
  <c r="AC1010" s="1"/>
  <c r="AB1010"/>
  <c r="Z1011"/>
  <c r="AA1011"/>
  <c r="AC1011" s="1"/>
  <c r="AB1011"/>
  <c r="Z1012"/>
  <c r="AA1012"/>
  <c r="AC1012" s="1"/>
  <c r="AB1012"/>
  <c r="Z1013"/>
  <c r="AA1013"/>
  <c r="AC1013" s="1"/>
  <c r="AB1013"/>
  <c r="Z1014"/>
  <c r="AA1014"/>
  <c r="AB1014"/>
  <c r="Z1015"/>
  <c r="AA1015"/>
  <c r="AC1015" s="1"/>
  <c r="AB1015"/>
  <c r="Z1016"/>
  <c r="AA1016"/>
  <c r="AB1016"/>
  <c r="Z1017"/>
  <c r="AA1017"/>
  <c r="AC1017" s="1"/>
  <c r="AB1017"/>
  <c r="Z1018"/>
  <c r="AA1018"/>
  <c r="AC1018" s="1"/>
  <c r="AB1018"/>
  <c r="Z1019"/>
  <c r="AA1019"/>
  <c r="AC1019" s="1"/>
  <c r="AB1019"/>
  <c r="Z1020"/>
  <c r="AA1020"/>
  <c r="AB1020"/>
  <c r="Z1021"/>
  <c r="AA1021"/>
  <c r="AC1021" s="1"/>
  <c r="AB1021"/>
  <c r="Z1022"/>
  <c r="AA1022"/>
  <c r="AC1022" s="1"/>
  <c r="AB1022"/>
  <c r="Z1023"/>
  <c r="AA1023"/>
  <c r="AC1023" s="1"/>
  <c r="AB1023"/>
  <c r="Z1024"/>
  <c r="AA1024"/>
  <c r="AB1024"/>
  <c r="Z1025"/>
  <c r="AA1025"/>
  <c r="AC1025" s="1"/>
  <c r="AB1025"/>
  <c r="Z1026"/>
  <c r="AA1026"/>
  <c r="AC1026" s="1"/>
  <c r="AB1026"/>
  <c r="Z1027"/>
  <c r="AA1027"/>
  <c r="AC1027" s="1"/>
  <c r="AB1027"/>
  <c r="Z1028"/>
  <c r="AA1028"/>
  <c r="AB1028"/>
  <c r="Z1029"/>
  <c r="AA1029"/>
  <c r="AC1029" s="1"/>
  <c r="AB1029"/>
  <c r="Z1030"/>
  <c r="AA1030"/>
  <c r="AB1030"/>
  <c r="Z1031"/>
  <c r="AA1031"/>
  <c r="AC1031" s="1"/>
  <c r="AB1031"/>
  <c r="Z1032"/>
  <c r="AA1032"/>
  <c r="AB1032"/>
  <c r="Z1033"/>
  <c r="AA1033"/>
  <c r="AC1033" s="1"/>
  <c r="AB1033"/>
  <c r="Z1034"/>
  <c r="AA1034"/>
  <c r="AB1034"/>
  <c r="Z1035"/>
  <c r="AA1035"/>
  <c r="AC1035" s="1"/>
  <c r="AB1035"/>
  <c r="Z1036"/>
  <c r="AA1036"/>
  <c r="AB1036"/>
  <c r="Z1037"/>
  <c r="AA1037"/>
  <c r="AC1037" s="1"/>
  <c r="AB1037"/>
  <c r="Z1038"/>
  <c r="AA1038"/>
  <c r="AC1038" s="1"/>
  <c r="AB1038"/>
  <c r="Z1039"/>
  <c r="AA1039"/>
  <c r="AC1039" s="1"/>
  <c r="AB1039"/>
  <c r="Z1040"/>
  <c r="AA1040"/>
  <c r="AC1040" s="1"/>
  <c r="AB1040"/>
  <c r="Z1041"/>
  <c r="AA1041"/>
  <c r="AC1041" s="1"/>
  <c r="AB1041"/>
  <c r="Z1042"/>
  <c r="AA1042"/>
  <c r="AC1042" s="1"/>
  <c r="AB1042"/>
  <c r="Z1043"/>
  <c r="AA1043"/>
  <c r="AC1043" s="1"/>
  <c r="AB1043"/>
  <c r="Z1044"/>
  <c r="AA1044"/>
  <c r="AC1044" s="1"/>
  <c r="AB1044"/>
  <c r="Z1045"/>
  <c r="AA1045"/>
  <c r="AC1045" s="1"/>
  <c r="AB1045"/>
  <c r="Z1046"/>
  <c r="AA1046"/>
  <c r="AC1046" s="1"/>
  <c r="AB1046"/>
  <c r="Z1047"/>
  <c r="AA1047"/>
  <c r="AC1047" s="1"/>
  <c r="AB1047"/>
  <c r="Z1048"/>
  <c r="AA1048"/>
  <c r="AC1048" s="1"/>
  <c r="AB1048"/>
  <c r="Z1049"/>
  <c r="AA1049"/>
  <c r="AC1049" s="1"/>
  <c r="AB1049"/>
  <c r="Z1050"/>
  <c r="AA1050"/>
  <c r="AC1050" s="1"/>
  <c r="AB1050"/>
  <c r="Z1051"/>
  <c r="AA1051"/>
  <c r="AC1051" s="1"/>
  <c r="AB1051"/>
  <c r="Z1052"/>
  <c r="AA1052"/>
  <c r="AC1052" s="1"/>
  <c r="AB1052"/>
  <c r="Z1053"/>
  <c r="AA1053"/>
  <c r="AC1053" s="1"/>
  <c r="AB1053"/>
  <c r="Z1054"/>
  <c r="AA1054"/>
  <c r="AC1054" s="1"/>
  <c r="AB1054"/>
  <c r="Z1055"/>
  <c r="AA1055"/>
  <c r="AC1055" s="1"/>
  <c r="AB1055"/>
  <c r="Z1056"/>
  <c r="AA1056"/>
  <c r="AC1056" s="1"/>
  <c r="AB1056"/>
  <c r="Z1057"/>
  <c r="AA1057"/>
  <c r="AC1057" s="1"/>
  <c r="AB1057"/>
  <c r="Z1058"/>
  <c r="AA1058"/>
  <c r="AC1058" s="1"/>
  <c r="AB1058"/>
  <c r="Z1059"/>
  <c r="AA1059"/>
  <c r="AC1059" s="1"/>
  <c r="AB1059"/>
  <c r="Z1060"/>
  <c r="AA1060"/>
  <c r="AB1060"/>
  <c r="Z1061"/>
  <c r="AA1061"/>
  <c r="AC1061" s="1"/>
  <c r="AB1061"/>
  <c r="Z1062"/>
  <c r="AA1062"/>
  <c r="AC1062" s="1"/>
  <c r="AB1062"/>
  <c r="Z1063"/>
  <c r="AA1063"/>
  <c r="AC1063" s="1"/>
  <c r="AB1063"/>
  <c r="Z1064"/>
  <c r="AA1064"/>
  <c r="AB1064"/>
  <c r="Z1065"/>
  <c r="AA1065"/>
  <c r="AC1065" s="1"/>
  <c r="AB1065"/>
  <c r="Z1066"/>
  <c r="AA1066"/>
  <c r="AC1066" s="1"/>
  <c r="AB1066"/>
  <c r="Z1067"/>
  <c r="AA1067"/>
  <c r="AC1067" s="1"/>
  <c r="AB1067"/>
  <c r="Z1068"/>
  <c r="AA1068"/>
  <c r="AB1068"/>
  <c r="Z1069"/>
  <c r="AA1069"/>
  <c r="AC1069" s="1"/>
  <c r="AB1069"/>
  <c r="Z1070"/>
  <c r="AA1070"/>
  <c r="AC1070" s="1"/>
  <c r="AB1070"/>
  <c r="Z1071"/>
  <c r="AA1071"/>
  <c r="AC1071" s="1"/>
  <c r="AB1071"/>
  <c r="Z1072"/>
  <c r="AA1072"/>
  <c r="AB1072"/>
  <c r="Z1073"/>
  <c r="AA1073"/>
  <c r="AC1073" s="1"/>
  <c r="AB1073"/>
  <c r="Z1074"/>
  <c r="AA1074"/>
  <c r="AC1074" s="1"/>
  <c r="AB1074"/>
  <c r="Z1075"/>
  <c r="AA1075"/>
  <c r="AC1075" s="1"/>
  <c r="AB1075"/>
  <c r="Z1076"/>
  <c r="AA1076"/>
  <c r="AC1076" s="1"/>
  <c r="AB1076"/>
  <c r="Z1077"/>
  <c r="AA1077"/>
  <c r="AC1077" s="1"/>
  <c r="AB1077"/>
  <c r="Z1078"/>
  <c r="AA1078"/>
  <c r="AB1078"/>
  <c r="Z1079"/>
  <c r="AA1079"/>
  <c r="AC1079" s="1"/>
  <c r="AB1079"/>
  <c r="Z1080"/>
  <c r="AA1080"/>
  <c r="AC1080" s="1"/>
  <c r="AB1080"/>
  <c r="Z1081"/>
  <c r="AA1081"/>
  <c r="AC1081" s="1"/>
  <c r="AB1081"/>
  <c r="Z1082"/>
  <c r="AA1082"/>
  <c r="AB1082"/>
  <c r="Z1083"/>
  <c r="AA1083"/>
  <c r="AC1083" s="1"/>
  <c r="AB1083"/>
  <c r="Z1084"/>
  <c r="AA1084"/>
  <c r="AC1084" s="1"/>
  <c r="AB1084"/>
  <c r="Z1085"/>
  <c r="AA1085"/>
  <c r="AC1085" s="1"/>
  <c r="AB1085"/>
  <c r="Z1086"/>
  <c r="AA1086"/>
  <c r="AB1086"/>
  <c r="Z1087"/>
  <c r="AA1087"/>
  <c r="AC1087" s="1"/>
  <c r="AB1087"/>
  <c r="Z1088"/>
  <c r="AA1088"/>
  <c r="AC1088" s="1"/>
  <c r="AB1088"/>
  <c r="Z1089"/>
  <c r="AA1089"/>
  <c r="AC1089" s="1"/>
  <c r="AB1089"/>
  <c r="Z1090"/>
  <c r="AA1090"/>
  <c r="AB1090"/>
  <c r="Z1091"/>
  <c r="AA1091"/>
  <c r="AC1091" s="1"/>
  <c r="AB1091"/>
  <c r="Z1092"/>
  <c r="AA1092"/>
  <c r="AC1092" s="1"/>
  <c r="AB1092"/>
  <c r="Z1093"/>
  <c r="AA1093"/>
  <c r="AC1093" s="1"/>
  <c r="AB1093"/>
  <c r="Z1094"/>
  <c r="AA1094"/>
  <c r="AC1094" s="1"/>
  <c r="AB1094"/>
  <c r="Z966"/>
  <c r="AA966"/>
  <c r="AC966" s="1"/>
  <c r="AB966"/>
  <c r="Z967"/>
  <c r="AA967"/>
  <c r="AC967" s="1"/>
  <c r="AB967"/>
  <c r="Z968"/>
  <c r="AA968"/>
  <c r="AC968" s="1"/>
  <c r="AB968"/>
  <c r="Z969"/>
  <c r="AA969"/>
  <c r="AC969" s="1"/>
  <c r="AB969"/>
  <c r="Z970"/>
  <c r="AA970"/>
  <c r="AC970" s="1"/>
  <c r="AB970"/>
  <c r="Z971"/>
  <c r="AA971"/>
  <c r="AC971" s="1"/>
  <c r="AB971"/>
  <c r="Z972"/>
  <c r="AA972"/>
  <c r="AC972" s="1"/>
  <c r="AB972"/>
  <c r="X972"/>
  <c r="X865"/>
  <c r="X866"/>
  <c r="X867"/>
  <c r="X868"/>
  <c r="X869"/>
  <c r="X870"/>
  <c r="X871"/>
  <c r="X872"/>
  <c r="X873"/>
  <c r="X874"/>
  <c r="X875"/>
  <c r="X876"/>
  <c r="X877"/>
  <c r="X878"/>
  <c r="X879"/>
  <c r="X880"/>
  <c r="X881"/>
  <c r="X883"/>
  <c r="X884"/>
  <c r="X885"/>
  <c r="X887"/>
  <c r="X888"/>
  <c r="X889"/>
  <c r="X890"/>
  <c r="X891"/>
  <c r="X892"/>
  <c r="X893"/>
  <c r="X895"/>
  <c r="X896"/>
  <c r="X897"/>
  <c r="X898"/>
  <c r="X899"/>
  <c r="X900"/>
  <c r="X902"/>
  <c r="X903"/>
  <c r="X904"/>
  <c r="X905"/>
  <c r="X906"/>
  <c r="X907"/>
  <c r="X908"/>
  <c r="X909"/>
  <c r="X910"/>
  <c r="X911"/>
  <c r="X912"/>
  <c r="X913"/>
  <c r="X914"/>
  <c r="X915"/>
  <c r="X916"/>
  <c r="X917"/>
  <c r="X918"/>
  <c r="X919"/>
  <c r="X920"/>
  <c r="X921"/>
  <c r="X922"/>
  <c r="X923"/>
  <c r="X924"/>
  <c r="X925"/>
  <c r="X926"/>
  <c r="X927"/>
  <c r="X928"/>
  <c r="X929"/>
  <c r="X930"/>
  <c r="X931"/>
  <c r="X932"/>
  <c r="X933"/>
  <c r="X934"/>
  <c r="X935"/>
  <c r="X936"/>
  <c r="X937"/>
  <c r="X938"/>
  <c r="X939"/>
  <c r="X940"/>
  <c r="X941"/>
  <c r="X942"/>
  <c r="X943"/>
  <c r="X944"/>
  <c r="X945"/>
  <c r="X946"/>
  <c r="X947"/>
  <c r="X948"/>
  <c r="X949"/>
  <c r="X950"/>
  <c r="X951"/>
  <c r="X952"/>
  <c r="X953"/>
  <c r="X954"/>
  <c r="X955"/>
  <c r="X956"/>
  <c r="X957"/>
  <c r="X958"/>
  <c r="X959"/>
  <c r="X960"/>
  <c r="X961"/>
  <c r="X962"/>
  <c r="X963"/>
  <c r="X964"/>
  <c r="X965"/>
  <c r="X966"/>
  <c r="X967"/>
  <c r="X968"/>
  <c r="X969"/>
  <c r="X970"/>
  <c r="X971"/>
  <c r="Z963"/>
  <c r="Z964"/>
  <c r="Z965"/>
  <c r="Z1095"/>
  <c r="Z1096"/>
  <c r="Z1097"/>
  <c r="Z1098"/>
  <c r="Z1099"/>
  <c r="Z1100"/>
  <c r="Z1101"/>
  <c r="Z1102"/>
  <c r="Z1103"/>
  <c r="Z1104"/>
  <c r="Z1105"/>
  <c r="Z1106"/>
  <c r="Z1107"/>
  <c r="Z1108"/>
  <c r="Z1109"/>
  <c r="Z1110"/>
  <c r="Z1111"/>
  <c r="Z1112"/>
  <c r="Z1113"/>
  <c r="Z1114"/>
  <c r="Z1115"/>
  <c r="Z1116"/>
  <c r="Z1117"/>
  <c r="Z1118"/>
  <c r="Z1119"/>
  <c r="Z1120"/>
  <c r="Z1121"/>
  <c r="Z1122"/>
  <c r="Z1123"/>
  <c r="Z1124"/>
  <c r="Z1125"/>
  <c r="Z1126"/>
  <c r="Z1127"/>
  <c r="Z1128"/>
  <c r="Z1129"/>
  <c r="Z1130"/>
  <c r="Z1131"/>
  <c r="Z1132"/>
  <c r="Z1133"/>
  <c r="Z1134"/>
  <c r="Z1135"/>
  <c r="Z1136"/>
  <c r="Z1137"/>
  <c r="Z1138"/>
  <c r="Z1139"/>
  <c r="Z1140"/>
  <c r="Z1141"/>
  <c r="Z1142"/>
  <c r="Z1143"/>
  <c r="Z1144"/>
  <c r="Z1145"/>
  <c r="Z1146"/>
  <c r="Z1147"/>
  <c r="Z1148"/>
  <c r="Z1149"/>
  <c r="Z1150"/>
  <c r="Z1151"/>
  <c r="AA1095"/>
  <c r="AC1095" s="1"/>
  <c r="AB1095"/>
  <c r="AA1096"/>
  <c r="AC1096" s="1"/>
  <c r="AB1096"/>
  <c r="AA1097"/>
  <c r="AC1097" s="1"/>
  <c r="AB1097"/>
  <c r="AA1098"/>
  <c r="AC1098" s="1"/>
  <c r="AB1098"/>
  <c r="AA1099"/>
  <c r="AC1099" s="1"/>
  <c r="AB1099"/>
  <c r="AA1100"/>
  <c r="AC1100" s="1"/>
  <c r="AB1100"/>
  <c r="AA1101"/>
  <c r="AC1101" s="1"/>
  <c r="AB1101"/>
  <c r="AA1102"/>
  <c r="AC1102" s="1"/>
  <c r="AB1102"/>
  <c r="AA1103"/>
  <c r="AC1103" s="1"/>
  <c r="AB1103"/>
  <c r="AA1104"/>
  <c r="AC1104" s="1"/>
  <c r="AB1104"/>
  <c r="AA1105"/>
  <c r="AC1105" s="1"/>
  <c r="AB1105"/>
  <c r="AA1106"/>
  <c r="AC1106" s="1"/>
  <c r="AB1106"/>
  <c r="AA1107"/>
  <c r="AC1107" s="1"/>
  <c r="AB1107"/>
  <c r="AA1108"/>
  <c r="AC1108" s="1"/>
  <c r="AB1108"/>
  <c r="AA1109"/>
  <c r="AC1109" s="1"/>
  <c r="AB1109"/>
  <c r="AA1110"/>
  <c r="AC1110" s="1"/>
  <c r="AB1110"/>
  <c r="AA1111"/>
  <c r="AC1111" s="1"/>
  <c r="AB1111"/>
  <c r="AA1112"/>
  <c r="AC1112" s="1"/>
  <c r="AB1112"/>
  <c r="AA1113"/>
  <c r="AC1113" s="1"/>
  <c r="AB1113"/>
  <c r="AA1114"/>
  <c r="AC1114" s="1"/>
  <c r="AB1114"/>
  <c r="AA1115"/>
  <c r="AC1115" s="1"/>
  <c r="AB1115"/>
  <c r="AA1116"/>
  <c r="AC1116" s="1"/>
  <c r="AB1116"/>
  <c r="AA1117"/>
  <c r="AC1117" s="1"/>
  <c r="AB1117"/>
  <c r="AA1118"/>
  <c r="AC1118" s="1"/>
  <c r="AB1118"/>
  <c r="AA1119"/>
  <c r="AC1119" s="1"/>
  <c r="AB1119"/>
  <c r="AA1120"/>
  <c r="AC1120" s="1"/>
  <c r="AB1120"/>
  <c r="AA1121"/>
  <c r="AC1121" s="1"/>
  <c r="AB1121"/>
  <c r="AA1122"/>
  <c r="AC1122" s="1"/>
  <c r="AB1122"/>
  <c r="AA1123"/>
  <c r="AC1123" s="1"/>
  <c r="AB1123"/>
  <c r="AA1124"/>
  <c r="AC1124" s="1"/>
  <c r="AB1124"/>
  <c r="AA1125"/>
  <c r="AC1125" s="1"/>
  <c r="AB1125"/>
  <c r="AA1126"/>
  <c r="AC1126" s="1"/>
  <c r="AB1126"/>
  <c r="AA1127"/>
  <c r="AC1127" s="1"/>
  <c r="AB1127"/>
  <c r="AA1128"/>
  <c r="AC1128" s="1"/>
  <c r="AB1128"/>
  <c r="AA1129"/>
  <c r="AC1129" s="1"/>
  <c r="AB1129"/>
  <c r="AA1130"/>
  <c r="AC1130" s="1"/>
  <c r="AB1130"/>
  <c r="AA1131"/>
  <c r="AC1131" s="1"/>
  <c r="AB1131"/>
  <c r="AA1132"/>
  <c r="AC1132" s="1"/>
  <c r="AB1132"/>
  <c r="AA1133"/>
  <c r="AC1133" s="1"/>
  <c r="AB1133"/>
  <c r="AA1134"/>
  <c r="AC1134" s="1"/>
  <c r="AB1134"/>
  <c r="AA1135"/>
  <c r="AC1135" s="1"/>
  <c r="AB1135"/>
  <c r="AA1136"/>
  <c r="AC1136" s="1"/>
  <c r="AB1136"/>
  <c r="AA1137"/>
  <c r="AC1137" s="1"/>
  <c r="AB1137"/>
  <c r="AA1138"/>
  <c r="AC1138" s="1"/>
  <c r="AB1138"/>
  <c r="AA1139"/>
  <c r="AC1139" s="1"/>
  <c r="AB1139"/>
  <c r="AA1140"/>
  <c r="AC1140" s="1"/>
  <c r="AB1140"/>
  <c r="AA1141"/>
  <c r="AC1141" s="1"/>
  <c r="AB1141"/>
  <c r="AA1142"/>
  <c r="AC1142" s="1"/>
  <c r="AB1142"/>
  <c r="AA1143"/>
  <c r="AC1143" s="1"/>
  <c r="AB1143"/>
  <c r="AA1144"/>
  <c r="AC1144" s="1"/>
  <c r="AB1144"/>
  <c r="AA1145"/>
  <c r="AC1145" s="1"/>
  <c r="AB1145"/>
  <c r="AA1146"/>
  <c r="AC1146" s="1"/>
  <c r="AB1146"/>
  <c r="AA1147"/>
  <c r="AC1147" s="1"/>
  <c r="AB1147"/>
  <c r="AA1148"/>
  <c r="AC1148" s="1"/>
  <c r="AB1148"/>
  <c r="AA1149"/>
  <c r="AC1149" s="1"/>
  <c r="AB1149"/>
  <c r="AA1150"/>
  <c r="AC1150" s="1"/>
  <c r="AB1150"/>
  <c r="AA1151"/>
  <c r="AC1151" s="1"/>
  <c r="AB1151"/>
  <c r="AA1152"/>
  <c r="AC1152" s="1"/>
  <c r="AB1152"/>
  <c r="AA1153"/>
  <c r="AC1153" s="1"/>
  <c r="AB1153"/>
  <c r="AA1154"/>
  <c r="AC1154" s="1"/>
  <c r="AB1154"/>
  <c r="AA1155"/>
  <c r="AC1155" s="1"/>
  <c r="AB1155"/>
  <c r="AA1156"/>
  <c r="AC1156" s="1"/>
  <c r="AB1156"/>
  <c r="AA1157"/>
  <c r="AC1157" s="1"/>
  <c r="AB1157"/>
  <c r="AA1158"/>
  <c r="AC1158" s="1"/>
  <c r="AB1158"/>
  <c r="AA1159"/>
  <c r="AC1159" s="1"/>
  <c r="AB1159"/>
  <c r="AA1160"/>
  <c r="AC1160" s="1"/>
  <c r="AB1160"/>
  <c r="AA1161"/>
  <c r="AC1161" s="1"/>
  <c r="AB1161"/>
  <c r="AA1162"/>
  <c r="AC1162" s="1"/>
  <c r="AB1162"/>
  <c r="AA1163"/>
  <c r="AC1163" s="1"/>
  <c r="AB1163"/>
  <c r="AA1164"/>
  <c r="AC1164" s="1"/>
  <c r="AB1164"/>
  <c r="AA1165"/>
  <c r="AC1165" s="1"/>
  <c r="AB1165"/>
  <c r="AA1166"/>
  <c r="AC1166" s="1"/>
  <c r="AB1166"/>
  <c r="AA1167"/>
  <c r="AC1167" s="1"/>
  <c r="AB1167"/>
  <c r="AA1168"/>
  <c r="AC1168" s="1"/>
  <c r="AB1168"/>
  <c r="AA1169"/>
  <c r="AC1169" s="1"/>
  <c r="AB1169"/>
  <c r="AA1170"/>
  <c r="AC1170" s="1"/>
  <c r="AB1170"/>
  <c r="AA1171"/>
  <c r="AC1171" s="1"/>
  <c r="AB1171"/>
  <c r="AA1172"/>
  <c r="AC1172" s="1"/>
  <c r="AB1172"/>
  <c r="AA1173"/>
  <c r="AC1173" s="1"/>
  <c r="AB1173"/>
  <c r="AA1174"/>
  <c r="AC1174" s="1"/>
  <c r="AB1174"/>
  <c r="AA1175"/>
  <c r="AC1175" s="1"/>
  <c r="AB1175"/>
  <c r="AA1176"/>
  <c r="AC1176" s="1"/>
  <c r="AB1176"/>
  <c r="AA1177"/>
  <c r="AC1177" s="1"/>
  <c r="AB1177"/>
  <c r="E1" i="8"/>
  <c r="F1"/>
  <c r="G1"/>
  <c r="H1"/>
  <c r="I1"/>
  <c r="E3"/>
  <c r="E2"/>
  <c r="F3"/>
  <c r="F2" s="1"/>
  <c r="G3"/>
  <c r="G2"/>
  <c r="H3"/>
  <c r="H2" s="1"/>
  <c r="I3"/>
  <c r="I2"/>
  <c r="AB1572" i="6"/>
  <c r="AB1573"/>
  <c r="AB1574"/>
  <c r="AB1575"/>
  <c r="AB1576"/>
  <c r="AB1577"/>
  <c r="AB1559"/>
  <c r="AB1560"/>
  <c r="AB1561"/>
  <c r="AB1562"/>
  <c r="AB1563"/>
  <c r="AB1564"/>
  <c r="AB1565"/>
  <c r="AB1566"/>
  <c r="AB1567"/>
  <c r="AB1568"/>
  <c r="AB1569"/>
  <c r="AB1570"/>
  <c r="AB1571"/>
  <c r="E15" i="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7"/>
  <c r="E88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108"/>
  <c r="E109"/>
  <c r="E110"/>
  <c r="E111"/>
  <c r="E112"/>
  <c r="E113"/>
  <c r="E114"/>
  <c r="E115"/>
  <c r="E116"/>
  <c r="E117"/>
  <c r="E118"/>
  <c r="E119"/>
  <c r="E120"/>
  <c r="E121"/>
  <c r="E122"/>
  <c r="E123"/>
  <c r="E124"/>
  <c r="E125"/>
  <c r="E126"/>
  <c r="E127"/>
  <c r="E128"/>
  <c r="E129"/>
  <c r="E130"/>
  <c r="E131"/>
  <c r="E132"/>
  <c r="E133"/>
  <c r="E134"/>
  <c r="E135"/>
  <c r="E136"/>
  <c r="E137"/>
  <c r="E138"/>
  <c r="E139"/>
  <c r="E141"/>
  <c r="E142"/>
  <c r="E143"/>
  <c r="E144"/>
  <c r="E145"/>
  <c r="E146"/>
  <c r="E147"/>
  <c r="E148"/>
  <c r="E149"/>
  <c r="E150"/>
  <c r="E151"/>
  <c r="E152"/>
  <c r="E153"/>
  <c r="E154"/>
  <c r="E155"/>
  <c r="E156"/>
  <c r="E157"/>
  <c r="E158"/>
  <c r="E159"/>
  <c r="E160"/>
  <c r="E161"/>
  <c r="E162"/>
  <c r="E163"/>
  <c r="E164"/>
  <c r="E165"/>
  <c r="E166"/>
  <c r="E167"/>
  <c r="E168"/>
  <c r="E169"/>
  <c r="E170"/>
  <c r="E171"/>
  <c r="E172"/>
  <c r="E173"/>
  <c r="E174"/>
  <c r="E175"/>
  <c r="E176"/>
  <c r="E177"/>
  <c r="E178"/>
  <c r="E179"/>
  <c r="E180"/>
  <c r="E181"/>
  <c r="E182"/>
  <c r="E183"/>
  <c r="E184"/>
  <c r="E185"/>
  <c r="E186"/>
  <c r="E187"/>
  <c r="E188"/>
  <c r="E189"/>
  <c r="E190"/>
  <c r="E191"/>
  <c r="E192"/>
  <c r="E193"/>
  <c r="E194"/>
  <c r="E195"/>
  <c r="E196"/>
  <c r="E197"/>
  <c r="E198"/>
  <c r="E199"/>
  <c r="E200"/>
  <c r="E201"/>
  <c r="E202"/>
  <c r="E203"/>
  <c r="E204"/>
  <c r="E205"/>
  <c r="E206"/>
  <c r="E207"/>
  <c r="E208"/>
  <c r="E209"/>
  <c r="E210"/>
  <c r="E211"/>
  <c r="E212"/>
  <c r="E213"/>
  <c r="E214"/>
  <c r="E215"/>
  <c r="E216"/>
  <c r="E217"/>
  <c r="E218"/>
  <c r="E219"/>
  <c r="E220"/>
  <c r="E221"/>
  <c r="E222"/>
  <c r="E223"/>
  <c r="E224"/>
  <c r="E225"/>
  <c r="E226"/>
  <c r="E227"/>
  <c r="E228"/>
  <c r="E229"/>
  <c r="E230"/>
  <c r="E231"/>
  <c r="E232"/>
  <c r="E233"/>
  <c r="E234"/>
  <c r="E235"/>
  <c r="E236"/>
  <c r="E237"/>
  <c r="E238"/>
  <c r="E239"/>
  <c r="E240"/>
  <c r="E241"/>
  <c r="E242"/>
  <c r="E243"/>
  <c r="E244"/>
  <c r="E245"/>
  <c r="E246"/>
  <c r="E247"/>
  <c r="E248"/>
  <c r="E249"/>
  <c r="E250"/>
  <c r="E251"/>
  <c r="E252"/>
  <c r="E253"/>
  <c r="E254"/>
  <c r="E255"/>
  <c r="E256"/>
  <c r="E257"/>
  <c r="E258"/>
  <c r="E259"/>
  <c r="E260"/>
  <c r="E261"/>
  <c r="E262"/>
  <c r="E263"/>
  <c r="E264"/>
  <c r="E265"/>
  <c r="E266"/>
  <c r="E267"/>
  <c r="E268"/>
  <c r="E269"/>
  <c r="E270"/>
  <c r="E271"/>
  <c r="E272"/>
  <c r="E273"/>
  <c r="E274"/>
  <c r="E275"/>
  <c r="E276"/>
  <c r="E277"/>
  <c r="E278"/>
  <c r="E279"/>
  <c r="E280"/>
  <c r="E281"/>
  <c r="E282"/>
  <c r="E283"/>
  <c r="E284"/>
  <c r="E285"/>
  <c r="E286"/>
  <c r="E287"/>
  <c r="E288"/>
  <c r="E289"/>
  <c r="E290"/>
  <c r="E291"/>
  <c r="E292"/>
  <c r="E293"/>
  <c r="E294"/>
  <c r="E295"/>
  <c r="E296"/>
  <c r="E297"/>
  <c r="E298"/>
  <c r="E299"/>
  <c r="E300"/>
  <c r="E301"/>
  <c r="E302"/>
  <c r="E303"/>
  <c r="E304"/>
  <c r="E305"/>
  <c r="E306"/>
  <c r="E307"/>
  <c r="E308"/>
  <c r="E309"/>
  <c r="E310"/>
  <c r="E311"/>
  <c r="E312"/>
  <c r="E313"/>
  <c r="E314"/>
  <c r="E315"/>
  <c r="E316"/>
  <c r="E317"/>
  <c r="E318"/>
  <c r="E319"/>
  <c r="E320"/>
  <c r="E321"/>
  <c r="E322"/>
  <c r="E323"/>
  <c r="E324"/>
  <c r="E325"/>
  <c r="E326"/>
  <c r="E327"/>
  <c r="E328"/>
  <c r="E329"/>
  <c r="E330"/>
  <c r="E332"/>
  <c r="E333"/>
  <c r="E334"/>
  <c r="E335"/>
  <c r="E336"/>
  <c r="E337"/>
  <c r="E338"/>
  <c r="E6"/>
  <c r="E7"/>
  <c r="E8"/>
  <c r="E9"/>
  <c r="E10"/>
  <c r="E11"/>
  <c r="E12"/>
  <c r="E13"/>
  <c r="E14"/>
  <c r="E5"/>
  <c r="A211" i="19"/>
  <c r="A205"/>
  <c r="A203"/>
  <c r="A120"/>
  <c r="A4"/>
  <c r="AA1576" i="6"/>
  <c r="AC1576" s="1"/>
  <c r="Z1576"/>
  <c r="X1576"/>
  <c r="C1576"/>
  <c r="A340" i="15"/>
  <c r="A334"/>
  <c r="A332"/>
  <c r="A166"/>
  <c r="A4"/>
  <c r="W1382" i="6"/>
  <c r="W860"/>
  <c r="W859"/>
  <c r="W858"/>
  <c r="W857"/>
  <c r="W856"/>
  <c r="W855"/>
  <c r="W854"/>
  <c r="W853"/>
  <c r="W852"/>
  <c r="W851"/>
  <c r="W850"/>
  <c r="W849"/>
  <c r="W848"/>
  <c r="W846"/>
  <c r="W843"/>
  <c r="W842"/>
  <c r="W841"/>
  <c r="W840"/>
  <c r="W839"/>
  <c r="W838"/>
  <c r="W837"/>
  <c r="W836"/>
  <c r="W835"/>
  <c r="W834"/>
  <c r="W833"/>
  <c r="W832"/>
  <c r="W831"/>
  <c r="W830"/>
  <c r="W829"/>
  <c r="W828"/>
  <c r="W827"/>
  <c r="W826"/>
  <c r="W825"/>
  <c r="W824"/>
  <c r="W823"/>
  <c r="W822"/>
  <c r="W821"/>
  <c r="W820"/>
  <c r="W819"/>
  <c r="W818"/>
  <c r="W817"/>
  <c r="W816"/>
  <c r="W815"/>
  <c r="W814"/>
  <c r="W809"/>
  <c r="W808"/>
  <c r="W807"/>
  <c r="W806"/>
  <c r="W805"/>
  <c r="W804"/>
  <c r="W803"/>
  <c r="W802"/>
  <c r="W801"/>
  <c r="W800"/>
  <c r="W799"/>
  <c r="W798"/>
  <c r="W797"/>
  <c r="W795"/>
  <c r="W794"/>
  <c r="W793"/>
  <c r="W792"/>
  <c r="W791"/>
  <c r="W787"/>
  <c r="W785"/>
  <c r="W784"/>
  <c r="W779"/>
  <c r="W778"/>
  <c r="W777"/>
  <c r="W776"/>
  <c r="W774"/>
  <c r="W773"/>
  <c r="W772"/>
  <c r="W771"/>
  <c r="W770"/>
  <c r="W759"/>
  <c r="W758"/>
  <c r="W757"/>
  <c r="W755"/>
  <c r="W754"/>
  <c r="W753"/>
  <c r="W752"/>
  <c r="W751"/>
  <c r="W749"/>
  <c r="W748"/>
  <c r="W747"/>
  <c r="W740"/>
  <c r="W738"/>
  <c r="W737"/>
  <c r="W735"/>
  <c r="W734"/>
  <c r="W733"/>
  <c r="W732"/>
  <c r="W731"/>
  <c r="Z5"/>
  <c r="W14"/>
  <c r="W13"/>
  <c r="W12"/>
  <c r="W9"/>
  <c r="W8"/>
  <c r="W7"/>
  <c r="W1070"/>
  <c r="W1069"/>
  <c r="W1068"/>
  <c r="W1066"/>
  <c r="W1060"/>
  <c r="W1058"/>
  <c r="W1057"/>
  <c r="W1055"/>
  <c r="W1054"/>
  <c r="W1053"/>
  <c r="W1052"/>
  <c r="W1051"/>
  <c r="AA49"/>
  <c r="AB49"/>
  <c r="A8" i="5"/>
  <c r="EZ1" i="8"/>
  <c r="FM5"/>
  <c r="AA50" i="6"/>
  <c r="AC50" s="1"/>
  <c r="AB50"/>
  <c r="AA51"/>
  <c r="AC51" s="1"/>
  <c r="AB51"/>
  <c r="AA52"/>
  <c r="AC52" s="1"/>
  <c r="AB52"/>
  <c r="AA53"/>
  <c r="AC53" s="1"/>
  <c r="AB53"/>
  <c r="AA54"/>
  <c r="AC54" s="1"/>
  <c r="AB54"/>
  <c r="AA55"/>
  <c r="AC55" s="1"/>
  <c r="AB55"/>
  <c r="AA56"/>
  <c r="AC56" s="1"/>
  <c r="AB56"/>
  <c r="AA57"/>
  <c r="AC57" s="1"/>
  <c r="AB57"/>
  <c r="AA58"/>
  <c r="AC58" s="1"/>
  <c r="AB58"/>
  <c r="AA59"/>
  <c r="AC59" s="1"/>
  <c r="AB59"/>
  <c r="AA60"/>
  <c r="AC60" s="1"/>
  <c r="AB60"/>
  <c r="AA61"/>
  <c r="B61" s="1"/>
  <c r="AC61" s="1"/>
  <c r="AB61"/>
  <c r="BR1" i="8"/>
  <c r="AA62" i="6"/>
  <c r="AC62" s="1"/>
  <c r="AB62"/>
  <c r="AA63"/>
  <c r="AC63" s="1"/>
  <c r="AB63"/>
  <c r="AA64"/>
  <c r="AC64" s="1"/>
  <c r="AB64"/>
  <c r="AA65"/>
  <c r="AC65" s="1"/>
  <c r="AB65"/>
  <c r="AA66"/>
  <c r="AC66" s="1"/>
  <c r="AB66"/>
  <c r="AA67"/>
  <c r="AC67" s="1"/>
  <c r="AB67"/>
  <c r="X53"/>
  <c r="W53"/>
  <c r="X52"/>
  <c r="W52"/>
  <c r="X51"/>
  <c r="W51"/>
  <c r="X50"/>
  <c r="W50"/>
  <c r="AA2"/>
  <c r="AC2" s="1"/>
  <c r="AA3"/>
  <c r="B3" s="1"/>
  <c r="F6" i="8"/>
  <c r="E6"/>
  <c r="F7"/>
  <c r="E7"/>
  <c r="F8"/>
  <c r="E8"/>
  <c r="F9"/>
  <c r="E9"/>
  <c r="G6"/>
  <c r="I6"/>
  <c r="J6"/>
  <c r="K6"/>
  <c r="M6"/>
  <c r="O6"/>
  <c r="P6"/>
  <c r="S6"/>
  <c r="T6"/>
  <c r="U6"/>
  <c r="AW6"/>
  <c r="CI6"/>
  <c r="CJ6"/>
  <c r="CK6"/>
  <c r="CL6"/>
  <c r="CM6"/>
  <c r="CN6"/>
  <c r="CO6"/>
  <c r="CP6"/>
  <c r="CQ6"/>
  <c r="CR6"/>
  <c r="CS6"/>
  <c r="CT6"/>
  <c r="CU6"/>
  <c r="CV6"/>
  <c r="CW6"/>
  <c r="CX6"/>
  <c r="CY6"/>
  <c r="CZ6"/>
  <c r="DA6"/>
  <c r="DB6"/>
  <c r="DC6"/>
  <c r="DD6"/>
  <c r="DF6"/>
  <c r="DG6"/>
  <c r="DH6"/>
  <c r="DI6"/>
  <c r="DJ6"/>
  <c r="DK6"/>
  <c r="DL6"/>
  <c r="DM6"/>
  <c r="DN6"/>
  <c r="DO6"/>
  <c r="DP6"/>
  <c r="DQ6"/>
  <c r="DS6"/>
  <c r="DU6"/>
  <c r="DW6"/>
  <c r="DY6"/>
  <c r="EA6"/>
  <c r="G7"/>
  <c r="I7"/>
  <c r="J7"/>
  <c r="K7"/>
  <c r="M7"/>
  <c r="O7"/>
  <c r="P7"/>
  <c r="S7"/>
  <c r="T7"/>
  <c r="U7"/>
  <c r="FA7"/>
  <c r="G8"/>
  <c r="I8"/>
  <c r="J8"/>
  <c r="K8"/>
  <c r="M8"/>
  <c r="O8"/>
  <c r="P8"/>
  <c r="S8"/>
  <c r="T8"/>
  <c r="U8"/>
  <c r="CM8"/>
  <c r="G9"/>
  <c r="I9"/>
  <c r="J9"/>
  <c r="K9"/>
  <c r="M9"/>
  <c r="O9"/>
  <c r="P9"/>
  <c r="S9"/>
  <c r="T9"/>
  <c r="U9"/>
  <c r="CM9"/>
  <c r="DO9"/>
  <c r="F10"/>
  <c r="E10"/>
  <c r="G10"/>
  <c r="I10"/>
  <c r="J10"/>
  <c r="K10"/>
  <c r="M10"/>
  <c r="O10"/>
  <c r="P10"/>
  <c r="S10"/>
  <c r="T10"/>
  <c r="U10"/>
  <c r="AA10"/>
  <c r="CM10"/>
  <c r="DP10"/>
  <c r="F11"/>
  <c r="E11"/>
  <c r="G11"/>
  <c r="I11"/>
  <c r="J11"/>
  <c r="K11"/>
  <c r="M11"/>
  <c r="O11"/>
  <c r="P11"/>
  <c r="S11"/>
  <c r="T11"/>
  <c r="U11"/>
  <c r="AA11"/>
  <c r="CM11"/>
  <c r="F12"/>
  <c r="E12"/>
  <c r="G12"/>
  <c r="I12"/>
  <c r="J12"/>
  <c r="K12"/>
  <c r="AA12"/>
  <c r="CM12"/>
  <c r="F13"/>
  <c r="E13"/>
  <c r="G13"/>
  <c r="I13"/>
  <c r="J13"/>
  <c r="K13"/>
  <c r="AA13"/>
  <c r="CM13"/>
  <c r="F14"/>
  <c r="E14"/>
  <c r="G14"/>
  <c r="I14"/>
  <c r="J14"/>
  <c r="K14"/>
  <c r="AA14"/>
  <c r="CM14"/>
  <c r="F15"/>
  <c r="E15"/>
  <c r="G15"/>
  <c r="I15"/>
  <c r="J15"/>
  <c r="K15"/>
  <c r="AA15"/>
  <c r="F16"/>
  <c r="E16"/>
  <c r="G16"/>
  <c r="I16"/>
  <c r="J16"/>
  <c r="K16"/>
  <c r="AA16"/>
  <c r="F17"/>
  <c r="E17"/>
  <c r="G17"/>
  <c r="I17"/>
  <c r="J17"/>
  <c r="K17"/>
  <c r="AA17"/>
  <c r="F18"/>
  <c r="E18"/>
  <c r="G18"/>
  <c r="I18"/>
  <c r="J18"/>
  <c r="K18"/>
  <c r="AA18"/>
  <c r="F19"/>
  <c r="E19"/>
  <c r="G19"/>
  <c r="I19"/>
  <c r="J19"/>
  <c r="K19"/>
  <c r="AA19"/>
  <c r="F20"/>
  <c r="E20"/>
  <c r="G20"/>
  <c r="I20"/>
  <c r="J20"/>
  <c r="K20"/>
  <c r="AA20"/>
  <c r="AA21"/>
  <c r="AA4" i="6"/>
  <c r="B4" s="1"/>
  <c r="AC4" s="1"/>
  <c r="M1" i="8"/>
  <c r="AA5" i="6"/>
  <c r="AA6"/>
  <c r="AC6" s="1"/>
  <c r="AA7"/>
  <c r="AC7" s="1"/>
  <c r="AA8"/>
  <c r="AC8" s="1"/>
  <c r="AA9"/>
  <c r="AC9" s="1"/>
  <c r="AA10"/>
  <c r="B10" s="1"/>
  <c r="EX1" i="8"/>
  <c r="AA11" i="6"/>
  <c r="AC11" s="1"/>
  <c r="AA12"/>
  <c r="AC12" s="1"/>
  <c r="AA13"/>
  <c r="AC13" s="1"/>
  <c r="AA14"/>
  <c r="B14" s="1"/>
  <c r="AE1" i="8"/>
  <c r="AA15" i="6"/>
  <c r="AC15" s="1"/>
  <c r="AA16"/>
  <c r="AC16" s="1"/>
  <c r="AA17"/>
  <c r="B17" s="1"/>
  <c r="BS1" i="8"/>
  <c r="AA18" i="6"/>
  <c r="AC18" s="1"/>
  <c r="AA19"/>
  <c r="AC19" s="1"/>
  <c r="AA20"/>
  <c r="B20" s="1"/>
  <c r="AG1" i="8"/>
  <c r="AA21" i="6"/>
  <c r="AC21" s="1"/>
  <c r="AA22"/>
  <c r="B22" s="1"/>
  <c r="AF1" i="8"/>
  <c r="AA23" i="6"/>
  <c r="Z23"/>
  <c r="AA24"/>
  <c r="Z24"/>
  <c r="AA25"/>
  <c r="AC25" s="1"/>
  <c r="AA26"/>
  <c r="AC26" s="1"/>
  <c r="AB2"/>
  <c r="AB3"/>
  <c r="AB4"/>
  <c r="AB5"/>
  <c r="C5"/>
  <c r="B8" i="1"/>
  <c r="AC1" i="8"/>
  <c r="AD1"/>
  <c r="AC3"/>
  <c r="AC2"/>
  <c r="AD3"/>
  <c r="AD2"/>
  <c r="AE3"/>
  <c r="AE2" s="1"/>
  <c r="AB1"/>
  <c r="AA3"/>
  <c r="AB3" s="1"/>
  <c r="AB2" s="1"/>
  <c r="AF3"/>
  <c r="AF2"/>
  <c r="W1268" i="6"/>
  <c r="X1268"/>
  <c r="Z1268"/>
  <c r="AA1268"/>
  <c r="AC1268" s="1"/>
  <c r="AB1268"/>
  <c r="W1269"/>
  <c r="X1269"/>
  <c r="Z1269"/>
  <c r="AA1269"/>
  <c r="AC1269" s="1"/>
  <c r="AB1269"/>
  <c r="W1270"/>
  <c r="X1270"/>
  <c r="Z1270"/>
  <c r="AA1270"/>
  <c r="AC1270" s="1"/>
  <c r="AB1270"/>
  <c r="W1271"/>
  <c r="X1271"/>
  <c r="Z1271"/>
  <c r="AA1271"/>
  <c r="AC1271" s="1"/>
  <c r="AB1271"/>
  <c r="W1272"/>
  <c r="X1272"/>
  <c r="Z1272"/>
  <c r="AA1272"/>
  <c r="AB1272"/>
  <c r="FK1" i="8"/>
  <c r="W1273" i="6"/>
  <c r="X1273"/>
  <c r="Z1273"/>
  <c r="AA1273"/>
  <c r="AB1273"/>
  <c r="FN1" i="8"/>
  <c r="W1274" i="6"/>
  <c r="X1274"/>
  <c r="Z1274"/>
  <c r="AA1274"/>
  <c r="AB1274"/>
  <c r="FQ1" i="8"/>
  <c r="W1275" i="6"/>
  <c r="X1275"/>
  <c r="Z1275"/>
  <c r="AA1275"/>
  <c r="AC1275" s="1"/>
  <c r="AB1275"/>
  <c r="W1276"/>
  <c r="X1276"/>
  <c r="Z1276"/>
  <c r="AA1276"/>
  <c r="AC1276" s="1"/>
  <c r="AB1276"/>
  <c r="W1277"/>
  <c r="X1277"/>
  <c r="Z1277"/>
  <c r="AA1277"/>
  <c r="AC1277" s="1"/>
  <c r="AB1277"/>
  <c r="W1278"/>
  <c r="X1278"/>
  <c r="Z1278"/>
  <c r="AA1278"/>
  <c r="AC1278" s="1"/>
  <c r="AB1278"/>
  <c r="W1279"/>
  <c r="X1279"/>
  <c r="Z1279"/>
  <c r="AA1279"/>
  <c r="AC1279" s="1"/>
  <c r="AB1279"/>
  <c r="W1280"/>
  <c r="X1280"/>
  <c r="Z1280"/>
  <c r="AA1280"/>
  <c r="AC1280" s="1"/>
  <c r="AB1280"/>
  <c r="W1281"/>
  <c r="X1281"/>
  <c r="Z1281"/>
  <c r="AA1281"/>
  <c r="AC1281" s="1"/>
  <c r="AB1281"/>
  <c r="W1282"/>
  <c r="X1282"/>
  <c r="Z1282"/>
  <c r="AA1282"/>
  <c r="AC1282" s="1"/>
  <c r="AB1282"/>
  <c r="W1283"/>
  <c r="X1283"/>
  <c r="Z1283"/>
  <c r="AA1283"/>
  <c r="AC1283" s="1"/>
  <c r="AB1283"/>
  <c r="W1284"/>
  <c r="X1284"/>
  <c r="Z1284"/>
  <c r="AA1284"/>
  <c r="AC1284" s="1"/>
  <c r="AB1284"/>
  <c r="W1285"/>
  <c r="X1285"/>
  <c r="Z1285"/>
  <c r="AA1285"/>
  <c r="AC1285" s="1"/>
  <c r="AB1285"/>
  <c r="W1286"/>
  <c r="X1286"/>
  <c r="Z1286"/>
  <c r="AA1286"/>
  <c r="AC1286" s="1"/>
  <c r="AB1286"/>
  <c r="W1287"/>
  <c r="X1287"/>
  <c r="Z1287"/>
  <c r="AA1287"/>
  <c r="AC1287" s="1"/>
  <c r="AB1287"/>
  <c r="W1288"/>
  <c r="X1288"/>
  <c r="Z1288"/>
  <c r="AA1288"/>
  <c r="AC1288" s="1"/>
  <c r="AB1288"/>
  <c r="W1289"/>
  <c r="X1289"/>
  <c r="Z1289"/>
  <c r="AA1289"/>
  <c r="AC1289" s="1"/>
  <c r="AB1289"/>
  <c r="W1290"/>
  <c r="X1290"/>
  <c r="Z1290"/>
  <c r="AA1290"/>
  <c r="AC1290" s="1"/>
  <c r="AB1290"/>
  <c r="W1291"/>
  <c r="X1291"/>
  <c r="Z1291"/>
  <c r="AA1291"/>
  <c r="AB1291"/>
  <c r="FT1" i="8"/>
  <c r="W1292" i="6"/>
  <c r="X1292"/>
  <c r="Z1292"/>
  <c r="AA1292"/>
  <c r="AB1292"/>
  <c r="FV1" i="8"/>
  <c r="W1293" i="6"/>
  <c r="X1293"/>
  <c r="Z1293"/>
  <c r="AA1293"/>
  <c r="AB1293"/>
  <c r="FX1" i="8"/>
  <c r="W1294" i="6"/>
  <c r="X1294"/>
  <c r="Z1294"/>
  <c r="AA1294"/>
  <c r="AC1294" s="1"/>
  <c r="AB1294"/>
  <c r="W1295"/>
  <c r="X1295"/>
  <c r="Z1295"/>
  <c r="AA1295"/>
  <c r="AC1295" s="1"/>
  <c r="AB1295"/>
  <c r="W1296"/>
  <c r="X1296"/>
  <c r="Z1296"/>
  <c r="AA1296"/>
  <c r="AC1296" s="1"/>
  <c r="AB1296"/>
  <c r="W1297"/>
  <c r="X1297"/>
  <c r="Z1297"/>
  <c r="AA1297"/>
  <c r="AC1297" s="1"/>
  <c r="AB1297"/>
  <c r="W1298"/>
  <c r="X1298"/>
  <c r="Z1298"/>
  <c r="AA1298"/>
  <c r="AC1298" s="1"/>
  <c r="AB1298"/>
  <c r="W1299"/>
  <c r="X1299"/>
  <c r="Z1299"/>
  <c r="AA1299"/>
  <c r="AC1299" s="1"/>
  <c r="AB1299"/>
  <c r="W1300"/>
  <c r="X1300"/>
  <c r="Z1300"/>
  <c r="AA1300"/>
  <c r="AC1300" s="1"/>
  <c r="AB1300"/>
  <c r="W1301"/>
  <c r="X1301"/>
  <c r="Z1301"/>
  <c r="AA1301"/>
  <c r="AC1301" s="1"/>
  <c r="AB1301"/>
  <c r="W1302"/>
  <c r="X1302"/>
  <c r="Z1302"/>
  <c r="AA1302"/>
  <c r="AC1302" s="1"/>
  <c r="AB1302"/>
  <c r="W1303"/>
  <c r="X1303"/>
  <c r="Z1303"/>
  <c r="AA1303"/>
  <c r="AC1303" s="1"/>
  <c r="AB1303"/>
  <c r="W1304"/>
  <c r="X1304"/>
  <c r="Z1304"/>
  <c r="AA1304"/>
  <c r="AC1304" s="1"/>
  <c r="AB1304"/>
  <c r="W1305"/>
  <c r="X1305"/>
  <c r="Z1305"/>
  <c r="AA1305"/>
  <c r="AC1305" s="1"/>
  <c r="AB1305"/>
  <c r="W1306"/>
  <c r="X1306"/>
  <c r="Z1306"/>
  <c r="AA1306"/>
  <c r="AB1306"/>
  <c r="FZ1" i="8"/>
  <c r="W1307" i="6"/>
  <c r="X1307"/>
  <c r="Z1307"/>
  <c r="AA1307"/>
  <c r="AB1307"/>
  <c r="GB1" i="8"/>
  <c r="W1308" i="6"/>
  <c r="X1308"/>
  <c r="Z1308"/>
  <c r="AA1308"/>
  <c r="AC1308" s="1"/>
  <c r="AB1308"/>
  <c r="W1309"/>
  <c r="X1309"/>
  <c r="Z1309"/>
  <c r="AA1309"/>
  <c r="AC1309" s="1"/>
  <c r="AB1309"/>
  <c r="W1310"/>
  <c r="X1310"/>
  <c r="Z1310"/>
  <c r="AA1310"/>
  <c r="AC1310" s="1"/>
  <c r="AB1310"/>
  <c r="W1311"/>
  <c r="X1311"/>
  <c r="Z1311"/>
  <c r="AA1311"/>
  <c r="AC1311" s="1"/>
  <c r="AB1311"/>
  <c r="W1312"/>
  <c r="X1312"/>
  <c r="Z1312"/>
  <c r="AA1312"/>
  <c r="AC1312" s="1"/>
  <c r="AB1312"/>
  <c r="W1313"/>
  <c r="X1313"/>
  <c r="Z1313"/>
  <c r="AA1313"/>
  <c r="AC1313" s="1"/>
  <c r="AB1313"/>
  <c r="W1314"/>
  <c r="X1314"/>
  <c r="Z1314"/>
  <c r="AA1314"/>
  <c r="AC1314" s="1"/>
  <c r="AB1314"/>
  <c r="W1315"/>
  <c r="X1315"/>
  <c r="Z1315"/>
  <c r="AA1315"/>
  <c r="AC1315" s="1"/>
  <c r="AB1315"/>
  <c r="W1316"/>
  <c r="X1316"/>
  <c r="Z1316"/>
  <c r="AA1316"/>
  <c r="AC1316" s="1"/>
  <c r="AB1316"/>
  <c r="W1317"/>
  <c r="X1317"/>
  <c r="Z1317"/>
  <c r="AA1317"/>
  <c r="AC1317" s="1"/>
  <c r="AB1317"/>
  <c r="W1318"/>
  <c r="X1318"/>
  <c r="Z1318"/>
  <c r="AA1318"/>
  <c r="AC1318" s="1"/>
  <c r="AB1318"/>
  <c r="W1319"/>
  <c r="X1319"/>
  <c r="Z1319"/>
  <c r="AA1319"/>
  <c r="AC1319" s="1"/>
  <c r="AB1319"/>
  <c r="W1320"/>
  <c r="X1320"/>
  <c r="Z1320"/>
  <c r="AA1320"/>
  <c r="AC1320" s="1"/>
  <c r="AB1320"/>
  <c r="W1321"/>
  <c r="X1321"/>
  <c r="Z1321"/>
  <c r="AA1321"/>
  <c r="AC1321" s="1"/>
  <c r="AB1321"/>
  <c r="W1322"/>
  <c r="X1322"/>
  <c r="Z1322"/>
  <c r="AA1322"/>
  <c r="AC1322" s="1"/>
  <c r="AB1322"/>
  <c r="W1323"/>
  <c r="X1323"/>
  <c r="Z1323"/>
  <c r="AA1323"/>
  <c r="AC1323" s="1"/>
  <c r="AB1323"/>
  <c r="W1324"/>
  <c r="X1324"/>
  <c r="Z1324"/>
  <c r="AA1324"/>
  <c r="AC1324" s="1"/>
  <c r="AB1324"/>
  <c r="W1325"/>
  <c r="X1325"/>
  <c r="Z1325"/>
  <c r="AA1325"/>
  <c r="AC1325" s="1"/>
  <c r="AB1325"/>
  <c r="W1326"/>
  <c r="X1326"/>
  <c r="Z1326"/>
  <c r="AA1326"/>
  <c r="AC1326" s="1"/>
  <c r="AB1326"/>
  <c r="W1327"/>
  <c r="X1327"/>
  <c r="Z1327"/>
  <c r="AA1327"/>
  <c r="AC1327" s="1"/>
  <c r="AB1327"/>
  <c r="W1328"/>
  <c r="X1328"/>
  <c r="Z1328"/>
  <c r="AA1328"/>
  <c r="AC1328" s="1"/>
  <c r="AB1328"/>
  <c r="W1329"/>
  <c r="X1329"/>
  <c r="Z1329"/>
  <c r="AA1329"/>
  <c r="AC1329" s="1"/>
  <c r="AB1329"/>
  <c r="W1330"/>
  <c r="X1330"/>
  <c r="Z1330"/>
  <c r="AA1330"/>
  <c r="AC1330" s="1"/>
  <c r="AB1330"/>
  <c r="W1331"/>
  <c r="X1331"/>
  <c r="Z1331"/>
  <c r="AA1331"/>
  <c r="AC1331" s="1"/>
  <c r="AB1331"/>
  <c r="W1332"/>
  <c r="X1332"/>
  <c r="Z1332"/>
  <c r="AA1332"/>
  <c r="AC1332" s="1"/>
  <c r="AB1332"/>
  <c r="W1333"/>
  <c r="X1333"/>
  <c r="Z1333"/>
  <c r="AA1333"/>
  <c r="AC1333" s="1"/>
  <c r="AB1333"/>
  <c r="W1334"/>
  <c r="X1334"/>
  <c r="Z1334"/>
  <c r="AA1334"/>
  <c r="AC1334" s="1"/>
  <c r="AB1334"/>
  <c r="W1335"/>
  <c r="X1335"/>
  <c r="Z1335"/>
  <c r="AA1335"/>
  <c r="AC1335" s="1"/>
  <c r="AB1335"/>
  <c r="W1336"/>
  <c r="X1336"/>
  <c r="Z1336"/>
  <c r="AA1336"/>
  <c r="AC1336" s="1"/>
  <c r="AB1336"/>
  <c r="W1337"/>
  <c r="X1337"/>
  <c r="Z1337"/>
  <c r="AA1337"/>
  <c r="AC1337" s="1"/>
  <c r="AB1337"/>
  <c r="W1338"/>
  <c r="X1338"/>
  <c r="Z1338"/>
  <c r="AA1338"/>
  <c r="AC1338" s="1"/>
  <c r="AB1338"/>
  <c r="W1339"/>
  <c r="X1339"/>
  <c r="Z1339"/>
  <c r="AA1339"/>
  <c r="AC1339" s="1"/>
  <c r="AB1339"/>
  <c r="W1340"/>
  <c r="X1340"/>
  <c r="Z1340"/>
  <c r="AA1340"/>
  <c r="AC1340" s="1"/>
  <c r="AB1340"/>
  <c r="W1341"/>
  <c r="X1341"/>
  <c r="Z1341"/>
  <c r="AA1341"/>
  <c r="AC1341" s="1"/>
  <c r="AB1341"/>
  <c r="W1342"/>
  <c r="X1342"/>
  <c r="Z1342"/>
  <c r="AA1342"/>
  <c r="AC1342" s="1"/>
  <c r="AB1342"/>
  <c r="W1343"/>
  <c r="X1343"/>
  <c r="Z1343"/>
  <c r="AA1343"/>
  <c r="AC1343" s="1"/>
  <c r="AB1343"/>
  <c r="W1344"/>
  <c r="X1344"/>
  <c r="Z1344"/>
  <c r="AA1344"/>
  <c r="AC1344" s="1"/>
  <c r="AB1344"/>
  <c r="W1345"/>
  <c r="X1345"/>
  <c r="Z1345"/>
  <c r="AA1345"/>
  <c r="AC1345" s="1"/>
  <c r="AB1345"/>
  <c r="W1346"/>
  <c r="X1346"/>
  <c r="Z1346"/>
  <c r="AA1346"/>
  <c r="AC1346" s="1"/>
  <c r="AB1346"/>
  <c r="W1347"/>
  <c r="X1347"/>
  <c r="Z1347"/>
  <c r="AA1347"/>
  <c r="AC1347" s="1"/>
  <c r="AB1347"/>
  <c r="W1348"/>
  <c r="X1348"/>
  <c r="Z1348"/>
  <c r="AA1348"/>
  <c r="AC1348" s="1"/>
  <c r="AB1348"/>
  <c r="W1349"/>
  <c r="X1349"/>
  <c r="Z1349"/>
  <c r="AA1349"/>
  <c r="AC1349" s="1"/>
  <c r="AB1349"/>
  <c r="W1350"/>
  <c r="X1350"/>
  <c r="Z1350"/>
  <c r="AA1350"/>
  <c r="AC1350" s="1"/>
  <c r="AB1350"/>
  <c r="W1351"/>
  <c r="X1351"/>
  <c r="Z1351"/>
  <c r="AA1351"/>
  <c r="AC1351" s="1"/>
  <c r="AB1351"/>
  <c r="W1352"/>
  <c r="X1352"/>
  <c r="Z1352"/>
  <c r="AA1352"/>
  <c r="AC1352" s="1"/>
  <c r="AB1352"/>
  <c r="W1353"/>
  <c r="X1353"/>
  <c r="Z1353"/>
  <c r="AA1353"/>
  <c r="AC1353" s="1"/>
  <c r="AB1353"/>
  <c r="W1354"/>
  <c r="X1354"/>
  <c r="Z1354"/>
  <c r="AA1354"/>
  <c r="AC1354" s="1"/>
  <c r="AB1354"/>
  <c r="W1355"/>
  <c r="X1355"/>
  <c r="Z1355"/>
  <c r="AA1355"/>
  <c r="AC1355" s="1"/>
  <c r="AB1355"/>
  <c r="W1356"/>
  <c r="X1356"/>
  <c r="Z1356"/>
  <c r="AA1356"/>
  <c r="AC1356" s="1"/>
  <c r="AB1356"/>
  <c r="W1357"/>
  <c r="X1357"/>
  <c r="Z1357"/>
  <c r="AA1357"/>
  <c r="AC1357" s="1"/>
  <c r="AB1357"/>
  <c r="W1358"/>
  <c r="X1358"/>
  <c r="Z1358"/>
  <c r="AA1358"/>
  <c r="AC1358" s="1"/>
  <c r="AB1358"/>
  <c r="W1359"/>
  <c r="X1359"/>
  <c r="Z1359"/>
  <c r="AA1359"/>
  <c r="AC1359" s="1"/>
  <c r="AB1359"/>
  <c r="W1360"/>
  <c r="X1360"/>
  <c r="Z1360"/>
  <c r="AA1360"/>
  <c r="AC1360" s="1"/>
  <c r="AB1360"/>
  <c r="W1361"/>
  <c r="X1361"/>
  <c r="Z1361"/>
  <c r="AA1361"/>
  <c r="AC1361" s="1"/>
  <c r="AB1361"/>
  <c r="W1362"/>
  <c r="X1362"/>
  <c r="Z1362"/>
  <c r="AA1362"/>
  <c r="AC1362" s="1"/>
  <c r="AB1362"/>
  <c r="W1363"/>
  <c r="X1363"/>
  <c r="Z1363"/>
  <c r="AA1363"/>
  <c r="AC1363" s="1"/>
  <c r="AB1363"/>
  <c r="W1364"/>
  <c r="X1364"/>
  <c r="Z1364"/>
  <c r="AA1364"/>
  <c r="AC1364" s="1"/>
  <c r="AB1364"/>
  <c r="W1365"/>
  <c r="X1365"/>
  <c r="Z1365"/>
  <c r="AA1365"/>
  <c r="AC1365" s="1"/>
  <c r="AB1365"/>
  <c r="W1366"/>
  <c r="X1366"/>
  <c r="Z1366"/>
  <c r="AA1366"/>
  <c r="AC1366" s="1"/>
  <c r="AB1366"/>
  <c r="W1367"/>
  <c r="X1367"/>
  <c r="Z1367"/>
  <c r="AA1367"/>
  <c r="AC1367" s="1"/>
  <c r="AB1367"/>
  <c r="W1368"/>
  <c r="X1368"/>
  <c r="Z1368"/>
  <c r="AA1368"/>
  <c r="AC1368" s="1"/>
  <c r="AB1368"/>
  <c r="W1369"/>
  <c r="X1369"/>
  <c r="Z1369"/>
  <c r="AA1369"/>
  <c r="B1369" s="1"/>
  <c r="AB1369"/>
  <c r="W1370"/>
  <c r="X1370"/>
  <c r="Z1370"/>
  <c r="AA1370"/>
  <c r="AC1370" s="1"/>
  <c r="AB1370"/>
  <c r="W1371"/>
  <c r="X1371"/>
  <c r="Z1371"/>
  <c r="AA1371"/>
  <c r="AC1371" s="1"/>
  <c r="AB1371"/>
  <c r="C1369"/>
  <c r="U3" i="7"/>
  <c r="U2" s="1"/>
  <c r="Q9" i="5"/>
  <c r="W4" i="7" s="1"/>
  <c r="Q3"/>
  <c r="R3" s="1"/>
  <c r="V3"/>
  <c r="V2"/>
  <c r="W3"/>
  <c r="W2"/>
  <c r="T4"/>
  <c r="X3"/>
  <c r="X2"/>
  <c r="S4"/>
  <c r="X4"/>
  <c r="Z1394" i="6"/>
  <c r="AA1394"/>
  <c r="Z1395"/>
  <c r="AA1395"/>
  <c r="AC1395" s="1"/>
  <c r="AA1396"/>
  <c r="B1396" s="1"/>
  <c r="Z1397"/>
  <c r="AA1397"/>
  <c r="AC1397" s="1"/>
  <c r="AA1398"/>
  <c r="B1398" s="1"/>
  <c r="AC1398" s="1"/>
  <c r="AA1399"/>
  <c r="B1399" s="1"/>
  <c r="Z1400"/>
  <c r="AA1400"/>
  <c r="AC1400" s="1"/>
  <c r="AZ1" i="8"/>
  <c r="AB1399" i="6"/>
  <c r="Z1399"/>
  <c r="X1399"/>
  <c r="W1399"/>
  <c r="C1399"/>
  <c r="AX1" i="8"/>
  <c r="AY1"/>
  <c r="BA1"/>
  <c r="AX3"/>
  <c r="AX2"/>
  <c r="AW3"/>
  <c r="AY3"/>
  <c r="AY2" s="1"/>
  <c r="AZ3"/>
  <c r="AZ2" s="1"/>
  <c r="BA3"/>
  <c r="BA2" s="1"/>
  <c r="BB1"/>
  <c r="C1396" i="6"/>
  <c r="W1396"/>
  <c r="X1396"/>
  <c r="Z1396"/>
  <c r="AB1396"/>
  <c r="AU1" i="8"/>
  <c r="X1395" i="6"/>
  <c r="AB1395"/>
  <c r="X1397"/>
  <c r="AB1397"/>
  <c r="X1398"/>
  <c r="Z1398"/>
  <c r="AB1398"/>
  <c r="AW1" i="8"/>
  <c r="X1400" i="6"/>
  <c r="AB1400"/>
  <c r="X1401"/>
  <c r="Z1401"/>
  <c r="AA1401"/>
  <c r="AC1401" s="1"/>
  <c r="AB1401"/>
  <c r="X1402"/>
  <c r="Z1402"/>
  <c r="AA1402"/>
  <c r="AC1402" s="1"/>
  <c r="AB1402"/>
  <c r="C1398"/>
  <c r="W1398"/>
  <c r="AT1" i="8"/>
  <c r="AS3"/>
  <c r="AT3" s="1"/>
  <c r="AT2" s="1"/>
  <c r="AU3"/>
  <c r="AU2"/>
  <c r="AW2"/>
  <c r="Z26" i="6"/>
  <c r="B26" s="1"/>
  <c r="C26"/>
  <c r="W26"/>
  <c r="X26"/>
  <c r="AB26"/>
  <c r="AN1" i="8"/>
  <c r="AO1"/>
  <c r="AP1"/>
  <c r="AQ1"/>
  <c r="AM3"/>
  <c r="AN3" s="1"/>
  <c r="AN2" s="1"/>
  <c r="AO3"/>
  <c r="AO2" s="1"/>
  <c r="AP3"/>
  <c r="AP2" s="1"/>
  <c r="AQ3"/>
  <c r="AR3" s="1"/>
  <c r="AR2" s="1"/>
  <c r="AQ2"/>
  <c r="AR1"/>
  <c r="AS1"/>
  <c r="AS2"/>
  <c r="AA555" i="6"/>
  <c r="AC555" s="1"/>
  <c r="Z555"/>
  <c r="AB555"/>
  <c r="C555"/>
  <c r="AA553"/>
  <c r="AC553" s="1"/>
  <c r="Z553"/>
  <c r="AB553"/>
  <c r="C553"/>
  <c r="FD1" i="8"/>
  <c r="FE1"/>
  <c r="FF1"/>
  <c r="FG1"/>
  <c r="FH1"/>
  <c r="FI1"/>
  <c r="FJ1"/>
  <c r="FD3"/>
  <c r="FE3" s="1"/>
  <c r="FE2" s="1"/>
  <c r="FF3"/>
  <c r="FF2"/>
  <c r="FG3"/>
  <c r="FG2" s="1"/>
  <c r="FH3"/>
  <c r="FH2" s="1"/>
  <c r="FI3"/>
  <c r="FI2"/>
  <c r="FJ3"/>
  <c r="FJ2"/>
  <c r="C520" i="6"/>
  <c r="B520"/>
  <c r="AB68"/>
  <c r="AB69"/>
  <c r="AB70"/>
  <c r="AB71"/>
  <c r="AB72"/>
  <c r="AB73"/>
  <c r="AB74"/>
  <c r="AB75"/>
  <c r="AB76"/>
  <c r="AB77"/>
  <c r="AB78"/>
  <c r="AB79"/>
  <c r="AB80"/>
  <c r="C9"/>
  <c r="C13"/>
  <c r="C19"/>
  <c r="C23"/>
  <c r="AI1" i="8"/>
  <c r="C56" i="6"/>
  <c r="AJ1" i="8"/>
  <c r="AA27" i="6"/>
  <c r="B27" s="1"/>
  <c r="AK1" i="8"/>
  <c r="C1027" i="6"/>
  <c r="C1028"/>
  <c r="C1029"/>
  <c r="C1030"/>
  <c r="C1031"/>
  <c r="C1032"/>
  <c r="C1033"/>
  <c r="C1034"/>
  <c r="C1035"/>
  <c r="C1036"/>
  <c r="C1037"/>
  <c r="C1038"/>
  <c r="C1039"/>
  <c r="C1040"/>
  <c r="C1041"/>
  <c r="C1042"/>
  <c r="C1043"/>
  <c r="C1044"/>
  <c r="C1045"/>
  <c r="C1046"/>
  <c r="C1047"/>
  <c r="C1048"/>
  <c r="C1049"/>
  <c r="C1050"/>
  <c r="C1051"/>
  <c r="C1052"/>
  <c r="C1053"/>
  <c r="C1054"/>
  <c r="C1055"/>
  <c r="C1056"/>
  <c r="C1057"/>
  <c r="C1058"/>
  <c r="C1059"/>
  <c r="C1060"/>
  <c r="C1061"/>
  <c r="C1062"/>
  <c r="C1063"/>
  <c r="C1064"/>
  <c r="C1065"/>
  <c r="C1066"/>
  <c r="C1067"/>
  <c r="C1068"/>
  <c r="C1069"/>
  <c r="C1070"/>
  <c r="C1071"/>
  <c r="C1072"/>
  <c r="C1073"/>
  <c r="C1074"/>
  <c r="C1075"/>
  <c r="C1076"/>
  <c r="C1077"/>
  <c r="C1078"/>
  <c r="C1079"/>
  <c r="C1080"/>
  <c r="C1081"/>
  <c r="C1082"/>
  <c r="C1083"/>
  <c r="C1084"/>
  <c r="C1085"/>
  <c r="C1086"/>
  <c r="C1087"/>
  <c r="C1088"/>
  <c r="C1089"/>
  <c r="C1090"/>
  <c r="C1091"/>
  <c r="C1092"/>
  <c r="C1093"/>
  <c r="C1094"/>
  <c r="C1095"/>
  <c r="C1096"/>
  <c r="C1097"/>
  <c r="C1098"/>
  <c r="C1099"/>
  <c r="C1100"/>
  <c r="C1101"/>
  <c r="C1102"/>
  <c r="C1103"/>
  <c r="C1104"/>
  <c r="C1105"/>
  <c r="C1106"/>
  <c r="C1107"/>
  <c r="C1108"/>
  <c r="C1109"/>
  <c r="C1110"/>
  <c r="C1111"/>
  <c r="C1112"/>
  <c r="C1113"/>
  <c r="C1114"/>
  <c r="C1115"/>
  <c r="C1116"/>
  <c r="C1117"/>
  <c r="C1118"/>
  <c r="C1119"/>
  <c r="C1120"/>
  <c r="C1121"/>
  <c r="C1122"/>
  <c r="C1123"/>
  <c r="C1124"/>
  <c r="C1125"/>
  <c r="C1126"/>
  <c r="C1127"/>
  <c r="C1128"/>
  <c r="C1129"/>
  <c r="C1130"/>
  <c r="C1131"/>
  <c r="C1132"/>
  <c r="C1133"/>
  <c r="C1134"/>
  <c r="C1135"/>
  <c r="C1136"/>
  <c r="C1137"/>
  <c r="C1138"/>
  <c r="C1139"/>
  <c r="C1140"/>
  <c r="C1141"/>
  <c r="W1083"/>
  <c r="AA454"/>
  <c r="Z454"/>
  <c r="C454"/>
  <c r="AB454"/>
  <c r="EY1" i="8"/>
  <c r="FA1"/>
  <c r="FB1"/>
  <c r="EX3"/>
  <c r="EX2"/>
  <c r="EY3"/>
  <c r="EY2" s="1"/>
  <c r="EZ3"/>
  <c r="EZ2"/>
  <c r="FA3"/>
  <c r="FB3" s="1"/>
  <c r="FB2" s="1"/>
  <c r="FA2"/>
  <c r="DB1"/>
  <c r="DC1"/>
  <c r="DD1"/>
  <c r="DE1"/>
  <c r="DF1"/>
  <c r="DB3"/>
  <c r="DB2" s="1"/>
  <c r="DC3"/>
  <c r="DC2"/>
  <c r="DD3"/>
  <c r="DD2"/>
  <c r="DE3"/>
  <c r="DE2" s="1"/>
  <c r="DF3"/>
  <c r="DF2" s="1"/>
  <c r="C49" i="6"/>
  <c r="B50"/>
  <c r="C50"/>
  <c r="B51"/>
  <c r="C51"/>
  <c r="B52"/>
  <c r="C52"/>
  <c r="B53"/>
  <c r="C53"/>
  <c r="O478"/>
  <c r="X478" s="1"/>
  <c r="O477"/>
  <c r="O476"/>
  <c r="X476" s="1"/>
  <c r="O475"/>
  <c r="X475" s="1"/>
  <c r="O473"/>
  <c r="O472"/>
  <c r="O471"/>
  <c r="O470"/>
  <c r="O469"/>
  <c r="O468"/>
  <c r="O467"/>
  <c r="O466"/>
  <c r="O465"/>
  <c r="O464"/>
  <c r="O463"/>
  <c r="O462"/>
  <c r="O461"/>
  <c r="O460"/>
  <c r="O459"/>
  <c r="O458"/>
  <c r="O452"/>
  <c r="X452" s="1"/>
  <c r="O450"/>
  <c r="O449"/>
  <c r="O448"/>
  <c r="O447"/>
  <c r="O446"/>
  <c r="O445"/>
  <c r="O444"/>
  <c r="O443"/>
  <c r="O442"/>
  <c r="O441"/>
  <c r="O440"/>
  <c r="O439"/>
  <c r="C1" i="8"/>
  <c r="D1"/>
  <c r="B3"/>
  <c r="C3" s="1"/>
  <c r="C2" s="1"/>
  <c r="AB1578" i="6"/>
  <c r="AA1578"/>
  <c r="B1578" s="1"/>
  <c r="AC1578" s="1"/>
  <c r="Z1578"/>
  <c r="X1578"/>
  <c r="W1578"/>
  <c r="C1578"/>
  <c r="X1060"/>
  <c r="X1061"/>
  <c r="X1062"/>
  <c r="AA485"/>
  <c r="AB485"/>
  <c r="AA486"/>
  <c r="AC486" s="1"/>
  <c r="AB486"/>
  <c r="AA487"/>
  <c r="AC487" s="1"/>
  <c r="AB487"/>
  <c r="AA488"/>
  <c r="B488" s="1"/>
  <c r="AC488" s="1"/>
  <c r="AB488"/>
  <c r="AA489"/>
  <c r="B489" s="1"/>
  <c r="AB489"/>
  <c r="AA490"/>
  <c r="B490" s="1"/>
  <c r="AB490"/>
  <c r="AA491"/>
  <c r="B491" s="1"/>
  <c r="AB491"/>
  <c r="AA492"/>
  <c r="B492" s="1"/>
  <c r="AC492" s="1"/>
  <c r="AB492"/>
  <c r="AA493"/>
  <c r="B493" s="1"/>
  <c r="AC493" s="1"/>
  <c r="AB493"/>
  <c r="AA494"/>
  <c r="B494" s="1"/>
  <c r="AB494"/>
  <c r="AA495"/>
  <c r="B495" s="1"/>
  <c r="AB495"/>
  <c r="AA496"/>
  <c r="B496" s="1"/>
  <c r="AC496" s="1"/>
  <c r="AB496"/>
  <c r="AA497"/>
  <c r="B497" s="1"/>
  <c r="AC497" s="1"/>
  <c r="AB497"/>
  <c r="AA498"/>
  <c r="AC498" s="1"/>
  <c r="AB498"/>
  <c r="AA499"/>
  <c r="AC499" s="1"/>
  <c r="AB499"/>
  <c r="AA500"/>
  <c r="AB500"/>
  <c r="AA501"/>
  <c r="AC501" s="1"/>
  <c r="AB501"/>
  <c r="AA502"/>
  <c r="AC502" s="1"/>
  <c r="AB502"/>
  <c r="AA503"/>
  <c r="AC503" s="1"/>
  <c r="AB503"/>
  <c r="AA504"/>
  <c r="AB504"/>
  <c r="AA505"/>
  <c r="AC505" s="1"/>
  <c r="AB505"/>
  <c r="AA506"/>
  <c r="AC506" s="1"/>
  <c r="AB506"/>
  <c r="AA507"/>
  <c r="AC507" s="1"/>
  <c r="AB507"/>
  <c r="AA508"/>
  <c r="AC508" s="1"/>
  <c r="AB508"/>
  <c r="AA509"/>
  <c r="AC509" s="1"/>
  <c r="AB509"/>
  <c r="AA510"/>
  <c r="AC510" s="1"/>
  <c r="AB510"/>
  <c r="AA511"/>
  <c r="AC511" s="1"/>
  <c r="AB511"/>
  <c r="AA512"/>
  <c r="AC512" s="1"/>
  <c r="AB512"/>
  <c r="AA513"/>
  <c r="AC513" s="1"/>
  <c r="AB513"/>
  <c r="AA514"/>
  <c r="AC514" s="1"/>
  <c r="AB514"/>
  <c r="AA515"/>
  <c r="AC515" s="1"/>
  <c r="AB515"/>
  <c r="AA516"/>
  <c r="AC516" s="1"/>
  <c r="AB516"/>
  <c r="AA517"/>
  <c r="AC517" s="1"/>
  <c r="AB517"/>
  <c r="AA518"/>
  <c r="AB518"/>
  <c r="AA519"/>
  <c r="AB519"/>
  <c r="AA521"/>
  <c r="AC521" s="1"/>
  <c r="AB521"/>
  <c r="AA522"/>
  <c r="AC522" s="1"/>
  <c r="AB522"/>
  <c r="AA523"/>
  <c r="AC523" s="1"/>
  <c r="AB523"/>
  <c r="AA524"/>
  <c r="AC524" s="1"/>
  <c r="AB524"/>
  <c r="EA1" i="8"/>
  <c r="EB1"/>
  <c r="EC1"/>
  <c r="ED1"/>
  <c r="EE1"/>
  <c r="EF1"/>
  <c r="EG1"/>
  <c r="EH1"/>
  <c r="EI1"/>
  <c r="EJ1"/>
  <c r="EK1"/>
  <c r="EL1"/>
  <c r="EM1"/>
  <c r="EN1"/>
  <c r="EO1"/>
  <c r="EP1"/>
  <c r="EQ1"/>
  <c r="ER1"/>
  <c r="ES1"/>
  <c r="ET1"/>
  <c r="EU1"/>
  <c r="EV1"/>
  <c r="EW1"/>
  <c r="EA3"/>
  <c r="EB3" s="1"/>
  <c r="EB2" s="1"/>
  <c r="EA2"/>
  <c r="EC3"/>
  <c r="EC2"/>
  <c r="EE3"/>
  <c r="EE2" s="1"/>
  <c r="EG3"/>
  <c r="EH3" s="1"/>
  <c r="EH2" s="1"/>
  <c r="EG2"/>
  <c r="EI3"/>
  <c r="EI2"/>
  <c r="EK3"/>
  <c r="EK2"/>
  <c r="EM3"/>
  <c r="EN3" s="1"/>
  <c r="EN2" s="1"/>
  <c r="EO3"/>
  <c r="EO2"/>
  <c r="EQ3"/>
  <c r="ER3" s="1"/>
  <c r="ER2" s="1"/>
  <c r="EQ2"/>
  <c r="ES3"/>
  <c r="ES2"/>
  <c r="EU3"/>
  <c r="EV3" s="1"/>
  <c r="EV2" s="1"/>
  <c r="EW3"/>
  <c r="EW2"/>
  <c r="Z497" i="6"/>
  <c r="C497"/>
  <c r="Z496"/>
  <c r="C496"/>
  <c r="Z495"/>
  <c r="C495"/>
  <c r="Z494"/>
  <c r="C494"/>
  <c r="Z493"/>
  <c r="C493"/>
  <c r="Z492"/>
  <c r="C492"/>
  <c r="Z491"/>
  <c r="C491"/>
  <c r="Z490"/>
  <c r="C490"/>
  <c r="Z489"/>
  <c r="C489"/>
  <c r="Z488"/>
  <c r="C488"/>
  <c r="Z487"/>
  <c r="X487"/>
  <c r="W487"/>
  <c r="C487"/>
  <c r="AB961"/>
  <c r="AA961"/>
  <c r="AC961" s="1"/>
  <c r="Z961"/>
  <c r="C961"/>
  <c r="D3" i="8"/>
  <c r="D2" s="1"/>
  <c r="ET3"/>
  <c r="ET2"/>
  <c r="EF3"/>
  <c r="EF2" s="1"/>
  <c r="EL3"/>
  <c r="EL2"/>
  <c r="EP3"/>
  <c r="EP2"/>
  <c r="ED3"/>
  <c r="ED2" s="1"/>
  <c r="EJ3"/>
  <c r="EJ2"/>
  <c r="C771" i="6"/>
  <c r="X771"/>
  <c r="Z771"/>
  <c r="AA771"/>
  <c r="AC771" s="1"/>
  <c r="AB771"/>
  <c r="X766"/>
  <c r="X767"/>
  <c r="X768"/>
  <c r="X769"/>
  <c r="C768"/>
  <c r="Z768"/>
  <c r="AA768"/>
  <c r="AC768" s="1"/>
  <c r="AB768"/>
  <c r="AB756"/>
  <c r="AA756"/>
  <c r="AC756" s="1"/>
  <c r="Z756"/>
  <c r="C756"/>
  <c r="X747"/>
  <c r="X748"/>
  <c r="X749"/>
  <c r="X750"/>
  <c r="X751"/>
  <c r="X752"/>
  <c r="X753"/>
  <c r="X754"/>
  <c r="X755"/>
  <c r="C750"/>
  <c r="Z750"/>
  <c r="AA750"/>
  <c r="AB750"/>
  <c r="W1093"/>
  <c r="W1092"/>
  <c r="AB790"/>
  <c r="AA790"/>
  <c r="AC790" s="1"/>
  <c r="Z790"/>
  <c r="X790"/>
  <c r="C790"/>
  <c r="W522"/>
  <c r="X522"/>
  <c r="Z521"/>
  <c r="Z522"/>
  <c r="C522"/>
  <c r="C972"/>
  <c r="W972"/>
  <c r="B972"/>
  <c r="C970"/>
  <c r="W970"/>
  <c r="AB951"/>
  <c r="AA951"/>
  <c r="AC951" s="1"/>
  <c r="Z951"/>
  <c r="C951"/>
  <c r="X793"/>
  <c r="C793"/>
  <c r="Z793"/>
  <c r="AA793"/>
  <c r="AC793" s="1"/>
  <c r="AB793"/>
  <c r="FC3" i="8"/>
  <c r="FC2" s="1"/>
  <c r="C502" i="6"/>
  <c r="W502"/>
  <c r="X502"/>
  <c r="Z502"/>
  <c r="B502" s="1"/>
  <c r="C503"/>
  <c r="W503"/>
  <c r="X503"/>
  <c r="Z503"/>
  <c r="W1094"/>
  <c r="W1091"/>
  <c r="W1090"/>
  <c r="W1088"/>
  <c r="W1087"/>
  <c r="W1086"/>
  <c r="W1084"/>
  <c r="W1082"/>
  <c r="W1081"/>
  <c r="W1080"/>
  <c r="W1079"/>
  <c r="W1078"/>
  <c r="W1077"/>
  <c r="W1076"/>
  <c r="W1075"/>
  <c r="W1074"/>
  <c r="W1095"/>
  <c r="X1095"/>
  <c r="X1006"/>
  <c r="W1006"/>
  <c r="C1006"/>
  <c r="AJ3" i="7"/>
  <c r="AJ2"/>
  <c r="AK3"/>
  <c r="AK2" s="1"/>
  <c r="AJ4"/>
  <c r="AL4"/>
  <c r="AH4"/>
  <c r="AH3"/>
  <c r="AH2"/>
  <c r="AG3"/>
  <c r="AG2" s="1"/>
  <c r="AB960" i="6"/>
  <c r="AA960"/>
  <c r="AC960" s="1"/>
  <c r="Z960"/>
  <c r="W960"/>
  <c r="C960"/>
  <c r="C952"/>
  <c r="Z952"/>
  <c r="AA952"/>
  <c r="AC952" s="1"/>
  <c r="AB952"/>
  <c r="AA738"/>
  <c r="AC738" s="1"/>
  <c r="AB738"/>
  <c r="AA739"/>
  <c r="AC739" s="1"/>
  <c r="AB739"/>
  <c r="AA740"/>
  <c r="AC740" s="1"/>
  <c r="AB740"/>
  <c r="AA741"/>
  <c r="AC741" s="1"/>
  <c r="AB741"/>
  <c r="AA742"/>
  <c r="AC742" s="1"/>
  <c r="AB742"/>
  <c r="AA743"/>
  <c r="AC743" s="1"/>
  <c r="AB743"/>
  <c r="AA744"/>
  <c r="AC744" s="1"/>
  <c r="AB744"/>
  <c r="AA745"/>
  <c r="AC745" s="1"/>
  <c r="AB745"/>
  <c r="AA746"/>
  <c r="AC746" s="1"/>
  <c r="AB746"/>
  <c r="AA747"/>
  <c r="AC747" s="1"/>
  <c r="AB747"/>
  <c r="AA748"/>
  <c r="AC748" s="1"/>
  <c r="AB748"/>
  <c r="AA749"/>
  <c r="AC749" s="1"/>
  <c r="AB749"/>
  <c r="AA751"/>
  <c r="AC751" s="1"/>
  <c r="AB751"/>
  <c r="AA752"/>
  <c r="AC752" s="1"/>
  <c r="AB752"/>
  <c r="AA753"/>
  <c r="AC753" s="1"/>
  <c r="AB753"/>
  <c r="AA754"/>
  <c r="AC754" s="1"/>
  <c r="AB754"/>
  <c r="AA755"/>
  <c r="AC755" s="1"/>
  <c r="AB755"/>
  <c r="AA757"/>
  <c r="AC757" s="1"/>
  <c r="AB757"/>
  <c r="AA758"/>
  <c r="AC758" s="1"/>
  <c r="AB758"/>
  <c r="AA759"/>
  <c r="AC759" s="1"/>
  <c r="AB759"/>
  <c r="AA760"/>
  <c r="AC760" s="1"/>
  <c r="AB760"/>
  <c r="AA761"/>
  <c r="AC761" s="1"/>
  <c r="AB761"/>
  <c r="AA762"/>
  <c r="AC762" s="1"/>
  <c r="AB762"/>
  <c r="AA763"/>
  <c r="AC763" s="1"/>
  <c r="AB763"/>
  <c r="AA764"/>
  <c r="AC764" s="1"/>
  <c r="AB764"/>
  <c r="AA765"/>
  <c r="AC765" s="1"/>
  <c r="AB765"/>
  <c r="AA766"/>
  <c r="AC766" s="1"/>
  <c r="AB766"/>
  <c r="AA767"/>
  <c r="AC767" s="1"/>
  <c r="AB767"/>
  <c r="AA769"/>
  <c r="AC769" s="1"/>
  <c r="AB769"/>
  <c r="AA770"/>
  <c r="AC770" s="1"/>
  <c r="AB770"/>
  <c r="AA772"/>
  <c r="AC772" s="1"/>
  <c r="AB772"/>
  <c r="AA773"/>
  <c r="AC773" s="1"/>
  <c r="AB773"/>
  <c r="AA774"/>
  <c r="AC774" s="1"/>
  <c r="AB774"/>
  <c r="AA776"/>
  <c r="AC776" s="1"/>
  <c r="AB776"/>
  <c r="AA777"/>
  <c r="AC777" s="1"/>
  <c r="AB777"/>
  <c r="AA778"/>
  <c r="AC778" s="1"/>
  <c r="AB778"/>
  <c r="AA779"/>
  <c r="AC779" s="1"/>
  <c r="AB779"/>
  <c r="AA780"/>
  <c r="AC780" s="1"/>
  <c r="AB780"/>
  <c r="AA781"/>
  <c r="AC781" s="1"/>
  <c r="AB781"/>
  <c r="AA782"/>
  <c r="AC782" s="1"/>
  <c r="AB782"/>
  <c r="AA783"/>
  <c r="AC783" s="1"/>
  <c r="AB783"/>
  <c r="AA784"/>
  <c r="AC784" s="1"/>
  <c r="AB784"/>
  <c r="AA785"/>
  <c r="AC785" s="1"/>
  <c r="AB785"/>
  <c r="AA786"/>
  <c r="AC786" s="1"/>
  <c r="AB786"/>
  <c r="AA787"/>
  <c r="AC787" s="1"/>
  <c r="AB787"/>
  <c r="AA788"/>
  <c r="AC788" s="1"/>
  <c r="AB788"/>
  <c r="AA789"/>
  <c r="AC789" s="1"/>
  <c r="AB789"/>
  <c r="AA791"/>
  <c r="AC791" s="1"/>
  <c r="AB791"/>
  <c r="AA792"/>
  <c r="AC792" s="1"/>
  <c r="AB792"/>
  <c r="AA795"/>
  <c r="AC795" s="1"/>
  <c r="AB795"/>
  <c r="AA796"/>
  <c r="AC796" s="1"/>
  <c r="AB796"/>
  <c r="AA797"/>
  <c r="AC797" s="1"/>
  <c r="AB797"/>
  <c r="AA798"/>
  <c r="AC798" s="1"/>
  <c r="AB798"/>
  <c r="AA799"/>
  <c r="AC799" s="1"/>
  <c r="AB799"/>
  <c r="AA800"/>
  <c r="AC800" s="1"/>
  <c r="AB800"/>
  <c r="AA801"/>
  <c r="AC801" s="1"/>
  <c r="AB801"/>
  <c r="AA802"/>
  <c r="AC802" s="1"/>
  <c r="AB802"/>
  <c r="AA803"/>
  <c r="AC803" s="1"/>
  <c r="AB803"/>
  <c r="AA804"/>
  <c r="AC804" s="1"/>
  <c r="AB804"/>
  <c r="AA805"/>
  <c r="AC805" s="1"/>
  <c r="AB805"/>
  <c r="AA806"/>
  <c r="AC806" s="1"/>
  <c r="AB806"/>
  <c r="AA807"/>
  <c r="AC807" s="1"/>
  <c r="AB807"/>
  <c r="AA808"/>
  <c r="AC808" s="1"/>
  <c r="AB808"/>
  <c r="AA809"/>
  <c r="AC809" s="1"/>
  <c r="AB809"/>
  <c r="AA810"/>
  <c r="AC810" s="1"/>
  <c r="AB810"/>
  <c r="AA811"/>
  <c r="AC811" s="1"/>
  <c r="AB811"/>
  <c r="AA812"/>
  <c r="AC812" s="1"/>
  <c r="AB812"/>
  <c r="AA813"/>
  <c r="AC813" s="1"/>
  <c r="AB813"/>
  <c r="AA794"/>
  <c r="AC794" s="1"/>
  <c r="AB794"/>
  <c r="AA814"/>
  <c r="AC814" s="1"/>
  <c r="AB814"/>
  <c r="AA815"/>
  <c r="AC815" s="1"/>
  <c r="AB815"/>
  <c r="AA816"/>
  <c r="AC816" s="1"/>
  <c r="AB816"/>
  <c r="AA817"/>
  <c r="AC817" s="1"/>
  <c r="AB817"/>
  <c r="AA1382"/>
  <c r="AC1382" s="1"/>
  <c r="AB1382"/>
  <c r="AA818"/>
  <c r="AC818" s="1"/>
  <c r="AB818"/>
  <c r="AA819"/>
  <c r="AC819" s="1"/>
  <c r="AB819"/>
  <c r="AA820"/>
  <c r="AC820" s="1"/>
  <c r="AB820"/>
  <c r="AA821"/>
  <c r="AC821" s="1"/>
  <c r="AB821"/>
  <c r="AA822"/>
  <c r="AC822" s="1"/>
  <c r="AB822"/>
  <c r="AA823"/>
  <c r="AC823" s="1"/>
  <c r="AB823"/>
  <c r="AA824"/>
  <c r="AC824" s="1"/>
  <c r="AB824"/>
  <c r="AA825"/>
  <c r="AC825" s="1"/>
  <c r="AB825"/>
  <c r="AA826"/>
  <c r="AC826" s="1"/>
  <c r="AB826"/>
  <c r="AA827"/>
  <c r="AC827" s="1"/>
  <c r="AB827"/>
  <c r="AA828"/>
  <c r="AC828" s="1"/>
  <c r="AB828"/>
  <c r="AA829"/>
  <c r="AC829" s="1"/>
  <c r="AB829"/>
  <c r="AA830"/>
  <c r="AC830" s="1"/>
  <c r="AB830"/>
  <c r="AA831"/>
  <c r="AC831" s="1"/>
  <c r="AB831"/>
  <c r="AA832"/>
  <c r="AC832" s="1"/>
  <c r="AB832"/>
  <c r="AA833"/>
  <c r="AC833" s="1"/>
  <c r="AB833"/>
  <c r="AA834"/>
  <c r="AC834" s="1"/>
  <c r="AB834"/>
  <c r="AA835"/>
  <c r="AC835" s="1"/>
  <c r="AB835"/>
  <c r="AA836"/>
  <c r="AC836" s="1"/>
  <c r="AB836"/>
  <c r="AA837"/>
  <c r="AC837" s="1"/>
  <c r="AB837"/>
  <c r="AA838"/>
  <c r="AC838" s="1"/>
  <c r="AB838"/>
  <c r="AA839"/>
  <c r="AC839" s="1"/>
  <c r="AB839"/>
  <c r="AA840"/>
  <c r="AC840" s="1"/>
  <c r="AB840"/>
  <c r="AA841"/>
  <c r="AC841" s="1"/>
  <c r="AB841"/>
  <c r="AA842"/>
  <c r="AC842" s="1"/>
  <c r="AB842"/>
  <c r="AA843"/>
  <c r="AC843" s="1"/>
  <c r="AB843"/>
  <c r="AA844"/>
  <c r="AC844" s="1"/>
  <c r="AB844"/>
  <c r="AA845"/>
  <c r="AC845" s="1"/>
  <c r="AB845"/>
  <c r="AA846"/>
  <c r="AC846" s="1"/>
  <c r="AB846"/>
  <c r="AA847"/>
  <c r="AC847" s="1"/>
  <c r="AB847"/>
  <c r="AA848"/>
  <c r="AC848" s="1"/>
  <c r="AB848"/>
  <c r="AA849"/>
  <c r="AC849" s="1"/>
  <c r="AB849"/>
  <c r="AA850"/>
  <c r="AC850" s="1"/>
  <c r="AB850"/>
  <c r="AA851"/>
  <c r="AC851" s="1"/>
  <c r="AB851"/>
  <c r="AA852"/>
  <c r="AC852" s="1"/>
  <c r="AB852"/>
  <c r="AA853"/>
  <c r="AC853" s="1"/>
  <c r="AB853"/>
  <c r="AA854"/>
  <c r="AC854" s="1"/>
  <c r="AB854"/>
  <c r="AA855"/>
  <c r="AC855" s="1"/>
  <c r="AB855"/>
  <c r="AA856"/>
  <c r="AC856" s="1"/>
  <c r="AB856"/>
  <c r="AA857"/>
  <c r="AC857" s="1"/>
  <c r="AB857"/>
  <c r="AA858"/>
  <c r="AC858" s="1"/>
  <c r="AB858"/>
  <c r="AA859"/>
  <c r="AC859" s="1"/>
  <c r="AB859"/>
  <c r="AA860"/>
  <c r="AC860" s="1"/>
  <c r="AB860"/>
  <c r="AA861"/>
  <c r="AC861" s="1"/>
  <c r="AB861"/>
  <c r="AA862"/>
  <c r="AC862" s="1"/>
  <c r="AB862"/>
  <c r="AA863"/>
  <c r="AC863" s="1"/>
  <c r="AB863"/>
  <c r="AA775"/>
  <c r="AC775" s="1"/>
  <c r="AB775"/>
  <c r="AA864"/>
  <c r="AC864" s="1"/>
  <c r="AB864"/>
  <c r="Z766"/>
  <c r="C766"/>
  <c r="Z767"/>
  <c r="C767"/>
  <c r="Z769"/>
  <c r="C769"/>
  <c r="Z770"/>
  <c r="C770"/>
  <c r="Z772"/>
  <c r="C772"/>
  <c r="Z773"/>
  <c r="C773"/>
  <c r="X772"/>
  <c r="X773"/>
  <c r="X1071"/>
  <c r="X1096"/>
  <c r="X1097"/>
  <c r="X1098"/>
  <c r="X1099"/>
  <c r="X1100"/>
  <c r="X1101"/>
  <c r="X1102"/>
  <c r="X1103"/>
  <c r="X1104"/>
  <c r="X1105"/>
  <c r="X1106"/>
  <c r="X1107"/>
  <c r="X1108"/>
  <c r="X1109"/>
  <c r="X1110"/>
  <c r="X1111"/>
  <c r="X1112"/>
  <c r="X1113"/>
  <c r="X1114"/>
  <c r="X1115"/>
  <c r="X1116"/>
  <c r="X1117"/>
  <c r="X1118"/>
  <c r="X1119"/>
  <c r="X1120"/>
  <c r="X1121"/>
  <c r="X1122"/>
  <c r="X1123"/>
  <c r="X1124"/>
  <c r="X1125"/>
  <c r="X1126"/>
  <c r="X1127"/>
  <c r="X1128"/>
  <c r="X1129"/>
  <c r="X1130"/>
  <c r="X1131"/>
  <c r="X1132"/>
  <c r="X1133"/>
  <c r="X1134"/>
  <c r="X1135"/>
  <c r="X1136"/>
  <c r="X1137"/>
  <c r="X1138"/>
  <c r="X1139"/>
  <c r="X1140"/>
  <c r="X1141"/>
  <c r="X1142"/>
  <c r="X1143"/>
  <c r="X1144"/>
  <c r="X1145"/>
  <c r="X1146"/>
  <c r="X1147"/>
  <c r="X1148"/>
  <c r="X1149"/>
  <c r="X1150"/>
  <c r="X1151"/>
  <c r="X1152"/>
  <c r="X1153"/>
  <c r="X1154"/>
  <c r="X1155"/>
  <c r="X1156"/>
  <c r="X1157"/>
  <c r="X1158"/>
  <c r="X1159"/>
  <c r="X1160"/>
  <c r="X1161"/>
  <c r="X1162"/>
  <c r="X1163"/>
  <c r="X1164"/>
  <c r="X1165"/>
  <c r="X1166"/>
  <c r="X1167"/>
  <c r="X1168"/>
  <c r="X1169"/>
  <c r="X1170"/>
  <c r="X1171"/>
  <c r="X1172"/>
  <c r="X1173"/>
  <c r="X1174"/>
  <c r="X1175"/>
  <c r="X1176"/>
  <c r="X1177"/>
  <c r="X1178"/>
  <c r="X1179"/>
  <c r="X1180"/>
  <c r="X1181"/>
  <c r="X1182"/>
  <c r="X1183"/>
  <c r="X1184"/>
  <c r="X1185"/>
  <c r="X1186"/>
  <c r="X1187"/>
  <c r="X1188"/>
  <c r="X1189"/>
  <c r="X1190"/>
  <c r="X1191"/>
  <c r="X1192"/>
  <c r="X1193"/>
  <c r="X1194"/>
  <c r="X1195"/>
  <c r="X1196"/>
  <c r="X1197"/>
  <c r="X1198"/>
  <c r="X1199"/>
  <c r="X1200"/>
  <c r="X1201"/>
  <c r="X1202"/>
  <c r="X1203"/>
  <c r="X1204"/>
  <c r="X1205"/>
  <c r="X1206"/>
  <c r="X1207"/>
  <c r="X1208"/>
  <c r="X1209"/>
  <c r="X1210"/>
  <c r="X1211"/>
  <c r="X1212"/>
  <c r="X1213"/>
  <c r="X1214"/>
  <c r="X1215"/>
  <c r="X1216"/>
  <c r="X1217"/>
  <c r="X1218"/>
  <c r="X1219"/>
  <c r="X1220"/>
  <c r="X1221"/>
  <c r="X1222"/>
  <c r="X1223"/>
  <c r="X1224"/>
  <c r="X1225"/>
  <c r="X1226"/>
  <c r="X1227"/>
  <c r="X1228"/>
  <c r="X1229"/>
  <c r="X1230"/>
  <c r="X1231"/>
  <c r="X1232"/>
  <c r="X1233"/>
  <c r="X1234"/>
  <c r="X1235"/>
  <c r="X1236"/>
  <c r="X1237"/>
  <c r="X1238"/>
  <c r="X1239"/>
  <c r="X1240"/>
  <c r="X1241"/>
  <c r="X1242"/>
  <c r="X1243"/>
  <c r="X1244"/>
  <c r="X1245"/>
  <c r="X1246"/>
  <c r="X1247"/>
  <c r="X1248"/>
  <c r="X1249"/>
  <c r="X1250"/>
  <c r="X1251"/>
  <c r="X1252"/>
  <c r="X1253"/>
  <c r="X1254"/>
  <c r="X1255"/>
  <c r="X1256"/>
  <c r="X1257"/>
  <c r="X1258"/>
  <c r="X1259"/>
  <c r="X1260"/>
  <c r="X1261"/>
  <c r="X1262"/>
  <c r="X1263"/>
  <c r="X1264"/>
  <c r="X1265"/>
  <c r="X1266"/>
  <c r="X1267"/>
  <c r="X1372"/>
  <c r="X1373"/>
  <c r="X1374"/>
  <c r="X1375"/>
  <c r="X1376"/>
  <c r="X1377"/>
  <c r="X1378"/>
  <c r="X1379"/>
  <c r="X1380"/>
  <c r="X1381"/>
  <c r="X1384"/>
  <c r="X1385"/>
  <c r="X1386"/>
  <c r="X1387"/>
  <c r="X1388"/>
  <c r="X1389"/>
  <c r="X1390"/>
  <c r="X1391"/>
  <c r="X1394"/>
  <c r="X1403"/>
  <c r="X1404"/>
  <c r="X1405"/>
  <c r="X1406"/>
  <c r="X1407"/>
  <c r="X1408"/>
  <c r="X1409"/>
  <c r="X1410"/>
  <c r="X1411"/>
  <c r="X1412"/>
  <c r="X1413"/>
  <c r="X1414"/>
  <c r="X1415"/>
  <c r="X1416"/>
  <c r="X1417"/>
  <c r="X1418"/>
  <c r="X1419"/>
  <c r="X1420"/>
  <c r="X1421"/>
  <c r="X1422"/>
  <c r="X1423"/>
  <c r="X1424"/>
  <c r="X1425"/>
  <c r="X1426"/>
  <c r="X1427"/>
  <c r="X1428"/>
  <c r="X1429"/>
  <c r="X1430"/>
  <c r="X1431"/>
  <c r="X1432"/>
  <c r="X1433"/>
  <c r="X1434"/>
  <c r="X1435"/>
  <c r="X1436"/>
  <c r="X1437"/>
  <c r="X1438"/>
  <c r="X1439"/>
  <c r="X1440"/>
  <c r="X1441"/>
  <c r="X1442"/>
  <c r="X1443"/>
  <c r="X1444"/>
  <c r="X1445"/>
  <c r="X1446"/>
  <c r="X1447"/>
  <c r="X1448"/>
  <c r="X1449"/>
  <c r="X1450"/>
  <c r="X1451"/>
  <c r="X1452"/>
  <c r="X1453"/>
  <c r="X1454"/>
  <c r="X1455"/>
  <c r="X1456"/>
  <c r="X1457"/>
  <c r="X1458"/>
  <c r="X1459"/>
  <c r="X1460"/>
  <c r="X1461"/>
  <c r="X1462"/>
  <c r="X1463"/>
  <c r="X1464"/>
  <c r="X1465"/>
  <c r="X1466"/>
  <c r="X1467"/>
  <c r="X1468"/>
  <c r="X1469"/>
  <c r="X1470"/>
  <c r="X1471"/>
  <c r="X1472"/>
  <c r="X1473"/>
  <c r="X1474"/>
  <c r="X1475"/>
  <c r="X1476"/>
  <c r="X1477"/>
  <c r="X1478"/>
  <c r="X1479"/>
  <c r="X1480"/>
  <c r="X1481"/>
  <c r="X1482"/>
  <c r="X1483"/>
  <c r="X1484"/>
  <c r="X1485"/>
  <c r="X1486"/>
  <c r="X1487"/>
  <c r="X1488"/>
  <c r="X1489"/>
  <c r="X1490"/>
  <c r="X1491"/>
  <c r="X1492"/>
  <c r="X1493"/>
  <c r="X1494"/>
  <c r="X1495"/>
  <c r="X1496"/>
  <c r="X1497"/>
  <c r="X1498"/>
  <c r="X1499"/>
  <c r="X1500"/>
  <c r="X1501"/>
  <c r="X1502"/>
  <c r="X1503"/>
  <c r="X1504"/>
  <c r="X1505"/>
  <c r="X1506"/>
  <c r="X1507"/>
  <c r="X1508"/>
  <c r="X1509"/>
  <c r="X1510"/>
  <c r="X1511"/>
  <c r="X1512"/>
  <c r="X1513"/>
  <c r="X1514"/>
  <c r="X1515"/>
  <c r="X1516"/>
  <c r="X1517"/>
  <c r="X1518"/>
  <c r="X1519"/>
  <c r="X1520"/>
  <c r="X1521"/>
  <c r="X1522"/>
  <c r="X1523"/>
  <c r="X1524"/>
  <c r="X1525"/>
  <c r="X1526"/>
  <c r="X1527"/>
  <c r="X1528"/>
  <c r="X1529"/>
  <c r="X1530"/>
  <c r="X1531"/>
  <c r="X1532"/>
  <c r="X1533"/>
  <c r="X1534"/>
  <c r="X1535"/>
  <c r="X1536"/>
  <c r="X1537"/>
  <c r="X1538"/>
  <c r="X1539"/>
  <c r="X1540"/>
  <c r="X1541"/>
  <c r="X1542"/>
  <c r="X1543"/>
  <c r="X1544"/>
  <c r="X1545"/>
  <c r="X1546"/>
  <c r="X1547"/>
  <c r="X1548"/>
  <c r="X1549"/>
  <c r="X1550"/>
  <c r="X1551"/>
  <c r="X1552"/>
  <c r="X1553"/>
  <c r="X1554"/>
  <c r="X1555"/>
  <c r="X1556"/>
  <c r="X1557"/>
  <c r="X1558"/>
  <c r="AF3" i="7"/>
  <c r="AF2" s="1"/>
  <c r="AI3"/>
  <c r="AF4"/>
  <c r="AA1227" i="6"/>
  <c r="AC1227" s="1"/>
  <c r="AB1227"/>
  <c r="Z1227"/>
  <c r="W1227"/>
  <c r="C1227"/>
  <c r="AA1226"/>
  <c r="AC1226" s="1"/>
  <c r="AB1226"/>
  <c r="Z1226"/>
  <c r="W1226"/>
  <c r="C1226"/>
  <c r="Q1" i="8"/>
  <c r="K3"/>
  <c r="K2"/>
  <c r="L3"/>
  <c r="L2"/>
  <c r="M3"/>
  <c r="M2"/>
  <c r="N3"/>
  <c r="N2"/>
  <c r="O3"/>
  <c r="O2"/>
  <c r="P3"/>
  <c r="P2"/>
  <c r="Q3"/>
  <c r="Q2"/>
  <c r="R3"/>
  <c r="R2"/>
  <c r="S3"/>
  <c r="S2"/>
  <c r="T3"/>
  <c r="T2"/>
  <c r="U3"/>
  <c r="U2"/>
  <c r="V3"/>
  <c r="V2"/>
  <c r="W3"/>
  <c r="W2"/>
  <c r="AA554" i="6"/>
  <c r="Z554"/>
  <c r="AB554"/>
  <c r="C554"/>
  <c r="AA552"/>
  <c r="Z552"/>
  <c r="AB552"/>
  <c r="C552"/>
  <c r="C1281"/>
  <c r="C1307"/>
  <c r="FY1" i="8"/>
  <c r="GA1"/>
  <c r="GC1"/>
  <c r="FX3"/>
  <c r="FX2"/>
  <c r="FZ3"/>
  <c r="GA3" s="1"/>
  <c r="GA2" s="1"/>
  <c r="GB3"/>
  <c r="GC3"/>
  <c r="GC2" s="1"/>
  <c r="GD3"/>
  <c r="GE3"/>
  <c r="GE2"/>
  <c r="GE1"/>
  <c r="C1306" i="6"/>
  <c r="AH3" i="8"/>
  <c r="AH2"/>
  <c r="AI3"/>
  <c r="AI2"/>
  <c r="Y3" i="7"/>
  <c r="Y2"/>
  <c r="AI4"/>
  <c r="Z3" i="6"/>
  <c r="Z4"/>
  <c r="Z6"/>
  <c r="AB6"/>
  <c r="Z7"/>
  <c r="AB7"/>
  <c r="Z8"/>
  <c r="AB8"/>
  <c r="Z9"/>
  <c r="AB9"/>
  <c r="Z10"/>
  <c r="AB10"/>
  <c r="Z11"/>
  <c r="AB11"/>
  <c r="Z12"/>
  <c r="AB12"/>
  <c r="Z13"/>
  <c r="AB13"/>
  <c r="Z14"/>
  <c r="AB14"/>
  <c r="Z15"/>
  <c r="AB15"/>
  <c r="Z16"/>
  <c r="AB16"/>
  <c r="C14"/>
  <c r="C12"/>
  <c r="C11"/>
  <c r="C10"/>
  <c r="C8"/>
  <c r="C7"/>
  <c r="AA559"/>
  <c r="AC559" s="1"/>
  <c r="AB559"/>
  <c r="Z559"/>
  <c r="X559"/>
  <c r="W559"/>
  <c r="C559"/>
  <c r="Z1" i="8"/>
  <c r="Y3"/>
  <c r="Y2"/>
  <c r="AA558" i="6"/>
  <c r="Z558"/>
  <c r="AB558"/>
  <c r="X558"/>
  <c r="W558"/>
  <c r="C558"/>
  <c r="X531"/>
  <c r="O886"/>
  <c r="X886" s="1"/>
  <c r="O901"/>
  <c r="X901" s="1"/>
  <c r="O894"/>
  <c r="X894" s="1"/>
  <c r="X1605"/>
  <c r="X1604"/>
  <c r="X1603"/>
  <c r="X1602"/>
  <c r="X1601"/>
  <c r="X1600"/>
  <c r="X1599"/>
  <c r="X1598"/>
  <c r="X1597"/>
  <c r="X1596"/>
  <c r="X1595"/>
  <c r="X1594"/>
  <c r="X1593"/>
  <c r="X1592"/>
  <c r="X1591"/>
  <c r="X1590"/>
  <c r="X1589"/>
  <c r="X1588"/>
  <c r="X1587"/>
  <c r="X1586"/>
  <c r="X1585"/>
  <c r="X1584"/>
  <c r="X1583"/>
  <c r="X1582"/>
  <c r="X1580"/>
  <c r="X1579"/>
  <c r="X1577"/>
  <c r="X1575"/>
  <c r="X1574"/>
  <c r="X1573"/>
  <c r="X1572"/>
  <c r="X1571"/>
  <c r="X1570"/>
  <c r="X1569"/>
  <c r="X1568"/>
  <c r="X1567"/>
  <c r="X1566"/>
  <c r="X1565"/>
  <c r="X1564"/>
  <c r="X1563"/>
  <c r="X1562"/>
  <c r="X1561"/>
  <c r="X1560"/>
  <c r="X1559"/>
  <c r="X1070"/>
  <c r="X1069"/>
  <c r="X1068"/>
  <c r="X1067"/>
  <c r="X1066"/>
  <c r="X1065"/>
  <c r="X1064"/>
  <c r="X1063"/>
  <c r="X1059"/>
  <c r="X1058"/>
  <c r="X1057"/>
  <c r="X1056"/>
  <c r="X1055"/>
  <c r="X1054"/>
  <c r="X1053"/>
  <c r="X1052"/>
  <c r="X1051"/>
  <c r="X1050"/>
  <c r="X1040"/>
  <c r="X1039"/>
  <c r="X1038"/>
  <c r="X1037"/>
  <c r="X1036"/>
  <c r="X1035"/>
  <c r="X1034"/>
  <c r="X1033"/>
  <c r="X1032"/>
  <c r="X1031"/>
  <c r="X1030"/>
  <c r="X1029"/>
  <c r="X1028"/>
  <c r="X1027"/>
  <c r="X1026"/>
  <c r="X1025"/>
  <c r="X1024"/>
  <c r="X1023"/>
  <c r="X1022"/>
  <c r="X1021"/>
  <c r="X1020"/>
  <c r="X1019"/>
  <c r="X1018"/>
  <c r="X1017"/>
  <c r="X1016"/>
  <c r="X1015"/>
  <c r="X1014"/>
  <c r="X1013"/>
  <c r="X1012"/>
  <c r="X1011"/>
  <c r="X1010"/>
  <c r="X1009"/>
  <c r="X1008"/>
  <c r="X1007"/>
  <c r="X1005"/>
  <c r="X1004"/>
  <c r="X1003"/>
  <c r="X1002"/>
  <c r="X1001"/>
  <c r="X1000"/>
  <c r="X999"/>
  <c r="X998"/>
  <c r="X997"/>
  <c r="X1392"/>
  <c r="X1393"/>
  <c r="X864"/>
  <c r="X775"/>
  <c r="X863"/>
  <c r="X862"/>
  <c r="X861"/>
  <c r="X860"/>
  <c r="X859"/>
  <c r="X858"/>
  <c r="X857"/>
  <c r="X856"/>
  <c r="X855"/>
  <c r="X854"/>
  <c r="X853"/>
  <c r="X852"/>
  <c r="X851"/>
  <c r="X850"/>
  <c r="X849"/>
  <c r="X848"/>
  <c r="X847"/>
  <c r="X846"/>
  <c r="X845"/>
  <c r="X844"/>
  <c r="X843"/>
  <c r="X842"/>
  <c r="X841"/>
  <c r="X840"/>
  <c r="X839"/>
  <c r="X838"/>
  <c r="X837"/>
  <c r="X836"/>
  <c r="X835"/>
  <c r="X834"/>
  <c r="X833"/>
  <c r="X832"/>
  <c r="X831"/>
  <c r="X830"/>
  <c r="X829"/>
  <c r="X828"/>
  <c r="X827"/>
  <c r="X826"/>
  <c r="X825"/>
  <c r="X824"/>
  <c r="X823"/>
  <c r="X822"/>
  <c r="X821"/>
  <c r="X820"/>
  <c r="X819"/>
  <c r="X818"/>
  <c r="X1382"/>
  <c r="X817"/>
  <c r="X816"/>
  <c r="X815"/>
  <c r="X814"/>
  <c r="X794"/>
  <c r="X813"/>
  <c r="X812"/>
  <c r="X811"/>
  <c r="X810"/>
  <c r="X809"/>
  <c r="X808"/>
  <c r="X807"/>
  <c r="X806"/>
  <c r="X805"/>
  <c r="X804"/>
  <c r="X803"/>
  <c r="X802"/>
  <c r="X801"/>
  <c r="X800"/>
  <c r="X799"/>
  <c r="X798"/>
  <c r="X797"/>
  <c r="X796"/>
  <c r="X795"/>
  <c r="X792"/>
  <c r="X791"/>
  <c r="X789"/>
  <c r="X788"/>
  <c r="X787"/>
  <c r="X786"/>
  <c r="X785"/>
  <c r="X784"/>
  <c r="X783"/>
  <c r="X782"/>
  <c r="X781"/>
  <c r="X780"/>
  <c r="X779"/>
  <c r="X778"/>
  <c r="X777"/>
  <c r="X776"/>
  <c r="X774"/>
  <c r="X770"/>
  <c r="X765"/>
  <c r="X764"/>
  <c r="X763"/>
  <c r="X762"/>
  <c r="X761"/>
  <c r="X760"/>
  <c r="X759"/>
  <c r="X758"/>
  <c r="X757"/>
  <c r="X746"/>
  <c r="X745"/>
  <c r="X744"/>
  <c r="X743"/>
  <c r="X742"/>
  <c r="X741"/>
  <c r="X740"/>
  <c r="X739"/>
  <c r="X738"/>
  <c r="X737"/>
  <c r="X736"/>
  <c r="X735"/>
  <c r="X734"/>
  <c r="X733"/>
  <c r="X732"/>
  <c r="X731"/>
  <c r="X730"/>
  <c r="X729"/>
  <c r="X728"/>
  <c r="X727"/>
  <c r="X726"/>
  <c r="X725"/>
  <c r="X724"/>
  <c r="X723"/>
  <c r="X722"/>
  <c r="X721"/>
  <c r="X720"/>
  <c r="X719"/>
  <c r="X718"/>
  <c r="X717"/>
  <c r="X716"/>
  <c r="X715"/>
  <c r="X714"/>
  <c r="X713"/>
  <c r="X712"/>
  <c r="X711"/>
  <c r="X710"/>
  <c r="X709"/>
  <c r="X708"/>
  <c r="X707"/>
  <c r="X706"/>
  <c r="X701"/>
  <c r="X700"/>
  <c r="X699"/>
  <c r="X698"/>
  <c r="X697"/>
  <c r="X696"/>
  <c r="X695"/>
  <c r="X694"/>
  <c r="X693"/>
  <c r="X1383"/>
  <c r="X692"/>
  <c r="X691"/>
  <c r="X690"/>
  <c r="X705"/>
  <c r="X704"/>
  <c r="X703"/>
  <c r="X689"/>
  <c r="X688"/>
  <c r="X687"/>
  <c r="X686"/>
  <c r="X685"/>
  <c r="X684"/>
  <c r="X683"/>
  <c r="X682"/>
  <c r="X681"/>
  <c r="X680"/>
  <c r="X679"/>
  <c r="X678"/>
  <c r="X677"/>
  <c r="X676"/>
  <c r="X675"/>
  <c r="X674"/>
  <c r="X673"/>
  <c r="X672"/>
  <c r="X671"/>
  <c r="X670"/>
  <c r="X669"/>
  <c r="X668"/>
  <c r="X667"/>
  <c r="X666"/>
  <c r="X665"/>
  <c r="X664"/>
  <c r="X663"/>
  <c r="X662"/>
  <c r="X661"/>
  <c r="X660"/>
  <c r="X659"/>
  <c r="X658"/>
  <c r="X657"/>
  <c r="X656"/>
  <c r="X655"/>
  <c r="X654"/>
  <c r="X653"/>
  <c r="X702"/>
  <c r="X652"/>
  <c r="X651"/>
  <c r="X650"/>
  <c r="X649"/>
  <c r="X648"/>
  <c r="X647"/>
  <c r="X646"/>
  <c r="X645"/>
  <c r="X644"/>
  <c r="X643"/>
  <c r="X642"/>
  <c r="X641"/>
  <c r="X640"/>
  <c r="X639"/>
  <c r="X638"/>
  <c r="X637"/>
  <c r="X636"/>
  <c r="X635"/>
  <c r="X634"/>
  <c r="X633"/>
  <c r="X632"/>
  <c r="X631"/>
  <c r="X630"/>
  <c r="X629"/>
  <c r="X628"/>
  <c r="X627"/>
  <c r="X626"/>
  <c r="X625"/>
  <c r="X624"/>
  <c r="X623"/>
  <c r="X622"/>
  <c r="X621"/>
  <c r="X620"/>
  <c r="X619"/>
  <c r="X618"/>
  <c r="X617"/>
  <c r="X616"/>
  <c r="X615"/>
  <c r="X614"/>
  <c r="X613"/>
  <c r="X612"/>
  <c r="X611"/>
  <c r="X610"/>
  <c r="X609"/>
  <c r="X608"/>
  <c r="X607"/>
  <c r="X606"/>
  <c r="X605"/>
  <c r="X604"/>
  <c r="X603"/>
  <c r="X602"/>
  <c r="X601"/>
  <c r="X600"/>
  <c r="X599"/>
  <c r="X598"/>
  <c r="X597"/>
  <c r="X596"/>
  <c r="X595"/>
  <c r="X594"/>
  <c r="X593"/>
  <c r="X592"/>
  <c r="X591"/>
  <c r="X590"/>
  <c r="X589"/>
  <c r="X588"/>
  <c r="X587"/>
  <c r="X586"/>
  <c r="X585"/>
  <c r="X584"/>
  <c r="X583"/>
  <c r="X582"/>
  <c r="X581"/>
  <c r="X580"/>
  <c r="X579"/>
  <c r="X578"/>
  <c r="X577"/>
  <c r="X576"/>
  <c r="X575"/>
  <c r="X574"/>
  <c r="X573"/>
  <c r="X572"/>
  <c r="X571"/>
  <c r="X570"/>
  <c r="X569"/>
  <c r="X568"/>
  <c r="X567"/>
  <c r="X566"/>
  <c r="X565"/>
  <c r="X564"/>
  <c r="X563"/>
  <c r="X562"/>
  <c r="X561"/>
  <c r="X560"/>
  <c r="X557"/>
  <c r="X556"/>
  <c r="X551"/>
  <c r="X550"/>
  <c r="X549"/>
  <c r="X548"/>
  <c r="X547"/>
  <c r="X546"/>
  <c r="X545"/>
  <c r="X544"/>
  <c r="X543"/>
  <c r="X542"/>
  <c r="X541"/>
  <c r="X540"/>
  <c r="X539"/>
  <c r="X538"/>
  <c r="X537"/>
  <c r="X536"/>
  <c r="X535"/>
  <c r="X534"/>
  <c r="X533"/>
  <c r="X532"/>
  <c r="X530"/>
  <c r="X529"/>
  <c r="X528"/>
  <c r="X527"/>
  <c r="X526"/>
  <c r="X525"/>
  <c r="X524"/>
  <c r="X523"/>
  <c r="X521"/>
  <c r="X519"/>
  <c r="X518"/>
  <c r="X517"/>
  <c r="X516"/>
  <c r="X515"/>
  <c r="X514"/>
  <c r="X513"/>
  <c r="X512"/>
  <c r="X511"/>
  <c r="X510"/>
  <c r="X509"/>
  <c r="X508"/>
  <c r="X507"/>
  <c r="X506"/>
  <c r="X505"/>
  <c r="X504"/>
  <c r="X501"/>
  <c r="X500"/>
  <c r="X499"/>
  <c r="X498"/>
  <c r="X486"/>
  <c r="X485"/>
  <c r="X484"/>
  <c r="X483"/>
  <c r="X482"/>
  <c r="X481"/>
  <c r="X480"/>
  <c r="X479"/>
  <c r="X477"/>
  <c r="X474"/>
  <c r="X473"/>
  <c r="X472"/>
  <c r="X471"/>
  <c r="X470"/>
  <c r="X469"/>
  <c r="X468"/>
  <c r="X467"/>
  <c r="X466"/>
  <c r="X465"/>
  <c r="X464"/>
  <c r="X463"/>
  <c r="X462"/>
  <c r="X461"/>
  <c r="X460"/>
  <c r="X459"/>
  <c r="X458"/>
  <c r="X457"/>
  <c r="X456"/>
  <c r="X455"/>
  <c r="X453"/>
  <c r="X451"/>
  <c r="X450"/>
  <c r="X449"/>
  <c r="X448"/>
  <c r="X447"/>
  <c r="X446"/>
  <c r="X445"/>
  <c r="X444"/>
  <c r="X443"/>
  <c r="X442"/>
  <c r="X441"/>
  <c r="X440"/>
  <c r="X439"/>
  <c r="X438"/>
  <c r="X437"/>
  <c r="X436"/>
  <c r="X435"/>
  <c r="X434"/>
  <c r="X433"/>
  <c r="X432"/>
  <c r="X431"/>
  <c r="X430"/>
  <c r="X429"/>
  <c r="X428"/>
  <c r="X427"/>
  <c r="X426"/>
  <c r="X425"/>
  <c r="X424"/>
  <c r="X423"/>
  <c r="X422"/>
  <c r="X421"/>
  <c r="X420"/>
  <c r="X419"/>
  <c r="X418"/>
  <c r="X417"/>
  <c r="X416"/>
  <c r="X415"/>
  <c r="X414"/>
  <c r="X413"/>
  <c r="X412"/>
  <c r="X411"/>
  <c r="X410"/>
  <c r="X409"/>
  <c r="X408"/>
  <c r="X407"/>
  <c r="X406"/>
  <c r="X405"/>
  <c r="X404"/>
  <c r="X403"/>
  <c r="X402"/>
  <c r="X401"/>
  <c r="X400"/>
  <c r="X399"/>
  <c r="X398"/>
  <c r="X397"/>
  <c r="X396"/>
  <c r="X395"/>
  <c r="X394"/>
  <c r="X393"/>
  <c r="X392"/>
  <c r="X391"/>
  <c r="X390"/>
  <c r="X389"/>
  <c r="X388"/>
  <c r="X387"/>
  <c r="X386"/>
  <c r="X385"/>
  <c r="X384"/>
  <c r="X383"/>
  <c r="X382"/>
  <c r="X381"/>
  <c r="X380"/>
  <c r="X379"/>
  <c r="X378"/>
  <c r="X377"/>
  <c r="X376"/>
  <c r="X375"/>
  <c r="X374"/>
  <c r="X373"/>
  <c r="X372"/>
  <c r="X371"/>
  <c r="X370"/>
  <c r="X369"/>
  <c r="X368"/>
  <c r="X367"/>
  <c r="X366"/>
  <c r="X365"/>
  <c r="X364"/>
  <c r="X363"/>
  <c r="X362"/>
  <c r="X361"/>
  <c r="X360"/>
  <c r="X359"/>
  <c r="X358"/>
  <c r="X357"/>
  <c r="X356"/>
  <c r="X355"/>
  <c r="X354"/>
  <c r="X353"/>
  <c r="X352"/>
  <c r="X351"/>
  <c r="X350"/>
  <c r="X349"/>
  <c r="X348"/>
  <c r="X347"/>
  <c r="X346"/>
  <c r="X345"/>
  <c r="X344"/>
  <c r="X343"/>
  <c r="X342"/>
  <c r="X341"/>
  <c r="X340"/>
  <c r="X339"/>
  <c r="X338"/>
  <c r="X337"/>
  <c r="X336"/>
  <c r="X335"/>
  <c r="X334"/>
  <c r="X333"/>
  <c r="X332"/>
  <c r="X331"/>
  <c r="X330"/>
  <c r="X329"/>
  <c r="X328"/>
  <c r="X327"/>
  <c r="X326"/>
  <c r="X325"/>
  <c r="X324"/>
  <c r="X323"/>
  <c r="X322"/>
  <c r="X321"/>
  <c r="X320"/>
  <c r="X319"/>
  <c r="X318"/>
  <c r="X317"/>
  <c r="X316"/>
  <c r="X315"/>
  <c r="X314"/>
  <c r="X313"/>
  <c r="X312"/>
  <c r="X311"/>
  <c r="X310"/>
  <c r="X309"/>
  <c r="X308"/>
  <c r="X307"/>
  <c r="X306"/>
  <c r="X305"/>
  <c r="X304"/>
  <c r="X303"/>
  <c r="X302"/>
  <c r="X301"/>
  <c r="X300"/>
  <c r="X299"/>
  <c r="X298"/>
  <c r="X297"/>
  <c r="X296"/>
  <c r="X295"/>
  <c r="X294"/>
  <c r="X293"/>
  <c r="X292"/>
  <c r="X291"/>
  <c r="X290"/>
  <c r="X289"/>
  <c r="X288"/>
  <c r="X287"/>
  <c r="X286"/>
  <c r="X285"/>
  <c r="X284"/>
  <c r="X283"/>
  <c r="X282"/>
  <c r="X281"/>
  <c r="X280"/>
  <c r="X279"/>
  <c r="X278"/>
  <c r="X277"/>
  <c r="X276"/>
  <c r="X275"/>
  <c r="X274"/>
  <c r="X273"/>
  <c r="X272"/>
  <c r="X271"/>
  <c r="X270"/>
  <c r="X269"/>
  <c r="X268"/>
  <c r="X267"/>
  <c r="X266"/>
  <c r="X265"/>
  <c r="X264"/>
  <c r="X263"/>
  <c r="X262"/>
  <c r="X261"/>
  <c r="X260"/>
  <c r="X259"/>
  <c r="X258"/>
  <c r="X257"/>
  <c r="X256"/>
  <c r="X255"/>
  <c r="X254"/>
  <c r="X253"/>
  <c r="X252"/>
  <c r="X251"/>
  <c r="X250"/>
  <c r="X249"/>
  <c r="X248"/>
  <c r="X247"/>
  <c r="X246"/>
  <c r="X245"/>
  <c r="X244"/>
  <c r="X243"/>
  <c r="X242"/>
  <c r="X241"/>
  <c r="X240"/>
  <c r="X239"/>
  <c r="X238"/>
  <c r="X237"/>
  <c r="X236"/>
  <c r="X235"/>
  <c r="X234"/>
  <c r="X233"/>
  <c r="X232"/>
  <c r="X231"/>
  <c r="X230"/>
  <c r="X229"/>
  <c r="X228"/>
  <c r="X227"/>
  <c r="X226"/>
  <c r="X225"/>
  <c r="X224"/>
  <c r="X223"/>
  <c r="X222"/>
  <c r="X221"/>
  <c r="X220"/>
  <c r="X219"/>
  <c r="X218"/>
  <c r="X217"/>
  <c r="X216"/>
  <c r="X215"/>
  <c r="X214"/>
  <c r="X213"/>
  <c r="X212"/>
  <c r="X211"/>
  <c r="X210"/>
  <c r="X209"/>
  <c r="X208"/>
  <c r="X207"/>
  <c r="X206"/>
  <c r="X205"/>
  <c r="X204"/>
  <c r="X203"/>
  <c r="X202"/>
  <c r="X201"/>
  <c r="X200"/>
  <c r="X199"/>
  <c r="X198"/>
  <c r="X197"/>
  <c r="X196"/>
  <c r="X195"/>
  <c r="X194"/>
  <c r="X193"/>
  <c r="X192"/>
  <c r="X191"/>
  <c r="X190"/>
  <c r="X189"/>
  <c r="X188"/>
  <c r="X187"/>
  <c r="X186"/>
  <c r="X185"/>
  <c r="X184"/>
  <c r="X183"/>
  <c r="X182"/>
  <c r="X181"/>
  <c r="X180"/>
  <c r="X179"/>
  <c r="X178"/>
  <c r="X177"/>
  <c r="X176"/>
  <c r="X175"/>
  <c r="X174"/>
  <c r="X173"/>
  <c r="X172"/>
  <c r="X171"/>
  <c r="X170"/>
  <c r="X169"/>
  <c r="X168"/>
  <c r="X167"/>
  <c r="X166"/>
  <c r="X165"/>
  <c r="X164"/>
  <c r="X163"/>
  <c r="X162"/>
  <c r="X161"/>
  <c r="X160"/>
  <c r="X159"/>
  <c r="X158"/>
  <c r="X157"/>
  <c r="X156"/>
  <c r="X155"/>
  <c r="X154"/>
  <c r="X153"/>
  <c r="X152"/>
  <c r="X151"/>
  <c r="X150"/>
  <c r="X149"/>
  <c r="X148"/>
  <c r="X147"/>
  <c r="X146"/>
  <c r="X145"/>
  <c r="X144"/>
  <c r="X143"/>
  <c r="X142"/>
  <c r="X141"/>
  <c r="X140"/>
  <c r="X139"/>
  <c r="X138"/>
  <c r="X137"/>
  <c r="X136"/>
  <c r="X135"/>
  <c r="X134"/>
  <c r="X133"/>
  <c r="X132"/>
  <c r="X131"/>
  <c r="X130"/>
  <c r="X129"/>
  <c r="X128"/>
  <c r="X127"/>
  <c r="X126"/>
  <c r="X125"/>
  <c r="X124"/>
  <c r="X123"/>
  <c r="X122"/>
  <c r="X121"/>
  <c r="X120"/>
  <c r="X119"/>
  <c r="X118"/>
  <c r="X117"/>
  <c r="X116"/>
  <c r="X115"/>
  <c r="X114"/>
  <c r="X113"/>
  <c r="X112"/>
  <c r="X111"/>
  <c r="X110"/>
  <c r="X109"/>
  <c r="X108"/>
  <c r="X107"/>
  <c r="X106"/>
  <c r="X105"/>
  <c r="X104"/>
  <c r="X103"/>
  <c r="X102"/>
  <c r="X101"/>
  <c r="X100"/>
  <c r="X99"/>
  <c r="X98"/>
  <c r="X97"/>
  <c r="X96"/>
  <c r="X95"/>
  <c r="X94"/>
  <c r="X93"/>
  <c r="X92"/>
  <c r="X91"/>
  <c r="X90"/>
  <c r="X89"/>
  <c r="X88"/>
  <c r="X87"/>
  <c r="X86"/>
  <c r="X85"/>
  <c r="X84"/>
  <c r="X83"/>
  <c r="X82"/>
  <c r="X81"/>
  <c r="X80"/>
  <c r="X79"/>
  <c r="X78"/>
  <c r="X77"/>
  <c r="X76"/>
  <c r="X75"/>
  <c r="X74"/>
  <c r="X73"/>
  <c r="X72"/>
  <c r="X71"/>
  <c r="X70"/>
  <c r="X69"/>
  <c r="X68"/>
  <c r="X67"/>
  <c r="X66"/>
  <c r="X65"/>
  <c r="X64"/>
  <c r="X63"/>
  <c r="X62"/>
  <c r="X61"/>
  <c r="X60"/>
  <c r="X59"/>
  <c r="X58"/>
  <c r="X57"/>
  <c r="X56"/>
  <c r="X55"/>
  <c r="X48"/>
  <c r="X47"/>
  <c r="X46"/>
  <c r="X45"/>
  <c r="X44"/>
  <c r="X1581"/>
  <c r="X43"/>
  <c r="X42"/>
  <c r="X41"/>
  <c r="X40"/>
  <c r="X39"/>
  <c r="X38"/>
  <c r="X37"/>
  <c r="X36"/>
  <c r="X35"/>
  <c r="X34"/>
  <c r="X33"/>
  <c r="X32"/>
  <c r="X31"/>
  <c r="X30"/>
  <c r="X29"/>
  <c r="X28"/>
  <c r="X27"/>
  <c r="X25"/>
  <c r="X24"/>
  <c r="X23"/>
  <c r="X22"/>
  <c r="X54"/>
  <c r="X21"/>
  <c r="X20"/>
  <c r="X19"/>
  <c r="X18"/>
  <c r="X17"/>
  <c r="X15"/>
  <c r="X16"/>
  <c r="C1011"/>
  <c r="W1040"/>
  <c r="W1039"/>
  <c r="W1038"/>
  <c r="W1037"/>
  <c r="W1036"/>
  <c r="W1035"/>
  <c r="W1034"/>
  <c r="W1033"/>
  <c r="W1032"/>
  <c r="W1031"/>
  <c r="W1030"/>
  <c r="W1027"/>
  <c r="W1026"/>
  <c r="C1026"/>
  <c r="W1025"/>
  <c r="C1025"/>
  <c r="W1024"/>
  <c r="C1024"/>
  <c r="W1023"/>
  <c r="C1023"/>
  <c r="W1022"/>
  <c r="C1022"/>
  <c r="W1021"/>
  <c r="C1021"/>
  <c r="W1020"/>
  <c r="C1020"/>
  <c r="W1019"/>
  <c r="C1019"/>
  <c r="W1018"/>
  <c r="C1018"/>
  <c r="W1017"/>
  <c r="C1017"/>
  <c r="W1016"/>
  <c r="C1016"/>
  <c r="W1015"/>
  <c r="C1015"/>
  <c r="W1014"/>
  <c r="C1014"/>
  <c r="W1013"/>
  <c r="C1013"/>
  <c r="W1012"/>
  <c r="C1012"/>
  <c r="W1010"/>
  <c r="C1010"/>
  <c r="C1009"/>
  <c r="W1008"/>
  <c r="C1008"/>
  <c r="W1007"/>
  <c r="C1007"/>
  <c r="Z950"/>
  <c r="AA950"/>
  <c r="AC950" s="1"/>
  <c r="AB950"/>
  <c r="Z954"/>
  <c r="AA954"/>
  <c r="AC954" s="1"/>
  <c r="AB954"/>
  <c r="Z955"/>
  <c r="AA955"/>
  <c r="B955" s="1"/>
  <c r="AC955" s="1"/>
  <c r="AB955"/>
  <c r="Z956"/>
  <c r="AA956"/>
  <c r="AC956" s="1"/>
  <c r="AB956"/>
  <c r="Z957"/>
  <c r="AA957"/>
  <c r="AC957" s="1"/>
  <c r="AB957"/>
  <c r="Z958"/>
  <c r="AA958"/>
  <c r="AB958"/>
  <c r="Z959"/>
  <c r="AA959"/>
  <c r="AC959" s="1"/>
  <c r="AB959"/>
  <c r="AA1376"/>
  <c r="Z1376"/>
  <c r="C1376"/>
  <c r="W1376"/>
  <c r="AB1376"/>
  <c r="AA1377"/>
  <c r="AC1377" s="1"/>
  <c r="Z1377"/>
  <c r="C1377"/>
  <c r="W1377"/>
  <c r="AB1377"/>
  <c r="J3" i="8"/>
  <c r="J2" s="1"/>
  <c r="AA714" i="6"/>
  <c r="AC714" s="1"/>
  <c r="Z714"/>
  <c r="C714"/>
  <c r="W714"/>
  <c r="AB714"/>
  <c r="X1" i="8"/>
  <c r="AA531" i="6"/>
  <c r="B531" s="1"/>
  <c r="Z531"/>
  <c r="C531"/>
  <c r="AB531"/>
  <c r="AA677"/>
  <c r="AC677" s="1"/>
  <c r="Z677"/>
  <c r="C677"/>
  <c r="W677"/>
  <c r="AB677"/>
  <c r="AA678"/>
  <c r="AC678" s="1"/>
  <c r="Z678"/>
  <c r="C678"/>
  <c r="W678"/>
  <c r="AB678"/>
  <c r="AA722"/>
  <c r="Z722"/>
  <c r="C722"/>
  <c r="W722"/>
  <c r="AB722"/>
  <c r="AA571"/>
  <c r="AC571" s="1"/>
  <c r="Z571"/>
  <c r="C571"/>
  <c r="W571"/>
  <c r="AB571"/>
  <c r="AA557"/>
  <c r="B557" s="1"/>
  <c r="AB557"/>
  <c r="Z557"/>
  <c r="W557"/>
  <c r="C557"/>
  <c r="AA556"/>
  <c r="B556" s="1"/>
  <c r="AB556"/>
  <c r="Z556"/>
  <c r="W556"/>
  <c r="C556"/>
  <c r="R1" i="8"/>
  <c r="FL1"/>
  <c r="FM1"/>
  <c r="FO1"/>
  <c r="FK3"/>
  <c r="FL3"/>
  <c r="FN3"/>
  <c r="FN2" s="1"/>
  <c r="FV3"/>
  <c r="FW3" s="1"/>
  <c r="FW2" s="1"/>
  <c r="FT3"/>
  <c r="FU3" s="1"/>
  <c r="FU2" s="1"/>
  <c r="FQ3"/>
  <c r="FR3" s="1"/>
  <c r="FW1"/>
  <c r="FU1"/>
  <c r="FS1"/>
  <c r="FR1"/>
  <c r="FP1"/>
  <c r="AA651" i="6"/>
  <c r="AC651" s="1"/>
  <c r="O651"/>
  <c r="Z651" s="1"/>
  <c r="C651"/>
  <c r="AA686"/>
  <c r="AC686" s="1"/>
  <c r="AB686"/>
  <c r="Z686"/>
  <c r="W686"/>
  <c r="C686"/>
  <c r="C676"/>
  <c r="AA676"/>
  <c r="AC676" s="1"/>
  <c r="Z676"/>
  <c r="C675"/>
  <c r="AA675"/>
  <c r="AC675" s="1"/>
  <c r="Z675"/>
  <c r="C674"/>
  <c r="AA674"/>
  <c r="AC674" s="1"/>
  <c r="Z674"/>
  <c r="C673"/>
  <c r="AA673"/>
  <c r="AC673" s="1"/>
  <c r="Z673"/>
  <c r="AA672"/>
  <c r="AC672" s="1"/>
  <c r="Z672"/>
  <c r="C672"/>
  <c r="W672"/>
  <c r="AB672"/>
  <c r="AA667"/>
  <c r="AC667" s="1"/>
  <c r="Z667"/>
  <c r="C667"/>
  <c r="W667"/>
  <c r="AB667"/>
  <c r="AA668"/>
  <c r="AC668" s="1"/>
  <c r="Z668"/>
  <c r="C668"/>
  <c r="W668"/>
  <c r="AB668"/>
  <c r="AA669"/>
  <c r="AC669" s="1"/>
  <c r="Z669"/>
  <c r="C669"/>
  <c r="W669"/>
  <c r="AB669"/>
  <c r="AA670"/>
  <c r="Z670"/>
  <c r="C670"/>
  <c r="W670"/>
  <c r="AB670"/>
  <c r="AA671"/>
  <c r="AC671" s="1"/>
  <c r="Z671"/>
  <c r="C671"/>
  <c r="W671"/>
  <c r="AB671"/>
  <c r="AA700"/>
  <c r="AC700" s="1"/>
  <c r="Z700"/>
  <c r="C700"/>
  <c r="AB700"/>
  <c r="AA701"/>
  <c r="AC701" s="1"/>
  <c r="Z701"/>
  <c r="C701"/>
  <c r="AB701"/>
  <c r="Z817"/>
  <c r="C817"/>
  <c r="C816"/>
  <c r="Z816"/>
  <c r="B816" s="1"/>
  <c r="C815"/>
  <c r="Z815"/>
  <c r="C814"/>
  <c r="Z814"/>
  <c r="C794"/>
  <c r="Z794"/>
  <c r="C688"/>
  <c r="AA688"/>
  <c r="AC688" s="1"/>
  <c r="Z688"/>
  <c r="AB688"/>
  <c r="C1280"/>
  <c r="C1293"/>
  <c r="C1292"/>
  <c r="C1291"/>
  <c r="C1274"/>
  <c r="C1273"/>
  <c r="Z847"/>
  <c r="C847"/>
  <c r="C1272"/>
  <c r="Z863"/>
  <c r="C863"/>
  <c r="Z862"/>
  <c r="C862"/>
  <c r="Z861"/>
  <c r="C861"/>
  <c r="Z845"/>
  <c r="C845"/>
  <c r="Z844"/>
  <c r="C844"/>
  <c r="C781"/>
  <c r="Z781"/>
  <c r="C780"/>
  <c r="Z780"/>
  <c r="AO3" i="7"/>
  <c r="AP3"/>
  <c r="AP2"/>
  <c r="AQ3"/>
  <c r="AR3"/>
  <c r="AR2" s="1"/>
  <c r="AS3"/>
  <c r="AT3" s="1"/>
  <c r="AT2" s="1"/>
  <c r="AU3"/>
  <c r="AV3"/>
  <c r="AV2" s="1"/>
  <c r="AW3"/>
  <c r="AW2" s="1"/>
  <c r="AX3"/>
  <c r="AX2" s="1"/>
  <c r="AO4"/>
  <c r="AP4"/>
  <c r="AQ4"/>
  <c r="AR4"/>
  <c r="AS4"/>
  <c r="AT4"/>
  <c r="AU4"/>
  <c r="AV4"/>
  <c r="AW4"/>
  <c r="AX4"/>
  <c r="Z765" i="6"/>
  <c r="C765"/>
  <c r="Z764"/>
  <c r="C764"/>
  <c r="Z763"/>
  <c r="B763" s="1"/>
  <c r="C763"/>
  <c r="Z762"/>
  <c r="C762"/>
  <c r="Z761"/>
  <c r="C761"/>
  <c r="Z760"/>
  <c r="C760"/>
  <c r="Z783"/>
  <c r="C783"/>
  <c r="AM3" i="7"/>
  <c r="AM2"/>
  <c r="AM4"/>
  <c r="AN4"/>
  <c r="C786" i="6"/>
  <c r="Z786"/>
  <c r="B786" s="1"/>
  <c r="Z813"/>
  <c r="B813" s="1"/>
  <c r="W813"/>
  <c r="C813"/>
  <c r="B504"/>
  <c r="B519"/>
  <c r="AA525"/>
  <c r="AB525"/>
  <c r="AA526"/>
  <c r="AC526" s="1"/>
  <c r="AB526"/>
  <c r="AA527"/>
  <c r="AC527" s="1"/>
  <c r="AB527"/>
  <c r="AA528"/>
  <c r="AC528" s="1"/>
  <c r="AB528"/>
  <c r="AA529"/>
  <c r="AC529" s="1"/>
  <c r="AB529"/>
  <c r="AA530"/>
  <c r="AC530" s="1"/>
  <c r="AB530"/>
  <c r="AA532"/>
  <c r="AC532" s="1"/>
  <c r="AB532"/>
  <c r="AA533"/>
  <c r="AC533" s="1"/>
  <c r="AB533"/>
  <c r="AA534"/>
  <c r="AC534" s="1"/>
  <c r="AB534"/>
  <c r="AA535"/>
  <c r="AC535" s="1"/>
  <c r="AB535"/>
  <c r="AA536"/>
  <c r="AC536" s="1"/>
  <c r="AB536"/>
  <c r="AA537"/>
  <c r="AC537" s="1"/>
  <c r="AB537"/>
  <c r="AA538"/>
  <c r="AC538" s="1"/>
  <c r="AB538"/>
  <c r="AA539"/>
  <c r="AC539" s="1"/>
  <c r="AB539"/>
  <c r="AA540"/>
  <c r="B540" s="1"/>
  <c r="AC540" s="1"/>
  <c r="AB540"/>
  <c r="AA541"/>
  <c r="B541" s="1"/>
  <c r="AB541"/>
  <c r="AA542"/>
  <c r="AC542" s="1"/>
  <c r="AB542"/>
  <c r="AA543"/>
  <c r="B543" s="1"/>
  <c r="AC543" s="1"/>
  <c r="AB543"/>
  <c r="AA544"/>
  <c r="B544" s="1"/>
  <c r="AB544"/>
  <c r="AA545"/>
  <c r="AC545" s="1"/>
  <c r="AB545"/>
  <c r="AA546"/>
  <c r="B546" s="1"/>
  <c r="AC546" s="1"/>
  <c r="AB546"/>
  <c r="AA547"/>
  <c r="B547" s="1"/>
  <c r="AB547"/>
  <c r="AA548"/>
  <c r="B548" s="1"/>
  <c r="AC548" s="1"/>
  <c r="AB548"/>
  <c r="AA549"/>
  <c r="B549" s="1"/>
  <c r="AB549"/>
  <c r="AA550"/>
  <c r="B550" s="1"/>
  <c r="AB550"/>
  <c r="AA551"/>
  <c r="B551" s="1"/>
  <c r="AB551"/>
  <c r="AA560"/>
  <c r="AC560" s="1"/>
  <c r="AB560"/>
  <c r="AA561"/>
  <c r="AC561" s="1"/>
  <c r="AB561"/>
  <c r="AA562"/>
  <c r="AC562" s="1"/>
  <c r="AB562"/>
  <c r="AA563"/>
  <c r="AC563" s="1"/>
  <c r="AB563"/>
  <c r="AA564"/>
  <c r="B564" s="1"/>
  <c r="AB564"/>
  <c r="AA565"/>
  <c r="AC565" s="1"/>
  <c r="AB565"/>
  <c r="AA566"/>
  <c r="AC566" s="1"/>
  <c r="AB566"/>
  <c r="AA567"/>
  <c r="AC567" s="1"/>
  <c r="AB567"/>
  <c r="AA568"/>
  <c r="AC568" s="1"/>
  <c r="AB568"/>
  <c r="AA569"/>
  <c r="AC569" s="1"/>
  <c r="AB569"/>
  <c r="AA570"/>
  <c r="AB570"/>
  <c r="AA572"/>
  <c r="AC572" s="1"/>
  <c r="AB572"/>
  <c r="AA573"/>
  <c r="AC573" s="1"/>
  <c r="AB573"/>
  <c r="AA574"/>
  <c r="AC574" s="1"/>
  <c r="AB574"/>
  <c r="AA575"/>
  <c r="AC575" s="1"/>
  <c r="AB575"/>
  <c r="AA576"/>
  <c r="AC576" s="1"/>
  <c r="AB576"/>
  <c r="AA577"/>
  <c r="AC577" s="1"/>
  <c r="AB577"/>
  <c r="AA578"/>
  <c r="AC578" s="1"/>
  <c r="AB578"/>
  <c r="AA579"/>
  <c r="AC579" s="1"/>
  <c r="AB579"/>
  <c r="AA580"/>
  <c r="AC580" s="1"/>
  <c r="AB580"/>
  <c r="AA581"/>
  <c r="AC581" s="1"/>
  <c r="AB581"/>
  <c r="AA582"/>
  <c r="AC582" s="1"/>
  <c r="AB582"/>
  <c r="AA583"/>
  <c r="AB583"/>
  <c r="AA584"/>
  <c r="AC584" s="1"/>
  <c r="AB584"/>
  <c r="AA585"/>
  <c r="AC585" s="1"/>
  <c r="AB585"/>
  <c r="AA586"/>
  <c r="AC586" s="1"/>
  <c r="AB586"/>
  <c r="AA587"/>
  <c r="AC587" s="1"/>
  <c r="AB587"/>
  <c r="AA588"/>
  <c r="B588" s="1"/>
  <c r="AC588" s="1"/>
  <c r="AB588"/>
  <c r="AA589"/>
  <c r="AC589" s="1"/>
  <c r="AB589"/>
  <c r="AA590"/>
  <c r="AC590" s="1"/>
  <c r="AB590"/>
  <c r="AA591"/>
  <c r="AC591" s="1"/>
  <c r="AB591"/>
  <c r="AA592"/>
  <c r="AC592" s="1"/>
  <c r="AB592"/>
  <c r="AA593"/>
  <c r="AB593"/>
  <c r="AA594"/>
  <c r="AC594" s="1"/>
  <c r="AB594"/>
  <c r="AA595"/>
  <c r="AC595" s="1"/>
  <c r="AB595"/>
  <c r="AA596"/>
  <c r="AC596" s="1"/>
  <c r="AB596"/>
  <c r="AA597"/>
  <c r="AC597" s="1"/>
  <c r="AB597"/>
  <c r="AA598"/>
  <c r="AC598" s="1"/>
  <c r="AB598"/>
  <c r="AA599"/>
  <c r="AC599" s="1"/>
  <c r="AB599"/>
  <c r="AA600"/>
  <c r="AC600" s="1"/>
  <c r="AB600"/>
  <c r="AA601"/>
  <c r="AC601" s="1"/>
  <c r="AB601"/>
  <c r="AA602"/>
  <c r="AC602" s="1"/>
  <c r="AB602"/>
  <c r="AA603"/>
  <c r="AC603" s="1"/>
  <c r="AB603"/>
  <c r="AA604"/>
  <c r="AC604" s="1"/>
  <c r="AB604"/>
  <c r="AA605"/>
  <c r="AC605" s="1"/>
  <c r="AB605"/>
  <c r="AA606"/>
  <c r="AC606" s="1"/>
  <c r="AB606"/>
  <c r="AA607"/>
  <c r="AC607" s="1"/>
  <c r="AB607"/>
  <c r="AA608"/>
  <c r="AC608" s="1"/>
  <c r="AB608"/>
  <c r="AA609"/>
  <c r="AC609" s="1"/>
  <c r="AB609"/>
  <c r="AA610"/>
  <c r="AC610" s="1"/>
  <c r="AB610"/>
  <c r="AA611"/>
  <c r="AC611" s="1"/>
  <c r="AB611"/>
  <c r="AA612"/>
  <c r="AC612" s="1"/>
  <c r="AB612"/>
  <c r="AA613"/>
  <c r="AC613" s="1"/>
  <c r="AB613"/>
  <c r="AA614"/>
  <c r="AC614" s="1"/>
  <c r="AB614"/>
  <c r="AA615"/>
  <c r="AC615" s="1"/>
  <c r="AB615"/>
  <c r="AA616"/>
  <c r="AC616" s="1"/>
  <c r="AB616"/>
  <c r="AA617"/>
  <c r="AC617" s="1"/>
  <c r="AB617"/>
  <c r="AA618"/>
  <c r="AC618" s="1"/>
  <c r="AB618"/>
  <c r="AA619"/>
  <c r="AB619"/>
  <c r="AA620"/>
  <c r="AC620" s="1"/>
  <c r="AB620"/>
  <c r="AA621"/>
  <c r="AB621"/>
  <c r="AA622"/>
  <c r="AC622" s="1"/>
  <c r="AB622"/>
  <c r="AA623"/>
  <c r="AC623" s="1"/>
  <c r="AB623"/>
  <c r="AA624"/>
  <c r="AC624" s="1"/>
  <c r="AB624"/>
  <c r="AA625"/>
  <c r="AC625" s="1"/>
  <c r="AB625"/>
  <c r="AA626"/>
  <c r="AC626" s="1"/>
  <c r="AB626"/>
  <c r="AA627"/>
  <c r="AC627" s="1"/>
  <c r="AB627"/>
  <c r="AA628"/>
  <c r="AC628" s="1"/>
  <c r="AB628"/>
  <c r="AA629"/>
  <c r="AC629" s="1"/>
  <c r="AB629"/>
  <c r="AA630"/>
  <c r="AC630" s="1"/>
  <c r="AB630"/>
  <c r="AA631"/>
  <c r="AC631" s="1"/>
  <c r="AB631"/>
  <c r="AA632"/>
  <c r="AC632" s="1"/>
  <c r="AB632"/>
  <c r="AA633"/>
  <c r="AC633" s="1"/>
  <c r="AB633"/>
  <c r="AA634"/>
  <c r="AC634" s="1"/>
  <c r="AB634"/>
  <c r="AA635"/>
  <c r="AC635" s="1"/>
  <c r="AB635"/>
  <c r="AA636"/>
  <c r="AC636" s="1"/>
  <c r="AB636"/>
  <c r="AA637"/>
  <c r="AC637" s="1"/>
  <c r="AB637"/>
  <c r="AA638"/>
  <c r="AC638" s="1"/>
  <c r="AB638"/>
  <c r="AA639"/>
  <c r="AC639" s="1"/>
  <c r="AB639"/>
  <c r="AA640"/>
  <c r="AC640" s="1"/>
  <c r="AB640"/>
  <c r="AA641"/>
  <c r="AC641" s="1"/>
  <c r="AB641"/>
  <c r="AA642"/>
  <c r="AC642" s="1"/>
  <c r="AB642"/>
  <c r="AA643"/>
  <c r="AC643" s="1"/>
  <c r="AB643"/>
  <c r="AA644"/>
  <c r="AC644" s="1"/>
  <c r="AB644"/>
  <c r="AA645"/>
  <c r="AC645" s="1"/>
  <c r="AB645"/>
  <c r="AA646"/>
  <c r="AC646" s="1"/>
  <c r="AB646"/>
  <c r="AA647"/>
  <c r="AB647"/>
  <c r="AA648"/>
  <c r="AC648" s="1"/>
  <c r="AB648"/>
  <c r="AA649"/>
  <c r="AB649"/>
  <c r="AA650"/>
  <c r="AC650" s="1"/>
  <c r="AB650"/>
  <c r="AA652"/>
  <c r="B652" s="1"/>
  <c r="AC652" s="1"/>
  <c r="AB652"/>
  <c r="AA702"/>
  <c r="AC702" s="1"/>
  <c r="AB702"/>
  <c r="AA653"/>
  <c r="AC653" s="1"/>
  <c r="AB653"/>
  <c r="AA654"/>
  <c r="AC654" s="1"/>
  <c r="AB654"/>
  <c r="AA655"/>
  <c r="AC655" s="1"/>
  <c r="AB655"/>
  <c r="AA656"/>
  <c r="AC656" s="1"/>
  <c r="AB656"/>
  <c r="AA657"/>
  <c r="AC657" s="1"/>
  <c r="AB657"/>
  <c r="AA658"/>
  <c r="AC658" s="1"/>
  <c r="AB658"/>
  <c r="AA659"/>
  <c r="AB659"/>
  <c r="AA660"/>
  <c r="AC660" s="1"/>
  <c r="AB660"/>
  <c r="AA661"/>
  <c r="AC661" s="1"/>
  <c r="AB661"/>
  <c r="AA662"/>
  <c r="AC662" s="1"/>
  <c r="AB662"/>
  <c r="AA663"/>
  <c r="AC663" s="1"/>
  <c r="AB663"/>
  <c r="AA664"/>
  <c r="AC664" s="1"/>
  <c r="AB664"/>
  <c r="AA665"/>
  <c r="AC665" s="1"/>
  <c r="AB665"/>
  <c r="AA666"/>
  <c r="AC666" s="1"/>
  <c r="AB666"/>
  <c r="AB673"/>
  <c r="AB674"/>
  <c r="AB675"/>
  <c r="AB676"/>
  <c r="AA679"/>
  <c r="AC679" s="1"/>
  <c r="AB679"/>
  <c r="AA680"/>
  <c r="AC680" s="1"/>
  <c r="AB680"/>
  <c r="AA681"/>
  <c r="AC681" s="1"/>
  <c r="AB681"/>
  <c r="AA682"/>
  <c r="AC682" s="1"/>
  <c r="AB682"/>
  <c r="AA683"/>
  <c r="AC683" s="1"/>
  <c r="AB683"/>
  <c r="AA684"/>
  <c r="AC684" s="1"/>
  <c r="AB684"/>
  <c r="AA685"/>
  <c r="AC685" s="1"/>
  <c r="AB685"/>
  <c r="AA687"/>
  <c r="AC687" s="1"/>
  <c r="AB687"/>
  <c r="AA689"/>
  <c r="AC689" s="1"/>
  <c r="AB689"/>
  <c r="AA703"/>
  <c r="AC703" s="1"/>
  <c r="AB703"/>
  <c r="AA704"/>
  <c r="AB704"/>
  <c r="AA705"/>
  <c r="AC705" s="1"/>
  <c r="AB705"/>
  <c r="AA690"/>
  <c r="AC690" s="1"/>
  <c r="AB690"/>
  <c r="AA691"/>
  <c r="AC691" s="1"/>
  <c r="AB691"/>
  <c r="AA692"/>
  <c r="AC692" s="1"/>
  <c r="AB692"/>
  <c r="AA1383"/>
  <c r="AC1383" s="1"/>
  <c r="AB1383"/>
  <c r="AA693"/>
  <c r="AC693" s="1"/>
  <c r="AB693"/>
  <c r="AA694"/>
  <c r="AC694" s="1"/>
  <c r="AB694"/>
  <c r="AA695"/>
  <c r="AC695" s="1"/>
  <c r="AB695"/>
  <c r="AA696"/>
  <c r="AC696" s="1"/>
  <c r="AB696"/>
  <c r="AA697"/>
  <c r="AC697" s="1"/>
  <c r="AB697"/>
  <c r="AA698"/>
  <c r="AC698" s="1"/>
  <c r="AB698"/>
  <c r="AA699"/>
  <c r="AC699" s="1"/>
  <c r="AB699"/>
  <c r="AA706"/>
  <c r="AC706" s="1"/>
  <c r="AB706"/>
  <c r="AA707"/>
  <c r="AC707" s="1"/>
  <c r="AB707"/>
  <c r="AA708"/>
  <c r="AC708" s="1"/>
  <c r="AB708"/>
  <c r="AA709"/>
  <c r="AC709" s="1"/>
  <c r="AB709"/>
  <c r="AA710"/>
  <c r="AC710" s="1"/>
  <c r="AB710"/>
  <c r="AA711"/>
  <c r="AC711" s="1"/>
  <c r="AB711"/>
  <c r="AA712"/>
  <c r="AC712" s="1"/>
  <c r="AB712"/>
  <c r="AA713"/>
  <c r="AC713" s="1"/>
  <c r="AB713"/>
  <c r="AA715"/>
  <c r="AC715" s="1"/>
  <c r="AB715"/>
  <c r="AA716"/>
  <c r="AC716" s="1"/>
  <c r="AB716"/>
  <c r="AA717"/>
  <c r="AC717" s="1"/>
  <c r="AB717"/>
  <c r="AA718"/>
  <c r="AC718" s="1"/>
  <c r="AB718"/>
  <c r="AA719"/>
  <c r="AC719" s="1"/>
  <c r="AB719"/>
  <c r="AA720"/>
  <c r="AC720" s="1"/>
  <c r="AB720"/>
  <c r="AA721"/>
  <c r="AC721" s="1"/>
  <c r="AB721"/>
  <c r="AA723"/>
  <c r="AC723" s="1"/>
  <c r="AB723"/>
  <c r="AA724"/>
  <c r="AC724" s="1"/>
  <c r="AB724"/>
  <c r="AA725"/>
  <c r="AC725" s="1"/>
  <c r="AB725"/>
  <c r="AA726"/>
  <c r="AC726" s="1"/>
  <c r="AB726"/>
  <c r="AA727"/>
  <c r="AC727" s="1"/>
  <c r="AB727"/>
  <c r="AA728"/>
  <c r="AB728"/>
  <c r="AA729"/>
  <c r="AC729" s="1"/>
  <c r="AB729"/>
  <c r="AA730"/>
  <c r="AC730" s="1"/>
  <c r="AB730"/>
  <c r="AA731"/>
  <c r="AC731" s="1"/>
  <c r="AB731"/>
  <c r="AA732"/>
  <c r="AB732"/>
  <c r="AA733"/>
  <c r="AC733" s="1"/>
  <c r="AB733"/>
  <c r="AA734"/>
  <c r="AC734" s="1"/>
  <c r="AB734"/>
  <c r="AA735"/>
  <c r="AC735" s="1"/>
  <c r="AB735"/>
  <c r="AA736"/>
  <c r="AB736"/>
  <c r="AA737"/>
  <c r="AC737" s="1"/>
  <c r="AB737"/>
  <c r="C860"/>
  <c r="Z860"/>
  <c r="C859"/>
  <c r="Z859"/>
  <c r="C858"/>
  <c r="Z858"/>
  <c r="C857"/>
  <c r="Z857"/>
  <c r="C856"/>
  <c r="Z856"/>
  <c r="C855"/>
  <c r="Z855"/>
  <c r="C854"/>
  <c r="Z854"/>
  <c r="C853"/>
  <c r="Z853"/>
  <c r="C852"/>
  <c r="Z852"/>
  <c r="C851"/>
  <c r="Z851"/>
  <c r="C850"/>
  <c r="Z850"/>
  <c r="C849"/>
  <c r="Z849"/>
  <c r="C848"/>
  <c r="Z848"/>
  <c r="C846"/>
  <c r="Z846"/>
  <c r="C843"/>
  <c r="Z843"/>
  <c r="B843" s="1"/>
  <c r="C842"/>
  <c r="Z842"/>
  <c r="C841"/>
  <c r="Z841"/>
  <c r="C840"/>
  <c r="Z840"/>
  <c r="C839"/>
  <c r="Z839"/>
  <c r="B839" s="1"/>
  <c r="C838"/>
  <c r="Z838"/>
  <c r="C837"/>
  <c r="Z837"/>
  <c r="C836"/>
  <c r="Z836"/>
  <c r="C835"/>
  <c r="Z835"/>
  <c r="B835" s="1"/>
  <c r="C834"/>
  <c r="Z834"/>
  <c r="C833"/>
  <c r="Z833"/>
  <c r="C832"/>
  <c r="Z832"/>
  <c r="C831"/>
  <c r="Z831"/>
  <c r="B831" s="1"/>
  <c r="C830"/>
  <c r="Z830"/>
  <c r="C829"/>
  <c r="Z829"/>
  <c r="C828"/>
  <c r="Z828"/>
  <c r="C827"/>
  <c r="Z827"/>
  <c r="B827" s="1"/>
  <c r="C826"/>
  <c r="Z826"/>
  <c r="C825"/>
  <c r="Z825"/>
  <c r="C824"/>
  <c r="Z824"/>
  <c r="C823"/>
  <c r="Z823"/>
  <c r="B823" s="1"/>
  <c r="C822"/>
  <c r="Z822"/>
  <c r="C821"/>
  <c r="Z821"/>
  <c r="C820"/>
  <c r="Z820"/>
  <c r="C819"/>
  <c r="Z819"/>
  <c r="B819" s="1"/>
  <c r="C818"/>
  <c r="Z818"/>
  <c r="C1382"/>
  <c r="Z1382"/>
  <c r="C812"/>
  <c r="Z812"/>
  <c r="C811"/>
  <c r="Z811"/>
  <c r="C810"/>
  <c r="Z810"/>
  <c r="C809"/>
  <c r="Z809"/>
  <c r="B809" s="1"/>
  <c r="C808"/>
  <c r="Z808"/>
  <c r="C807"/>
  <c r="Z807"/>
  <c r="C806"/>
  <c r="Z806"/>
  <c r="C805"/>
  <c r="Z805"/>
  <c r="B805" s="1"/>
  <c r="C804"/>
  <c r="Z804"/>
  <c r="C803"/>
  <c r="Z803"/>
  <c r="C802"/>
  <c r="Z802"/>
  <c r="C801"/>
  <c r="Z801"/>
  <c r="B801" s="1"/>
  <c r="C800"/>
  <c r="Z800"/>
  <c r="C799"/>
  <c r="Z799"/>
  <c r="C798"/>
  <c r="Z798"/>
  <c r="C797"/>
  <c r="Z797"/>
  <c r="B797" s="1"/>
  <c r="C796"/>
  <c r="Z796"/>
  <c r="C795"/>
  <c r="Z795"/>
  <c r="C792"/>
  <c r="Z792"/>
  <c r="C791"/>
  <c r="Z791"/>
  <c r="B791" s="1"/>
  <c r="C784"/>
  <c r="Z784"/>
  <c r="C789"/>
  <c r="Z789"/>
  <c r="C788"/>
  <c r="Z788"/>
  <c r="C787"/>
  <c r="Z787"/>
  <c r="C785"/>
  <c r="Z785"/>
  <c r="C779"/>
  <c r="Z779"/>
  <c r="C778"/>
  <c r="Z778"/>
  <c r="B778" s="1"/>
  <c r="C777"/>
  <c r="Z777"/>
  <c r="C776"/>
  <c r="Z776"/>
  <c r="C774"/>
  <c r="Z774"/>
  <c r="C759"/>
  <c r="Z759"/>
  <c r="B759" s="1"/>
  <c r="C758"/>
  <c r="Z758"/>
  <c r="C757"/>
  <c r="Z757"/>
  <c r="C755"/>
  <c r="Z755"/>
  <c r="C754"/>
  <c r="Z754"/>
  <c r="B754" s="1"/>
  <c r="C753"/>
  <c r="Z753"/>
  <c r="C752"/>
  <c r="Z752"/>
  <c r="C751"/>
  <c r="Z751"/>
  <c r="C749"/>
  <c r="Z749"/>
  <c r="B749" s="1"/>
  <c r="C748"/>
  <c r="Z748"/>
  <c r="C747"/>
  <c r="Z747"/>
  <c r="C746"/>
  <c r="Z746"/>
  <c r="C745"/>
  <c r="Z745"/>
  <c r="B745" s="1"/>
  <c r="C744"/>
  <c r="Z744"/>
  <c r="C743"/>
  <c r="Z743"/>
  <c r="C742"/>
  <c r="Z742"/>
  <c r="C741"/>
  <c r="Z741"/>
  <c r="B741" s="1"/>
  <c r="C782"/>
  <c r="Z782"/>
  <c r="B782" s="1"/>
  <c r="C740"/>
  <c r="Z740"/>
  <c r="C739"/>
  <c r="Z739"/>
  <c r="C738"/>
  <c r="Z738"/>
  <c r="C737"/>
  <c r="Z737"/>
  <c r="C736"/>
  <c r="Z736"/>
  <c r="C735"/>
  <c r="Z735"/>
  <c r="C734"/>
  <c r="Z734"/>
  <c r="C733"/>
  <c r="Z733"/>
  <c r="C732"/>
  <c r="Z732"/>
  <c r="C731"/>
  <c r="Z731"/>
  <c r="Z775"/>
  <c r="W775"/>
  <c r="C775"/>
  <c r="C699"/>
  <c r="Z699"/>
  <c r="C698"/>
  <c r="Z698"/>
  <c r="C697"/>
  <c r="Z697"/>
  <c r="C656"/>
  <c r="Z656"/>
  <c r="C654"/>
  <c r="Z654"/>
  <c r="C653"/>
  <c r="Z653"/>
  <c r="Z730"/>
  <c r="W730"/>
  <c r="C730"/>
  <c r="Z723"/>
  <c r="W723"/>
  <c r="C723"/>
  <c r="Z574"/>
  <c r="W574"/>
  <c r="C574"/>
  <c r="Z573"/>
  <c r="W573"/>
  <c r="C573"/>
  <c r="Z721"/>
  <c r="W721"/>
  <c r="C721"/>
  <c r="AZ3" i="7"/>
  <c r="AZ2"/>
  <c r="AZ4"/>
  <c r="Z3"/>
  <c r="Z2"/>
  <c r="AA3"/>
  <c r="AA2" s="1"/>
  <c r="AB3"/>
  <c r="AB2" s="1"/>
  <c r="AC3"/>
  <c r="AC2"/>
  <c r="AD3"/>
  <c r="AD2"/>
  <c r="AE3"/>
  <c r="AE2" s="1"/>
  <c r="Z4"/>
  <c r="AA4"/>
  <c r="AB4"/>
  <c r="AC4"/>
  <c r="AD4"/>
  <c r="AE4"/>
  <c r="B4"/>
  <c r="C4"/>
  <c r="D4"/>
  <c r="E4"/>
  <c r="F4"/>
  <c r="G4"/>
  <c r="H4"/>
  <c r="I4"/>
  <c r="J4"/>
  <c r="K4"/>
  <c r="L4"/>
  <c r="M4"/>
  <c r="N4"/>
  <c r="O4"/>
  <c r="P4"/>
  <c r="Q4"/>
  <c r="R4"/>
  <c r="AY4"/>
  <c r="BA4"/>
  <c r="BB4"/>
  <c r="BC4"/>
  <c r="BD4"/>
  <c r="BE4"/>
  <c r="BF4"/>
  <c r="BG4"/>
  <c r="BH4"/>
  <c r="BI4"/>
  <c r="BJ4"/>
  <c r="BK4"/>
  <c r="BL4"/>
  <c r="BM4"/>
  <c r="BN4"/>
  <c r="BO4"/>
  <c r="BP4"/>
  <c r="BQ4"/>
  <c r="BR4"/>
  <c r="BS4"/>
  <c r="BT4"/>
  <c r="BU4"/>
  <c r="BV4"/>
  <c r="BW4"/>
  <c r="BX4"/>
  <c r="BY4"/>
  <c r="BZ4"/>
  <c r="CA4"/>
  <c r="CB4"/>
  <c r="CC4"/>
  <c r="CD4"/>
  <c r="CE4"/>
  <c r="CF4"/>
  <c r="CG4"/>
  <c r="CH4"/>
  <c r="CI4"/>
  <c r="AA1597" i="6"/>
  <c r="Z1597"/>
  <c r="C1597"/>
  <c r="AB1597"/>
  <c r="AA1574"/>
  <c r="B1574" s="1"/>
  <c r="C1574"/>
  <c r="Z1574"/>
  <c r="GG1" i="8"/>
  <c r="GH1"/>
  <c r="GF3"/>
  <c r="GG3"/>
  <c r="GG2"/>
  <c r="GH3"/>
  <c r="GH2"/>
  <c r="DT1"/>
  <c r="DU1"/>
  <c r="DV1"/>
  <c r="DW1"/>
  <c r="DX1"/>
  <c r="DZ1"/>
  <c r="DS3"/>
  <c r="DT3"/>
  <c r="DT2" s="1"/>
  <c r="DU3"/>
  <c r="DV3"/>
  <c r="DV2" s="1"/>
  <c r="DW3"/>
  <c r="DX3"/>
  <c r="DX2" s="1"/>
  <c r="DY3"/>
  <c r="DZ3" s="1"/>
  <c r="DZ2" s="1"/>
  <c r="BZ1"/>
  <c r="CB1"/>
  <c r="CD1"/>
  <c r="CF1"/>
  <c r="CH1"/>
  <c r="CL1"/>
  <c r="CO1"/>
  <c r="CU1"/>
  <c r="CW1"/>
  <c r="DL1"/>
  <c r="DN1"/>
  <c r="DR1"/>
  <c r="BY3"/>
  <c r="BY2"/>
  <c r="CA3"/>
  <c r="CB3"/>
  <c r="CB2"/>
  <c r="CC3"/>
  <c r="CD3"/>
  <c r="CD2"/>
  <c r="CE3"/>
  <c r="CF3"/>
  <c r="CF2" s="1"/>
  <c r="CG3"/>
  <c r="CH3"/>
  <c r="CH2" s="1"/>
  <c r="CI3"/>
  <c r="CI2"/>
  <c r="CJ3"/>
  <c r="CJ2"/>
  <c r="CK3"/>
  <c r="CK2"/>
  <c r="CL3"/>
  <c r="CL2" s="1"/>
  <c r="CM3"/>
  <c r="CM2"/>
  <c r="CN3"/>
  <c r="CN2"/>
  <c r="CO3"/>
  <c r="CO2"/>
  <c r="CP3"/>
  <c r="CP2" s="1"/>
  <c r="CQ3"/>
  <c r="CQ2"/>
  <c r="CR3"/>
  <c r="CR2"/>
  <c r="CS3"/>
  <c r="CS2"/>
  <c r="CT3"/>
  <c r="CT2" s="1"/>
  <c r="CU3"/>
  <c r="CU2"/>
  <c r="CV3"/>
  <c r="CV2"/>
  <c r="CW3"/>
  <c r="CW2"/>
  <c r="CX3"/>
  <c r="CX2" s="1"/>
  <c r="CY3"/>
  <c r="CY2"/>
  <c r="CZ3"/>
  <c r="CZ2"/>
  <c r="DA3"/>
  <c r="DA2"/>
  <c r="DG3"/>
  <c r="DG2" s="1"/>
  <c r="DH3"/>
  <c r="DH2"/>
  <c r="DI3"/>
  <c r="DI2"/>
  <c r="DJ3"/>
  <c r="DJ2"/>
  <c r="DK3"/>
  <c r="DK2" s="1"/>
  <c r="DL3"/>
  <c r="DL2"/>
  <c r="DM3"/>
  <c r="DM2"/>
  <c r="DN3"/>
  <c r="DN2"/>
  <c r="DO3"/>
  <c r="DO2" s="1"/>
  <c r="DP3"/>
  <c r="DP2"/>
  <c r="DQ3"/>
  <c r="DR3"/>
  <c r="DR2" s="1"/>
  <c r="AL1"/>
  <c r="BD1"/>
  <c r="BF1"/>
  <c r="BH1"/>
  <c r="BJ1"/>
  <c r="BL1"/>
  <c r="BN1"/>
  <c r="BP1"/>
  <c r="BV1"/>
  <c r="BX1"/>
  <c r="GI1"/>
  <c r="GL1"/>
  <c r="GN1"/>
  <c r="AG3"/>
  <c r="AG2"/>
  <c r="AJ3"/>
  <c r="AJ2"/>
  <c r="AK3"/>
  <c r="AL3" s="1"/>
  <c r="AL2" s="1"/>
  <c r="BC3"/>
  <c r="BD3" s="1"/>
  <c r="BD2" s="1"/>
  <c r="BE3"/>
  <c r="BF3"/>
  <c r="BF2"/>
  <c r="BG3"/>
  <c r="BH3"/>
  <c r="BH2"/>
  <c r="BI3"/>
  <c r="BJ3"/>
  <c r="BJ2" s="1"/>
  <c r="BK3"/>
  <c r="BL3"/>
  <c r="BL2" s="1"/>
  <c r="BM3"/>
  <c r="BN3"/>
  <c r="BN2" s="1"/>
  <c r="BO3"/>
  <c r="BP3" s="1"/>
  <c r="BP2" s="1"/>
  <c r="BQ3"/>
  <c r="BQ2" s="1"/>
  <c r="BR3"/>
  <c r="BR2"/>
  <c r="BS3"/>
  <c r="BS2"/>
  <c r="BT3"/>
  <c r="BT2"/>
  <c r="BU3"/>
  <c r="BV3" s="1"/>
  <c r="BV2" s="1"/>
  <c r="BW3"/>
  <c r="BX3" s="1"/>
  <c r="BX2" s="1"/>
  <c r="GJ3"/>
  <c r="GJ2"/>
  <c r="GK3"/>
  <c r="GL3" s="1"/>
  <c r="GL2" s="1"/>
  <c r="GM3"/>
  <c r="GN3" s="1"/>
  <c r="GN2" s="1"/>
  <c r="W1592" i="6"/>
  <c r="W1591"/>
  <c r="W1590"/>
  <c r="W1589"/>
  <c r="W1588"/>
  <c r="W1586"/>
  <c r="W1585"/>
  <c r="W1584"/>
  <c r="W1583"/>
  <c r="W1582"/>
  <c r="W1580"/>
  <c r="W1579"/>
  <c r="W1577"/>
  <c r="W1573"/>
  <c r="W1572"/>
  <c r="W1561"/>
  <c r="W1558"/>
  <c r="W1557"/>
  <c r="W1556"/>
  <c r="W1555"/>
  <c r="W1554"/>
  <c r="W1553"/>
  <c r="W1552"/>
  <c r="W1551"/>
  <c r="W1550"/>
  <c r="W1549"/>
  <c r="W1548"/>
  <c r="W1547"/>
  <c r="W1546"/>
  <c r="W1545"/>
  <c r="W1544"/>
  <c r="W1543"/>
  <c r="W1542"/>
  <c r="W1541"/>
  <c r="W1540"/>
  <c r="W1539"/>
  <c r="W1538"/>
  <c r="W1537"/>
  <c r="W1536"/>
  <c r="W1535"/>
  <c r="W1534"/>
  <c r="W1533"/>
  <c r="W1532"/>
  <c r="W1531"/>
  <c r="W1530"/>
  <c r="W1529"/>
  <c r="W1528"/>
  <c r="W1527"/>
  <c r="W1526"/>
  <c r="W1525"/>
  <c r="W1524"/>
  <c r="W1523"/>
  <c r="W1522"/>
  <c r="W1521"/>
  <c r="W1520"/>
  <c r="W1519"/>
  <c r="W1518"/>
  <c r="W1517"/>
  <c r="W1516"/>
  <c r="W1515"/>
  <c r="W1514"/>
  <c r="W1513"/>
  <c r="W1512"/>
  <c r="W1511"/>
  <c r="W1510"/>
  <c r="W1509"/>
  <c r="W1508"/>
  <c r="W1507"/>
  <c r="W1506"/>
  <c r="W1505"/>
  <c r="W1504"/>
  <c r="W1503"/>
  <c r="W1502"/>
  <c r="W1501"/>
  <c r="W1500"/>
  <c r="W1499"/>
  <c r="W1498"/>
  <c r="W1497"/>
  <c r="W1496"/>
  <c r="W1495"/>
  <c r="W1494"/>
  <c r="W1493"/>
  <c r="W1492"/>
  <c r="W1491"/>
  <c r="W1490"/>
  <c r="W1489"/>
  <c r="W1488"/>
  <c r="W1487"/>
  <c r="W1486"/>
  <c r="W1485"/>
  <c r="W1484"/>
  <c r="W1483"/>
  <c r="W1482"/>
  <c r="W1481"/>
  <c r="W1480"/>
  <c r="W1479"/>
  <c r="W1478"/>
  <c r="W1477"/>
  <c r="W1476"/>
  <c r="W1475"/>
  <c r="W1474"/>
  <c r="W1473"/>
  <c r="W1472"/>
  <c r="W1471"/>
  <c r="W1470"/>
  <c r="W1469"/>
  <c r="W1468"/>
  <c r="W1467"/>
  <c r="W1466"/>
  <c r="W1465"/>
  <c r="W1464"/>
  <c r="W1463"/>
  <c r="W1462"/>
  <c r="W1461"/>
  <c r="W1460"/>
  <c r="W1459"/>
  <c r="W1458"/>
  <c r="W1457"/>
  <c r="W1456"/>
  <c r="W1455"/>
  <c r="W1454"/>
  <c r="W1453"/>
  <c r="W1452"/>
  <c r="W1451"/>
  <c r="W1450"/>
  <c r="W1449"/>
  <c r="W1448"/>
  <c r="W1447"/>
  <c r="W1446"/>
  <c r="W1445"/>
  <c r="W1444"/>
  <c r="W1443"/>
  <c r="W1442"/>
  <c r="W1441"/>
  <c r="W1440"/>
  <c r="W1439"/>
  <c r="W1438"/>
  <c r="W1437"/>
  <c r="W1436"/>
  <c r="W1435"/>
  <c r="W1434"/>
  <c r="W1433"/>
  <c r="W1432"/>
  <c r="W1431"/>
  <c r="W1430"/>
  <c r="W1429"/>
  <c r="W1428"/>
  <c r="W1427"/>
  <c r="W1426"/>
  <c r="W1425"/>
  <c r="W1424"/>
  <c r="W1423"/>
  <c r="W1422"/>
  <c r="W1421"/>
  <c r="W1420"/>
  <c r="W1419"/>
  <c r="W1418"/>
  <c r="W1417"/>
  <c r="W1416"/>
  <c r="W1415"/>
  <c r="W1414"/>
  <c r="W1413"/>
  <c r="W1412"/>
  <c r="W1411"/>
  <c r="W1410"/>
  <c r="W1409"/>
  <c r="W1408"/>
  <c r="W1407"/>
  <c r="W1406"/>
  <c r="W1405"/>
  <c r="W1404"/>
  <c r="W1403"/>
  <c r="W1402"/>
  <c r="W1401"/>
  <c r="W1400"/>
  <c r="W1397"/>
  <c r="W1395"/>
  <c r="W1394"/>
  <c r="W1391"/>
  <c r="W1390"/>
  <c r="W1389"/>
  <c r="W1388"/>
  <c r="W1387"/>
  <c r="W1386"/>
  <c r="W1385"/>
  <c r="W1384"/>
  <c r="W1381"/>
  <c r="W1380"/>
  <c r="W1379"/>
  <c r="W1378"/>
  <c r="W1375"/>
  <c r="W1374"/>
  <c r="W1373"/>
  <c r="W1372"/>
  <c r="W1267"/>
  <c r="W1266"/>
  <c r="W1265"/>
  <c r="W1264"/>
  <c r="W1263"/>
  <c r="W1262"/>
  <c r="W1261"/>
  <c r="W1260"/>
  <c r="W1259"/>
  <c r="W1258"/>
  <c r="W1257"/>
  <c r="W1256"/>
  <c r="W1255"/>
  <c r="W1254"/>
  <c r="W1253"/>
  <c r="W1252"/>
  <c r="W1251"/>
  <c r="W1250"/>
  <c r="W1249"/>
  <c r="W1248"/>
  <c r="W1247"/>
  <c r="W1246"/>
  <c r="W1245"/>
  <c r="W1244"/>
  <c r="W1243"/>
  <c r="W1242"/>
  <c r="W1241"/>
  <c r="W1240"/>
  <c r="W1239"/>
  <c r="W1238"/>
  <c r="W1237"/>
  <c r="W1236"/>
  <c r="W1235"/>
  <c r="W1234"/>
  <c r="W1233"/>
  <c r="W1232"/>
  <c r="W1231"/>
  <c r="W1230"/>
  <c r="W1229"/>
  <c r="W1228"/>
  <c r="W1225"/>
  <c r="W1224"/>
  <c r="W1223"/>
  <c r="W1222"/>
  <c r="W1221"/>
  <c r="W1220"/>
  <c r="W1219"/>
  <c r="W1218"/>
  <c r="W1217"/>
  <c r="W1216"/>
  <c r="W1215"/>
  <c r="W1214"/>
  <c r="W1213"/>
  <c r="W1212"/>
  <c r="W1211"/>
  <c r="W1210"/>
  <c r="W1209"/>
  <c r="W1208"/>
  <c r="W1207"/>
  <c r="W1206"/>
  <c r="W1205"/>
  <c r="W1204"/>
  <c r="W1203"/>
  <c r="W1202"/>
  <c r="W1201"/>
  <c r="W1200"/>
  <c r="W1199"/>
  <c r="W1198"/>
  <c r="W1197"/>
  <c r="W1196"/>
  <c r="W1195"/>
  <c r="W1194"/>
  <c r="W1193"/>
  <c r="W1192"/>
  <c r="W1191"/>
  <c r="W1190"/>
  <c r="W1189"/>
  <c r="W1188"/>
  <c r="W1187"/>
  <c r="W1186"/>
  <c r="W1185"/>
  <c r="W1184"/>
  <c r="W1183"/>
  <c r="W1182"/>
  <c r="W1181"/>
  <c r="W1180"/>
  <c r="W1179"/>
  <c r="W1178"/>
  <c r="W1177"/>
  <c r="W1176"/>
  <c r="W1175"/>
  <c r="W1174"/>
  <c r="W1173"/>
  <c r="W1172"/>
  <c r="W1171"/>
  <c r="W1170"/>
  <c r="W1169"/>
  <c r="W1168"/>
  <c r="W1167"/>
  <c r="W1166"/>
  <c r="W1165"/>
  <c r="W1164"/>
  <c r="W1163"/>
  <c r="W1162"/>
  <c r="W1161"/>
  <c r="W1160"/>
  <c r="W1159"/>
  <c r="W1158"/>
  <c r="W1157"/>
  <c r="W1156"/>
  <c r="W1155"/>
  <c r="W1154"/>
  <c r="W1153"/>
  <c r="W1152"/>
  <c r="W1151"/>
  <c r="W1150"/>
  <c r="W1149"/>
  <c r="W1148"/>
  <c r="W1147"/>
  <c r="W1146"/>
  <c r="W1145"/>
  <c r="W1144"/>
  <c r="W1143"/>
  <c r="W1142"/>
  <c r="W1141"/>
  <c r="W1140"/>
  <c r="W1139"/>
  <c r="W1138"/>
  <c r="W1137"/>
  <c r="W1136"/>
  <c r="W1135"/>
  <c r="W1134"/>
  <c r="W1133"/>
  <c r="W1132"/>
  <c r="W1131"/>
  <c r="W1130"/>
  <c r="W1129"/>
  <c r="W1128"/>
  <c r="W1127"/>
  <c r="W1126"/>
  <c r="W1125"/>
  <c r="W1124"/>
  <c r="W1123"/>
  <c r="W1122"/>
  <c r="W1121"/>
  <c r="W1120"/>
  <c r="W1119"/>
  <c r="W1118"/>
  <c r="W1117"/>
  <c r="W1116"/>
  <c r="W1115"/>
  <c r="W1114"/>
  <c r="W1113"/>
  <c r="W1112"/>
  <c r="W1111"/>
  <c r="W1110"/>
  <c r="W1109"/>
  <c r="W1108"/>
  <c r="W1107"/>
  <c r="W1106"/>
  <c r="W1105"/>
  <c r="W1104"/>
  <c r="W1103"/>
  <c r="W1102"/>
  <c r="W1101"/>
  <c r="W1100"/>
  <c r="W1099"/>
  <c r="W1098"/>
  <c r="W1097"/>
  <c r="W1096"/>
  <c r="W1071"/>
  <c r="W1050"/>
  <c r="W1005"/>
  <c r="W1004"/>
  <c r="W1003"/>
  <c r="W1002"/>
  <c r="W1001"/>
  <c r="W1000"/>
  <c r="W999"/>
  <c r="W998"/>
  <c r="W997"/>
  <c r="W950"/>
  <c r="W949"/>
  <c r="W948"/>
  <c r="W947"/>
  <c r="W1392"/>
  <c r="W946"/>
  <c r="W945"/>
  <c r="W944"/>
  <c r="W943"/>
  <c r="W942"/>
  <c r="W941"/>
  <c r="W940"/>
  <c r="W939"/>
  <c r="W938"/>
  <c r="W937"/>
  <c r="W936"/>
  <c r="W935"/>
  <c r="W934"/>
  <c r="W933"/>
  <c r="W932"/>
  <c r="W931"/>
  <c r="W930"/>
  <c r="W929"/>
  <c r="W928"/>
  <c r="W927"/>
  <c r="W926"/>
  <c r="W925"/>
  <c r="W924"/>
  <c r="W923"/>
  <c r="W922"/>
  <c r="W921"/>
  <c r="W920"/>
  <c r="W919"/>
  <c r="W918"/>
  <c r="W917"/>
  <c r="W916"/>
  <c r="W915"/>
  <c r="W914"/>
  <c r="W1393"/>
  <c r="W913"/>
  <c r="W912"/>
  <c r="W911"/>
  <c r="W910"/>
  <c r="W909"/>
  <c r="W908"/>
  <c r="W907"/>
  <c r="W906"/>
  <c r="W905"/>
  <c r="W903"/>
  <c r="W902"/>
  <c r="W900"/>
  <c r="W899"/>
  <c r="W898"/>
  <c r="W895"/>
  <c r="W894"/>
  <c r="W893"/>
  <c r="W892"/>
  <c r="W891"/>
  <c r="W890"/>
  <c r="W887"/>
  <c r="W886"/>
  <c r="W885"/>
  <c r="W884"/>
  <c r="W883"/>
  <c r="W881"/>
  <c r="W971"/>
  <c r="W969"/>
  <c r="W968"/>
  <c r="W967"/>
  <c r="W966"/>
  <c r="W965"/>
  <c r="W964"/>
  <c r="W963"/>
  <c r="W962"/>
  <c r="W953"/>
  <c r="W880"/>
  <c r="W879"/>
  <c r="W878"/>
  <c r="W877"/>
  <c r="W876"/>
  <c r="W875"/>
  <c r="W874"/>
  <c r="W873"/>
  <c r="W872"/>
  <c r="W871"/>
  <c r="W870"/>
  <c r="W869"/>
  <c r="W868"/>
  <c r="W867"/>
  <c r="W866"/>
  <c r="W865"/>
  <c r="W864"/>
  <c r="W729"/>
  <c r="W728"/>
  <c r="W727"/>
  <c r="W726"/>
  <c r="W725"/>
  <c r="W510"/>
  <c r="W724"/>
  <c r="W720"/>
  <c r="W719"/>
  <c r="W718"/>
  <c r="W717"/>
  <c r="W716"/>
  <c r="W715"/>
  <c r="W713"/>
  <c r="W712"/>
  <c r="W711"/>
  <c r="W710"/>
  <c r="W709"/>
  <c r="W708"/>
  <c r="W707"/>
  <c r="W706"/>
  <c r="W696"/>
  <c r="W695"/>
  <c r="W694"/>
  <c r="W693"/>
  <c r="W1383"/>
  <c r="W692"/>
  <c r="W691"/>
  <c r="W690"/>
  <c r="W705"/>
  <c r="W704"/>
  <c r="W703"/>
  <c r="W689"/>
  <c r="W685"/>
  <c r="W684"/>
  <c r="W683"/>
  <c r="W682"/>
  <c r="W681"/>
  <c r="W680"/>
  <c r="W679"/>
  <c r="W676"/>
  <c r="W675"/>
  <c r="W674"/>
  <c r="W673"/>
  <c r="W666"/>
  <c r="W665"/>
  <c r="W664"/>
  <c r="W663"/>
  <c r="W662"/>
  <c r="W661"/>
  <c r="W660"/>
  <c r="W659"/>
  <c r="W658"/>
  <c r="W657"/>
  <c r="W656"/>
  <c r="W655"/>
  <c r="W702"/>
  <c r="W652"/>
  <c r="W650"/>
  <c r="W649"/>
  <c r="W648"/>
  <c r="W647"/>
  <c r="W646"/>
  <c r="W645"/>
  <c r="W644"/>
  <c r="W643"/>
  <c r="W642"/>
  <c r="W641"/>
  <c r="W640"/>
  <c r="W639"/>
  <c r="W638"/>
  <c r="W637"/>
  <c r="W636"/>
  <c r="W635"/>
  <c r="W634"/>
  <c r="W633"/>
  <c r="W632"/>
  <c r="W631"/>
  <c r="W630"/>
  <c r="W629"/>
  <c r="W628"/>
  <c r="W627"/>
  <c r="W626"/>
  <c r="W625"/>
  <c r="W624"/>
  <c r="W623"/>
  <c r="W622"/>
  <c r="W621"/>
  <c r="W620"/>
  <c r="W619"/>
  <c r="W618"/>
  <c r="W617"/>
  <c r="W616"/>
  <c r="W615"/>
  <c r="W614"/>
  <c r="W613"/>
  <c r="W612"/>
  <c r="W611"/>
  <c r="W610"/>
  <c r="W609"/>
  <c r="W608"/>
  <c r="W607"/>
  <c r="W606"/>
  <c r="W605"/>
  <c r="W604"/>
  <c r="W603"/>
  <c r="W602"/>
  <c r="W601"/>
  <c r="W600"/>
  <c r="W599"/>
  <c r="W598"/>
  <c r="W597"/>
  <c r="W596"/>
  <c r="W595"/>
  <c r="W594"/>
  <c r="W593"/>
  <c r="W592"/>
  <c r="W591"/>
  <c r="W590"/>
  <c r="W589"/>
  <c r="W588"/>
  <c r="W587"/>
  <c r="W586"/>
  <c r="W585"/>
  <c r="W584"/>
  <c r="W583"/>
  <c r="W582"/>
  <c r="W581"/>
  <c r="W580"/>
  <c r="W579"/>
  <c r="W578"/>
  <c r="W577"/>
  <c r="W576"/>
  <c r="W575"/>
  <c r="W572"/>
  <c r="W570"/>
  <c r="W569"/>
  <c r="W568"/>
  <c r="W567"/>
  <c r="W566"/>
  <c r="W565"/>
  <c r="W564"/>
  <c r="W563"/>
  <c r="W562"/>
  <c r="W561"/>
  <c r="W560"/>
  <c r="W551"/>
  <c r="W550"/>
  <c r="W549"/>
  <c r="W548"/>
  <c r="W547"/>
  <c r="W546"/>
  <c r="W545"/>
  <c r="W544"/>
  <c r="W543"/>
  <c r="W542"/>
  <c r="W541"/>
  <c r="W540"/>
  <c r="W539"/>
  <c r="W538"/>
  <c r="W537"/>
  <c r="W536"/>
  <c r="W535"/>
  <c r="W534"/>
  <c r="W533"/>
  <c r="W532"/>
  <c r="W530"/>
  <c r="W529"/>
  <c r="W528"/>
  <c r="W527"/>
  <c r="W526"/>
  <c r="W525"/>
  <c r="W524"/>
  <c r="W523"/>
  <c r="W521"/>
  <c r="W519"/>
  <c r="W518"/>
  <c r="W517"/>
  <c r="W516"/>
  <c r="W515"/>
  <c r="W514"/>
  <c r="W513"/>
  <c r="W512"/>
  <c r="W511"/>
  <c r="W509"/>
  <c r="W508"/>
  <c r="W507"/>
  <c r="W506"/>
  <c r="W505"/>
  <c r="W504"/>
  <c r="W501"/>
  <c r="W500"/>
  <c r="W499"/>
  <c r="W498"/>
  <c r="W486"/>
  <c r="W485"/>
  <c r="W484"/>
  <c r="W483"/>
  <c r="W482"/>
  <c r="W481"/>
  <c r="W480"/>
  <c r="W479"/>
  <c r="W478"/>
  <c r="W477"/>
  <c r="W476"/>
  <c r="W475"/>
  <c r="W474"/>
  <c r="W473"/>
  <c r="W472"/>
  <c r="W471"/>
  <c r="W470"/>
  <c r="W469"/>
  <c r="W468"/>
  <c r="W467"/>
  <c r="W466"/>
  <c r="W465"/>
  <c r="W464"/>
  <c r="W463"/>
  <c r="W462"/>
  <c r="W461"/>
  <c r="W460"/>
  <c r="W459"/>
  <c r="W458"/>
  <c r="W457"/>
  <c r="W456"/>
  <c r="W452"/>
  <c r="W451"/>
  <c r="W450"/>
  <c r="W449"/>
  <c r="W448"/>
  <c r="W447"/>
  <c r="W446"/>
  <c r="W445"/>
  <c r="W444"/>
  <c r="W443"/>
  <c r="W442"/>
  <c r="W441"/>
  <c r="W440"/>
  <c r="W439"/>
  <c r="W438"/>
  <c r="W437"/>
  <c r="W436"/>
  <c r="W435"/>
  <c r="W434"/>
  <c r="W433"/>
  <c r="W432"/>
  <c r="W431"/>
  <c r="W430"/>
  <c r="W429"/>
  <c r="W428"/>
  <c r="W427"/>
  <c r="W426"/>
  <c r="W425"/>
  <c r="W424"/>
  <c r="W423"/>
  <c r="W422"/>
  <c r="W421"/>
  <c r="W420"/>
  <c r="W419"/>
  <c r="W418"/>
  <c r="W417"/>
  <c r="W416"/>
  <c r="W415"/>
  <c r="W414"/>
  <c r="W413"/>
  <c r="W412"/>
  <c r="W411"/>
  <c r="W410"/>
  <c r="W409"/>
  <c r="W408"/>
  <c r="W407"/>
  <c r="W406"/>
  <c r="W405"/>
  <c r="W404"/>
  <c r="W403"/>
  <c r="W402"/>
  <c r="W401"/>
  <c r="W400"/>
  <c r="W399"/>
  <c r="W398"/>
  <c r="W397"/>
  <c r="W396"/>
  <c r="W395"/>
  <c r="W394"/>
  <c r="W393"/>
  <c r="W392"/>
  <c r="W391"/>
  <c r="W390"/>
  <c r="W389"/>
  <c r="W388"/>
  <c r="W387"/>
  <c r="W386"/>
  <c r="W385"/>
  <c r="W384"/>
  <c r="W383"/>
  <c r="W382"/>
  <c r="W381"/>
  <c r="W380"/>
  <c r="W379"/>
  <c r="W378"/>
  <c r="W377"/>
  <c r="W376"/>
  <c r="W375"/>
  <c r="W374"/>
  <c r="W373"/>
  <c r="W372"/>
  <c r="W371"/>
  <c r="W370"/>
  <c r="W369"/>
  <c r="W368"/>
  <c r="W367"/>
  <c r="W366"/>
  <c r="W365"/>
  <c r="W364"/>
  <c r="W363"/>
  <c r="W362"/>
  <c r="W361"/>
  <c r="W360"/>
  <c r="W359"/>
  <c r="W358"/>
  <c r="W357"/>
  <c r="W356"/>
  <c r="W355"/>
  <c r="W354"/>
  <c r="W353"/>
  <c r="W352"/>
  <c r="W351"/>
  <c r="W350"/>
  <c r="W349"/>
  <c r="W348"/>
  <c r="W347"/>
  <c r="W346"/>
  <c r="W345"/>
  <c r="W344"/>
  <c r="W343"/>
  <c r="W342"/>
  <c r="W341"/>
  <c r="W340"/>
  <c r="W339"/>
  <c r="W338"/>
  <c r="W337"/>
  <c r="W336"/>
  <c r="W335"/>
  <c r="W334"/>
  <c r="W333"/>
  <c r="W332"/>
  <c r="W331"/>
  <c r="W330"/>
  <c r="W329"/>
  <c r="W328"/>
  <c r="W327"/>
  <c r="W326"/>
  <c r="W325"/>
  <c r="W324"/>
  <c r="W323"/>
  <c r="W322"/>
  <c r="W321"/>
  <c r="W320"/>
  <c r="W319"/>
  <c r="W318"/>
  <c r="W317"/>
  <c r="W316"/>
  <c r="W315"/>
  <c r="W314"/>
  <c r="W313"/>
  <c r="W312"/>
  <c r="W311"/>
  <c r="W310"/>
  <c r="W309"/>
  <c r="W308"/>
  <c r="W307"/>
  <c r="W306"/>
  <c r="W305"/>
  <c r="W304"/>
  <c r="W303"/>
  <c r="W302"/>
  <c r="W301"/>
  <c r="W300"/>
  <c r="W299"/>
  <c r="W298"/>
  <c r="W297"/>
  <c r="W296"/>
  <c r="W295"/>
  <c r="W294"/>
  <c r="W293"/>
  <c r="W292"/>
  <c r="W291"/>
  <c r="W290"/>
  <c r="W289"/>
  <c r="W288"/>
  <c r="W287"/>
  <c r="W286"/>
  <c r="W285"/>
  <c r="W284"/>
  <c r="W283"/>
  <c r="W282"/>
  <c r="W281"/>
  <c r="W280"/>
  <c r="W279"/>
  <c r="W278"/>
  <c r="W277"/>
  <c r="W276"/>
  <c r="W275"/>
  <c r="W274"/>
  <c r="W273"/>
  <c r="W272"/>
  <c r="W271"/>
  <c r="W270"/>
  <c r="W269"/>
  <c r="W268"/>
  <c r="W267"/>
  <c r="W266"/>
  <c r="W265"/>
  <c r="W264"/>
  <c r="W263"/>
  <c r="W262"/>
  <c r="W261"/>
  <c r="W260"/>
  <c r="W259"/>
  <c r="W258"/>
  <c r="W257"/>
  <c r="W256"/>
  <c r="W255"/>
  <c r="W254"/>
  <c r="W253"/>
  <c r="W252"/>
  <c r="W251"/>
  <c r="W250"/>
  <c r="W249"/>
  <c r="W248"/>
  <c r="W247"/>
  <c r="W246"/>
  <c r="W245"/>
  <c r="W244"/>
  <c r="W243"/>
  <c r="W242"/>
  <c r="W241"/>
  <c r="W240"/>
  <c r="W239"/>
  <c r="W238"/>
  <c r="W237"/>
  <c r="W236"/>
  <c r="W235"/>
  <c r="W234"/>
  <c r="W233"/>
  <c r="W232"/>
  <c r="W231"/>
  <c r="W230"/>
  <c r="W229"/>
  <c r="W228"/>
  <c r="W227"/>
  <c r="W226"/>
  <c r="W225"/>
  <c r="W224"/>
  <c r="W223"/>
  <c r="W222"/>
  <c r="W221"/>
  <c r="W220"/>
  <c r="W219"/>
  <c r="W218"/>
  <c r="W217"/>
  <c r="W216"/>
  <c r="W215"/>
  <c r="W214"/>
  <c r="W213"/>
  <c r="W212"/>
  <c r="W211"/>
  <c r="W210"/>
  <c r="W209"/>
  <c r="W208"/>
  <c r="W207"/>
  <c r="W206"/>
  <c r="W205"/>
  <c r="W204"/>
  <c r="W203"/>
  <c r="W202"/>
  <c r="W201"/>
  <c r="W200"/>
  <c r="W199"/>
  <c r="W198"/>
  <c r="W197"/>
  <c r="W196"/>
  <c r="W195"/>
  <c r="W194"/>
  <c r="W193"/>
  <c r="W192"/>
  <c r="W191"/>
  <c r="W190"/>
  <c r="W189"/>
  <c r="W188"/>
  <c r="W187"/>
  <c r="W186"/>
  <c r="W185"/>
  <c r="W184"/>
  <c r="W183"/>
  <c r="W182"/>
  <c r="W181"/>
  <c r="W180"/>
  <c r="W179"/>
  <c r="W178"/>
  <c r="W177"/>
  <c r="W176"/>
  <c r="W175"/>
  <c r="W174"/>
  <c r="W173"/>
  <c r="W172"/>
  <c r="W171"/>
  <c r="W170"/>
  <c r="W169"/>
  <c r="W168"/>
  <c r="W167"/>
  <c r="W166"/>
  <c r="W165"/>
  <c r="W164"/>
  <c r="W163"/>
  <c r="W162"/>
  <c r="W161"/>
  <c r="W160"/>
  <c r="W159"/>
  <c r="W158"/>
  <c r="W157"/>
  <c r="W156"/>
  <c r="W155"/>
  <c r="W154"/>
  <c r="W153"/>
  <c r="W152"/>
  <c r="W151"/>
  <c r="W150"/>
  <c r="W149"/>
  <c r="W148"/>
  <c r="W147"/>
  <c r="W146"/>
  <c r="W145"/>
  <c r="W144"/>
  <c r="W143"/>
  <c r="W142"/>
  <c r="W141"/>
  <c r="W140"/>
  <c r="W139"/>
  <c r="W138"/>
  <c r="W137"/>
  <c r="W136"/>
  <c r="W135"/>
  <c r="W134"/>
  <c r="W133"/>
  <c r="W132"/>
  <c r="W131"/>
  <c r="W130"/>
  <c r="W129"/>
  <c r="W128"/>
  <c r="W127"/>
  <c r="W126"/>
  <c r="W125"/>
  <c r="W124"/>
  <c r="W123"/>
  <c r="W122"/>
  <c r="W121"/>
  <c r="W120"/>
  <c r="W119"/>
  <c r="W118"/>
  <c r="W117"/>
  <c r="W116"/>
  <c r="W115"/>
  <c r="W114"/>
  <c r="W113"/>
  <c r="W112"/>
  <c r="W111"/>
  <c r="W110"/>
  <c r="W109"/>
  <c r="W108"/>
  <c r="W107"/>
  <c r="W106"/>
  <c r="W105"/>
  <c r="W104"/>
  <c r="W103"/>
  <c r="W102"/>
  <c r="W101"/>
  <c r="W100"/>
  <c r="W99"/>
  <c r="W98"/>
  <c r="W97"/>
  <c r="W96"/>
  <c r="W95"/>
  <c r="W94"/>
  <c r="W93"/>
  <c r="W92"/>
  <c r="W91"/>
  <c r="W90"/>
  <c r="W89"/>
  <c r="W88"/>
  <c r="W87"/>
  <c r="W86"/>
  <c r="W85"/>
  <c r="W84"/>
  <c r="W83"/>
  <c r="W82"/>
  <c r="W81"/>
  <c r="W80"/>
  <c r="W79"/>
  <c r="W78"/>
  <c r="W77"/>
  <c r="W76"/>
  <c r="W75"/>
  <c r="W74"/>
  <c r="W73"/>
  <c r="W72"/>
  <c r="W71"/>
  <c r="W70"/>
  <c r="W69"/>
  <c r="W68"/>
  <c r="W67"/>
  <c r="W66"/>
  <c r="W65"/>
  <c r="W64"/>
  <c r="W63"/>
  <c r="W62"/>
  <c r="W61"/>
  <c r="W60"/>
  <c r="W59"/>
  <c r="W58"/>
  <c r="W57"/>
  <c r="W56"/>
  <c r="W55"/>
  <c r="W48"/>
  <c r="W47"/>
  <c r="W46"/>
  <c r="W45"/>
  <c r="W44"/>
  <c r="W1581"/>
  <c r="W43"/>
  <c r="W42"/>
  <c r="W41"/>
  <c r="W40"/>
  <c r="W39"/>
  <c r="W38"/>
  <c r="W37"/>
  <c r="W36"/>
  <c r="W35"/>
  <c r="W34"/>
  <c r="W33"/>
  <c r="W32"/>
  <c r="W31"/>
  <c r="W30"/>
  <c r="W29"/>
  <c r="W28"/>
  <c r="W27"/>
  <c r="W25"/>
  <c r="W24"/>
  <c r="W23"/>
  <c r="W22"/>
  <c r="W54"/>
  <c r="W21"/>
  <c r="W20"/>
  <c r="W19"/>
  <c r="W18"/>
  <c r="W17"/>
  <c r="W16"/>
  <c r="W15"/>
  <c r="W6"/>
  <c r="L854" i="16"/>
  <c r="L853"/>
  <c r="L852"/>
  <c r="L851"/>
  <c r="L850"/>
  <c r="L849"/>
  <c r="L848"/>
  <c r="L847"/>
  <c r="L846"/>
  <c r="L845"/>
  <c r="L844"/>
  <c r="L843"/>
  <c r="L842"/>
  <c r="L841"/>
  <c r="L840"/>
  <c r="L839"/>
  <c r="L838"/>
  <c r="L837"/>
  <c r="L836"/>
  <c r="L835"/>
  <c r="L834"/>
  <c r="L833"/>
  <c r="L832"/>
  <c r="L831"/>
  <c r="L830"/>
  <c r="L829"/>
  <c r="L828"/>
  <c r="L827"/>
  <c r="L826"/>
  <c r="L825"/>
  <c r="L824"/>
  <c r="L823"/>
  <c r="L822"/>
  <c r="L821"/>
  <c r="L820"/>
  <c r="L819"/>
  <c r="L818"/>
  <c r="L817"/>
  <c r="L816"/>
  <c r="L815"/>
  <c r="L814"/>
  <c r="L813"/>
  <c r="L812"/>
  <c r="L811"/>
  <c r="L810"/>
  <c r="L809"/>
  <c r="L808"/>
  <c r="L807"/>
  <c r="L806"/>
  <c r="L805"/>
  <c r="L804"/>
  <c r="L803"/>
  <c r="L802"/>
  <c r="L801"/>
  <c r="L800"/>
  <c r="L799"/>
  <c r="L798"/>
  <c r="L797"/>
  <c r="L796"/>
  <c r="L795"/>
  <c r="L794"/>
  <c r="L793"/>
  <c r="L792"/>
  <c r="L791"/>
  <c r="L790"/>
  <c r="L789"/>
  <c r="L788"/>
  <c r="L787"/>
  <c r="L786"/>
  <c r="L785"/>
  <c r="L784"/>
  <c r="L783"/>
  <c r="L782"/>
  <c r="L781"/>
  <c r="L780"/>
  <c r="L779"/>
  <c r="L778"/>
  <c r="L777"/>
  <c r="L776"/>
  <c r="L775"/>
  <c r="L774"/>
  <c r="L773"/>
  <c r="L772"/>
  <c r="L771"/>
  <c r="L770"/>
  <c r="L769"/>
  <c r="L768"/>
  <c r="L767"/>
  <c r="L766"/>
  <c r="L765"/>
  <c r="L764"/>
  <c r="L763"/>
  <c r="L762"/>
  <c r="L761"/>
  <c r="L760"/>
  <c r="L759"/>
  <c r="L758"/>
  <c r="L757"/>
  <c r="L756"/>
  <c r="L755"/>
  <c r="L754"/>
  <c r="L753"/>
  <c r="L752"/>
  <c r="L751"/>
  <c r="L750"/>
  <c r="L749"/>
  <c r="L748"/>
  <c r="L747"/>
  <c r="L746"/>
  <c r="L745"/>
  <c r="L744"/>
  <c r="L743"/>
  <c r="L742"/>
  <c r="L741"/>
  <c r="L740"/>
  <c r="L739"/>
  <c r="L738"/>
  <c r="L737"/>
  <c r="L736"/>
  <c r="L735"/>
  <c r="L734"/>
  <c r="L733"/>
  <c r="L732"/>
  <c r="L731"/>
  <c r="L730"/>
  <c r="L729"/>
  <c r="L728"/>
  <c r="L727"/>
  <c r="L726"/>
  <c r="L725"/>
  <c r="L724"/>
  <c r="L723"/>
  <c r="L722"/>
  <c r="L721"/>
  <c r="L720"/>
  <c r="L719"/>
  <c r="L718"/>
  <c r="L717"/>
  <c r="L716"/>
  <c r="L715"/>
  <c r="L714"/>
  <c r="L713"/>
  <c r="L712"/>
  <c r="L711"/>
  <c r="L710"/>
  <c r="L709"/>
  <c r="L708"/>
  <c r="L707"/>
  <c r="L706"/>
  <c r="L705"/>
  <c r="L704"/>
  <c r="L703"/>
  <c r="L702"/>
  <c r="L701"/>
  <c r="L700"/>
  <c r="L699"/>
  <c r="L698"/>
  <c r="L697"/>
  <c r="L696"/>
  <c r="L695"/>
  <c r="L694"/>
  <c r="L693"/>
  <c r="L692"/>
  <c r="L691"/>
  <c r="L690"/>
  <c r="L689"/>
  <c r="L688"/>
  <c r="L687"/>
  <c r="L686"/>
  <c r="L685"/>
  <c r="L684"/>
  <c r="L683"/>
  <c r="L682"/>
  <c r="L681"/>
  <c r="L680"/>
  <c r="L679"/>
  <c r="L678"/>
  <c r="L677"/>
  <c r="L676"/>
  <c r="L675"/>
  <c r="L674"/>
  <c r="L673"/>
  <c r="L672"/>
  <c r="L671"/>
  <c r="L670"/>
  <c r="L669"/>
  <c r="L668"/>
  <c r="L667"/>
  <c r="L666"/>
  <c r="L665"/>
  <c r="L664"/>
  <c r="L663"/>
  <c r="L662"/>
  <c r="L661"/>
  <c r="L660"/>
  <c r="L659"/>
  <c r="L658"/>
  <c r="L657"/>
  <c r="L656"/>
  <c r="L655"/>
  <c r="L654"/>
  <c r="L653"/>
  <c r="L652"/>
  <c r="L651"/>
  <c r="L650"/>
  <c r="L649"/>
  <c r="L648"/>
  <c r="L647"/>
  <c r="L646"/>
  <c r="L645"/>
  <c r="L644"/>
  <c r="L643"/>
  <c r="L642"/>
  <c r="L641"/>
  <c r="L640"/>
  <c r="L639"/>
  <c r="L638"/>
  <c r="L637"/>
  <c r="L636"/>
  <c r="L635"/>
  <c r="L634"/>
  <c r="L633"/>
  <c r="L632"/>
  <c r="L631"/>
  <c r="L630"/>
  <c r="L629"/>
  <c r="L628"/>
  <c r="L627"/>
  <c r="L626"/>
  <c r="L625"/>
  <c r="L624"/>
  <c r="L623"/>
  <c r="L622"/>
  <c r="L621"/>
  <c r="L620"/>
  <c r="L619"/>
  <c r="L618"/>
  <c r="L617"/>
  <c r="L616"/>
  <c r="L615"/>
  <c r="L614"/>
  <c r="L613"/>
  <c r="L612"/>
  <c r="L611"/>
  <c r="L610"/>
  <c r="L609"/>
  <c r="L608"/>
  <c r="L607"/>
  <c r="L606"/>
  <c r="L605"/>
  <c r="L604"/>
  <c r="L603"/>
  <c r="L602"/>
  <c r="L601"/>
  <c r="L600"/>
  <c r="L599"/>
  <c r="L598"/>
  <c r="L597"/>
  <c r="L596"/>
  <c r="L595"/>
  <c r="L594"/>
  <c r="L593"/>
  <c r="L592"/>
  <c r="L591"/>
  <c r="L590"/>
  <c r="L589"/>
  <c r="L588"/>
  <c r="L587"/>
  <c r="L586"/>
  <c r="L585"/>
  <c r="L584"/>
  <c r="L583"/>
  <c r="L582"/>
  <c r="L581"/>
  <c r="L580"/>
  <c r="L579"/>
  <c r="L578"/>
  <c r="L577"/>
  <c r="L576"/>
  <c r="L575"/>
  <c r="L574"/>
  <c r="L573"/>
  <c r="L572"/>
  <c r="L571"/>
  <c r="L570"/>
  <c r="L569"/>
  <c r="L568"/>
  <c r="L567"/>
  <c r="L566"/>
  <c r="L565"/>
  <c r="L564"/>
  <c r="L563"/>
  <c r="L562"/>
  <c r="L561"/>
  <c r="L560"/>
  <c r="L559"/>
  <c r="L558"/>
  <c r="L557"/>
  <c r="L556"/>
  <c r="L555"/>
  <c r="L554"/>
  <c r="L553"/>
  <c r="L552"/>
  <c r="L551"/>
  <c r="L550"/>
  <c r="L549"/>
  <c r="L548"/>
  <c r="L547"/>
  <c r="L546"/>
  <c r="L545"/>
  <c r="L544"/>
  <c r="L543"/>
  <c r="L542"/>
  <c r="L541"/>
  <c r="L540"/>
  <c r="L539"/>
  <c r="L538"/>
  <c r="L537"/>
  <c r="L536"/>
  <c r="L535"/>
  <c r="L534"/>
  <c r="L533"/>
  <c r="L532"/>
  <c r="L531"/>
  <c r="L530"/>
  <c r="L529"/>
  <c r="L528"/>
  <c r="L527"/>
  <c r="L526"/>
  <c r="L525"/>
  <c r="L524"/>
  <c r="L523"/>
  <c r="L522"/>
  <c r="L521"/>
  <c r="L520"/>
  <c r="L519"/>
  <c r="L518"/>
  <c r="L517"/>
  <c r="L516"/>
  <c r="L515"/>
  <c r="L514"/>
  <c r="L513"/>
  <c r="L512"/>
  <c r="L511"/>
  <c r="L510"/>
  <c r="L509"/>
  <c r="L508"/>
  <c r="L507"/>
  <c r="L506"/>
  <c r="L505"/>
  <c r="L504"/>
  <c r="L503"/>
  <c r="L502"/>
  <c r="L501"/>
  <c r="L500"/>
  <c r="L499"/>
  <c r="L498"/>
  <c r="L497"/>
  <c r="L496"/>
  <c r="L495"/>
  <c r="L494"/>
  <c r="L493"/>
  <c r="L492"/>
  <c r="L491"/>
  <c r="L490"/>
  <c r="L489"/>
  <c r="L488"/>
  <c r="L487"/>
  <c r="L486"/>
  <c r="L485"/>
  <c r="L484"/>
  <c r="L483"/>
  <c r="L482"/>
  <c r="L481"/>
  <c r="L480"/>
  <c r="L479"/>
  <c r="L478"/>
  <c r="L477"/>
  <c r="L476"/>
  <c r="L475"/>
  <c r="L474"/>
  <c r="L473"/>
  <c r="L472"/>
  <c r="L471"/>
  <c r="L470"/>
  <c r="L469"/>
  <c r="L468"/>
  <c r="L467"/>
  <c r="L466"/>
  <c r="L465"/>
  <c r="L464"/>
  <c r="L463"/>
  <c r="L462"/>
  <c r="L461"/>
  <c r="L460"/>
  <c r="L459"/>
  <c r="L458"/>
  <c r="L457"/>
  <c r="L456"/>
  <c r="L455"/>
  <c r="L454"/>
  <c r="L453"/>
  <c r="L452"/>
  <c r="L451"/>
  <c r="L450"/>
  <c r="L449"/>
  <c r="L448"/>
  <c r="L447"/>
  <c r="L446"/>
  <c r="L445"/>
  <c r="L444"/>
  <c r="L443"/>
  <c r="L442"/>
  <c r="L441"/>
  <c r="L440"/>
  <c r="L439"/>
  <c r="L438"/>
  <c r="L437"/>
  <c r="L436"/>
  <c r="L435"/>
  <c r="L434"/>
  <c r="L433"/>
  <c r="L432"/>
  <c r="L431"/>
  <c r="L430"/>
  <c r="L429"/>
  <c r="L428"/>
  <c r="L427"/>
  <c r="L426"/>
  <c r="L425"/>
  <c r="L424"/>
  <c r="L423"/>
  <c r="L422"/>
  <c r="L421"/>
  <c r="L420"/>
  <c r="L419"/>
  <c r="L418"/>
  <c r="L417"/>
  <c r="L416"/>
  <c r="L415"/>
  <c r="L414"/>
  <c r="L413"/>
  <c r="L412"/>
  <c r="L411"/>
  <c r="L410"/>
  <c r="L409"/>
  <c r="L408"/>
  <c r="L407"/>
  <c r="L406"/>
  <c r="L405"/>
  <c r="L404"/>
  <c r="L403"/>
  <c r="L402"/>
  <c r="L401"/>
  <c r="L400"/>
  <c r="L399"/>
  <c r="L398"/>
  <c r="L397"/>
  <c r="L396"/>
  <c r="L395"/>
  <c r="L394"/>
  <c r="L393"/>
  <c r="L392"/>
  <c r="L391"/>
  <c r="L390"/>
  <c r="L389"/>
  <c r="L388"/>
  <c r="L387"/>
  <c r="L386"/>
  <c r="L385"/>
  <c r="L384"/>
  <c r="L383"/>
  <c r="L382"/>
  <c r="L381"/>
  <c r="L380"/>
  <c r="L379"/>
  <c r="L378"/>
  <c r="L377"/>
  <c r="L376"/>
  <c r="L375"/>
  <c r="L374"/>
  <c r="L373"/>
  <c r="L372"/>
  <c r="L371"/>
  <c r="L370"/>
  <c r="L369"/>
  <c r="L368"/>
  <c r="L367"/>
  <c r="L366"/>
  <c r="L365"/>
  <c r="L364"/>
  <c r="L363"/>
  <c r="L362"/>
  <c r="L361"/>
  <c r="L360"/>
  <c r="L359"/>
  <c r="L358"/>
  <c r="L357"/>
  <c r="L356"/>
  <c r="L355"/>
  <c r="L354"/>
  <c r="L353"/>
  <c r="L352"/>
  <c r="L351"/>
  <c r="L350"/>
  <c r="L349"/>
  <c r="L348"/>
  <c r="L347"/>
  <c r="L346"/>
  <c r="L345"/>
  <c r="L344"/>
  <c r="L343"/>
  <c r="L342"/>
  <c r="L341"/>
  <c r="L340"/>
  <c r="L339"/>
  <c r="L338"/>
  <c r="L337"/>
  <c r="L336"/>
  <c r="L335"/>
  <c r="L334"/>
  <c r="L333"/>
  <c r="L332"/>
  <c r="L331"/>
  <c r="L330"/>
  <c r="L329"/>
  <c r="L328"/>
  <c r="L327"/>
  <c r="L326"/>
  <c r="L325"/>
  <c r="L324"/>
  <c r="L323"/>
  <c r="L322"/>
  <c r="L321"/>
  <c r="L320"/>
  <c r="L319"/>
  <c r="L318"/>
  <c r="L317"/>
  <c r="L316"/>
  <c r="L315"/>
  <c r="L314"/>
  <c r="L313"/>
  <c r="L312"/>
  <c r="L311"/>
  <c r="L310"/>
  <c r="L309"/>
  <c r="L308"/>
  <c r="L307"/>
  <c r="L306"/>
  <c r="L305"/>
  <c r="L304"/>
  <c r="L303"/>
  <c r="L302"/>
  <c r="L301"/>
  <c r="L300"/>
  <c r="L299"/>
  <c r="L298"/>
  <c r="L297"/>
  <c r="L296"/>
  <c r="L295"/>
  <c r="L294"/>
  <c r="L293"/>
  <c r="L292"/>
  <c r="L291"/>
  <c r="L290"/>
  <c r="L289"/>
  <c r="L288"/>
  <c r="L287"/>
  <c r="L286"/>
  <c r="L285"/>
  <c r="L284"/>
  <c r="L283"/>
  <c r="L282"/>
  <c r="L281"/>
  <c r="L280"/>
  <c r="L279"/>
  <c r="L278"/>
  <c r="L277"/>
  <c r="L276"/>
  <c r="L275"/>
  <c r="L274"/>
  <c r="L273"/>
  <c r="L272"/>
  <c r="L271"/>
  <c r="L270"/>
  <c r="L269"/>
  <c r="L268"/>
  <c r="L267"/>
  <c r="L266"/>
  <c r="L265"/>
  <c r="L264"/>
  <c r="L263"/>
  <c r="L262"/>
  <c r="L261"/>
  <c r="L260"/>
  <c r="L259"/>
  <c r="L258"/>
  <c r="L257"/>
  <c r="L256"/>
  <c r="L255"/>
  <c r="L254"/>
  <c r="L253"/>
  <c r="L252"/>
  <c r="L251"/>
  <c r="L250"/>
  <c r="L249"/>
  <c r="L248"/>
  <c r="L247"/>
  <c r="L246"/>
  <c r="L245"/>
  <c r="L244"/>
  <c r="L243"/>
  <c r="L242"/>
  <c r="L241"/>
  <c r="L240"/>
  <c r="L239"/>
  <c r="L238"/>
  <c r="L237"/>
  <c r="L236"/>
  <c r="L235"/>
  <c r="L234"/>
  <c r="L233"/>
  <c r="L232"/>
  <c r="L231"/>
  <c r="L230"/>
  <c r="L229"/>
  <c r="L228"/>
  <c r="L227"/>
  <c r="L226"/>
  <c r="L225"/>
  <c r="L224"/>
  <c r="L223"/>
  <c r="L222"/>
  <c r="L221"/>
  <c r="L220"/>
  <c r="L219"/>
  <c r="L218"/>
  <c r="L217"/>
  <c r="L216"/>
  <c r="L215"/>
  <c r="L214"/>
  <c r="L213"/>
  <c r="L212"/>
  <c r="L211"/>
  <c r="L210"/>
  <c r="L209"/>
  <c r="L208"/>
  <c r="L207"/>
  <c r="L206"/>
  <c r="L205"/>
  <c r="L204"/>
  <c r="L203"/>
  <c r="L202"/>
  <c r="L201"/>
  <c r="L200"/>
  <c r="L199"/>
  <c r="L198"/>
  <c r="L197"/>
  <c r="L196"/>
  <c r="L195"/>
  <c r="L194"/>
  <c r="L193"/>
  <c r="L192"/>
  <c r="L191"/>
  <c r="L190"/>
  <c r="L189"/>
  <c r="L188"/>
  <c r="L187"/>
  <c r="L186"/>
  <c r="L185"/>
  <c r="L184"/>
  <c r="L183"/>
  <c r="L182"/>
  <c r="L181"/>
  <c r="L180"/>
  <c r="L179"/>
  <c r="L178"/>
  <c r="L177"/>
  <c r="L176"/>
  <c r="L175"/>
  <c r="L174"/>
  <c r="L173"/>
  <c r="L172"/>
  <c r="L171"/>
  <c r="L170"/>
  <c r="L169"/>
  <c r="L168"/>
  <c r="L167"/>
  <c r="L166"/>
  <c r="L165"/>
  <c r="L164"/>
  <c r="L163"/>
  <c r="L162"/>
  <c r="L161"/>
  <c r="L160"/>
  <c r="L159"/>
  <c r="L158"/>
  <c r="L157"/>
  <c r="L156"/>
  <c r="L155"/>
  <c r="L154"/>
  <c r="L153"/>
  <c r="L152"/>
  <c r="L151"/>
  <c r="L150"/>
  <c r="L149"/>
  <c r="L148"/>
  <c r="L147"/>
  <c r="L146"/>
  <c r="L145"/>
  <c r="L144"/>
  <c r="L143"/>
  <c r="L142"/>
  <c r="L141"/>
  <c r="L140"/>
  <c r="L139"/>
  <c r="L138"/>
  <c r="L137"/>
  <c r="L136"/>
  <c r="L135"/>
  <c r="L134"/>
  <c r="L133"/>
  <c r="L132"/>
  <c r="L131"/>
  <c r="L130"/>
  <c r="L129"/>
  <c r="L128"/>
  <c r="L127"/>
  <c r="L126"/>
  <c r="L125"/>
  <c r="L124"/>
  <c r="L123"/>
  <c r="L122"/>
  <c r="L121"/>
  <c r="L120"/>
  <c r="L119"/>
  <c r="L118"/>
  <c r="L117"/>
  <c r="L116"/>
  <c r="L115"/>
  <c r="L114"/>
  <c r="L113"/>
  <c r="L112"/>
  <c r="L111"/>
  <c r="L110"/>
  <c r="L109"/>
  <c r="L108"/>
  <c r="L107"/>
  <c r="L106"/>
  <c r="L105"/>
  <c r="L104"/>
  <c r="L103"/>
  <c r="L102"/>
  <c r="L101"/>
  <c r="L100"/>
  <c r="L99"/>
  <c r="L98"/>
  <c r="L97"/>
  <c r="L96"/>
  <c r="L95"/>
  <c r="L94"/>
  <c r="L93"/>
  <c r="L92"/>
  <c r="L91"/>
  <c r="L90"/>
  <c r="L89"/>
  <c r="L88"/>
  <c r="L87"/>
  <c r="L86"/>
  <c r="L85"/>
  <c r="L84"/>
  <c r="L83"/>
  <c r="L82"/>
  <c r="L81"/>
  <c r="L80"/>
  <c r="L79"/>
  <c r="L78"/>
  <c r="L77"/>
  <c r="L76"/>
  <c r="L75"/>
  <c r="L74"/>
  <c r="L73"/>
  <c r="L72"/>
  <c r="L71"/>
  <c r="L70"/>
  <c r="L69"/>
  <c r="L68"/>
  <c r="L67"/>
  <c r="L66"/>
  <c r="L65"/>
  <c r="L64"/>
  <c r="L63"/>
  <c r="L62"/>
  <c r="L61"/>
  <c r="L60"/>
  <c r="L59"/>
  <c r="L58"/>
  <c r="L57"/>
  <c r="L56"/>
  <c r="L55"/>
  <c r="L54"/>
  <c r="L53"/>
  <c r="L52"/>
  <c r="L51"/>
  <c r="L50"/>
  <c r="L49"/>
  <c r="L48"/>
  <c r="L47"/>
  <c r="L46"/>
  <c r="L45"/>
  <c r="L44"/>
  <c r="L43"/>
  <c r="L42"/>
  <c r="L41"/>
  <c r="L40"/>
  <c r="L39"/>
  <c r="L38"/>
  <c r="L37"/>
  <c r="L36"/>
  <c r="L35"/>
  <c r="L34"/>
  <c r="L33"/>
  <c r="L32"/>
  <c r="L31"/>
  <c r="L30"/>
  <c r="L29"/>
  <c r="L28"/>
  <c r="L27"/>
  <c r="L26"/>
  <c r="L25"/>
  <c r="L24"/>
  <c r="L23"/>
  <c r="L22"/>
  <c r="L21"/>
  <c r="L20"/>
  <c r="L19"/>
  <c r="L18"/>
  <c r="L17"/>
  <c r="L16"/>
  <c r="L15"/>
  <c r="L14"/>
  <c r="L13"/>
  <c r="L12"/>
  <c r="L11"/>
  <c r="L10"/>
  <c r="L9"/>
  <c r="L8"/>
  <c r="L7"/>
  <c r="L6"/>
  <c r="L5"/>
  <c r="L4"/>
  <c r="L3"/>
  <c r="L2"/>
  <c r="A452" i="17"/>
  <c r="Y452"/>
  <c r="X452"/>
  <c r="W452"/>
  <c r="V452"/>
  <c r="U452"/>
  <c r="T452"/>
  <c r="S452"/>
  <c r="R452"/>
  <c r="Q452"/>
  <c r="P452"/>
  <c r="O452"/>
  <c r="N452"/>
  <c r="M452"/>
  <c r="L452"/>
  <c r="K452"/>
  <c r="J452"/>
  <c r="I452"/>
  <c r="H452"/>
  <c r="G452"/>
  <c r="F452"/>
  <c r="E452"/>
  <c r="D452"/>
  <c r="C452"/>
  <c r="B452"/>
  <c r="A451"/>
  <c r="Y451"/>
  <c r="X451"/>
  <c r="W451"/>
  <c r="V451"/>
  <c r="U451"/>
  <c r="T451"/>
  <c r="S451"/>
  <c r="R451"/>
  <c r="Q451"/>
  <c r="P451"/>
  <c r="O451"/>
  <c r="N451"/>
  <c r="M451"/>
  <c r="L451"/>
  <c r="K451"/>
  <c r="J451"/>
  <c r="I451"/>
  <c r="H451"/>
  <c r="G451"/>
  <c r="F451"/>
  <c r="E451"/>
  <c r="D451"/>
  <c r="C451"/>
  <c r="B451"/>
  <c r="A450"/>
  <c r="Y450"/>
  <c r="X450"/>
  <c r="W450"/>
  <c r="V450"/>
  <c r="U450"/>
  <c r="T450"/>
  <c r="S450"/>
  <c r="R450"/>
  <c r="Q450"/>
  <c r="P450"/>
  <c r="O450"/>
  <c r="N450"/>
  <c r="M450"/>
  <c r="L450"/>
  <c r="K450"/>
  <c r="J450"/>
  <c r="I450"/>
  <c r="H450"/>
  <c r="G450"/>
  <c r="F450"/>
  <c r="E450"/>
  <c r="D450"/>
  <c r="C450"/>
  <c r="B450"/>
  <c r="A449"/>
  <c r="Y449"/>
  <c r="X449"/>
  <c r="W449"/>
  <c r="V449"/>
  <c r="U449"/>
  <c r="T449"/>
  <c r="S449"/>
  <c r="R449"/>
  <c r="Q449"/>
  <c r="P449"/>
  <c r="O449"/>
  <c r="N449"/>
  <c r="M449"/>
  <c r="L449"/>
  <c r="K449"/>
  <c r="J449"/>
  <c r="I449"/>
  <c r="H449"/>
  <c r="G449"/>
  <c r="F449"/>
  <c r="E449"/>
  <c r="D449"/>
  <c r="C449"/>
  <c r="B449"/>
  <c r="A448"/>
  <c r="Y448"/>
  <c r="X448"/>
  <c r="W448"/>
  <c r="V448"/>
  <c r="U448"/>
  <c r="T448"/>
  <c r="S448"/>
  <c r="R448"/>
  <c r="Q448"/>
  <c r="P448"/>
  <c r="O448"/>
  <c r="N448"/>
  <c r="M448"/>
  <c r="L448"/>
  <c r="K448"/>
  <c r="J448"/>
  <c r="I448"/>
  <c r="H448"/>
  <c r="G448"/>
  <c r="F448"/>
  <c r="E448"/>
  <c r="D448"/>
  <c r="C448"/>
  <c r="B448"/>
  <c r="A447"/>
  <c r="Y447"/>
  <c r="X447"/>
  <c r="W447"/>
  <c r="V447"/>
  <c r="U447"/>
  <c r="T447"/>
  <c r="S447"/>
  <c r="R447"/>
  <c r="Q447"/>
  <c r="P447"/>
  <c r="O447"/>
  <c r="N447"/>
  <c r="M447"/>
  <c r="L447"/>
  <c r="K447"/>
  <c r="J447"/>
  <c r="I447"/>
  <c r="H447"/>
  <c r="G447"/>
  <c r="F447"/>
  <c r="E447"/>
  <c r="D447"/>
  <c r="C447"/>
  <c r="B447"/>
  <c r="A446"/>
  <c r="Y446"/>
  <c r="X446"/>
  <c r="W446"/>
  <c r="V446"/>
  <c r="U446"/>
  <c r="T446"/>
  <c r="S446"/>
  <c r="R446"/>
  <c r="Q446"/>
  <c r="P446"/>
  <c r="O446"/>
  <c r="N446"/>
  <c r="M446"/>
  <c r="L446"/>
  <c r="K446"/>
  <c r="J446"/>
  <c r="I446"/>
  <c r="H446"/>
  <c r="G446"/>
  <c r="F446"/>
  <c r="E446"/>
  <c r="D446"/>
  <c r="C446"/>
  <c r="B446"/>
  <c r="A445"/>
  <c r="Y445"/>
  <c r="X445"/>
  <c r="W445"/>
  <c r="V445"/>
  <c r="U445"/>
  <c r="T445"/>
  <c r="S445"/>
  <c r="R445"/>
  <c r="Q445"/>
  <c r="P445"/>
  <c r="O445"/>
  <c r="N445"/>
  <c r="M445"/>
  <c r="L445"/>
  <c r="K445"/>
  <c r="J445"/>
  <c r="I445"/>
  <c r="H445"/>
  <c r="G445"/>
  <c r="F445"/>
  <c r="E445"/>
  <c r="D445"/>
  <c r="C445"/>
  <c r="B445"/>
  <c r="A444"/>
  <c r="Y444"/>
  <c r="X444"/>
  <c r="W444"/>
  <c r="V444"/>
  <c r="U444"/>
  <c r="T444"/>
  <c r="S444"/>
  <c r="R444"/>
  <c r="Q444"/>
  <c r="P444"/>
  <c r="O444"/>
  <c r="N444"/>
  <c r="M444"/>
  <c r="L444"/>
  <c r="K444"/>
  <c r="J444"/>
  <c r="I444"/>
  <c r="H444"/>
  <c r="G444"/>
  <c r="F444"/>
  <c r="E444"/>
  <c r="D444"/>
  <c r="C444"/>
  <c r="B444"/>
  <c r="A443"/>
  <c r="Y443"/>
  <c r="X443"/>
  <c r="W443"/>
  <c r="V443"/>
  <c r="U443"/>
  <c r="T443"/>
  <c r="S443"/>
  <c r="R443"/>
  <c r="Q443"/>
  <c r="P443"/>
  <c r="O443"/>
  <c r="N443"/>
  <c r="M443"/>
  <c r="L443"/>
  <c r="K443"/>
  <c r="J443"/>
  <c r="I443"/>
  <c r="H443"/>
  <c r="G443"/>
  <c r="F443"/>
  <c r="E443"/>
  <c r="D443"/>
  <c r="C443"/>
  <c r="B443"/>
  <c r="A442"/>
  <c r="Y442"/>
  <c r="X442"/>
  <c r="W442"/>
  <c r="V442"/>
  <c r="U442"/>
  <c r="T442"/>
  <c r="S442"/>
  <c r="R442"/>
  <c r="Q442"/>
  <c r="P442"/>
  <c r="O442"/>
  <c r="N442"/>
  <c r="M442"/>
  <c r="L442"/>
  <c r="K442"/>
  <c r="J442"/>
  <c r="I442"/>
  <c r="H442"/>
  <c r="G442"/>
  <c r="F442"/>
  <c r="E442"/>
  <c r="D442"/>
  <c r="C442"/>
  <c r="B442"/>
  <c r="A441"/>
  <c r="Y441"/>
  <c r="X441"/>
  <c r="W441"/>
  <c r="V441"/>
  <c r="U441"/>
  <c r="T441"/>
  <c r="S441"/>
  <c r="R441"/>
  <c r="Q441"/>
  <c r="P441"/>
  <c r="O441"/>
  <c r="N441"/>
  <c r="M441"/>
  <c r="L441"/>
  <c r="K441"/>
  <c r="J441"/>
  <c r="I441"/>
  <c r="H441"/>
  <c r="G441"/>
  <c r="F441"/>
  <c r="E441"/>
  <c r="D441"/>
  <c r="C441"/>
  <c r="B441"/>
  <c r="A440"/>
  <c r="Y440"/>
  <c r="X440"/>
  <c r="W440"/>
  <c r="V440"/>
  <c r="U440"/>
  <c r="T440"/>
  <c r="S440"/>
  <c r="R440"/>
  <c r="Q440"/>
  <c r="P440"/>
  <c r="O440"/>
  <c r="N440"/>
  <c r="M440"/>
  <c r="L440"/>
  <c r="K440"/>
  <c r="J440"/>
  <c r="I440"/>
  <c r="H440"/>
  <c r="G440"/>
  <c r="F440"/>
  <c r="E440"/>
  <c r="D440"/>
  <c r="C440"/>
  <c r="B440"/>
  <c r="A439"/>
  <c r="Y439"/>
  <c r="X439"/>
  <c r="W439"/>
  <c r="V439"/>
  <c r="U439"/>
  <c r="T439"/>
  <c r="S439"/>
  <c r="R439"/>
  <c r="Q439"/>
  <c r="P439"/>
  <c r="O439"/>
  <c r="N439"/>
  <c r="M439"/>
  <c r="L439"/>
  <c r="K439"/>
  <c r="J439"/>
  <c r="I439"/>
  <c r="H439"/>
  <c r="G439"/>
  <c r="F439"/>
  <c r="E439"/>
  <c r="D439"/>
  <c r="C439"/>
  <c r="B439"/>
  <c r="A438"/>
  <c r="Y438"/>
  <c r="X438"/>
  <c r="W438"/>
  <c r="V438"/>
  <c r="U438"/>
  <c r="T438"/>
  <c r="S438"/>
  <c r="R438"/>
  <c r="Q438"/>
  <c r="P438"/>
  <c r="O438"/>
  <c r="N438"/>
  <c r="M438"/>
  <c r="L438"/>
  <c r="K438"/>
  <c r="J438"/>
  <c r="I438"/>
  <c r="H438"/>
  <c r="G438"/>
  <c r="F438"/>
  <c r="E438"/>
  <c r="D438"/>
  <c r="C438"/>
  <c r="B438"/>
  <c r="A437"/>
  <c r="Y437"/>
  <c r="X437"/>
  <c r="W437"/>
  <c r="V437"/>
  <c r="U437"/>
  <c r="T437"/>
  <c r="S437"/>
  <c r="R437"/>
  <c r="Q437"/>
  <c r="P437"/>
  <c r="O437"/>
  <c r="N437"/>
  <c r="M437"/>
  <c r="L437"/>
  <c r="K437"/>
  <c r="J437"/>
  <c r="I437"/>
  <c r="H437"/>
  <c r="G437"/>
  <c r="F437"/>
  <c r="E437"/>
  <c r="D437"/>
  <c r="C437"/>
  <c r="B437"/>
  <c r="A436"/>
  <c r="Y436"/>
  <c r="X436"/>
  <c r="W436"/>
  <c r="V436"/>
  <c r="U436"/>
  <c r="T436"/>
  <c r="S436"/>
  <c r="R436"/>
  <c r="Q436"/>
  <c r="P436"/>
  <c r="O436"/>
  <c r="N436"/>
  <c r="M436"/>
  <c r="L436"/>
  <c r="K436"/>
  <c r="J436"/>
  <c r="I436"/>
  <c r="H436"/>
  <c r="G436"/>
  <c r="F436"/>
  <c r="E436"/>
  <c r="D436"/>
  <c r="C436"/>
  <c r="B436"/>
  <c r="A435"/>
  <c r="Y435"/>
  <c r="X435"/>
  <c r="W435"/>
  <c r="V435"/>
  <c r="U435"/>
  <c r="T435"/>
  <c r="S435"/>
  <c r="R435"/>
  <c r="Q435"/>
  <c r="P435"/>
  <c r="O435"/>
  <c r="N435"/>
  <c r="M435"/>
  <c r="L435"/>
  <c r="K435"/>
  <c r="J435"/>
  <c r="I435"/>
  <c r="H435"/>
  <c r="G435"/>
  <c r="F435"/>
  <c r="E435"/>
  <c r="D435"/>
  <c r="C435"/>
  <c r="B435"/>
  <c r="A434"/>
  <c r="Y434"/>
  <c r="X434"/>
  <c r="W434"/>
  <c r="V434"/>
  <c r="U434"/>
  <c r="T434"/>
  <c r="S434"/>
  <c r="R434"/>
  <c r="Q434"/>
  <c r="P434"/>
  <c r="O434"/>
  <c r="N434"/>
  <c r="M434"/>
  <c r="L434"/>
  <c r="K434"/>
  <c r="J434"/>
  <c r="I434"/>
  <c r="H434"/>
  <c r="G434"/>
  <c r="F434"/>
  <c r="E434"/>
  <c r="D434"/>
  <c r="C434"/>
  <c r="B434"/>
  <c r="A433"/>
  <c r="Y433"/>
  <c r="X433"/>
  <c r="W433"/>
  <c r="V433"/>
  <c r="U433"/>
  <c r="T433"/>
  <c r="S433"/>
  <c r="R433"/>
  <c r="Q433"/>
  <c r="P433"/>
  <c r="O433"/>
  <c r="N433"/>
  <c r="M433"/>
  <c r="L433"/>
  <c r="K433"/>
  <c r="J433"/>
  <c r="I433"/>
  <c r="H433"/>
  <c r="G433"/>
  <c r="F433"/>
  <c r="E433"/>
  <c r="D433"/>
  <c r="C433"/>
  <c r="B433"/>
  <c r="A432"/>
  <c r="Y432"/>
  <c r="X432"/>
  <c r="W432"/>
  <c r="V432"/>
  <c r="U432"/>
  <c r="T432"/>
  <c r="S432"/>
  <c r="R432"/>
  <c r="Q432"/>
  <c r="P432"/>
  <c r="O432"/>
  <c r="N432"/>
  <c r="M432"/>
  <c r="L432"/>
  <c r="K432"/>
  <c r="J432"/>
  <c r="I432"/>
  <c r="H432"/>
  <c r="G432"/>
  <c r="F432"/>
  <c r="E432"/>
  <c r="D432"/>
  <c r="C432"/>
  <c r="B432"/>
  <c r="A431"/>
  <c r="Y431"/>
  <c r="X431"/>
  <c r="W431"/>
  <c r="V431"/>
  <c r="U431"/>
  <c r="T431"/>
  <c r="S431"/>
  <c r="R431"/>
  <c r="Q431"/>
  <c r="P431"/>
  <c r="O431"/>
  <c r="N431"/>
  <c r="M431"/>
  <c r="L431"/>
  <c r="K431"/>
  <c r="J431"/>
  <c r="I431"/>
  <c r="H431"/>
  <c r="G431"/>
  <c r="F431"/>
  <c r="E431"/>
  <c r="D431"/>
  <c r="C431"/>
  <c r="B431"/>
  <c r="A430"/>
  <c r="Y430"/>
  <c r="X430"/>
  <c r="W430"/>
  <c r="V430"/>
  <c r="U430"/>
  <c r="T430"/>
  <c r="S430"/>
  <c r="R430"/>
  <c r="Q430"/>
  <c r="P430"/>
  <c r="O430"/>
  <c r="N430"/>
  <c r="M430"/>
  <c r="L430"/>
  <c r="K430"/>
  <c r="J430"/>
  <c r="I430"/>
  <c r="H430"/>
  <c r="G430"/>
  <c r="F430"/>
  <c r="E430"/>
  <c r="D430"/>
  <c r="C430"/>
  <c r="B430"/>
  <c r="A429"/>
  <c r="Y429"/>
  <c r="X429"/>
  <c r="W429"/>
  <c r="V429"/>
  <c r="U429"/>
  <c r="T429"/>
  <c r="S429"/>
  <c r="R429"/>
  <c r="Q429"/>
  <c r="P429"/>
  <c r="O429"/>
  <c r="N429"/>
  <c r="M429"/>
  <c r="L429"/>
  <c r="K429"/>
  <c r="J429"/>
  <c r="I429"/>
  <c r="H429"/>
  <c r="G429"/>
  <c r="F429"/>
  <c r="E429"/>
  <c r="D429"/>
  <c r="C429"/>
  <c r="B429"/>
  <c r="A428"/>
  <c r="Y428"/>
  <c r="X428"/>
  <c r="W428"/>
  <c r="V428"/>
  <c r="U428"/>
  <c r="T428"/>
  <c r="S428"/>
  <c r="R428"/>
  <c r="Q428"/>
  <c r="P428"/>
  <c r="O428"/>
  <c r="N428"/>
  <c r="M428"/>
  <c r="L428"/>
  <c r="K428"/>
  <c r="J428"/>
  <c r="I428"/>
  <c r="H428"/>
  <c r="G428"/>
  <c r="F428"/>
  <c r="E428"/>
  <c r="D428"/>
  <c r="C428"/>
  <c r="B428"/>
  <c r="A427"/>
  <c r="Y427"/>
  <c r="X427"/>
  <c r="W427"/>
  <c r="V427"/>
  <c r="U427"/>
  <c r="T427"/>
  <c r="S427"/>
  <c r="R427"/>
  <c r="Q427"/>
  <c r="P427"/>
  <c r="O427"/>
  <c r="N427"/>
  <c r="M427"/>
  <c r="L427"/>
  <c r="K427"/>
  <c r="J427"/>
  <c r="I427"/>
  <c r="H427"/>
  <c r="G427"/>
  <c r="F427"/>
  <c r="E427"/>
  <c r="D427"/>
  <c r="C427"/>
  <c r="B427"/>
  <c r="A426"/>
  <c r="Y426"/>
  <c r="X426"/>
  <c r="W426"/>
  <c r="V426"/>
  <c r="U426"/>
  <c r="T426"/>
  <c r="S426"/>
  <c r="R426"/>
  <c r="Q426"/>
  <c r="P426"/>
  <c r="O426"/>
  <c r="N426"/>
  <c r="M426"/>
  <c r="L426"/>
  <c r="K426"/>
  <c r="J426"/>
  <c r="I426"/>
  <c r="H426"/>
  <c r="G426"/>
  <c r="F426"/>
  <c r="E426"/>
  <c r="D426"/>
  <c r="C426"/>
  <c r="B426"/>
  <c r="A425"/>
  <c r="Y425"/>
  <c r="X425"/>
  <c r="W425"/>
  <c r="V425"/>
  <c r="U425"/>
  <c r="T425"/>
  <c r="S425"/>
  <c r="R425"/>
  <c r="Q425"/>
  <c r="P425"/>
  <c r="O425"/>
  <c r="N425"/>
  <c r="M425"/>
  <c r="L425"/>
  <c r="K425"/>
  <c r="J425"/>
  <c r="I425"/>
  <c r="H425"/>
  <c r="G425"/>
  <c r="F425"/>
  <c r="E425"/>
  <c r="D425"/>
  <c r="C425"/>
  <c r="B425"/>
  <c r="A424"/>
  <c r="Y424"/>
  <c r="X424"/>
  <c r="W424"/>
  <c r="V424"/>
  <c r="U424"/>
  <c r="T424"/>
  <c r="S424"/>
  <c r="R424"/>
  <c r="Q424"/>
  <c r="P424"/>
  <c r="O424"/>
  <c r="N424"/>
  <c r="M424"/>
  <c r="L424"/>
  <c r="K424"/>
  <c r="J424"/>
  <c r="I424"/>
  <c r="H424"/>
  <c r="G424"/>
  <c r="F424"/>
  <c r="E424"/>
  <c r="D424"/>
  <c r="C424"/>
  <c r="B424"/>
  <c r="A423"/>
  <c r="Y423"/>
  <c r="X423"/>
  <c r="W423"/>
  <c r="V423"/>
  <c r="U423"/>
  <c r="T423"/>
  <c r="S423"/>
  <c r="R423"/>
  <c r="Q423"/>
  <c r="P423"/>
  <c r="O423"/>
  <c r="N423"/>
  <c r="M423"/>
  <c r="L423"/>
  <c r="K423"/>
  <c r="J423"/>
  <c r="I423"/>
  <c r="H423"/>
  <c r="G423"/>
  <c r="F423"/>
  <c r="E423"/>
  <c r="D423"/>
  <c r="C423"/>
  <c r="B423"/>
  <c r="A422"/>
  <c r="Y422"/>
  <c r="X422"/>
  <c r="W422"/>
  <c r="V422"/>
  <c r="U422"/>
  <c r="T422"/>
  <c r="S422"/>
  <c r="R422"/>
  <c r="Q422"/>
  <c r="P422"/>
  <c r="O422"/>
  <c r="N422"/>
  <c r="M422"/>
  <c r="L422"/>
  <c r="K422"/>
  <c r="J422"/>
  <c r="I422"/>
  <c r="H422"/>
  <c r="G422"/>
  <c r="F422"/>
  <c r="E422"/>
  <c r="D422"/>
  <c r="C422"/>
  <c r="B422"/>
  <c r="A421"/>
  <c r="Y421"/>
  <c r="X421"/>
  <c r="W421"/>
  <c r="V421"/>
  <c r="U421"/>
  <c r="T421"/>
  <c r="S421"/>
  <c r="R421"/>
  <c r="Q421"/>
  <c r="P421"/>
  <c r="O421"/>
  <c r="N421"/>
  <c r="M421"/>
  <c r="L421"/>
  <c r="K421"/>
  <c r="J421"/>
  <c r="I421"/>
  <c r="H421"/>
  <c r="G421"/>
  <c r="F421"/>
  <c r="E421"/>
  <c r="D421"/>
  <c r="C421"/>
  <c r="B421"/>
  <c r="A420"/>
  <c r="Y420"/>
  <c r="X420"/>
  <c r="W420"/>
  <c r="V420"/>
  <c r="U420"/>
  <c r="T420"/>
  <c r="S420"/>
  <c r="R420"/>
  <c r="Q420"/>
  <c r="P420"/>
  <c r="O420"/>
  <c r="N420"/>
  <c r="M420"/>
  <c r="L420"/>
  <c r="K420"/>
  <c r="J420"/>
  <c r="I420"/>
  <c r="H420"/>
  <c r="G420"/>
  <c r="F420"/>
  <c r="E420"/>
  <c r="D420"/>
  <c r="C420"/>
  <c r="B420"/>
  <c r="A419"/>
  <c r="Y419"/>
  <c r="X419"/>
  <c r="W419"/>
  <c r="V419"/>
  <c r="U419"/>
  <c r="T419"/>
  <c r="S419"/>
  <c r="R419"/>
  <c r="Q419"/>
  <c r="P419"/>
  <c r="O419"/>
  <c r="N419"/>
  <c r="M419"/>
  <c r="L419"/>
  <c r="K419"/>
  <c r="J419"/>
  <c r="I419"/>
  <c r="H419"/>
  <c r="G419"/>
  <c r="F419"/>
  <c r="E419"/>
  <c r="D419"/>
  <c r="C419"/>
  <c r="B419"/>
  <c r="A418"/>
  <c r="Y418"/>
  <c r="X418"/>
  <c r="W418"/>
  <c r="V418"/>
  <c r="U418"/>
  <c r="T418"/>
  <c r="S418"/>
  <c r="R418"/>
  <c r="Q418"/>
  <c r="P418"/>
  <c r="O418"/>
  <c r="N418"/>
  <c r="M418"/>
  <c r="L418"/>
  <c r="K418"/>
  <c r="J418"/>
  <c r="I418"/>
  <c r="H418"/>
  <c r="G418"/>
  <c r="F418"/>
  <c r="E418"/>
  <c r="D418"/>
  <c r="C418"/>
  <c r="B418"/>
  <c r="A417"/>
  <c r="Y417"/>
  <c r="X417"/>
  <c r="W417"/>
  <c r="V417"/>
  <c r="U417"/>
  <c r="T417"/>
  <c r="S417"/>
  <c r="R417"/>
  <c r="Q417"/>
  <c r="P417"/>
  <c r="O417"/>
  <c r="N417"/>
  <c r="M417"/>
  <c r="L417"/>
  <c r="K417"/>
  <c r="J417"/>
  <c r="I417"/>
  <c r="H417"/>
  <c r="G417"/>
  <c r="F417"/>
  <c r="E417"/>
  <c r="D417"/>
  <c r="C417"/>
  <c r="B417"/>
  <c r="A416"/>
  <c r="Y416"/>
  <c r="X416"/>
  <c r="W416"/>
  <c r="V416"/>
  <c r="U416"/>
  <c r="T416"/>
  <c r="S416"/>
  <c r="R416"/>
  <c r="Q416"/>
  <c r="P416"/>
  <c r="O416"/>
  <c r="N416"/>
  <c r="M416"/>
  <c r="L416"/>
  <c r="K416"/>
  <c r="J416"/>
  <c r="I416"/>
  <c r="H416"/>
  <c r="G416"/>
  <c r="F416"/>
  <c r="E416"/>
  <c r="D416"/>
  <c r="C416"/>
  <c r="B416"/>
  <c r="A415"/>
  <c r="Y415"/>
  <c r="X415"/>
  <c r="W415"/>
  <c r="V415"/>
  <c r="U415"/>
  <c r="T415"/>
  <c r="S415"/>
  <c r="R415"/>
  <c r="Q415"/>
  <c r="P415"/>
  <c r="O415"/>
  <c r="N415"/>
  <c r="M415"/>
  <c r="L415"/>
  <c r="K415"/>
  <c r="J415"/>
  <c r="I415"/>
  <c r="H415"/>
  <c r="G415"/>
  <c r="F415"/>
  <c r="E415"/>
  <c r="D415"/>
  <c r="C415"/>
  <c r="B415"/>
  <c r="A414"/>
  <c r="Y414"/>
  <c r="X414"/>
  <c r="W414"/>
  <c r="V414"/>
  <c r="U414"/>
  <c r="T414"/>
  <c r="S414"/>
  <c r="R414"/>
  <c r="Q414"/>
  <c r="P414"/>
  <c r="O414"/>
  <c r="N414"/>
  <c r="M414"/>
  <c r="L414"/>
  <c r="K414"/>
  <c r="J414"/>
  <c r="I414"/>
  <c r="H414"/>
  <c r="G414"/>
  <c r="F414"/>
  <c r="E414"/>
  <c r="D414"/>
  <c r="C414"/>
  <c r="B414"/>
  <c r="A413"/>
  <c r="Y413"/>
  <c r="X413"/>
  <c r="W413"/>
  <c r="V413"/>
  <c r="U413"/>
  <c r="T413"/>
  <c r="S413"/>
  <c r="R413"/>
  <c r="Q413"/>
  <c r="P413"/>
  <c r="O413"/>
  <c r="N413"/>
  <c r="M413"/>
  <c r="L413"/>
  <c r="K413"/>
  <c r="J413"/>
  <c r="I413"/>
  <c r="H413"/>
  <c r="G413"/>
  <c r="F413"/>
  <c r="E413"/>
  <c r="D413"/>
  <c r="C413"/>
  <c r="B413"/>
  <c r="A412"/>
  <c r="Y412"/>
  <c r="X412"/>
  <c r="W412"/>
  <c r="V412"/>
  <c r="U412"/>
  <c r="T412"/>
  <c r="S412"/>
  <c r="R412"/>
  <c r="Q412"/>
  <c r="P412"/>
  <c r="O412"/>
  <c r="N412"/>
  <c r="M412"/>
  <c r="L412"/>
  <c r="K412"/>
  <c r="J412"/>
  <c r="I412"/>
  <c r="H412"/>
  <c r="G412"/>
  <c r="F412"/>
  <c r="E412"/>
  <c r="D412"/>
  <c r="C412"/>
  <c r="B412"/>
  <c r="A411"/>
  <c r="Y411"/>
  <c r="X411"/>
  <c r="W411"/>
  <c r="V411"/>
  <c r="U411"/>
  <c r="T411"/>
  <c r="S411"/>
  <c r="R411"/>
  <c r="Q411"/>
  <c r="P411"/>
  <c r="O411"/>
  <c r="N411"/>
  <c r="M411"/>
  <c r="L411"/>
  <c r="K411"/>
  <c r="J411"/>
  <c r="I411"/>
  <c r="H411"/>
  <c r="G411"/>
  <c r="F411"/>
  <c r="E411"/>
  <c r="D411"/>
  <c r="C411"/>
  <c r="B411"/>
  <c r="A410"/>
  <c r="Y410"/>
  <c r="X410"/>
  <c r="W410"/>
  <c r="V410"/>
  <c r="U410"/>
  <c r="T410"/>
  <c r="S410"/>
  <c r="R410"/>
  <c r="Q410"/>
  <c r="P410"/>
  <c r="O410"/>
  <c r="N410"/>
  <c r="M410"/>
  <c r="L410"/>
  <c r="K410"/>
  <c r="J410"/>
  <c r="I410"/>
  <c r="H410"/>
  <c r="G410"/>
  <c r="F410"/>
  <c r="E410"/>
  <c r="D410"/>
  <c r="C410"/>
  <c r="B410"/>
  <c r="A409"/>
  <c r="Y409"/>
  <c r="X409"/>
  <c r="W409"/>
  <c r="V409"/>
  <c r="U409"/>
  <c r="T409"/>
  <c r="S409"/>
  <c r="R409"/>
  <c r="Q409"/>
  <c r="P409"/>
  <c r="O409"/>
  <c r="N409"/>
  <c r="M409"/>
  <c r="L409"/>
  <c r="K409"/>
  <c r="J409"/>
  <c r="I409"/>
  <c r="H409"/>
  <c r="G409"/>
  <c r="F409"/>
  <c r="E409"/>
  <c r="D409"/>
  <c r="C409"/>
  <c r="B409"/>
  <c r="A408"/>
  <c r="Y408"/>
  <c r="X408"/>
  <c r="W408"/>
  <c r="V408"/>
  <c r="U408"/>
  <c r="T408"/>
  <c r="S408"/>
  <c r="R408"/>
  <c r="Q408"/>
  <c r="P408"/>
  <c r="O408"/>
  <c r="N408"/>
  <c r="M408"/>
  <c r="L408"/>
  <c r="K408"/>
  <c r="J408"/>
  <c r="I408"/>
  <c r="H408"/>
  <c r="G408"/>
  <c r="F408"/>
  <c r="E408"/>
  <c r="D408"/>
  <c r="C408"/>
  <c r="B408"/>
  <c r="A407"/>
  <c r="Y407"/>
  <c r="X407"/>
  <c r="W407"/>
  <c r="V407"/>
  <c r="U407"/>
  <c r="T407"/>
  <c r="S407"/>
  <c r="R407"/>
  <c r="Q407"/>
  <c r="P407"/>
  <c r="O407"/>
  <c r="N407"/>
  <c r="M407"/>
  <c r="L407"/>
  <c r="K407"/>
  <c r="J407"/>
  <c r="I407"/>
  <c r="H407"/>
  <c r="G407"/>
  <c r="F407"/>
  <c r="E407"/>
  <c r="D407"/>
  <c r="C407"/>
  <c r="B407"/>
  <c r="A406"/>
  <c r="Y406"/>
  <c r="X406"/>
  <c r="W406"/>
  <c r="V406"/>
  <c r="U406"/>
  <c r="T406"/>
  <c r="S406"/>
  <c r="R406"/>
  <c r="Q406"/>
  <c r="P406"/>
  <c r="O406"/>
  <c r="N406"/>
  <c r="M406"/>
  <c r="L406"/>
  <c r="K406"/>
  <c r="J406"/>
  <c r="I406"/>
  <c r="H406"/>
  <c r="G406"/>
  <c r="F406"/>
  <c r="E406"/>
  <c r="D406"/>
  <c r="C406"/>
  <c r="B406"/>
  <c r="A405"/>
  <c r="Y405"/>
  <c r="X405"/>
  <c r="W405"/>
  <c r="V405"/>
  <c r="U405"/>
  <c r="T405"/>
  <c r="S405"/>
  <c r="R405"/>
  <c r="Q405"/>
  <c r="P405"/>
  <c r="O405"/>
  <c r="N405"/>
  <c r="M405"/>
  <c r="L405"/>
  <c r="K405"/>
  <c r="J405"/>
  <c r="I405"/>
  <c r="H405"/>
  <c r="G405"/>
  <c r="F405"/>
  <c r="E405"/>
  <c r="D405"/>
  <c r="C405"/>
  <c r="B405"/>
  <c r="A404"/>
  <c r="Y404"/>
  <c r="X404"/>
  <c r="W404"/>
  <c r="V404"/>
  <c r="U404"/>
  <c r="T404"/>
  <c r="S404"/>
  <c r="R404"/>
  <c r="Q404"/>
  <c r="P404"/>
  <c r="O404"/>
  <c r="N404"/>
  <c r="M404"/>
  <c r="L404"/>
  <c r="K404"/>
  <c r="J404"/>
  <c r="I404"/>
  <c r="H404"/>
  <c r="G404"/>
  <c r="F404"/>
  <c r="E404"/>
  <c r="D404"/>
  <c r="C404"/>
  <c r="B404"/>
  <c r="A403"/>
  <c r="Y403"/>
  <c r="X403"/>
  <c r="W403"/>
  <c r="V403"/>
  <c r="U403"/>
  <c r="T403"/>
  <c r="S403"/>
  <c r="R403"/>
  <c r="Q403"/>
  <c r="P403"/>
  <c r="O403"/>
  <c r="N403"/>
  <c r="M403"/>
  <c r="L403"/>
  <c r="K403"/>
  <c r="J403"/>
  <c r="I403"/>
  <c r="H403"/>
  <c r="G403"/>
  <c r="F403"/>
  <c r="E403"/>
  <c r="D403"/>
  <c r="C403"/>
  <c r="B403"/>
  <c r="A402"/>
  <c r="Y402"/>
  <c r="X402"/>
  <c r="W402"/>
  <c r="V402"/>
  <c r="U402"/>
  <c r="T402"/>
  <c r="S402"/>
  <c r="R402"/>
  <c r="Q402"/>
  <c r="P402"/>
  <c r="O402"/>
  <c r="N402"/>
  <c r="M402"/>
  <c r="L402"/>
  <c r="K402"/>
  <c r="J402"/>
  <c r="I402"/>
  <c r="H402"/>
  <c r="G402"/>
  <c r="F402"/>
  <c r="E402"/>
  <c r="D402"/>
  <c r="C402"/>
  <c r="B402"/>
  <c r="A401"/>
  <c r="Y401"/>
  <c r="X401"/>
  <c r="W401"/>
  <c r="V401"/>
  <c r="U401"/>
  <c r="T401"/>
  <c r="S401"/>
  <c r="R401"/>
  <c r="Q401"/>
  <c r="P401"/>
  <c r="O401"/>
  <c r="N401"/>
  <c r="M401"/>
  <c r="L401"/>
  <c r="K401"/>
  <c r="J401"/>
  <c r="I401"/>
  <c r="H401"/>
  <c r="G401"/>
  <c r="F401"/>
  <c r="E401"/>
  <c r="D401"/>
  <c r="C401"/>
  <c r="B401"/>
  <c r="A400"/>
  <c r="Y400"/>
  <c r="X400"/>
  <c r="W400"/>
  <c r="V400"/>
  <c r="U400"/>
  <c r="T400"/>
  <c r="S400"/>
  <c r="R400"/>
  <c r="Q400"/>
  <c r="P400"/>
  <c r="O400"/>
  <c r="N400"/>
  <c r="M400"/>
  <c r="L400"/>
  <c r="K400"/>
  <c r="J400"/>
  <c r="I400"/>
  <c r="H400"/>
  <c r="G400"/>
  <c r="F400"/>
  <c r="E400"/>
  <c r="D400"/>
  <c r="C400"/>
  <c r="B400"/>
  <c r="A399"/>
  <c r="Y399"/>
  <c r="X399"/>
  <c r="W399"/>
  <c r="V399"/>
  <c r="U399"/>
  <c r="T399"/>
  <c r="S399"/>
  <c r="R399"/>
  <c r="Q399"/>
  <c r="P399"/>
  <c r="O399"/>
  <c r="N399"/>
  <c r="M399"/>
  <c r="L399"/>
  <c r="K399"/>
  <c r="J399"/>
  <c r="I399"/>
  <c r="H399"/>
  <c r="G399"/>
  <c r="F399"/>
  <c r="E399"/>
  <c r="D399"/>
  <c r="C399"/>
  <c r="B399"/>
  <c r="A398"/>
  <c r="Y398"/>
  <c r="X398"/>
  <c r="W398"/>
  <c r="V398"/>
  <c r="U398"/>
  <c r="T398"/>
  <c r="S398"/>
  <c r="R398"/>
  <c r="Q398"/>
  <c r="P398"/>
  <c r="O398"/>
  <c r="N398"/>
  <c r="M398"/>
  <c r="L398"/>
  <c r="K398"/>
  <c r="J398"/>
  <c r="I398"/>
  <c r="H398"/>
  <c r="G398"/>
  <c r="F398"/>
  <c r="E398"/>
  <c r="D398"/>
  <c r="C398"/>
  <c r="B398"/>
  <c r="A397"/>
  <c r="Y397"/>
  <c r="X397"/>
  <c r="W397"/>
  <c r="V397"/>
  <c r="U397"/>
  <c r="T397"/>
  <c r="S397"/>
  <c r="R397"/>
  <c r="Q397"/>
  <c r="P397"/>
  <c r="O397"/>
  <c r="N397"/>
  <c r="M397"/>
  <c r="L397"/>
  <c r="K397"/>
  <c r="J397"/>
  <c r="I397"/>
  <c r="H397"/>
  <c r="G397"/>
  <c r="F397"/>
  <c r="E397"/>
  <c r="D397"/>
  <c r="C397"/>
  <c r="B397"/>
  <c r="A396"/>
  <c r="Y396"/>
  <c r="X396"/>
  <c r="W396"/>
  <c r="V396"/>
  <c r="U396"/>
  <c r="T396"/>
  <c r="S396"/>
  <c r="R396"/>
  <c r="Q396"/>
  <c r="P396"/>
  <c r="O396"/>
  <c r="N396"/>
  <c r="M396"/>
  <c r="L396"/>
  <c r="K396"/>
  <c r="J396"/>
  <c r="I396"/>
  <c r="H396"/>
  <c r="G396"/>
  <c r="F396"/>
  <c r="E396"/>
  <c r="D396"/>
  <c r="C396"/>
  <c r="B396"/>
  <c r="A395"/>
  <c r="Y395"/>
  <c r="X395"/>
  <c r="W395"/>
  <c r="V395"/>
  <c r="U395"/>
  <c r="T395"/>
  <c r="S395"/>
  <c r="R395"/>
  <c r="Q395"/>
  <c r="P395"/>
  <c r="O395"/>
  <c r="N395"/>
  <c r="M395"/>
  <c r="L395"/>
  <c r="K395"/>
  <c r="J395"/>
  <c r="I395"/>
  <c r="H395"/>
  <c r="G395"/>
  <c r="F395"/>
  <c r="E395"/>
  <c r="D395"/>
  <c r="C395"/>
  <c r="B395"/>
  <c r="A394"/>
  <c r="Y394"/>
  <c r="X394"/>
  <c r="W394"/>
  <c r="V394"/>
  <c r="U394"/>
  <c r="T394"/>
  <c r="S394"/>
  <c r="R394"/>
  <c r="Q394"/>
  <c r="P394"/>
  <c r="O394"/>
  <c r="N394"/>
  <c r="M394"/>
  <c r="L394"/>
  <c r="K394"/>
  <c r="J394"/>
  <c r="I394"/>
  <c r="H394"/>
  <c r="G394"/>
  <c r="F394"/>
  <c r="E394"/>
  <c r="D394"/>
  <c r="C394"/>
  <c r="B394"/>
  <c r="A393"/>
  <c r="Y393"/>
  <c r="X393"/>
  <c r="W393"/>
  <c r="V393"/>
  <c r="U393"/>
  <c r="T393"/>
  <c r="S393"/>
  <c r="R393"/>
  <c r="Q393"/>
  <c r="P393"/>
  <c r="O393"/>
  <c r="N393"/>
  <c r="M393"/>
  <c r="L393"/>
  <c r="K393"/>
  <c r="J393"/>
  <c r="I393"/>
  <c r="H393"/>
  <c r="G393"/>
  <c r="F393"/>
  <c r="E393"/>
  <c r="D393"/>
  <c r="C393"/>
  <c r="B393"/>
  <c r="A392"/>
  <c r="Y392"/>
  <c r="X392"/>
  <c r="W392"/>
  <c r="V392"/>
  <c r="U392"/>
  <c r="T392"/>
  <c r="S392"/>
  <c r="R392"/>
  <c r="Q392"/>
  <c r="P392"/>
  <c r="O392"/>
  <c r="N392"/>
  <c r="M392"/>
  <c r="L392"/>
  <c r="K392"/>
  <c r="J392"/>
  <c r="I392"/>
  <c r="H392"/>
  <c r="G392"/>
  <c r="F392"/>
  <c r="E392"/>
  <c r="D392"/>
  <c r="C392"/>
  <c r="B392"/>
  <c r="A391"/>
  <c r="Y391"/>
  <c r="X391"/>
  <c r="W391"/>
  <c r="V391"/>
  <c r="U391"/>
  <c r="T391"/>
  <c r="S391"/>
  <c r="R391"/>
  <c r="Q391"/>
  <c r="P391"/>
  <c r="O391"/>
  <c r="N391"/>
  <c r="M391"/>
  <c r="L391"/>
  <c r="K391"/>
  <c r="J391"/>
  <c r="I391"/>
  <c r="H391"/>
  <c r="G391"/>
  <c r="F391"/>
  <c r="E391"/>
  <c r="D391"/>
  <c r="C391"/>
  <c r="B391"/>
  <c r="A390"/>
  <c r="Y390"/>
  <c r="X390"/>
  <c r="W390"/>
  <c r="V390"/>
  <c r="U390"/>
  <c r="T390"/>
  <c r="S390"/>
  <c r="R390"/>
  <c r="Q390"/>
  <c r="P390"/>
  <c r="O390"/>
  <c r="N390"/>
  <c r="M390"/>
  <c r="L390"/>
  <c r="K390"/>
  <c r="J390"/>
  <c r="I390"/>
  <c r="H390"/>
  <c r="G390"/>
  <c r="F390"/>
  <c r="E390"/>
  <c r="D390"/>
  <c r="C390"/>
  <c r="B390"/>
  <c r="A389"/>
  <c r="Y389"/>
  <c r="X389"/>
  <c r="W389"/>
  <c r="V389"/>
  <c r="U389"/>
  <c r="T389"/>
  <c r="S389"/>
  <c r="R389"/>
  <c r="Q389"/>
  <c r="P389"/>
  <c r="O389"/>
  <c r="N389"/>
  <c r="M389"/>
  <c r="L389"/>
  <c r="K389"/>
  <c r="J389"/>
  <c r="I389"/>
  <c r="H389"/>
  <c r="G389"/>
  <c r="F389"/>
  <c r="E389"/>
  <c r="D389"/>
  <c r="C389"/>
  <c r="B389"/>
  <c r="A388"/>
  <c r="Y388"/>
  <c r="X388"/>
  <c r="W388"/>
  <c r="V388"/>
  <c r="U388"/>
  <c r="T388"/>
  <c r="S388"/>
  <c r="R388"/>
  <c r="Q388"/>
  <c r="P388"/>
  <c r="O388"/>
  <c r="N388"/>
  <c r="M388"/>
  <c r="L388"/>
  <c r="K388"/>
  <c r="J388"/>
  <c r="I388"/>
  <c r="H388"/>
  <c r="G388"/>
  <c r="F388"/>
  <c r="E388"/>
  <c r="D388"/>
  <c r="C388"/>
  <c r="B388"/>
  <c r="A387"/>
  <c r="Y387"/>
  <c r="X387"/>
  <c r="W387"/>
  <c r="V387"/>
  <c r="U387"/>
  <c r="T387"/>
  <c r="S387"/>
  <c r="R387"/>
  <c r="Q387"/>
  <c r="P387"/>
  <c r="O387"/>
  <c r="N387"/>
  <c r="M387"/>
  <c r="L387"/>
  <c r="K387"/>
  <c r="J387"/>
  <c r="I387"/>
  <c r="H387"/>
  <c r="G387"/>
  <c r="F387"/>
  <c r="E387"/>
  <c r="D387"/>
  <c r="C387"/>
  <c r="B387"/>
  <c r="A386"/>
  <c r="Y386"/>
  <c r="X386"/>
  <c r="W386"/>
  <c r="V386"/>
  <c r="U386"/>
  <c r="T386"/>
  <c r="S386"/>
  <c r="R386"/>
  <c r="Q386"/>
  <c r="P386"/>
  <c r="O386"/>
  <c r="N386"/>
  <c r="M386"/>
  <c r="L386"/>
  <c r="K386"/>
  <c r="J386"/>
  <c r="I386"/>
  <c r="H386"/>
  <c r="G386"/>
  <c r="F386"/>
  <c r="E386"/>
  <c r="D386"/>
  <c r="C386"/>
  <c r="B386"/>
  <c r="A385"/>
  <c r="Y385"/>
  <c r="X385"/>
  <c r="W385"/>
  <c r="V385"/>
  <c r="U385"/>
  <c r="T385"/>
  <c r="S385"/>
  <c r="R385"/>
  <c r="Q385"/>
  <c r="P385"/>
  <c r="O385"/>
  <c r="N385"/>
  <c r="M385"/>
  <c r="L385"/>
  <c r="K385"/>
  <c r="J385"/>
  <c r="I385"/>
  <c r="H385"/>
  <c r="G385"/>
  <c r="F385"/>
  <c r="E385"/>
  <c r="D385"/>
  <c r="C385"/>
  <c r="B385"/>
  <c r="A384"/>
  <c r="Y384"/>
  <c r="X384"/>
  <c r="W384"/>
  <c r="V384"/>
  <c r="U384"/>
  <c r="T384"/>
  <c r="S384"/>
  <c r="R384"/>
  <c r="Q384"/>
  <c r="P384"/>
  <c r="O384"/>
  <c r="N384"/>
  <c r="M384"/>
  <c r="L384"/>
  <c r="K384"/>
  <c r="J384"/>
  <c r="I384"/>
  <c r="H384"/>
  <c r="G384"/>
  <c r="F384"/>
  <c r="E384"/>
  <c r="D384"/>
  <c r="C384"/>
  <c r="B384"/>
  <c r="A383"/>
  <c r="Y383"/>
  <c r="X383"/>
  <c r="W383"/>
  <c r="V383"/>
  <c r="U383"/>
  <c r="T383"/>
  <c r="S383"/>
  <c r="R383"/>
  <c r="Q383"/>
  <c r="P383"/>
  <c r="O383"/>
  <c r="N383"/>
  <c r="M383"/>
  <c r="L383"/>
  <c r="K383"/>
  <c r="J383"/>
  <c r="I383"/>
  <c r="H383"/>
  <c r="G383"/>
  <c r="F383"/>
  <c r="E383"/>
  <c r="D383"/>
  <c r="C383"/>
  <c r="B383"/>
  <c r="A382"/>
  <c r="Y382"/>
  <c r="X382"/>
  <c r="W382"/>
  <c r="V382"/>
  <c r="U382"/>
  <c r="T382"/>
  <c r="S382"/>
  <c r="R382"/>
  <c r="Q382"/>
  <c r="P382"/>
  <c r="O382"/>
  <c r="N382"/>
  <c r="M382"/>
  <c r="L382"/>
  <c r="K382"/>
  <c r="J382"/>
  <c r="I382"/>
  <c r="H382"/>
  <c r="G382"/>
  <c r="F382"/>
  <c r="E382"/>
  <c r="D382"/>
  <c r="C382"/>
  <c r="B382"/>
  <c r="A381"/>
  <c r="Y381"/>
  <c r="X381"/>
  <c r="W381"/>
  <c r="V381"/>
  <c r="U381"/>
  <c r="T381"/>
  <c r="S381"/>
  <c r="R381"/>
  <c r="Q381"/>
  <c r="P381"/>
  <c r="O381"/>
  <c r="N381"/>
  <c r="M381"/>
  <c r="L381"/>
  <c r="K381"/>
  <c r="J381"/>
  <c r="I381"/>
  <c r="H381"/>
  <c r="G381"/>
  <c r="F381"/>
  <c r="E381"/>
  <c r="D381"/>
  <c r="C381"/>
  <c r="B381"/>
  <c r="A380"/>
  <c r="Y380"/>
  <c r="X380"/>
  <c r="W380"/>
  <c r="V380"/>
  <c r="U380"/>
  <c r="T380"/>
  <c r="S380"/>
  <c r="R380"/>
  <c r="Q380"/>
  <c r="P380"/>
  <c r="O380"/>
  <c r="N380"/>
  <c r="M380"/>
  <c r="L380"/>
  <c r="K380"/>
  <c r="J380"/>
  <c r="I380"/>
  <c r="H380"/>
  <c r="G380"/>
  <c r="F380"/>
  <c r="E380"/>
  <c r="D380"/>
  <c r="C380"/>
  <c r="B380"/>
  <c r="A379"/>
  <c r="Y379"/>
  <c r="X379"/>
  <c r="W379"/>
  <c r="V379"/>
  <c r="U379"/>
  <c r="T379"/>
  <c r="S379"/>
  <c r="R379"/>
  <c r="Q379"/>
  <c r="P379"/>
  <c r="O379"/>
  <c r="N379"/>
  <c r="M379"/>
  <c r="L379"/>
  <c r="K379"/>
  <c r="J379"/>
  <c r="I379"/>
  <c r="H379"/>
  <c r="G379"/>
  <c r="F379"/>
  <c r="E379"/>
  <c r="D379"/>
  <c r="C379"/>
  <c r="B379"/>
  <c r="A378"/>
  <c r="Y378"/>
  <c r="X378"/>
  <c r="W378"/>
  <c r="V378"/>
  <c r="U378"/>
  <c r="T378"/>
  <c r="S378"/>
  <c r="R378"/>
  <c r="Q378"/>
  <c r="P378"/>
  <c r="O378"/>
  <c r="N378"/>
  <c r="M378"/>
  <c r="L378"/>
  <c r="K378"/>
  <c r="J378"/>
  <c r="I378"/>
  <c r="H378"/>
  <c r="G378"/>
  <c r="F378"/>
  <c r="E378"/>
  <c r="D378"/>
  <c r="C378"/>
  <c r="B378"/>
  <c r="A377"/>
  <c r="Y377"/>
  <c r="X377"/>
  <c r="W377"/>
  <c r="V377"/>
  <c r="U377"/>
  <c r="T377"/>
  <c r="S377"/>
  <c r="R377"/>
  <c r="Q377"/>
  <c r="P377"/>
  <c r="O377"/>
  <c r="N377"/>
  <c r="M377"/>
  <c r="L377"/>
  <c r="K377"/>
  <c r="J377"/>
  <c r="I377"/>
  <c r="H377"/>
  <c r="G377"/>
  <c r="F377"/>
  <c r="E377"/>
  <c r="D377"/>
  <c r="C377"/>
  <c r="B377"/>
  <c r="A376"/>
  <c r="Y376"/>
  <c r="X376"/>
  <c r="W376"/>
  <c r="V376"/>
  <c r="U376"/>
  <c r="T376"/>
  <c r="S376"/>
  <c r="R376"/>
  <c r="Q376"/>
  <c r="P376"/>
  <c r="O376"/>
  <c r="N376"/>
  <c r="M376"/>
  <c r="L376"/>
  <c r="K376"/>
  <c r="J376"/>
  <c r="I376"/>
  <c r="H376"/>
  <c r="G376"/>
  <c r="F376"/>
  <c r="E376"/>
  <c r="D376"/>
  <c r="C376"/>
  <c r="B376"/>
  <c r="A375"/>
  <c r="Y375"/>
  <c r="X375"/>
  <c r="W375"/>
  <c r="V375"/>
  <c r="U375"/>
  <c r="T375"/>
  <c r="S375"/>
  <c r="R375"/>
  <c r="Q375"/>
  <c r="P375"/>
  <c r="O375"/>
  <c r="N375"/>
  <c r="M375"/>
  <c r="L375"/>
  <c r="K375"/>
  <c r="J375"/>
  <c r="I375"/>
  <c r="H375"/>
  <c r="G375"/>
  <c r="F375"/>
  <c r="E375"/>
  <c r="D375"/>
  <c r="C375"/>
  <c r="B375"/>
  <c r="A374"/>
  <c r="Y374"/>
  <c r="X374"/>
  <c r="W374"/>
  <c r="V374"/>
  <c r="U374"/>
  <c r="T374"/>
  <c r="S374"/>
  <c r="R374"/>
  <c r="Q374"/>
  <c r="P374"/>
  <c r="O374"/>
  <c r="N374"/>
  <c r="M374"/>
  <c r="L374"/>
  <c r="K374"/>
  <c r="J374"/>
  <c r="I374"/>
  <c r="H374"/>
  <c r="G374"/>
  <c r="F374"/>
  <c r="E374"/>
  <c r="D374"/>
  <c r="C374"/>
  <c r="B374"/>
  <c r="A373"/>
  <c r="Y373"/>
  <c r="X373"/>
  <c r="W373"/>
  <c r="V373"/>
  <c r="U373"/>
  <c r="T373"/>
  <c r="S373"/>
  <c r="R373"/>
  <c r="Q373"/>
  <c r="P373"/>
  <c r="O373"/>
  <c r="N373"/>
  <c r="M373"/>
  <c r="L373"/>
  <c r="K373"/>
  <c r="J373"/>
  <c r="I373"/>
  <c r="H373"/>
  <c r="G373"/>
  <c r="F373"/>
  <c r="E373"/>
  <c r="D373"/>
  <c r="C373"/>
  <c r="B373"/>
  <c r="A372"/>
  <c r="Y372"/>
  <c r="X372"/>
  <c r="W372"/>
  <c r="V372"/>
  <c r="U372"/>
  <c r="T372"/>
  <c r="S372"/>
  <c r="R372"/>
  <c r="Q372"/>
  <c r="P372"/>
  <c r="O372"/>
  <c r="N372"/>
  <c r="M372"/>
  <c r="L372"/>
  <c r="K372"/>
  <c r="J372"/>
  <c r="I372"/>
  <c r="H372"/>
  <c r="G372"/>
  <c r="F372"/>
  <c r="E372"/>
  <c r="D372"/>
  <c r="C372"/>
  <c r="B372"/>
  <c r="A371"/>
  <c r="Y371"/>
  <c r="X371"/>
  <c r="W371"/>
  <c r="V371"/>
  <c r="U371"/>
  <c r="T371"/>
  <c r="S371"/>
  <c r="R371"/>
  <c r="Q371"/>
  <c r="P371"/>
  <c r="O371"/>
  <c r="N371"/>
  <c r="M371"/>
  <c r="L371"/>
  <c r="K371"/>
  <c r="J371"/>
  <c r="I371"/>
  <c r="H371"/>
  <c r="G371"/>
  <c r="F371"/>
  <c r="E371"/>
  <c r="D371"/>
  <c r="C371"/>
  <c r="B371"/>
  <c r="A370"/>
  <c r="Y370"/>
  <c r="X370"/>
  <c r="W370"/>
  <c r="V370"/>
  <c r="U370"/>
  <c r="T370"/>
  <c r="S370"/>
  <c r="R370"/>
  <c r="Q370"/>
  <c r="P370"/>
  <c r="O370"/>
  <c r="N370"/>
  <c r="M370"/>
  <c r="L370"/>
  <c r="K370"/>
  <c r="J370"/>
  <c r="I370"/>
  <c r="H370"/>
  <c r="G370"/>
  <c r="F370"/>
  <c r="E370"/>
  <c r="D370"/>
  <c r="C370"/>
  <c r="B370"/>
  <c r="A369"/>
  <c r="Y369"/>
  <c r="X369"/>
  <c r="W369"/>
  <c r="V369"/>
  <c r="U369"/>
  <c r="T369"/>
  <c r="S369"/>
  <c r="R369"/>
  <c r="Q369"/>
  <c r="P369"/>
  <c r="O369"/>
  <c r="N369"/>
  <c r="M369"/>
  <c r="L369"/>
  <c r="K369"/>
  <c r="J369"/>
  <c r="I369"/>
  <c r="H369"/>
  <c r="G369"/>
  <c r="F369"/>
  <c r="E369"/>
  <c r="D369"/>
  <c r="C369"/>
  <c r="B369"/>
  <c r="A368"/>
  <c r="Y368"/>
  <c r="X368"/>
  <c r="W368"/>
  <c r="V368"/>
  <c r="U368"/>
  <c r="T368"/>
  <c r="S368"/>
  <c r="R368"/>
  <c r="Q368"/>
  <c r="P368"/>
  <c r="O368"/>
  <c r="N368"/>
  <c r="M368"/>
  <c r="L368"/>
  <c r="K368"/>
  <c r="J368"/>
  <c r="I368"/>
  <c r="H368"/>
  <c r="G368"/>
  <c r="F368"/>
  <c r="E368"/>
  <c r="D368"/>
  <c r="C368"/>
  <c r="B368"/>
  <c r="A367"/>
  <c r="Y367"/>
  <c r="X367"/>
  <c r="W367"/>
  <c r="V367"/>
  <c r="U367"/>
  <c r="T367"/>
  <c r="S367"/>
  <c r="R367"/>
  <c r="Q367"/>
  <c r="P367"/>
  <c r="O367"/>
  <c r="N367"/>
  <c r="M367"/>
  <c r="L367"/>
  <c r="K367"/>
  <c r="J367"/>
  <c r="I367"/>
  <c r="H367"/>
  <c r="G367"/>
  <c r="F367"/>
  <c r="E367"/>
  <c r="D367"/>
  <c r="C367"/>
  <c r="B367"/>
  <c r="A366"/>
  <c r="Y366"/>
  <c r="X366"/>
  <c r="W366"/>
  <c r="V366"/>
  <c r="U366"/>
  <c r="T366"/>
  <c r="S366"/>
  <c r="R366"/>
  <c r="Q366"/>
  <c r="P366"/>
  <c r="O366"/>
  <c r="N366"/>
  <c r="M366"/>
  <c r="L366"/>
  <c r="K366"/>
  <c r="J366"/>
  <c r="I366"/>
  <c r="H366"/>
  <c r="G366"/>
  <c r="F366"/>
  <c r="E366"/>
  <c r="D366"/>
  <c r="C366"/>
  <c r="B366"/>
  <c r="A365"/>
  <c r="Y365"/>
  <c r="X365"/>
  <c r="W365"/>
  <c r="V365"/>
  <c r="U365"/>
  <c r="T365"/>
  <c r="S365"/>
  <c r="R365"/>
  <c r="Q365"/>
  <c r="P365"/>
  <c r="O365"/>
  <c r="N365"/>
  <c r="M365"/>
  <c r="L365"/>
  <c r="K365"/>
  <c r="J365"/>
  <c r="I365"/>
  <c r="H365"/>
  <c r="G365"/>
  <c r="F365"/>
  <c r="E365"/>
  <c r="D365"/>
  <c r="C365"/>
  <c r="B365"/>
  <c r="A364"/>
  <c r="Y364"/>
  <c r="X364"/>
  <c r="W364"/>
  <c r="V364"/>
  <c r="U364"/>
  <c r="T364"/>
  <c r="S364"/>
  <c r="R364"/>
  <c r="Q364"/>
  <c r="P364"/>
  <c r="O364"/>
  <c r="N364"/>
  <c r="M364"/>
  <c r="L364"/>
  <c r="K364"/>
  <c r="J364"/>
  <c r="I364"/>
  <c r="H364"/>
  <c r="G364"/>
  <c r="F364"/>
  <c r="E364"/>
  <c r="D364"/>
  <c r="C364"/>
  <c r="B364"/>
  <c r="A363"/>
  <c r="Y363"/>
  <c r="X363"/>
  <c r="W363"/>
  <c r="V363"/>
  <c r="U363"/>
  <c r="T363"/>
  <c r="S363"/>
  <c r="R363"/>
  <c r="Q363"/>
  <c r="P363"/>
  <c r="O363"/>
  <c r="N363"/>
  <c r="M363"/>
  <c r="L363"/>
  <c r="K363"/>
  <c r="J363"/>
  <c r="I363"/>
  <c r="H363"/>
  <c r="G363"/>
  <c r="F363"/>
  <c r="E363"/>
  <c r="D363"/>
  <c r="C363"/>
  <c r="B363"/>
  <c r="A362"/>
  <c r="Y362"/>
  <c r="X362"/>
  <c r="W362"/>
  <c r="V362"/>
  <c r="U362"/>
  <c r="T362"/>
  <c r="S362"/>
  <c r="R362"/>
  <c r="Q362"/>
  <c r="P362"/>
  <c r="O362"/>
  <c r="N362"/>
  <c r="M362"/>
  <c r="L362"/>
  <c r="K362"/>
  <c r="J362"/>
  <c r="I362"/>
  <c r="H362"/>
  <c r="G362"/>
  <c r="F362"/>
  <c r="E362"/>
  <c r="D362"/>
  <c r="C362"/>
  <c r="B362"/>
  <c r="A361"/>
  <c r="Y361"/>
  <c r="X361"/>
  <c r="W361"/>
  <c r="V361"/>
  <c r="U361"/>
  <c r="T361"/>
  <c r="S361"/>
  <c r="R361"/>
  <c r="Q361"/>
  <c r="P361"/>
  <c r="O361"/>
  <c r="N361"/>
  <c r="M361"/>
  <c r="L361"/>
  <c r="K361"/>
  <c r="J361"/>
  <c r="I361"/>
  <c r="H361"/>
  <c r="G361"/>
  <c r="F361"/>
  <c r="E361"/>
  <c r="D361"/>
  <c r="C361"/>
  <c r="B361"/>
  <c r="A360"/>
  <c r="Y360"/>
  <c r="X360"/>
  <c r="W360"/>
  <c r="V360"/>
  <c r="U360"/>
  <c r="T360"/>
  <c r="S360"/>
  <c r="R360"/>
  <c r="Q360"/>
  <c r="P360"/>
  <c r="O360"/>
  <c r="N360"/>
  <c r="M360"/>
  <c r="L360"/>
  <c r="K360"/>
  <c r="J360"/>
  <c r="I360"/>
  <c r="H360"/>
  <c r="G360"/>
  <c r="F360"/>
  <c r="E360"/>
  <c r="D360"/>
  <c r="C360"/>
  <c r="B360"/>
  <c r="A359"/>
  <c r="Y359"/>
  <c r="X359"/>
  <c r="W359"/>
  <c r="V359"/>
  <c r="U359"/>
  <c r="T359"/>
  <c r="S359"/>
  <c r="R359"/>
  <c r="Q359"/>
  <c r="P359"/>
  <c r="O359"/>
  <c r="N359"/>
  <c r="M359"/>
  <c r="L359"/>
  <c r="K359"/>
  <c r="J359"/>
  <c r="I359"/>
  <c r="H359"/>
  <c r="G359"/>
  <c r="F359"/>
  <c r="E359"/>
  <c r="D359"/>
  <c r="C359"/>
  <c r="B359"/>
  <c r="A358"/>
  <c r="Y358"/>
  <c r="X358"/>
  <c r="W358"/>
  <c r="V358"/>
  <c r="U358"/>
  <c r="T358"/>
  <c r="S358"/>
  <c r="R358"/>
  <c r="Q358"/>
  <c r="P358"/>
  <c r="O358"/>
  <c r="N358"/>
  <c r="M358"/>
  <c r="L358"/>
  <c r="K358"/>
  <c r="J358"/>
  <c r="I358"/>
  <c r="H358"/>
  <c r="G358"/>
  <c r="F358"/>
  <c r="E358"/>
  <c r="D358"/>
  <c r="C358"/>
  <c r="B358"/>
  <c r="A357"/>
  <c r="Y357"/>
  <c r="X357"/>
  <c r="W357"/>
  <c r="V357"/>
  <c r="U357"/>
  <c r="T357"/>
  <c r="S357"/>
  <c r="R357"/>
  <c r="Q357"/>
  <c r="P357"/>
  <c r="O357"/>
  <c r="N357"/>
  <c r="M357"/>
  <c r="L357"/>
  <c r="K357"/>
  <c r="J357"/>
  <c r="I357"/>
  <c r="H357"/>
  <c r="G357"/>
  <c r="F357"/>
  <c r="E357"/>
  <c r="D357"/>
  <c r="C357"/>
  <c r="B357"/>
  <c r="A356"/>
  <c r="Y356"/>
  <c r="X356"/>
  <c r="W356"/>
  <c r="V356"/>
  <c r="U356"/>
  <c r="T356"/>
  <c r="S356"/>
  <c r="R356"/>
  <c r="Q356"/>
  <c r="P356"/>
  <c r="O356"/>
  <c r="N356"/>
  <c r="M356"/>
  <c r="L356"/>
  <c r="K356"/>
  <c r="J356"/>
  <c r="I356"/>
  <c r="H356"/>
  <c r="G356"/>
  <c r="F356"/>
  <c r="E356"/>
  <c r="D356"/>
  <c r="C356"/>
  <c r="B356"/>
  <c r="A355"/>
  <c r="Y355"/>
  <c r="X355"/>
  <c r="W355"/>
  <c r="V355"/>
  <c r="U355"/>
  <c r="T355"/>
  <c r="S355"/>
  <c r="R355"/>
  <c r="Q355"/>
  <c r="P355"/>
  <c r="O355"/>
  <c r="N355"/>
  <c r="M355"/>
  <c r="L355"/>
  <c r="K355"/>
  <c r="J355"/>
  <c r="I355"/>
  <c r="H355"/>
  <c r="G355"/>
  <c r="F355"/>
  <c r="E355"/>
  <c r="D355"/>
  <c r="C355"/>
  <c r="B355"/>
  <c r="A354"/>
  <c r="Y354"/>
  <c r="X354"/>
  <c r="W354"/>
  <c r="V354"/>
  <c r="U354"/>
  <c r="T354"/>
  <c r="S354"/>
  <c r="R354"/>
  <c r="Q354"/>
  <c r="P354"/>
  <c r="O354"/>
  <c r="N354"/>
  <c r="M354"/>
  <c r="L354"/>
  <c r="K354"/>
  <c r="J354"/>
  <c r="I354"/>
  <c r="H354"/>
  <c r="G354"/>
  <c r="F354"/>
  <c r="E354"/>
  <c r="D354"/>
  <c r="C354"/>
  <c r="B354"/>
  <c r="A353"/>
  <c r="Y353"/>
  <c r="X353"/>
  <c r="W353"/>
  <c r="V353"/>
  <c r="U353"/>
  <c r="T353"/>
  <c r="S353"/>
  <c r="R353"/>
  <c r="Q353"/>
  <c r="P353"/>
  <c r="O353"/>
  <c r="N353"/>
  <c r="M353"/>
  <c r="L353"/>
  <c r="K353"/>
  <c r="J353"/>
  <c r="I353"/>
  <c r="H353"/>
  <c r="G353"/>
  <c r="F353"/>
  <c r="E353"/>
  <c r="D353"/>
  <c r="C353"/>
  <c r="B353"/>
  <c r="A352"/>
  <c r="Y352"/>
  <c r="X352"/>
  <c r="W352"/>
  <c r="V352"/>
  <c r="U352"/>
  <c r="T352"/>
  <c r="S352"/>
  <c r="R352"/>
  <c r="Q352"/>
  <c r="P352"/>
  <c r="O352"/>
  <c r="N352"/>
  <c r="M352"/>
  <c r="L352"/>
  <c r="K352"/>
  <c r="J352"/>
  <c r="I352"/>
  <c r="H352"/>
  <c r="G352"/>
  <c r="F352"/>
  <c r="E352"/>
  <c r="D352"/>
  <c r="C352"/>
  <c r="B352"/>
  <c r="A351"/>
  <c r="Y351"/>
  <c r="X351"/>
  <c r="W351"/>
  <c r="V351"/>
  <c r="U351"/>
  <c r="T351"/>
  <c r="S351"/>
  <c r="R351"/>
  <c r="Q351"/>
  <c r="P351"/>
  <c r="O351"/>
  <c r="N351"/>
  <c r="M351"/>
  <c r="L351"/>
  <c r="K351"/>
  <c r="J351"/>
  <c r="I351"/>
  <c r="H351"/>
  <c r="G351"/>
  <c r="F351"/>
  <c r="E351"/>
  <c r="D351"/>
  <c r="C351"/>
  <c r="B351"/>
  <c r="A350"/>
  <c r="Y350"/>
  <c r="X350"/>
  <c r="W350"/>
  <c r="V350"/>
  <c r="U350"/>
  <c r="T350"/>
  <c r="S350"/>
  <c r="R350"/>
  <c r="Q350"/>
  <c r="P350"/>
  <c r="O350"/>
  <c r="N350"/>
  <c r="M350"/>
  <c r="L350"/>
  <c r="K350"/>
  <c r="J350"/>
  <c r="I350"/>
  <c r="H350"/>
  <c r="G350"/>
  <c r="F350"/>
  <c r="E350"/>
  <c r="D350"/>
  <c r="C350"/>
  <c r="B350"/>
  <c r="A349"/>
  <c r="Y349"/>
  <c r="X349"/>
  <c r="W349"/>
  <c r="V349"/>
  <c r="U349"/>
  <c r="T349"/>
  <c r="S349"/>
  <c r="R349"/>
  <c r="Q349"/>
  <c r="P349"/>
  <c r="O349"/>
  <c r="N349"/>
  <c r="M349"/>
  <c r="L349"/>
  <c r="K349"/>
  <c r="J349"/>
  <c r="I349"/>
  <c r="H349"/>
  <c r="G349"/>
  <c r="F349"/>
  <c r="E349"/>
  <c r="D349"/>
  <c r="C349"/>
  <c r="B349"/>
  <c r="A348"/>
  <c r="Y348"/>
  <c r="X348"/>
  <c r="W348"/>
  <c r="V348"/>
  <c r="U348"/>
  <c r="T348"/>
  <c r="S348"/>
  <c r="R348"/>
  <c r="Q348"/>
  <c r="P348"/>
  <c r="O348"/>
  <c r="N348"/>
  <c r="M348"/>
  <c r="L348"/>
  <c r="K348"/>
  <c r="J348"/>
  <c r="I348"/>
  <c r="H348"/>
  <c r="G348"/>
  <c r="F348"/>
  <c r="E348"/>
  <c r="D348"/>
  <c r="C348"/>
  <c r="B348"/>
  <c r="A347"/>
  <c r="Y347"/>
  <c r="X347"/>
  <c r="W347"/>
  <c r="V347"/>
  <c r="U347"/>
  <c r="T347"/>
  <c r="S347"/>
  <c r="R347"/>
  <c r="Q347"/>
  <c r="P347"/>
  <c r="O347"/>
  <c r="N347"/>
  <c r="M347"/>
  <c r="L347"/>
  <c r="K347"/>
  <c r="J347"/>
  <c r="I347"/>
  <c r="H347"/>
  <c r="G347"/>
  <c r="F347"/>
  <c r="E347"/>
  <c r="D347"/>
  <c r="C347"/>
  <c r="B347"/>
  <c r="A346"/>
  <c r="Y346"/>
  <c r="X346"/>
  <c r="W346"/>
  <c r="V346"/>
  <c r="U346"/>
  <c r="T346"/>
  <c r="S346"/>
  <c r="R346"/>
  <c r="Q346"/>
  <c r="P346"/>
  <c r="O346"/>
  <c r="N346"/>
  <c r="M346"/>
  <c r="L346"/>
  <c r="K346"/>
  <c r="J346"/>
  <c r="I346"/>
  <c r="H346"/>
  <c r="G346"/>
  <c r="F346"/>
  <c r="E346"/>
  <c r="D346"/>
  <c r="C346"/>
  <c r="B346"/>
  <c r="A345"/>
  <c r="Y345"/>
  <c r="X345"/>
  <c r="W345"/>
  <c r="V345"/>
  <c r="U345"/>
  <c r="T345"/>
  <c r="S345"/>
  <c r="R345"/>
  <c r="Q345"/>
  <c r="P345"/>
  <c r="O345"/>
  <c r="N345"/>
  <c r="M345"/>
  <c r="L345"/>
  <c r="K345"/>
  <c r="J345"/>
  <c r="I345"/>
  <c r="H345"/>
  <c r="G345"/>
  <c r="F345"/>
  <c r="E345"/>
  <c r="D345"/>
  <c r="C345"/>
  <c r="B345"/>
  <c r="A344"/>
  <c r="Y344"/>
  <c r="X344"/>
  <c r="W344"/>
  <c r="V344"/>
  <c r="U344"/>
  <c r="T344"/>
  <c r="S344"/>
  <c r="R344"/>
  <c r="Q344"/>
  <c r="P344"/>
  <c r="O344"/>
  <c r="N344"/>
  <c r="M344"/>
  <c r="L344"/>
  <c r="K344"/>
  <c r="J344"/>
  <c r="I344"/>
  <c r="H344"/>
  <c r="G344"/>
  <c r="F344"/>
  <c r="E344"/>
  <c r="D344"/>
  <c r="C344"/>
  <c r="B344"/>
  <c r="A343"/>
  <c r="Y343"/>
  <c r="X343"/>
  <c r="W343"/>
  <c r="V343"/>
  <c r="U343"/>
  <c r="T343"/>
  <c r="S343"/>
  <c r="R343"/>
  <c r="Q343"/>
  <c r="P343"/>
  <c r="O343"/>
  <c r="N343"/>
  <c r="M343"/>
  <c r="L343"/>
  <c r="K343"/>
  <c r="J343"/>
  <c r="I343"/>
  <c r="H343"/>
  <c r="G343"/>
  <c r="F343"/>
  <c r="E343"/>
  <c r="D343"/>
  <c r="C343"/>
  <c r="B343"/>
  <c r="A342"/>
  <c r="Y342"/>
  <c r="X342"/>
  <c r="W342"/>
  <c r="V342"/>
  <c r="U342"/>
  <c r="T342"/>
  <c r="S342"/>
  <c r="R342"/>
  <c r="Q342"/>
  <c r="P342"/>
  <c r="O342"/>
  <c r="N342"/>
  <c r="M342"/>
  <c r="L342"/>
  <c r="K342"/>
  <c r="J342"/>
  <c r="I342"/>
  <c r="H342"/>
  <c r="G342"/>
  <c r="F342"/>
  <c r="E342"/>
  <c r="D342"/>
  <c r="C342"/>
  <c r="B342"/>
  <c r="A341"/>
  <c r="Y341"/>
  <c r="X341"/>
  <c r="W341"/>
  <c r="V341"/>
  <c r="U341"/>
  <c r="T341"/>
  <c r="S341"/>
  <c r="R341"/>
  <c r="Q341"/>
  <c r="P341"/>
  <c r="O341"/>
  <c r="N341"/>
  <c r="M341"/>
  <c r="L341"/>
  <c r="K341"/>
  <c r="J341"/>
  <c r="I341"/>
  <c r="H341"/>
  <c r="G341"/>
  <c r="F341"/>
  <c r="E341"/>
  <c r="D341"/>
  <c r="C341"/>
  <c r="B341"/>
  <c r="A340"/>
  <c r="Y340"/>
  <c r="X340"/>
  <c r="W340"/>
  <c r="V340"/>
  <c r="U340"/>
  <c r="T340"/>
  <c r="S340"/>
  <c r="R340"/>
  <c r="Q340"/>
  <c r="P340"/>
  <c r="O340"/>
  <c r="N340"/>
  <c r="M340"/>
  <c r="L340"/>
  <c r="K340"/>
  <c r="J340"/>
  <c r="I340"/>
  <c r="H340"/>
  <c r="G340"/>
  <c r="F340"/>
  <c r="E340"/>
  <c r="D340"/>
  <c r="C340"/>
  <c r="B340"/>
  <c r="A339"/>
  <c r="Y339"/>
  <c r="X339"/>
  <c r="W339"/>
  <c r="V339"/>
  <c r="U339"/>
  <c r="T339"/>
  <c r="S339"/>
  <c r="R339"/>
  <c r="Q339"/>
  <c r="P339"/>
  <c r="O339"/>
  <c r="N339"/>
  <c r="M339"/>
  <c r="L339"/>
  <c r="K339"/>
  <c r="J339"/>
  <c r="I339"/>
  <c r="H339"/>
  <c r="G339"/>
  <c r="F339"/>
  <c r="E339"/>
  <c r="D339"/>
  <c r="C339"/>
  <c r="B339"/>
  <c r="A338"/>
  <c r="Y338"/>
  <c r="X338"/>
  <c r="W338"/>
  <c r="V338"/>
  <c r="U338"/>
  <c r="T338"/>
  <c r="S338"/>
  <c r="R338"/>
  <c r="Q338"/>
  <c r="P338"/>
  <c r="O338"/>
  <c r="N338"/>
  <c r="M338"/>
  <c r="L338"/>
  <c r="K338"/>
  <c r="J338"/>
  <c r="I338"/>
  <c r="H338"/>
  <c r="G338"/>
  <c r="F338"/>
  <c r="E338"/>
  <c r="D338"/>
  <c r="C338"/>
  <c r="B338"/>
  <c r="A337"/>
  <c r="Y337"/>
  <c r="X337"/>
  <c r="W337"/>
  <c r="V337"/>
  <c r="U337"/>
  <c r="T337"/>
  <c r="S337"/>
  <c r="R337"/>
  <c r="Q337"/>
  <c r="P337"/>
  <c r="O337"/>
  <c r="N337"/>
  <c r="M337"/>
  <c r="L337"/>
  <c r="K337"/>
  <c r="J337"/>
  <c r="I337"/>
  <c r="H337"/>
  <c r="G337"/>
  <c r="F337"/>
  <c r="E337"/>
  <c r="D337"/>
  <c r="C337"/>
  <c r="B337"/>
  <c r="A336"/>
  <c r="Y336"/>
  <c r="X336"/>
  <c r="W336"/>
  <c r="V336"/>
  <c r="U336"/>
  <c r="T336"/>
  <c r="S336"/>
  <c r="R336"/>
  <c r="Q336"/>
  <c r="P336"/>
  <c r="O336"/>
  <c r="N336"/>
  <c r="M336"/>
  <c r="L336"/>
  <c r="K336"/>
  <c r="J336"/>
  <c r="I336"/>
  <c r="H336"/>
  <c r="G336"/>
  <c r="F336"/>
  <c r="E336"/>
  <c r="D336"/>
  <c r="C336"/>
  <c r="B336"/>
  <c r="A335"/>
  <c r="Y335"/>
  <c r="X335"/>
  <c r="W335"/>
  <c r="V335"/>
  <c r="U335"/>
  <c r="T335"/>
  <c r="S335"/>
  <c r="R335"/>
  <c r="Q335"/>
  <c r="P335"/>
  <c r="O335"/>
  <c r="N335"/>
  <c r="M335"/>
  <c r="L335"/>
  <c r="K335"/>
  <c r="J335"/>
  <c r="I335"/>
  <c r="H335"/>
  <c r="G335"/>
  <c r="F335"/>
  <c r="E335"/>
  <c r="D335"/>
  <c r="C335"/>
  <c r="B335"/>
  <c r="A334"/>
  <c r="Y334"/>
  <c r="X334"/>
  <c r="W334"/>
  <c r="V334"/>
  <c r="U334"/>
  <c r="T334"/>
  <c r="S334"/>
  <c r="R334"/>
  <c r="Q334"/>
  <c r="P334"/>
  <c r="O334"/>
  <c r="N334"/>
  <c r="M334"/>
  <c r="L334"/>
  <c r="K334"/>
  <c r="J334"/>
  <c r="I334"/>
  <c r="H334"/>
  <c r="G334"/>
  <c r="F334"/>
  <c r="E334"/>
  <c r="D334"/>
  <c r="C334"/>
  <c r="B334"/>
  <c r="A333"/>
  <c r="Y333"/>
  <c r="X333"/>
  <c r="W333"/>
  <c r="V333"/>
  <c r="U333"/>
  <c r="T333"/>
  <c r="S333"/>
  <c r="R333"/>
  <c r="Q333"/>
  <c r="P333"/>
  <c r="O333"/>
  <c r="N333"/>
  <c r="M333"/>
  <c r="L333"/>
  <c r="K333"/>
  <c r="J333"/>
  <c r="I333"/>
  <c r="H333"/>
  <c r="G333"/>
  <c r="F333"/>
  <c r="E333"/>
  <c r="D333"/>
  <c r="C333"/>
  <c r="B333"/>
  <c r="A332"/>
  <c r="Y332"/>
  <c r="X332"/>
  <c r="W332"/>
  <c r="V332"/>
  <c r="U332"/>
  <c r="T332"/>
  <c r="S332"/>
  <c r="R332"/>
  <c r="Q332"/>
  <c r="P332"/>
  <c r="O332"/>
  <c r="N332"/>
  <c r="M332"/>
  <c r="L332"/>
  <c r="K332"/>
  <c r="J332"/>
  <c r="I332"/>
  <c r="H332"/>
  <c r="G332"/>
  <c r="F332"/>
  <c r="E332"/>
  <c r="D332"/>
  <c r="C332"/>
  <c r="B332"/>
  <c r="A331"/>
  <c r="Y331"/>
  <c r="X331"/>
  <c r="W331"/>
  <c r="V331"/>
  <c r="U331"/>
  <c r="T331"/>
  <c r="S331"/>
  <c r="R331"/>
  <c r="Q331"/>
  <c r="P331"/>
  <c r="O331"/>
  <c r="N331"/>
  <c r="M331"/>
  <c r="L331"/>
  <c r="K331"/>
  <c r="J331"/>
  <c r="I331"/>
  <c r="H331"/>
  <c r="G331"/>
  <c r="F331"/>
  <c r="E331"/>
  <c r="D331"/>
  <c r="C331"/>
  <c r="B331"/>
  <c r="A330"/>
  <c r="Y330"/>
  <c r="X330"/>
  <c r="W330"/>
  <c r="V330"/>
  <c r="U330"/>
  <c r="T330"/>
  <c r="S330"/>
  <c r="R330"/>
  <c r="Q330"/>
  <c r="P330"/>
  <c r="O330"/>
  <c r="N330"/>
  <c r="M330"/>
  <c r="L330"/>
  <c r="K330"/>
  <c r="J330"/>
  <c r="I330"/>
  <c r="H330"/>
  <c r="G330"/>
  <c r="F330"/>
  <c r="E330"/>
  <c r="D330"/>
  <c r="C330"/>
  <c r="B330"/>
  <c r="A329"/>
  <c r="Y329"/>
  <c r="X329"/>
  <c r="W329"/>
  <c r="V329"/>
  <c r="U329"/>
  <c r="T329"/>
  <c r="S329"/>
  <c r="R329"/>
  <c r="Q329"/>
  <c r="P329"/>
  <c r="O329"/>
  <c r="N329"/>
  <c r="M329"/>
  <c r="L329"/>
  <c r="K329"/>
  <c r="J329"/>
  <c r="I329"/>
  <c r="H329"/>
  <c r="G329"/>
  <c r="F329"/>
  <c r="E329"/>
  <c r="D329"/>
  <c r="C329"/>
  <c r="B329"/>
  <c r="A328"/>
  <c r="Y328"/>
  <c r="X328"/>
  <c r="W328"/>
  <c r="V328"/>
  <c r="U328"/>
  <c r="T328"/>
  <c r="S328"/>
  <c r="R328"/>
  <c r="Q328"/>
  <c r="P328"/>
  <c r="O328"/>
  <c r="N328"/>
  <c r="M328"/>
  <c r="L328"/>
  <c r="K328"/>
  <c r="J328"/>
  <c r="I328"/>
  <c r="H328"/>
  <c r="G328"/>
  <c r="F328"/>
  <c r="E328"/>
  <c r="D328"/>
  <c r="C328"/>
  <c r="B328"/>
  <c r="A327"/>
  <c r="Y327"/>
  <c r="X327"/>
  <c r="W327"/>
  <c r="V327"/>
  <c r="U327"/>
  <c r="T327"/>
  <c r="S327"/>
  <c r="R327"/>
  <c r="Q327"/>
  <c r="P327"/>
  <c r="O327"/>
  <c r="N327"/>
  <c r="M327"/>
  <c r="L327"/>
  <c r="K327"/>
  <c r="J327"/>
  <c r="I327"/>
  <c r="H327"/>
  <c r="G327"/>
  <c r="F327"/>
  <c r="E327"/>
  <c r="D327"/>
  <c r="C327"/>
  <c r="B327"/>
  <c r="A326"/>
  <c r="Y326"/>
  <c r="X326"/>
  <c r="W326"/>
  <c r="V326"/>
  <c r="U326"/>
  <c r="T326"/>
  <c r="S326"/>
  <c r="R326"/>
  <c r="Q326"/>
  <c r="P326"/>
  <c r="O326"/>
  <c r="N326"/>
  <c r="M326"/>
  <c r="L326"/>
  <c r="K326"/>
  <c r="J326"/>
  <c r="I326"/>
  <c r="H326"/>
  <c r="G326"/>
  <c r="F326"/>
  <c r="E326"/>
  <c r="D326"/>
  <c r="C326"/>
  <c r="B326"/>
  <c r="A325"/>
  <c r="Y325"/>
  <c r="X325"/>
  <c r="W325"/>
  <c r="V325"/>
  <c r="U325"/>
  <c r="T325"/>
  <c r="S325"/>
  <c r="R325"/>
  <c r="Q325"/>
  <c r="P325"/>
  <c r="O325"/>
  <c r="N325"/>
  <c r="M325"/>
  <c r="L325"/>
  <c r="K325"/>
  <c r="J325"/>
  <c r="I325"/>
  <c r="H325"/>
  <c r="G325"/>
  <c r="F325"/>
  <c r="E325"/>
  <c r="D325"/>
  <c r="C325"/>
  <c r="B325"/>
  <c r="A324"/>
  <c r="Y324"/>
  <c r="X324"/>
  <c r="W324"/>
  <c r="V324"/>
  <c r="U324"/>
  <c r="T324"/>
  <c r="S324"/>
  <c r="R324"/>
  <c r="Q324"/>
  <c r="P324"/>
  <c r="O324"/>
  <c r="N324"/>
  <c r="M324"/>
  <c r="L324"/>
  <c r="K324"/>
  <c r="J324"/>
  <c r="I324"/>
  <c r="H324"/>
  <c r="G324"/>
  <c r="F324"/>
  <c r="E324"/>
  <c r="D324"/>
  <c r="C324"/>
  <c r="B324"/>
  <c r="A323"/>
  <c r="Y323"/>
  <c r="X323"/>
  <c r="W323"/>
  <c r="V323"/>
  <c r="U323"/>
  <c r="T323"/>
  <c r="S323"/>
  <c r="R323"/>
  <c r="Q323"/>
  <c r="P323"/>
  <c r="O323"/>
  <c r="N323"/>
  <c r="M323"/>
  <c r="L323"/>
  <c r="K323"/>
  <c r="J323"/>
  <c r="I323"/>
  <c r="H323"/>
  <c r="G323"/>
  <c r="F323"/>
  <c r="E323"/>
  <c r="D323"/>
  <c r="C323"/>
  <c r="B323"/>
  <c r="A322"/>
  <c r="Y322"/>
  <c r="X322"/>
  <c r="W322"/>
  <c r="V322"/>
  <c r="U322"/>
  <c r="T322"/>
  <c r="S322"/>
  <c r="R322"/>
  <c r="Q322"/>
  <c r="P322"/>
  <c r="O322"/>
  <c r="N322"/>
  <c r="M322"/>
  <c r="L322"/>
  <c r="K322"/>
  <c r="J322"/>
  <c r="I322"/>
  <c r="H322"/>
  <c r="G322"/>
  <c r="F322"/>
  <c r="E322"/>
  <c r="D322"/>
  <c r="C322"/>
  <c r="B322"/>
  <c r="A321"/>
  <c r="Y321"/>
  <c r="X321"/>
  <c r="W321"/>
  <c r="V321"/>
  <c r="U321"/>
  <c r="T321"/>
  <c r="S321"/>
  <c r="R321"/>
  <c r="Q321"/>
  <c r="P321"/>
  <c r="O321"/>
  <c r="N321"/>
  <c r="M321"/>
  <c r="L321"/>
  <c r="K321"/>
  <c r="J321"/>
  <c r="I321"/>
  <c r="H321"/>
  <c r="G321"/>
  <c r="F321"/>
  <c r="E321"/>
  <c r="D321"/>
  <c r="C321"/>
  <c r="B321"/>
  <c r="A320"/>
  <c r="Y320"/>
  <c r="X320"/>
  <c r="W320"/>
  <c r="V320"/>
  <c r="U320"/>
  <c r="T320"/>
  <c r="S320"/>
  <c r="R320"/>
  <c r="Q320"/>
  <c r="P320"/>
  <c r="O320"/>
  <c r="N320"/>
  <c r="M320"/>
  <c r="L320"/>
  <c r="K320"/>
  <c r="J320"/>
  <c r="I320"/>
  <c r="H320"/>
  <c r="G320"/>
  <c r="F320"/>
  <c r="E320"/>
  <c r="D320"/>
  <c r="C320"/>
  <c r="B320"/>
  <c r="A319"/>
  <c r="Y319"/>
  <c r="X319"/>
  <c r="W319"/>
  <c r="V319"/>
  <c r="U319"/>
  <c r="T319"/>
  <c r="S319"/>
  <c r="R319"/>
  <c r="Q319"/>
  <c r="P319"/>
  <c r="O319"/>
  <c r="N319"/>
  <c r="M319"/>
  <c r="L319"/>
  <c r="K319"/>
  <c r="J319"/>
  <c r="I319"/>
  <c r="H319"/>
  <c r="G319"/>
  <c r="F319"/>
  <c r="E319"/>
  <c r="D319"/>
  <c r="C319"/>
  <c r="B319"/>
  <c r="A318"/>
  <c r="Y318"/>
  <c r="X318"/>
  <c r="W318"/>
  <c r="V318"/>
  <c r="U318"/>
  <c r="T318"/>
  <c r="S318"/>
  <c r="R318"/>
  <c r="Q318"/>
  <c r="P318"/>
  <c r="O318"/>
  <c r="N318"/>
  <c r="M318"/>
  <c r="L318"/>
  <c r="K318"/>
  <c r="J318"/>
  <c r="I318"/>
  <c r="H318"/>
  <c r="G318"/>
  <c r="F318"/>
  <c r="E318"/>
  <c r="D318"/>
  <c r="C318"/>
  <c r="B318"/>
  <c r="A317"/>
  <c r="Y317"/>
  <c r="X317"/>
  <c r="W317"/>
  <c r="V317"/>
  <c r="U317"/>
  <c r="T317"/>
  <c r="S317"/>
  <c r="R317"/>
  <c r="Q317"/>
  <c r="P317"/>
  <c r="O317"/>
  <c r="N317"/>
  <c r="M317"/>
  <c r="L317"/>
  <c r="K317"/>
  <c r="J317"/>
  <c r="I317"/>
  <c r="H317"/>
  <c r="G317"/>
  <c r="F317"/>
  <c r="E317"/>
  <c r="D317"/>
  <c r="C317"/>
  <c r="B317"/>
  <c r="A316"/>
  <c r="Y316"/>
  <c r="X316"/>
  <c r="W316"/>
  <c r="V316"/>
  <c r="U316"/>
  <c r="T316"/>
  <c r="S316"/>
  <c r="R316"/>
  <c r="Q316"/>
  <c r="P316"/>
  <c r="O316"/>
  <c r="N316"/>
  <c r="M316"/>
  <c r="L316"/>
  <c r="K316"/>
  <c r="J316"/>
  <c r="I316"/>
  <c r="H316"/>
  <c r="G316"/>
  <c r="F316"/>
  <c r="E316"/>
  <c r="D316"/>
  <c r="C316"/>
  <c r="B316"/>
  <c r="A315"/>
  <c r="Y315"/>
  <c r="X315"/>
  <c r="W315"/>
  <c r="V315"/>
  <c r="U315"/>
  <c r="T315"/>
  <c r="S315"/>
  <c r="R315"/>
  <c r="Q315"/>
  <c r="P315"/>
  <c r="O315"/>
  <c r="N315"/>
  <c r="M315"/>
  <c r="L315"/>
  <c r="K315"/>
  <c r="J315"/>
  <c r="I315"/>
  <c r="H315"/>
  <c r="G315"/>
  <c r="F315"/>
  <c r="E315"/>
  <c r="D315"/>
  <c r="C315"/>
  <c r="B315"/>
  <c r="A314"/>
  <c r="Y314"/>
  <c r="X314"/>
  <c r="W314"/>
  <c r="V314"/>
  <c r="U314"/>
  <c r="T314"/>
  <c r="S314"/>
  <c r="R314"/>
  <c r="Q314"/>
  <c r="P314"/>
  <c r="O314"/>
  <c r="N314"/>
  <c r="M314"/>
  <c r="L314"/>
  <c r="K314"/>
  <c r="J314"/>
  <c r="I314"/>
  <c r="H314"/>
  <c r="G314"/>
  <c r="F314"/>
  <c r="E314"/>
  <c r="D314"/>
  <c r="C314"/>
  <c r="B314"/>
  <c r="A313"/>
  <c r="Y313"/>
  <c r="X313"/>
  <c r="W313"/>
  <c r="V313"/>
  <c r="U313"/>
  <c r="T313"/>
  <c r="S313"/>
  <c r="R313"/>
  <c r="Q313"/>
  <c r="P313"/>
  <c r="O313"/>
  <c r="N313"/>
  <c r="M313"/>
  <c r="L313"/>
  <c r="K313"/>
  <c r="J313"/>
  <c r="I313"/>
  <c r="H313"/>
  <c r="G313"/>
  <c r="F313"/>
  <c r="E313"/>
  <c r="D313"/>
  <c r="C313"/>
  <c r="B313"/>
  <c r="A312"/>
  <c r="Y312"/>
  <c r="X312"/>
  <c r="W312"/>
  <c r="V312"/>
  <c r="U312"/>
  <c r="T312"/>
  <c r="S312"/>
  <c r="R312"/>
  <c r="Q312"/>
  <c r="P312"/>
  <c r="O312"/>
  <c r="N312"/>
  <c r="M312"/>
  <c r="L312"/>
  <c r="K312"/>
  <c r="J312"/>
  <c r="I312"/>
  <c r="H312"/>
  <c r="G312"/>
  <c r="F312"/>
  <c r="E312"/>
  <c r="D312"/>
  <c r="C312"/>
  <c r="B312"/>
  <c r="A311"/>
  <c r="Y311"/>
  <c r="X311"/>
  <c r="W311"/>
  <c r="V311"/>
  <c r="U311"/>
  <c r="T311"/>
  <c r="S311"/>
  <c r="R311"/>
  <c r="Q311"/>
  <c r="P311"/>
  <c r="O311"/>
  <c r="N311"/>
  <c r="M311"/>
  <c r="L311"/>
  <c r="K311"/>
  <c r="J311"/>
  <c r="I311"/>
  <c r="H311"/>
  <c r="G311"/>
  <c r="F311"/>
  <c r="E311"/>
  <c r="D311"/>
  <c r="C311"/>
  <c r="B311"/>
  <c r="A310"/>
  <c r="Y310"/>
  <c r="X310"/>
  <c r="W310"/>
  <c r="V310"/>
  <c r="U310"/>
  <c r="T310"/>
  <c r="S310"/>
  <c r="R310"/>
  <c r="Q310"/>
  <c r="P310"/>
  <c r="O310"/>
  <c r="N310"/>
  <c r="M310"/>
  <c r="L310"/>
  <c r="K310"/>
  <c r="J310"/>
  <c r="I310"/>
  <c r="H310"/>
  <c r="G310"/>
  <c r="F310"/>
  <c r="E310"/>
  <c r="D310"/>
  <c r="C310"/>
  <c r="B310"/>
  <c r="A309"/>
  <c r="Y309"/>
  <c r="X309"/>
  <c r="W309"/>
  <c r="V309"/>
  <c r="U309"/>
  <c r="T309"/>
  <c r="S309"/>
  <c r="R309"/>
  <c r="Q309"/>
  <c r="P309"/>
  <c r="O309"/>
  <c r="N309"/>
  <c r="M309"/>
  <c r="L309"/>
  <c r="K309"/>
  <c r="J309"/>
  <c r="I309"/>
  <c r="H309"/>
  <c r="G309"/>
  <c r="F309"/>
  <c r="E309"/>
  <c r="D309"/>
  <c r="C309"/>
  <c r="B309"/>
  <c r="A308"/>
  <c r="Y308"/>
  <c r="X308"/>
  <c r="W308"/>
  <c r="V308"/>
  <c r="U308"/>
  <c r="T308"/>
  <c r="S308"/>
  <c r="R308"/>
  <c r="Q308"/>
  <c r="P308"/>
  <c r="O308"/>
  <c r="N308"/>
  <c r="M308"/>
  <c r="L308"/>
  <c r="K308"/>
  <c r="J308"/>
  <c r="I308"/>
  <c r="H308"/>
  <c r="G308"/>
  <c r="F308"/>
  <c r="E308"/>
  <c r="D308"/>
  <c r="C308"/>
  <c r="B308"/>
  <c r="A307"/>
  <c r="Y307"/>
  <c r="X307"/>
  <c r="W307"/>
  <c r="V307"/>
  <c r="U307"/>
  <c r="T307"/>
  <c r="S307"/>
  <c r="R307"/>
  <c r="Q307"/>
  <c r="P307"/>
  <c r="O307"/>
  <c r="N307"/>
  <c r="M307"/>
  <c r="L307"/>
  <c r="K307"/>
  <c r="J307"/>
  <c r="I307"/>
  <c r="H307"/>
  <c r="G307"/>
  <c r="F307"/>
  <c r="E307"/>
  <c r="D307"/>
  <c r="C307"/>
  <c r="B307"/>
  <c r="A306"/>
  <c r="Y306"/>
  <c r="X306"/>
  <c r="W306"/>
  <c r="V306"/>
  <c r="U306"/>
  <c r="T306"/>
  <c r="S306"/>
  <c r="R306"/>
  <c r="Q306"/>
  <c r="P306"/>
  <c r="O306"/>
  <c r="N306"/>
  <c r="M306"/>
  <c r="L306"/>
  <c r="K306"/>
  <c r="J306"/>
  <c r="I306"/>
  <c r="H306"/>
  <c r="G306"/>
  <c r="F306"/>
  <c r="E306"/>
  <c r="D306"/>
  <c r="C306"/>
  <c r="B306"/>
  <c r="A305"/>
  <c r="Y305"/>
  <c r="X305"/>
  <c r="W305"/>
  <c r="V305"/>
  <c r="U305"/>
  <c r="T305"/>
  <c r="S305"/>
  <c r="R305"/>
  <c r="Q305"/>
  <c r="P305"/>
  <c r="O305"/>
  <c r="N305"/>
  <c r="M305"/>
  <c r="L305"/>
  <c r="K305"/>
  <c r="J305"/>
  <c r="I305"/>
  <c r="H305"/>
  <c r="G305"/>
  <c r="F305"/>
  <c r="E305"/>
  <c r="D305"/>
  <c r="C305"/>
  <c r="B305"/>
  <c r="A304"/>
  <c r="Y304"/>
  <c r="X304"/>
  <c r="W304"/>
  <c r="V304"/>
  <c r="U304"/>
  <c r="T304"/>
  <c r="S304"/>
  <c r="R304"/>
  <c r="Q304"/>
  <c r="P304"/>
  <c r="O304"/>
  <c r="N304"/>
  <c r="M304"/>
  <c r="L304"/>
  <c r="K304"/>
  <c r="J304"/>
  <c r="I304"/>
  <c r="H304"/>
  <c r="G304"/>
  <c r="F304"/>
  <c r="E304"/>
  <c r="D304"/>
  <c r="C304"/>
  <c r="B304"/>
  <c r="A303"/>
  <c r="Y303"/>
  <c r="X303"/>
  <c r="W303"/>
  <c r="V303"/>
  <c r="U303"/>
  <c r="T303"/>
  <c r="S303"/>
  <c r="R303"/>
  <c r="Q303"/>
  <c r="P303"/>
  <c r="O303"/>
  <c r="N303"/>
  <c r="M303"/>
  <c r="L303"/>
  <c r="K303"/>
  <c r="J303"/>
  <c r="I303"/>
  <c r="H303"/>
  <c r="G303"/>
  <c r="F303"/>
  <c r="E303"/>
  <c r="D303"/>
  <c r="C303"/>
  <c r="B303"/>
  <c r="A302"/>
  <c r="Y302"/>
  <c r="X302"/>
  <c r="W302"/>
  <c r="V302"/>
  <c r="U302"/>
  <c r="T302"/>
  <c r="S302"/>
  <c r="R302"/>
  <c r="Q302"/>
  <c r="P302"/>
  <c r="O302"/>
  <c r="N302"/>
  <c r="M302"/>
  <c r="L302"/>
  <c r="K302"/>
  <c r="J302"/>
  <c r="I302"/>
  <c r="H302"/>
  <c r="G302"/>
  <c r="F302"/>
  <c r="E302"/>
  <c r="D302"/>
  <c r="C302"/>
  <c r="B302"/>
  <c r="A301"/>
  <c r="Y301"/>
  <c r="X301"/>
  <c r="W301"/>
  <c r="V301"/>
  <c r="U301"/>
  <c r="T301"/>
  <c r="S301"/>
  <c r="R301"/>
  <c r="Q301"/>
  <c r="P301"/>
  <c r="O301"/>
  <c r="N301"/>
  <c r="M301"/>
  <c r="L301"/>
  <c r="K301"/>
  <c r="J301"/>
  <c r="I301"/>
  <c r="H301"/>
  <c r="G301"/>
  <c r="F301"/>
  <c r="E301"/>
  <c r="D301"/>
  <c r="C301"/>
  <c r="B301"/>
  <c r="A300"/>
  <c r="Y300"/>
  <c r="X300"/>
  <c r="W300"/>
  <c r="V300"/>
  <c r="U300"/>
  <c r="T300"/>
  <c r="S300"/>
  <c r="R300"/>
  <c r="Q300"/>
  <c r="P300"/>
  <c r="O300"/>
  <c r="N300"/>
  <c r="M300"/>
  <c r="L300"/>
  <c r="K300"/>
  <c r="J300"/>
  <c r="I300"/>
  <c r="H300"/>
  <c r="G300"/>
  <c r="F300"/>
  <c r="E300"/>
  <c r="D300"/>
  <c r="C300"/>
  <c r="B300"/>
  <c r="A299"/>
  <c r="Y299"/>
  <c r="X299"/>
  <c r="W299"/>
  <c r="V299"/>
  <c r="U299"/>
  <c r="T299"/>
  <c r="S299"/>
  <c r="R299"/>
  <c r="Q299"/>
  <c r="P299"/>
  <c r="O299"/>
  <c r="N299"/>
  <c r="M299"/>
  <c r="L299"/>
  <c r="K299"/>
  <c r="J299"/>
  <c r="I299"/>
  <c r="H299"/>
  <c r="G299"/>
  <c r="F299"/>
  <c r="E299"/>
  <c r="D299"/>
  <c r="C299"/>
  <c r="B299"/>
  <c r="A298"/>
  <c r="Y298"/>
  <c r="X298"/>
  <c r="W298"/>
  <c r="V298"/>
  <c r="U298"/>
  <c r="T298"/>
  <c r="S298"/>
  <c r="R298"/>
  <c r="Q298"/>
  <c r="P298"/>
  <c r="O298"/>
  <c r="N298"/>
  <c r="M298"/>
  <c r="L298"/>
  <c r="K298"/>
  <c r="J298"/>
  <c r="I298"/>
  <c r="H298"/>
  <c r="G298"/>
  <c r="F298"/>
  <c r="E298"/>
  <c r="D298"/>
  <c r="C298"/>
  <c r="B298"/>
  <c r="A297"/>
  <c r="Y297"/>
  <c r="X297"/>
  <c r="W297"/>
  <c r="V297"/>
  <c r="U297"/>
  <c r="T297"/>
  <c r="S297"/>
  <c r="R297"/>
  <c r="Q297"/>
  <c r="P297"/>
  <c r="O297"/>
  <c r="N297"/>
  <c r="M297"/>
  <c r="L297"/>
  <c r="K297"/>
  <c r="J297"/>
  <c r="I297"/>
  <c r="H297"/>
  <c r="G297"/>
  <c r="F297"/>
  <c r="E297"/>
  <c r="D297"/>
  <c r="C297"/>
  <c r="B297"/>
  <c r="A296"/>
  <c r="Y296"/>
  <c r="X296"/>
  <c r="W296"/>
  <c r="V296"/>
  <c r="U296"/>
  <c r="T296"/>
  <c r="S296"/>
  <c r="R296"/>
  <c r="Q296"/>
  <c r="P296"/>
  <c r="O296"/>
  <c r="N296"/>
  <c r="M296"/>
  <c r="L296"/>
  <c r="K296"/>
  <c r="J296"/>
  <c r="I296"/>
  <c r="H296"/>
  <c r="G296"/>
  <c r="F296"/>
  <c r="E296"/>
  <c r="D296"/>
  <c r="C296"/>
  <c r="B296"/>
  <c r="A295"/>
  <c r="Y295"/>
  <c r="X295"/>
  <c r="W295"/>
  <c r="V295"/>
  <c r="U295"/>
  <c r="T295"/>
  <c r="S295"/>
  <c r="R295"/>
  <c r="Q295"/>
  <c r="P295"/>
  <c r="O295"/>
  <c r="N295"/>
  <c r="M295"/>
  <c r="L295"/>
  <c r="K295"/>
  <c r="J295"/>
  <c r="I295"/>
  <c r="H295"/>
  <c r="G295"/>
  <c r="F295"/>
  <c r="E295"/>
  <c r="D295"/>
  <c r="C295"/>
  <c r="B295"/>
  <c r="A294"/>
  <c r="Y294"/>
  <c r="X294"/>
  <c r="W294"/>
  <c r="V294"/>
  <c r="U294"/>
  <c r="T294"/>
  <c r="S294"/>
  <c r="R294"/>
  <c r="Q294"/>
  <c r="P294"/>
  <c r="O294"/>
  <c r="N294"/>
  <c r="M294"/>
  <c r="L294"/>
  <c r="K294"/>
  <c r="J294"/>
  <c r="I294"/>
  <c r="H294"/>
  <c r="G294"/>
  <c r="F294"/>
  <c r="E294"/>
  <c r="D294"/>
  <c r="C294"/>
  <c r="B294"/>
  <c r="A293"/>
  <c r="Y293"/>
  <c r="X293"/>
  <c r="W293"/>
  <c r="V293"/>
  <c r="U293"/>
  <c r="T293"/>
  <c r="S293"/>
  <c r="R293"/>
  <c r="Q293"/>
  <c r="P293"/>
  <c r="O293"/>
  <c r="N293"/>
  <c r="M293"/>
  <c r="L293"/>
  <c r="K293"/>
  <c r="J293"/>
  <c r="I293"/>
  <c r="H293"/>
  <c r="G293"/>
  <c r="F293"/>
  <c r="E293"/>
  <c r="D293"/>
  <c r="C293"/>
  <c r="B293"/>
  <c r="A292"/>
  <c r="Y292"/>
  <c r="X292"/>
  <c r="W292"/>
  <c r="V292"/>
  <c r="U292"/>
  <c r="T292"/>
  <c r="S292"/>
  <c r="R292"/>
  <c r="Q292"/>
  <c r="P292"/>
  <c r="O292"/>
  <c r="N292"/>
  <c r="M292"/>
  <c r="L292"/>
  <c r="K292"/>
  <c r="J292"/>
  <c r="I292"/>
  <c r="H292"/>
  <c r="G292"/>
  <c r="F292"/>
  <c r="E292"/>
  <c r="D292"/>
  <c r="C292"/>
  <c r="B292"/>
  <c r="A291"/>
  <c r="Y291"/>
  <c r="X291"/>
  <c r="W291"/>
  <c r="V291"/>
  <c r="U291"/>
  <c r="T291"/>
  <c r="S291"/>
  <c r="R291"/>
  <c r="Q291"/>
  <c r="P291"/>
  <c r="O291"/>
  <c r="N291"/>
  <c r="M291"/>
  <c r="L291"/>
  <c r="K291"/>
  <c r="J291"/>
  <c r="I291"/>
  <c r="H291"/>
  <c r="G291"/>
  <c r="F291"/>
  <c r="E291"/>
  <c r="D291"/>
  <c r="C291"/>
  <c r="B291"/>
  <c r="A290"/>
  <c r="Y290"/>
  <c r="X290"/>
  <c r="W290"/>
  <c r="V290"/>
  <c r="U290"/>
  <c r="T290"/>
  <c r="S290"/>
  <c r="R290"/>
  <c r="Q290"/>
  <c r="P290"/>
  <c r="O290"/>
  <c r="N290"/>
  <c r="M290"/>
  <c r="L290"/>
  <c r="K290"/>
  <c r="J290"/>
  <c r="I290"/>
  <c r="H290"/>
  <c r="G290"/>
  <c r="F290"/>
  <c r="E290"/>
  <c r="D290"/>
  <c r="C290"/>
  <c r="B290"/>
  <c r="A289"/>
  <c r="Y289"/>
  <c r="X289"/>
  <c r="W289"/>
  <c r="V289"/>
  <c r="U289"/>
  <c r="T289"/>
  <c r="S289"/>
  <c r="R289"/>
  <c r="Q289"/>
  <c r="P289"/>
  <c r="O289"/>
  <c r="N289"/>
  <c r="M289"/>
  <c r="L289"/>
  <c r="K289"/>
  <c r="J289"/>
  <c r="I289"/>
  <c r="H289"/>
  <c r="G289"/>
  <c r="F289"/>
  <c r="E289"/>
  <c r="D289"/>
  <c r="C289"/>
  <c r="B289"/>
  <c r="A288"/>
  <c r="Y288"/>
  <c r="X288"/>
  <c r="W288"/>
  <c r="V288"/>
  <c r="U288"/>
  <c r="T288"/>
  <c r="S288"/>
  <c r="R288"/>
  <c r="Q288"/>
  <c r="P288"/>
  <c r="O288"/>
  <c r="N288"/>
  <c r="M288"/>
  <c r="L288"/>
  <c r="K288"/>
  <c r="J288"/>
  <c r="I288"/>
  <c r="H288"/>
  <c r="G288"/>
  <c r="F288"/>
  <c r="E288"/>
  <c r="D288"/>
  <c r="C288"/>
  <c r="B288"/>
  <c r="A287"/>
  <c r="Y287"/>
  <c r="X287"/>
  <c r="W287"/>
  <c r="V287"/>
  <c r="U287"/>
  <c r="T287"/>
  <c r="S287"/>
  <c r="R287"/>
  <c r="Q287"/>
  <c r="P287"/>
  <c r="O287"/>
  <c r="N287"/>
  <c r="M287"/>
  <c r="L287"/>
  <c r="K287"/>
  <c r="J287"/>
  <c r="I287"/>
  <c r="H287"/>
  <c r="G287"/>
  <c r="F287"/>
  <c r="E287"/>
  <c r="D287"/>
  <c r="C287"/>
  <c r="B287"/>
  <c r="A286"/>
  <c r="Y286"/>
  <c r="X286"/>
  <c r="W286"/>
  <c r="V286"/>
  <c r="U286"/>
  <c r="T286"/>
  <c r="S286"/>
  <c r="R286"/>
  <c r="Q286"/>
  <c r="P286"/>
  <c r="O286"/>
  <c r="N286"/>
  <c r="M286"/>
  <c r="L286"/>
  <c r="K286"/>
  <c r="J286"/>
  <c r="I286"/>
  <c r="H286"/>
  <c r="G286"/>
  <c r="F286"/>
  <c r="E286"/>
  <c r="D286"/>
  <c r="C286"/>
  <c r="B286"/>
  <c r="A285"/>
  <c r="Y285"/>
  <c r="X285"/>
  <c r="W285"/>
  <c r="V285"/>
  <c r="U285"/>
  <c r="T285"/>
  <c r="S285"/>
  <c r="R285"/>
  <c r="Q285"/>
  <c r="P285"/>
  <c r="O285"/>
  <c r="N285"/>
  <c r="M285"/>
  <c r="L285"/>
  <c r="K285"/>
  <c r="J285"/>
  <c r="I285"/>
  <c r="H285"/>
  <c r="G285"/>
  <c r="F285"/>
  <c r="E285"/>
  <c r="D285"/>
  <c r="C285"/>
  <c r="B285"/>
  <c r="A284"/>
  <c r="Y284"/>
  <c r="X284"/>
  <c r="W284"/>
  <c r="V284"/>
  <c r="U284"/>
  <c r="T284"/>
  <c r="S284"/>
  <c r="R284"/>
  <c r="Q284"/>
  <c r="P284"/>
  <c r="O284"/>
  <c r="N284"/>
  <c r="M284"/>
  <c r="L284"/>
  <c r="K284"/>
  <c r="J284"/>
  <c r="I284"/>
  <c r="H284"/>
  <c r="G284"/>
  <c r="F284"/>
  <c r="E284"/>
  <c r="D284"/>
  <c r="C284"/>
  <c r="B284"/>
  <c r="A283"/>
  <c r="Y283"/>
  <c r="X283"/>
  <c r="W283"/>
  <c r="V283"/>
  <c r="U283"/>
  <c r="T283"/>
  <c r="S283"/>
  <c r="R283"/>
  <c r="Q283"/>
  <c r="P283"/>
  <c r="O283"/>
  <c r="N283"/>
  <c r="M283"/>
  <c r="L283"/>
  <c r="K283"/>
  <c r="J283"/>
  <c r="I283"/>
  <c r="H283"/>
  <c r="G283"/>
  <c r="F283"/>
  <c r="E283"/>
  <c r="D283"/>
  <c r="C283"/>
  <c r="B283"/>
  <c r="A282"/>
  <c r="Y282"/>
  <c r="X282"/>
  <c r="W282"/>
  <c r="V282"/>
  <c r="U282"/>
  <c r="T282"/>
  <c r="S282"/>
  <c r="R282"/>
  <c r="Q282"/>
  <c r="P282"/>
  <c r="O282"/>
  <c r="N282"/>
  <c r="M282"/>
  <c r="L282"/>
  <c r="K282"/>
  <c r="J282"/>
  <c r="I282"/>
  <c r="H282"/>
  <c r="G282"/>
  <c r="F282"/>
  <c r="E282"/>
  <c r="D282"/>
  <c r="C282"/>
  <c r="B282"/>
  <c r="A281"/>
  <c r="Y281"/>
  <c r="X281"/>
  <c r="W281"/>
  <c r="V281"/>
  <c r="U281"/>
  <c r="T281"/>
  <c r="S281"/>
  <c r="R281"/>
  <c r="Q281"/>
  <c r="P281"/>
  <c r="O281"/>
  <c r="N281"/>
  <c r="M281"/>
  <c r="L281"/>
  <c r="K281"/>
  <c r="J281"/>
  <c r="I281"/>
  <c r="H281"/>
  <c r="G281"/>
  <c r="F281"/>
  <c r="E281"/>
  <c r="D281"/>
  <c r="C281"/>
  <c r="B281"/>
  <c r="A280"/>
  <c r="Y280"/>
  <c r="X280"/>
  <c r="W280"/>
  <c r="V280"/>
  <c r="U280"/>
  <c r="T280"/>
  <c r="S280"/>
  <c r="R280"/>
  <c r="Q280"/>
  <c r="P280"/>
  <c r="O280"/>
  <c r="N280"/>
  <c r="M280"/>
  <c r="L280"/>
  <c r="K280"/>
  <c r="J280"/>
  <c r="I280"/>
  <c r="H280"/>
  <c r="G280"/>
  <c r="F280"/>
  <c r="E280"/>
  <c r="D280"/>
  <c r="C280"/>
  <c r="B280"/>
  <c r="A279"/>
  <c r="Y279"/>
  <c r="X279"/>
  <c r="W279"/>
  <c r="V279"/>
  <c r="U279"/>
  <c r="T279"/>
  <c r="S279"/>
  <c r="R279"/>
  <c r="Q279"/>
  <c r="P279"/>
  <c r="O279"/>
  <c r="N279"/>
  <c r="M279"/>
  <c r="L279"/>
  <c r="K279"/>
  <c r="J279"/>
  <c r="I279"/>
  <c r="H279"/>
  <c r="G279"/>
  <c r="F279"/>
  <c r="E279"/>
  <c r="D279"/>
  <c r="C279"/>
  <c r="B279"/>
  <c r="A278"/>
  <c r="Y278"/>
  <c r="X278"/>
  <c r="W278"/>
  <c r="V278"/>
  <c r="U278"/>
  <c r="T278"/>
  <c r="S278"/>
  <c r="R278"/>
  <c r="Q278"/>
  <c r="P278"/>
  <c r="O278"/>
  <c r="N278"/>
  <c r="M278"/>
  <c r="L278"/>
  <c r="K278"/>
  <c r="J278"/>
  <c r="I278"/>
  <c r="H278"/>
  <c r="G278"/>
  <c r="F278"/>
  <c r="E278"/>
  <c r="D278"/>
  <c r="C278"/>
  <c r="B278"/>
  <c r="A277"/>
  <c r="Y277"/>
  <c r="X277"/>
  <c r="W277"/>
  <c r="V277"/>
  <c r="U277"/>
  <c r="T277"/>
  <c r="S277"/>
  <c r="R277"/>
  <c r="Q277"/>
  <c r="P277"/>
  <c r="O277"/>
  <c r="N277"/>
  <c r="M277"/>
  <c r="L277"/>
  <c r="K277"/>
  <c r="J277"/>
  <c r="I277"/>
  <c r="H277"/>
  <c r="G277"/>
  <c r="F277"/>
  <c r="E277"/>
  <c r="D277"/>
  <c r="C277"/>
  <c r="B277"/>
  <c r="A276"/>
  <c r="Y276"/>
  <c r="X276"/>
  <c r="W276"/>
  <c r="V276"/>
  <c r="U276"/>
  <c r="T276"/>
  <c r="S276"/>
  <c r="R276"/>
  <c r="Q276"/>
  <c r="P276"/>
  <c r="O276"/>
  <c r="N276"/>
  <c r="M276"/>
  <c r="L276"/>
  <c r="K276"/>
  <c r="J276"/>
  <c r="I276"/>
  <c r="H276"/>
  <c r="G276"/>
  <c r="F276"/>
  <c r="E276"/>
  <c r="D276"/>
  <c r="C276"/>
  <c r="B276"/>
  <c r="A275"/>
  <c r="Y275"/>
  <c r="X275"/>
  <c r="W275"/>
  <c r="V275"/>
  <c r="U275"/>
  <c r="T275"/>
  <c r="S275"/>
  <c r="R275"/>
  <c r="Q275"/>
  <c r="P275"/>
  <c r="O275"/>
  <c r="N275"/>
  <c r="M275"/>
  <c r="L275"/>
  <c r="K275"/>
  <c r="J275"/>
  <c r="I275"/>
  <c r="H275"/>
  <c r="G275"/>
  <c r="F275"/>
  <c r="E275"/>
  <c r="D275"/>
  <c r="C275"/>
  <c r="B275"/>
  <c r="A274"/>
  <c r="Y274"/>
  <c r="X274"/>
  <c r="W274"/>
  <c r="V274"/>
  <c r="U274"/>
  <c r="T274"/>
  <c r="S274"/>
  <c r="R274"/>
  <c r="Q274"/>
  <c r="P274"/>
  <c r="O274"/>
  <c r="N274"/>
  <c r="M274"/>
  <c r="L274"/>
  <c r="K274"/>
  <c r="J274"/>
  <c r="I274"/>
  <c r="H274"/>
  <c r="G274"/>
  <c r="F274"/>
  <c r="E274"/>
  <c r="D274"/>
  <c r="C274"/>
  <c r="B274"/>
  <c r="A273"/>
  <c r="Y273"/>
  <c r="X273"/>
  <c r="W273"/>
  <c r="V273"/>
  <c r="U273"/>
  <c r="T273"/>
  <c r="S273"/>
  <c r="R273"/>
  <c r="Q273"/>
  <c r="P273"/>
  <c r="O273"/>
  <c r="N273"/>
  <c r="M273"/>
  <c r="L273"/>
  <c r="K273"/>
  <c r="J273"/>
  <c r="I273"/>
  <c r="H273"/>
  <c r="G273"/>
  <c r="F273"/>
  <c r="E273"/>
  <c r="D273"/>
  <c r="C273"/>
  <c r="B273"/>
  <c r="A272"/>
  <c r="Y272"/>
  <c r="X272"/>
  <c r="W272"/>
  <c r="V272"/>
  <c r="U272"/>
  <c r="T272"/>
  <c r="S272"/>
  <c r="R272"/>
  <c r="Q272"/>
  <c r="P272"/>
  <c r="O272"/>
  <c r="N272"/>
  <c r="M272"/>
  <c r="L272"/>
  <c r="K272"/>
  <c r="J272"/>
  <c r="I272"/>
  <c r="H272"/>
  <c r="G272"/>
  <c r="F272"/>
  <c r="E272"/>
  <c r="D272"/>
  <c r="C272"/>
  <c r="B272"/>
  <c r="A271"/>
  <c r="Y271"/>
  <c r="X271"/>
  <c r="W271"/>
  <c r="V271"/>
  <c r="U271"/>
  <c r="T271"/>
  <c r="S271"/>
  <c r="R271"/>
  <c r="Q271"/>
  <c r="P271"/>
  <c r="O271"/>
  <c r="N271"/>
  <c r="M271"/>
  <c r="L271"/>
  <c r="K271"/>
  <c r="J271"/>
  <c r="I271"/>
  <c r="H271"/>
  <c r="G271"/>
  <c r="F271"/>
  <c r="E271"/>
  <c r="D271"/>
  <c r="C271"/>
  <c r="B271"/>
  <c r="A270"/>
  <c r="Y270"/>
  <c r="X270"/>
  <c r="W270"/>
  <c r="V270"/>
  <c r="U270"/>
  <c r="T270"/>
  <c r="S270"/>
  <c r="R270"/>
  <c r="Q270"/>
  <c r="P270"/>
  <c r="O270"/>
  <c r="N270"/>
  <c r="M270"/>
  <c r="L270"/>
  <c r="K270"/>
  <c r="J270"/>
  <c r="I270"/>
  <c r="H270"/>
  <c r="G270"/>
  <c r="F270"/>
  <c r="E270"/>
  <c r="D270"/>
  <c r="C270"/>
  <c r="B270"/>
  <c r="A269"/>
  <c r="Y269"/>
  <c r="X269"/>
  <c r="W269"/>
  <c r="V269"/>
  <c r="U269"/>
  <c r="T269"/>
  <c r="S269"/>
  <c r="R269"/>
  <c r="Q269"/>
  <c r="P269"/>
  <c r="O269"/>
  <c r="N269"/>
  <c r="M269"/>
  <c r="L269"/>
  <c r="K269"/>
  <c r="J269"/>
  <c r="I269"/>
  <c r="H269"/>
  <c r="G269"/>
  <c r="F269"/>
  <c r="E269"/>
  <c r="D269"/>
  <c r="C269"/>
  <c r="B269"/>
  <c r="A268"/>
  <c r="Y268"/>
  <c r="X268"/>
  <c r="W268"/>
  <c r="V268"/>
  <c r="U268"/>
  <c r="T268"/>
  <c r="S268"/>
  <c r="R268"/>
  <c r="Q268"/>
  <c r="P268"/>
  <c r="O268"/>
  <c r="N268"/>
  <c r="M268"/>
  <c r="L268"/>
  <c r="K268"/>
  <c r="J268"/>
  <c r="I268"/>
  <c r="H268"/>
  <c r="G268"/>
  <c r="F268"/>
  <c r="E268"/>
  <c r="D268"/>
  <c r="C268"/>
  <c r="B268"/>
  <c r="A267"/>
  <c r="Y267"/>
  <c r="X267"/>
  <c r="W267"/>
  <c r="V267"/>
  <c r="U267"/>
  <c r="T267"/>
  <c r="S267"/>
  <c r="R267"/>
  <c r="Q267"/>
  <c r="P267"/>
  <c r="O267"/>
  <c r="N267"/>
  <c r="M267"/>
  <c r="L267"/>
  <c r="K267"/>
  <c r="J267"/>
  <c r="I267"/>
  <c r="H267"/>
  <c r="G267"/>
  <c r="F267"/>
  <c r="E267"/>
  <c r="D267"/>
  <c r="C267"/>
  <c r="B267"/>
  <c r="A266"/>
  <c r="Y266"/>
  <c r="X266"/>
  <c r="W266"/>
  <c r="V266"/>
  <c r="U266"/>
  <c r="T266"/>
  <c r="S266"/>
  <c r="R266"/>
  <c r="Q266"/>
  <c r="P266"/>
  <c r="O266"/>
  <c r="N266"/>
  <c r="M266"/>
  <c r="L266"/>
  <c r="K266"/>
  <c r="J266"/>
  <c r="I266"/>
  <c r="H266"/>
  <c r="G266"/>
  <c r="F266"/>
  <c r="E266"/>
  <c r="D266"/>
  <c r="C266"/>
  <c r="B266"/>
  <c r="A265"/>
  <c r="Y265"/>
  <c r="X265"/>
  <c r="W265"/>
  <c r="V265"/>
  <c r="U265"/>
  <c r="T265"/>
  <c r="S265"/>
  <c r="R265"/>
  <c r="Q265"/>
  <c r="P265"/>
  <c r="O265"/>
  <c r="N265"/>
  <c r="M265"/>
  <c r="L265"/>
  <c r="K265"/>
  <c r="J265"/>
  <c r="I265"/>
  <c r="H265"/>
  <c r="G265"/>
  <c r="F265"/>
  <c r="E265"/>
  <c r="D265"/>
  <c r="C265"/>
  <c r="B265"/>
  <c r="A264"/>
  <c r="Y264"/>
  <c r="X264"/>
  <c r="W264"/>
  <c r="V264"/>
  <c r="U264"/>
  <c r="T264"/>
  <c r="S264"/>
  <c r="R264"/>
  <c r="Q264"/>
  <c r="P264"/>
  <c r="O264"/>
  <c r="N264"/>
  <c r="M264"/>
  <c r="L264"/>
  <c r="K264"/>
  <c r="J264"/>
  <c r="I264"/>
  <c r="H264"/>
  <c r="G264"/>
  <c r="F264"/>
  <c r="E264"/>
  <c r="D264"/>
  <c r="C264"/>
  <c r="B264"/>
  <c r="A263"/>
  <c r="Y263"/>
  <c r="X263"/>
  <c r="W263"/>
  <c r="V263"/>
  <c r="U263"/>
  <c r="T263"/>
  <c r="S263"/>
  <c r="R263"/>
  <c r="Q263"/>
  <c r="P263"/>
  <c r="O263"/>
  <c r="N263"/>
  <c r="M263"/>
  <c r="L263"/>
  <c r="K263"/>
  <c r="J263"/>
  <c r="I263"/>
  <c r="H263"/>
  <c r="G263"/>
  <c r="F263"/>
  <c r="E263"/>
  <c r="D263"/>
  <c r="C263"/>
  <c r="B263"/>
  <c r="A262"/>
  <c r="Y262"/>
  <c r="X262"/>
  <c r="W262"/>
  <c r="V262"/>
  <c r="U262"/>
  <c r="T262"/>
  <c r="S262"/>
  <c r="R262"/>
  <c r="Q262"/>
  <c r="P262"/>
  <c r="O262"/>
  <c r="N262"/>
  <c r="M262"/>
  <c r="L262"/>
  <c r="K262"/>
  <c r="J262"/>
  <c r="I262"/>
  <c r="H262"/>
  <c r="G262"/>
  <c r="F262"/>
  <c r="E262"/>
  <c r="D262"/>
  <c r="C262"/>
  <c r="B262"/>
  <c r="A261"/>
  <c r="Y261"/>
  <c r="X261"/>
  <c r="W261"/>
  <c r="V261"/>
  <c r="U261"/>
  <c r="T261"/>
  <c r="S261"/>
  <c r="R261"/>
  <c r="Q261"/>
  <c r="P261"/>
  <c r="O261"/>
  <c r="N261"/>
  <c r="M261"/>
  <c r="L261"/>
  <c r="K261"/>
  <c r="J261"/>
  <c r="I261"/>
  <c r="H261"/>
  <c r="G261"/>
  <c r="F261"/>
  <c r="E261"/>
  <c r="D261"/>
  <c r="C261"/>
  <c r="B261"/>
  <c r="A260"/>
  <c r="Y260"/>
  <c r="X260"/>
  <c r="W260"/>
  <c r="V260"/>
  <c r="U260"/>
  <c r="T260"/>
  <c r="S260"/>
  <c r="R260"/>
  <c r="Q260"/>
  <c r="P260"/>
  <c r="O260"/>
  <c r="N260"/>
  <c r="M260"/>
  <c r="L260"/>
  <c r="K260"/>
  <c r="J260"/>
  <c r="I260"/>
  <c r="H260"/>
  <c r="G260"/>
  <c r="F260"/>
  <c r="E260"/>
  <c r="D260"/>
  <c r="C260"/>
  <c r="B260"/>
  <c r="A259"/>
  <c r="Y259"/>
  <c r="X259"/>
  <c r="W259"/>
  <c r="V259"/>
  <c r="U259"/>
  <c r="T259"/>
  <c r="S259"/>
  <c r="R259"/>
  <c r="Q259"/>
  <c r="P259"/>
  <c r="O259"/>
  <c r="N259"/>
  <c r="M259"/>
  <c r="L259"/>
  <c r="K259"/>
  <c r="J259"/>
  <c r="I259"/>
  <c r="H259"/>
  <c r="G259"/>
  <c r="F259"/>
  <c r="E259"/>
  <c r="D259"/>
  <c r="C259"/>
  <c r="B259"/>
  <c r="A258"/>
  <c r="Y258"/>
  <c r="X258"/>
  <c r="W258"/>
  <c r="V258"/>
  <c r="U258"/>
  <c r="T258"/>
  <c r="S258"/>
  <c r="R258"/>
  <c r="Q258"/>
  <c r="P258"/>
  <c r="O258"/>
  <c r="N258"/>
  <c r="M258"/>
  <c r="L258"/>
  <c r="K258"/>
  <c r="J258"/>
  <c r="I258"/>
  <c r="H258"/>
  <c r="G258"/>
  <c r="F258"/>
  <c r="E258"/>
  <c r="D258"/>
  <c r="C258"/>
  <c r="B258"/>
  <c r="A257"/>
  <c r="Y257"/>
  <c r="X257"/>
  <c r="W257"/>
  <c r="V257"/>
  <c r="U257"/>
  <c r="T257"/>
  <c r="S257"/>
  <c r="R257"/>
  <c r="Q257"/>
  <c r="P257"/>
  <c r="O257"/>
  <c r="N257"/>
  <c r="M257"/>
  <c r="L257"/>
  <c r="K257"/>
  <c r="J257"/>
  <c r="I257"/>
  <c r="H257"/>
  <c r="G257"/>
  <c r="F257"/>
  <c r="E257"/>
  <c r="D257"/>
  <c r="C257"/>
  <c r="B257"/>
  <c r="A256"/>
  <c r="Y256"/>
  <c r="X256"/>
  <c r="W256"/>
  <c r="V256"/>
  <c r="U256"/>
  <c r="T256"/>
  <c r="S256"/>
  <c r="R256"/>
  <c r="Q256"/>
  <c r="P256"/>
  <c r="O256"/>
  <c r="N256"/>
  <c r="M256"/>
  <c r="L256"/>
  <c r="K256"/>
  <c r="J256"/>
  <c r="I256"/>
  <c r="H256"/>
  <c r="G256"/>
  <c r="F256"/>
  <c r="E256"/>
  <c r="D256"/>
  <c r="C256"/>
  <c r="B256"/>
  <c r="A255"/>
  <c r="Y255"/>
  <c r="X255"/>
  <c r="W255"/>
  <c r="V255"/>
  <c r="U255"/>
  <c r="T255"/>
  <c r="S255"/>
  <c r="R255"/>
  <c r="Q255"/>
  <c r="P255"/>
  <c r="O255"/>
  <c r="N255"/>
  <c r="M255"/>
  <c r="L255"/>
  <c r="K255"/>
  <c r="J255"/>
  <c r="I255"/>
  <c r="H255"/>
  <c r="G255"/>
  <c r="F255"/>
  <c r="E255"/>
  <c r="D255"/>
  <c r="C255"/>
  <c r="B255"/>
  <c r="A254"/>
  <c r="Y254"/>
  <c r="X254"/>
  <c r="W254"/>
  <c r="V254"/>
  <c r="U254"/>
  <c r="T254"/>
  <c r="S254"/>
  <c r="R254"/>
  <c r="Q254"/>
  <c r="P254"/>
  <c r="O254"/>
  <c r="N254"/>
  <c r="M254"/>
  <c r="L254"/>
  <c r="K254"/>
  <c r="J254"/>
  <c r="I254"/>
  <c r="H254"/>
  <c r="G254"/>
  <c r="F254"/>
  <c r="E254"/>
  <c r="D254"/>
  <c r="C254"/>
  <c r="B254"/>
  <c r="A253"/>
  <c r="Y253"/>
  <c r="X253"/>
  <c r="W253"/>
  <c r="V253"/>
  <c r="U253"/>
  <c r="T253"/>
  <c r="S253"/>
  <c r="R253"/>
  <c r="Q253"/>
  <c r="P253"/>
  <c r="O253"/>
  <c r="N253"/>
  <c r="M253"/>
  <c r="L253"/>
  <c r="K253"/>
  <c r="J253"/>
  <c r="I253"/>
  <c r="H253"/>
  <c r="G253"/>
  <c r="F253"/>
  <c r="E253"/>
  <c r="D253"/>
  <c r="C253"/>
  <c r="B253"/>
  <c r="A252"/>
  <c r="Y252"/>
  <c r="X252"/>
  <c r="W252"/>
  <c r="V252"/>
  <c r="U252"/>
  <c r="T252"/>
  <c r="S252"/>
  <c r="R252"/>
  <c r="Q252"/>
  <c r="P252"/>
  <c r="O252"/>
  <c r="N252"/>
  <c r="M252"/>
  <c r="L252"/>
  <c r="K252"/>
  <c r="J252"/>
  <c r="I252"/>
  <c r="H252"/>
  <c r="G252"/>
  <c r="F252"/>
  <c r="E252"/>
  <c r="D252"/>
  <c r="C252"/>
  <c r="B252"/>
  <c r="A251"/>
  <c r="Y251"/>
  <c r="X251"/>
  <c r="W251"/>
  <c r="V251"/>
  <c r="U251"/>
  <c r="T251"/>
  <c r="S251"/>
  <c r="R251"/>
  <c r="Q251"/>
  <c r="P251"/>
  <c r="O251"/>
  <c r="N251"/>
  <c r="M251"/>
  <c r="L251"/>
  <c r="K251"/>
  <c r="J251"/>
  <c r="I251"/>
  <c r="H251"/>
  <c r="G251"/>
  <c r="F251"/>
  <c r="E251"/>
  <c r="D251"/>
  <c r="C251"/>
  <c r="B251"/>
  <c r="A250"/>
  <c r="Y250"/>
  <c r="X250"/>
  <c r="W250"/>
  <c r="V250"/>
  <c r="U250"/>
  <c r="T250"/>
  <c r="S250"/>
  <c r="R250"/>
  <c r="Q250"/>
  <c r="P250"/>
  <c r="O250"/>
  <c r="N250"/>
  <c r="M250"/>
  <c r="L250"/>
  <c r="K250"/>
  <c r="J250"/>
  <c r="I250"/>
  <c r="H250"/>
  <c r="G250"/>
  <c r="F250"/>
  <c r="E250"/>
  <c r="D250"/>
  <c r="C250"/>
  <c r="B250"/>
  <c r="A249"/>
  <c r="Y249"/>
  <c r="X249"/>
  <c r="W249"/>
  <c r="V249"/>
  <c r="U249"/>
  <c r="T249"/>
  <c r="S249"/>
  <c r="R249"/>
  <c r="Q249"/>
  <c r="P249"/>
  <c r="O249"/>
  <c r="N249"/>
  <c r="M249"/>
  <c r="L249"/>
  <c r="K249"/>
  <c r="J249"/>
  <c r="I249"/>
  <c r="H249"/>
  <c r="G249"/>
  <c r="F249"/>
  <c r="E249"/>
  <c r="D249"/>
  <c r="C249"/>
  <c r="B249"/>
  <c r="A248"/>
  <c r="Y248"/>
  <c r="X248"/>
  <c r="W248"/>
  <c r="V248"/>
  <c r="U248"/>
  <c r="T248"/>
  <c r="S248"/>
  <c r="R248"/>
  <c r="Q248"/>
  <c r="P248"/>
  <c r="O248"/>
  <c r="N248"/>
  <c r="M248"/>
  <c r="L248"/>
  <c r="K248"/>
  <c r="J248"/>
  <c r="I248"/>
  <c r="H248"/>
  <c r="G248"/>
  <c r="F248"/>
  <c r="E248"/>
  <c r="D248"/>
  <c r="C248"/>
  <c r="B248"/>
  <c r="A247"/>
  <c r="Y247"/>
  <c r="X247"/>
  <c r="W247"/>
  <c r="V247"/>
  <c r="U247"/>
  <c r="T247"/>
  <c r="S247"/>
  <c r="R247"/>
  <c r="Q247"/>
  <c r="P247"/>
  <c r="O247"/>
  <c r="N247"/>
  <c r="M247"/>
  <c r="L247"/>
  <c r="K247"/>
  <c r="J247"/>
  <c r="I247"/>
  <c r="H247"/>
  <c r="G247"/>
  <c r="F247"/>
  <c r="E247"/>
  <c r="D247"/>
  <c r="C247"/>
  <c r="B247"/>
  <c r="A246"/>
  <c r="Y246"/>
  <c r="X246"/>
  <c r="W246"/>
  <c r="V246"/>
  <c r="U246"/>
  <c r="T246"/>
  <c r="S246"/>
  <c r="R246"/>
  <c r="Q246"/>
  <c r="P246"/>
  <c r="O246"/>
  <c r="N246"/>
  <c r="M246"/>
  <c r="L246"/>
  <c r="K246"/>
  <c r="J246"/>
  <c r="I246"/>
  <c r="H246"/>
  <c r="G246"/>
  <c r="F246"/>
  <c r="E246"/>
  <c r="D246"/>
  <c r="C246"/>
  <c r="B246"/>
  <c r="A245"/>
  <c r="Y245"/>
  <c r="X245"/>
  <c r="W245"/>
  <c r="V245"/>
  <c r="U245"/>
  <c r="T245"/>
  <c r="S245"/>
  <c r="R245"/>
  <c r="Q245"/>
  <c r="P245"/>
  <c r="O245"/>
  <c r="N245"/>
  <c r="M245"/>
  <c r="L245"/>
  <c r="K245"/>
  <c r="J245"/>
  <c r="I245"/>
  <c r="H245"/>
  <c r="G245"/>
  <c r="F245"/>
  <c r="E245"/>
  <c r="D245"/>
  <c r="C245"/>
  <c r="B245"/>
  <c r="A244"/>
  <c r="Y244"/>
  <c r="X244"/>
  <c r="W244"/>
  <c r="V244"/>
  <c r="U244"/>
  <c r="T244"/>
  <c r="S244"/>
  <c r="R244"/>
  <c r="Q244"/>
  <c r="P244"/>
  <c r="O244"/>
  <c r="N244"/>
  <c r="M244"/>
  <c r="L244"/>
  <c r="K244"/>
  <c r="J244"/>
  <c r="I244"/>
  <c r="H244"/>
  <c r="G244"/>
  <c r="F244"/>
  <c r="E244"/>
  <c r="D244"/>
  <c r="C244"/>
  <c r="B244"/>
  <c r="A243"/>
  <c r="Y243"/>
  <c r="X243"/>
  <c r="W243"/>
  <c r="V243"/>
  <c r="U243"/>
  <c r="T243"/>
  <c r="S243"/>
  <c r="R243"/>
  <c r="Q243"/>
  <c r="P243"/>
  <c r="O243"/>
  <c r="N243"/>
  <c r="M243"/>
  <c r="L243"/>
  <c r="K243"/>
  <c r="J243"/>
  <c r="I243"/>
  <c r="H243"/>
  <c r="G243"/>
  <c r="F243"/>
  <c r="E243"/>
  <c r="D243"/>
  <c r="C243"/>
  <c r="B243"/>
  <c r="A242"/>
  <c r="Y242"/>
  <c r="X242"/>
  <c r="W242"/>
  <c r="V242"/>
  <c r="U242"/>
  <c r="T242"/>
  <c r="S242"/>
  <c r="R242"/>
  <c r="Q242"/>
  <c r="P242"/>
  <c r="O242"/>
  <c r="N242"/>
  <c r="M242"/>
  <c r="L242"/>
  <c r="K242"/>
  <c r="J242"/>
  <c r="I242"/>
  <c r="H242"/>
  <c r="G242"/>
  <c r="F242"/>
  <c r="E242"/>
  <c r="D242"/>
  <c r="C242"/>
  <c r="B242"/>
  <c r="A241"/>
  <c r="Y241"/>
  <c r="X241"/>
  <c r="W241"/>
  <c r="V241"/>
  <c r="U241"/>
  <c r="T241"/>
  <c r="S241"/>
  <c r="R241"/>
  <c r="Q241"/>
  <c r="P241"/>
  <c r="O241"/>
  <c r="N241"/>
  <c r="M241"/>
  <c r="L241"/>
  <c r="K241"/>
  <c r="J241"/>
  <c r="I241"/>
  <c r="H241"/>
  <c r="G241"/>
  <c r="F241"/>
  <c r="E241"/>
  <c r="D241"/>
  <c r="C241"/>
  <c r="B241"/>
  <c r="A240"/>
  <c r="Y240"/>
  <c r="X240"/>
  <c r="W240"/>
  <c r="V240"/>
  <c r="U240"/>
  <c r="T240"/>
  <c r="S240"/>
  <c r="R240"/>
  <c r="Q240"/>
  <c r="P240"/>
  <c r="O240"/>
  <c r="N240"/>
  <c r="M240"/>
  <c r="L240"/>
  <c r="K240"/>
  <c r="J240"/>
  <c r="I240"/>
  <c r="H240"/>
  <c r="G240"/>
  <c r="F240"/>
  <c r="E240"/>
  <c r="D240"/>
  <c r="C240"/>
  <c r="B240"/>
  <c r="A239"/>
  <c r="Y239"/>
  <c r="X239"/>
  <c r="W239"/>
  <c r="V239"/>
  <c r="U239"/>
  <c r="T239"/>
  <c r="S239"/>
  <c r="R239"/>
  <c r="Q239"/>
  <c r="P239"/>
  <c r="O239"/>
  <c r="N239"/>
  <c r="M239"/>
  <c r="L239"/>
  <c r="K239"/>
  <c r="J239"/>
  <c r="I239"/>
  <c r="H239"/>
  <c r="G239"/>
  <c r="F239"/>
  <c r="E239"/>
  <c r="D239"/>
  <c r="C239"/>
  <c r="B239"/>
  <c r="A238"/>
  <c r="Y238"/>
  <c r="X238"/>
  <c r="W238"/>
  <c r="V238"/>
  <c r="U238"/>
  <c r="T238"/>
  <c r="S238"/>
  <c r="R238"/>
  <c r="Q238"/>
  <c r="P238"/>
  <c r="O238"/>
  <c r="N238"/>
  <c r="M238"/>
  <c r="L238"/>
  <c r="K238"/>
  <c r="J238"/>
  <c r="I238"/>
  <c r="H238"/>
  <c r="G238"/>
  <c r="F238"/>
  <c r="E238"/>
  <c r="D238"/>
  <c r="C238"/>
  <c r="B238"/>
  <c r="A237"/>
  <c r="Y237"/>
  <c r="X237"/>
  <c r="W237"/>
  <c r="V237"/>
  <c r="U237"/>
  <c r="T237"/>
  <c r="S237"/>
  <c r="R237"/>
  <c r="Q237"/>
  <c r="P237"/>
  <c r="O237"/>
  <c r="N237"/>
  <c r="M237"/>
  <c r="L237"/>
  <c r="K237"/>
  <c r="J237"/>
  <c r="I237"/>
  <c r="H237"/>
  <c r="G237"/>
  <c r="F237"/>
  <c r="E237"/>
  <c r="D237"/>
  <c r="C237"/>
  <c r="B237"/>
  <c r="A236"/>
  <c r="Y236"/>
  <c r="X236"/>
  <c r="W236"/>
  <c r="V236"/>
  <c r="U236"/>
  <c r="T236"/>
  <c r="S236"/>
  <c r="R236"/>
  <c r="Q236"/>
  <c r="P236"/>
  <c r="O236"/>
  <c r="N236"/>
  <c r="M236"/>
  <c r="L236"/>
  <c r="K236"/>
  <c r="J236"/>
  <c r="I236"/>
  <c r="H236"/>
  <c r="G236"/>
  <c r="F236"/>
  <c r="E236"/>
  <c r="D236"/>
  <c r="C236"/>
  <c r="B236"/>
  <c r="A235"/>
  <c r="Y235"/>
  <c r="X235"/>
  <c r="W235"/>
  <c r="V235"/>
  <c r="U235"/>
  <c r="T235"/>
  <c r="S235"/>
  <c r="R235"/>
  <c r="Q235"/>
  <c r="P235"/>
  <c r="O235"/>
  <c r="N235"/>
  <c r="M235"/>
  <c r="L235"/>
  <c r="K235"/>
  <c r="J235"/>
  <c r="I235"/>
  <c r="H235"/>
  <c r="G235"/>
  <c r="F235"/>
  <c r="E235"/>
  <c r="D235"/>
  <c r="C235"/>
  <c r="B235"/>
  <c r="A234"/>
  <c r="Y234"/>
  <c r="X234"/>
  <c r="W234"/>
  <c r="V234"/>
  <c r="U234"/>
  <c r="T234"/>
  <c r="S234"/>
  <c r="R234"/>
  <c r="Q234"/>
  <c r="P234"/>
  <c r="O234"/>
  <c r="N234"/>
  <c r="M234"/>
  <c r="L234"/>
  <c r="K234"/>
  <c r="J234"/>
  <c r="I234"/>
  <c r="H234"/>
  <c r="G234"/>
  <c r="F234"/>
  <c r="E234"/>
  <c r="D234"/>
  <c r="C234"/>
  <c r="B234"/>
  <c r="A233"/>
  <c r="Y233"/>
  <c r="X233"/>
  <c r="W233"/>
  <c r="V233"/>
  <c r="U233"/>
  <c r="T233"/>
  <c r="S233"/>
  <c r="R233"/>
  <c r="Q233"/>
  <c r="P233"/>
  <c r="O233"/>
  <c r="N233"/>
  <c r="M233"/>
  <c r="L233"/>
  <c r="K233"/>
  <c r="J233"/>
  <c r="I233"/>
  <c r="H233"/>
  <c r="G233"/>
  <c r="F233"/>
  <c r="E233"/>
  <c r="D233"/>
  <c r="C233"/>
  <c r="B233"/>
  <c r="A232"/>
  <c r="Y232"/>
  <c r="X232"/>
  <c r="W232"/>
  <c r="V232"/>
  <c r="U232"/>
  <c r="T232"/>
  <c r="S232"/>
  <c r="R232"/>
  <c r="Q232"/>
  <c r="P232"/>
  <c r="O232"/>
  <c r="N232"/>
  <c r="M232"/>
  <c r="L232"/>
  <c r="K232"/>
  <c r="J232"/>
  <c r="I232"/>
  <c r="H232"/>
  <c r="G232"/>
  <c r="F232"/>
  <c r="E232"/>
  <c r="D232"/>
  <c r="C232"/>
  <c r="B232"/>
  <c r="A231"/>
  <c r="Y231"/>
  <c r="X231"/>
  <c r="W231"/>
  <c r="V231"/>
  <c r="U231"/>
  <c r="T231"/>
  <c r="S231"/>
  <c r="R231"/>
  <c r="Q231"/>
  <c r="P231"/>
  <c r="O231"/>
  <c r="N231"/>
  <c r="M231"/>
  <c r="L231"/>
  <c r="K231"/>
  <c r="J231"/>
  <c r="I231"/>
  <c r="H231"/>
  <c r="G231"/>
  <c r="F231"/>
  <c r="E231"/>
  <c r="D231"/>
  <c r="C231"/>
  <c r="B231"/>
  <c r="A230"/>
  <c r="Y230"/>
  <c r="X230"/>
  <c r="W230"/>
  <c r="V230"/>
  <c r="U230"/>
  <c r="T230"/>
  <c r="S230"/>
  <c r="R230"/>
  <c r="Q230"/>
  <c r="P230"/>
  <c r="O230"/>
  <c r="N230"/>
  <c r="M230"/>
  <c r="L230"/>
  <c r="K230"/>
  <c r="J230"/>
  <c r="I230"/>
  <c r="H230"/>
  <c r="G230"/>
  <c r="F230"/>
  <c r="E230"/>
  <c r="D230"/>
  <c r="C230"/>
  <c r="B230"/>
  <c r="A229"/>
  <c r="Y229"/>
  <c r="X229"/>
  <c r="W229"/>
  <c r="V229"/>
  <c r="U229"/>
  <c r="T229"/>
  <c r="S229"/>
  <c r="R229"/>
  <c r="Q229"/>
  <c r="P229"/>
  <c r="O229"/>
  <c r="N229"/>
  <c r="M229"/>
  <c r="L229"/>
  <c r="K229"/>
  <c r="J229"/>
  <c r="I229"/>
  <c r="H229"/>
  <c r="G229"/>
  <c r="F229"/>
  <c r="E229"/>
  <c r="D229"/>
  <c r="C229"/>
  <c r="B229"/>
  <c r="A228"/>
  <c r="Y228"/>
  <c r="X228"/>
  <c r="W228"/>
  <c r="V228"/>
  <c r="U228"/>
  <c r="T228"/>
  <c r="S228"/>
  <c r="R228"/>
  <c r="Q228"/>
  <c r="P228"/>
  <c r="O228"/>
  <c r="N228"/>
  <c r="M228"/>
  <c r="L228"/>
  <c r="K228"/>
  <c r="J228"/>
  <c r="I228"/>
  <c r="H228"/>
  <c r="G228"/>
  <c r="F228"/>
  <c r="E228"/>
  <c r="D228"/>
  <c r="C228"/>
  <c r="B228"/>
  <c r="A227"/>
  <c r="Y227"/>
  <c r="X227"/>
  <c r="W227"/>
  <c r="V227"/>
  <c r="U227"/>
  <c r="T227"/>
  <c r="S227"/>
  <c r="R227"/>
  <c r="Q227"/>
  <c r="P227"/>
  <c r="O227"/>
  <c r="N227"/>
  <c r="M227"/>
  <c r="L227"/>
  <c r="K227"/>
  <c r="J227"/>
  <c r="I227"/>
  <c r="H227"/>
  <c r="G227"/>
  <c r="F227"/>
  <c r="E227"/>
  <c r="D227"/>
  <c r="C227"/>
  <c r="B227"/>
  <c r="A226"/>
  <c r="Y226"/>
  <c r="X226"/>
  <c r="W226"/>
  <c r="V226"/>
  <c r="U226"/>
  <c r="T226"/>
  <c r="S226"/>
  <c r="R226"/>
  <c r="Q226"/>
  <c r="P226"/>
  <c r="O226"/>
  <c r="N226"/>
  <c r="M226"/>
  <c r="L226"/>
  <c r="K226"/>
  <c r="J226"/>
  <c r="I226"/>
  <c r="H226"/>
  <c r="G226"/>
  <c r="F226"/>
  <c r="E226"/>
  <c r="D226"/>
  <c r="C226"/>
  <c r="B226"/>
  <c r="A225"/>
  <c r="Y225"/>
  <c r="X225"/>
  <c r="W225"/>
  <c r="V225"/>
  <c r="U225"/>
  <c r="T225"/>
  <c r="S225"/>
  <c r="R225"/>
  <c r="Q225"/>
  <c r="P225"/>
  <c r="O225"/>
  <c r="N225"/>
  <c r="M225"/>
  <c r="L225"/>
  <c r="K225"/>
  <c r="J225"/>
  <c r="I225"/>
  <c r="H225"/>
  <c r="G225"/>
  <c r="F225"/>
  <c r="E225"/>
  <c r="D225"/>
  <c r="C225"/>
  <c r="B225"/>
  <c r="A224"/>
  <c r="Y224"/>
  <c r="X224"/>
  <c r="W224"/>
  <c r="V224"/>
  <c r="U224"/>
  <c r="T224"/>
  <c r="S224"/>
  <c r="R224"/>
  <c r="Q224"/>
  <c r="P224"/>
  <c r="O224"/>
  <c r="N224"/>
  <c r="M224"/>
  <c r="L224"/>
  <c r="K224"/>
  <c r="J224"/>
  <c r="I224"/>
  <c r="H224"/>
  <c r="G224"/>
  <c r="F224"/>
  <c r="E224"/>
  <c r="D224"/>
  <c r="C224"/>
  <c r="B224"/>
  <c r="A223"/>
  <c r="Y223"/>
  <c r="X223"/>
  <c r="W223"/>
  <c r="V223"/>
  <c r="U223"/>
  <c r="T223"/>
  <c r="S223"/>
  <c r="R223"/>
  <c r="Q223"/>
  <c r="P223"/>
  <c r="O223"/>
  <c r="N223"/>
  <c r="M223"/>
  <c r="L223"/>
  <c r="K223"/>
  <c r="J223"/>
  <c r="I223"/>
  <c r="H223"/>
  <c r="G223"/>
  <c r="F223"/>
  <c r="E223"/>
  <c r="D223"/>
  <c r="C223"/>
  <c r="B223"/>
  <c r="A222"/>
  <c r="Y222"/>
  <c r="X222"/>
  <c r="W222"/>
  <c r="V222"/>
  <c r="U222"/>
  <c r="T222"/>
  <c r="S222"/>
  <c r="R222"/>
  <c r="Q222"/>
  <c r="P222"/>
  <c r="O222"/>
  <c r="N222"/>
  <c r="M222"/>
  <c r="L222"/>
  <c r="K222"/>
  <c r="J222"/>
  <c r="I222"/>
  <c r="H222"/>
  <c r="G222"/>
  <c r="F222"/>
  <c r="E222"/>
  <c r="D222"/>
  <c r="C222"/>
  <c r="B222"/>
  <c r="A221"/>
  <c r="Y221"/>
  <c r="X221"/>
  <c r="W221"/>
  <c r="V221"/>
  <c r="U221"/>
  <c r="T221"/>
  <c r="S221"/>
  <c r="R221"/>
  <c r="Q221"/>
  <c r="P221"/>
  <c r="O221"/>
  <c r="N221"/>
  <c r="M221"/>
  <c r="L221"/>
  <c r="K221"/>
  <c r="J221"/>
  <c r="I221"/>
  <c r="H221"/>
  <c r="G221"/>
  <c r="F221"/>
  <c r="E221"/>
  <c r="D221"/>
  <c r="C221"/>
  <c r="B221"/>
  <c r="A220"/>
  <c r="Y220"/>
  <c r="X220"/>
  <c r="W220"/>
  <c r="V220"/>
  <c r="U220"/>
  <c r="T220"/>
  <c r="S220"/>
  <c r="R220"/>
  <c r="Q220"/>
  <c r="P220"/>
  <c r="O220"/>
  <c r="N220"/>
  <c r="M220"/>
  <c r="L220"/>
  <c r="K220"/>
  <c r="J220"/>
  <c r="I220"/>
  <c r="H220"/>
  <c r="G220"/>
  <c r="F220"/>
  <c r="E220"/>
  <c r="D220"/>
  <c r="C220"/>
  <c r="B220"/>
  <c r="A219"/>
  <c r="Y219"/>
  <c r="X219"/>
  <c r="W219"/>
  <c r="V219"/>
  <c r="U219"/>
  <c r="T219"/>
  <c r="S219"/>
  <c r="R219"/>
  <c r="Q219"/>
  <c r="P219"/>
  <c r="O219"/>
  <c r="N219"/>
  <c r="M219"/>
  <c r="L219"/>
  <c r="K219"/>
  <c r="J219"/>
  <c r="I219"/>
  <c r="H219"/>
  <c r="G219"/>
  <c r="F219"/>
  <c r="E219"/>
  <c r="D219"/>
  <c r="C219"/>
  <c r="B219"/>
  <c r="A218"/>
  <c r="Y218"/>
  <c r="X218"/>
  <c r="W218"/>
  <c r="V218"/>
  <c r="U218"/>
  <c r="T218"/>
  <c r="S218"/>
  <c r="R218"/>
  <c r="Q218"/>
  <c r="P218"/>
  <c r="O218"/>
  <c r="N218"/>
  <c r="M218"/>
  <c r="L218"/>
  <c r="K218"/>
  <c r="J218"/>
  <c r="I218"/>
  <c r="H218"/>
  <c r="G218"/>
  <c r="F218"/>
  <c r="E218"/>
  <c r="D218"/>
  <c r="C218"/>
  <c r="B218"/>
  <c r="A217"/>
  <c r="Y217"/>
  <c r="X217"/>
  <c r="W217"/>
  <c r="V217"/>
  <c r="U217"/>
  <c r="T217"/>
  <c r="S217"/>
  <c r="R217"/>
  <c r="Q217"/>
  <c r="P217"/>
  <c r="O217"/>
  <c r="N217"/>
  <c r="M217"/>
  <c r="L217"/>
  <c r="K217"/>
  <c r="J217"/>
  <c r="I217"/>
  <c r="H217"/>
  <c r="G217"/>
  <c r="F217"/>
  <c r="E217"/>
  <c r="D217"/>
  <c r="C217"/>
  <c r="B217"/>
  <c r="A216"/>
  <c r="Y216"/>
  <c r="X216"/>
  <c r="W216"/>
  <c r="V216"/>
  <c r="U216"/>
  <c r="T216"/>
  <c r="S216"/>
  <c r="R216"/>
  <c r="Q216"/>
  <c r="P216"/>
  <c r="O216"/>
  <c r="N216"/>
  <c r="M216"/>
  <c r="L216"/>
  <c r="K216"/>
  <c r="J216"/>
  <c r="I216"/>
  <c r="H216"/>
  <c r="G216"/>
  <c r="F216"/>
  <c r="E216"/>
  <c r="D216"/>
  <c r="C216"/>
  <c r="B216"/>
  <c r="A215"/>
  <c r="Y215"/>
  <c r="X215"/>
  <c r="W215"/>
  <c r="V215"/>
  <c r="U215"/>
  <c r="T215"/>
  <c r="S215"/>
  <c r="R215"/>
  <c r="Q215"/>
  <c r="P215"/>
  <c r="O215"/>
  <c r="N215"/>
  <c r="M215"/>
  <c r="L215"/>
  <c r="K215"/>
  <c r="J215"/>
  <c r="I215"/>
  <c r="H215"/>
  <c r="G215"/>
  <c r="F215"/>
  <c r="E215"/>
  <c r="D215"/>
  <c r="C215"/>
  <c r="B215"/>
  <c r="A214"/>
  <c r="Y214"/>
  <c r="X214"/>
  <c r="W214"/>
  <c r="V214"/>
  <c r="U214"/>
  <c r="T214"/>
  <c r="S214"/>
  <c r="R214"/>
  <c r="Q214"/>
  <c r="P214"/>
  <c r="O214"/>
  <c r="N214"/>
  <c r="M214"/>
  <c r="L214"/>
  <c r="K214"/>
  <c r="J214"/>
  <c r="I214"/>
  <c r="H214"/>
  <c r="G214"/>
  <c r="F214"/>
  <c r="E214"/>
  <c r="D214"/>
  <c r="C214"/>
  <c r="B214"/>
  <c r="A213"/>
  <c r="Y213"/>
  <c r="X213"/>
  <c r="W213"/>
  <c r="V213"/>
  <c r="U213"/>
  <c r="T213"/>
  <c r="S213"/>
  <c r="R213"/>
  <c r="Q213"/>
  <c r="P213"/>
  <c r="O213"/>
  <c r="N213"/>
  <c r="M213"/>
  <c r="L213"/>
  <c r="K213"/>
  <c r="J213"/>
  <c r="I213"/>
  <c r="H213"/>
  <c r="G213"/>
  <c r="F213"/>
  <c r="E213"/>
  <c r="D213"/>
  <c r="C213"/>
  <c r="B213"/>
  <c r="A212"/>
  <c r="Y212"/>
  <c r="X212"/>
  <c r="W212"/>
  <c r="V212"/>
  <c r="U212"/>
  <c r="T212"/>
  <c r="S212"/>
  <c r="R212"/>
  <c r="Q212"/>
  <c r="P212"/>
  <c r="O212"/>
  <c r="N212"/>
  <c r="M212"/>
  <c r="L212"/>
  <c r="K212"/>
  <c r="J212"/>
  <c r="I212"/>
  <c r="H212"/>
  <c r="G212"/>
  <c r="F212"/>
  <c r="E212"/>
  <c r="D212"/>
  <c r="C212"/>
  <c r="B212"/>
  <c r="A211"/>
  <c r="Y211"/>
  <c r="X211"/>
  <c r="W211"/>
  <c r="V211"/>
  <c r="U211"/>
  <c r="T211"/>
  <c r="S211"/>
  <c r="R211"/>
  <c r="Q211"/>
  <c r="P211"/>
  <c r="O211"/>
  <c r="N211"/>
  <c r="M211"/>
  <c r="L211"/>
  <c r="K211"/>
  <c r="J211"/>
  <c r="I211"/>
  <c r="H211"/>
  <c r="G211"/>
  <c r="F211"/>
  <c r="E211"/>
  <c r="D211"/>
  <c r="C211"/>
  <c r="B211"/>
  <c r="A210"/>
  <c r="Y210"/>
  <c r="X210"/>
  <c r="W210"/>
  <c r="V210"/>
  <c r="U210"/>
  <c r="T210"/>
  <c r="S210"/>
  <c r="R210"/>
  <c r="Q210"/>
  <c r="P210"/>
  <c r="O210"/>
  <c r="N210"/>
  <c r="M210"/>
  <c r="L210"/>
  <c r="K210"/>
  <c r="J210"/>
  <c r="I210"/>
  <c r="H210"/>
  <c r="G210"/>
  <c r="F210"/>
  <c r="E210"/>
  <c r="D210"/>
  <c r="C210"/>
  <c r="B210"/>
  <c r="A209"/>
  <c r="Y209"/>
  <c r="X209"/>
  <c r="W209"/>
  <c r="V209"/>
  <c r="U209"/>
  <c r="T209"/>
  <c r="S209"/>
  <c r="R209"/>
  <c r="Q209"/>
  <c r="P209"/>
  <c r="O209"/>
  <c r="N209"/>
  <c r="M209"/>
  <c r="L209"/>
  <c r="K209"/>
  <c r="J209"/>
  <c r="I209"/>
  <c r="H209"/>
  <c r="G209"/>
  <c r="F209"/>
  <c r="E209"/>
  <c r="D209"/>
  <c r="C209"/>
  <c r="B209"/>
  <c r="A208"/>
  <c r="Y208"/>
  <c r="X208"/>
  <c r="W208"/>
  <c r="V208"/>
  <c r="U208"/>
  <c r="T208"/>
  <c r="S208"/>
  <c r="R208"/>
  <c r="Q208"/>
  <c r="P208"/>
  <c r="O208"/>
  <c r="N208"/>
  <c r="M208"/>
  <c r="L208"/>
  <c r="K208"/>
  <c r="J208"/>
  <c r="I208"/>
  <c r="H208"/>
  <c r="G208"/>
  <c r="F208"/>
  <c r="E208"/>
  <c r="D208"/>
  <c r="C208"/>
  <c r="B208"/>
  <c r="A207"/>
  <c r="Y207"/>
  <c r="X207"/>
  <c r="W207"/>
  <c r="V207"/>
  <c r="U207"/>
  <c r="T207"/>
  <c r="S207"/>
  <c r="R207"/>
  <c r="Q207"/>
  <c r="P207"/>
  <c r="O207"/>
  <c r="N207"/>
  <c r="M207"/>
  <c r="L207"/>
  <c r="K207"/>
  <c r="J207"/>
  <c r="I207"/>
  <c r="H207"/>
  <c r="G207"/>
  <c r="F207"/>
  <c r="E207"/>
  <c r="D207"/>
  <c r="C207"/>
  <c r="B207"/>
  <c r="A206"/>
  <c r="Y206"/>
  <c r="X206"/>
  <c r="W206"/>
  <c r="V206"/>
  <c r="U206"/>
  <c r="T206"/>
  <c r="S206"/>
  <c r="R206"/>
  <c r="Q206"/>
  <c r="P206"/>
  <c r="O206"/>
  <c r="N206"/>
  <c r="M206"/>
  <c r="L206"/>
  <c r="K206"/>
  <c r="J206"/>
  <c r="I206"/>
  <c r="H206"/>
  <c r="G206"/>
  <c r="F206"/>
  <c r="E206"/>
  <c r="D206"/>
  <c r="C206"/>
  <c r="B206"/>
  <c r="A205"/>
  <c r="Y205"/>
  <c r="X205"/>
  <c r="W205"/>
  <c r="V205"/>
  <c r="U205"/>
  <c r="T205"/>
  <c r="S205"/>
  <c r="R205"/>
  <c r="Q205"/>
  <c r="P205"/>
  <c r="O205"/>
  <c r="N205"/>
  <c r="M205"/>
  <c r="L205"/>
  <c r="K205"/>
  <c r="J205"/>
  <c r="I205"/>
  <c r="H205"/>
  <c r="G205"/>
  <c r="F205"/>
  <c r="E205"/>
  <c r="D205"/>
  <c r="C205"/>
  <c r="B205"/>
  <c r="A204"/>
  <c r="Y204"/>
  <c r="X204"/>
  <c r="W204"/>
  <c r="V204"/>
  <c r="U204"/>
  <c r="T204"/>
  <c r="S204"/>
  <c r="R204"/>
  <c r="Q204"/>
  <c r="P204"/>
  <c r="O204"/>
  <c r="N204"/>
  <c r="M204"/>
  <c r="L204"/>
  <c r="K204"/>
  <c r="J204"/>
  <c r="I204"/>
  <c r="H204"/>
  <c r="G204"/>
  <c r="F204"/>
  <c r="E204"/>
  <c r="D204"/>
  <c r="C204"/>
  <c r="B204"/>
  <c r="A203"/>
  <c r="Y203"/>
  <c r="X203"/>
  <c r="W203"/>
  <c r="V203"/>
  <c r="U203"/>
  <c r="T203"/>
  <c r="S203"/>
  <c r="R203"/>
  <c r="Q203"/>
  <c r="P203"/>
  <c r="O203"/>
  <c r="N203"/>
  <c r="M203"/>
  <c r="L203"/>
  <c r="K203"/>
  <c r="J203"/>
  <c r="I203"/>
  <c r="H203"/>
  <c r="G203"/>
  <c r="F203"/>
  <c r="E203"/>
  <c r="D203"/>
  <c r="C203"/>
  <c r="B203"/>
  <c r="A202"/>
  <c r="Y202"/>
  <c r="X202"/>
  <c r="W202"/>
  <c r="V202"/>
  <c r="U202"/>
  <c r="T202"/>
  <c r="S202"/>
  <c r="R202"/>
  <c r="Q202"/>
  <c r="P202"/>
  <c r="O202"/>
  <c r="N202"/>
  <c r="M202"/>
  <c r="L202"/>
  <c r="K202"/>
  <c r="J202"/>
  <c r="I202"/>
  <c r="H202"/>
  <c r="G202"/>
  <c r="F202"/>
  <c r="E202"/>
  <c r="D202"/>
  <c r="C202"/>
  <c r="B202"/>
  <c r="A201"/>
  <c r="Y201"/>
  <c r="X201"/>
  <c r="W201"/>
  <c r="V201"/>
  <c r="U201"/>
  <c r="T201"/>
  <c r="S201"/>
  <c r="R201"/>
  <c r="Q201"/>
  <c r="P201"/>
  <c r="O201"/>
  <c r="N201"/>
  <c r="M201"/>
  <c r="L201"/>
  <c r="K201"/>
  <c r="J201"/>
  <c r="I201"/>
  <c r="H201"/>
  <c r="G201"/>
  <c r="F201"/>
  <c r="E201"/>
  <c r="D201"/>
  <c r="C201"/>
  <c r="B201"/>
  <c r="A200"/>
  <c r="Y200"/>
  <c r="X200"/>
  <c r="W200"/>
  <c r="V200"/>
  <c r="U200"/>
  <c r="T200"/>
  <c r="S200"/>
  <c r="R200"/>
  <c r="Q200"/>
  <c r="P200"/>
  <c r="O200"/>
  <c r="N200"/>
  <c r="M200"/>
  <c r="L200"/>
  <c r="K200"/>
  <c r="J200"/>
  <c r="I200"/>
  <c r="H200"/>
  <c r="G200"/>
  <c r="F200"/>
  <c r="E200"/>
  <c r="D200"/>
  <c r="C200"/>
  <c r="B200"/>
  <c r="A199"/>
  <c r="Y199"/>
  <c r="X199"/>
  <c r="W199"/>
  <c r="V199"/>
  <c r="U199"/>
  <c r="T199"/>
  <c r="S199"/>
  <c r="R199"/>
  <c r="Q199"/>
  <c r="P199"/>
  <c r="O199"/>
  <c r="N199"/>
  <c r="M199"/>
  <c r="L199"/>
  <c r="K199"/>
  <c r="J199"/>
  <c r="I199"/>
  <c r="H199"/>
  <c r="G199"/>
  <c r="F199"/>
  <c r="E199"/>
  <c r="D199"/>
  <c r="C199"/>
  <c r="B199"/>
  <c r="A198"/>
  <c r="Y198"/>
  <c r="X198"/>
  <c r="W198"/>
  <c r="V198"/>
  <c r="U198"/>
  <c r="T198"/>
  <c r="S198"/>
  <c r="R198"/>
  <c r="Q198"/>
  <c r="P198"/>
  <c r="O198"/>
  <c r="N198"/>
  <c r="M198"/>
  <c r="L198"/>
  <c r="K198"/>
  <c r="J198"/>
  <c r="I198"/>
  <c r="H198"/>
  <c r="G198"/>
  <c r="F198"/>
  <c r="E198"/>
  <c r="D198"/>
  <c r="C198"/>
  <c r="B198"/>
  <c r="A197"/>
  <c r="Y197"/>
  <c r="X197"/>
  <c r="W197"/>
  <c r="V197"/>
  <c r="U197"/>
  <c r="T197"/>
  <c r="S197"/>
  <c r="R197"/>
  <c r="Q197"/>
  <c r="P197"/>
  <c r="O197"/>
  <c r="N197"/>
  <c r="M197"/>
  <c r="L197"/>
  <c r="K197"/>
  <c r="J197"/>
  <c r="I197"/>
  <c r="H197"/>
  <c r="G197"/>
  <c r="F197"/>
  <c r="E197"/>
  <c r="D197"/>
  <c r="C197"/>
  <c r="B197"/>
  <c r="A196"/>
  <c r="Y196"/>
  <c r="X196"/>
  <c r="W196"/>
  <c r="V196"/>
  <c r="U196"/>
  <c r="T196"/>
  <c r="S196"/>
  <c r="R196"/>
  <c r="Q196"/>
  <c r="P196"/>
  <c r="O196"/>
  <c r="N196"/>
  <c r="M196"/>
  <c r="L196"/>
  <c r="K196"/>
  <c r="J196"/>
  <c r="I196"/>
  <c r="H196"/>
  <c r="G196"/>
  <c r="F196"/>
  <c r="E196"/>
  <c r="D196"/>
  <c r="C196"/>
  <c r="B196"/>
  <c r="A195"/>
  <c r="Y195"/>
  <c r="X195"/>
  <c r="W195"/>
  <c r="V195"/>
  <c r="U195"/>
  <c r="T195"/>
  <c r="S195"/>
  <c r="R195"/>
  <c r="Q195"/>
  <c r="P195"/>
  <c r="O195"/>
  <c r="N195"/>
  <c r="M195"/>
  <c r="L195"/>
  <c r="K195"/>
  <c r="J195"/>
  <c r="I195"/>
  <c r="H195"/>
  <c r="G195"/>
  <c r="F195"/>
  <c r="E195"/>
  <c r="D195"/>
  <c r="C195"/>
  <c r="B195"/>
  <c r="A194"/>
  <c r="Y194"/>
  <c r="X194"/>
  <c r="W194"/>
  <c r="V194"/>
  <c r="U194"/>
  <c r="T194"/>
  <c r="S194"/>
  <c r="R194"/>
  <c r="Q194"/>
  <c r="P194"/>
  <c r="O194"/>
  <c r="N194"/>
  <c r="M194"/>
  <c r="L194"/>
  <c r="K194"/>
  <c r="J194"/>
  <c r="I194"/>
  <c r="H194"/>
  <c r="G194"/>
  <c r="F194"/>
  <c r="E194"/>
  <c r="D194"/>
  <c r="C194"/>
  <c r="B194"/>
  <c r="A193"/>
  <c r="Y193"/>
  <c r="X193"/>
  <c r="W193"/>
  <c r="V193"/>
  <c r="U193"/>
  <c r="T193"/>
  <c r="S193"/>
  <c r="R193"/>
  <c r="Q193"/>
  <c r="P193"/>
  <c r="O193"/>
  <c r="N193"/>
  <c r="M193"/>
  <c r="L193"/>
  <c r="K193"/>
  <c r="J193"/>
  <c r="I193"/>
  <c r="H193"/>
  <c r="G193"/>
  <c r="F193"/>
  <c r="E193"/>
  <c r="D193"/>
  <c r="C193"/>
  <c r="B193"/>
  <c r="A192"/>
  <c r="Y192"/>
  <c r="X192"/>
  <c r="W192"/>
  <c r="V192"/>
  <c r="U192"/>
  <c r="T192"/>
  <c r="S192"/>
  <c r="R192"/>
  <c r="Q192"/>
  <c r="P192"/>
  <c r="O192"/>
  <c r="N192"/>
  <c r="M192"/>
  <c r="L192"/>
  <c r="K192"/>
  <c r="J192"/>
  <c r="I192"/>
  <c r="H192"/>
  <c r="G192"/>
  <c r="F192"/>
  <c r="E192"/>
  <c r="D192"/>
  <c r="C192"/>
  <c r="B192"/>
  <c r="A191"/>
  <c r="Y191"/>
  <c r="X191"/>
  <c r="W191"/>
  <c r="V191"/>
  <c r="U191"/>
  <c r="T191"/>
  <c r="S191"/>
  <c r="R191"/>
  <c r="Q191"/>
  <c r="P191"/>
  <c r="O191"/>
  <c r="N191"/>
  <c r="M191"/>
  <c r="L191"/>
  <c r="K191"/>
  <c r="J191"/>
  <c r="I191"/>
  <c r="H191"/>
  <c r="G191"/>
  <c r="F191"/>
  <c r="E191"/>
  <c r="D191"/>
  <c r="C191"/>
  <c r="B191"/>
  <c r="A190"/>
  <c r="Y190"/>
  <c r="X190"/>
  <c r="W190"/>
  <c r="V190"/>
  <c r="U190"/>
  <c r="T190"/>
  <c r="S190"/>
  <c r="R190"/>
  <c r="Q190"/>
  <c r="P190"/>
  <c r="O190"/>
  <c r="N190"/>
  <c r="M190"/>
  <c r="L190"/>
  <c r="K190"/>
  <c r="J190"/>
  <c r="I190"/>
  <c r="H190"/>
  <c r="G190"/>
  <c r="F190"/>
  <c r="E190"/>
  <c r="D190"/>
  <c r="C190"/>
  <c r="B190"/>
  <c r="A189"/>
  <c r="Y189"/>
  <c r="X189"/>
  <c r="W189"/>
  <c r="V189"/>
  <c r="U189"/>
  <c r="T189"/>
  <c r="S189"/>
  <c r="R189"/>
  <c r="Q189"/>
  <c r="P189"/>
  <c r="O189"/>
  <c r="N189"/>
  <c r="M189"/>
  <c r="L189"/>
  <c r="K189"/>
  <c r="J189"/>
  <c r="I189"/>
  <c r="H189"/>
  <c r="G189"/>
  <c r="F189"/>
  <c r="E189"/>
  <c r="D189"/>
  <c r="C189"/>
  <c r="B189"/>
  <c r="A188"/>
  <c r="Y188"/>
  <c r="X188"/>
  <c r="W188"/>
  <c r="V188"/>
  <c r="U188"/>
  <c r="T188"/>
  <c r="S188"/>
  <c r="R188"/>
  <c r="Q188"/>
  <c r="P188"/>
  <c r="O188"/>
  <c r="N188"/>
  <c r="M188"/>
  <c r="L188"/>
  <c r="K188"/>
  <c r="J188"/>
  <c r="I188"/>
  <c r="H188"/>
  <c r="G188"/>
  <c r="F188"/>
  <c r="E188"/>
  <c r="D188"/>
  <c r="C188"/>
  <c r="B188"/>
  <c r="A187"/>
  <c r="Y187"/>
  <c r="X187"/>
  <c r="W187"/>
  <c r="V187"/>
  <c r="U187"/>
  <c r="T187"/>
  <c r="S187"/>
  <c r="R187"/>
  <c r="Q187"/>
  <c r="P187"/>
  <c r="O187"/>
  <c r="N187"/>
  <c r="M187"/>
  <c r="L187"/>
  <c r="K187"/>
  <c r="J187"/>
  <c r="I187"/>
  <c r="H187"/>
  <c r="G187"/>
  <c r="F187"/>
  <c r="E187"/>
  <c r="D187"/>
  <c r="C187"/>
  <c r="B187"/>
  <c r="A186"/>
  <c r="Y186"/>
  <c r="X186"/>
  <c r="W186"/>
  <c r="V186"/>
  <c r="U186"/>
  <c r="T186"/>
  <c r="S186"/>
  <c r="R186"/>
  <c r="Q186"/>
  <c r="P186"/>
  <c r="O186"/>
  <c r="N186"/>
  <c r="M186"/>
  <c r="L186"/>
  <c r="K186"/>
  <c r="J186"/>
  <c r="I186"/>
  <c r="H186"/>
  <c r="G186"/>
  <c r="F186"/>
  <c r="E186"/>
  <c r="D186"/>
  <c r="C186"/>
  <c r="B186"/>
  <c r="A185"/>
  <c r="Y185"/>
  <c r="X185"/>
  <c r="W185"/>
  <c r="V185"/>
  <c r="U185"/>
  <c r="T185"/>
  <c r="S185"/>
  <c r="R185"/>
  <c r="Q185"/>
  <c r="P185"/>
  <c r="O185"/>
  <c r="N185"/>
  <c r="M185"/>
  <c r="L185"/>
  <c r="K185"/>
  <c r="J185"/>
  <c r="I185"/>
  <c r="H185"/>
  <c r="G185"/>
  <c r="F185"/>
  <c r="E185"/>
  <c r="D185"/>
  <c r="C185"/>
  <c r="B185"/>
  <c r="A184"/>
  <c r="Y184"/>
  <c r="X184"/>
  <c r="W184"/>
  <c r="V184"/>
  <c r="U184"/>
  <c r="T184"/>
  <c r="S184"/>
  <c r="R184"/>
  <c r="Q184"/>
  <c r="P184"/>
  <c r="O184"/>
  <c r="N184"/>
  <c r="M184"/>
  <c r="L184"/>
  <c r="K184"/>
  <c r="J184"/>
  <c r="I184"/>
  <c r="H184"/>
  <c r="G184"/>
  <c r="F184"/>
  <c r="E184"/>
  <c r="D184"/>
  <c r="C184"/>
  <c r="B184"/>
  <c r="A183"/>
  <c r="Y183"/>
  <c r="X183"/>
  <c r="W183"/>
  <c r="V183"/>
  <c r="U183"/>
  <c r="T183"/>
  <c r="S183"/>
  <c r="R183"/>
  <c r="Q183"/>
  <c r="P183"/>
  <c r="O183"/>
  <c r="N183"/>
  <c r="M183"/>
  <c r="L183"/>
  <c r="K183"/>
  <c r="J183"/>
  <c r="I183"/>
  <c r="H183"/>
  <c r="G183"/>
  <c r="F183"/>
  <c r="E183"/>
  <c r="D183"/>
  <c r="C183"/>
  <c r="B183"/>
  <c r="A182"/>
  <c r="Y182"/>
  <c r="X182"/>
  <c r="W182"/>
  <c r="V182"/>
  <c r="U182"/>
  <c r="T182"/>
  <c r="S182"/>
  <c r="R182"/>
  <c r="Q182"/>
  <c r="P182"/>
  <c r="O182"/>
  <c r="N182"/>
  <c r="M182"/>
  <c r="L182"/>
  <c r="K182"/>
  <c r="J182"/>
  <c r="I182"/>
  <c r="H182"/>
  <c r="G182"/>
  <c r="F182"/>
  <c r="E182"/>
  <c r="D182"/>
  <c r="C182"/>
  <c r="B182"/>
  <c r="A181"/>
  <c r="Y181"/>
  <c r="X181"/>
  <c r="W181"/>
  <c r="V181"/>
  <c r="U181"/>
  <c r="T181"/>
  <c r="S181"/>
  <c r="R181"/>
  <c r="Q181"/>
  <c r="P181"/>
  <c r="O181"/>
  <c r="N181"/>
  <c r="M181"/>
  <c r="L181"/>
  <c r="K181"/>
  <c r="J181"/>
  <c r="I181"/>
  <c r="H181"/>
  <c r="G181"/>
  <c r="F181"/>
  <c r="E181"/>
  <c r="D181"/>
  <c r="C181"/>
  <c r="B181"/>
  <c r="A180"/>
  <c r="Y180"/>
  <c r="X180"/>
  <c r="W180"/>
  <c r="V180"/>
  <c r="U180"/>
  <c r="T180"/>
  <c r="S180"/>
  <c r="R180"/>
  <c r="Q180"/>
  <c r="P180"/>
  <c r="O180"/>
  <c r="N180"/>
  <c r="M180"/>
  <c r="L180"/>
  <c r="K180"/>
  <c r="J180"/>
  <c r="I180"/>
  <c r="H180"/>
  <c r="G180"/>
  <c r="F180"/>
  <c r="E180"/>
  <c r="D180"/>
  <c r="C180"/>
  <c r="B180"/>
  <c r="A179"/>
  <c r="Y179"/>
  <c r="X179"/>
  <c r="W179"/>
  <c r="V179"/>
  <c r="U179"/>
  <c r="T179"/>
  <c r="S179"/>
  <c r="R179"/>
  <c r="Q179"/>
  <c r="P179"/>
  <c r="O179"/>
  <c r="N179"/>
  <c r="M179"/>
  <c r="L179"/>
  <c r="K179"/>
  <c r="J179"/>
  <c r="I179"/>
  <c r="H179"/>
  <c r="G179"/>
  <c r="F179"/>
  <c r="E179"/>
  <c r="D179"/>
  <c r="C179"/>
  <c r="B179"/>
  <c r="A178"/>
  <c r="Y178"/>
  <c r="X178"/>
  <c r="W178"/>
  <c r="V178"/>
  <c r="U178"/>
  <c r="T178"/>
  <c r="S178"/>
  <c r="R178"/>
  <c r="Q178"/>
  <c r="P178"/>
  <c r="O178"/>
  <c r="N178"/>
  <c r="M178"/>
  <c r="L178"/>
  <c r="K178"/>
  <c r="J178"/>
  <c r="I178"/>
  <c r="H178"/>
  <c r="G178"/>
  <c r="F178"/>
  <c r="E178"/>
  <c r="D178"/>
  <c r="C178"/>
  <c r="B178"/>
  <c r="A177"/>
  <c r="Y177"/>
  <c r="X177"/>
  <c r="W177"/>
  <c r="V177"/>
  <c r="U177"/>
  <c r="T177"/>
  <c r="S177"/>
  <c r="R177"/>
  <c r="Q177"/>
  <c r="P177"/>
  <c r="O177"/>
  <c r="N177"/>
  <c r="M177"/>
  <c r="L177"/>
  <c r="K177"/>
  <c r="J177"/>
  <c r="I177"/>
  <c r="H177"/>
  <c r="G177"/>
  <c r="F177"/>
  <c r="E177"/>
  <c r="D177"/>
  <c r="C177"/>
  <c r="B177"/>
  <c r="A176"/>
  <c r="Y176"/>
  <c r="X176"/>
  <c r="W176"/>
  <c r="V176"/>
  <c r="U176"/>
  <c r="T176"/>
  <c r="S176"/>
  <c r="R176"/>
  <c r="Q176"/>
  <c r="P176"/>
  <c r="O176"/>
  <c r="N176"/>
  <c r="M176"/>
  <c r="L176"/>
  <c r="K176"/>
  <c r="J176"/>
  <c r="I176"/>
  <c r="H176"/>
  <c r="G176"/>
  <c r="F176"/>
  <c r="E176"/>
  <c r="D176"/>
  <c r="C176"/>
  <c r="B176"/>
  <c r="A175"/>
  <c r="Y175"/>
  <c r="X175"/>
  <c r="W175"/>
  <c r="V175"/>
  <c r="U175"/>
  <c r="T175"/>
  <c r="S175"/>
  <c r="R175"/>
  <c r="Q175"/>
  <c r="P175"/>
  <c r="O175"/>
  <c r="N175"/>
  <c r="M175"/>
  <c r="L175"/>
  <c r="K175"/>
  <c r="J175"/>
  <c r="I175"/>
  <c r="H175"/>
  <c r="G175"/>
  <c r="F175"/>
  <c r="E175"/>
  <c r="D175"/>
  <c r="C175"/>
  <c r="B175"/>
  <c r="A174"/>
  <c r="Y174"/>
  <c r="X174"/>
  <c r="W174"/>
  <c r="V174"/>
  <c r="U174"/>
  <c r="T174"/>
  <c r="S174"/>
  <c r="R174"/>
  <c r="Q174"/>
  <c r="P174"/>
  <c r="O174"/>
  <c r="N174"/>
  <c r="M174"/>
  <c r="L174"/>
  <c r="K174"/>
  <c r="J174"/>
  <c r="I174"/>
  <c r="H174"/>
  <c r="G174"/>
  <c r="F174"/>
  <c r="E174"/>
  <c r="D174"/>
  <c r="C174"/>
  <c r="B174"/>
  <c r="A173"/>
  <c r="Y173"/>
  <c r="X173"/>
  <c r="W173"/>
  <c r="V173"/>
  <c r="U173"/>
  <c r="T173"/>
  <c r="S173"/>
  <c r="R173"/>
  <c r="Q173"/>
  <c r="P173"/>
  <c r="O173"/>
  <c r="N173"/>
  <c r="M173"/>
  <c r="L173"/>
  <c r="K173"/>
  <c r="J173"/>
  <c r="I173"/>
  <c r="H173"/>
  <c r="G173"/>
  <c r="F173"/>
  <c r="E173"/>
  <c r="D173"/>
  <c r="C173"/>
  <c r="B173"/>
  <c r="A172"/>
  <c r="Y172"/>
  <c r="X172"/>
  <c r="W172"/>
  <c r="V172"/>
  <c r="U172"/>
  <c r="T172"/>
  <c r="S172"/>
  <c r="R172"/>
  <c r="Q172"/>
  <c r="P172"/>
  <c r="O172"/>
  <c r="N172"/>
  <c r="M172"/>
  <c r="L172"/>
  <c r="K172"/>
  <c r="J172"/>
  <c r="I172"/>
  <c r="H172"/>
  <c r="G172"/>
  <c r="F172"/>
  <c r="E172"/>
  <c r="D172"/>
  <c r="C172"/>
  <c r="B172"/>
  <c r="A171"/>
  <c r="Y171"/>
  <c r="X171"/>
  <c r="W171"/>
  <c r="V171"/>
  <c r="U171"/>
  <c r="T171"/>
  <c r="S171"/>
  <c r="R171"/>
  <c r="Q171"/>
  <c r="P171"/>
  <c r="O171"/>
  <c r="N171"/>
  <c r="M171"/>
  <c r="L171"/>
  <c r="K171"/>
  <c r="J171"/>
  <c r="I171"/>
  <c r="H171"/>
  <c r="G171"/>
  <c r="F171"/>
  <c r="E171"/>
  <c r="D171"/>
  <c r="C171"/>
  <c r="B171"/>
  <c r="A170"/>
  <c r="Y170"/>
  <c r="X170"/>
  <c r="W170"/>
  <c r="V170"/>
  <c r="U170"/>
  <c r="T170"/>
  <c r="S170"/>
  <c r="R170"/>
  <c r="Q170"/>
  <c r="P170"/>
  <c r="O170"/>
  <c r="N170"/>
  <c r="M170"/>
  <c r="L170"/>
  <c r="K170"/>
  <c r="J170"/>
  <c r="I170"/>
  <c r="H170"/>
  <c r="G170"/>
  <c r="F170"/>
  <c r="E170"/>
  <c r="D170"/>
  <c r="C170"/>
  <c r="B170"/>
  <c r="A169"/>
  <c r="Y169"/>
  <c r="X169"/>
  <c r="W169"/>
  <c r="V169"/>
  <c r="U169"/>
  <c r="T169"/>
  <c r="S169"/>
  <c r="R169"/>
  <c r="Q169"/>
  <c r="P169"/>
  <c r="O169"/>
  <c r="N169"/>
  <c r="M169"/>
  <c r="L169"/>
  <c r="K169"/>
  <c r="J169"/>
  <c r="I169"/>
  <c r="H169"/>
  <c r="G169"/>
  <c r="F169"/>
  <c r="E169"/>
  <c r="D169"/>
  <c r="C169"/>
  <c r="B169"/>
  <c r="A168"/>
  <c r="Y168"/>
  <c r="X168"/>
  <c r="W168"/>
  <c r="V168"/>
  <c r="U168"/>
  <c r="T168"/>
  <c r="S168"/>
  <c r="R168"/>
  <c r="Q168"/>
  <c r="P168"/>
  <c r="O168"/>
  <c r="N168"/>
  <c r="M168"/>
  <c r="L168"/>
  <c r="K168"/>
  <c r="J168"/>
  <c r="I168"/>
  <c r="H168"/>
  <c r="G168"/>
  <c r="F168"/>
  <c r="E168"/>
  <c r="D168"/>
  <c r="C168"/>
  <c r="B168"/>
  <c r="A167"/>
  <c r="Y167"/>
  <c r="X167"/>
  <c r="W167"/>
  <c r="V167"/>
  <c r="U167"/>
  <c r="T167"/>
  <c r="S167"/>
  <c r="R167"/>
  <c r="Q167"/>
  <c r="P167"/>
  <c r="O167"/>
  <c r="N167"/>
  <c r="M167"/>
  <c r="L167"/>
  <c r="K167"/>
  <c r="J167"/>
  <c r="I167"/>
  <c r="H167"/>
  <c r="G167"/>
  <c r="F167"/>
  <c r="E167"/>
  <c r="D167"/>
  <c r="C167"/>
  <c r="B167"/>
  <c r="A166"/>
  <c r="Y166"/>
  <c r="X166"/>
  <c r="W166"/>
  <c r="V166"/>
  <c r="U166"/>
  <c r="T166"/>
  <c r="S166"/>
  <c r="R166"/>
  <c r="Q166"/>
  <c r="P166"/>
  <c r="O166"/>
  <c r="N166"/>
  <c r="M166"/>
  <c r="L166"/>
  <c r="K166"/>
  <c r="J166"/>
  <c r="I166"/>
  <c r="H166"/>
  <c r="G166"/>
  <c r="F166"/>
  <c r="E166"/>
  <c r="D166"/>
  <c r="C166"/>
  <c r="B166"/>
  <c r="A165"/>
  <c r="Y165"/>
  <c r="X165"/>
  <c r="W165"/>
  <c r="V165"/>
  <c r="U165"/>
  <c r="T165"/>
  <c r="S165"/>
  <c r="R165"/>
  <c r="Q165"/>
  <c r="P165"/>
  <c r="O165"/>
  <c r="N165"/>
  <c r="M165"/>
  <c r="L165"/>
  <c r="K165"/>
  <c r="J165"/>
  <c r="I165"/>
  <c r="H165"/>
  <c r="G165"/>
  <c r="F165"/>
  <c r="E165"/>
  <c r="D165"/>
  <c r="C165"/>
  <c r="B165"/>
  <c r="A164"/>
  <c r="Y164"/>
  <c r="X164"/>
  <c r="W164"/>
  <c r="V164"/>
  <c r="U164"/>
  <c r="T164"/>
  <c r="S164"/>
  <c r="R164"/>
  <c r="Q164"/>
  <c r="P164"/>
  <c r="O164"/>
  <c r="N164"/>
  <c r="M164"/>
  <c r="L164"/>
  <c r="K164"/>
  <c r="J164"/>
  <c r="I164"/>
  <c r="H164"/>
  <c r="G164"/>
  <c r="F164"/>
  <c r="E164"/>
  <c r="D164"/>
  <c r="C164"/>
  <c r="B164"/>
  <c r="A163"/>
  <c r="Y163"/>
  <c r="X163"/>
  <c r="W163"/>
  <c r="V163"/>
  <c r="U163"/>
  <c r="T163"/>
  <c r="S163"/>
  <c r="R163"/>
  <c r="Q163"/>
  <c r="P163"/>
  <c r="O163"/>
  <c r="N163"/>
  <c r="M163"/>
  <c r="L163"/>
  <c r="K163"/>
  <c r="J163"/>
  <c r="I163"/>
  <c r="H163"/>
  <c r="G163"/>
  <c r="F163"/>
  <c r="E163"/>
  <c r="D163"/>
  <c r="C163"/>
  <c r="B163"/>
  <c r="A162"/>
  <c r="Y162"/>
  <c r="X162"/>
  <c r="W162"/>
  <c r="V162"/>
  <c r="U162"/>
  <c r="T162"/>
  <c r="S162"/>
  <c r="R162"/>
  <c r="Q162"/>
  <c r="P162"/>
  <c r="O162"/>
  <c r="N162"/>
  <c r="M162"/>
  <c r="L162"/>
  <c r="K162"/>
  <c r="J162"/>
  <c r="I162"/>
  <c r="H162"/>
  <c r="G162"/>
  <c r="F162"/>
  <c r="E162"/>
  <c r="D162"/>
  <c r="C162"/>
  <c r="B162"/>
  <c r="A161"/>
  <c r="Y161"/>
  <c r="X161"/>
  <c r="W161"/>
  <c r="V161"/>
  <c r="U161"/>
  <c r="T161"/>
  <c r="S161"/>
  <c r="R161"/>
  <c r="Q161"/>
  <c r="P161"/>
  <c r="O161"/>
  <c r="N161"/>
  <c r="M161"/>
  <c r="L161"/>
  <c r="K161"/>
  <c r="J161"/>
  <c r="I161"/>
  <c r="H161"/>
  <c r="G161"/>
  <c r="F161"/>
  <c r="E161"/>
  <c r="D161"/>
  <c r="C161"/>
  <c r="B161"/>
  <c r="A160"/>
  <c r="Y160"/>
  <c r="X160"/>
  <c r="W160"/>
  <c r="V160"/>
  <c r="U160"/>
  <c r="T160"/>
  <c r="S160"/>
  <c r="R160"/>
  <c r="Q160"/>
  <c r="P160"/>
  <c r="O160"/>
  <c r="N160"/>
  <c r="M160"/>
  <c r="L160"/>
  <c r="K160"/>
  <c r="J160"/>
  <c r="I160"/>
  <c r="H160"/>
  <c r="G160"/>
  <c r="F160"/>
  <c r="E160"/>
  <c r="D160"/>
  <c r="C160"/>
  <c r="B160"/>
  <c r="A159"/>
  <c r="Y159"/>
  <c r="X159"/>
  <c r="W159"/>
  <c r="V159"/>
  <c r="U159"/>
  <c r="T159"/>
  <c r="S159"/>
  <c r="R159"/>
  <c r="Q159"/>
  <c r="P159"/>
  <c r="O159"/>
  <c r="N159"/>
  <c r="M159"/>
  <c r="L159"/>
  <c r="K159"/>
  <c r="J159"/>
  <c r="I159"/>
  <c r="H159"/>
  <c r="G159"/>
  <c r="F159"/>
  <c r="E159"/>
  <c r="D159"/>
  <c r="C159"/>
  <c r="B159"/>
  <c r="A158"/>
  <c r="Y158"/>
  <c r="X158"/>
  <c r="W158"/>
  <c r="V158"/>
  <c r="U158"/>
  <c r="T158"/>
  <c r="S158"/>
  <c r="R158"/>
  <c r="Q158"/>
  <c r="P158"/>
  <c r="O158"/>
  <c r="N158"/>
  <c r="M158"/>
  <c r="L158"/>
  <c r="K158"/>
  <c r="J158"/>
  <c r="I158"/>
  <c r="H158"/>
  <c r="G158"/>
  <c r="F158"/>
  <c r="E158"/>
  <c r="D158"/>
  <c r="C158"/>
  <c r="B158"/>
  <c r="A157"/>
  <c r="Y157"/>
  <c r="X157"/>
  <c r="W157"/>
  <c r="V157"/>
  <c r="U157"/>
  <c r="T157"/>
  <c r="S157"/>
  <c r="R157"/>
  <c r="Q157"/>
  <c r="P157"/>
  <c r="O157"/>
  <c r="N157"/>
  <c r="M157"/>
  <c r="L157"/>
  <c r="K157"/>
  <c r="J157"/>
  <c r="I157"/>
  <c r="H157"/>
  <c r="G157"/>
  <c r="F157"/>
  <c r="E157"/>
  <c r="D157"/>
  <c r="C157"/>
  <c r="B157"/>
  <c r="A156"/>
  <c r="Y156"/>
  <c r="X156"/>
  <c r="W156"/>
  <c r="V156"/>
  <c r="U156"/>
  <c r="T156"/>
  <c r="S156"/>
  <c r="R156"/>
  <c r="Q156"/>
  <c r="P156"/>
  <c r="O156"/>
  <c r="N156"/>
  <c r="M156"/>
  <c r="L156"/>
  <c r="K156"/>
  <c r="J156"/>
  <c r="I156"/>
  <c r="H156"/>
  <c r="G156"/>
  <c r="F156"/>
  <c r="E156"/>
  <c r="D156"/>
  <c r="C156"/>
  <c r="B156"/>
  <c r="A155"/>
  <c r="Y155"/>
  <c r="X155"/>
  <c r="W155"/>
  <c r="V155"/>
  <c r="U155"/>
  <c r="T155"/>
  <c r="S155"/>
  <c r="R155"/>
  <c r="Q155"/>
  <c r="P155"/>
  <c r="O155"/>
  <c r="N155"/>
  <c r="M155"/>
  <c r="L155"/>
  <c r="K155"/>
  <c r="J155"/>
  <c r="I155"/>
  <c r="H155"/>
  <c r="G155"/>
  <c r="F155"/>
  <c r="E155"/>
  <c r="D155"/>
  <c r="C155"/>
  <c r="B155"/>
  <c r="A154"/>
  <c r="Y154"/>
  <c r="X154"/>
  <c r="W154"/>
  <c r="V154"/>
  <c r="U154"/>
  <c r="T154"/>
  <c r="S154"/>
  <c r="R154"/>
  <c r="Q154"/>
  <c r="P154"/>
  <c r="O154"/>
  <c r="N154"/>
  <c r="M154"/>
  <c r="L154"/>
  <c r="K154"/>
  <c r="J154"/>
  <c r="I154"/>
  <c r="H154"/>
  <c r="G154"/>
  <c r="F154"/>
  <c r="E154"/>
  <c r="D154"/>
  <c r="C154"/>
  <c r="B154"/>
  <c r="A153"/>
  <c r="Y153"/>
  <c r="X153"/>
  <c r="W153"/>
  <c r="V153"/>
  <c r="U153"/>
  <c r="T153"/>
  <c r="S153"/>
  <c r="R153"/>
  <c r="Q153"/>
  <c r="P153"/>
  <c r="O153"/>
  <c r="N153"/>
  <c r="M153"/>
  <c r="L153"/>
  <c r="K153"/>
  <c r="J153"/>
  <c r="I153"/>
  <c r="H153"/>
  <c r="G153"/>
  <c r="F153"/>
  <c r="E153"/>
  <c r="D153"/>
  <c r="C153"/>
  <c r="B153"/>
  <c r="A152"/>
  <c r="Y152"/>
  <c r="X152"/>
  <c r="W152"/>
  <c r="V152"/>
  <c r="U152"/>
  <c r="T152"/>
  <c r="S152"/>
  <c r="R152"/>
  <c r="Q152"/>
  <c r="P152"/>
  <c r="O152"/>
  <c r="N152"/>
  <c r="M152"/>
  <c r="L152"/>
  <c r="K152"/>
  <c r="J152"/>
  <c r="I152"/>
  <c r="H152"/>
  <c r="G152"/>
  <c r="F152"/>
  <c r="E152"/>
  <c r="D152"/>
  <c r="C152"/>
  <c r="B152"/>
  <c r="A151"/>
  <c r="Y151"/>
  <c r="X151"/>
  <c r="W151"/>
  <c r="V151"/>
  <c r="U151"/>
  <c r="T151"/>
  <c r="S151"/>
  <c r="R151"/>
  <c r="Q151"/>
  <c r="P151"/>
  <c r="O151"/>
  <c r="N151"/>
  <c r="M151"/>
  <c r="L151"/>
  <c r="K151"/>
  <c r="J151"/>
  <c r="I151"/>
  <c r="H151"/>
  <c r="G151"/>
  <c r="F151"/>
  <c r="E151"/>
  <c r="D151"/>
  <c r="C151"/>
  <c r="B151"/>
  <c r="A150"/>
  <c r="Y150"/>
  <c r="X150"/>
  <c r="W150"/>
  <c r="V150"/>
  <c r="U150"/>
  <c r="T150"/>
  <c r="S150"/>
  <c r="R150"/>
  <c r="Q150"/>
  <c r="P150"/>
  <c r="O150"/>
  <c r="N150"/>
  <c r="M150"/>
  <c r="L150"/>
  <c r="K150"/>
  <c r="J150"/>
  <c r="I150"/>
  <c r="H150"/>
  <c r="G150"/>
  <c r="F150"/>
  <c r="E150"/>
  <c r="D150"/>
  <c r="C150"/>
  <c r="B150"/>
  <c r="A149"/>
  <c r="Y149"/>
  <c r="X149"/>
  <c r="W149"/>
  <c r="V149"/>
  <c r="U149"/>
  <c r="T149"/>
  <c r="S149"/>
  <c r="R149"/>
  <c r="Q149"/>
  <c r="P149"/>
  <c r="O149"/>
  <c r="N149"/>
  <c r="M149"/>
  <c r="L149"/>
  <c r="K149"/>
  <c r="J149"/>
  <c r="I149"/>
  <c r="H149"/>
  <c r="G149"/>
  <c r="F149"/>
  <c r="E149"/>
  <c r="D149"/>
  <c r="C149"/>
  <c r="B149"/>
  <c r="A148"/>
  <c r="Y148"/>
  <c r="X148"/>
  <c r="W148"/>
  <c r="V148"/>
  <c r="U148"/>
  <c r="T148"/>
  <c r="S148"/>
  <c r="R148"/>
  <c r="Q148"/>
  <c r="P148"/>
  <c r="O148"/>
  <c r="N148"/>
  <c r="M148"/>
  <c r="L148"/>
  <c r="K148"/>
  <c r="J148"/>
  <c r="I148"/>
  <c r="H148"/>
  <c r="G148"/>
  <c r="F148"/>
  <c r="E148"/>
  <c r="D148"/>
  <c r="C148"/>
  <c r="B148"/>
  <c r="A147"/>
  <c r="Y147"/>
  <c r="X147"/>
  <c r="W147"/>
  <c r="V147"/>
  <c r="U147"/>
  <c r="T147"/>
  <c r="S147"/>
  <c r="R147"/>
  <c r="Q147"/>
  <c r="P147"/>
  <c r="O147"/>
  <c r="N147"/>
  <c r="M147"/>
  <c r="L147"/>
  <c r="K147"/>
  <c r="J147"/>
  <c r="I147"/>
  <c r="H147"/>
  <c r="G147"/>
  <c r="F147"/>
  <c r="E147"/>
  <c r="D147"/>
  <c r="C147"/>
  <c r="B147"/>
  <c r="A146"/>
  <c r="Y146"/>
  <c r="X146"/>
  <c r="W146"/>
  <c r="V146"/>
  <c r="U146"/>
  <c r="T146"/>
  <c r="S146"/>
  <c r="R146"/>
  <c r="Q146"/>
  <c r="P146"/>
  <c r="O146"/>
  <c r="N146"/>
  <c r="M146"/>
  <c r="L146"/>
  <c r="K146"/>
  <c r="J146"/>
  <c r="I146"/>
  <c r="H146"/>
  <c r="G146"/>
  <c r="F146"/>
  <c r="E146"/>
  <c r="D146"/>
  <c r="C146"/>
  <c r="B146"/>
  <c r="A145"/>
  <c r="Y145"/>
  <c r="X145"/>
  <c r="W145"/>
  <c r="V145"/>
  <c r="U145"/>
  <c r="T145"/>
  <c r="S145"/>
  <c r="R145"/>
  <c r="Q145"/>
  <c r="P145"/>
  <c r="O145"/>
  <c r="N145"/>
  <c r="M145"/>
  <c r="L145"/>
  <c r="K145"/>
  <c r="J145"/>
  <c r="I145"/>
  <c r="H145"/>
  <c r="G145"/>
  <c r="F145"/>
  <c r="E145"/>
  <c r="D145"/>
  <c r="C145"/>
  <c r="B145"/>
  <c r="A144"/>
  <c r="Y144"/>
  <c r="X144"/>
  <c r="W144"/>
  <c r="V144"/>
  <c r="U144"/>
  <c r="T144"/>
  <c r="S144"/>
  <c r="R144"/>
  <c r="Q144"/>
  <c r="P144"/>
  <c r="O144"/>
  <c r="N144"/>
  <c r="M144"/>
  <c r="L144"/>
  <c r="K144"/>
  <c r="J144"/>
  <c r="I144"/>
  <c r="H144"/>
  <c r="G144"/>
  <c r="F144"/>
  <c r="E144"/>
  <c r="D144"/>
  <c r="C144"/>
  <c r="B144"/>
  <c r="A143"/>
  <c r="Y143"/>
  <c r="X143"/>
  <c r="W143"/>
  <c r="V143"/>
  <c r="U143"/>
  <c r="T143"/>
  <c r="S143"/>
  <c r="R143"/>
  <c r="Q143"/>
  <c r="P143"/>
  <c r="O143"/>
  <c r="N143"/>
  <c r="M143"/>
  <c r="L143"/>
  <c r="K143"/>
  <c r="J143"/>
  <c r="I143"/>
  <c r="H143"/>
  <c r="G143"/>
  <c r="F143"/>
  <c r="E143"/>
  <c r="D143"/>
  <c r="C143"/>
  <c r="B143"/>
  <c r="A142"/>
  <c r="Y142"/>
  <c r="X142"/>
  <c r="W142"/>
  <c r="V142"/>
  <c r="U142"/>
  <c r="T142"/>
  <c r="S142"/>
  <c r="R142"/>
  <c r="Q142"/>
  <c r="P142"/>
  <c r="O142"/>
  <c r="N142"/>
  <c r="M142"/>
  <c r="L142"/>
  <c r="K142"/>
  <c r="J142"/>
  <c r="I142"/>
  <c r="H142"/>
  <c r="G142"/>
  <c r="F142"/>
  <c r="E142"/>
  <c r="D142"/>
  <c r="C142"/>
  <c r="B142"/>
  <c r="A141"/>
  <c r="Y141"/>
  <c r="X141"/>
  <c r="W141"/>
  <c r="V141"/>
  <c r="U141"/>
  <c r="T141"/>
  <c r="S141"/>
  <c r="R141"/>
  <c r="Q141"/>
  <c r="P141"/>
  <c r="O141"/>
  <c r="N141"/>
  <c r="M141"/>
  <c r="L141"/>
  <c r="K141"/>
  <c r="J141"/>
  <c r="I141"/>
  <c r="H141"/>
  <c r="G141"/>
  <c r="F141"/>
  <c r="E141"/>
  <c r="D141"/>
  <c r="C141"/>
  <c r="B141"/>
  <c r="A140"/>
  <c r="Y140"/>
  <c r="X140"/>
  <c r="W140"/>
  <c r="V140"/>
  <c r="U140"/>
  <c r="T140"/>
  <c r="S140"/>
  <c r="R140"/>
  <c r="Q140"/>
  <c r="P140"/>
  <c r="O140"/>
  <c r="N140"/>
  <c r="M140"/>
  <c r="L140"/>
  <c r="K140"/>
  <c r="J140"/>
  <c r="I140"/>
  <c r="H140"/>
  <c r="G140"/>
  <c r="F140"/>
  <c r="E140"/>
  <c r="D140"/>
  <c r="C140"/>
  <c r="B140"/>
  <c r="A139"/>
  <c r="Y139"/>
  <c r="X139"/>
  <c r="W139"/>
  <c r="V139"/>
  <c r="U139"/>
  <c r="T139"/>
  <c r="S139"/>
  <c r="R139"/>
  <c r="Q139"/>
  <c r="P139"/>
  <c r="O139"/>
  <c r="N139"/>
  <c r="M139"/>
  <c r="L139"/>
  <c r="K139"/>
  <c r="J139"/>
  <c r="I139"/>
  <c r="H139"/>
  <c r="G139"/>
  <c r="F139"/>
  <c r="E139"/>
  <c r="D139"/>
  <c r="C139"/>
  <c r="B139"/>
  <c r="A138"/>
  <c r="Y138"/>
  <c r="X138"/>
  <c r="W138"/>
  <c r="V138"/>
  <c r="U138"/>
  <c r="T138"/>
  <c r="S138"/>
  <c r="R138"/>
  <c r="Q138"/>
  <c r="P138"/>
  <c r="O138"/>
  <c r="N138"/>
  <c r="M138"/>
  <c r="L138"/>
  <c r="K138"/>
  <c r="J138"/>
  <c r="I138"/>
  <c r="H138"/>
  <c r="G138"/>
  <c r="F138"/>
  <c r="E138"/>
  <c r="D138"/>
  <c r="C138"/>
  <c r="B138"/>
  <c r="A137"/>
  <c r="Y137"/>
  <c r="X137"/>
  <c r="W137"/>
  <c r="V137"/>
  <c r="U137"/>
  <c r="T137"/>
  <c r="S137"/>
  <c r="R137"/>
  <c r="Q137"/>
  <c r="P137"/>
  <c r="O137"/>
  <c r="N137"/>
  <c r="M137"/>
  <c r="L137"/>
  <c r="K137"/>
  <c r="J137"/>
  <c r="I137"/>
  <c r="H137"/>
  <c r="G137"/>
  <c r="F137"/>
  <c r="E137"/>
  <c r="D137"/>
  <c r="C137"/>
  <c r="B137"/>
  <c r="A136"/>
  <c r="Y136"/>
  <c r="X136"/>
  <c r="W136"/>
  <c r="V136"/>
  <c r="U136"/>
  <c r="T136"/>
  <c r="S136"/>
  <c r="R136"/>
  <c r="Q136"/>
  <c r="P136"/>
  <c r="O136"/>
  <c r="N136"/>
  <c r="M136"/>
  <c r="L136"/>
  <c r="K136"/>
  <c r="J136"/>
  <c r="I136"/>
  <c r="H136"/>
  <c r="G136"/>
  <c r="F136"/>
  <c r="E136"/>
  <c r="D136"/>
  <c r="C136"/>
  <c r="B136"/>
  <c r="A135"/>
  <c r="Y135"/>
  <c r="X135"/>
  <c r="W135"/>
  <c r="V135"/>
  <c r="U135"/>
  <c r="T135"/>
  <c r="S135"/>
  <c r="R135"/>
  <c r="Q135"/>
  <c r="P135"/>
  <c r="O135"/>
  <c r="N135"/>
  <c r="M135"/>
  <c r="L135"/>
  <c r="K135"/>
  <c r="J135"/>
  <c r="I135"/>
  <c r="H135"/>
  <c r="G135"/>
  <c r="F135"/>
  <c r="E135"/>
  <c r="D135"/>
  <c r="C135"/>
  <c r="B135"/>
  <c r="A134"/>
  <c r="Y134"/>
  <c r="X134"/>
  <c r="W134"/>
  <c r="V134"/>
  <c r="U134"/>
  <c r="T134"/>
  <c r="S134"/>
  <c r="R134"/>
  <c r="Q134"/>
  <c r="P134"/>
  <c r="O134"/>
  <c r="N134"/>
  <c r="M134"/>
  <c r="L134"/>
  <c r="K134"/>
  <c r="J134"/>
  <c r="I134"/>
  <c r="H134"/>
  <c r="G134"/>
  <c r="F134"/>
  <c r="E134"/>
  <c r="D134"/>
  <c r="C134"/>
  <c r="B134"/>
  <c r="A133"/>
  <c r="Y133"/>
  <c r="X133"/>
  <c r="W133"/>
  <c r="V133"/>
  <c r="U133"/>
  <c r="T133"/>
  <c r="S133"/>
  <c r="R133"/>
  <c r="Q133"/>
  <c r="P133"/>
  <c r="O133"/>
  <c r="N133"/>
  <c r="M133"/>
  <c r="L133"/>
  <c r="K133"/>
  <c r="J133"/>
  <c r="I133"/>
  <c r="H133"/>
  <c r="G133"/>
  <c r="F133"/>
  <c r="E133"/>
  <c r="D133"/>
  <c r="C133"/>
  <c r="B133"/>
  <c r="A132"/>
  <c r="Y132"/>
  <c r="X132"/>
  <c r="W132"/>
  <c r="V132"/>
  <c r="U132"/>
  <c r="T132"/>
  <c r="S132"/>
  <c r="R132"/>
  <c r="Q132"/>
  <c r="P132"/>
  <c r="O132"/>
  <c r="N132"/>
  <c r="M132"/>
  <c r="L132"/>
  <c r="K132"/>
  <c r="J132"/>
  <c r="I132"/>
  <c r="H132"/>
  <c r="G132"/>
  <c r="F132"/>
  <c r="E132"/>
  <c r="D132"/>
  <c r="C132"/>
  <c r="B132"/>
  <c r="A131"/>
  <c r="Y131"/>
  <c r="X131"/>
  <c r="W131"/>
  <c r="V131"/>
  <c r="U131"/>
  <c r="T131"/>
  <c r="S131"/>
  <c r="R131"/>
  <c r="Q131"/>
  <c r="P131"/>
  <c r="O131"/>
  <c r="N131"/>
  <c r="M131"/>
  <c r="L131"/>
  <c r="K131"/>
  <c r="J131"/>
  <c r="I131"/>
  <c r="H131"/>
  <c r="G131"/>
  <c r="F131"/>
  <c r="E131"/>
  <c r="D131"/>
  <c r="C131"/>
  <c r="B131"/>
  <c r="A130"/>
  <c r="Y130"/>
  <c r="X130"/>
  <c r="W130"/>
  <c r="V130"/>
  <c r="U130"/>
  <c r="T130"/>
  <c r="S130"/>
  <c r="R130"/>
  <c r="Q130"/>
  <c r="P130"/>
  <c r="O130"/>
  <c r="N130"/>
  <c r="M130"/>
  <c r="L130"/>
  <c r="K130"/>
  <c r="J130"/>
  <c r="I130"/>
  <c r="H130"/>
  <c r="G130"/>
  <c r="F130"/>
  <c r="E130"/>
  <c r="D130"/>
  <c r="C130"/>
  <c r="B130"/>
  <c r="A129"/>
  <c r="Y129"/>
  <c r="X129"/>
  <c r="W129"/>
  <c r="V129"/>
  <c r="U129"/>
  <c r="T129"/>
  <c r="S129"/>
  <c r="R129"/>
  <c r="Q129"/>
  <c r="P129"/>
  <c r="O129"/>
  <c r="N129"/>
  <c r="M129"/>
  <c r="L129"/>
  <c r="K129"/>
  <c r="J129"/>
  <c r="I129"/>
  <c r="H129"/>
  <c r="G129"/>
  <c r="F129"/>
  <c r="E129"/>
  <c r="D129"/>
  <c r="C129"/>
  <c r="B129"/>
  <c r="A128"/>
  <c r="Y128"/>
  <c r="X128"/>
  <c r="W128"/>
  <c r="V128"/>
  <c r="U128"/>
  <c r="T128"/>
  <c r="S128"/>
  <c r="R128"/>
  <c r="Q128"/>
  <c r="P128"/>
  <c r="O128"/>
  <c r="N128"/>
  <c r="M128"/>
  <c r="L128"/>
  <c r="K128"/>
  <c r="J128"/>
  <c r="I128"/>
  <c r="H128"/>
  <c r="G128"/>
  <c r="F128"/>
  <c r="E128"/>
  <c r="D128"/>
  <c r="C128"/>
  <c r="B128"/>
  <c r="A127"/>
  <c r="Y127"/>
  <c r="X127"/>
  <c r="W127"/>
  <c r="V127"/>
  <c r="U127"/>
  <c r="T127"/>
  <c r="S127"/>
  <c r="R127"/>
  <c r="Q127"/>
  <c r="P127"/>
  <c r="O127"/>
  <c r="N127"/>
  <c r="M127"/>
  <c r="L127"/>
  <c r="K127"/>
  <c r="J127"/>
  <c r="I127"/>
  <c r="H127"/>
  <c r="G127"/>
  <c r="F127"/>
  <c r="E127"/>
  <c r="D127"/>
  <c r="C127"/>
  <c r="B127"/>
  <c r="A126"/>
  <c r="Y126"/>
  <c r="X126"/>
  <c r="W126"/>
  <c r="V126"/>
  <c r="U126"/>
  <c r="T126"/>
  <c r="S126"/>
  <c r="R126"/>
  <c r="Q126"/>
  <c r="P126"/>
  <c r="O126"/>
  <c r="N126"/>
  <c r="M126"/>
  <c r="L126"/>
  <c r="K126"/>
  <c r="J126"/>
  <c r="I126"/>
  <c r="H126"/>
  <c r="G126"/>
  <c r="F126"/>
  <c r="E126"/>
  <c r="D126"/>
  <c r="C126"/>
  <c r="B126"/>
  <c r="A125"/>
  <c r="Y125"/>
  <c r="X125"/>
  <c r="W125"/>
  <c r="V125"/>
  <c r="U125"/>
  <c r="T125"/>
  <c r="S125"/>
  <c r="R125"/>
  <c r="Q125"/>
  <c r="P125"/>
  <c r="O125"/>
  <c r="N125"/>
  <c r="M125"/>
  <c r="L125"/>
  <c r="K125"/>
  <c r="J125"/>
  <c r="I125"/>
  <c r="H125"/>
  <c r="G125"/>
  <c r="F125"/>
  <c r="E125"/>
  <c r="D125"/>
  <c r="C125"/>
  <c r="B125"/>
  <c r="A124"/>
  <c r="Y124"/>
  <c r="X124"/>
  <c r="W124"/>
  <c r="V124"/>
  <c r="U124"/>
  <c r="T124"/>
  <c r="S124"/>
  <c r="R124"/>
  <c r="Q124"/>
  <c r="P124"/>
  <c r="O124"/>
  <c r="N124"/>
  <c r="M124"/>
  <c r="L124"/>
  <c r="K124"/>
  <c r="J124"/>
  <c r="I124"/>
  <c r="H124"/>
  <c r="G124"/>
  <c r="F124"/>
  <c r="E124"/>
  <c r="D124"/>
  <c r="C124"/>
  <c r="B124"/>
  <c r="A123"/>
  <c r="Y123"/>
  <c r="X123"/>
  <c r="W123"/>
  <c r="V123"/>
  <c r="U123"/>
  <c r="T123"/>
  <c r="S123"/>
  <c r="R123"/>
  <c r="Q123"/>
  <c r="P123"/>
  <c r="O123"/>
  <c r="N123"/>
  <c r="M123"/>
  <c r="L123"/>
  <c r="K123"/>
  <c r="J123"/>
  <c r="I123"/>
  <c r="H123"/>
  <c r="G123"/>
  <c r="F123"/>
  <c r="E123"/>
  <c r="D123"/>
  <c r="C123"/>
  <c r="B123"/>
  <c r="A122"/>
  <c r="Y122"/>
  <c r="X122"/>
  <c r="W122"/>
  <c r="V122"/>
  <c r="U122"/>
  <c r="T122"/>
  <c r="S122"/>
  <c r="R122"/>
  <c r="Q122"/>
  <c r="P122"/>
  <c r="O122"/>
  <c r="N122"/>
  <c r="M122"/>
  <c r="L122"/>
  <c r="K122"/>
  <c r="J122"/>
  <c r="I122"/>
  <c r="H122"/>
  <c r="G122"/>
  <c r="F122"/>
  <c r="E122"/>
  <c r="D122"/>
  <c r="C122"/>
  <c r="B122"/>
  <c r="A121"/>
  <c r="Y121"/>
  <c r="X121"/>
  <c r="W121"/>
  <c r="V121"/>
  <c r="U121"/>
  <c r="T121"/>
  <c r="S121"/>
  <c r="R121"/>
  <c r="Q121"/>
  <c r="P121"/>
  <c r="O121"/>
  <c r="N121"/>
  <c r="M121"/>
  <c r="L121"/>
  <c r="K121"/>
  <c r="J121"/>
  <c r="I121"/>
  <c r="H121"/>
  <c r="G121"/>
  <c r="F121"/>
  <c r="E121"/>
  <c r="D121"/>
  <c r="C121"/>
  <c r="B121"/>
  <c r="A120"/>
  <c r="Y120"/>
  <c r="X120"/>
  <c r="W120"/>
  <c r="V120"/>
  <c r="U120"/>
  <c r="T120"/>
  <c r="S120"/>
  <c r="R120"/>
  <c r="Q120"/>
  <c r="P120"/>
  <c r="O120"/>
  <c r="N120"/>
  <c r="M120"/>
  <c r="L120"/>
  <c r="K120"/>
  <c r="J120"/>
  <c r="I120"/>
  <c r="H120"/>
  <c r="G120"/>
  <c r="F120"/>
  <c r="E120"/>
  <c r="D120"/>
  <c r="C120"/>
  <c r="B120"/>
  <c r="A119"/>
  <c r="Y119"/>
  <c r="X119"/>
  <c r="W119"/>
  <c r="V119"/>
  <c r="U119"/>
  <c r="T119"/>
  <c r="S119"/>
  <c r="R119"/>
  <c r="Q119"/>
  <c r="P119"/>
  <c r="O119"/>
  <c r="N119"/>
  <c r="M119"/>
  <c r="L119"/>
  <c r="K119"/>
  <c r="J119"/>
  <c r="I119"/>
  <c r="H119"/>
  <c r="G119"/>
  <c r="F119"/>
  <c r="E119"/>
  <c r="D119"/>
  <c r="C119"/>
  <c r="B119"/>
  <c r="A118"/>
  <c r="Y118"/>
  <c r="X118"/>
  <c r="W118"/>
  <c r="V118"/>
  <c r="U118"/>
  <c r="T118"/>
  <c r="S118"/>
  <c r="R118"/>
  <c r="Q118"/>
  <c r="P118"/>
  <c r="O118"/>
  <c r="N118"/>
  <c r="M118"/>
  <c r="L118"/>
  <c r="K118"/>
  <c r="J118"/>
  <c r="I118"/>
  <c r="H118"/>
  <c r="G118"/>
  <c r="F118"/>
  <c r="E118"/>
  <c r="D118"/>
  <c r="C118"/>
  <c r="B118"/>
  <c r="A117"/>
  <c r="Y117"/>
  <c r="X117"/>
  <c r="W117"/>
  <c r="V117"/>
  <c r="U117"/>
  <c r="T117"/>
  <c r="S117"/>
  <c r="R117"/>
  <c r="Q117"/>
  <c r="P117"/>
  <c r="O117"/>
  <c r="N117"/>
  <c r="M117"/>
  <c r="L117"/>
  <c r="K117"/>
  <c r="J117"/>
  <c r="I117"/>
  <c r="H117"/>
  <c r="G117"/>
  <c r="F117"/>
  <c r="E117"/>
  <c r="D117"/>
  <c r="C117"/>
  <c r="B117"/>
  <c r="A116"/>
  <c r="Y116"/>
  <c r="X116"/>
  <c r="W116"/>
  <c r="V116"/>
  <c r="U116"/>
  <c r="T116"/>
  <c r="S116"/>
  <c r="R116"/>
  <c r="Q116"/>
  <c r="P116"/>
  <c r="O116"/>
  <c r="N116"/>
  <c r="M116"/>
  <c r="L116"/>
  <c r="K116"/>
  <c r="J116"/>
  <c r="I116"/>
  <c r="H116"/>
  <c r="G116"/>
  <c r="F116"/>
  <c r="E116"/>
  <c r="D116"/>
  <c r="C116"/>
  <c r="B116"/>
  <c r="A115"/>
  <c r="Y115"/>
  <c r="X115"/>
  <c r="W115"/>
  <c r="V115"/>
  <c r="U115"/>
  <c r="T115"/>
  <c r="S115"/>
  <c r="R115"/>
  <c r="Q115"/>
  <c r="P115"/>
  <c r="O115"/>
  <c r="N115"/>
  <c r="M115"/>
  <c r="L115"/>
  <c r="K115"/>
  <c r="J115"/>
  <c r="I115"/>
  <c r="H115"/>
  <c r="G115"/>
  <c r="F115"/>
  <c r="E115"/>
  <c r="D115"/>
  <c r="C115"/>
  <c r="B115"/>
  <c r="A114"/>
  <c r="Y114"/>
  <c r="X114"/>
  <c r="W114"/>
  <c r="V114"/>
  <c r="U114"/>
  <c r="T114"/>
  <c r="S114"/>
  <c r="R114"/>
  <c r="Q114"/>
  <c r="P114"/>
  <c r="O114"/>
  <c r="N114"/>
  <c r="M114"/>
  <c r="L114"/>
  <c r="K114"/>
  <c r="J114"/>
  <c r="I114"/>
  <c r="H114"/>
  <c r="G114"/>
  <c r="F114"/>
  <c r="E114"/>
  <c r="D114"/>
  <c r="C114"/>
  <c r="B114"/>
  <c r="A113"/>
  <c r="Y113"/>
  <c r="X113"/>
  <c r="W113"/>
  <c r="V113"/>
  <c r="U113"/>
  <c r="T113"/>
  <c r="S113"/>
  <c r="R113"/>
  <c r="Q113"/>
  <c r="P113"/>
  <c r="O113"/>
  <c r="N113"/>
  <c r="M113"/>
  <c r="L113"/>
  <c r="K113"/>
  <c r="J113"/>
  <c r="I113"/>
  <c r="H113"/>
  <c r="G113"/>
  <c r="F113"/>
  <c r="E113"/>
  <c r="D113"/>
  <c r="C113"/>
  <c r="B113"/>
  <c r="A112"/>
  <c r="Y112"/>
  <c r="X112"/>
  <c r="W112"/>
  <c r="V112"/>
  <c r="U112"/>
  <c r="T112"/>
  <c r="S112"/>
  <c r="R112"/>
  <c r="Q112"/>
  <c r="P112"/>
  <c r="O112"/>
  <c r="N112"/>
  <c r="M112"/>
  <c r="L112"/>
  <c r="K112"/>
  <c r="J112"/>
  <c r="I112"/>
  <c r="H112"/>
  <c r="G112"/>
  <c r="F112"/>
  <c r="E112"/>
  <c r="D112"/>
  <c r="C112"/>
  <c r="B112"/>
  <c r="A111"/>
  <c r="Y111"/>
  <c r="X111"/>
  <c r="W111"/>
  <c r="V111"/>
  <c r="U111"/>
  <c r="T111"/>
  <c r="S111"/>
  <c r="R111"/>
  <c r="Q111"/>
  <c r="P111"/>
  <c r="O111"/>
  <c r="N111"/>
  <c r="M111"/>
  <c r="L111"/>
  <c r="K111"/>
  <c r="J111"/>
  <c r="I111"/>
  <c r="H111"/>
  <c r="G111"/>
  <c r="F111"/>
  <c r="E111"/>
  <c r="D111"/>
  <c r="C111"/>
  <c r="B111"/>
  <c r="A110"/>
  <c r="Y110"/>
  <c r="X110"/>
  <c r="W110"/>
  <c r="V110"/>
  <c r="U110"/>
  <c r="T110"/>
  <c r="S110"/>
  <c r="R110"/>
  <c r="Q110"/>
  <c r="P110"/>
  <c r="O110"/>
  <c r="N110"/>
  <c r="M110"/>
  <c r="L110"/>
  <c r="K110"/>
  <c r="J110"/>
  <c r="I110"/>
  <c r="H110"/>
  <c r="G110"/>
  <c r="F110"/>
  <c r="E110"/>
  <c r="D110"/>
  <c r="C110"/>
  <c r="B110"/>
  <c r="A109"/>
  <c r="Y109"/>
  <c r="X109"/>
  <c r="W109"/>
  <c r="V109"/>
  <c r="U109"/>
  <c r="T109"/>
  <c r="S109"/>
  <c r="R109"/>
  <c r="Q109"/>
  <c r="P109"/>
  <c r="O109"/>
  <c r="N109"/>
  <c r="M109"/>
  <c r="L109"/>
  <c r="K109"/>
  <c r="J109"/>
  <c r="I109"/>
  <c r="H109"/>
  <c r="G109"/>
  <c r="F109"/>
  <c r="E109"/>
  <c r="D109"/>
  <c r="C109"/>
  <c r="B109"/>
  <c r="A108"/>
  <c r="Y108"/>
  <c r="X108"/>
  <c r="W108"/>
  <c r="V108"/>
  <c r="U108"/>
  <c r="T108"/>
  <c r="S108"/>
  <c r="R108"/>
  <c r="Q108"/>
  <c r="P108"/>
  <c r="O108"/>
  <c r="N108"/>
  <c r="M108"/>
  <c r="L108"/>
  <c r="K108"/>
  <c r="J108"/>
  <c r="I108"/>
  <c r="H108"/>
  <c r="G108"/>
  <c r="F108"/>
  <c r="E108"/>
  <c r="D108"/>
  <c r="C108"/>
  <c r="B108"/>
  <c r="A107"/>
  <c r="Y107"/>
  <c r="X107"/>
  <c r="W107"/>
  <c r="V107"/>
  <c r="U107"/>
  <c r="T107"/>
  <c r="S107"/>
  <c r="R107"/>
  <c r="Q107"/>
  <c r="P107"/>
  <c r="O107"/>
  <c r="N107"/>
  <c r="M107"/>
  <c r="L107"/>
  <c r="K107"/>
  <c r="J107"/>
  <c r="I107"/>
  <c r="H107"/>
  <c r="G107"/>
  <c r="F107"/>
  <c r="E107"/>
  <c r="D107"/>
  <c r="C107"/>
  <c r="B107"/>
  <c r="A106"/>
  <c r="Y106"/>
  <c r="X106"/>
  <c r="W106"/>
  <c r="V106"/>
  <c r="U106"/>
  <c r="T106"/>
  <c r="S106"/>
  <c r="R106"/>
  <c r="Q106"/>
  <c r="P106"/>
  <c r="O106"/>
  <c r="N106"/>
  <c r="M106"/>
  <c r="L106"/>
  <c r="K106"/>
  <c r="J106"/>
  <c r="I106"/>
  <c r="H106"/>
  <c r="G106"/>
  <c r="F106"/>
  <c r="E106"/>
  <c r="D106"/>
  <c r="C106"/>
  <c r="B106"/>
  <c r="A105"/>
  <c r="Y105"/>
  <c r="X105"/>
  <c r="W105"/>
  <c r="V105"/>
  <c r="U105"/>
  <c r="T105"/>
  <c r="S105"/>
  <c r="R105"/>
  <c r="Q105"/>
  <c r="P105"/>
  <c r="O105"/>
  <c r="N105"/>
  <c r="M105"/>
  <c r="L105"/>
  <c r="K105"/>
  <c r="J105"/>
  <c r="I105"/>
  <c r="H105"/>
  <c r="G105"/>
  <c r="F105"/>
  <c r="E105"/>
  <c r="D105"/>
  <c r="C105"/>
  <c r="B105"/>
  <c r="A104"/>
  <c r="Y104"/>
  <c r="X104"/>
  <c r="W104"/>
  <c r="V104"/>
  <c r="U104"/>
  <c r="T104"/>
  <c r="S104"/>
  <c r="R104"/>
  <c r="Q104"/>
  <c r="P104"/>
  <c r="O104"/>
  <c r="N104"/>
  <c r="M104"/>
  <c r="L104"/>
  <c r="K104"/>
  <c r="J104"/>
  <c r="I104"/>
  <c r="H104"/>
  <c r="G104"/>
  <c r="F104"/>
  <c r="E104"/>
  <c r="D104"/>
  <c r="C104"/>
  <c r="B104"/>
  <c r="A103"/>
  <c r="Y103"/>
  <c r="X103"/>
  <c r="W103"/>
  <c r="V103"/>
  <c r="U103"/>
  <c r="T103"/>
  <c r="S103"/>
  <c r="R103"/>
  <c r="Q103"/>
  <c r="P103"/>
  <c r="O103"/>
  <c r="N103"/>
  <c r="M103"/>
  <c r="L103"/>
  <c r="K103"/>
  <c r="J103"/>
  <c r="I103"/>
  <c r="H103"/>
  <c r="G103"/>
  <c r="F103"/>
  <c r="E103"/>
  <c r="D103"/>
  <c r="C103"/>
  <c r="B103"/>
  <c r="A102"/>
  <c r="Y102"/>
  <c r="X102"/>
  <c r="W102"/>
  <c r="V102"/>
  <c r="U102"/>
  <c r="T102"/>
  <c r="S102"/>
  <c r="R102"/>
  <c r="Q102"/>
  <c r="P102"/>
  <c r="O102"/>
  <c r="N102"/>
  <c r="M102"/>
  <c r="L102"/>
  <c r="K102"/>
  <c r="J102"/>
  <c r="I102"/>
  <c r="H102"/>
  <c r="G102"/>
  <c r="F102"/>
  <c r="E102"/>
  <c r="D102"/>
  <c r="C102"/>
  <c r="B102"/>
  <c r="A101"/>
  <c r="Y101"/>
  <c r="X101"/>
  <c r="W101"/>
  <c r="V101"/>
  <c r="U101"/>
  <c r="T101"/>
  <c r="S101"/>
  <c r="R101"/>
  <c r="Q101"/>
  <c r="P101"/>
  <c r="O101"/>
  <c r="N101"/>
  <c r="M101"/>
  <c r="L101"/>
  <c r="K101"/>
  <c r="J101"/>
  <c r="I101"/>
  <c r="H101"/>
  <c r="G101"/>
  <c r="F101"/>
  <c r="E101"/>
  <c r="D101"/>
  <c r="C101"/>
  <c r="B101"/>
  <c r="A100"/>
  <c r="Y100"/>
  <c r="X100"/>
  <c r="W100"/>
  <c r="V100"/>
  <c r="U100"/>
  <c r="T100"/>
  <c r="S100"/>
  <c r="R100"/>
  <c r="Q100"/>
  <c r="P100"/>
  <c r="O100"/>
  <c r="N100"/>
  <c r="M100"/>
  <c r="L100"/>
  <c r="K100"/>
  <c r="J100"/>
  <c r="I100"/>
  <c r="H100"/>
  <c r="G100"/>
  <c r="F100"/>
  <c r="E100"/>
  <c r="D100"/>
  <c r="C100"/>
  <c r="B100"/>
  <c r="A99"/>
  <c r="Y99"/>
  <c r="X99"/>
  <c r="W99"/>
  <c r="V99"/>
  <c r="U99"/>
  <c r="T99"/>
  <c r="S99"/>
  <c r="R99"/>
  <c r="Q99"/>
  <c r="P99"/>
  <c r="O99"/>
  <c r="N99"/>
  <c r="M99"/>
  <c r="L99"/>
  <c r="K99"/>
  <c r="J99"/>
  <c r="I99"/>
  <c r="H99"/>
  <c r="G99"/>
  <c r="F99"/>
  <c r="E99"/>
  <c r="D99"/>
  <c r="C99"/>
  <c r="B99"/>
  <c r="A98"/>
  <c r="Y98"/>
  <c r="X98"/>
  <c r="W98"/>
  <c r="V98"/>
  <c r="U98"/>
  <c r="T98"/>
  <c r="S98"/>
  <c r="R98"/>
  <c r="Q98"/>
  <c r="P98"/>
  <c r="O98"/>
  <c r="N98"/>
  <c r="M98"/>
  <c r="L98"/>
  <c r="K98"/>
  <c r="J98"/>
  <c r="I98"/>
  <c r="H98"/>
  <c r="G98"/>
  <c r="F98"/>
  <c r="E98"/>
  <c r="D98"/>
  <c r="C98"/>
  <c r="B98"/>
  <c r="A97"/>
  <c r="Y97"/>
  <c r="X97"/>
  <c r="W97"/>
  <c r="V97"/>
  <c r="U97"/>
  <c r="T97"/>
  <c r="S97"/>
  <c r="R97"/>
  <c r="Q97"/>
  <c r="P97"/>
  <c r="O97"/>
  <c r="N97"/>
  <c r="M97"/>
  <c r="L97"/>
  <c r="K97"/>
  <c r="J97"/>
  <c r="I97"/>
  <c r="H97"/>
  <c r="G97"/>
  <c r="F97"/>
  <c r="E97"/>
  <c r="D97"/>
  <c r="C97"/>
  <c r="B97"/>
  <c r="A96"/>
  <c r="Y96"/>
  <c r="X96"/>
  <c r="W96"/>
  <c r="V96"/>
  <c r="U96"/>
  <c r="T96"/>
  <c r="S96"/>
  <c r="R96"/>
  <c r="Q96"/>
  <c r="P96"/>
  <c r="O96"/>
  <c r="N96"/>
  <c r="M96"/>
  <c r="L96"/>
  <c r="K96"/>
  <c r="J96"/>
  <c r="I96"/>
  <c r="H96"/>
  <c r="G96"/>
  <c r="F96"/>
  <c r="E96"/>
  <c r="D96"/>
  <c r="C96"/>
  <c r="B96"/>
  <c r="A95"/>
  <c r="Y95"/>
  <c r="X95"/>
  <c r="W95"/>
  <c r="V95"/>
  <c r="U95"/>
  <c r="T95"/>
  <c r="S95"/>
  <c r="R95"/>
  <c r="Q95"/>
  <c r="P95"/>
  <c r="O95"/>
  <c r="N95"/>
  <c r="M95"/>
  <c r="L95"/>
  <c r="K95"/>
  <c r="J95"/>
  <c r="I95"/>
  <c r="H95"/>
  <c r="G95"/>
  <c r="F95"/>
  <c r="E95"/>
  <c r="D95"/>
  <c r="C95"/>
  <c r="B95"/>
  <c r="A94"/>
  <c r="Y94"/>
  <c r="X94"/>
  <c r="W94"/>
  <c r="V94"/>
  <c r="U94"/>
  <c r="T94"/>
  <c r="S94"/>
  <c r="R94"/>
  <c r="Q94"/>
  <c r="P94"/>
  <c r="O94"/>
  <c r="N94"/>
  <c r="M94"/>
  <c r="L94"/>
  <c r="K94"/>
  <c r="J94"/>
  <c r="I94"/>
  <c r="H94"/>
  <c r="G94"/>
  <c r="F94"/>
  <c r="E94"/>
  <c r="D94"/>
  <c r="C94"/>
  <c r="B94"/>
  <c r="A93"/>
  <c r="Y93"/>
  <c r="X93"/>
  <c r="W93"/>
  <c r="V93"/>
  <c r="U93"/>
  <c r="T93"/>
  <c r="S93"/>
  <c r="R93"/>
  <c r="Q93"/>
  <c r="P93"/>
  <c r="O93"/>
  <c r="N93"/>
  <c r="M93"/>
  <c r="L93"/>
  <c r="K93"/>
  <c r="J93"/>
  <c r="I93"/>
  <c r="H93"/>
  <c r="G93"/>
  <c r="F93"/>
  <c r="E93"/>
  <c r="D93"/>
  <c r="C93"/>
  <c r="B93"/>
  <c r="A92"/>
  <c r="Y92"/>
  <c r="X92"/>
  <c r="W92"/>
  <c r="V92"/>
  <c r="U92"/>
  <c r="T92"/>
  <c r="S92"/>
  <c r="R92"/>
  <c r="Q92"/>
  <c r="P92"/>
  <c r="O92"/>
  <c r="N92"/>
  <c r="M92"/>
  <c r="L92"/>
  <c r="K92"/>
  <c r="J92"/>
  <c r="I92"/>
  <c r="H92"/>
  <c r="G92"/>
  <c r="F92"/>
  <c r="E92"/>
  <c r="D92"/>
  <c r="C92"/>
  <c r="B92"/>
  <c r="A91"/>
  <c r="Y91"/>
  <c r="X91"/>
  <c r="W91"/>
  <c r="V91"/>
  <c r="U91"/>
  <c r="T91"/>
  <c r="S91"/>
  <c r="R91"/>
  <c r="Q91"/>
  <c r="P91"/>
  <c r="O91"/>
  <c r="N91"/>
  <c r="M91"/>
  <c r="L91"/>
  <c r="K91"/>
  <c r="J91"/>
  <c r="I91"/>
  <c r="H91"/>
  <c r="G91"/>
  <c r="F91"/>
  <c r="E91"/>
  <c r="D91"/>
  <c r="C91"/>
  <c r="B91"/>
  <c r="A90"/>
  <c r="Y90"/>
  <c r="X90"/>
  <c r="W90"/>
  <c r="V90"/>
  <c r="U90"/>
  <c r="T90"/>
  <c r="S90"/>
  <c r="R90"/>
  <c r="Q90"/>
  <c r="P90"/>
  <c r="O90"/>
  <c r="N90"/>
  <c r="M90"/>
  <c r="L90"/>
  <c r="K90"/>
  <c r="J90"/>
  <c r="I90"/>
  <c r="H90"/>
  <c r="G90"/>
  <c r="F90"/>
  <c r="E90"/>
  <c r="D90"/>
  <c r="C90"/>
  <c r="B90"/>
  <c r="A89"/>
  <c r="Y89"/>
  <c r="X89"/>
  <c r="W89"/>
  <c r="V89"/>
  <c r="U89"/>
  <c r="T89"/>
  <c r="S89"/>
  <c r="R89"/>
  <c r="Q89"/>
  <c r="P89"/>
  <c r="O89"/>
  <c r="N89"/>
  <c r="M89"/>
  <c r="L89"/>
  <c r="K89"/>
  <c r="J89"/>
  <c r="I89"/>
  <c r="H89"/>
  <c r="G89"/>
  <c r="F89"/>
  <c r="E89"/>
  <c r="D89"/>
  <c r="C89"/>
  <c r="B89"/>
  <c r="A88"/>
  <c r="Y88"/>
  <c r="X88"/>
  <c r="W88"/>
  <c r="V88"/>
  <c r="U88"/>
  <c r="T88"/>
  <c r="S88"/>
  <c r="R88"/>
  <c r="Q88"/>
  <c r="P88"/>
  <c r="O88"/>
  <c r="N88"/>
  <c r="M88"/>
  <c r="L88"/>
  <c r="K88"/>
  <c r="J88"/>
  <c r="I88"/>
  <c r="H88"/>
  <c r="G88"/>
  <c r="F88"/>
  <c r="E88"/>
  <c r="D88"/>
  <c r="C88"/>
  <c r="B88"/>
  <c r="A87"/>
  <c r="Y87"/>
  <c r="X87"/>
  <c r="W87"/>
  <c r="V87"/>
  <c r="U87"/>
  <c r="T87"/>
  <c r="S87"/>
  <c r="R87"/>
  <c r="Q87"/>
  <c r="P87"/>
  <c r="O87"/>
  <c r="N87"/>
  <c r="M87"/>
  <c r="L87"/>
  <c r="K87"/>
  <c r="J87"/>
  <c r="I87"/>
  <c r="H87"/>
  <c r="G87"/>
  <c r="F87"/>
  <c r="E87"/>
  <c r="D87"/>
  <c r="C87"/>
  <c r="B87"/>
  <c r="A86"/>
  <c r="Y86"/>
  <c r="X86"/>
  <c r="W86"/>
  <c r="V86"/>
  <c r="U86"/>
  <c r="T86"/>
  <c r="S86"/>
  <c r="R86"/>
  <c r="Q86"/>
  <c r="P86"/>
  <c r="O86"/>
  <c r="N86"/>
  <c r="M86"/>
  <c r="L86"/>
  <c r="K86"/>
  <c r="J86"/>
  <c r="I86"/>
  <c r="H86"/>
  <c r="G86"/>
  <c r="F86"/>
  <c r="E86"/>
  <c r="D86"/>
  <c r="C86"/>
  <c r="B86"/>
  <c r="A85"/>
  <c r="Y85"/>
  <c r="X85"/>
  <c r="W85"/>
  <c r="V85"/>
  <c r="U85"/>
  <c r="T85"/>
  <c r="S85"/>
  <c r="R85"/>
  <c r="Q85"/>
  <c r="P85"/>
  <c r="O85"/>
  <c r="N85"/>
  <c r="M85"/>
  <c r="L85"/>
  <c r="K85"/>
  <c r="J85"/>
  <c r="I85"/>
  <c r="H85"/>
  <c r="G85"/>
  <c r="F85"/>
  <c r="E85"/>
  <c r="D85"/>
  <c r="C85"/>
  <c r="B85"/>
  <c r="A84"/>
  <c r="Y84"/>
  <c r="X84"/>
  <c r="W84"/>
  <c r="V84"/>
  <c r="U84"/>
  <c r="T84"/>
  <c r="S84"/>
  <c r="R84"/>
  <c r="Q84"/>
  <c r="P84"/>
  <c r="O84"/>
  <c r="N84"/>
  <c r="M84"/>
  <c r="L84"/>
  <c r="K84"/>
  <c r="J84"/>
  <c r="I84"/>
  <c r="H84"/>
  <c r="G84"/>
  <c r="F84"/>
  <c r="E84"/>
  <c r="D84"/>
  <c r="C84"/>
  <c r="B84"/>
  <c r="A83"/>
  <c r="Y83"/>
  <c r="X83"/>
  <c r="W83"/>
  <c r="V83"/>
  <c r="U83"/>
  <c r="T83"/>
  <c r="S83"/>
  <c r="R83"/>
  <c r="Q83"/>
  <c r="P83"/>
  <c r="O83"/>
  <c r="N83"/>
  <c r="M83"/>
  <c r="L83"/>
  <c r="K83"/>
  <c r="J83"/>
  <c r="I83"/>
  <c r="H83"/>
  <c r="G83"/>
  <c r="F83"/>
  <c r="E83"/>
  <c r="D83"/>
  <c r="C83"/>
  <c r="B83"/>
  <c r="A82"/>
  <c r="Y82"/>
  <c r="X82"/>
  <c r="W82"/>
  <c r="V82"/>
  <c r="U82"/>
  <c r="T82"/>
  <c r="S82"/>
  <c r="R82"/>
  <c r="Q82"/>
  <c r="P82"/>
  <c r="O82"/>
  <c r="N82"/>
  <c r="M82"/>
  <c r="L82"/>
  <c r="K82"/>
  <c r="J82"/>
  <c r="I82"/>
  <c r="H82"/>
  <c r="G82"/>
  <c r="F82"/>
  <c r="E82"/>
  <c r="D82"/>
  <c r="C82"/>
  <c r="B82"/>
  <c r="A81"/>
  <c r="Y81"/>
  <c r="X81"/>
  <c r="W81"/>
  <c r="V81"/>
  <c r="U81"/>
  <c r="T81"/>
  <c r="S81"/>
  <c r="R81"/>
  <c r="Q81"/>
  <c r="P81"/>
  <c r="O81"/>
  <c r="N81"/>
  <c r="M81"/>
  <c r="L81"/>
  <c r="K81"/>
  <c r="J81"/>
  <c r="I81"/>
  <c r="H81"/>
  <c r="G81"/>
  <c r="F81"/>
  <c r="E81"/>
  <c r="D81"/>
  <c r="C81"/>
  <c r="B81"/>
  <c r="A80"/>
  <c r="Y80"/>
  <c r="X80"/>
  <c r="W80"/>
  <c r="V80"/>
  <c r="U80"/>
  <c r="T80"/>
  <c r="S80"/>
  <c r="R80"/>
  <c r="Q80"/>
  <c r="P80"/>
  <c r="O80"/>
  <c r="N80"/>
  <c r="M80"/>
  <c r="L80"/>
  <c r="K80"/>
  <c r="J80"/>
  <c r="I80"/>
  <c r="H80"/>
  <c r="G80"/>
  <c r="F80"/>
  <c r="E80"/>
  <c r="D80"/>
  <c r="C80"/>
  <c r="B80"/>
  <c r="A79"/>
  <c r="Y79"/>
  <c r="X79"/>
  <c r="W79"/>
  <c r="V79"/>
  <c r="U79"/>
  <c r="T79"/>
  <c r="S79"/>
  <c r="R79"/>
  <c r="Q79"/>
  <c r="P79"/>
  <c r="O79"/>
  <c r="N79"/>
  <c r="M79"/>
  <c r="L79"/>
  <c r="K79"/>
  <c r="J79"/>
  <c r="I79"/>
  <c r="H79"/>
  <c r="G79"/>
  <c r="F79"/>
  <c r="E79"/>
  <c r="D79"/>
  <c r="C79"/>
  <c r="B79"/>
  <c r="A78"/>
  <c r="Y78"/>
  <c r="X78"/>
  <c r="W78"/>
  <c r="V78"/>
  <c r="U78"/>
  <c r="T78"/>
  <c r="S78"/>
  <c r="R78"/>
  <c r="Q78"/>
  <c r="P78"/>
  <c r="O78"/>
  <c r="N78"/>
  <c r="M78"/>
  <c r="L78"/>
  <c r="K78"/>
  <c r="J78"/>
  <c r="I78"/>
  <c r="H78"/>
  <c r="G78"/>
  <c r="F78"/>
  <c r="E78"/>
  <c r="D78"/>
  <c r="C78"/>
  <c r="B78"/>
  <c r="A77"/>
  <c r="Y77"/>
  <c r="X77"/>
  <c r="W77"/>
  <c r="V77"/>
  <c r="U77"/>
  <c r="T77"/>
  <c r="S77"/>
  <c r="R77"/>
  <c r="Q77"/>
  <c r="P77"/>
  <c r="O77"/>
  <c r="N77"/>
  <c r="M77"/>
  <c r="L77"/>
  <c r="K77"/>
  <c r="J77"/>
  <c r="I77"/>
  <c r="H77"/>
  <c r="G77"/>
  <c r="F77"/>
  <c r="E77"/>
  <c r="D77"/>
  <c r="C77"/>
  <c r="B77"/>
  <c r="A76"/>
  <c r="Y76"/>
  <c r="X76"/>
  <c r="W76"/>
  <c r="V76"/>
  <c r="U76"/>
  <c r="T76"/>
  <c r="S76"/>
  <c r="R76"/>
  <c r="Q76"/>
  <c r="P76"/>
  <c r="O76"/>
  <c r="N76"/>
  <c r="M76"/>
  <c r="L76"/>
  <c r="K76"/>
  <c r="J76"/>
  <c r="I76"/>
  <c r="H76"/>
  <c r="G76"/>
  <c r="F76"/>
  <c r="E76"/>
  <c r="D76"/>
  <c r="C76"/>
  <c r="B76"/>
  <c r="A75"/>
  <c r="Y75"/>
  <c r="X75"/>
  <c r="W75"/>
  <c r="V75"/>
  <c r="U75"/>
  <c r="T75"/>
  <c r="S75"/>
  <c r="R75"/>
  <c r="Q75"/>
  <c r="P75"/>
  <c r="O75"/>
  <c r="N75"/>
  <c r="M75"/>
  <c r="L75"/>
  <c r="K75"/>
  <c r="J75"/>
  <c r="I75"/>
  <c r="H75"/>
  <c r="G75"/>
  <c r="F75"/>
  <c r="E75"/>
  <c r="D75"/>
  <c r="C75"/>
  <c r="B75"/>
  <c r="A74"/>
  <c r="Y74"/>
  <c r="X74"/>
  <c r="W74"/>
  <c r="V74"/>
  <c r="U74"/>
  <c r="T74"/>
  <c r="S74"/>
  <c r="R74"/>
  <c r="Q74"/>
  <c r="P74"/>
  <c r="O74"/>
  <c r="N74"/>
  <c r="M74"/>
  <c r="L74"/>
  <c r="K74"/>
  <c r="J74"/>
  <c r="I74"/>
  <c r="H74"/>
  <c r="G74"/>
  <c r="F74"/>
  <c r="E74"/>
  <c r="D74"/>
  <c r="C74"/>
  <c r="B74"/>
  <c r="A73"/>
  <c r="Y73"/>
  <c r="X73"/>
  <c r="W73"/>
  <c r="V73"/>
  <c r="U73"/>
  <c r="T73"/>
  <c r="S73"/>
  <c r="R73"/>
  <c r="Q73"/>
  <c r="P73"/>
  <c r="O73"/>
  <c r="N73"/>
  <c r="M73"/>
  <c r="L73"/>
  <c r="K73"/>
  <c r="J73"/>
  <c r="I73"/>
  <c r="H73"/>
  <c r="G73"/>
  <c r="F73"/>
  <c r="E73"/>
  <c r="D73"/>
  <c r="C73"/>
  <c r="B73"/>
  <c r="A72"/>
  <c r="Y72"/>
  <c r="X72"/>
  <c r="W72"/>
  <c r="V72"/>
  <c r="U72"/>
  <c r="T72"/>
  <c r="S72"/>
  <c r="R72"/>
  <c r="Q72"/>
  <c r="P72"/>
  <c r="O72"/>
  <c r="N72"/>
  <c r="M72"/>
  <c r="L72"/>
  <c r="K72"/>
  <c r="J72"/>
  <c r="I72"/>
  <c r="H72"/>
  <c r="G72"/>
  <c r="F72"/>
  <c r="E72"/>
  <c r="D72"/>
  <c r="C72"/>
  <c r="B72"/>
  <c r="A71"/>
  <c r="Y71"/>
  <c r="X71"/>
  <c r="W71"/>
  <c r="V71"/>
  <c r="U71"/>
  <c r="T71"/>
  <c r="S71"/>
  <c r="R71"/>
  <c r="Q71"/>
  <c r="P71"/>
  <c r="O71"/>
  <c r="N71"/>
  <c r="M71"/>
  <c r="L71"/>
  <c r="K71"/>
  <c r="J71"/>
  <c r="I71"/>
  <c r="H71"/>
  <c r="G71"/>
  <c r="F71"/>
  <c r="E71"/>
  <c r="D71"/>
  <c r="C71"/>
  <c r="B71"/>
  <c r="A70"/>
  <c r="Y70"/>
  <c r="X70"/>
  <c r="W70"/>
  <c r="V70"/>
  <c r="U70"/>
  <c r="T70"/>
  <c r="S70"/>
  <c r="R70"/>
  <c r="Q70"/>
  <c r="P70"/>
  <c r="O70"/>
  <c r="N70"/>
  <c r="M70"/>
  <c r="L70"/>
  <c r="K70"/>
  <c r="J70"/>
  <c r="I70"/>
  <c r="H70"/>
  <c r="G70"/>
  <c r="F70"/>
  <c r="E70"/>
  <c r="D70"/>
  <c r="C70"/>
  <c r="B70"/>
  <c r="A69"/>
  <c r="Y69"/>
  <c r="X69"/>
  <c r="W69"/>
  <c r="V69"/>
  <c r="U69"/>
  <c r="T69"/>
  <c r="S69"/>
  <c r="R69"/>
  <c r="Q69"/>
  <c r="P69"/>
  <c r="O69"/>
  <c r="N69"/>
  <c r="M69"/>
  <c r="L69"/>
  <c r="K69"/>
  <c r="J69"/>
  <c r="I69"/>
  <c r="H69"/>
  <c r="G69"/>
  <c r="F69"/>
  <c r="E69"/>
  <c r="D69"/>
  <c r="C69"/>
  <c r="B69"/>
  <c r="A68"/>
  <c r="Y68"/>
  <c r="X68"/>
  <c r="W68"/>
  <c r="V68"/>
  <c r="U68"/>
  <c r="T68"/>
  <c r="S68"/>
  <c r="R68"/>
  <c r="Q68"/>
  <c r="P68"/>
  <c r="O68"/>
  <c r="N68"/>
  <c r="M68"/>
  <c r="L68"/>
  <c r="K68"/>
  <c r="J68"/>
  <c r="I68"/>
  <c r="H68"/>
  <c r="G68"/>
  <c r="F68"/>
  <c r="E68"/>
  <c r="D68"/>
  <c r="C68"/>
  <c r="B68"/>
  <c r="A67"/>
  <c r="Y67"/>
  <c r="X67"/>
  <c r="W67"/>
  <c r="V67"/>
  <c r="U67"/>
  <c r="T67"/>
  <c r="S67"/>
  <c r="R67"/>
  <c r="Q67"/>
  <c r="P67"/>
  <c r="O67"/>
  <c r="N67"/>
  <c r="M67"/>
  <c r="L67"/>
  <c r="K67"/>
  <c r="J67"/>
  <c r="I67"/>
  <c r="H67"/>
  <c r="G67"/>
  <c r="F67"/>
  <c r="E67"/>
  <c r="D67"/>
  <c r="C67"/>
  <c r="B67"/>
  <c r="A66"/>
  <c r="Y66"/>
  <c r="X66"/>
  <c r="W66"/>
  <c r="V66"/>
  <c r="U66"/>
  <c r="T66"/>
  <c r="S66"/>
  <c r="R66"/>
  <c r="Q66"/>
  <c r="P66"/>
  <c r="O66"/>
  <c r="N66"/>
  <c r="M66"/>
  <c r="L66"/>
  <c r="K66"/>
  <c r="J66"/>
  <c r="I66"/>
  <c r="H66"/>
  <c r="G66"/>
  <c r="F66"/>
  <c r="E66"/>
  <c r="D66"/>
  <c r="C66"/>
  <c r="B66"/>
  <c r="A65"/>
  <c r="Y65"/>
  <c r="X65"/>
  <c r="W65"/>
  <c r="V65"/>
  <c r="U65"/>
  <c r="T65"/>
  <c r="S65"/>
  <c r="R65"/>
  <c r="Q65"/>
  <c r="P65"/>
  <c r="O65"/>
  <c r="N65"/>
  <c r="M65"/>
  <c r="L65"/>
  <c r="K65"/>
  <c r="J65"/>
  <c r="I65"/>
  <c r="H65"/>
  <c r="G65"/>
  <c r="F65"/>
  <c r="E65"/>
  <c r="D65"/>
  <c r="C65"/>
  <c r="B65"/>
  <c r="A64"/>
  <c r="Y64"/>
  <c r="X64"/>
  <c r="W64"/>
  <c r="V64"/>
  <c r="U64"/>
  <c r="T64"/>
  <c r="S64"/>
  <c r="R64"/>
  <c r="Q64"/>
  <c r="P64"/>
  <c r="O64"/>
  <c r="N64"/>
  <c r="M64"/>
  <c r="L64"/>
  <c r="K64"/>
  <c r="J64"/>
  <c r="I64"/>
  <c r="H64"/>
  <c r="G64"/>
  <c r="F64"/>
  <c r="E64"/>
  <c r="D64"/>
  <c r="C64"/>
  <c r="B64"/>
  <c r="A63"/>
  <c r="Y63"/>
  <c r="X63"/>
  <c r="W63"/>
  <c r="V63"/>
  <c r="U63"/>
  <c r="T63"/>
  <c r="S63"/>
  <c r="R63"/>
  <c r="Q63"/>
  <c r="P63"/>
  <c r="O63"/>
  <c r="N63"/>
  <c r="M63"/>
  <c r="L63"/>
  <c r="K63"/>
  <c r="J63"/>
  <c r="I63"/>
  <c r="H63"/>
  <c r="G63"/>
  <c r="F63"/>
  <c r="E63"/>
  <c r="D63"/>
  <c r="C63"/>
  <c r="B63"/>
  <c r="A62"/>
  <c r="Y62"/>
  <c r="X62"/>
  <c r="W62"/>
  <c r="V62"/>
  <c r="U62"/>
  <c r="T62"/>
  <c r="S62"/>
  <c r="R62"/>
  <c r="Q62"/>
  <c r="P62"/>
  <c r="O62"/>
  <c r="N62"/>
  <c r="M62"/>
  <c r="L62"/>
  <c r="K62"/>
  <c r="J62"/>
  <c r="I62"/>
  <c r="H62"/>
  <c r="G62"/>
  <c r="F62"/>
  <c r="E62"/>
  <c r="D62"/>
  <c r="C62"/>
  <c r="B62"/>
  <c r="A61"/>
  <c r="Y61"/>
  <c r="X61"/>
  <c r="W61"/>
  <c r="V61"/>
  <c r="U61"/>
  <c r="T61"/>
  <c r="S61"/>
  <c r="R61"/>
  <c r="Q61"/>
  <c r="P61"/>
  <c r="O61"/>
  <c r="N61"/>
  <c r="M61"/>
  <c r="L61"/>
  <c r="K61"/>
  <c r="J61"/>
  <c r="I61"/>
  <c r="H61"/>
  <c r="G61"/>
  <c r="F61"/>
  <c r="E61"/>
  <c r="D61"/>
  <c r="C61"/>
  <c r="B61"/>
  <c r="A60"/>
  <c r="Y60"/>
  <c r="X60"/>
  <c r="W60"/>
  <c r="V60"/>
  <c r="U60"/>
  <c r="T60"/>
  <c r="S60"/>
  <c r="R60"/>
  <c r="Q60"/>
  <c r="P60"/>
  <c r="O60"/>
  <c r="N60"/>
  <c r="M60"/>
  <c r="L60"/>
  <c r="K60"/>
  <c r="J60"/>
  <c r="I60"/>
  <c r="H60"/>
  <c r="G60"/>
  <c r="F60"/>
  <c r="E60"/>
  <c r="D60"/>
  <c r="C60"/>
  <c r="B60"/>
  <c r="A59"/>
  <c r="Y59"/>
  <c r="X59"/>
  <c r="W59"/>
  <c r="V59"/>
  <c r="U59"/>
  <c r="T59"/>
  <c r="S59"/>
  <c r="R59"/>
  <c r="Q59"/>
  <c r="P59"/>
  <c r="O59"/>
  <c r="N59"/>
  <c r="M59"/>
  <c r="L59"/>
  <c r="K59"/>
  <c r="J59"/>
  <c r="I59"/>
  <c r="H59"/>
  <c r="G59"/>
  <c r="F59"/>
  <c r="E59"/>
  <c r="D59"/>
  <c r="C59"/>
  <c r="B59"/>
  <c r="A58"/>
  <c r="Y58"/>
  <c r="X58"/>
  <c r="W58"/>
  <c r="V58"/>
  <c r="U58"/>
  <c r="T58"/>
  <c r="S58"/>
  <c r="R58"/>
  <c r="Q58"/>
  <c r="P58"/>
  <c r="O58"/>
  <c r="N58"/>
  <c r="M58"/>
  <c r="L58"/>
  <c r="K58"/>
  <c r="J58"/>
  <c r="I58"/>
  <c r="H58"/>
  <c r="G58"/>
  <c r="F58"/>
  <c r="E58"/>
  <c r="D58"/>
  <c r="C58"/>
  <c r="B58"/>
  <c r="A57"/>
  <c r="Y57"/>
  <c r="X57"/>
  <c r="W57"/>
  <c r="V57"/>
  <c r="U57"/>
  <c r="T57"/>
  <c r="S57"/>
  <c r="R57"/>
  <c r="Q57"/>
  <c r="P57"/>
  <c r="O57"/>
  <c r="N57"/>
  <c r="M57"/>
  <c r="L57"/>
  <c r="K57"/>
  <c r="J57"/>
  <c r="I57"/>
  <c r="H57"/>
  <c r="G57"/>
  <c r="F57"/>
  <c r="E57"/>
  <c r="D57"/>
  <c r="C57"/>
  <c r="B57"/>
  <c r="A56"/>
  <c r="Y56"/>
  <c r="X56"/>
  <c r="W56"/>
  <c r="V56"/>
  <c r="U56"/>
  <c r="T56"/>
  <c r="S56"/>
  <c r="R56"/>
  <c r="Q56"/>
  <c r="P56"/>
  <c r="O56"/>
  <c r="N56"/>
  <c r="M56"/>
  <c r="L56"/>
  <c r="K56"/>
  <c r="J56"/>
  <c r="I56"/>
  <c r="H56"/>
  <c r="G56"/>
  <c r="F56"/>
  <c r="E56"/>
  <c r="D56"/>
  <c r="C56"/>
  <c r="B56"/>
  <c r="A55"/>
  <c r="Y55"/>
  <c r="X55"/>
  <c r="W55"/>
  <c r="V55"/>
  <c r="U55"/>
  <c r="T55"/>
  <c r="S55"/>
  <c r="R55"/>
  <c r="Q55"/>
  <c r="P55"/>
  <c r="O55"/>
  <c r="N55"/>
  <c r="M55"/>
  <c r="L55"/>
  <c r="K55"/>
  <c r="J55"/>
  <c r="I55"/>
  <c r="H55"/>
  <c r="G55"/>
  <c r="F55"/>
  <c r="E55"/>
  <c r="D55"/>
  <c r="C55"/>
  <c r="B55"/>
  <c r="A54"/>
  <c r="Y54"/>
  <c r="X54"/>
  <c r="W54"/>
  <c r="V54"/>
  <c r="U54"/>
  <c r="T54"/>
  <c r="S54"/>
  <c r="R54"/>
  <c r="Q54"/>
  <c r="P54"/>
  <c r="O54"/>
  <c r="N54"/>
  <c r="M54"/>
  <c r="L54"/>
  <c r="K54"/>
  <c r="J54"/>
  <c r="I54"/>
  <c r="H54"/>
  <c r="G54"/>
  <c r="F54"/>
  <c r="E54"/>
  <c r="D54"/>
  <c r="C54"/>
  <c r="B54"/>
  <c r="A53"/>
  <c r="Y53"/>
  <c r="X53"/>
  <c r="W53"/>
  <c r="V53"/>
  <c r="U53"/>
  <c r="T53"/>
  <c r="S53"/>
  <c r="R53"/>
  <c r="Q53"/>
  <c r="P53"/>
  <c r="O53"/>
  <c r="N53"/>
  <c r="M53"/>
  <c r="L53"/>
  <c r="K53"/>
  <c r="J53"/>
  <c r="I53"/>
  <c r="H53"/>
  <c r="G53"/>
  <c r="F53"/>
  <c r="E53"/>
  <c r="D53"/>
  <c r="C53"/>
  <c r="B53"/>
  <c r="A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C52"/>
  <c r="B52"/>
  <c r="A51"/>
  <c r="Y51"/>
  <c r="X51"/>
  <c r="W51"/>
  <c r="V51"/>
  <c r="U51"/>
  <c r="T51"/>
  <c r="S51"/>
  <c r="R51"/>
  <c r="Q51"/>
  <c r="P51"/>
  <c r="O51"/>
  <c r="N51"/>
  <c r="M51"/>
  <c r="L51"/>
  <c r="K51"/>
  <c r="J51"/>
  <c r="I51"/>
  <c r="H51"/>
  <c r="G51"/>
  <c r="F51"/>
  <c r="E51"/>
  <c r="D51"/>
  <c r="C51"/>
  <c r="B51"/>
  <c r="A50"/>
  <c r="Y50"/>
  <c r="X50"/>
  <c r="W50"/>
  <c r="V50"/>
  <c r="U50"/>
  <c r="T50"/>
  <c r="S50"/>
  <c r="R50"/>
  <c r="Q50"/>
  <c r="P50"/>
  <c r="O50"/>
  <c r="N50"/>
  <c r="M50"/>
  <c r="L50"/>
  <c r="K50"/>
  <c r="J50"/>
  <c r="I50"/>
  <c r="H50"/>
  <c r="G50"/>
  <c r="F50"/>
  <c r="E50"/>
  <c r="D50"/>
  <c r="C50"/>
  <c r="B50"/>
  <c r="A49"/>
  <c r="Y49"/>
  <c r="X49"/>
  <c r="W49"/>
  <c r="V49"/>
  <c r="U49"/>
  <c r="T49"/>
  <c r="S49"/>
  <c r="R49"/>
  <c r="Q49"/>
  <c r="P49"/>
  <c r="O49"/>
  <c r="N49"/>
  <c r="M49"/>
  <c r="L49"/>
  <c r="K49"/>
  <c r="J49"/>
  <c r="I49"/>
  <c r="H49"/>
  <c r="G49"/>
  <c r="F49"/>
  <c r="E49"/>
  <c r="D49"/>
  <c r="C49"/>
  <c r="B49"/>
  <c r="A48"/>
  <c r="Y48"/>
  <c r="X48"/>
  <c r="W48"/>
  <c r="V48"/>
  <c r="U48"/>
  <c r="T48"/>
  <c r="S48"/>
  <c r="R48"/>
  <c r="Q48"/>
  <c r="P48"/>
  <c r="O48"/>
  <c r="N48"/>
  <c r="M48"/>
  <c r="L48"/>
  <c r="K48"/>
  <c r="J48"/>
  <c r="I48"/>
  <c r="H48"/>
  <c r="G48"/>
  <c r="F48"/>
  <c r="E48"/>
  <c r="D48"/>
  <c r="C48"/>
  <c r="B48"/>
  <c r="A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C47"/>
  <c r="B47"/>
  <c r="A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C46"/>
  <c r="B46"/>
  <c r="A45"/>
  <c r="Y45"/>
  <c r="X45"/>
  <c r="W45"/>
  <c r="V45"/>
  <c r="U45"/>
  <c r="T45"/>
  <c r="S45"/>
  <c r="R45"/>
  <c r="Q45"/>
  <c r="P45"/>
  <c r="O45"/>
  <c r="N45"/>
  <c r="M45"/>
  <c r="L45"/>
  <c r="K45"/>
  <c r="J45"/>
  <c r="I45"/>
  <c r="H45"/>
  <c r="G45"/>
  <c r="F45"/>
  <c r="E45"/>
  <c r="D45"/>
  <c r="C45"/>
  <c r="B45"/>
  <c r="A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D44"/>
  <c r="C44"/>
  <c r="B44"/>
  <c r="A43"/>
  <c r="Y43"/>
  <c r="X43"/>
  <c r="W43"/>
  <c r="V43"/>
  <c r="U43"/>
  <c r="T43"/>
  <c r="S43"/>
  <c r="R43"/>
  <c r="Q43"/>
  <c r="P43"/>
  <c r="O43"/>
  <c r="N43"/>
  <c r="M43"/>
  <c r="L43"/>
  <c r="K43"/>
  <c r="J43"/>
  <c r="I43"/>
  <c r="H43"/>
  <c r="G43"/>
  <c r="F43"/>
  <c r="E43"/>
  <c r="D43"/>
  <c r="C43"/>
  <c r="B43"/>
  <c r="A42"/>
  <c r="Y42"/>
  <c r="X42"/>
  <c r="W42"/>
  <c r="V42"/>
  <c r="U42"/>
  <c r="T42"/>
  <c r="S42"/>
  <c r="R42"/>
  <c r="Q42"/>
  <c r="P42"/>
  <c r="O42"/>
  <c r="N42"/>
  <c r="M42"/>
  <c r="L42"/>
  <c r="K42"/>
  <c r="J42"/>
  <c r="I42"/>
  <c r="H42"/>
  <c r="G42"/>
  <c r="F42"/>
  <c r="E42"/>
  <c r="D42"/>
  <c r="C42"/>
  <c r="B42"/>
  <c r="A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D41"/>
  <c r="C41"/>
  <c r="B41"/>
  <c r="A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G40"/>
  <c r="F40"/>
  <c r="E40"/>
  <c r="D40"/>
  <c r="C40"/>
  <c r="B40"/>
  <c r="A39"/>
  <c r="Y39"/>
  <c r="X39"/>
  <c r="W39"/>
  <c r="V39"/>
  <c r="U39"/>
  <c r="T39"/>
  <c r="S39"/>
  <c r="R39"/>
  <c r="Q39"/>
  <c r="P39"/>
  <c r="O39"/>
  <c r="N39"/>
  <c r="M39"/>
  <c r="L39"/>
  <c r="K39"/>
  <c r="J39"/>
  <c r="I39"/>
  <c r="H39"/>
  <c r="G39"/>
  <c r="F39"/>
  <c r="E39"/>
  <c r="D39"/>
  <c r="C39"/>
  <c r="B39"/>
  <c r="A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D38"/>
  <c r="C38"/>
  <c r="B38"/>
  <c r="A37"/>
  <c r="Y37"/>
  <c r="X37"/>
  <c r="W37"/>
  <c r="V37"/>
  <c r="U37"/>
  <c r="T37"/>
  <c r="S37"/>
  <c r="R37"/>
  <c r="Q37"/>
  <c r="P37"/>
  <c r="O37"/>
  <c r="N37"/>
  <c r="M37"/>
  <c r="L37"/>
  <c r="K37"/>
  <c r="J37"/>
  <c r="I37"/>
  <c r="H37"/>
  <c r="G37"/>
  <c r="F37"/>
  <c r="E37"/>
  <c r="D37"/>
  <c r="C37"/>
  <c r="B37"/>
  <c r="A36"/>
  <c r="Y36"/>
  <c r="X36"/>
  <c r="W36"/>
  <c r="V36"/>
  <c r="U36"/>
  <c r="T36"/>
  <c r="S36"/>
  <c r="R36"/>
  <c r="Q36"/>
  <c r="P36"/>
  <c r="O36"/>
  <c r="N36"/>
  <c r="M36"/>
  <c r="L36"/>
  <c r="K36"/>
  <c r="J36"/>
  <c r="I36"/>
  <c r="H36"/>
  <c r="G36"/>
  <c r="F36"/>
  <c r="E36"/>
  <c r="D36"/>
  <c r="C36"/>
  <c r="B36"/>
  <c r="A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C35"/>
  <c r="B35"/>
  <c r="A34"/>
  <c r="Y34"/>
  <c r="X34"/>
  <c r="W34"/>
  <c r="V34"/>
  <c r="U34"/>
  <c r="T34"/>
  <c r="S34"/>
  <c r="R34"/>
  <c r="Q34"/>
  <c r="P34"/>
  <c r="O34"/>
  <c r="N34"/>
  <c r="M34"/>
  <c r="L34"/>
  <c r="K34"/>
  <c r="J34"/>
  <c r="I34"/>
  <c r="H34"/>
  <c r="G34"/>
  <c r="F34"/>
  <c r="E34"/>
  <c r="D34"/>
  <c r="C34"/>
  <c r="B34"/>
  <c r="A33"/>
  <c r="Y33"/>
  <c r="X33"/>
  <c r="W33"/>
  <c r="V33"/>
  <c r="U33"/>
  <c r="T33"/>
  <c r="S33"/>
  <c r="R33"/>
  <c r="Q33"/>
  <c r="P33"/>
  <c r="O33"/>
  <c r="N33"/>
  <c r="M33"/>
  <c r="L33"/>
  <c r="K33"/>
  <c r="J33"/>
  <c r="I33"/>
  <c r="H33"/>
  <c r="G33"/>
  <c r="F33"/>
  <c r="E33"/>
  <c r="D33"/>
  <c r="C33"/>
  <c r="B33"/>
  <c r="A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C32"/>
  <c r="B32"/>
  <c r="A31"/>
  <c r="Y31"/>
  <c r="X31"/>
  <c r="W31"/>
  <c r="V31"/>
  <c r="U31"/>
  <c r="T31"/>
  <c r="S31"/>
  <c r="R31"/>
  <c r="Q31"/>
  <c r="P31"/>
  <c r="O31"/>
  <c r="N31"/>
  <c r="M31"/>
  <c r="L31"/>
  <c r="K31"/>
  <c r="J31"/>
  <c r="I31"/>
  <c r="H31"/>
  <c r="G31"/>
  <c r="F31"/>
  <c r="E31"/>
  <c r="D31"/>
  <c r="C31"/>
  <c r="B31"/>
  <c r="A30"/>
  <c r="Y30"/>
  <c r="X30"/>
  <c r="W30"/>
  <c r="V30"/>
  <c r="U30"/>
  <c r="T30"/>
  <c r="S30"/>
  <c r="R30"/>
  <c r="Q30"/>
  <c r="P30"/>
  <c r="O30"/>
  <c r="N30"/>
  <c r="M30"/>
  <c r="L30"/>
  <c r="K30"/>
  <c r="J30"/>
  <c r="I30"/>
  <c r="H30"/>
  <c r="G30"/>
  <c r="F30"/>
  <c r="E30"/>
  <c r="D30"/>
  <c r="C30"/>
  <c r="B30"/>
  <c r="A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C29"/>
  <c r="B29"/>
  <c r="A28"/>
  <c r="Y28"/>
  <c r="X28"/>
  <c r="W28"/>
  <c r="V28"/>
  <c r="U28"/>
  <c r="T28"/>
  <c r="S28"/>
  <c r="R28"/>
  <c r="Q28"/>
  <c r="P28"/>
  <c r="O28"/>
  <c r="N28"/>
  <c r="M28"/>
  <c r="L28"/>
  <c r="K28"/>
  <c r="J28"/>
  <c r="I28"/>
  <c r="H28"/>
  <c r="G28"/>
  <c r="F28"/>
  <c r="E28"/>
  <c r="D28"/>
  <c r="C28"/>
  <c r="B28"/>
  <c r="A27"/>
  <c r="Y27"/>
  <c r="X27"/>
  <c r="W27"/>
  <c r="V27"/>
  <c r="U27"/>
  <c r="T27"/>
  <c r="S27"/>
  <c r="R27"/>
  <c r="Q27"/>
  <c r="P27"/>
  <c r="O27"/>
  <c r="N27"/>
  <c r="M27"/>
  <c r="L27"/>
  <c r="K27"/>
  <c r="J27"/>
  <c r="I27"/>
  <c r="H27"/>
  <c r="G27"/>
  <c r="F27"/>
  <c r="E27"/>
  <c r="D27"/>
  <c r="C27"/>
  <c r="B27"/>
  <c r="A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5"/>
  <c r="Y25"/>
  <c r="X25"/>
  <c r="W25"/>
  <c r="V25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4"/>
  <c r="Y24"/>
  <c r="X24"/>
  <c r="W24"/>
  <c r="V24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2"/>
  <c r="Y22"/>
  <c r="X22"/>
  <c r="W22"/>
  <c r="V22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1"/>
  <c r="Y21"/>
  <c r="X21"/>
  <c r="W21"/>
  <c r="V21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19"/>
  <c r="Y19"/>
  <c r="X19"/>
  <c r="W19"/>
  <c r="V19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8"/>
  <c r="Y18"/>
  <c r="X18"/>
  <c r="W18"/>
  <c r="V18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7"/>
  <c r="Y17"/>
  <c r="X17"/>
  <c r="W17"/>
  <c r="V17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6"/>
  <c r="Y16"/>
  <c r="X16"/>
  <c r="W16"/>
  <c r="V16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5"/>
  <c r="Y15"/>
  <c r="X15"/>
  <c r="W15"/>
  <c r="V15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3"/>
  <c r="Y13"/>
  <c r="X13"/>
  <c r="W13"/>
  <c r="V13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2"/>
  <c r="Y12"/>
  <c r="X12"/>
  <c r="W12"/>
  <c r="V12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1"/>
  <c r="Y11"/>
  <c r="X11"/>
  <c r="W11"/>
  <c r="V11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0"/>
  <c r="Y10"/>
  <c r="X10"/>
  <c r="W10"/>
  <c r="V10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9"/>
  <c r="Y9"/>
  <c r="X9"/>
  <c r="W9"/>
  <c r="V9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8"/>
  <c r="Y8"/>
  <c r="X8"/>
  <c r="W8"/>
  <c r="V8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7"/>
  <c r="Y7"/>
  <c r="X7"/>
  <c r="W7"/>
  <c r="V7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5"/>
  <c r="Y5"/>
  <c r="X5"/>
  <c r="W5"/>
  <c r="V5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4"/>
  <c r="Y4"/>
  <c r="X4"/>
  <c r="W4"/>
  <c r="V4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3"/>
  <c r="Y3"/>
  <c r="X3"/>
  <c r="W3"/>
  <c r="V3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C1592" i="6"/>
  <c r="AA1592"/>
  <c r="AC1592" s="1"/>
  <c r="Z1592"/>
  <c r="C1591"/>
  <c r="AA1591"/>
  <c r="Z1591"/>
  <c r="C1590"/>
  <c r="AA1590"/>
  <c r="AC1590" s="1"/>
  <c r="Z1590"/>
  <c r="C1589"/>
  <c r="AA1589"/>
  <c r="AC1589" s="1"/>
  <c r="Z1589"/>
  <c r="C1588"/>
  <c r="AA1588"/>
  <c r="AC1588" s="1"/>
  <c r="Z1588"/>
  <c r="C1587"/>
  <c r="AA1587"/>
  <c r="Z1587"/>
  <c r="C1586"/>
  <c r="AA1586"/>
  <c r="Z1586"/>
  <c r="C1585"/>
  <c r="AA1585"/>
  <c r="AC1585" s="1"/>
  <c r="Z1585"/>
  <c r="C1584"/>
  <c r="AA1584"/>
  <c r="AC1584" s="1"/>
  <c r="Z1584"/>
  <c r="C1583"/>
  <c r="AA1583"/>
  <c r="AC1583" s="1"/>
  <c r="Z1583"/>
  <c r="C1582"/>
  <c r="AA1582"/>
  <c r="Z1582"/>
  <c r="C1580"/>
  <c r="AA1580"/>
  <c r="AC1580" s="1"/>
  <c r="Z1580"/>
  <c r="C1579"/>
  <c r="AA1579"/>
  <c r="Z1579"/>
  <c r="C1577"/>
  <c r="AA1577"/>
  <c r="AC1577" s="1"/>
  <c r="Z1577"/>
  <c r="C1575"/>
  <c r="AA1575"/>
  <c r="Z1575"/>
  <c r="C1573"/>
  <c r="AA1573"/>
  <c r="B1573" s="1"/>
  <c r="Z1573"/>
  <c r="C1572"/>
  <c r="AA1572"/>
  <c r="AC1572" s="1"/>
  <c r="Z1572"/>
  <c r="C1571"/>
  <c r="AA1571"/>
  <c r="AC1571" s="1"/>
  <c r="Z1571"/>
  <c r="C1570"/>
  <c r="AA1570"/>
  <c r="AC1570" s="1"/>
  <c r="Z1570"/>
  <c r="C1569"/>
  <c r="AA1569"/>
  <c r="Z1569"/>
  <c r="C1568"/>
  <c r="AA1568"/>
  <c r="AC1568" s="1"/>
  <c r="Z1568"/>
  <c r="C1567"/>
  <c r="AA1567"/>
  <c r="AC1567" s="1"/>
  <c r="Z1567"/>
  <c r="C1566"/>
  <c r="AA1566"/>
  <c r="Z1566"/>
  <c r="C1565"/>
  <c r="AA1565"/>
  <c r="Z1565"/>
  <c r="C1564"/>
  <c r="AA1564"/>
  <c r="AC1564" s="1"/>
  <c r="Z1564"/>
  <c r="C1563"/>
  <c r="AA1563"/>
  <c r="AC1563" s="1"/>
  <c r="Z1563"/>
  <c r="C1562"/>
  <c r="AA1562"/>
  <c r="Z1562"/>
  <c r="C1561"/>
  <c r="AA1561"/>
  <c r="AC1561" s="1"/>
  <c r="Z1561"/>
  <c r="C1560"/>
  <c r="AA1560"/>
  <c r="B1560" s="1"/>
  <c r="Z1560"/>
  <c r="C1559"/>
  <c r="AA1559"/>
  <c r="B1559" s="1"/>
  <c r="Z1559"/>
  <c r="C1558"/>
  <c r="AA1558"/>
  <c r="AC1558" s="1"/>
  <c r="Z1558"/>
  <c r="C1556"/>
  <c r="AA1556"/>
  <c r="AC1556" s="1"/>
  <c r="Z1556"/>
  <c r="C1555"/>
  <c r="AA1555"/>
  <c r="AC1555" s="1"/>
  <c r="Z1555"/>
  <c r="C1554"/>
  <c r="AA1554"/>
  <c r="AC1554" s="1"/>
  <c r="Z1554"/>
  <c r="C1553"/>
  <c r="AA1553"/>
  <c r="AC1553" s="1"/>
  <c r="Z1553"/>
  <c r="C1552"/>
  <c r="AA1552"/>
  <c r="AC1552" s="1"/>
  <c r="Z1552"/>
  <c r="C1551"/>
  <c r="AA1551"/>
  <c r="AC1551" s="1"/>
  <c r="Z1551"/>
  <c r="C1550"/>
  <c r="AA1550"/>
  <c r="AC1550" s="1"/>
  <c r="Z1550"/>
  <c r="C1549"/>
  <c r="AA1549"/>
  <c r="AC1549" s="1"/>
  <c r="Z1549"/>
  <c r="C1548"/>
  <c r="AA1548"/>
  <c r="AC1548" s="1"/>
  <c r="Z1548"/>
  <c r="C1547"/>
  <c r="AA1547"/>
  <c r="AC1547" s="1"/>
  <c r="Z1547"/>
  <c r="C1546"/>
  <c r="AA1546"/>
  <c r="AC1546" s="1"/>
  <c r="Z1546"/>
  <c r="C1545"/>
  <c r="AA1545"/>
  <c r="AC1545" s="1"/>
  <c r="Z1545"/>
  <c r="C1544"/>
  <c r="AA1544"/>
  <c r="AC1544" s="1"/>
  <c r="Z1544"/>
  <c r="C1543"/>
  <c r="AA1543"/>
  <c r="AC1543" s="1"/>
  <c r="Z1543"/>
  <c r="C1542"/>
  <c r="AA1542"/>
  <c r="AC1542" s="1"/>
  <c r="Z1542"/>
  <c r="C1541"/>
  <c r="AA1541"/>
  <c r="AC1541" s="1"/>
  <c r="Z1541"/>
  <c r="C1540"/>
  <c r="AA1540"/>
  <c r="AC1540" s="1"/>
  <c r="Z1540"/>
  <c r="C1539"/>
  <c r="AA1539"/>
  <c r="AC1539" s="1"/>
  <c r="Z1539"/>
  <c r="C1538"/>
  <c r="AA1538"/>
  <c r="AC1538" s="1"/>
  <c r="Z1538"/>
  <c r="C1537"/>
  <c r="AA1537"/>
  <c r="AC1537" s="1"/>
  <c r="Z1537"/>
  <c r="C1536"/>
  <c r="AA1536"/>
  <c r="AC1536" s="1"/>
  <c r="Z1536"/>
  <c r="C1535"/>
  <c r="AA1535"/>
  <c r="AC1535" s="1"/>
  <c r="Z1535"/>
  <c r="C1534"/>
  <c r="AA1534"/>
  <c r="AC1534" s="1"/>
  <c r="Z1534"/>
  <c r="C1533"/>
  <c r="AA1533"/>
  <c r="AC1533" s="1"/>
  <c r="Z1533"/>
  <c r="C1532"/>
  <c r="AA1532"/>
  <c r="AC1532" s="1"/>
  <c r="Z1532"/>
  <c r="C1531"/>
  <c r="AA1531"/>
  <c r="AC1531" s="1"/>
  <c r="Z1531"/>
  <c r="C1530"/>
  <c r="AA1530"/>
  <c r="AC1530" s="1"/>
  <c r="Z1530"/>
  <c r="C1529"/>
  <c r="AA1529"/>
  <c r="AC1529" s="1"/>
  <c r="Z1529"/>
  <c r="C1528"/>
  <c r="AA1528"/>
  <c r="AC1528" s="1"/>
  <c r="Z1528"/>
  <c r="C1527"/>
  <c r="AA1527"/>
  <c r="AC1527" s="1"/>
  <c r="Z1527"/>
  <c r="C1526"/>
  <c r="AA1526"/>
  <c r="AC1526" s="1"/>
  <c r="Z1526"/>
  <c r="C1525"/>
  <c r="AA1525"/>
  <c r="AC1525" s="1"/>
  <c r="Z1525"/>
  <c r="C1524"/>
  <c r="AA1524"/>
  <c r="AC1524" s="1"/>
  <c r="Z1524"/>
  <c r="C1523"/>
  <c r="AA1523"/>
  <c r="AC1523" s="1"/>
  <c r="Z1523"/>
  <c r="C1522"/>
  <c r="AA1522"/>
  <c r="AC1522" s="1"/>
  <c r="Z1522"/>
  <c r="C1521"/>
  <c r="AA1521"/>
  <c r="AC1521" s="1"/>
  <c r="Z1521"/>
  <c r="C1520"/>
  <c r="AA1520"/>
  <c r="AC1520" s="1"/>
  <c r="Z1520"/>
  <c r="C1519"/>
  <c r="AA1519"/>
  <c r="AC1519" s="1"/>
  <c r="Z1519"/>
  <c r="C1518"/>
  <c r="AA1518"/>
  <c r="AC1518" s="1"/>
  <c r="Z1518"/>
  <c r="C1517"/>
  <c r="AA1517"/>
  <c r="AC1517" s="1"/>
  <c r="Z1517"/>
  <c r="C1516"/>
  <c r="AA1516"/>
  <c r="AC1516" s="1"/>
  <c r="Z1516"/>
  <c r="C1515"/>
  <c r="AA1515"/>
  <c r="AC1515" s="1"/>
  <c r="Z1515"/>
  <c r="C1514"/>
  <c r="AA1514"/>
  <c r="AC1514" s="1"/>
  <c r="Z1514"/>
  <c r="C1513"/>
  <c r="AA1513"/>
  <c r="AC1513" s="1"/>
  <c r="Z1513"/>
  <c r="C1512"/>
  <c r="AA1512"/>
  <c r="AC1512" s="1"/>
  <c r="Z1512"/>
  <c r="C1511"/>
  <c r="AA1511"/>
  <c r="AC1511" s="1"/>
  <c r="Z1511"/>
  <c r="C1510"/>
  <c r="AA1510"/>
  <c r="AC1510" s="1"/>
  <c r="Z1510"/>
  <c r="C1509"/>
  <c r="AA1509"/>
  <c r="Z1509"/>
  <c r="C1508"/>
  <c r="AA1508"/>
  <c r="AC1508" s="1"/>
  <c r="Z1508"/>
  <c r="C1507"/>
  <c r="AA1507"/>
  <c r="AC1507" s="1"/>
  <c r="Z1507"/>
  <c r="C1506"/>
  <c r="AA1506"/>
  <c r="AC1506" s="1"/>
  <c r="Z1506"/>
  <c r="C1505"/>
  <c r="AA1505"/>
  <c r="AC1505" s="1"/>
  <c r="Z1505"/>
  <c r="C1504"/>
  <c r="AA1504"/>
  <c r="AC1504" s="1"/>
  <c r="Z1504"/>
  <c r="C1503"/>
  <c r="AA1503"/>
  <c r="AC1503" s="1"/>
  <c r="Z1503"/>
  <c r="C1502"/>
  <c r="AA1502"/>
  <c r="AC1502" s="1"/>
  <c r="Z1502"/>
  <c r="C1501"/>
  <c r="AA1501"/>
  <c r="AC1501" s="1"/>
  <c r="Z1501"/>
  <c r="C1500"/>
  <c r="AA1500"/>
  <c r="AC1500" s="1"/>
  <c r="Z1500"/>
  <c r="C1499"/>
  <c r="AA1499"/>
  <c r="AC1499" s="1"/>
  <c r="Z1499"/>
  <c r="C1498"/>
  <c r="AA1498"/>
  <c r="AC1498" s="1"/>
  <c r="Z1498"/>
  <c r="C1497"/>
  <c r="AA1497"/>
  <c r="AC1497" s="1"/>
  <c r="Z1497"/>
  <c r="C1496"/>
  <c r="AA1496"/>
  <c r="AC1496" s="1"/>
  <c r="Z1496"/>
  <c r="C1495"/>
  <c r="AA1495"/>
  <c r="AC1495" s="1"/>
  <c r="Z1495"/>
  <c r="C1494"/>
  <c r="AA1494"/>
  <c r="AC1494" s="1"/>
  <c r="Z1494"/>
  <c r="C1493"/>
  <c r="AA1493"/>
  <c r="AC1493" s="1"/>
  <c r="Z1493"/>
  <c r="C1492"/>
  <c r="AA1492"/>
  <c r="AC1492" s="1"/>
  <c r="Z1492"/>
  <c r="C1491"/>
  <c r="AA1491"/>
  <c r="AC1491" s="1"/>
  <c r="Z1491"/>
  <c r="C1490"/>
  <c r="AA1490"/>
  <c r="AC1490" s="1"/>
  <c r="Z1490"/>
  <c r="C1489"/>
  <c r="AA1489"/>
  <c r="AC1489" s="1"/>
  <c r="Z1489"/>
  <c r="C1488"/>
  <c r="AA1488"/>
  <c r="AC1488" s="1"/>
  <c r="Z1488"/>
  <c r="C1487"/>
  <c r="AA1487"/>
  <c r="AC1487" s="1"/>
  <c r="Z1487"/>
  <c r="C1486"/>
  <c r="AA1486"/>
  <c r="AC1486" s="1"/>
  <c r="Z1486"/>
  <c r="C1485"/>
  <c r="AA1485"/>
  <c r="AC1485" s="1"/>
  <c r="Z1485"/>
  <c r="C1484"/>
  <c r="AA1484"/>
  <c r="AC1484" s="1"/>
  <c r="Z1484"/>
  <c r="C1483"/>
  <c r="AA1483"/>
  <c r="AC1483" s="1"/>
  <c r="Z1483"/>
  <c r="C1482"/>
  <c r="AA1482"/>
  <c r="AC1482" s="1"/>
  <c r="Z1482"/>
  <c r="C1481"/>
  <c r="AA1481"/>
  <c r="AC1481" s="1"/>
  <c r="Z1481"/>
  <c r="C1480"/>
  <c r="AA1480"/>
  <c r="AC1480" s="1"/>
  <c r="Z1480"/>
  <c r="C1479"/>
  <c r="AA1479"/>
  <c r="AC1479" s="1"/>
  <c r="Z1479"/>
  <c r="C1478"/>
  <c r="AA1478"/>
  <c r="AC1478" s="1"/>
  <c r="Z1478"/>
  <c r="C1477"/>
  <c r="AA1477"/>
  <c r="AC1477" s="1"/>
  <c r="Z1477"/>
  <c r="C1476"/>
  <c r="AA1476"/>
  <c r="AC1476" s="1"/>
  <c r="Z1476"/>
  <c r="C1475"/>
  <c r="AA1475"/>
  <c r="AC1475" s="1"/>
  <c r="Z1475"/>
  <c r="C1474"/>
  <c r="AA1474"/>
  <c r="AC1474" s="1"/>
  <c r="Z1474"/>
  <c r="C1473"/>
  <c r="AA1473"/>
  <c r="AC1473" s="1"/>
  <c r="Z1473"/>
  <c r="C1472"/>
  <c r="AA1472"/>
  <c r="AC1472" s="1"/>
  <c r="Z1472"/>
  <c r="C1471"/>
  <c r="AA1471"/>
  <c r="AC1471" s="1"/>
  <c r="Z1471"/>
  <c r="C1470"/>
  <c r="AA1470"/>
  <c r="AC1470" s="1"/>
  <c r="Z1470"/>
  <c r="C1469"/>
  <c r="AA1469"/>
  <c r="AC1469" s="1"/>
  <c r="Z1469"/>
  <c r="C1468"/>
  <c r="AA1468"/>
  <c r="AC1468" s="1"/>
  <c r="Z1468"/>
  <c r="C1467"/>
  <c r="AA1467"/>
  <c r="AC1467" s="1"/>
  <c r="Z1467"/>
  <c r="C1466"/>
  <c r="AA1466"/>
  <c r="AC1466" s="1"/>
  <c r="Z1466"/>
  <c r="C1465"/>
  <c r="AA1465"/>
  <c r="AC1465" s="1"/>
  <c r="Z1465"/>
  <c r="C1464"/>
  <c r="AA1464"/>
  <c r="AC1464" s="1"/>
  <c r="Z1464"/>
  <c r="C1463"/>
  <c r="AA1463"/>
  <c r="AC1463" s="1"/>
  <c r="Z1463"/>
  <c r="C1462"/>
  <c r="AA1462"/>
  <c r="AC1462" s="1"/>
  <c r="Z1462"/>
  <c r="C1461"/>
  <c r="AA1461"/>
  <c r="AC1461" s="1"/>
  <c r="Z1461"/>
  <c r="C1460"/>
  <c r="AA1460"/>
  <c r="AC1460" s="1"/>
  <c r="Z1460"/>
  <c r="C1459"/>
  <c r="AA1459"/>
  <c r="AC1459" s="1"/>
  <c r="Z1459"/>
  <c r="C1458"/>
  <c r="AA1458"/>
  <c r="AC1458" s="1"/>
  <c r="Z1458"/>
  <c r="C1457"/>
  <c r="AA1457"/>
  <c r="AC1457" s="1"/>
  <c r="Z1457"/>
  <c r="C1456"/>
  <c r="AA1456"/>
  <c r="AC1456" s="1"/>
  <c r="Z1456"/>
  <c r="C1455"/>
  <c r="AA1455"/>
  <c r="AC1455" s="1"/>
  <c r="Z1455"/>
  <c r="C1454"/>
  <c r="AA1454"/>
  <c r="AC1454" s="1"/>
  <c r="Z1454"/>
  <c r="C1453"/>
  <c r="AA1453"/>
  <c r="AC1453" s="1"/>
  <c r="Z1453"/>
  <c r="C1452"/>
  <c r="AA1452"/>
  <c r="AC1452" s="1"/>
  <c r="Z1452"/>
  <c r="C1451"/>
  <c r="AA1451"/>
  <c r="AC1451" s="1"/>
  <c r="Z1451"/>
  <c r="C1450"/>
  <c r="AA1450"/>
  <c r="AC1450" s="1"/>
  <c r="Z1450"/>
  <c r="C1449"/>
  <c r="AA1449"/>
  <c r="AC1449" s="1"/>
  <c r="Z1449"/>
  <c r="C1448"/>
  <c r="AA1448"/>
  <c r="AC1448" s="1"/>
  <c r="Z1448"/>
  <c r="C1447"/>
  <c r="AA1447"/>
  <c r="AC1447" s="1"/>
  <c r="Z1447"/>
  <c r="C1446"/>
  <c r="AA1446"/>
  <c r="AC1446" s="1"/>
  <c r="Z1446"/>
  <c r="C1445"/>
  <c r="AA1445"/>
  <c r="AC1445" s="1"/>
  <c r="Z1445"/>
  <c r="C1444"/>
  <c r="AA1444"/>
  <c r="AC1444" s="1"/>
  <c r="Z1444"/>
  <c r="C1443"/>
  <c r="Z1443"/>
  <c r="AA1443"/>
  <c r="AC1443" s="1"/>
  <c r="C1442"/>
  <c r="AA1442"/>
  <c r="AC1442" s="1"/>
  <c r="Z1442"/>
  <c r="C1441"/>
  <c r="AA1441"/>
  <c r="AC1441" s="1"/>
  <c r="Z1441"/>
  <c r="C1440"/>
  <c r="AA1440"/>
  <c r="AC1440" s="1"/>
  <c r="Z1440"/>
  <c r="C1439"/>
  <c r="Z1439"/>
  <c r="AA1439"/>
  <c r="AC1439" s="1"/>
  <c r="C1438"/>
  <c r="Z1438"/>
  <c r="AA1438"/>
  <c r="AC1438" s="1"/>
  <c r="C1437"/>
  <c r="Z1437"/>
  <c r="AA1437"/>
  <c r="AC1437" s="1"/>
  <c r="C1436"/>
  <c r="Z1436"/>
  <c r="AA1436"/>
  <c r="AC1436" s="1"/>
  <c r="C1435"/>
  <c r="Z1435"/>
  <c r="AA1435"/>
  <c r="AC1435" s="1"/>
  <c r="C1434"/>
  <c r="AA1434"/>
  <c r="AC1434" s="1"/>
  <c r="Z1434"/>
  <c r="AA1433"/>
  <c r="AC1433" s="1"/>
  <c r="Z1433"/>
  <c r="C1432"/>
  <c r="AA1432"/>
  <c r="AC1432" s="1"/>
  <c r="Z1432"/>
  <c r="C1431"/>
  <c r="AA1431"/>
  <c r="AC1431" s="1"/>
  <c r="Z1431"/>
  <c r="C1430"/>
  <c r="AA1430"/>
  <c r="AC1430" s="1"/>
  <c r="Z1430"/>
  <c r="C1429"/>
  <c r="AA1429"/>
  <c r="AC1429" s="1"/>
  <c r="Z1429"/>
  <c r="C1428"/>
  <c r="AA1428"/>
  <c r="Z1428"/>
  <c r="C1427"/>
  <c r="AA1427"/>
  <c r="Z1427"/>
  <c r="C1426"/>
  <c r="AA1426"/>
  <c r="AC1426" s="1"/>
  <c r="Z1426"/>
  <c r="C1425"/>
  <c r="AA1425"/>
  <c r="Z1425"/>
  <c r="C1424"/>
  <c r="AA1424"/>
  <c r="AC1424" s="1"/>
  <c r="Z1424"/>
  <c r="C1423"/>
  <c r="AA1423"/>
  <c r="Z1423"/>
  <c r="C1422"/>
  <c r="AA1422"/>
  <c r="AC1422" s="1"/>
  <c r="Z1422"/>
  <c r="C1421"/>
  <c r="AA1421"/>
  <c r="AC1421" s="1"/>
  <c r="Z1421"/>
  <c r="C1420"/>
  <c r="AA1420"/>
  <c r="AC1420" s="1"/>
  <c r="Z1420"/>
  <c r="C1419"/>
  <c r="AA1419"/>
  <c r="AC1419" s="1"/>
  <c r="Z1419"/>
  <c r="C1418"/>
  <c r="AA1418"/>
  <c r="AC1418" s="1"/>
  <c r="Z1418"/>
  <c r="C1417"/>
  <c r="AA1417"/>
  <c r="AC1417" s="1"/>
  <c r="Z1417"/>
  <c r="C1416"/>
  <c r="AA1416"/>
  <c r="AC1416" s="1"/>
  <c r="Z1416"/>
  <c r="C1415"/>
  <c r="AA1415"/>
  <c r="AC1415" s="1"/>
  <c r="Z1415"/>
  <c r="C1414"/>
  <c r="AA1414"/>
  <c r="AC1414" s="1"/>
  <c r="Z1414"/>
  <c r="C1413"/>
  <c r="AA1413"/>
  <c r="AC1413" s="1"/>
  <c r="Z1413"/>
  <c r="C1412"/>
  <c r="AA1412"/>
  <c r="Z1412"/>
  <c r="C1411"/>
  <c r="AA1411"/>
  <c r="Z1411"/>
  <c r="C1410"/>
  <c r="AA1410"/>
  <c r="AC1410" s="1"/>
  <c r="Z1410"/>
  <c r="C1409"/>
  <c r="AA1409"/>
  <c r="AC1409" s="1"/>
  <c r="Z1409"/>
  <c r="C1408"/>
  <c r="AA1408"/>
  <c r="AC1408" s="1"/>
  <c r="Z1408"/>
  <c r="C1407"/>
  <c r="AA1407"/>
  <c r="AC1407" s="1"/>
  <c r="Z1407"/>
  <c r="C1406"/>
  <c r="AA1406"/>
  <c r="AC1406" s="1"/>
  <c r="Z1406"/>
  <c r="C1405"/>
  <c r="AA1405"/>
  <c r="AC1405" s="1"/>
  <c r="Z1405"/>
  <c r="C1404"/>
  <c r="AA1404"/>
  <c r="AC1404" s="1"/>
  <c r="Z1404"/>
  <c r="C1403"/>
  <c r="AA1403"/>
  <c r="AC1403" s="1"/>
  <c r="Z1403"/>
  <c r="C1402"/>
  <c r="C1401"/>
  <c r="C1400"/>
  <c r="C1397"/>
  <c r="C1395"/>
  <c r="C1394"/>
  <c r="AC1394"/>
  <c r="C1391"/>
  <c r="AA1391"/>
  <c r="AC1391" s="1"/>
  <c r="Z1391"/>
  <c r="C1390"/>
  <c r="AA1390"/>
  <c r="AC1390" s="1"/>
  <c r="Z1390"/>
  <c r="C1389"/>
  <c r="AA1389"/>
  <c r="AC1389" s="1"/>
  <c r="Z1389"/>
  <c r="C1388"/>
  <c r="AA1388"/>
  <c r="AC1388" s="1"/>
  <c r="Z1388"/>
  <c r="C1387"/>
  <c r="AA1387"/>
  <c r="AC1387" s="1"/>
  <c r="Z1387"/>
  <c r="C1386"/>
  <c r="AA1386"/>
  <c r="AC1386" s="1"/>
  <c r="Z1386"/>
  <c r="C1385"/>
  <c r="AA1385"/>
  <c r="AC1385" s="1"/>
  <c r="Z1385"/>
  <c r="C1384"/>
  <c r="AA1384"/>
  <c r="Z1384"/>
  <c r="C1381"/>
  <c r="AA1381"/>
  <c r="AC1381" s="1"/>
  <c r="Z1381"/>
  <c r="C1380"/>
  <c r="AA1380"/>
  <c r="AC1380" s="1"/>
  <c r="Z1380"/>
  <c r="C1379"/>
  <c r="AA1379"/>
  <c r="AC1379" s="1"/>
  <c r="Z1379"/>
  <c r="C1378"/>
  <c r="AA1378"/>
  <c r="AC1378" s="1"/>
  <c r="Z1378"/>
  <c r="C1375"/>
  <c r="AA1375"/>
  <c r="AC1375" s="1"/>
  <c r="Z1375"/>
  <c r="C1374"/>
  <c r="AA1374"/>
  <c r="AC1374" s="1"/>
  <c r="Z1374"/>
  <c r="C1373"/>
  <c r="AA1373"/>
  <c r="AC1373" s="1"/>
  <c r="Z1373"/>
  <c r="C1372"/>
  <c r="AA1372"/>
  <c r="AC1372" s="1"/>
  <c r="Z1372"/>
  <c r="C1371"/>
  <c r="C1370"/>
  <c r="C1368"/>
  <c r="C1367"/>
  <c r="C1366"/>
  <c r="C1365"/>
  <c r="C1364"/>
  <c r="C1363"/>
  <c r="C1362"/>
  <c r="C1361"/>
  <c r="C1360"/>
  <c r="C1359"/>
  <c r="C1358"/>
  <c r="C1357"/>
  <c r="C1356"/>
  <c r="C1355"/>
  <c r="C1354"/>
  <c r="C1353"/>
  <c r="C1352"/>
  <c r="C1351"/>
  <c r="C1350"/>
  <c r="C1349"/>
  <c r="C1348"/>
  <c r="C1347"/>
  <c r="C1346"/>
  <c r="C1345"/>
  <c r="C1344"/>
  <c r="C1343"/>
  <c r="C1342"/>
  <c r="C1341"/>
  <c r="C1340"/>
  <c r="C1339"/>
  <c r="C1338"/>
  <c r="C1337"/>
  <c r="C1336"/>
  <c r="C1335"/>
  <c r="C1334"/>
  <c r="C1333"/>
  <c r="C1332"/>
  <c r="C1331"/>
  <c r="C1330"/>
  <c r="C1329"/>
  <c r="C1328"/>
  <c r="C1327"/>
  <c r="C1326"/>
  <c r="C1325"/>
  <c r="C1324"/>
  <c r="C1323"/>
  <c r="C1322"/>
  <c r="C1321"/>
  <c r="C1320"/>
  <c r="C1319"/>
  <c r="C1318"/>
  <c r="C1317"/>
  <c r="C1316"/>
  <c r="C1315"/>
  <c r="C1314"/>
  <c r="C1313"/>
  <c r="C1312"/>
  <c r="C1311"/>
  <c r="C1310"/>
  <c r="C1309"/>
  <c r="C1308"/>
  <c r="C1305"/>
  <c r="C1304"/>
  <c r="C1303"/>
  <c r="C1302"/>
  <c r="C1301"/>
  <c r="C1300"/>
  <c r="C1299"/>
  <c r="C1298"/>
  <c r="C1297"/>
  <c r="C1296"/>
  <c r="C1295"/>
  <c r="C1294"/>
  <c r="C1290"/>
  <c r="C1289"/>
  <c r="C1288"/>
  <c r="C1287"/>
  <c r="C1286"/>
  <c r="C1285"/>
  <c r="C1284"/>
  <c r="C1283"/>
  <c r="C1282"/>
  <c r="C1279"/>
  <c r="C1278"/>
  <c r="C1277"/>
  <c r="C1276"/>
  <c r="C1275"/>
  <c r="C1271"/>
  <c r="C1270"/>
  <c r="C1269"/>
  <c r="C1268"/>
  <c r="C1267"/>
  <c r="AA1267"/>
  <c r="AC1267" s="1"/>
  <c r="Z1267"/>
  <c r="C1266"/>
  <c r="AA1266"/>
  <c r="Z1266"/>
  <c r="C1265"/>
  <c r="AA1265"/>
  <c r="AC1265" s="1"/>
  <c r="Z1265"/>
  <c r="C1264"/>
  <c r="AA1264"/>
  <c r="AC1264" s="1"/>
  <c r="Z1264"/>
  <c r="C1263"/>
  <c r="AA1263"/>
  <c r="AC1263" s="1"/>
  <c r="Z1263"/>
  <c r="C1262"/>
  <c r="AA1262"/>
  <c r="AC1262" s="1"/>
  <c r="Z1262"/>
  <c r="C1261"/>
  <c r="AA1261"/>
  <c r="AC1261" s="1"/>
  <c r="Z1261"/>
  <c r="C1260"/>
  <c r="AA1260"/>
  <c r="AC1260" s="1"/>
  <c r="Z1260"/>
  <c r="C1259"/>
  <c r="AA1259"/>
  <c r="AC1259" s="1"/>
  <c r="Z1259"/>
  <c r="C1258"/>
  <c r="AA1258"/>
  <c r="AC1258" s="1"/>
  <c r="Z1258"/>
  <c r="C1257"/>
  <c r="AA1257"/>
  <c r="AC1257" s="1"/>
  <c r="Z1257"/>
  <c r="C1256"/>
  <c r="AA1256"/>
  <c r="AC1256" s="1"/>
  <c r="Z1256"/>
  <c r="C1255"/>
  <c r="AA1255"/>
  <c r="AC1255" s="1"/>
  <c r="Z1255"/>
  <c r="C1254"/>
  <c r="AA1254"/>
  <c r="Z1254"/>
  <c r="C1253"/>
  <c r="AA1253"/>
  <c r="AC1253" s="1"/>
  <c r="Z1253"/>
  <c r="C1252"/>
  <c r="AA1252"/>
  <c r="AC1252" s="1"/>
  <c r="Z1252"/>
  <c r="C1251"/>
  <c r="AA1251"/>
  <c r="AC1251" s="1"/>
  <c r="Z1251"/>
  <c r="C1250"/>
  <c r="AA1250"/>
  <c r="AC1250" s="1"/>
  <c r="Z1250"/>
  <c r="C1249"/>
  <c r="AA1249"/>
  <c r="AC1249" s="1"/>
  <c r="Z1249"/>
  <c r="C1248"/>
  <c r="AA1248"/>
  <c r="AC1248" s="1"/>
  <c r="Z1248"/>
  <c r="C1247"/>
  <c r="AA1247"/>
  <c r="AC1247" s="1"/>
  <c r="Z1247"/>
  <c r="C1246"/>
  <c r="AA1246"/>
  <c r="Z1246"/>
  <c r="C1245"/>
  <c r="AA1245"/>
  <c r="AC1245" s="1"/>
  <c r="Z1245"/>
  <c r="C1244"/>
  <c r="AA1244"/>
  <c r="AC1244" s="1"/>
  <c r="Z1244"/>
  <c r="C1243"/>
  <c r="AA1243"/>
  <c r="Z1243"/>
  <c r="C1242"/>
  <c r="AA1242"/>
  <c r="Z1242"/>
  <c r="C1241"/>
  <c r="AA1241"/>
  <c r="AC1241" s="1"/>
  <c r="Z1241"/>
  <c r="C1240"/>
  <c r="AA1240"/>
  <c r="AC1240" s="1"/>
  <c r="Z1240"/>
  <c r="C1239"/>
  <c r="AA1239"/>
  <c r="AC1239" s="1"/>
  <c r="Z1239"/>
  <c r="C1238"/>
  <c r="AA1238"/>
  <c r="AC1238" s="1"/>
  <c r="Z1238"/>
  <c r="C1237"/>
  <c r="AA1237"/>
  <c r="AC1237" s="1"/>
  <c r="Z1237"/>
  <c r="C1236"/>
  <c r="AA1236"/>
  <c r="Z1236"/>
  <c r="C1235"/>
  <c r="AA1235"/>
  <c r="Z1235"/>
  <c r="C1234"/>
  <c r="AA1234"/>
  <c r="Z1234"/>
  <c r="C1233"/>
  <c r="AA1233"/>
  <c r="AC1233" s="1"/>
  <c r="Z1233"/>
  <c r="C1232"/>
  <c r="AA1232"/>
  <c r="Z1232"/>
  <c r="C1231"/>
  <c r="AA1231"/>
  <c r="AC1231" s="1"/>
  <c r="Z1231"/>
  <c r="C1230"/>
  <c r="AA1230"/>
  <c r="AC1230" s="1"/>
  <c r="Z1230"/>
  <c r="C1229"/>
  <c r="AA1229"/>
  <c r="AC1229" s="1"/>
  <c r="Z1229"/>
  <c r="C1228"/>
  <c r="AA1228"/>
  <c r="AC1228" s="1"/>
  <c r="Z1228"/>
  <c r="C1225"/>
  <c r="AA1225"/>
  <c r="Z1225"/>
  <c r="C1224"/>
  <c r="AA1224"/>
  <c r="AC1224" s="1"/>
  <c r="Z1224"/>
  <c r="C1223"/>
  <c r="AA1223"/>
  <c r="AC1223" s="1"/>
  <c r="Z1223"/>
  <c r="C1222"/>
  <c r="AA1222"/>
  <c r="AC1222" s="1"/>
  <c r="Z1222"/>
  <c r="C1221"/>
  <c r="AA1221"/>
  <c r="AC1221" s="1"/>
  <c r="Z1221"/>
  <c r="C1220"/>
  <c r="AA1220"/>
  <c r="AC1220" s="1"/>
  <c r="Z1220"/>
  <c r="C1219"/>
  <c r="AA1219"/>
  <c r="AC1219" s="1"/>
  <c r="Z1219"/>
  <c r="C1218"/>
  <c r="AA1218"/>
  <c r="AC1218" s="1"/>
  <c r="Z1218"/>
  <c r="C1217"/>
  <c r="AA1217"/>
  <c r="Z1217"/>
  <c r="C1216"/>
  <c r="AA1216"/>
  <c r="AC1216" s="1"/>
  <c r="Z1216"/>
  <c r="C1215"/>
  <c r="AA1215"/>
  <c r="AC1215" s="1"/>
  <c r="Z1215"/>
  <c r="C1214"/>
  <c r="AA1214"/>
  <c r="AC1214" s="1"/>
  <c r="Z1214"/>
  <c r="C1213"/>
  <c r="AA1213"/>
  <c r="AC1213" s="1"/>
  <c r="Z1213"/>
  <c r="C1212"/>
  <c r="AA1212"/>
  <c r="AC1212" s="1"/>
  <c r="Z1212"/>
  <c r="C1211"/>
  <c r="AA1211"/>
  <c r="Z1211"/>
  <c r="C1210"/>
  <c r="AA1210"/>
  <c r="AC1210" s="1"/>
  <c r="Z1210"/>
  <c r="C1209"/>
  <c r="AA1209"/>
  <c r="AC1209" s="1"/>
  <c r="Z1209"/>
  <c r="C1208"/>
  <c r="AA1208"/>
  <c r="AC1208" s="1"/>
  <c r="Z1208"/>
  <c r="C1207"/>
  <c r="AA1207"/>
  <c r="AC1207" s="1"/>
  <c r="Z1207"/>
  <c r="C1206"/>
  <c r="AA1206"/>
  <c r="AC1206" s="1"/>
  <c r="Z1206"/>
  <c r="C1205"/>
  <c r="AA1205"/>
  <c r="AC1205" s="1"/>
  <c r="Z1205"/>
  <c r="C1204"/>
  <c r="AA1204"/>
  <c r="AC1204" s="1"/>
  <c r="Z1204"/>
  <c r="C1203"/>
  <c r="AA1203"/>
  <c r="AC1203" s="1"/>
  <c r="Z1203"/>
  <c r="C1201"/>
  <c r="AA1201"/>
  <c r="AC1201" s="1"/>
  <c r="Z1201"/>
  <c r="C1200"/>
  <c r="AA1200"/>
  <c r="AC1200" s="1"/>
  <c r="Z1200"/>
  <c r="C1199"/>
  <c r="AA1199"/>
  <c r="AC1199" s="1"/>
  <c r="Z1199"/>
  <c r="C1198"/>
  <c r="AA1198"/>
  <c r="AC1198" s="1"/>
  <c r="Z1198"/>
  <c r="C1197"/>
  <c r="AA1197"/>
  <c r="AC1197" s="1"/>
  <c r="Z1197"/>
  <c r="C1196"/>
  <c r="AA1196"/>
  <c r="AC1196" s="1"/>
  <c r="Z1196"/>
  <c r="C1195"/>
  <c r="AA1195"/>
  <c r="AC1195" s="1"/>
  <c r="Z1195"/>
  <c r="C1194"/>
  <c r="AA1194"/>
  <c r="AC1194" s="1"/>
  <c r="Z1194"/>
  <c r="C1193"/>
  <c r="AA1193"/>
  <c r="AC1193" s="1"/>
  <c r="Z1193"/>
  <c r="C1192"/>
  <c r="AA1192"/>
  <c r="AC1192" s="1"/>
  <c r="Z1192"/>
  <c r="C1191"/>
  <c r="AA1191"/>
  <c r="AC1191" s="1"/>
  <c r="Z1191"/>
  <c r="C1190"/>
  <c r="AA1190"/>
  <c r="Z1190"/>
  <c r="C1189"/>
  <c r="AA1189"/>
  <c r="AC1189" s="1"/>
  <c r="Z1189"/>
  <c r="C1188"/>
  <c r="AA1188"/>
  <c r="AC1188" s="1"/>
  <c r="Z1188"/>
  <c r="C1187"/>
  <c r="AA1187"/>
  <c r="AC1187" s="1"/>
  <c r="Z1187"/>
  <c r="C1186"/>
  <c r="AA1186"/>
  <c r="AC1186" s="1"/>
  <c r="Z1186"/>
  <c r="C1185"/>
  <c r="AA1185"/>
  <c r="AC1185" s="1"/>
  <c r="Z1185"/>
  <c r="C1184"/>
  <c r="AA1184"/>
  <c r="AC1184" s="1"/>
  <c r="Z1184"/>
  <c r="C1183"/>
  <c r="AA1183"/>
  <c r="AC1183" s="1"/>
  <c r="Z1183"/>
  <c r="C1182"/>
  <c r="AA1182"/>
  <c r="AC1182" s="1"/>
  <c r="Z1182"/>
  <c r="C1181"/>
  <c r="AA1181"/>
  <c r="AC1181" s="1"/>
  <c r="Z1181"/>
  <c r="C1180"/>
  <c r="AA1180"/>
  <c r="AC1180" s="1"/>
  <c r="Z1180"/>
  <c r="C1179"/>
  <c r="AA1179"/>
  <c r="AC1179" s="1"/>
  <c r="Z1179"/>
  <c r="C1178"/>
  <c r="AA1178"/>
  <c r="AC1178" s="1"/>
  <c r="Z1178"/>
  <c r="C1177"/>
  <c r="Z1177"/>
  <c r="B1177" s="1"/>
  <c r="C1176"/>
  <c r="Z1176"/>
  <c r="B1176" s="1"/>
  <c r="C1175"/>
  <c r="Z1175"/>
  <c r="B1175" s="1"/>
  <c r="C1174"/>
  <c r="Z1174"/>
  <c r="B1174" s="1"/>
  <c r="C1173"/>
  <c r="Z1173"/>
  <c r="B1173" s="1"/>
  <c r="C1172"/>
  <c r="Z1172"/>
  <c r="B1172" s="1"/>
  <c r="C1171"/>
  <c r="Z1171"/>
  <c r="B1171" s="1"/>
  <c r="C1170"/>
  <c r="Z1170"/>
  <c r="B1170" s="1"/>
  <c r="C1169"/>
  <c r="Z1169"/>
  <c r="B1169" s="1"/>
  <c r="C1168"/>
  <c r="Z1168"/>
  <c r="B1168" s="1"/>
  <c r="C1167"/>
  <c r="Z1167"/>
  <c r="B1167" s="1"/>
  <c r="C1166"/>
  <c r="Z1166"/>
  <c r="B1166" s="1"/>
  <c r="C1165"/>
  <c r="Z1165"/>
  <c r="B1165" s="1"/>
  <c r="C1164"/>
  <c r="Z1164"/>
  <c r="B1164" s="1"/>
  <c r="C1163"/>
  <c r="Z1163"/>
  <c r="B1163" s="1"/>
  <c r="C1162"/>
  <c r="Z1162"/>
  <c r="B1162" s="1"/>
  <c r="C1161"/>
  <c r="Z1161"/>
  <c r="B1161" s="1"/>
  <c r="C1160"/>
  <c r="Z1160"/>
  <c r="B1160" s="1"/>
  <c r="C1159"/>
  <c r="Z1159"/>
  <c r="B1159" s="1"/>
  <c r="C1158"/>
  <c r="Z1158"/>
  <c r="B1158" s="1"/>
  <c r="C1157"/>
  <c r="Z1157"/>
  <c r="B1157" s="1"/>
  <c r="C1156"/>
  <c r="Z1156"/>
  <c r="B1156" s="1"/>
  <c r="C1155"/>
  <c r="Z1155"/>
  <c r="B1155" s="1"/>
  <c r="C1154"/>
  <c r="Z1154"/>
  <c r="B1154" s="1"/>
  <c r="C1153"/>
  <c r="Z1153"/>
  <c r="B1153" s="1"/>
  <c r="C1152"/>
  <c r="Z1152"/>
  <c r="B1152" s="1"/>
  <c r="C1150"/>
  <c r="C1149"/>
  <c r="C1148"/>
  <c r="C1147"/>
  <c r="C1146"/>
  <c r="C1145"/>
  <c r="C1144"/>
  <c r="C1143"/>
  <c r="C1142"/>
  <c r="B1129"/>
  <c r="B1121"/>
  <c r="B1113"/>
  <c r="B1105"/>
  <c r="B1097"/>
  <c r="C1005"/>
  <c r="C1004"/>
  <c r="C1003"/>
  <c r="C1002"/>
  <c r="C1001"/>
  <c r="C1000"/>
  <c r="C999"/>
  <c r="C998"/>
  <c r="C997"/>
  <c r="B997"/>
  <c r="C959"/>
  <c r="C958"/>
  <c r="C957"/>
  <c r="C956"/>
  <c r="C955"/>
  <c r="C954"/>
  <c r="C950"/>
  <c r="C949"/>
  <c r="Z949"/>
  <c r="AA949"/>
  <c r="AC949" s="1"/>
  <c r="C948"/>
  <c r="Z948"/>
  <c r="AA948"/>
  <c r="C947"/>
  <c r="Z947"/>
  <c r="AA947"/>
  <c r="AC947" s="1"/>
  <c r="C1392"/>
  <c r="AA1392"/>
  <c r="AC1392" s="1"/>
  <c r="Z1392"/>
  <c r="C946"/>
  <c r="AA946"/>
  <c r="AC946" s="1"/>
  <c r="Z946"/>
  <c r="C945"/>
  <c r="AA945"/>
  <c r="AC945" s="1"/>
  <c r="Z945"/>
  <c r="C944"/>
  <c r="AA944"/>
  <c r="AC944" s="1"/>
  <c r="Z944"/>
  <c r="C943"/>
  <c r="AA943"/>
  <c r="AC943" s="1"/>
  <c r="Z943"/>
  <c r="C942"/>
  <c r="AA942"/>
  <c r="Z942"/>
  <c r="C941"/>
  <c r="AA941"/>
  <c r="AC941" s="1"/>
  <c r="Z941"/>
  <c r="C940"/>
  <c r="AA940"/>
  <c r="AC940" s="1"/>
  <c r="Z940"/>
  <c r="C939"/>
  <c r="AA939"/>
  <c r="AC939" s="1"/>
  <c r="Z939"/>
  <c r="C938"/>
  <c r="AA938"/>
  <c r="AC938" s="1"/>
  <c r="Z938"/>
  <c r="C937"/>
  <c r="AA937"/>
  <c r="AC937" s="1"/>
  <c r="Z937"/>
  <c r="C936"/>
  <c r="AA936"/>
  <c r="AC936" s="1"/>
  <c r="Z936"/>
  <c r="C935"/>
  <c r="AA935"/>
  <c r="AC935" s="1"/>
  <c r="Z935"/>
  <c r="C934"/>
  <c r="AA934"/>
  <c r="AC934" s="1"/>
  <c r="Z934"/>
  <c r="C933"/>
  <c r="AA933"/>
  <c r="AC933" s="1"/>
  <c r="Z933"/>
  <c r="C932"/>
  <c r="AA932"/>
  <c r="AC932" s="1"/>
  <c r="Z932"/>
  <c r="C931"/>
  <c r="AA931"/>
  <c r="AC931" s="1"/>
  <c r="Z931"/>
  <c r="C930"/>
  <c r="AA930"/>
  <c r="AC930" s="1"/>
  <c r="Z930"/>
  <c r="C929"/>
  <c r="AA929"/>
  <c r="AC929" s="1"/>
  <c r="Z929"/>
  <c r="C928"/>
  <c r="AA928"/>
  <c r="AC928" s="1"/>
  <c r="Z928"/>
  <c r="C927"/>
  <c r="AA927"/>
  <c r="AC927" s="1"/>
  <c r="Z927"/>
  <c r="C926"/>
  <c r="AA926"/>
  <c r="AC926" s="1"/>
  <c r="Z926"/>
  <c r="C925"/>
  <c r="AA925"/>
  <c r="AC925" s="1"/>
  <c r="Z925"/>
  <c r="C924"/>
  <c r="AA924"/>
  <c r="AC924" s="1"/>
  <c r="Z924"/>
  <c r="C923"/>
  <c r="AA923"/>
  <c r="AC923" s="1"/>
  <c r="Z923"/>
  <c r="C922"/>
  <c r="Z922"/>
  <c r="AA922"/>
  <c r="AC922" s="1"/>
  <c r="C921"/>
  <c r="Z921"/>
  <c r="AA921"/>
  <c r="AC921" s="1"/>
  <c r="C920"/>
  <c r="Z920"/>
  <c r="AA920"/>
  <c r="AC920" s="1"/>
  <c r="C919"/>
  <c r="Z919"/>
  <c r="AA919"/>
  <c r="C918"/>
  <c r="Z918"/>
  <c r="AA918"/>
  <c r="AC918" s="1"/>
  <c r="C917"/>
  <c r="AA917"/>
  <c r="AC917" s="1"/>
  <c r="Z917"/>
  <c r="C916"/>
  <c r="Z916"/>
  <c r="AA916"/>
  <c r="AC916" s="1"/>
  <c r="C915"/>
  <c r="Z915"/>
  <c r="AA915"/>
  <c r="AC915" s="1"/>
  <c r="C914"/>
  <c r="Z914"/>
  <c r="AA914"/>
  <c r="AC914" s="1"/>
  <c r="C1393"/>
  <c r="AA1393"/>
  <c r="AC1393" s="1"/>
  <c r="Z1393"/>
  <c r="C913"/>
  <c r="AA913"/>
  <c r="AC913" s="1"/>
  <c r="Z913"/>
  <c r="C912"/>
  <c r="AA912"/>
  <c r="AC912" s="1"/>
  <c r="Z912"/>
  <c r="C911"/>
  <c r="AA911"/>
  <c r="AC911" s="1"/>
  <c r="Z911"/>
  <c r="C910"/>
  <c r="AA910"/>
  <c r="AC910" s="1"/>
  <c r="Z910"/>
  <c r="C909"/>
  <c r="AA909"/>
  <c r="AC909" s="1"/>
  <c r="Z909"/>
  <c r="C908"/>
  <c r="AA908"/>
  <c r="AC908" s="1"/>
  <c r="Z908"/>
  <c r="C907"/>
  <c r="AA907"/>
  <c r="AC907" s="1"/>
  <c r="Z907"/>
  <c r="C906"/>
  <c r="AA906"/>
  <c r="AC906" s="1"/>
  <c r="Z906"/>
  <c r="C905"/>
  <c r="AA905"/>
  <c r="AC905" s="1"/>
  <c r="Z905"/>
  <c r="C904"/>
  <c r="AA904"/>
  <c r="AC904" s="1"/>
  <c r="Z904"/>
  <c r="C903"/>
  <c r="AA903"/>
  <c r="AC903" s="1"/>
  <c r="Z903"/>
  <c r="C902"/>
  <c r="AA902"/>
  <c r="AC902" s="1"/>
  <c r="Z902"/>
  <c r="C901"/>
  <c r="AA901"/>
  <c r="AC901" s="1"/>
  <c r="Z901"/>
  <c r="C900"/>
  <c r="AA900"/>
  <c r="AC900" s="1"/>
  <c r="Z900"/>
  <c r="C899"/>
  <c r="AA899"/>
  <c r="AC899" s="1"/>
  <c r="Z899"/>
  <c r="C898"/>
  <c r="AA898"/>
  <c r="AC898" s="1"/>
  <c r="Z898"/>
  <c r="C897"/>
  <c r="AA897"/>
  <c r="AC897" s="1"/>
  <c r="Z897"/>
  <c r="C896"/>
  <c r="AA896"/>
  <c r="AC896" s="1"/>
  <c r="Z896"/>
  <c r="C895"/>
  <c r="AA895"/>
  <c r="AC895" s="1"/>
  <c r="Z895"/>
  <c r="C894"/>
  <c r="AA894"/>
  <c r="AC894" s="1"/>
  <c r="Z894"/>
  <c r="C893"/>
  <c r="AA893"/>
  <c r="AC893" s="1"/>
  <c r="Z893"/>
  <c r="C892"/>
  <c r="AA892"/>
  <c r="AC892" s="1"/>
  <c r="Z892"/>
  <c r="C891"/>
  <c r="AA891"/>
  <c r="AC891" s="1"/>
  <c r="Z891"/>
  <c r="C890"/>
  <c r="AA890"/>
  <c r="AC890" s="1"/>
  <c r="Z890"/>
  <c r="C889"/>
  <c r="AA889"/>
  <c r="AC889" s="1"/>
  <c r="Z889"/>
  <c r="C888"/>
  <c r="AA888"/>
  <c r="AC888" s="1"/>
  <c r="Z888"/>
  <c r="C887"/>
  <c r="AA887"/>
  <c r="AC887" s="1"/>
  <c r="Z887"/>
  <c r="C886"/>
  <c r="AA886"/>
  <c r="AC886" s="1"/>
  <c r="Z886"/>
  <c r="C885"/>
  <c r="AA885"/>
  <c r="Z885"/>
  <c r="C884"/>
  <c r="AA884"/>
  <c r="AC884" s="1"/>
  <c r="Z884"/>
  <c r="C883"/>
  <c r="AA883"/>
  <c r="AC883" s="1"/>
  <c r="Z883"/>
  <c r="C881"/>
  <c r="AA881"/>
  <c r="AC881" s="1"/>
  <c r="Z881"/>
  <c r="C971"/>
  <c r="B971"/>
  <c r="C969"/>
  <c r="B969"/>
  <c r="C968"/>
  <c r="C967"/>
  <c r="C966"/>
  <c r="B966"/>
  <c r="C965"/>
  <c r="AA965"/>
  <c r="AC965" s="1"/>
  <c r="C964"/>
  <c r="AA964"/>
  <c r="B964" s="1"/>
  <c r="C963"/>
  <c r="AA963"/>
  <c r="B963" s="1"/>
  <c r="C962"/>
  <c r="AA962"/>
  <c r="AC962" s="1"/>
  <c r="Z962"/>
  <c r="C953"/>
  <c r="AA953"/>
  <c r="AC953" s="1"/>
  <c r="Z953"/>
  <c r="C880"/>
  <c r="AA880"/>
  <c r="AC880" s="1"/>
  <c r="Z880"/>
  <c r="C879"/>
  <c r="AA879"/>
  <c r="AC879" s="1"/>
  <c r="Z879"/>
  <c r="C878"/>
  <c r="AA878"/>
  <c r="AC878" s="1"/>
  <c r="Z878"/>
  <c r="C877"/>
  <c r="AA877"/>
  <c r="AC877" s="1"/>
  <c r="Z877"/>
  <c r="C876"/>
  <c r="AA876"/>
  <c r="AC876" s="1"/>
  <c r="Z876"/>
  <c r="C875"/>
  <c r="AA875"/>
  <c r="AC875" s="1"/>
  <c r="Z875"/>
  <c r="C874"/>
  <c r="AA874"/>
  <c r="AC874" s="1"/>
  <c r="Z874"/>
  <c r="C873"/>
  <c r="AA873"/>
  <c r="AC873" s="1"/>
  <c r="Z873"/>
  <c r="C872"/>
  <c r="AA872"/>
  <c r="AC872" s="1"/>
  <c r="Z872"/>
  <c r="C871"/>
  <c r="AA871"/>
  <c r="AC871" s="1"/>
  <c r="Z871"/>
  <c r="C870"/>
  <c r="AA870"/>
  <c r="AC870" s="1"/>
  <c r="Z870"/>
  <c r="C869"/>
  <c r="AA869"/>
  <c r="AC869" s="1"/>
  <c r="Z869"/>
  <c r="C868"/>
  <c r="AA868"/>
  <c r="AC868" s="1"/>
  <c r="Z868"/>
  <c r="C867"/>
  <c r="AA867"/>
  <c r="AC867" s="1"/>
  <c r="Z867"/>
  <c r="C866"/>
  <c r="AA866"/>
  <c r="AC866" s="1"/>
  <c r="Z866"/>
  <c r="C865"/>
  <c r="AA865"/>
  <c r="AC865" s="1"/>
  <c r="Z865"/>
  <c r="C864"/>
  <c r="Z864"/>
  <c r="B864" s="1"/>
  <c r="C729"/>
  <c r="Z729"/>
  <c r="B729" s="1"/>
  <c r="C728"/>
  <c r="Z728"/>
  <c r="B728" s="1"/>
  <c r="C727"/>
  <c r="Z727"/>
  <c r="B727" s="1"/>
  <c r="C726"/>
  <c r="Z726"/>
  <c r="B726" s="1"/>
  <c r="C725"/>
  <c r="Z725"/>
  <c r="B725" s="1"/>
  <c r="C510"/>
  <c r="Z510"/>
  <c r="B510" s="1"/>
  <c r="C724"/>
  <c r="Z724"/>
  <c r="B724" s="1"/>
  <c r="C720"/>
  <c r="Z720"/>
  <c r="B720" s="1"/>
  <c r="C719"/>
  <c r="Z719"/>
  <c r="B719" s="1"/>
  <c r="C718"/>
  <c r="Z718"/>
  <c r="B718" s="1"/>
  <c r="C717"/>
  <c r="Z717"/>
  <c r="B717" s="1"/>
  <c r="C716"/>
  <c r="Z716"/>
  <c r="B716" s="1"/>
  <c r="C715"/>
  <c r="Z715"/>
  <c r="B715" s="1"/>
  <c r="C713"/>
  <c r="Z713"/>
  <c r="B713" s="1"/>
  <c r="C712"/>
  <c r="Z712"/>
  <c r="B712" s="1"/>
  <c r="C711"/>
  <c r="Z711"/>
  <c r="B711" s="1"/>
  <c r="C710"/>
  <c r="Z710"/>
  <c r="B710" s="1"/>
  <c r="C709"/>
  <c r="Z709"/>
  <c r="B709" s="1"/>
  <c r="C708"/>
  <c r="Z708"/>
  <c r="B708" s="1"/>
  <c r="C707"/>
  <c r="Z707"/>
  <c r="B707" s="1"/>
  <c r="C706"/>
  <c r="Z706"/>
  <c r="B706" s="1"/>
  <c r="C696"/>
  <c r="Z696"/>
  <c r="B696" s="1"/>
  <c r="C695"/>
  <c r="Z695"/>
  <c r="B695" s="1"/>
  <c r="C694"/>
  <c r="Z694"/>
  <c r="B694" s="1"/>
  <c r="C693"/>
  <c r="Z693"/>
  <c r="B693" s="1"/>
  <c r="C1383"/>
  <c r="Z1383"/>
  <c r="B1383" s="1"/>
  <c r="C692"/>
  <c r="Z692"/>
  <c r="B692" s="1"/>
  <c r="C691"/>
  <c r="Z691"/>
  <c r="B691" s="1"/>
  <c r="C690"/>
  <c r="Z690"/>
  <c r="B690" s="1"/>
  <c r="C705"/>
  <c r="Z705"/>
  <c r="B705" s="1"/>
  <c r="C704"/>
  <c r="Z704"/>
  <c r="B704" s="1"/>
  <c r="C703"/>
  <c r="Z703"/>
  <c r="B703" s="1"/>
  <c r="C689"/>
  <c r="Z689"/>
  <c r="B689" s="1"/>
  <c r="C687"/>
  <c r="Z687"/>
  <c r="B687" s="1"/>
  <c r="C685"/>
  <c r="Z685"/>
  <c r="B685" s="1"/>
  <c r="C684"/>
  <c r="Z684"/>
  <c r="B684" s="1"/>
  <c r="C683"/>
  <c r="Z683"/>
  <c r="B683" s="1"/>
  <c r="C682"/>
  <c r="Z682"/>
  <c r="B682" s="1"/>
  <c r="C681"/>
  <c r="Z681"/>
  <c r="B681" s="1"/>
  <c r="C680"/>
  <c r="Z680"/>
  <c r="B680" s="1"/>
  <c r="C679"/>
  <c r="Z679"/>
  <c r="B679" s="1"/>
  <c r="C666"/>
  <c r="Z666"/>
  <c r="B666" s="1"/>
  <c r="C665"/>
  <c r="Z665"/>
  <c r="B665" s="1"/>
  <c r="C664"/>
  <c r="Z664"/>
  <c r="B664" s="1"/>
  <c r="C663"/>
  <c r="Z663"/>
  <c r="B663" s="1"/>
  <c r="C662"/>
  <c r="Z662"/>
  <c r="B662" s="1"/>
  <c r="C661"/>
  <c r="Z661"/>
  <c r="B661" s="1"/>
  <c r="C660"/>
  <c r="Z660"/>
  <c r="B660" s="1"/>
  <c r="C659"/>
  <c r="Z659"/>
  <c r="B659" s="1"/>
  <c r="C658"/>
  <c r="Z658"/>
  <c r="B658" s="1"/>
  <c r="C657"/>
  <c r="Z657"/>
  <c r="B657" s="1"/>
  <c r="C655"/>
  <c r="Z655"/>
  <c r="B655" s="1"/>
  <c r="C702"/>
  <c r="Z702"/>
  <c r="B702" s="1"/>
  <c r="C652"/>
  <c r="Z652"/>
  <c r="C650"/>
  <c r="Z650"/>
  <c r="B650" s="1"/>
  <c r="C649"/>
  <c r="Z649"/>
  <c r="B649" s="1"/>
  <c r="C648"/>
  <c r="Z648"/>
  <c r="B648" s="1"/>
  <c r="C647"/>
  <c r="Z647"/>
  <c r="B647" s="1"/>
  <c r="C646"/>
  <c r="Z646"/>
  <c r="B646" s="1"/>
  <c r="C645"/>
  <c r="Z645"/>
  <c r="B645" s="1"/>
  <c r="C644"/>
  <c r="Z644"/>
  <c r="B644" s="1"/>
  <c r="C643"/>
  <c r="Z643"/>
  <c r="B643" s="1"/>
  <c r="C642"/>
  <c r="Z642"/>
  <c r="B642" s="1"/>
  <c r="C641"/>
  <c r="Z641"/>
  <c r="B641" s="1"/>
  <c r="C640"/>
  <c r="Z640"/>
  <c r="B640" s="1"/>
  <c r="C639"/>
  <c r="Z639"/>
  <c r="B639" s="1"/>
  <c r="C638"/>
  <c r="Z638"/>
  <c r="B638" s="1"/>
  <c r="C637"/>
  <c r="Z637"/>
  <c r="B637" s="1"/>
  <c r="C636"/>
  <c r="Z636"/>
  <c r="B636" s="1"/>
  <c r="C635"/>
  <c r="Z635"/>
  <c r="B635" s="1"/>
  <c r="C634"/>
  <c r="Z634"/>
  <c r="B634" s="1"/>
  <c r="C633"/>
  <c r="Z633"/>
  <c r="B633" s="1"/>
  <c r="C632"/>
  <c r="Z632"/>
  <c r="B632" s="1"/>
  <c r="C631"/>
  <c r="Z631"/>
  <c r="B631" s="1"/>
  <c r="C630"/>
  <c r="Z630"/>
  <c r="B630" s="1"/>
  <c r="C629"/>
  <c r="Z629"/>
  <c r="B629" s="1"/>
  <c r="C628"/>
  <c r="Z628"/>
  <c r="B628" s="1"/>
  <c r="C627"/>
  <c r="Z627"/>
  <c r="B627" s="1"/>
  <c r="C626"/>
  <c r="Z626"/>
  <c r="B626" s="1"/>
  <c r="C625"/>
  <c r="Z625"/>
  <c r="B625" s="1"/>
  <c r="C624"/>
  <c r="Z624"/>
  <c r="B624" s="1"/>
  <c r="C623"/>
  <c r="Z623"/>
  <c r="B623" s="1"/>
  <c r="C622"/>
  <c r="Z622"/>
  <c r="B622" s="1"/>
  <c r="C621"/>
  <c r="Z621"/>
  <c r="B621" s="1"/>
  <c r="C620"/>
  <c r="Z620"/>
  <c r="B620" s="1"/>
  <c r="C619"/>
  <c r="Z619"/>
  <c r="B619" s="1"/>
  <c r="C618"/>
  <c r="Z618"/>
  <c r="B618" s="1"/>
  <c r="C617"/>
  <c r="Z617"/>
  <c r="B617" s="1"/>
  <c r="C616"/>
  <c r="Z616"/>
  <c r="B616" s="1"/>
  <c r="C615"/>
  <c r="Z615"/>
  <c r="B615" s="1"/>
  <c r="C614"/>
  <c r="Z614"/>
  <c r="B614" s="1"/>
  <c r="C613"/>
  <c r="Z613"/>
  <c r="B613" s="1"/>
  <c r="C612"/>
  <c r="Z612"/>
  <c r="B612" s="1"/>
  <c r="C611"/>
  <c r="Z611"/>
  <c r="B611" s="1"/>
  <c r="C610"/>
  <c r="Z610"/>
  <c r="B610" s="1"/>
  <c r="C609"/>
  <c r="Z609"/>
  <c r="B609" s="1"/>
  <c r="C608"/>
  <c r="Z608"/>
  <c r="B608" s="1"/>
  <c r="C607"/>
  <c r="Z607"/>
  <c r="B607" s="1"/>
  <c r="C606"/>
  <c r="Z606"/>
  <c r="B606" s="1"/>
  <c r="C605"/>
  <c r="Z605"/>
  <c r="B605" s="1"/>
  <c r="C604"/>
  <c r="Z604"/>
  <c r="B604" s="1"/>
  <c r="C603"/>
  <c r="Z603"/>
  <c r="B603" s="1"/>
  <c r="C602"/>
  <c r="Z602"/>
  <c r="B602" s="1"/>
  <c r="C601"/>
  <c r="Z601"/>
  <c r="B601" s="1"/>
  <c r="C600"/>
  <c r="Z600"/>
  <c r="B600" s="1"/>
  <c r="C599"/>
  <c r="Z599"/>
  <c r="B599" s="1"/>
  <c r="C598"/>
  <c r="Z598"/>
  <c r="B598" s="1"/>
  <c r="C597"/>
  <c r="Z597"/>
  <c r="B597" s="1"/>
  <c r="C596"/>
  <c r="Z596"/>
  <c r="B596" s="1"/>
  <c r="C595"/>
  <c r="Z595"/>
  <c r="B595" s="1"/>
  <c r="C594"/>
  <c r="Z594"/>
  <c r="B594" s="1"/>
  <c r="C593"/>
  <c r="Z593"/>
  <c r="B593" s="1"/>
  <c r="C592"/>
  <c r="Z592"/>
  <c r="B592" s="1"/>
  <c r="C591"/>
  <c r="Z591"/>
  <c r="B591" s="1"/>
  <c r="C590"/>
  <c r="Z590"/>
  <c r="B590" s="1"/>
  <c r="C589"/>
  <c r="Z589"/>
  <c r="B589" s="1"/>
  <c r="C588"/>
  <c r="Z588"/>
  <c r="C587"/>
  <c r="Z587"/>
  <c r="B587" s="1"/>
  <c r="C586"/>
  <c r="Z586"/>
  <c r="B586" s="1"/>
  <c r="C585"/>
  <c r="Z585"/>
  <c r="B585" s="1"/>
  <c r="C584"/>
  <c r="Z584"/>
  <c r="B584" s="1"/>
  <c r="C583"/>
  <c r="Z583"/>
  <c r="B583" s="1"/>
  <c r="C582"/>
  <c r="Z582"/>
  <c r="B582" s="1"/>
  <c r="C581"/>
  <c r="Z581"/>
  <c r="B581" s="1"/>
  <c r="C580"/>
  <c r="Z580"/>
  <c r="B580" s="1"/>
  <c r="C579"/>
  <c r="Z579"/>
  <c r="B579" s="1"/>
  <c r="C578"/>
  <c r="Z578"/>
  <c r="B578" s="1"/>
  <c r="C577"/>
  <c r="Z577"/>
  <c r="B577" s="1"/>
  <c r="C576"/>
  <c r="Z576"/>
  <c r="B576" s="1"/>
  <c r="C575"/>
  <c r="Z575"/>
  <c r="B575" s="1"/>
  <c r="C572"/>
  <c r="Z572"/>
  <c r="B572" s="1"/>
  <c r="C570"/>
  <c r="Z570"/>
  <c r="B570" s="1"/>
  <c r="C569"/>
  <c r="Z569"/>
  <c r="B569" s="1"/>
  <c r="C568"/>
  <c r="Z568"/>
  <c r="B568" s="1"/>
  <c r="C567"/>
  <c r="Z567"/>
  <c r="B567" s="1"/>
  <c r="C566"/>
  <c r="Z566"/>
  <c r="B566" s="1"/>
  <c r="C565"/>
  <c r="Z565"/>
  <c r="B565" s="1"/>
  <c r="C564"/>
  <c r="Z564"/>
  <c r="C563"/>
  <c r="Z563"/>
  <c r="B563" s="1"/>
  <c r="C562"/>
  <c r="Z562"/>
  <c r="B562" s="1"/>
  <c r="C561"/>
  <c r="Z561"/>
  <c r="B561" s="1"/>
  <c r="C560"/>
  <c r="Z560"/>
  <c r="B560" s="1"/>
  <c r="C551"/>
  <c r="Z551"/>
  <c r="C550"/>
  <c r="Z550"/>
  <c r="C549"/>
  <c r="Z549"/>
  <c r="C548"/>
  <c r="Z548"/>
  <c r="C547"/>
  <c r="Z547"/>
  <c r="C546"/>
  <c r="Z546"/>
  <c r="C545"/>
  <c r="Z545"/>
  <c r="B545" s="1"/>
  <c r="C544"/>
  <c r="Z544"/>
  <c r="C543"/>
  <c r="Z543"/>
  <c r="C542"/>
  <c r="Z542"/>
  <c r="B542" s="1"/>
  <c r="C541"/>
  <c r="Z541"/>
  <c r="C540"/>
  <c r="Z540"/>
  <c r="C539"/>
  <c r="Z539"/>
  <c r="B539" s="1"/>
  <c r="C538"/>
  <c r="Z538"/>
  <c r="B538" s="1"/>
  <c r="C537"/>
  <c r="Z537"/>
  <c r="B537" s="1"/>
  <c r="C536"/>
  <c r="Z536"/>
  <c r="B536" s="1"/>
  <c r="C535"/>
  <c r="Z535"/>
  <c r="B535" s="1"/>
  <c r="C534"/>
  <c r="Z534"/>
  <c r="B534" s="1"/>
  <c r="C533"/>
  <c r="Z533"/>
  <c r="B533" s="1"/>
  <c r="C532"/>
  <c r="Z532"/>
  <c r="B532" s="1"/>
  <c r="C530"/>
  <c r="Z530"/>
  <c r="B530" s="1"/>
  <c r="C529"/>
  <c r="Z529"/>
  <c r="B529" s="1"/>
  <c r="C528"/>
  <c r="Z528"/>
  <c r="B528" s="1"/>
  <c r="C527"/>
  <c r="Z527"/>
  <c r="B527" s="1"/>
  <c r="C526"/>
  <c r="Z526"/>
  <c r="B526" s="1"/>
  <c r="C525"/>
  <c r="Z525"/>
  <c r="B525" s="1"/>
  <c r="C524"/>
  <c r="Z524"/>
  <c r="B524" s="1"/>
  <c r="C523"/>
  <c r="Z523"/>
  <c r="B523" s="1"/>
  <c r="C521"/>
  <c r="B521"/>
  <c r="C519"/>
  <c r="Z519"/>
  <c r="C518"/>
  <c r="Z518"/>
  <c r="B518"/>
  <c r="AC518" s="1"/>
  <c r="C517"/>
  <c r="Z517"/>
  <c r="B517" s="1"/>
  <c r="C516"/>
  <c r="Z516"/>
  <c r="B516" s="1"/>
  <c r="C515"/>
  <c r="Z515"/>
  <c r="B515" s="1"/>
  <c r="C514"/>
  <c r="Z514"/>
  <c r="B514" s="1"/>
  <c r="C513"/>
  <c r="Z513"/>
  <c r="B513" s="1"/>
  <c r="C512"/>
  <c r="Z512"/>
  <c r="B512" s="1"/>
  <c r="C511"/>
  <c r="Z511"/>
  <c r="B511" s="1"/>
  <c r="C509"/>
  <c r="Z509"/>
  <c r="B509" s="1"/>
  <c r="C508"/>
  <c r="Z508"/>
  <c r="B508" s="1"/>
  <c r="C507"/>
  <c r="Z507"/>
  <c r="B507" s="1"/>
  <c r="C506"/>
  <c r="Z506"/>
  <c r="B506" s="1"/>
  <c r="C505"/>
  <c r="Z505"/>
  <c r="B505" s="1"/>
  <c r="C504"/>
  <c r="Z504"/>
  <c r="C501"/>
  <c r="Z501"/>
  <c r="B501" s="1"/>
  <c r="C500"/>
  <c r="Z500"/>
  <c r="C499"/>
  <c r="Z499"/>
  <c r="B499" s="1"/>
  <c r="C486"/>
  <c r="Z486"/>
  <c r="B486" s="1"/>
  <c r="C485"/>
  <c r="B485"/>
  <c r="AC485" s="1"/>
  <c r="Z485"/>
  <c r="C484"/>
  <c r="AA484"/>
  <c r="Z484"/>
  <c r="C483"/>
  <c r="AA483"/>
  <c r="B483" s="1"/>
  <c r="AC483" s="1"/>
  <c r="Z483"/>
  <c r="C482"/>
  <c r="AA482"/>
  <c r="B482" s="1"/>
  <c r="AC482" s="1"/>
  <c r="Z482"/>
  <c r="C481"/>
  <c r="AA481"/>
  <c r="B481" s="1"/>
  <c r="Z481"/>
  <c r="C480"/>
  <c r="AA480"/>
  <c r="B480" s="1"/>
  <c r="Z480"/>
  <c r="C479"/>
  <c r="AA479"/>
  <c r="AC479" s="1"/>
  <c r="Z479"/>
  <c r="C478"/>
  <c r="AA478"/>
  <c r="B478" s="1"/>
  <c r="Z478"/>
  <c r="C477"/>
  <c r="AA477"/>
  <c r="B477" s="1"/>
  <c r="Z477"/>
  <c r="C476"/>
  <c r="AA476"/>
  <c r="Z476"/>
  <c r="C475"/>
  <c r="AA475"/>
  <c r="Z475"/>
  <c r="C474"/>
  <c r="AA474"/>
  <c r="AC474" s="1"/>
  <c r="Z474"/>
  <c r="C473"/>
  <c r="AA473"/>
  <c r="B473" s="1"/>
  <c r="AC473" s="1"/>
  <c r="Z473"/>
  <c r="C472"/>
  <c r="AA472"/>
  <c r="Z472"/>
  <c r="C471"/>
  <c r="AA471"/>
  <c r="B471" s="1"/>
  <c r="Z471"/>
  <c r="C470"/>
  <c r="AA470"/>
  <c r="B470" s="1"/>
  <c r="Z470"/>
  <c r="C469"/>
  <c r="AA469"/>
  <c r="B469" s="1"/>
  <c r="AC469" s="1"/>
  <c r="Z469"/>
  <c r="C468"/>
  <c r="AA468"/>
  <c r="AC468" s="1"/>
  <c r="Z468"/>
  <c r="C467"/>
  <c r="AA467"/>
  <c r="B467" s="1"/>
  <c r="Z467"/>
  <c r="C466"/>
  <c r="AA466"/>
  <c r="B466" s="1"/>
  <c r="Z466"/>
  <c r="C465"/>
  <c r="AA465"/>
  <c r="B465" s="1"/>
  <c r="AC465" s="1"/>
  <c r="Z465"/>
  <c r="C464"/>
  <c r="AA464"/>
  <c r="B464" s="1"/>
  <c r="Z464"/>
  <c r="C463"/>
  <c r="AA463"/>
  <c r="B463" s="1"/>
  <c r="Z463"/>
  <c r="C462"/>
  <c r="AA462"/>
  <c r="B462" s="1"/>
  <c r="Z462"/>
  <c r="C461"/>
  <c r="AA461"/>
  <c r="B461" s="1"/>
  <c r="Z461"/>
  <c r="C460"/>
  <c r="AA460"/>
  <c r="B460" s="1"/>
  <c r="Z460"/>
  <c r="C459"/>
  <c r="AA459"/>
  <c r="B459" s="1"/>
  <c r="AC459" s="1"/>
  <c r="Z459"/>
  <c r="C458"/>
  <c r="AA458"/>
  <c r="B458" s="1"/>
  <c r="Z458"/>
  <c r="C457"/>
  <c r="AA457"/>
  <c r="AC457" s="1"/>
  <c r="Z457"/>
  <c r="C456"/>
  <c r="AA456"/>
  <c r="AC456" s="1"/>
  <c r="Z456"/>
  <c r="C455"/>
  <c r="AA455"/>
  <c r="AC455" s="1"/>
  <c r="Z455"/>
  <c r="C453"/>
  <c r="AA453"/>
  <c r="AC453" s="1"/>
  <c r="Z453"/>
  <c r="C452"/>
  <c r="AA452"/>
  <c r="B452" s="1"/>
  <c r="AC452" s="1"/>
  <c r="Z452"/>
  <c r="C451"/>
  <c r="AA451"/>
  <c r="AC451" s="1"/>
  <c r="Z451"/>
  <c r="C450"/>
  <c r="AA450"/>
  <c r="B450" s="1"/>
  <c r="Z450"/>
  <c r="C449"/>
  <c r="AA449"/>
  <c r="B449" s="1"/>
  <c r="Z449"/>
  <c r="C448"/>
  <c r="AA448"/>
  <c r="B448" s="1"/>
  <c r="Z448"/>
  <c r="C447"/>
  <c r="AA447"/>
  <c r="B447" s="1"/>
  <c r="Z447"/>
  <c r="C446"/>
  <c r="AA446"/>
  <c r="B446" s="1"/>
  <c r="Z446"/>
  <c r="C445"/>
  <c r="AA445"/>
  <c r="B445" s="1"/>
  <c r="Z445"/>
  <c r="C444"/>
  <c r="AA444"/>
  <c r="Z444"/>
  <c r="C443"/>
  <c r="AA443"/>
  <c r="Z443"/>
  <c r="C442"/>
  <c r="AA442"/>
  <c r="B442" s="1"/>
  <c r="Z442"/>
  <c r="C441"/>
  <c r="AA441"/>
  <c r="B441" s="1"/>
  <c r="AC441" s="1"/>
  <c r="Z441"/>
  <c r="C440"/>
  <c r="AA440"/>
  <c r="B440" s="1"/>
  <c r="Z440"/>
  <c r="C439"/>
  <c r="AA439"/>
  <c r="B439" s="1"/>
  <c r="Z439"/>
  <c r="C438"/>
  <c r="AA438"/>
  <c r="AC438" s="1"/>
  <c r="Z438"/>
  <c r="C437"/>
  <c r="AA437"/>
  <c r="B437" s="1"/>
  <c r="Z437"/>
  <c r="C436"/>
  <c r="AA436"/>
  <c r="B436" s="1"/>
  <c r="Z436"/>
  <c r="C435"/>
  <c r="AA435"/>
  <c r="B435" s="1"/>
  <c r="Z435"/>
  <c r="C434"/>
  <c r="AA434"/>
  <c r="B434" s="1"/>
  <c r="Z434"/>
  <c r="C433"/>
  <c r="AA433"/>
  <c r="B433" s="1"/>
  <c r="Z433"/>
  <c r="C432"/>
  <c r="AA432"/>
  <c r="B432" s="1"/>
  <c r="Z432"/>
  <c r="C431"/>
  <c r="AA431"/>
  <c r="B431" s="1"/>
  <c r="Z431"/>
  <c r="C430"/>
  <c r="AA430"/>
  <c r="AC430" s="1"/>
  <c r="Z430"/>
  <c r="C428"/>
  <c r="AA428"/>
  <c r="AC428" s="1"/>
  <c r="Z428"/>
  <c r="C427"/>
  <c r="AA427"/>
  <c r="AC427" s="1"/>
  <c r="Z427"/>
  <c r="C426"/>
  <c r="AA426"/>
  <c r="AC426" s="1"/>
  <c r="Z426"/>
  <c r="C425"/>
  <c r="AA425"/>
  <c r="AC425" s="1"/>
  <c r="Z425"/>
  <c r="C424"/>
  <c r="AA424"/>
  <c r="AC424" s="1"/>
  <c r="Z424"/>
  <c r="C423"/>
  <c r="AA423"/>
  <c r="AC423" s="1"/>
  <c r="Z423"/>
  <c r="C422"/>
  <c r="AA422"/>
  <c r="AC422" s="1"/>
  <c r="Z422"/>
  <c r="C421"/>
  <c r="AA421"/>
  <c r="AC421" s="1"/>
  <c r="Z421"/>
  <c r="C420"/>
  <c r="AA420"/>
  <c r="AC420" s="1"/>
  <c r="Z420"/>
  <c r="C419"/>
  <c r="AA419"/>
  <c r="AC419" s="1"/>
  <c r="Z419"/>
  <c r="C418"/>
  <c r="AA418"/>
  <c r="AC418" s="1"/>
  <c r="Z418"/>
  <c r="C417"/>
  <c r="AA417"/>
  <c r="AC417" s="1"/>
  <c r="Z417"/>
  <c r="C416"/>
  <c r="AA416"/>
  <c r="AC416" s="1"/>
  <c r="Z416"/>
  <c r="C415"/>
  <c r="AA415"/>
  <c r="AC415" s="1"/>
  <c r="Z415"/>
  <c r="C414"/>
  <c r="AA414"/>
  <c r="AC414" s="1"/>
  <c r="Z414"/>
  <c r="C413"/>
  <c r="AA413"/>
  <c r="AC413" s="1"/>
  <c r="Z413"/>
  <c r="C412"/>
  <c r="AA412"/>
  <c r="AC412" s="1"/>
  <c r="Z412"/>
  <c r="C411"/>
  <c r="AA411"/>
  <c r="AC411" s="1"/>
  <c r="Z411"/>
  <c r="C410"/>
  <c r="AA410"/>
  <c r="AC410" s="1"/>
  <c r="Z410"/>
  <c r="C409"/>
  <c r="AA409"/>
  <c r="AC409" s="1"/>
  <c r="Z409"/>
  <c r="C408"/>
  <c r="AA408"/>
  <c r="Z408"/>
  <c r="C407"/>
  <c r="AA407"/>
  <c r="AC407" s="1"/>
  <c r="Z407"/>
  <c r="C406"/>
  <c r="AA406"/>
  <c r="Z406"/>
  <c r="C405"/>
  <c r="AA405"/>
  <c r="AC405" s="1"/>
  <c r="Z405"/>
  <c r="C404"/>
  <c r="AA404"/>
  <c r="AC404" s="1"/>
  <c r="Z404"/>
  <c r="C403"/>
  <c r="AA403"/>
  <c r="AC403" s="1"/>
  <c r="Z403"/>
  <c r="C402"/>
  <c r="AA402"/>
  <c r="AC402" s="1"/>
  <c r="Z402"/>
  <c r="C401"/>
  <c r="AA401"/>
  <c r="AC401" s="1"/>
  <c r="Z401"/>
  <c r="C400"/>
  <c r="AA400"/>
  <c r="AC400" s="1"/>
  <c r="Z400"/>
  <c r="C399"/>
  <c r="AA399"/>
  <c r="AC399" s="1"/>
  <c r="Z399"/>
  <c r="C398"/>
  <c r="AA398"/>
  <c r="AC398" s="1"/>
  <c r="Z398"/>
  <c r="C397"/>
  <c r="AA397"/>
  <c r="AC397" s="1"/>
  <c r="Z397"/>
  <c r="C396"/>
  <c r="AA396"/>
  <c r="AC396" s="1"/>
  <c r="Z396"/>
  <c r="C395"/>
  <c r="AA395"/>
  <c r="AC395" s="1"/>
  <c r="Z395"/>
  <c r="C394"/>
  <c r="AA394"/>
  <c r="AC394" s="1"/>
  <c r="Z394"/>
  <c r="C393"/>
  <c r="AA393"/>
  <c r="AC393" s="1"/>
  <c r="Z393"/>
  <c r="C392"/>
  <c r="AA392"/>
  <c r="AC392" s="1"/>
  <c r="Z392"/>
  <c r="C391"/>
  <c r="AA391"/>
  <c r="Z391"/>
  <c r="C390"/>
  <c r="AA390"/>
  <c r="AC390" s="1"/>
  <c r="Z390"/>
  <c r="C389"/>
  <c r="AA389"/>
  <c r="AC389" s="1"/>
  <c r="Z389"/>
  <c r="C388"/>
  <c r="AA388"/>
  <c r="Z388"/>
  <c r="C387"/>
  <c r="AA387"/>
  <c r="AC387" s="1"/>
  <c r="Z387"/>
  <c r="C386"/>
  <c r="AA386"/>
  <c r="AC386" s="1"/>
  <c r="Z386"/>
  <c r="C385"/>
  <c r="AA385"/>
  <c r="AC385" s="1"/>
  <c r="Z385"/>
  <c r="C384"/>
  <c r="AA384"/>
  <c r="AC384" s="1"/>
  <c r="Z384"/>
  <c r="C383"/>
  <c r="AA383"/>
  <c r="AC383" s="1"/>
  <c r="Z383"/>
  <c r="C382"/>
  <c r="AA382"/>
  <c r="AC382" s="1"/>
  <c r="Z382"/>
  <c r="C381"/>
  <c r="AA381"/>
  <c r="AC381" s="1"/>
  <c r="Z381"/>
  <c r="C380"/>
  <c r="AA380"/>
  <c r="AC380" s="1"/>
  <c r="Z380"/>
  <c r="C379"/>
  <c r="AA379"/>
  <c r="AC379" s="1"/>
  <c r="Z379"/>
  <c r="C378"/>
  <c r="AA378"/>
  <c r="AC378" s="1"/>
  <c r="Z378"/>
  <c r="C377"/>
  <c r="AA377"/>
  <c r="AC377" s="1"/>
  <c r="Z377"/>
  <c r="C376"/>
  <c r="AA376"/>
  <c r="AC376" s="1"/>
  <c r="Z376"/>
  <c r="C375"/>
  <c r="AA375"/>
  <c r="AC375" s="1"/>
  <c r="Z375"/>
  <c r="C374"/>
  <c r="AA374"/>
  <c r="AC374" s="1"/>
  <c r="Z374"/>
  <c r="C373"/>
  <c r="AA373"/>
  <c r="AC373" s="1"/>
  <c r="Z373"/>
  <c r="C372"/>
  <c r="AA372"/>
  <c r="AC372" s="1"/>
  <c r="Z372"/>
  <c r="C371"/>
  <c r="AA371"/>
  <c r="AC371" s="1"/>
  <c r="Z371"/>
  <c r="C370"/>
  <c r="AA370"/>
  <c r="AC370" s="1"/>
  <c r="Z370"/>
  <c r="C369"/>
  <c r="AA369"/>
  <c r="AC369" s="1"/>
  <c r="Z369"/>
  <c r="C368"/>
  <c r="AA368"/>
  <c r="AC368" s="1"/>
  <c r="Z368"/>
  <c r="C367"/>
  <c r="AA367"/>
  <c r="AC367" s="1"/>
  <c r="Z367"/>
  <c r="C366"/>
  <c r="AA366"/>
  <c r="AC366" s="1"/>
  <c r="Z366"/>
  <c r="C365"/>
  <c r="AA365"/>
  <c r="AC365" s="1"/>
  <c r="Z365"/>
  <c r="C364"/>
  <c r="AA364"/>
  <c r="AC364" s="1"/>
  <c r="Z364"/>
  <c r="C363"/>
  <c r="AA363"/>
  <c r="AC363" s="1"/>
  <c r="Z363"/>
  <c r="C362"/>
  <c r="AA362"/>
  <c r="AC362" s="1"/>
  <c r="Z362"/>
  <c r="C361"/>
  <c r="AA361"/>
  <c r="AC361" s="1"/>
  <c r="Z361"/>
  <c r="C360"/>
  <c r="AA360"/>
  <c r="AC360" s="1"/>
  <c r="Z360"/>
  <c r="C359"/>
  <c r="AA359"/>
  <c r="AC359" s="1"/>
  <c r="Z359"/>
  <c r="C358"/>
  <c r="AA358"/>
  <c r="AC358" s="1"/>
  <c r="Z358"/>
  <c r="C357"/>
  <c r="AA357"/>
  <c r="AC357" s="1"/>
  <c r="Z357"/>
  <c r="C356"/>
  <c r="AA356"/>
  <c r="Z356"/>
  <c r="C355"/>
  <c r="AA355"/>
  <c r="AC355" s="1"/>
  <c r="Z355"/>
  <c r="C354"/>
  <c r="AA354"/>
  <c r="AC354" s="1"/>
  <c r="Z354"/>
  <c r="C353"/>
  <c r="AA353"/>
  <c r="AC353" s="1"/>
  <c r="Z353"/>
  <c r="C352"/>
  <c r="AA352"/>
  <c r="AC352" s="1"/>
  <c r="Z352"/>
  <c r="C351"/>
  <c r="AA351"/>
  <c r="AC351" s="1"/>
  <c r="Z351"/>
  <c r="C350"/>
  <c r="AA350"/>
  <c r="AC350" s="1"/>
  <c r="Z350"/>
  <c r="C349"/>
  <c r="AA349"/>
  <c r="AC349" s="1"/>
  <c r="Z349"/>
  <c r="C348"/>
  <c r="AA348"/>
  <c r="AC348" s="1"/>
  <c r="Z348"/>
  <c r="C347"/>
  <c r="AA347"/>
  <c r="AC347" s="1"/>
  <c r="Z347"/>
  <c r="C346"/>
  <c r="AA346"/>
  <c r="AC346" s="1"/>
  <c r="Z346"/>
  <c r="C345"/>
  <c r="AA345"/>
  <c r="AC345" s="1"/>
  <c r="Z345"/>
  <c r="C344"/>
  <c r="AA344"/>
  <c r="AC344" s="1"/>
  <c r="Z344"/>
  <c r="C343"/>
  <c r="AA343"/>
  <c r="AC343" s="1"/>
  <c r="Z343"/>
  <c r="C342"/>
  <c r="AA342"/>
  <c r="AC342" s="1"/>
  <c r="Z342"/>
  <c r="C341"/>
  <c r="AA341"/>
  <c r="AC341" s="1"/>
  <c r="Z341"/>
  <c r="C340"/>
  <c r="AA340"/>
  <c r="Z340"/>
  <c r="C339"/>
  <c r="AA339"/>
  <c r="AC339" s="1"/>
  <c r="Z339"/>
  <c r="C338"/>
  <c r="AA338"/>
  <c r="AC338" s="1"/>
  <c r="Z338"/>
  <c r="C337"/>
  <c r="AA337"/>
  <c r="AC337" s="1"/>
  <c r="Z337"/>
  <c r="C336"/>
  <c r="AA336"/>
  <c r="AC336" s="1"/>
  <c r="Z336"/>
  <c r="C335"/>
  <c r="AA335"/>
  <c r="AC335" s="1"/>
  <c r="Z335"/>
  <c r="C334"/>
  <c r="AA334"/>
  <c r="AC334" s="1"/>
  <c r="Z334"/>
  <c r="C333"/>
  <c r="AA333"/>
  <c r="AC333" s="1"/>
  <c r="Z333"/>
  <c r="C332"/>
  <c r="AA332"/>
  <c r="AC332" s="1"/>
  <c r="Z332"/>
  <c r="C331"/>
  <c r="AA331"/>
  <c r="AC331" s="1"/>
  <c r="Z331"/>
  <c r="C330"/>
  <c r="AA330"/>
  <c r="AC330" s="1"/>
  <c r="Z330"/>
  <c r="C329"/>
  <c r="AA329"/>
  <c r="AC329" s="1"/>
  <c r="Z329"/>
  <c r="C328"/>
  <c r="AA328"/>
  <c r="AC328" s="1"/>
  <c r="Z328"/>
  <c r="C327"/>
  <c r="AA327"/>
  <c r="AC327" s="1"/>
  <c r="Z327"/>
  <c r="C326"/>
  <c r="AA326"/>
  <c r="Z326"/>
  <c r="C325"/>
  <c r="AA325"/>
  <c r="Z325"/>
  <c r="C324"/>
  <c r="AA324"/>
  <c r="AC324" s="1"/>
  <c r="Z324"/>
  <c r="C323"/>
  <c r="AA323"/>
  <c r="AC323" s="1"/>
  <c r="Z323"/>
  <c r="C322"/>
  <c r="AA322"/>
  <c r="AC322" s="1"/>
  <c r="Z322"/>
  <c r="C321"/>
  <c r="AA321"/>
  <c r="AC321" s="1"/>
  <c r="Z321"/>
  <c r="C320"/>
  <c r="AA320"/>
  <c r="AC320" s="1"/>
  <c r="Z320"/>
  <c r="C319"/>
  <c r="AA319"/>
  <c r="AC319" s="1"/>
  <c r="Z319"/>
  <c r="C318"/>
  <c r="AA318"/>
  <c r="AC318" s="1"/>
  <c r="Z318"/>
  <c r="C317"/>
  <c r="AA317"/>
  <c r="AC317" s="1"/>
  <c r="Z317"/>
  <c r="C316"/>
  <c r="AA316"/>
  <c r="AC316" s="1"/>
  <c r="Z316"/>
  <c r="C315"/>
  <c r="AA315"/>
  <c r="Z315"/>
  <c r="C314"/>
  <c r="AA314"/>
  <c r="AC314" s="1"/>
  <c r="Z314"/>
  <c r="C313"/>
  <c r="AA313"/>
  <c r="AC313" s="1"/>
  <c r="Z313"/>
  <c r="C312"/>
  <c r="AA312"/>
  <c r="Z312"/>
  <c r="C311"/>
  <c r="AA311"/>
  <c r="AC311" s="1"/>
  <c r="Z311"/>
  <c r="C310"/>
  <c r="AA310"/>
  <c r="AC310" s="1"/>
  <c r="Z310"/>
  <c r="C309"/>
  <c r="AA309"/>
  <c r="AC309" s="1"/>
  <c r="Z309"/>
  <c r="C308"/>
  <c r="AA308"/>
  <c r="AC308" s="1"/>
  <c r="Z308"/>
  <c r="C307"/>
  <c r="AA307"/>
  <c r="AC307" s="1"/>
  <c r="Z307"/>
  <c r="C306"/>
  <c r="AA306"/>
  <c r="AC306" s="1"/>
  <c r="Z306"/>
  <c r="C305"/>
  <c r="AA305"/>
  <c r="AC305" s="1"/>
  <c r="Z305"/>
  <c r="C304"/>
  <c r="AA304"/>
  <c r="AC304" s="1"/>
  <c r="Z304"/>
  <c r="C303"/>
  <c r="AA303"/>
  <c r="AC303" s="1"/>
  <c r="Z303"/>
  <c r="C302"/>
  <c r="AA302"/>
  <c r="AC302" s="1"/>
  <c r="Z302"/>
  <c r="C301"/>
  <c r="AA301"/>
  <c r="AC301" s="1"/>
  <c r="Z301"/>
  <c r="C300"/>
  <c r="AA300"/>
  <c r="AC300" s="1"/>
  <c r="Z300"/>
  <c r="C299"/>
  <c r="AA299"/>
  <c r="AC299" s="1"/>
  <c r="Z299"/>
  <c r="C298"/>
  <c r="AA298"/>
  <c r="AC298" s="1"/>
  <c r="Z298"/>
  <c r="C297"/>
  <c r="AA297"/>
  <c r="AC297" s="1"/>
  <c r="Z297"/>
  <c r="C296"/>
  <c r="AA296"/>
  <c r="AC296" s="1"/>
  <c r="Z296"/>
  <c r="C295"/>
  <c r="AA295"/>
  <c r="AC295" s="1"/>
  <c r="Z295"/>
  <c r="C294"/>
  <c r="AA294"/>
  <c r="Z294"/>
  <c r="C293"/>
  <c r="AA293"/>
  <c r="AC293" s="1"/>
  <c r="Z293"/>
  <c r="C292"/>
  <c r="AA292"/>
  <c r="AC292" s="1"/>
  <c r="Z292"/>
  <c r="C291"/>
  <c r="AA291"/>
  <c r="AC291" s="1"/>
  <c r="Z291"/>
  <c r="C290"/>
  <c r="AA290"/>
  <c r="AC290" s="1"/>
  <c r="Z290"/>
  <c r="C289"/>
  <c r="AA289"/>
  <c r="AC289" s="1"/>
  <c r="Z289"/>
  <c r="C288"/>
  <c r="AA288"/>
  <c r="AC288" s="1"/>
  <c r="Z288"/>
  <c r="C287"/>
  <c r="AA287"/>
  <c r="AC287" s="1"/>
  <c r="Z287"/>
  <c r="C286"/>
  <c r="AA286"/>
  <c r="AC286" s="1"/>
  <c r="Z286"/>
  <c r="C285"/>
  <c r="AA285"/>
  <c r="AC285" s="1"/>
  <c r="Z285"/>
  <c r="C284"/>
  <c r="AA284"/>
  <c r="AC284" s="1"/>
  <c r="Z284"/>
  <c r="C283"/>
  <c r="AA283"/>
  <c r="AC283" s="1"/>
  <c r="Z283"/>
  <c r="C282"/>
  <c r="AA282"/>
  <c r="AC282" s="1"/>
  <c r="Z282"/>
  <c r="C281"/>
  <c r="AA281"/>
  <c r="AC281" s="1"/>
  <c r="Z281"/>
  <c r="C280"/>
  <c r="AA280"/>
  <c r="AC280" s="1"/>
  <c r="Z280"/>
  <c r="C279"/>
  <c r="AA279"/>
  <c r="AC279" s="1"/>
  <c r="Z279"/>
  <c r="C278"/>
  <c r="AA278"/>
  <c r="AC278" s="1"/>
  <c r="Z278"/>
  <c r="C277"/>
  <c r="AA277"/>
  <c r="AC277" s="1"/>
  <c r="Z277"/>
  <c r="C276"/>
  <c r="AA276"/>
  <c r="AC276" s="1"/>
  <c r="Z276"/>
  <c r="C275"/>
  <c r="AA275"/>
  <c r="Z275"/>
  <c r="C274"/>
  <c r="AA274"/>
  <c r="AC274" s="1"/>
  <c r="Z274"/>
  <c r="C273"/>
  <c r="AA273"/>
  <c r="AC273" s="1"/>
  <c r="Z273"/>
  <c r="C272"/>
  <c r="AA272"/>
  <c r="AC272" s="1"/>
  <c r="Z272"/>
  <c r="C271"/>
  <c r="AA271"/>
  <c r="AC271" s="1"/>
  <c r="Z271"/>
  <c r="C270"/>
  <c r="AA270"/>
  <c r="AC270" s="1"/>
  <c r="Z270"/>
  <c r="C269"/>
  <c r="AA269"/>
  <c r="AC269" s="1"/>
  <c r="Z269"/>
  <c r="C268"/>
  <c r="AA268"/>
  <c r="AC268" s="1"/>
  <c r="Z268"/>
  <c r="C267"/>
  <c r="AA267"/>
  <c r="AC267" s="1"/>
  <c r="Z267"/>
  <c r="C266"/>
  <c r="AA266"/>
  <c r="AC266" s="1"/>
  <c r="Z266"/>
  <c r="C265"/>
  <c r="AA265"/>
  <c r="AC265" s="1"/>
  <c r="Z265"/>
  <c r="C264"/>
  <c r="AA264"/>
  <c r="AC264" s="1"/>
  <c r="Z264"/>
  <c r="C263"/>
  <c r="AA263"/>
  <c r="AC263" s="1"/>
  <c r="Z263"/>
  <c r="C262"/>
  <c r="AA262"/>
  <c r="AC262" s="1"/>
  <c r="Z262"/>
  <c r="C261"/>
  <c r="AA261"/>
  <c r="Z261"/>
  <c r="C260"/>
  <c r="AA260"/>
  <c r="AC260" s="1"/>
  <c r="Z260"/>
  <c r="C259"/>
  <c r="AA259"/>
  <c r="Z259"/>
  <c r="C258"/>
  <c r="AA258"/>
  <c r="Z258"/>
  <c r="C257"/>
  <c r="AA257"/>
  <c r="AC257" s="1"/>
  <c r="Z257"/>
  <c r="C256"/>
  <c r="AA256"/>
  <c r="Z256"/>
  <c r="C255"/>
  <c r="AA255"/>
  <c r="AC255" s="1"/>
  <c r="Z255"/>
  <c r="C254"/>
  <c r="AA254"/>
  <c r="AC254" s="1"/>
  <c r="Z254"/>
  <c r="C253"/>
  <c r="AA253"/>
  <c r="AC253" s="1"/>
  <c r="Z253"/>
  <c r="C252"/>
  <c r="AA252"/>
  <c r="AC252" s="1"/>
  <c r="Z252"/>
  <c r="C251"/>
  <c r="AA251"/>
  <c r="Z251"/>
  <c r="C250"/>
  <c r="AA250"/>
  <c r="AC250" s="1"/>
  <c r="Z250"/>
  <c r="C249"/>
  <c r="AA249"/>
  <c r="AC249" s="1"/>
  <c r="Z249"/>
  <c r="C248"/>
  <c r="AA248"/>
  <c r="Z248"/>
  <c r="C247"/>
  <c r="AA247"/>
  <c r="AC247" s="1"/>
  <c r="Z247"/>
  <c r="C246"/>
  <c r="AA246"/>
  <c r="Z246"/>
  <c r="C245"/>
  <c r="AA245"/>
  <c r="AC245" s="1"/>
  <c r="Z245"/>
  <c r="C244"/>
  <c r="AA244"/>
  <c r="Z244"/>
  <c r="C243"/>
  <c r="AA243"/>
  <c r="AC243" s="1"/>
  <c r="Z243"/>
  <c r="C242"/>
  <c r="AA242"/>
  <c r="AC242" s="1"/>
  <c r="Z242"/>
  <c r="C241"/>
  <c r="AA241"/>
  <c r="AC241" s="1"/>
  <c r="Z241"/>
  <c r="C240"/>
  <c r="AA240"/>
  <c r="AC240" s="1"/>
  <c r="Z240"/>
  <c r="C239"/>
  <c r="AA239"/>
  <c r="AC239" s="1"/>
  <c r="Z239"/>
  <c r="C238"/>
  <c r="AA238"/>
  <c r="AC238" s="1"/>
  <c r="Z238"/>
  <c r="C237"/>
  <c r="AA237"/>
  <c r="AC237" s="1"/>
  <c r="Z237"/>
  <c r="C236"/>
  <c r="AA236"/>
  <c r="AC236" s="1"/>
  <c r="Z236"/>
  <c r="C235"/>
  <c r="AA235"/>
  <c r="AC235" s="1"/>
  <c r="Z235"/>
  <c r="C234"/>
  <c r="AA234"/>
  <c r="AC234" s="1"/>
  <c r="Z234"/>
  <c r="C233"/>
  <c r="AA233"/>
  <c r="AC233" s="1"/>
  <c r="Z233"/>
  <c r="C232"/>
  <c r="AA232"/>
  <c r="AC232" s="1"/>
  <c r="Z232"/>
  <c r="C231"/>
  <c r="AA231"/>
  <c r="AC231" s="1"/>
  <c r="Z231"/>
  <c r="C230"/>
  <c r="AA230"/>
  <c r="AC230" s="1"/>
  <c r="Z230"/>
  <c r="C229"/>
  <c r="AA229"/>
  <c r="AC229" s="1"/>
  <c r="Z229"/>
  <c r="C228"/>
  <c r="AA228"/>
  <c r="AC228" s="1"/>
  <c r="Z228"/>
  <c r="C227"/>
  <c r="AA227"/>
  <c r="AC227" s="1"/>
  <c r="Z227"/>
  <c r="C226"/>
  <c r="AA226"/>
  <c r="AC226" s="1"/>
  <c r="Z226"/>
  <c r="C225"/>
  <c r="AA225"/>
  <c r="AC225" s="1"/>
  <c r="Z225"/>
  <c r="C224"/>
  <c r="AA224"/>
  <c r="AC224" s="1"/>
  <c r="Z224"/>
  <c r="C223"/>
  <c r="AA223"/>
  <c r="AC223" s="1"/>
  <c r="Z223"/>
  <c r="C222"/>
  <c r="AA222"/>
  <c r="AC222" s="1"/>
  <c r="Z222"/>
  <c r="C221"/>
  <c r="AA221"/>
  <c r="AC221" s="1"/>
  <c r="Z221"/>
  <c r="C220"/>
  <c r="AA220"/>
  <c r="AC220" s="1"/>
  <c r="Z220"/>
  <c r="C219"/>
  <c r="AA219"/>
  <c r="Z219"/>
  <c r="C218"/>
  <c r="AA218"/>
  <c r="AC218" s="1"/>
  <c r="Z218"/>
  <c r="C217"/>
  <c r="AA217"/>
  <c r="AC217" s="1"/>
  <c r="Z217"/>
  <c r="C216"/>
  <c r="AA216"/>
  <c r="AC216" s="1"/>
  <c r="Z216"/>
  <c r="C215"/>
  <c r="AA215"/>
  <c r="AC215" s="1"/>
  <c r="Z215"/>
  <c r="C214"/>
  <c r="AA214"/>
  <c r="AC214" s="1"/>
  <c r="Z214"/>
  <c r="C213"/>
  <c r="AA213"/>
  <c r="AC213" s="1"/>
  <c r="Z213"/>
  <c r="C212"/>
  <c r="AA212"/>
  <c r="AC212" s="1"/>
  <c r="Z212"/>
  <c r="C211"/>
  <c r="AA211"/>
  <c r="AC211" s="1"/>
  <c r="Z211"/>
  <c r="C210"/>
  <c r="AA210"/>
  <c r="AC210" s="1"/>
  <c r="Z210"/>
  <c r="C209"/>
  <c r="AA209"/>
  <c r="AC209" s="1"/>
  <c r="Z209"/>
  <c r="C208"/>
  <c r="AA208"/>
  <c r="AC208" s="1"/>
  <c r="Z208"/>
  <c r="C207"/>
  <c r="AA207"/>
  <c r="Z207"/>
  <c r="C206"/>
  <c r="AA206"/>
  <c r="AC206" s="1"/>
  <c r="Z206"/>
  <c r="C205"/>
  <c r="AA205"/>
  <c r="AC205" s="1"/>
  <c r="Z205"/>
  <c r="C204"/>
  <c r="AA204"/>
  <c r="AC204" s="1"/>
  <c r="Z204"/>
  <c r="C203"/>
  <c r="AA203"/>
  <c r="AC203" s="1"/>
  <c r="Z203"/>
  <c r="C202"/>
  <c r="AA202"/>
  <c r="AC202" s="1"/>
  <c r="Z202"/>
  <c r="C201"/>
  <c r="AA201"/>
  <c r="AC201" s="1"/>
  <c r="Z201"/>
  <c r="C200"/>
  <c r="AA200"/>
  <c r="AC200" s="1"/>
  <c r="Z200"/>
  <c r="C199"/>
  <c r="AA199"/>
  <c r="AC199" s="1"/>
  <c r="Z199"/>
  <c r="C198"/>
  <c r="AA198"/>
  <c r="AC198" s="1"/>
  <c r="Z198"/>
  <c r="C197"/>
  <c r="AA197"/>
  <c r="AC197" s="1"/>
  <c r="Z197"/>
  <c r="C196"/>
  <c r="AA196"/>
  <c r="AC196" s="1"/>
  <c r="Z196"/>
  <c r="C195"/>
  <c r="AA195"/>
  <c r="Z195"/>
  <c r="C194"/>
  <c r="AA194"/>
  <c r="AC194" s="1"/>
  <c r="Z194"/>
  <c r="C193"/>
  <c r="AA193"/>
  <c r="AC193" s="1"/>
  <c r="Z193"/>
  <c r="C192"/>
  <c r="AA192"/>
  <c r="AC192" s="1"/>
  <c r="Z192"/>
  <c r="C191"/>
  <c r="AA191"/>
  <c r="Z191"/>
  <c r="C190"/>
  <c r="AA190"/>
  <c r="AC190" s="1"/>
  <c r="Z190"/>
  <c r="C189"/>
  <c r="AA189"/>
  <c r="AC189" s="1"/>
  <c r="Z189"/>
  <c r="C188"/>
  <c r="AA188"/>
  <c r="AC188" s="1"/>
  <c r="Z188"/>
  <c r="C187"/>
  <c r="AA187"/>
  <c r="AC187" s="1"/>
  <c r="Z187"/>
  <c r="C186"/>
  <c r="AA186"/>
  <c r="AC186" s="1"/>
  <c r="Z186"/>
  <c r="C185"/>
  <c r="AA185"/>
  <c r="AC185" s="1"/>
  <c r="Z185"/>
  <c r="C184"/>
  <c r="AA184"/>
  <c r="AC184" s="1"/>
  <c r="Z184"/>
  <c r="C183"/>
  <c r="AA183"/>
  <c r="AC183" s="1"/>
  <c r="Z183"/>
  <c r="C182"/>
  <c r="AA182"/>
  <c r="AC182" s="1"/>
  <c r="Z182"/>
  <c r="C181"/>
  <c r="AA181"/>
  <c r="AC181" s="1"/>
  <c r="Z181"/>
  <c r="C180"/>
  <c r="AA180"/>
  <c r="AC180" s="1"/>
  <c r="Z180"/>
  <c r="C179"/>
  <c r="AA179"/>
  <c r="AC179" s="1"/>
  <c r="Z179"/>
  <c r="C178"/>
  <c r="AA178"/>
  <c r="AC178" s="1"/>
  <c r="Z178"/>
  <c r="C177"/>
  <c r="AA177"/>
  <c r="AC177" s="1"/>
  <c r="Z177"/>
  <c r="C176"/>
  <c r="AA176"/>
  <c r="AC176" s="1"/>
  <c r="Z176"/>
  <c r="C175"/>
  <c r="AA175"/>
  <c r="AC175" s="1"/>
  <c r="Z175"/>
  <c r="C174"/>
  <c r="AA174"/>
  <c r="AC174" s="1"/>
  <c r="Z174"/>
  <c r="C173"/>
  <c r="AA173"/>
  <c r="Z173"/>
  <c r="C172"/>
  <c r="AA172"/>
  <c r="Z172"/>
  <c r="C171"/>
  <c r="AA171"/>
  <c r="AC171" s="1"/>
  <c r="Z171"/>
  <c r="C170"/>
  <c r="AA170"/>
  <c r="AC170" s="1"/>
  <c r="Z170"/>
  <c r="C169"/>
  <c r="AA169"/>
  <c r="AC169" s="1"/>
  <c r="Z169"/>
  <c r="C168"/>
  <c r="AA168"/>
  <c r="AC168" s="1"/>
  <c r="Z168"/>
  <c r="C167"/>
  <c r="AA167"/>
  <c r="AC167" s="1"/>
  <c r="Z167"/>
  <c r="C166"/>
  <c r="AA166"/>
  <c r="AC166" s="1"/>
  <c r="Z166"/>
  <c r="C165"/>
  <c r="AA165"/>
  <c r="AC165" s="1"/>
  <c r="Z165"/>
  <c r="C164"/>
  <c r="AA164"/>
  <c r="AC164" s="1"/>
  <c r="Z164"/>
  <c r="C163"/>
  <c r="AA163"/>
  <c r="AC163" s="1"/>
  <c r="Z163"/>
  <c r="C162"/>
  <c r="AA162"/>
  <c r="AC162" s="1"/>
  <c r="Z162"/>
  <c r="C161"/>
  <c r="AA161"/>
  <c r="AC161" s="1"/>
  <c r="Z161"/>
  <c r="C160"/>
  <c r="AA160"/>
  <c r="AC160" s="1"/>
  <c r="Z160"/>
  <c r="C159"/>
  <c r="AA159"/>
  <c r="AC159" s="1"/>
  <c r="Z159"/>
  <c r="C158"/>
  <c r="AA158"/>
  <c r="AC158" s="1"/>
  <c r="Z158"/>
  <c r="C157"/>
  <c r="AA157"/>
  <c r="AC157" s="1"/>
  <c r="Z157"/>
  <c r="C156"/>
  <c r="AA156"/>
  <c r="AC156" s="1"/>
  <c r="Z156"/>
  <c r="C155"/>
  <c r="AA155"/>
  <c r="AC155" s="1"/>
  <c r="Z155"/>
  <c r="C154"/>
  <c r="AA154"/>
  <c r="AC154" s="1"/>
  <c r="Z154"/>
  <c r="C153"/>
  <c r="AA153"/>
  <c r="AC153" s="1"/>
  <c r="Z153"/>
  <c r="C152"/>
  <c r="AA152"/>
  <c r="AC152" s="1"/>
  <c r="Z152"/>
  <c r="C151"/>
  <c r="AA151"/>
  <c r="AC151" s="1"/>
  <c r="Z151"/>
  <c r="C150"/>
  <c r="AA150"/>
  <c r="AC150" s="1"/>
  <c r="Z150"/>
  <c r="C149"/>
  <c r="AA149"/>
  <c r="AC149" s="1"/>
  <c r="Z149"/>
  <c r="C148"/>
  <c r="AA148"/>
  <c r="AC148" s="1"/>
  <c r="Z148"/>
  <c r="C147"/>
  <c r="AA147"/>
  <c r="AC147" s="1"/>
  <c r="Z147"/>
  <c r="C146"/>
  <c r="AA146"/>
  <c r="AC146" s="1"/>
  <c r="Z146"/>
  <c r="C145"/>
  <c r="AA145"/>
  <c r="Z145"/>
  <c r="C144"/>
  <c r="AA144"/>
  <c r="Z144"/>
  <c r="C143"/>
  <c r="AA143"/>
  <c r="AC143" s="1"/>
  <c r="Z143"/>
  <c r="C142"/>
  <c r="AA142"/>
  <c r="AC142" s="1"/>
  <c r="Z142"/>
  <c r="C141"/>
  <c r="AA141"/>
  <c r="AC141" s="1"/>
  <c r="Z141"/>
  <c r="C140"/>
  <c r="AA140"/>
  <c r="AC140" s="1"/>
  <c r="Z140"/>
  <c r="C139"/>
  <c r="AA139"/>
  <c r="AC139" s="1"/>
  <c r="Z139"/>
  <c r="C138"/>
  <c r="AA138"/>
  <c r="AC138" s="1"/>
  <c r="Z138"/>
  <c r="C137"/>
  <c r="AA137"/>
  <c r="AC137" s="1"/>
  <c r="Z137"/>
  <c r="C136"/>
  <c r="AA136"/>
  <c r="AC136" s="1"/>
  <c r="Z136"/>
  <c r="C135"/>
  <c r="AA135"/>
  <c r="AC135" s="1"/>
  <c r="Z135"/>
  <c r="C134"/>
  <c r="AA134"/>
  <c r="AC134" s="1"/>
  <c r="Z134"/>
  <c r="C133"/>
  <c r="AA133"/>
  <c r="AC133" s="1"/>
  <c r="Z133"/>
  <c r="C132"/>
  <c r="AA132"/>
  <c r="AC132" s="1"/>
  <c r="Z132"/>
  <c r="C131"/>
  <c r="AA131"/>
  <c r="AC131" s="1"/>
  <c r="Z131"/>
  <c r="C130"/>
  <c r="AA130"/>
  <c r="AC130" s="1"/>
  <c r="Z130"/>
  <c r="C129"/>
  <c r="AA129"/>
  <c r="AC129" s="1"/>
  <c r="Z129"/>
  <c r="C128"/>
  <c r="AA128"/>
  <c r="AC128" s="1"/>
  <c r="Z128"/>
  <c r="C127"/>
  <c r="Z127"/>
  <c r="AA127"/>
  <c r="AC127" s="1"/>
  <c r="C126"/>
  <c r="Z126"/>
  <c r="AA126"/>
  <c r="AC126" s="1"/>
  <c r="C125"/>
  <c r="AA125"/>
  <c r="AC125" s="1"/>
  <c r="Z125"/>
  <c r="C124"/>
  <c r="AA124"/>
  <c r="AC124" s="1"/>
  <c r="Z124"/>
  <c r="C123"/>
  <c r="AA123"/>
  <c r="AC123" s="1"/>
  <c r="Z123"/>
  <c r="C122"/>
  <c r="AA122"/>
  <c r="AC122" s="1"/>
  <c r="Z122"/>
  <c r="C121"/>
  <c r="AA121"/>
  <c r="AC121" s="1"/>
  <c r="Z121"/>
  <c r="C120"/>
  <c r="AA120"/>
  <c r="AC120" s="1"/>
  <c r="Z120"/>
  <c r="C119"/>
  <c r="AA119"/>
  <c r="AC119" s="1"/>
  <c r="Z119"/>
  <c r="C118"/>
  <c r="AA118"/>
  <c r="AC118" s="1"/>
  <c r="Z118"/>
  <c r="C117"/>
  <c r="AA117"/>
  <c r="AC117" s="1"/>
  <c r="Z117"/>
  <c r="C116"/>
  <c r="AA116"/>
  <c r="AC116" s="1"/>
  <c r="Z116"/>
  <c r="C115"/>
  <c r="AA115"/>
  <c r="AC115" s="1"/>
  <c r="Z115"/>
  <c r="C114"/>
  <c r="AA114"/>
  <c r="Z114"/>
  <c r="C113"/>
  <c r="AA113"/>
  <c r="AC113" s="1"/>
  <c r="Z113"/>
  <c r="C112"/>
  <c r="AA112"/>
  <c r="AC112" s="1"/>
  <c r="Z112"/>
  <c r="C111"/>
  <c r="AA111"/>
  <c r="AC111" s="1"/>
  <c r="Z111"/>
  <c r="C110"/>
  <c r="AA110"/>
  <c r="AC110" s="1"/>
  <c r="Z110"/>
  <c r="C109"/>
  <c r="AA109"/>
  <c r="AC109" s="1"/>
  <c r="Z109"/>
  <c r="C108"/>
  <c r="AA108"/>
  <c r="AC108" s="1"/>
  <c r="Z108"/>
  <c r="C107"/>
  <c r="AA107"/>
  <c r="AC107" s="1"/>
  <c r="Z107"/>
  <c r="C106"/>
  <c r="AA106"/>
  <c r="AC106" s="1"/>
  <c r="Z106"/>
  <c r="C105"/>
  <c r="AA105"/>
  <c r="AC105" s="1"/>
  <c r="Z105"/>
  <c r="C104"/>
  <c r="AA104"/>
  <c r="AC104" s="1"/>
  <c r="Z104"/>
  <c r="C103"/>
  <c r="AA103"/>
  <c r="AC103" s="1"/>
  <c r="Z103"/>
  <c r="C102"/>
  <c r="AA102"/>
  <c r="AC102" s="1"/>
  <c r="Z102"/>
  <c r="C101"/>
  <c r="AA101"/>
  <c r="AC101" s="1"/>
  <c r="Z101"/>
  <c r="C100"/>
  <c r="AA100"/>
  <c r="AC100" s="1"/>
  <c r="Z100"/>
  <c r="C99"/>
  <c r="AA99"/>
  <c r="AC99" s="1"/>
  <c r="Z99"/>
  <c r="C98"/>
  <c r="AA98"/>
  <c r="AC98" s="1"/>
  <c r="Z98"/>
  <c r="C97"/>
  <c r="AA97"/>
  <c r="AC97" s="1"/>
  <c r="Z97"/>
  <c r="C96"/>
  <c r="AA96"/>
  <c r="AC96" s="1"/>
  <c r="Z96"/>
  <c r="C95"/>
  <c r="AA95"/>
  <c r="AC95" s="1"/>
  <c r="Z95"/>
  <c r="C94"/>
  <c r="Z94"/>
  <c r="AA94"/>
  <c r="AC94" s="1"/>
  <c r="C93"/>
  <c r="Z93"/>
  <c r="AA93"/>
  <c r="AC93" s="1"/>
  <c r="C92"/>
  <c r="Z92"/>
  <c r="AA92"/>
  <c r="AC92" s="1"/>
  <c r="C91"/>
  <c r="Z91"/>
  <c r="AA91"/>
  <c r="AC91" s="1"/>
  <c r="C90"/>
  <c r="Z90"/>
  <c r="AA90"/>
  <c r="AC90" s="1"/>
  <c r="C89"/>
  <c r="Z89"/>
  <c r="AA89"/>
  <c r="AC89" s="1"/>
  <c r="C88"/>
  <c r="Z88"/>
  <c r="AA88"/>
  <c r="AC88" s="1"/>
  <c r="C87"/>
  <c r="Z87"/>
  <c r="AA87"/>
  <c r="AC87" s="1"/>
  <c r="C86"/>
  <c r="Z86"/>
  <c r="AA86"/>
  <c r="AC86" s="1"/>
  <c r="C85"/>
  <c r="AA85"/>
  <c r="AC85" s="1"/>
  <c r="Z85"/>
  <c r="C84"/>
  <c r="AA84"/>
  <c r="Z84"/>
  <c r="C83"/>
  <c r="Z83"/>
  <c r="AA83"/>
  <c r="AC83" s="1"/>
  <c r="C82"/>
  <c r="Z82"/>
  <c r="AA82"/>
  <c r="AC82" s="1"/>
  <c r="C81"/>
  <c r="Z81"/>
  <c r="AA81"/>
  <c r="AC81" s="1"/>
  <c r="C80"/>
  <c r="AA80"/>
  <c r="AC80" s="1"/>
  <c r="Z80"/>
  <c r="C79"/>
  <c r="Z79"/>
  <c r="AA79"/>
  <c r="AC79" s="1"/>
  <c r="C78"/>
  <c r="Z78"/>
  <c r="AA78"/>
  <c r="AC78" s="1"/>
  <c r="C77"/>
  <c r="AA77"/>
  <c r="AC77" s="1"/>
  <c r="Z77"/>
  <c r="C76"/>
  <c r="AA76"/>
  <c r="AC76" s="1"/>
  <c r="Z76"/>
  <c r="C75"/>
  <c r="Z75"/>
  <c r="AA75"/>
  <c r="AC75" s="1"/>
  <c r="C74"/>
  <c r="Z74"/>
  <c r="AA74"/>
  <c r="AC74" s="1"/>
  <c r="C73"/>
  <c r="AA73"/>
  <c r="AC73" s="1"/>
  <c r="Z73"/>
  <c r="C72"/>
  <c r="Z72"/>
  <c r="AA72"/>
  <c r="AC72" s="1"/>
  <c r="C71"/>
  <c r="Z71"/>
  <c r="AA71"/>
  <c r="C70"/>
  <c r="Z70"/>
  <c r="AA70"/>
  <c r="AC70" s="1"/>
  <c r="C69"/>
  <c r="AA69"/>
  <c r="AC69" s="1"/>
  <c r="Z69"/>
  <c r="C68"/>
  <c r="AA68"/>
  <c r="AC68" s="1"/>
  <c r="Z68"/>
  <c r="C67"/>
  <c r="Z67"/>
  <c r="B67" s="1"/>
  <c r="C66"/>
  <c r="Z66"/>
  <c r="B66" s="1"/>
  <c r="C65"/>
  <c r="Z65"/>
  <c r="B65" s="1"/>
  <c r="C64"/>
  <c r="Z64"/>
  <c r="B64" s="1"/>
  <c r="C63"/>
  <c r="Z63"/>
  <c r="B63" s="1"/>
  <c r="C62"/>
  <c r="Z62"/>
  <c r="B62" s="1"/>
  <c r="C61"/>
  <c r="Z61"/>
  <c r="C60"/>
  <c r="Z60"/>
  <c r="B60" s="1"/>
  <c r="C59"/>
  <c r="Z59"/>
  <c r="B59" s="1"/>
  <c r="C58"/>
  <c r="Z58"/>
  <c r="B58" s="1"/>
  <c r="C57"/>
  <c r="Z57"/>
  <c r="B57" s="1"/>
  <c r="Z56"/>
  <c r="B56" s="1"/>
  <c r="C55"/>
  <c r="Z55"/>
  <c r="B55" s="1"/>
  <c r="C48"/>
  <c r="AA48"/>
  <c r="AC48" s="1"/>
  <c r="Z48"/>
  <c r="C47"/>
  <c r="AA47"/>
  <c r="B47" s="1"/>
  <c r="Z47"/>
  <c r="C46"/>
  <c r="AA46"/>
  <c r="AC46" s="1"/>
  <c r="Z46"/>
  <c r="C45"/>
  <c r="AA45"/>
  <c r="Z45"/>
  <c r="C44"/>
  <c r="AA44"/>
  <c r="Z44"/>
  <c r="C1581"/>
  <c r="AA1581"/>
  <c r="AC1581" s="1"/>
  <c r="Z1581"/>
  <c r="C43"/>
  <c r="AA43"/>
  <c r="AC43" s="1"/>
  <c r="Z43"/>
  <c r="C42"/>
  <c r="AA42"/>
  <c r="AC42" s="1"/>
  <c r="Z42"/>
  <c r="C41"/>
  <c r="AA41"/>
  <c r="AC41" s="1"/>
  <c r="Z41"/>
  <c r="C40"/>
  <c r="AA40"/>
  <c r="AC40" s="1"/>
  <c r="Z40"/>
  <c r="C39"/>
  <c r="AA39"/>
  <c r="Z39"/>
  <c r="C38"/>
  <c r="AA38"/>
  <c r="AC38" s="1"/>
  <c r="Z38"/>
  <c r="C37"/>
  <c r="AA37"/>
  <c r="AC37" s="1"/>
  <c r="Z37"/>
  <c r="C36"/>
  <c r="AA36"/>
  <c r="AC36" s="1"/>
  <c r="Z36"/>
  <c r="C35"/>
  <c r="AA35"/>
  <c r="AC35" s="1"/>
  <c r="Z35"/>
  <c r="C34"/>
  <c r="AA34"/>
  <c r="AC34" s="1"/>
  <c r="Z34"/>
  <c r="C33"/>
  <c r="AA33"/>
  <c r="Z33"/>
  <c r="C32"/>
  <c r="AA32"/>
  <c r="AC32" s="1"/>
  <c r="Z32"/>
  <c r="C31"/>
  <c r="AA31"/>
  <c r="AC31" s="1"/>
  <c r="Z31"/>
  <c r="C30"/>
  <c r="AA30"/>
  <c r="AC30" s="1"/>
  <c r="Z30"/>
  <c r="C29"/>
  <c r="AA29"/>
  <c r="AC29" s="1"/>
  <c r="Z29"/>
  <c r="C28"/>
  <c r="AA28"/>
  <c r="B28" s="1"/>
  <c r="AC28" s="1"/>
  <c r="Z28"/>
  <c r="C27"/>
  <c r="Z27"/>
  <c r="C25"/>
  <c r="Z25"/>
  <c r="B25" s="1"/>
  <c r="C24"/>
  <c r="C22"/>
  <c r="Z22"/>
  <c r="C54"/>
  <c r="Z54"/>
  <c r="B54" s="1"/>
  <c r="C21"/>
  <c r="Z21"/>
  <c r="B21" s="1"/>
  <c r="C20"/>
  <c r="Z20"/>
  <c r="Z19"/>
  <c r="B19" s="1"/>
  <c r="C18"/>
  <c r="Z18"/>
  <c r="B18" s="1"/>
  <c r="C17"/>
  <c r="Z17"/>
  <c r="C16"/>
  <c r="AA1604"/>
  <c r="AC1604" s="1"/>
  <c r="AB1604"/>
  <c r="Z1604"/>
  <c r="C1604"/>
  <c r="AA1603"/>
  <c r="AC1603" s="1"/>
  <c r="AB1603"/>
  <c r="Z1603"/>
  <c r="C1603"/>
  <c r="AA1602"/>
  <c r="AC1602" s="1"/>
  <c r="AB1602"/>
  <c r="Z1602"/>
  <c r="C1602"/>
  <c r="AA1601"/>
  <c r="AC1601" s="1"/>
  <c r="AB1601"/>
  <c r="Z1601"/>
  <c r="C1601"/>
  <c r="AA1600"/>
  <c r="AC1600" s="1"/>
  <c r="AB1600"/>
  <c r="Z1600"/>
  <c r="C1600"/>
  <c r="AA1599"/>
  <c r="AC1599" s="1"/>
  <c r="AB1599"/>
  <c r="Z1599"/>
  <c r="C1599"/>
  <c r="AA1598"/>
  <c r="AC1598" s="1"/>
  <c r="AB1598"/>
  <c r="Z1598"/>
  <c r="C1598"/>
  <c r="AA1596"/>
  <c r="AC1596" s="1"/>
  <c r="AB1596"/>
  <c r="Z1596"/>
  <c r="C1596"/>
  <c r="AA1595"/>
  <c r="AC1595" s="1"/>
  <c r="AB1595"/>
  <c r="Z1595"/>
  <c r="C1595"/>
  <c r="AA1594"/>
  <c r="AC1594" s="1"/>
  <c r="AB1594"/>
  <c r="Z1594"/>
  <c r="C1594"/>
  <c r="AA1593"/>
  <c r="AC1593" s="1"/>
  <c r="AB1593"/>
  <c r="Z1593"/>
  <c r="C1593"/>
  <c r="AB1592"/>
  <c r="AB1591"/>
  <c r="AB1590"/>
  <c r="AB1589"/>
  <c r="AB1588"/>
  <c r="GP1" i="8"/>
  <c r="AB1587" i="6"/>
  <c r="AB1586"/>
  <c r="AB1585"/>
  <c r="AB1584"/>
  <c r="AB1583"/>
  <c r="AB1582"/>
  <c r="AB1580"/>
  <c r="AB1579"/>
  <c r="GO1" i="8"/>
  <c r="AB1558" i="6"/>
  <c r="AA1557"/>
  <c r="AC1557" s="1"/>
  <c r="AB1557"/>
  <c r="Z1557"/>
  <c r="AB1556"/>
  <c r="AB1555"/>
  <c r="AB1554"/>
  <c r="AB1553"/>
  <c r="AB1552"/>
  <c r="AB1551"/>
  <c r="AB1550"/>
  <c r="AB1549"/>
  <c r="AB1548"/>
  <c r="AB1547"/>
  <c r="AB1546"/>
  <c r="AB1545"/>
  <c r="AB1544"/>
  <c r="AB1543"/>
  <c r="AB1542"/>
  <c r="AB1541"/>
  <c r="AB1540"/>
  <c r="AB1539"/>
  <c r="AB1538"/>
  <c r="AB1537"/>
  <c r="AB1536"/>
  <c r="AB1535"/>
  <c r="AB1534"/>
  <c r="AB1533"/>
  <c r="AB1532"/>
  <c r="AB1531"/>
  <c r="AB1530"/>
  <c r="AB1529"/>
  <c r="AB1528"/>
  <c r="AB1527"/>
  <c r="AB1526"/>
  <c r="AB1525"/>
  <c r="AB1524"/>
  <c r="AB1523"/>
  <c r="AB1522"/>
  <c r="AB1521"/>
  <c r="AB1520"/>
  <c r="AB1519"/>
  <c r="AB1518"/>
  <c r="AB1517"/>
  <c r="AB1516"/>
  <c r="AB1515"/>
  <c r="AB1514"/>
  <c r="AB1513"/>
  <c r="AB1512"/>
  <c r="AB1511"/>
  <c r="AB1510"/>
  <c r="AB1509"/>
  <c r="AB1508"/>
  <c r="AB1507"/>
  <c r="AB1506"/>
  <c r="AB1505"/>
  <c r="AB1504"/>
  <c r="AB1503"/>
  <c r="AB1502"/>
  <c r="AB1501"/>
  <c r="AB1500"/>
  <c r="AB1499"/>
  <c r="AB1498"/>
  <c r="AB1497"/>
  <c r="AB1496"/>
  <c r="AB1495"/>
  <c r="AB1494"/>
  <c r="AB1493"/>
  <c r="AB1492"/>
  <c r="AB1491"/>
  <c r="AB1490"/>
  <c r="AB1489"/>
  <c r="AB1488"/>
  <c r="AB1487"/>
  <c r="AB1486"/>
  <c r="AB1485"/>
  <c r="AB1484"/>
  <c r="AB1483"/>
  <c r="AB1482"/>
  <c r="AB1481"/>
  <c r="AB1480"/>
  <c r="AB1479"/>
  <c r="AB1478"/>
  <c r="AB1477"/>
  <c r="AB1476"/>
  <c r="AB1475"/>
  <c r="AB1474"/>
  <c r="AB1473"/>
  <c r="AB1472"/>
  <c r="AB1471"/>
  <c r="AB1470"/>
  <c r="AB1469"/>
  <c r="AB1468"/>
  <c r="AB1467"/>
  <c r="AB1466"/>
  <c r="AB1465"/>
  <c r="AB1464"/>
  <c r="AB1463"/>
  <c r="AB1462"/>
  <c r="AB1461"/>
  <c r="AB1460"/>
  <c r="AB1459"/>
  <c r="AB1458"/>
  <c r="AB1457"/>
  <c r="AB1456"/>
  <c r="AB1455"/>
  <c r="AB1454"/>
  <c r="AB1453"/>
  <c r="AB1452"/>
  <c r="AB1451"/>
  <c r="AB1450"/>
  <c r="AB1449"/>
  <c r="AB1448"/>
  <c r="AB1447"/>
  <c r="AB1446"/>
  <c r="AB1445"/>
  <c r="AB1444"/>
  <c r="AB1443"/>
  <c r="AB1442"/>
  <c r="AB1441"/>
  <c r="AB1440"/>
  <c r="AB1439"/>
  <c r="AB1438"/>
  <c r="AB1437"/>
  <c r="AB1436"/>
  <c r="AB1435"/>
  <c r="AB1434"/>
  <c r="AB1433"/>
  <c r="AB1432"/>
  <c r="AB1431"/>
  <c r="AB1430"/>
  <c r="AB1429"/>
  <c r="AB1428"/>
  <c r="AB1427"/>
  <c r="AB1426"/>
  <c r="AB1425"/>
  <c r="AB1424"/>
  <c r="AB1423"/>
  <c r="AB1422"/>
  <c r="AB1421"/>
  <c r="AB1420"/>
  <c r="AB1419"/>
  <c r="AB1418"/>
  <c r="AB1417"/>
  <c r="AB1416"/>
  <c r="AB1415"/>
  <c r="AB1414"/>
  <c r="AB1413"/>
  <c r="AB1412"/>
  <c r="AB1411"/>
  <c r="AB1410"/>
  <c r="AB1409"/>
  <c r="AB1408"/>
  <c r="AB1407"/>
  <c r="AB1406"/>
  <c r="AB1405"/>
  <c r="AB1404"/>
  <c r="AB1403"/>
  <c r="AB1394"/>
  <c r="AB1391"/>
  <c r="AB1390"/>
  <c r="AB1389"/>
  <c r="AB1388"/>
  <c r="AB1387"/>
  <c r="AB1386"/>
  <c r="AB1385"/>
  <c r="AB1384"/>
  <c r="AB1381"/>
  <c r="AB1380"/>
  <c r="AB1379"/>
  <c r="AB1378"/>
  <c r="AB1375"/>
  <c r="AB1374"/>
  <c r="AB1373"/>
  <c r="AB1372"/>
  <c r="AB1267"/>
  <c r="AB1266"/>
  <c r="AB1265"/>
  <c r="AB1264"/>
  <c r="AB1263"/>
  <c r="AB1262"/>
  <c r="AB1261"/>
  <c r="AB1260"/>
  <c r="AB1259"/>
  <c r="AB1258"/>
  <c r="AB1257"/>
  <c r="AB1256"/>
  <c r="AB1255"/>
  <c r="AB1254"/>
  <c r="AB1253"/>
  <c r="AB1252"/>
  <c r="AB1251"/>
  <c r="AB1250"/>
  <c r="AB1249"/>
  <c r="AB1248"/>
  <c r="AB1247"/>
  <c r="AB1246"/>
  <c r="AB1245"/>
  <c r="AB1244"/>
  <c r="AB1243"/>
  <c r="AB1242"/>
  <c r="AB1241"/>
  <c r="AB1240"/>
  <c r="AB1239"/>
  <c r="AB1238"/>
  <c r="AB1237"/>
  <c r="AB1236"/>
  <c r="AB1235"/>
  <c r="AB1234"/>
  <c r="AB1233"/>
  <c r="AB1232"/>
  <c r="AB1231"/>
  <c r="AB1230"/>
  <c r="AB1229"/>
  <c r="AB1228"/>
  <c r="AB1225"/>
  <c r="AB1224"/>
  <c r="AB1223"/>
  <c r="AB1222"/>
  <c r="AB1221"/>
  <c r="AB1220"/>
  <c r="AB1219"/>
  <c r="AB1218"/>
  <c r="AB1217"/>
  <c r="AB1216"/>
  <c r="AB1215"/>
  <c r="AB1214"/>
  <c r="AB1213"/>
  <c r="AB1212"/>
  <c r="AB1211"/>
  <c r="AB1210"/>
  <c r="AB1209"/>
  <c r="AB1208"/>
  <c r="AB1207"/>
  <c r="AB1206"/>
  <c r="AB1205"/>
  <c r="AB1204"/>
  <c r="AB1203"/>
  <c r="AA1202"/>
  <c r="AC1202" s="1"/>
  <c r="AB1202"/>
  <c r="Z1202"/>
  <c r="AB1201"/>
  <c r="AB1200"/>
  <c r="AB1199"/>
  <c r="AB1198"/>
  <c r="AB1197"/>
  <c r="AB1196"/>
  <c r="AB1195"/>
  <c r="AB1194"/>
  <c r="AB1193"/>
  <c r="AB1192"/>
  <c r="AB1191"/>
  <c r="AB1190"/>
  <c r="AB1189"/>
  <c r="AB1188"/>
  <c r="AB1187"/>
  <c r="AB1186"/>
  <c r="AB1185"/>
  <c r="AB1184"/>
  <c r="AB1183"/>
  <c r="AB1182"/>
  <c r="AB1181"/>
  <c r="AB1180"/>
  <c r="AB1179"/>
  <c r="AB1178"/>
  <c r="AB949"/>
  <c r="AB948"/>
  <c r="AB947"/>
  <c r="AB1392"/>
  <c r="AB946"/>
  <c r="AB945"/>
  <c r="AB944"/>
  <c r="AB943"/>
  <c r="AB942"/>
  <c r="AB941"/>
  <c r="AB940"/>
  <c r="AB939"/>
  <c r="AB938"/>
  <c r="AB937"/>
  <c r="AB936"/>
  <c r="AB935"/>
  <c r="AB934"/>
  <c r="AB933"/>
  <c r="AB932"/>
  <c r="AB931"/>
  <c r="AB930"/>
  <c r="AB929"/>
  <c r="AB928"/>
  <c r="AB927"/>
  <c r="AB926"/>
  <c r="AB925"/>
  <c r="AB924"/>
  <c r="AB923"/>
  <c r="AB922"/>
  <c r="AB921"/>
  <c r="AB920"/>
  <c r="AB919"/>
  <c r="AB918"/>
  <c r="AB917"/>
  <c r="AB916"/>
  <c r="AB915"/>
  <c r="AB914"/>
  <c r="AB1393"/>
  <c r="AB913"/>
  <c r="AB912"/>
  <c r="AB911"/>
  <c r="AB910"/>
  <c r="AB909"/>
  <c r="AB908"/>
  <c r="AB907"/>
  <c r="AB906"/>
  <c r="AB905"/>
  <c r="AB904"/>
  <c r="AB903"/>
  <c r="AB902"/>
  <c r="AB901"/>
  <c r="AB900"/>
  <c r="AB899"/>
  <c r="AB898"/>
  <c r="AB897"/>
  <c r="AB896"/>
  <c r="AB895"/>
  <c r="AB894"/>
  <c r="AB893"/>
  <c r="AB892"/>
  <c r="AB891"/>
  <c r="AB890"/>
  <c r="AB889"/>
  <c r="AB888"/>
  <c r="AB887"/>
  <c r="AB886"/>
  <c r="AB885"/>
  <c r="AB884"/>
  <c r="AB883"/>
  <c r="AB881"/>
  <c r="AB965"/>
  <c r="AB964"/>
  <c r="AB963"/>
  <c r="AB962"/>
  <c r="AB953"/>
  <c r="AB880"/>
  <c r="AB879"/>
  <c r="AB878"/>
  <c r="AB877"/>
  <c r="AB876"/>
  <c r="AB875"/>
  <c r="AB874"/>
  <c r="AB873"/>
  <c r="AB872"/>
  <c r="AB871"/>
  <c r="AB870"/>
  <c r="AB869"/>
  <c r="AB868"/>
  <c r="AB867"/>
  <c r="AB866"/>
  <c r="AB865"/>
  <c r="AC525"/>
  <c r="Z498"/>
  <c r="AB484"/>
  <c r="AB483"/>
  <c r="AB482"/>
  <c r="AB481"/>
  <c r="AB480"/>
  <c r="AB479"/>
  <c r="AB478"/>
  <c r="AB477"/>
  <c r="AB476"/>
  <c r="AB475"/>
  <c r="AB474"/>
  <c r="AB473"/>
  <c r="AB472"/>
  <c r="AB471"/>
  <c r="AB470"/>
  <c r="AB469"/>
  <c r="AB468"/>
  <c r="AB467"/>
  <c r="AB466"/>
  <c r="AB465"/>
  <c r="AB464"/>
  <c r="AB463"/>
  <c r="AB462"/>
  <c r="AB461"/>
  <c r="AB460"/>
  <c r="AB459"/>
  <c r="AB458"/>
  <c r="AB457"/>
  <c r="AB456"/>
  <c r="AB455"/>
  <c r="AB453"/>
  <c r="AB452"/>
  <c r="AB451"/>
  <c r="AB450"/>
  <c r="AB449"/>
  <c r="AB448"/>
  <c r="AB447"/>
  <c r="AB446"/>
  <c r="AB445"/>
  <c r="AB444"/>
  <c r="AB443"/>
  <c r="AB442"/>
  <c r="AB441"/>
  <c r="AB440"/>
  <c r="AB439"/>
  <c r="AB438"/>
  <c r="AB437"/>
  <c r="AB436"/>
  <c r="AB435"/>
  <c r="AB434"/>
  <c r="AB433"/>
  <c r="AB432"/>
  <c r="AB431"/>
  <c r="AB430"/>
  <c r="AA429"/>
  <c r="AC429" s="1"/>
  <c r="AB429"/>
  <c r="Z429"/>
  <c r="AB428"/>
  <c r="AB427"/>
  <c r="AB426"/>
  <c r="AB425"/>
  <c r="AB424"/>
  <c r="AB423"/>
  <c r="AB422"/>
  <c r="AB421"/>
  <c r="AB420"/>
  <c r="AB419"/>
  <c r="AB418"/>
  <c r="AB417"/>
  <c r="AB416"/>
  <c r="AB415"/>
  <c r="AB414"/>
  <c r="AB413"/>
  <c r="AB412"/>
  <c r="AB411"/>
  <c r="AB410"/>
  <c r="AB409"/>
  <c r="AB408"/>
  <c r="AB407"/>
  <c r="AB406"/>
  <c r="AB405"/>
  <c r="AB404"/>
  <c r="AB403"/>
  <c r="AB402"/>
  <c r="AB401"/>
  <c r="AB400"/>
  <c r="AB399"/>
  <c r="AB398"/>
  <c r="AB397"/>
  <c r="AB396"/>
  <c r="AB395"/>
  <c r="AB394"/>
  <c r="AB393"/>
  <c r="AB392"/>
  <c r="AB391"/>
  <c r="AB390"/>
  <c r="AB389"/>
  <c r="AB388"/>
  <c r="AB387"/>
  <c r="AB386"/>
  <c r="AB385"/>
  <c r="AB384"/>
  <c r="AB383"/>
  <c r="AB382"/>
  <c r="AB381"/>
  <c r="AB380"/>
  <c r="AB379"/>
  <c r="AB378"/>
  <c r="AB377"/>
  <c r="AB376"/>
  <c r="AB375"/>
  <c r="AB374"/>
  <c r="AB373"/>
  <c r="AB372"/>
  <c r="AB371"/>
  <c r="AB370"/>
  <c r="AB369"/>
  <c r="AB368"/>
  <c r="AB367"/>
  <c r="AB366"/>
  <c r="AB365"/>
  <c r="AB364"/>
  <c r="AB363"/>
  <c r="AB362"/>
  <c r="AB361"/>
  <c r="AB360"/>
  <c r="AB359"/>
  <c r="AB358"/>
  <c r="AB357"/>
  <c r="AB356"/>
  <c r="AB355"/>
  <c r="AB354"/>
  <c r="AB353"/>
  <c r="AB352"/>
  <c r="AB351"/>
  <c r="AB350"/>
  <c r="AB349"/>
  <c r="AB348"/>
  <c r="AB347"/>
  <c r="AB346"/>
  <c r="AB345"/>
  <c r="AB344"/>
  <c r="AB343"/>
  <c r="AB342"/>
  <c r="AB341"/>
  <c r="AB340"/>
  <c r="AB339"/>
  <c r="AB338"/>
  <c r="AB337"/>
  <c r="AB336"/>
  <c r="AB335"/>
  <c r="AB334"/>
  <c r="AB333"/>
  <c r="AB332"/>
  <c r="AB331"/>
  <c r="AB330"/>
  <c r="AB329"/>
  <c r="AB328"/>
  <c r="AB327"/>
  <c r="AB326"/>
  <c r="AB325"/>
  <c r="AB324"/>
  <c r="AB323"/>
  <c r="AB322"/>
  <c r="AB321"/>
  <c r="AB320"/>
  <c r="AB319"/>
  <c r="AB318"/>
  <c r="AB317"/>
  <c r="AB316"/>
  <c r="AB315"/>
  <c r="AB314"/>
  <c r="AB313"/>
  <c r="AB312"/>
  <c r="AB311"/>
  <c r="AB310"/>
  <c r="AB309"/>
  <c r="AB308"/>
  <c r="AB307"/>
  <c r="AB306"/>
  <c r="AB305"/>
  <c r="AB304"/>
  <c r="AB303"/>
  <c r="AB302"/>
  <c r="AB301"/>
  <c r="AB300"/>
  <c r="AB299"/>
  <c r="AB298"/>
  <c r="AB297"/>
  <c r="AB296"/>
  <c r="AB295"/>
  <c r="AB294"/>
  <c r="AB293"/>
  <c r="AB292"/>
  <c r="AB291"/>
  <c r="AB290"/>
  <c r="AB289"/>
  <c r="AB288"/>
  <c r="AB287"/>
  <c r="AB286"/>
  <c r="AB285"/>
  <c r="AB284"/>
  <c r="AB283"/>
  <c r="AB282"/>
  <c r="AB281"/>
  <c r="AB280"/>
  <c r="AB279"/>
  <c r="AB278"/>
  <c r="AB277"/>
  <c r="AB276"/>
  <c r="AB275"/>
  <c r="AB274"/>
  <c r="AB273"/>
  <c r="AB272"/>
  <c r="AB271"/>
  <c r="AB270"/>
  <c r="AB269"/>
  <c r="AB268"/>
  <c r="AB267"/>
  <c r="AB266"/>
  <c r="AB265"/>
  <c r="AB264"/>
  <c r="AC736"/>
  <c r="AC732"/>
  <c r="AC728"/>
  <c r="AC704"/>
  <c r="AC659"/>
  <c r="AC649"/>
  <c r="AC647"/>
  <c r="AC621"/>
  <c r="AC619"/>
  <c r="AC593"/>
  <c r="AC583"/>
  <c r="AC570"/>
  <c r="AB263"/>
  <c r="AB262"/>
  <c r="AB261"/>
  <c r="AB260"/>
  <c r="AB259"/>
  <c r="AB258"/>
  <c r="AB257"/>
  <c r="AB256"/>
  <c r="AB255"/>
  <c r="AB254"/>
  <c r="AB253"/>
  <c r="AB252"/>
  <c r="AB251"/>
  <c r="AB250"/>
  <c r="AB249"/>
  <c r="AB248"/>
  <c r="AB247"/>
  <c r="AB246"/>
  <c r="AB245"/>
  <c r="AB244"/>
  <c r="AB243"/>
  <c r="AB242"/>
  <c r="AB241"/>
  <c r="AB240"/>
  <c r="AB239"/>
  <c r="AB238"/>
  <c r="AB237"/>
  <c r="AB236"/>
  <c r="AB235"/>
  <c r="AB234"/>
  <c r="AB233"/>
  <c r="AB232"/>
  <c r="AB231"/>
  <c r="AB230"/>
  <c r="AB229"/>
  <c r="AB228"/>
  <c r="AB227"/>
  <c r="AB226"/>
  <c r="AB225"/>
  <c r="AB224"/>
  <c r="AB223"/>
  <c r="AB222"/>
  <c r="AB221"/>
  <c r="AB220"/>
  <c r="AB219"/>
  <c r="AB218"/>
  <c r="AB217"/>
  <c r="AB216"/>
  <c r="AB215"/>
  <c r="AB214"/>
  <c r="AB213"/>
  <c r="AB212"/>
  <c r="AB211"/>
  <c r="AB210"/>
  <c r="AB209"/>
  <c r="AB208"/>
  <c r="AB207"/>
  <c r="AB206"/>
  <c r="AB205"/>
  <c r="AB204"/>
  <c r="AB203"/>
  <c r="AB202"/>
  <c r="AB201"/>
  <c r="AB200"/>
  <c r="AB199"/>
  <c r="AB198"/>
  <c r="AB197"/>
  <c r="AB196"/>
  <c r="AB195"/>
  <c r="AB194"/>
  <c r="AB193"/>
  <c r="AB192"/>
  <c r="AB191"/>
  <c r="AB190"/>
  <c r="AB189"/>
  <c r="AB188"/>
  <c r="AB187"/>
  <c r="AB186"/>
  <c r="AB185"/>
  <c r="AB184"/>
  <c r="AB183"/>
  <c r="AB182"/>
  <c r="AB181"/>
  <c r="AB180"/>
  <c r="AB179"/>
  <c r="AB178"/>
  <c r="AB177"/>
  <c r="AB176"/>
  <c r="AB175"/>
  <c r="AB174"/>
  <c r="AB173"/>
  <c r="AB172"/>
  <c r="AB171"/>
  <c r="AB170"/>
  <c r="AB169"/>
  <c r="AB168"/>
  <c r="AB167"/>
  <c r="AB166"/>
  <c r="AB165"/>
  <c r="AB164"/>
  <c r="AB163"/>
  <c r="AB162"/>
  <c r="AB161"/>
  <c r="AB160"/>
  <c r="AB159"/>
  <c r="AB158"/>
  <c r="AB157"/>
  <c r="AB156"/>
  <c r="AB155"/>
  <c r="AB154"/>
  <c r="AB153"/>
  <c r="AB152"/>
  <c r="AB151"/>
  <c r="AB150"/>
  <c r="AB149"/>
  <c r="AB148"/>
  <c r="AB147"/>
  <c r="AB146"/>
  <c r="AB145"/>
  <c r="AB144"/>
  <c r="AB143"/>
  <c r="AB142"/>
  <c r="AB141"/>
  <c r="AB48"/>
  <c r="AB47"/>
  <c r="AB46"/>
  <c r="AB45"/>
  <c r="AB44"/>
  <c r="AB1581"/>
  <c r="AB43"/>
  <c r="AB42"/>
  <c r="AB41"/>
  <c r="AB40"/>
  <c r="AB39"/>
  <c r="AB38"/>
  <c r="AB37"/>
  <c r="AB36"/>
  <c r="AB35"/>
  <c r="AB34"/>
  <c r="AB33"/>
  <c r="AB32"/>
  <c r="AB31"/>
  <c r="AB30"/>
  <c r="AB29"/>
  <c r="AB28"/>
  <c r="AB27"/>
  <c r="AB25"/>
  <c r="AB24"/>
  <c r="AB23"/>
  <c r="AB22"/>
  <c r="AB21"/>
  <c r="AB20"/>
  <c r="AB19"/>
  <c r="AB18"/>
  <c r="AB17"/>
  <c r="AA1605"/>
  <c r="AC1605" s="1"/>
  <c r="Z1605"/>
  <c r="C1605"/>
  <c r="B1606"/>
  <c r="AB91"/>
  <c r="AB90"/>
  <c r="AB89"/>
  <c r="AB88"/>
  <c r="AB87"/>
  <c r="AB86"/>
  <c r="AB85"/>
  <c r="AB84"/>
  <c r="AB83"/>
  <c r="AB82"/>
  <c r="AB81"/>
  <c r="AB92"/>
  <c r="AB93"/>
  <c r="AB94"/>
  <c r="AB95"/>
  <c r="AB140"/>
  <c r="AB139"/>
  <c r="AB138"/>
  <c r="AB137"/>
  <c r="AB136"/>
  <c r="AB135"/>
  <c r="AB134"/>
  <c r="AB133"/>
  <c r="AB132"/>
  <c r="AB131"/>
  <c r="AB130"/>
  <c r="AB129"/>
  <c r="AB128"/>
  <c r="AB127"/>
  <c r="AB126"/>
  <c r="AB125"/>
  <c r="AB124"/>
  <c r="AB123"/>
  <c r="AB122"/>
  <c r="AB121"/>
  <c r="AB120"/>
  <c r="AB119"/>
  <c r="AB118"/>
  <c r="AB117"/>
  <c r="AB116"/>
  <c r="AB115"/>
  <c r="AB114"/>
  <c r="AB113"/>
  <c r="AB112"/>
  <c r="AB111"/>
  <c r="AB110"/>
  <c r="AB109"/>
  <c r="AB96"/>
  <c r="AB97"/>
  <c r="AB98"/>
  <c r="AB99"/>
  <c r="AB100"/>
  <c r="AB101"/>
  <c r="AB102"/>
  <c r="AB103"/>
  <c r="AB104"/>
  <c r="AB105"/>
  <c r="AB106"/>
  <c r="AB107"/>
  <c r="AB108"/>
  <c r="C3" i="7"/>
  <c r="D3"/>
  <c r="E3" s="1"/>
  <c r="E2" s="1"/>
  <c r="B3"/>
  <c r="B2" s="1"/>
  <c r="D13" i="13"/>
  <c r="C13"/>
  <c r="A13"/>
  <c r="B13"/>
  <c r="C2" i="7"/>
  <c r="C1" i="13"/>
  <c r="C2"/>
  <c r="D1"/>
  <c r="D2" s="1"/>
  <c r="AB1605" i="6"/>
  <c r="B2" i="8"/>
  <c r="C15" i="13"/>
  <c r="C16"/>
  <c r="C17"/>
  <c r="C18"/>
  <c r="B14"/>
  <c r="B15"/>
  <c r="B16"/>
  <c r="B17"/>
  <c r="B18"/>
  <c r="GO3" i="8"/>
  <c r="GO2"/>
  <c r="GP3"/>
  <c r="GP2" s="1"/>
  <c r="C14" i="13"/>
  <c r="F3" i="7"/>
  <c r="F2" s="1"/>
  <c r="G3"/>
  <c r="H3"/>
  <c r="K3"/>
  <c r="L3"/>
  <c r="L2" s="1"/>
  <c r="O3"/>
  <c r="O2" s="1"/>
  <c r="P3"/>
  <c r="P2" s="1"/>
  <c r="C14" i="5"/>
  <c r="C13"/>
  <c r="E1" i="13"/>
  <c r="E2"/>
  <c r="E122"/>
  <c r="D122"/>
  <c r="C122"/>
  <c r="B122"/>
  <c r="A122"/>
  <c r="E121"/>
  <c r="D121"/>
  <c r="C121"/>
  <c r="B121"/>
  <c r="A121"/>
  <c r="E120"/>
  <c r="D120"/>
  <c r="C120"/>
  <c r="B120"/>
  <c r="A120"/>
  <c r="E119"/>
  <c r="D119"/>
  <c r="C119"/>
  <c r="B119"/>
  <c r="A119"/>
  <c r="E118"/>
  <c r="D118"/>
  <c r="C118"/>
  <c r="B118"/>
  <c r="A118"/>
  <c r="E117"/>
  <c r="D117"/>
  <c r="C117"/>
  <c r="B117"/>
  <c r="A117"/>
  <c r="E116"/>
  <c r="D116"/>
  <c r="C116"/>
  <c r="B116"/>
  <c r="A116"/>
  <c r="E115"/>
  <c r="D115"/>
  <c r="C115"/>
  <c r="B115"/>
  <c r="A115"/>
  <c r="E114"/>
  <c r="D114"/>
  <c r="C114"/>
  <c r="B114"/>
  <c r="A114"/>
  <c r="E113"/>
  <c r="D113"/>
  <c r="C113"/>
  <c r="B113"/>
  <c r="A113"/>
  <c r="E112"/>
  <c r="D112"/>
  <c r="C112"/>
  <c r="B112"/>
  <c r="A112"/>
  <c r="E111"/>
  <c r="D111"/>
  <c r="C111"/>
  <c r="B111"/>
  <c r="A111"/>
  <c r="E110"/>
  <c r="D110"/>
  <c r="C110"/>
  <c r="B110"/>
  <c r="A110"/>
  <c r="E109"/>
  <c r="D109"/>
  <c r="C109"/>
  <c r="B109"/>
  <c r="A109"/>
  <c r="E108"/>
  <c r="D108"/>
  <c r="C108"/>
  <c r="B108"/>
  <c r="A108"/>
  <c r="E107"/>
  <c r="D107"/>
  <c r="C107"/>
  <c r="B107"/>
  <c r="A107"/>
  <c r="E106"/>
  <c r="D106"/>
  <c r="C106"/>
  <c r="B106"/>
  <c r="A106"/>
  <c r="E105"/>
  <c r="D105"/>
  <c r="C105"/>
  <c r="B105"/>
  <c r="A105"/>
  <c r="E104"/>
  <c r="D104"/>
  <c r="C104"/>
  <c r="B104"/>
  <c r="A104"/>
  <c r="E103"/>
  <c r="D103"/>
  <c r="C103"/>
  <c r="B103"/>
  <c r="A103"/>
  <c r="E102"/>
  <c r="D102"/>
  <c r="C102"/>
  <c r="B102"/>
  <c r="A102"/>
  <c r="E101"/>
  <c r="D101"/>
  <c r="C101"/>
  <c r="B101"/>
  <c r="A101"/>
  <c r="E100"/>
  <c r="D100"/>
  <c r="C100"/>
  <c r="B100"/>
  <c r="A100"/>
  <c r="E99"/>
  <c r="D99"/>
  <c r="C99"/>
  <c r="B99"/>
  <c r="A99"/>
  <c r="E98"/>
  <c r="D98"/>
  <c r="C98"/>
  <c r="B98"/>
  <c r="A98"/>
  <c r="E97"/>
  <c r="D97"/>
  <c r="C97"/>
  <c r="B97"/>
  <c r="A97"/>
  <c r="E96"/>
  <c r="D96"/>
  <c r="C96"/>
  <c r="B96"/>
  <c r="A96"/>
  <c r="E95"/>
  <c r="D95"/>
  <c r="C95"/>
  <c r="B95"/>
  <c r="A95"/>
  <c r="E94"/>
  <c r="D94"/>
  <c r="C94"/>
  <c r="B94"/>
  <c r="A94"/>
  <c r="E93"/>
  <c r="D93"/>
  <c r="C93"/>
  <c r="B93"/>
  <c r="A93"/>
  <c r="E92"/>
  <c r="D92"/>
  <c r="C92"/>
  <c r="B92"/>
  <c r="A92"/>
  <c r="E91"/>
  <c r="D91"/>
  <c r="C91"/>
  <c r="B91"/>
  <c r="A91"/>
  <c r="E90"/>
  <c r="D90"/>
  <c r="C90"/>
  <c r="B90"/>
  <c r="A90"/>
  <c r="E89"/>
  <c r="D89"/>
  <c r="C89"/>
  <c r="B89"/>
  <c r="A89"/>
  <c r="E88"/>
  <c r="D88"/>
  <c r="C88"/>
  <c r="B88"/>
  <c r="A88"/>
  <c r="E87"/>
  <c r="D87"/>
  <c r="C87"/>
  <c r="B87"/>
  <c r="A87"/>
  <c r="E86"/>
  <c r="D86"/>
  <c r="C86"/>
  <c r="B86"/>
  <c r="A86"/>
  <c r="E85"/>
  <c r="D85"/>
  <c r="C85"/>
  <c r="B85"/>
  <c r="A85"/>
  <c r="E84"/>
  <c r="D84"/>
  <c r="C84"/>
  <c r="B84"/>
  <c r="A84"/>
  <c r="E83"/>
  <c r="D83"/>
  <c r="C83"/>
  <c r="B83"/>
  <c r="A83"/>
  <c r="E82"/>
  <c r="D82"/>
  <c r="C82"/>
  <c r="B82"/>
  <c r="A82"/>
  <c r="E81"/>
  <c r="D81"/>
  <c r="C81"/>
  <c r="B81"/>
  <c r="A81"/>
  <c r="E80"/>
  <c r="D80"/>
  <c r="C80"/>
  <c r="B80"/>
  <c r="A80"/>
  <c r="E79"/>
  <c r="D79"/>
  <c r="C79"/>
  <c r="B79"/>
  <c r="A79"/>
  <c r="E78"/>
  <c r="D78"/>
  <c r="C78"/>
  <c r="B78"/>
  <c r="A78"/>
  <c r="E77"/>
  <c r="D77"/>
  <c r="C77"/>
  <c r="B77"/>
  <c r="A77"/>
  <c r="E76"/>
  <c r="D76"/>
  <c r="C76"/>
  <c r="B76"/>
  <c r="A76"/>
  <c r="E75"/>
  <c r="D75"/>
  <c r="C75"/>
  <c r="B75"/>
  <c r="A75"/>
  <c r="E74"/>
  <c r="D74"/>
  <c r="C74"/>
  <c r="B74"/>
  <c r="A74"/>
  <c r="E73"/>
  <c r="D73"/>
  <c r="C73"/>
  <c r="B73"/>
  <c r="A73"/>
  <c r="E72"/>
  <c r="D72"/>
  <c r="C72"/>
  <c r="B72"/>
  <c r="A72"/>
  <c r="E71"/>
  <c r="D71"/>
  <c r="C71"/>
  <c r="B71"/>
  <c r="A71"/>
  <c r="E70"/>
  <c r="D70"/>
  <c r="C70"/>
  <c r="B70"/>
  <c r="A70"/>
  <c r="E69"/>
  <c r="D69"/>
  <c r="C69"/>
  <c r="B69"/>
  <c r="A69"/>
  <c r="E68"/>
  <c r="D68"/>
  <c r="C68"/>
  <c r="B68"/>
  <c r="A68"/>
  <c r="E67"/>
  <c r="D67"/>
  <c r="C67"/>
  <c r="B67"/>
  <c r="A67"/>
  <c r="E66"/>
  <c r="D66"/>
  <c r="C66"/>
  <c r="B66"/>
  <c r="A66"/>
  <c r="E65"/>
  <c r="D65"/>
  <c r="C65"/>
  <c r="B65"/>
  <c r="A65"/>
  <c r="E64"/>
  <c r="D64"/>
  <c r="C64"/>
  <c r="B64"/>
  <c r="A64"/>
  <c r="E63"/>
  <c r="D63"/>
  <c r="C63"/>
  <c r="B63"/>
  <c r="A63"/>
  <c r="E62"/>
  <c r="D62"/>
  <c r="C62"/>
  <c r="B62"/>
  <c r="A62"/>
  <c r="E61"/>
  <c r="D61"/>
  <c r="C61"/>
  <c r="B61"/>
  <c r="A61"/>
  <c r="E60"/>
  <c r="D60"/>
  <c r="C60"/>
  <c r="B60"/>
  <c r="A60"/>
  <c r="E59"/>
  <c r="D59"/>
  <c r="C59"/>
  <c r="B59"/>
  <c r="A59"/>
  <c r="E58"/>
  <c r="D58"/>
  <c r="C58"/>
  <c r="B58"/>
  <c r="A58"/>
  <c r="E57"/>
  <c r="D57"/>
  <c r="C57"/>
  <c r="B57"/>
  <c r="A57"/>
  <c r="E56"/>
  <c r="D56"/>
  <c r="C56"/>
  <c r="B56"/>
  <c r="A56"/>
  <c r="E55"/>
  <c r="D55"/>
  <c r="C55"/>
  <c r="B55"/>
  <c r="A55"/>
  <c r="E54"/>
  <c r="D54"/>
  <c r="C54"/>
  <c r="B54"/>
  <c r="A54"/>
  <c r="E53"/>
  <c r="D53"/>
  <c r="C53"/>
  <c r="B53"/>
  <c r="A53"/>
  <c r="E52"/>
  <c r="D52"/>
  <c r="C52"/>
  <c r="B52"/>
  <c r="A52"/>
  <c r="E51"/>
  <c r="D51"/>
  <c r="C51"/>
  <c r="B51"/>
  <c r="A51"/>
  <c r="E50"/>
  <c r="D50"/>
  <c r="C50"/>
  <c r="B50"/>
  <c r="A50"/>
  <c r="E49"/>
  <c r="D49"/>
  <c r="C49"/>
  <c r="B49"/>
  <c r="A49"/>
  <c r="E48"/>
  <c r="D48"/>
  <c r="C48"/>
  <c r="B48"/>
  <c r="A48"/>
  <c r="E47"/>
  <c r="D47"/>
  <c r="C47"/>
  <c r="B47"/>
  <c r="A47"/>
  <c r="E46"/>
  <c r="D46"/>
  <c r="C46"/>
  <c r="B46"/>
  <c r="A46"/>
  <c r="E45"/>
  <c r="D45"/>
  <c r="C45"/>
  <c r="B45"/>
  <c r="A45"/>
  <c r="E44"/>
  <c r="D44"/>
  <c r="C44"/>
  <c r="B44"/>
  <c r="A44"/>
  <c r="E43"/>
  <c r="D43"/>
  <c r="C43"/>
  <c r="B43"/>
  <c r="A43"/>
  <c r="E42"/>
  <c r="D42"/>
  <c r="C42"/>
  <c r="B42"/>
  <c r="A42"/>
  <c r="E41"/>
  <c r="D41"/>
  <c r="C41"/>
  <c r="B41"/>
  <c r="A41"/>
  <c r="E40"/>
  <c r="D40"/>
  <c r="C40"/>
  <c r="B40"/>
  <c r="A40"/>
  <c r="E39"/>
  <c r="D39"/>
  <c r="C39"/>
  <c r="B39"/>
  <c r="A39"/>
  <c r="E38"/>
  <c r="D38"/>
  <c r="C38"/>
  <c r="B38"/>
  <c r="A38"/>
  <c r="E37"/>
  <c r="D37"/>
  <c r="C37"/>
  <c r="B37"/>
  <c r="A37"/>
  <c r="E36"/>
  <c r="D36"/>
  <c r="C36"/>
  <c r="B36"/>
  <c r="A36"/>
  <c r="E35"/>
  <c r="D35"/>
  <c r="C35"/>
  <c r="B35"/>
  <c r="A35"/>
  <c r="E34"/>
  <c r="D34"/>
  <c r="C34"/>
  <c r="B34"/>
  <c r="A34"/>
  <c r="E33"/>
  <c r="D33"/>
  <c r="C33"/>
  <c r="B33"/>
  <c r="A33"/>
  <c r="E32"/>
  <c r="D32"/>
  <c r="C32"/>
  <c r="B32"/>
  <c r="A32"/>
  <c r="E31"/>
  <c r="D31"/>
  <c r="C31"/>
  <c r="B31"/>
  <c r="A31"/>
  <c r="E30"/>
  <c r="D30"/>
  <c r="C30"/>
  <c r="B30"/>
  <c r="A30"/>
  <c r="E29"/>
  <c r="D29"/>
  <c r="C29"/>
  <c r="B29"/>
  <c r="A29"/>
  <c r="E28"/>
  <c r="D28"/>
  <c r="C28"/>
  <c r="B28"/>
  <c r="A28"/>
  <c r="E27"/>
  <c r="D27"/>
  <c r="C27"/>
  <c r="B27"/>
  <c r="A27"/>
  <c r="E26"/>
  <c r="D26"/>
  <c r="C26"/>
  <c r="B26"/>
  <c r="A26"/>
  <c r="E25"/>
  <c r="D25"/>
  <c r="C25"/>
  <c r="B25"/>
  <c r="A25"/>
  <c r="E24"/>
  <c r="D24"/>
  <c r="C24"/>
  <c r="B24"/>
  <c r="A24"/>
  <c r="E23"/>
  <c r="D23"/>
  <c r="C23"/>
  <c r="B23"/>
  <c r="A23"/>
  <c r="E22"/>
  <c r="D22"/>
  <c r="C22"/>
  <c r="B22"/>
  <c r="A22"/>
  <c r="E21"/>
  <c r="D21"/>
  <c r="C21"/>
  <c r="B21"/>
  <c r="A21"/>
  <c r="E20"/>
  <c r="D20"/>
  <c r="C20"/>
  <c r="B20"/>
  <c r="A20"/>
  <c r="E19"/>
  <c r="D19"/>
  <c r="C19"/>
  <c r="B19"/>
  <c r="A19"/>
  <c r="E18"/>
  <c r="D18"/>
  <c r="A18"/>
  <c r="E17"/>
  <c r="D17"/>
  <c r="A17"/>
  <c r="E16"/>
  <c r="D16"/>
  <c r="A16"/>
  <c r="E15"/>
  <c r="D15"/>
  <c r="A15"/>
  <c r="E14"/>
  <c r="D14"/>
  <c r="A14"/>
  <c r="E13"/>
  <c r="E12"/>
  <c r="D12"/>
  <c r="C12"/>
  <c r="B12"/>
  <c r="B2" s="1"/>
  <c r="A12"/>
  <c r="A2"/>
  <c r="AY3" i="7"/>
  <c r="AY2" s="1"/>
  <c r="BA3"/>
  <c r="BA2"/>
  <c r="BB3"/>
  <c r="BB2" s="1"/>
  <c r="BC3"/>
  <c r="BC2"/>
  <c r="BD3"/>
  <c r="BD2" s="1"/>
  <c r="BE3"/>
  <c r="BE2"/>
  <c r="BF3"/>
  <c r="BF2" s="1"/>
  <c r="BG3"/>
  <c r="BG2"/>
  <c r="BH3"/>
  <c r="BH2" s="1"/>
  <c r="BI3"/>
  <c r="BI2"/>
  <c r="BJ3"/>
  <c r="BJ2" s="1"/>
  <c r="BK3"/>
  <c r="BK2"/>
  <c r="BL3"/>
  <c r="BL2" s="1"/>
  <c r="BM3"/>
  <c r="BM2"/>
  <c r="BN3"/>
  <c r="BN2" s="1"/>
  <c r="BO3"/>
  <c r="BO2"/>
  <c r="BP3"/>
  <c r="BP2" s="1"/>
  <c r="BQ3"/>
  <c r="BQ2"/>
  <c r="BR3"/>
  <c r="BR2" s="1"/>
  <c r="BS3"/>
  <c r="BS2"/>
  <c r="BT3"/>
  <c r="BT2" s="1"/>
  <c r="BU3"/>
  <c r="BU2"/>
  <c r="BV3"/>
  <c r="BV2" s="1"/>
  <c r="BW3"/>
  <c r="BW2"/>
  <c r="BX3"/>
  <c r="BX2" s="1"/>
  <c r="BY3"/>
  <c r="BY2"/>
  <c r="BZ3"/>
  <c r="BZ2" s="1"/>
  <c r="CA3"/>
  <c r="CA2"/>
  <c r="CB3"/>
  <c r="CB2" s="1"/>
  <c r="CC3"/>
  <c r="CC2"/>
  <c r="CD3"/>
  <c r="CD2" s="1"/>
  <c r="CE3"/>
  <c r="CE2"/>
  <c r="CF3"/>
  <c r="CF2" s="1"/>
  <c r="CG3"/>
  <c r="CG2"/>
  <c r="C4" i="6"/>
  <c r="C3"/>
  <c r="B1" i="13"/>
  <c r="A1"/>
  <c r="R56" i="5"/>
  <c r="R55"/>
  <c r="R54"/>
  <c r="R53"/>
  <c r="R52"/>
  <c r="R51"/>
  <c r="R50"/>
  <c r="R49"/>
  <c r="R48"/>
  <c r="R47"/>
  <c r="R46"/>
  <c r="R45"/>
  <c r="R44"/>
  <c r="R43"/>
  <c r="R42"/>
  <c r="R41"/>
  <c r="R40"/>
  <c r="R39"/>
  <c r="R38"/>
  <c r="R37"/>
  <c r="R36"/>
  <c r="R35"/>
  <c r="R34"/>
  <c r="R33"/>
  <c r="R32"/>
  <c r="R31"/>
  <c r="R30"/>
  <c r="R29"/>
  <c r="R28"/>
  <c r="R27"/>
  <c r="R26"/>
  <c r="R25"/>
  <c r="R24"/>
  <c r="R23"/>
  <c r="R22"/>
  <c r="R21"/>
  <c r="R20"/>
  <c r="R19"/>
  <c r="R18"/>
  <c r="R17"/>
  <c r="R16"/>
  <c r="R15"/>
  <c r="R14"/>
  <c r="R13"/>
  <c r="R12"/>
  <c r="R11"/>
  <c r="R10"/>
  <c r="R9"/>
  <c r="R8"/>
  <c r="R7"/>
  <c r="R6"/>
  <c r="R5"/>
  <c r="R4"/>
  <c r="A4"/>
  <c r="A2"/>
  <c r="R3"/>
  <c r="C18"/>
  <c r="C17"/>
  <c r="C16"/>
  <c r="T13"/>
  <c r="C15"/>
  <c r="C12"/>
  <c r="C11"/>
  <c r="Q10"/>
  <c r="C10"/>
  <c r="C9"/>
  <c r="C8"/>
  <c r="C7"/>
  <c r="A7"/>
  <c r="C6"/>
  <c r="A6"/>
  <c r="C5"/>
  <c r="A5"/>
  <c r="C4"/>
  <c r="N3"/>
  <c r="C3"/>
  <c r="A3"/>
  <c r="R2"/>
  <c r="C2"/>
  <c r="E1"/>
  <c r="C1"/>
  <c r="CI3" i="7"/>
  <c r="CI2" s="1"/>
  <c r="CH3"/>
  <c r="CH2" s="1"/>
  <c r="Z2" i="6"/>
  <c r="B11" i="1"/>
  <c r="B10"/>
  <c r="B9"/>
  <c r="X3" i="8"/>
  <c r="X2" s="1"/>
  <c r="B752" i="6"/>
  <c r="B776"/>
  <c r="B761"/>
  <c r="B765"/>
  <c r="B1098"/>
  <c r="B959"/>
  <c r="B743"/>
  <c r="B747"/>
  <c r="B757"/>
  <c r="B1145"/>
  <c r="B1137"/>
  <c r="B1116"/>
  <c r="B1122"/>
  <c r="B1127"/>
  <c r="B1095"/>
  <c r="B1074"/>
  <c r="B1003"/>
  <c r="B1103"/>
  <c r="B1108"/>
  <c r="B1143"/>
  <c r="B16"/>
  <c r="B1119"/>
  <c r="B1124"/>
  <c r="B1135"/>
  <c r="B1148"/>
  <c r="B1052"/>
  <c r="B1132"/>
  <c r="B1100"/>
  <c r="B1111"/>
  <c r="B1140"/>
  <c r="B1150"/>
  <c r="B1142"/>
  <c r="B1118"/>
  <c r="B1102"/>
  <c r="B1065"/>
  <c r="B957"/>
  <c r="Y4" i="7"/>
  <c r="B1134" i="6"/>
  <c r="B1126"/>
  <c r="B1110"/>
  <c r="B736"/>
  <c r="B1004"/>
  <c r="B734"/>
  <c r="B1075"/>
  <c r="B792"/>
  <c r="B794"/>
  <c r="B950"/>
  <c r="B1146"/>
  <c r="BE2" i="8"/>
  <c r="DQ2"/>
  <c r="B1106" i="6"/>
  <c r="B742"/>
  <c r="B746"/>
  <c r="B855"/>
  <c r="AA2" i="8"/>
  <c r="B1130" i="6"/>
  <c r="B849"/>
  <c r="B857"/>
  <c r="B847"/>
  <c r="B1114"/>
  <c r="B1138"/>
  <c r="BU2" i="8"/>
  <c r="CG2"/>
  <c r="B738" i="6"/>
  <c r="B851"/>
  <c r="B859"/>
  <c r="GI3" i="8"/>
  <c r="GI2"/>
  <c r="BY1"/>
  <c r="BQ1"/>
  <c r="BI1"/>
  <c r="CC2"/>
  <c r="DM1"/>
  <c r="CV1"/>
  <c r="CN1"/>
  <c r="CE1"/>
  <c r="DP1"/>
  <c r="GD1"/>
  <c r="FC1"/>
  <c r="AC519" i="6"/>
  <c r="AA1" i="8"/>
  <c r="BI2"/>
  <c r="AM2"/>
  <c r="GJ1"/>
  <c r="BK1"/>
  <c r="BC1"/>
  <c r="CE2"/>
  <c r="DQ1"/>
  <c r="DG1"/>
  <c r="CX1"/>
  <c r="CP1"/>
  <c r="CG1"/>
  <c r="DO1"/>
  <c r="V1"/>
  <c r="P1"/>
  <c r="N1"/>
  <c r="GK1"/>
  <c r="BT1"/>
  <c r="DH1"/>
  <c r="CY1"/>
  <c r="CQ1"/>
  <c r="DY1"/>
  <c r="B1"/>
  <c r="Y1"/>
  <c r="W1"/>
  <c r="O1"/>
  <c r="L1"/>
  <c r="BU1"/>
  <c r="BM1"/>
  <c r="AC44" i="6"/>
  <c r="BE1" i="8"/>
  <c r="AM1"/>
  <c r="DS1"/>
  <c r="DI1"/>
  <c r="CZ1"/>
  <c r="CR1"/>
  <c r="CI1"/>
  <c r="CA1"/>
  <c r="CM1"/>
  <c r="AH1"/>
  <c r="AC504" i="6"/>
  <c r="AI2" i="7"/>
  <c r="AL3"/>
  <c r="AL2"/>
  <c r="BM2" i="8"/>
  <c r="GM1"/>
  <c r="DS2"/>
  <c r="DJ1"/>
  <c r="DA1"/>
  <c r="CS1"/>
  <c r="CJ1"/>
  <c r="GF1"/>
  <c r="AG4" i="7"/>
  <c r="AK4"/>
  <c r="BW1" i="8"/>
  <c r="BO1"/>
  <c r="BG1"/>
  <c r="DK1"/>
  <c r="CT1"/>
  <c r="CK1"/>
  <c r="CC1"/>
  <c r="BZ3"/>
  <c r="BZ2" s="1"/>
  <c r="FY3"/>
  <c r="FY2"/>
  <c r="CA2"/>
  <c r="FQ2"/>
  <c r="FO3"/>
  <c r="FO2"/>
  <c r="U1"/>
  <c r="T1"/>
  <c r="FM3"/>
  <c r="FM2"/>
  <c r="FL2"/>
  <c r="B1109" i="6"/>
  <c r="B1141"/>
  <c r="BW2" i="8"/>
  <c r="BO2"/>
  <c r="BK2"/>
  <c r="BG2"/>
  <c r="BC2"/>
  <c r="AK2"/>
  <c r="B762" i="6"/>
  <c r="B863"/>
  <c r="FK2" i="8"/>
  <c r="Z3"/>
  <c r="Z2" s="1"/>
  <c r="GD2"/>
  <c r="FZ2"/>
  <c r="GK2"/>
  <c r="DW2"/>
  <c r="GF2"/>
  <c r="S1"/>
  <c r="B1117" i="6"/>
  <c r="B1149"/>
  <c r="B748"/>
  <c r="B758"/>
  <c r="FV2" i="8"/>
  <c r="B744" i="6"/>
  <c r="B1125"/>
  <c r="AC1575"/>
  <c r="B800"/>
  <c r="B808"/>
  <c r="FT2" i="8"/>
  <c r="GB2"/>
  <c r="GM2"/>
  <c r="DY2"/>
  <c r="DU2"/>
  <c r="B1101" i="6"/>
  <c r="B1133"/>
  <c r="B740"/>
  <c r="B753"/>
  <c r="B785"/>
  <c r="B789"/>
  <c r="B818"/>
  <c r="B826"/>
  <c r="B834"/>
  <c r="B842"/>
  <c r="B777"/>
  <c r="B850"/>
  <c r="B858"/>
  <c r="B796"/>
  <c r="B846"/>
  <c r="B804"/>
  <c r="B822"/>
  <c r="B830"/>
  <c r="B838"/>
  <c r="B815"/>
  <c r="B812"/>
  <c r="B854"/>
  <c r="B862"/>
  <c r="B781"/>
  <c r="B795"/>
  <c r="B784"/>
  <c r="B803"/>
  <c r="B814"/>
  <c r="B811"/>
  <c r="B821"/>
  <c r="B829"/>
  <c r="B837"/>
  <c r="B861"/>
  <c r="B853"/>
  <c r="B780"/>
  <c r="B845"/>
  <c r="B788"/>
  <c r="B799"/>
  <c r="B807"/>
  <c r="B1382"/>
  <c r="B825"/>
  <c r="B833"/>
  <c r="B841"/>
  <c r="B1076"/>
  <c r="B1147"/>
  <c r="B1139"/>
  <c r="B1131"/>
  <c r="B1123"/>
  <c r="B1115"/>
  <c r="B1107"/>
  <c r="B1099"/>
  <c r="B737"/>
  <c r="B1088"/>
  <c r="B1080"/>
  <c r="B954"/>
  <c r="B802"/>
  <c r="B810"/>
  <c r="B783"/>
  <c r="B820"/>
  <c r="B828"/>
  <c r="B836"/>
  <c r="B1104"/>
  <c r="B1112"/>
  <c r="B775"/>
  <c r="B739"/>
  <c r="B755"/>
  <c r="B779"/>
  <c r="B852"/>
  <c r="B860"/>
  <c r="B844"/>
  <c r="B956"/>
  <c r="B1096"/>
  <c r="B1120"/>
  <c r="B1128"/>
  <c r="B1136"/>
  <c r="B1144"/>
  <c r="B787"/>
  <c r="B798"/>
  <c r="B806"/>
  <c r="B824"/>
  <c r="B832"/>
  <c r="B840"/>
  <c r="B817"/>
  <c r="B751"/>
  <c r="B774"/>
  <c r="B848"/>
  <c r="B856"/>
  <c r="B760"/>
  <c r="B764"/>
  <c r="B1005"/>
  <c r="B1000"/>
  <c r="B573"/>
  <c r="B656"/>
  <c r="B731"/>
  <c r="B1002"/>
  <c r="B697"/>
  <c r="B998"/>
  <c r="B1001"/>
  <c r="B723"/>
  <c r="B699"/>
  <c r="B721"/>
  <c r="B999"/>
  <c r="B1329"/>
  <c r="AN3" i="7"/>
  <c r="AN2" s="1"/>
  <c r="AS2"/>
  <c r="AU2"/>
  <c r="AO2"/>
  <c r="AQ2"/>
  <c r="D2"/>
  <c r="H2"/>
  <c r="I3"/>
  <c r="J3" s="1"/>
  <c r="J2" s="1"/>
  <c r="Q2"/>
  <c r="K2"/>
  <c r="G2"/>
  <c r="B773" i="6"/>
  <c r="B1331"/>
  <c r="B769"/>
  <c r="B1317"/>
  <c r="B1325"/>
  <c r="B1341"/>
  <c r="AC1411"/>
  <c r="B1284"/>
  <c r="B1295"/>
  <c r="B7"/>
  <c r="B1309"/>
  <c r="B1327"/>
  <c r="B653"/>
  <c r="AB651"/>
  <c r="AC1427"/>
  <c r="B1276"/>
  <c r="B1286"/>
  <c r="B1305"/>
  <c r="B654"/>
  <c r="B698"/>
  <c r="B733"/>
  <c r="B676"/>
  <c r="AC294"/>
  <c r="B1319"/>
  <c r="B688"/>
  <c r="B559"/>
  <c r="B9"/>
  <c r="B1337"/>
  <c r="B1353"/>
  <c r="B1361"/>
  <c r="B671"/>
  <c r="B714"/>
  <c r="B1300"/>
  <c r="B1323"/>
  <c r="B1342"/>
  <c r="B1271"/>
  <c r="B1363"/>
  <c r="B673"/>
  <c r="B1281"/>
  <c r="B732"/>
  <c r="B1371"/>
  <c r="B574"/>
  <c r="B700"/>
  <c r="B571"/>
  <c r="B677"/>
  <c r="B767"/>
  <c r="B1269"/>
  <c r="B1290"/>
  <c r="B1298"/>
  <c r="B1311"/>
  <c r="B1316"/>
  <c r="B1321"/>
  <c r="B1339"/>
  <c r="B1344"/>
  <c r="B1347"/>
  <c r="B1355"/>
  <c r="B1360"/>
  <c r="B735"/>
  <c r="B674"/>
  <c r="B13"/>
  <c r="B1313"/>
  <c r="B1328"/>
  <c r="B668"/>
  <c r="B722"/>
  <c r="B1377"/>
  <c r="B1007"/>
  <c r="AC326"/>
  <c r="AC1384"/>
  <c r="B1297"/>
  <c r="B1315"/>
  <c r="B1333"/>
  <c r="B1343"/>
  <c r="B1351"/>
  <c r="B701"/>
  <c r="B1335"/>
  <c r="B1356"/>
  <c r="B1280"/>
  <c r="B686"/>
  <c r="B11"/>
  <c r="B1278"/>
  <c r="B1299"/>
  <c r="B1345"/>
  <c r="B1370"/>
  <c r="B1070"/>
  <c r="B1226"/>
  <c r="B1227"/>
  <c r="B952"/>
  <c r="B1282"/>
  <c r="B1303"/>
  <c r="B1358"/>
  <c r="B1402"/>
  <c r="B667"/>
  <c r="B1035"/>
  <c r="B1279"/>
  <c r="B1294"/>
  <c r="B1365"/>
  <c r="B1401"/>
  <c r="B670"/>
  <c r="B675"/>
  <c r="B1021"/>
  <c r="B12"/>
  <c r="B1288"/>
  <c r="B1349"/>
  <c r="B1359"/>
  <c r="B1376"/>
  <c r="B8"/>
  <c r="B1597"/>
  <c r="B1023"/>
  <c r="B1039"/>
  <c r="B1009"/>
  <c r="AC1232"/>
  <c r="AC1243"/>
  <c r="AC1190"/>
  <c r="AC1235"/>
  <c r="AC1234"/>
  <c r="AC1217"/>
  <c r="AC1225"/>
  <c r="B967"/>
  <c r="AC919"/>
  <c r="B1285"/>
  <c r="B1308"/>
  <c r="B1368"/>
  <c r="AC259"/>
  <c r="AC1242"/>
  <c r="B1270"/>
  <c r="B1340"/>
  <c r="AC1582"/>
  <c r="B472"/>
  <c r="AC472" s="1"/>
  <c r="AC1428"/>
  <c r="B1357"/>
  <c r="AC885"/>
  <c r="AC942"/>
  <c r="B1312"/>
  <c r="B1322"/>
  <c r="B476"/>
  <c r="AC476" s="1"/>
  <c r="B1277"/>
  <c r="B1289"/>
  <c r="B1302"/>
  <c r="B1334"/>
  <c r="B1354"/>
  <c r="AC1412"/>
  <c r="B500"/>
  <c r="AC500" s="1"/>
  <c r="AC1266"/>
  <c r="AC356"/>
  <c r="AC388"/>
  <c r="B1326"/>
  <c r="B1336"/>
  <c r="B1366"/>
  <c r="AC1591"/>
  <c r="B1348"/>
  <c r="B1268"/>
  <c r="B1287"/>
  <c r="B1304"/>
  <c r="B1320"/>
  <c r="B1350"/>
  <c r="B1364"/>
  <c r="AC1586"/>
  <c r="B1301"/>
  <c r="B1310"/>
  <c r="B1324"/>
  <c r="B1338"/>
  <c r="B1352"/>
  <c r="AC1254"/>
  <c r="B1283"/>
  <c r="B1318"/>
  <c r="B1332"/>
  <c r="B1367"/>
  <c r="B1275"/>
  <c r="B1296"/>
  <c r="B1314"/>
  <c r="B1330"/>
  <c r="B1346"/>
  <c r="B1362"/>
  <c r="B669"/>
  <c r="B678"/>
  <c r="B554"/>
  <c r="AC1597"/>
  <c r="B958"/>
  <c r="AC958" s="1"/>
  <c r="B1026"/>
  <c r="B558"/>
  <c r="B730"/>
  <c r="AC670"/>
  <c r="B672"/>
  <c r="AC722"/>
  <c r="AC1376"/>
  <c r="B552"/>
  <c r="AC552" s="1"/>
  <c r="AC1562"/>
  <c r="AC1566"/>
  <c r="AC1565"/>
  <c r="AC1569"/>
  <c r="B1587"/>
  <c r="AC1587" s="1"/>
  <c r="AC1579"/>
  <c r="FP3" i="8"/>
  <c r="FP2"/>
  <c r="K1"/>
  <c r="J1"/>
  <c r="I2" i="7"/>
  <c r="FR2" i="8" l="1"/>
  <c r="FS3"/>
  <c r="FS2" s="1"/>
  <c r="S3" i="7"/>
  <c r="R2"/>
  <c r="AC47" i="6"/>
  <c r="AC432"/>
  <c r="AC440"/>
  <c r="AC448"/>
  <c r="AC481"/>
  <c r="AC1559"/>
  <c r="AC557"/>
  <c r="AC531"/>
  <c r="EU2" i="8"/>
  <c r="EM2"/>
  <c r="AC494" i="6"/>
  <c r="AC490"/>
  <c r="AC27"/>
  <c r="AC20"/>
  <c r="AC14"/>
  <c r="AC437"/>
  <c r="AC462"/>
  <c r="AC470"/>
  <c r="AC478"/>
  <c r="AC1574"/>
  <c r="AC550"/>
  <c r="AC1396"/>
  <c r="AC554"/>
  <c r="AC434"/>
  <c r="AC442"/>
  <c r="AC450"/>
  <c r="AC467"/>
  <c r="AC491"/>
  <c r="AC431"/>
  <c r="AC439"/>
  <c r="AC464"/>
  <c r="AC480"/>
  <c r="AC551"/>
  <c r="AC547"/>
  <c r="BB3" i="8"/>
  <c r="BB2" s="1"/>
  <c r="U4" i="7"/>
  <c r="AC22" i="6"/>
  <c r="AC10"/>
  <c r="AC436"/>
  <c r="AC461"/>
  <c r="AC477"/>
  <c r="AC17"/>
  <c r="AC433"/>
  <c r="AC466"/>
  <c r="AC1560"/>
  <c r="AC564"/>
  <c r="AC544"/>
  <c r="AC556"/>
  <c r="FD2" i="8"/>
  <c r="AC1399" i="6"/>
  <c r="AC458"/>
  <c r="AC558"/>
  <c r="M3" i="7"/>
  <c r="AC446" i="6"/>
  <c r="AC463"/>
  <c r="AC471"/>
  <c r="AC1573"/>
  <c r="AC489"/>
  <c r="V4" i="7"/>
  <c r="AC435" i="6"/>
  <c r="AC460"/>
  <c r="AC549"/>
  <c r="AC541"/>
  <c r="AC964"/>
  <c r="B335"/>
  <c r="B893"/>
  <c r="B1243"/>
  <c r="B259"/>
  <c r="B307"/>
  <c r="B1459"/>
  <c r="B1586"/>
  <c r="B183"/>
  <c r="B351"/>
  <c r="B367"/>
  <c r="B93"/>
  <c r="B1387"/>
  <c r="B1567"/>
  <c r="B651"/>
  <c r="B942"/>
  <c r="B23"/>
  <c r="AC23" s="1"/>
  <c r="B105"/>
  <c r="B184"/>
  <c r="B290"/>
  <c r="B298"/>
  <c r="B895"/>
  <c r="B908"/>
  <c r="B1374"/>
  <c r="B147"/>
  <c r="B213"/>
  <c r="B870"/>
  <c r="B878"/>
  <c r="B133"/>
  <c r="B1378"/>
  <c r="B1460"/>
  <c r="B385"/>
  <c r="B171"/>
  <c r="B179"/>
  <c r="B146"/>
  <c r="B170"/>
  <c r="B289"/>
  <c r="B336"/>
  <c r="B869"/>
  <c r="B1434"/>
  <c r="B916"/>
  <c r="B219"/>
  <c r="AC219"/>
  <c r="B227"/>
  <c r="B1190"/>
  <c r="B1223"/>
  <c r="B1458"/>
  <c r="B288"/>
  <c r="B350"/>
  <c r="B879"/>
  <c r="B1389"/>
  <c r="B1411"/>
  <c r="B1450"/>
  <c r="B169"/>
  <c r="B32"/>
  <c r="B295"/>
  <c r="B329"/>
  <c r="B453"/>
  <c r="B868"/>
  <c r="B1222"/>
  <c r="B1391"/>
  <c r="B94"/>
  <c r="B1444"/>
  <c r="B99"/>
  <c r="B233"/>
  <c r="B294"/>
  <c r="B328"/>
  <c r="B1496"/>
  <c r="B1504"/>
  <c r="B1512"/>
  <c r="B1520"/>
  <c r="B1528"/>
  <c r="B1536"/>
  <c r="B1544"/>
  <c r="B1552"/>
  <c r="B1561"/>
  <c r="B1569"/>
  <c r="B124"/>
  <c r="B134"/>
  <c r="B182"/>
  <c r="B192"/>
  <c r="B277"/>
  <c r="B316"/>
  <c r="B380"/>
  <c r="B1440"/>
  <c r="B1500"/>
  <c r="B1508"/>
  <c r="B1516"/>
  <c r="B1524"/>
  <c r="B1532"/>
  <c r="B1540"/>
  <c r="B1548"/>
  <c r="B1556"/>
  <c r="B152"/>
  <c r="B217"/>
  <c r="B242"/>
  <c r="B403"/>
  <c r="B421"/>
  <c r="B1193"/>
  <c r="B503"/>
  <c r="B70"/>
  <c r="B75"/>
  <c r="B941"/>
  <c r="B1430"/>
  <c r="B771"/>
  <c r="B151"/>
  <c r="B231"/>
  <c r="B241"/>
  <c r="B286"/>
  <c r="B365"/>
  <c r="B402"/>
  <c r="B1451"/>
  <c r="B194"/>
  <c r="B77"/>
  <c r="B140"/>
  <c r="B185"/>
  <c r="B216"/>
  <c r="B262"/>
  <c r="B267"/>
  <c r="B386"/>
  <c r="B927"/>
  <c r="B1385"/>
  <c r="B1429"/>
  <c r="B1438"/>
  <c r="B1554"/>
  <c r="B1579"/>
  <c r="B770"/>
  <c r="B1208"/>
  <c r="B1221"/>
  <c r="B1209"/>
  <c r="B1237"/>
  <c r="B1255"/>
  <c r="B1229"/>
  <c r="B1234"/>
  <c r="B1252"/>
  <c r="B1250"/>
  <c r="B1247"/>
  <c r="B1257"/>
  <c r="B1259"/>
  <c r="B1230"/>
  <c r="B1238"/>
  <c r="B1251"/>
  <c r="B1264"/>
  <c r="B953"/>
  <c r="B226"/>
  <c r="B1598"/>
  <c r="B110"/>
  <c r="B118"/>
  <c r="B154"/>
  <c r="B235"/>
  <c r="B240"/>
  <c r="B305"/>
  <c r="B318"/>
  <c r="B323"/>
  <c r="B346"/>
  <c r="B358"/>
  <c r="B366"/>
  <c r="B414"/>
  <c r="B438"/>
  <c r="B871"/>
  <c r="B876"/>
  <c r="B887"/>
  <c r="B892"/>
  <c r="B1192"/>
  <c r="B1219"/>
  <c r="B1249"/>
  <c r="B1372"/>
  <c r="B1384"/>
  <c r="B1428"/>
  <c r="B1452"/>
  <c r="B1457"/>
  <c r="B1502"/>
  <c r="B1510"/>
  <c r="B1518"/>
  <c r="B1526"/>
  <c r="B1534"/>
  <c r="B1542"/>
  <c r="B1550"/>
  <c r="B1584"/>
  <c r="B86"/>
  <c r="B91"/>
  <c r="B266"/>
  <c r="B325"/>
  <c r="B368"/>
  <c r="B370"/>
  <c r="B401"/>
  <c r="B408"/>
  <c r="B416"/>
  <c r="B430"/>
  <c r="B914"/>
  <c r="B1442"/>
  <c r="B117"/>
  <c r="B106"/>
  <c r="B122"/>
  <c r="B153"/>
  <c r="B163"/>
  <c r="B168"/>
  <c r="B260"/>
  <c r="B337"/>
  <c r="B352"/>
  <c r="B357"/>
  <c r="B387"/>
  <c r="B395"/>
  <c r="B400"/>
  <c r="B420"/>
  <c r="B883"/>
  <c r="B896"/>
  <c r="B909"/>
  <c r="B1191"/>
  <c r="B1218"/>
  <c r="B1245"/>
  <c r="B1441"/>
  <c r="B1498"/>
  <c r="B1506"/>
  <c r="B1514"/>
  <c r="B1522"/>
  <c r="B1530"/>
  <c r="B1538"/>
  <c r="B1546"/>
  <c r="B1563"/>
  <c r="B1568"/>
  <c r="B190"/>
  <c r="B95"/>
  <c r="B132"/>
  <c r="B212"/>
  <c r="B369"/>
  <c r="B371"/>
  <c r="B877"/>
  <c r="B939"/>
  <c r="B1220"/>
  <c r="B74"/>
  <c r="B92"/>
  <c r="B915"/>
  <c r="B1090"/>
  <c r="B1082"/>
  <c r="B1034"/>
  <c r="B898"/>
  <c r="B920"/>
  <c r="B922"/>
  <c r="B925"/>
  <c r="B907"/>
  <c r="B897"/>
  <c r="B886"/>
  <c r="B926"/>
  <c r="B918"/>
  <c r="B935"/>
  <c r="B940"/>
  <c r="B275"/>
  <c r="B392"/>
  <c r="B911"/>
  <c r="B1236"/>
  <c r="B1072"/>
  <c r="B1064"/>
  <c r="B1032"/>
  <c r="B1024"/>
  <c r="B1016"/>
  <c r="B1008"/>
  <c r="B1086"/>
  <c r="B1078"/>
  <c r="B1030"/>
  <c r="B1014"/>
  <c r="B1006"/>
  <c r="B279"/>
  <c r="B84"/>
  <c r="B1068"/>
  <c r="B1060"/>
  <c r="B1036"/>
  <c r="B1028"/>
  <c r="B1020"/>
  <c r="B1069"/>
  <c r="B1054"/>
  <c r="B1018"/>
  <c r="B1037"/>
  <c r="B1010"/>
  <c r="B1073"/>
  <c r="B1033"/>
  <c r="B1087"/>
  <c r="B1081"/>
  <c r="B1051"/>
  <c r="B1094"/>
  <c r="B1063"/>
  <c r="B1013"/>
  <c r="B1017"/>
  <c r="B1089"/>
  <c r="B1071"/>
  <c r="B1056"/>
  <c r="B1066"/>
  <c r="B1012"/>
  <c r="B1031"/>
  <c r="B1019"/>
  <c r="B1022"/>
  <c r="B1038"/>
  <c r="B1050"/>
  <c r="B1084"/>
  <c r="B1058"/>
  <c r="B1053"/>
  <c r="B1091"/>
  <c r="B1055"/>
  <c r="B1085"/>
  <c r="B1011"/>
  <c r="B1092"/>
  <c r="B1062"/>
  <c r="AC1090"/>
  <c r="AC1086"/>
  <c r="AC1082"/>
  <c r="AC1078"/>
  <c r="AC1072"/>
  <c r="AC1068"/>
  <c r="AC1064"/>
  <c r="AC1060"/>
  <c r="AC1036"/>
  <c r="AC1034"/>
  <c r="AC1032"/>
  <c r="AC1030"/>
  <c r="AC1028"/>
  <c r="AC1024"/>
  <c r="AC1020"/>
  <c r="AC1016"/>
  <c r="AC1014"/>
  <c r="AC1008"/>
  <c r="AC1006"/>
  <c r="B1015"/>
  <c r="B1079"/>
  <c r="B1057"/>
  <c r="B1061"/>
  <c r="B1025"/>
  <c r="B1077"/>
  <c r="B1067"/>
  <c r="B1027"/>
  <c r="B1059"/>
  <c r="B1083"/>
  <c r="B71"/>
  <c r="B965"/>
  <c r="B145"/>
  <c r="B173"/>
  <c r="B191"/>
  <c r="B244"/>
  <c r="B1423"/>
  <c r="B33"/>
  <c r="B246"/>
  <c r="B1425"/>
  <c r="B172"/>
  <c r="B251"/>
  <c r="B248"/>
  <c r="B256"/>
  <c r="B391"/>
  <c r="B406"/>
  <c r="B1509"/>
  <c r="B136"/>
  <c r="B268"/>
  <c r="B872"/>
  <c r="B899"/>
  <c r="AC1236"/>
  <c r="B1379"/>
  <c r="AC1423"/>
  <c r="AC1425"/>
  <c r="B1461"/>
  <c r="B936"/>
  <c r="B1188"/>
  <c r="B1241"/>
  <c r="B252"/>
  <c r="B38"/>
  <c r="B69"/>
  <c r="B88"/>
  <c r="B98"/>
  <c r="B103"/>
  <c r="B108"/>
  <c r="B131"/>
  <c r="AC145"/>
  <c r="B167"/>
  <c r="B187"/>
  <c r="AC191"/>
  <c r="B237"/>
  <c r="B270"/>
  <c r="B272"/>
  <c r="B274"/>
  <c r="B281"/>
  <c r="B301"/>
  <c r="B310"/>
  <c r="B320"/>
  <c r="B339"/>
  <c r="B354"/>
  <c r="B361"/>
  <c r="B382"/>
  <c r="B398"/>
  <c r="B405"/>
  <c r="B407"/>
  <c r="B412"/>
  <c r="B424"/>
  <c r="B451"/>
  <c r="B457"/>
  <c r="B865"/>
  <c r="B874"/>
  <c r="AC963"/>
  <c r="B894"/>
  <c r="B929"/>
  <c r="B1181"/>
  <c r="B1200"/>
  <c r="B1248"/>
  <c r="B1262"/>
  <c r="B1413"/>
  <c r="B1415"/>
  <c r="B1417"/>
  <c r="B1419"/>
  <c r="B1421"/>
  <c r="B1432"/>
  <c r="B1447"/>
  <c r="B1454"/>
  <c r="B1463"/>
  <c r="AC1509"/>
  <c r="B389"/>
  <c r="AC248"/>
  <c r="AC325"/>
  <c r="B422"/>
  <c r="B176"/>
  <c r="B273"/>
  <c r="B423"/>
  <c r="B78"/>
  <c r="B83"/>
  <c r="B90"/>
  <c r="B138"/>
  <c r="B143"/>
  <c r="B193"/>
  <c r="B239"/>
  <c r="B265"/>
  <c r="B293"/>
  <c r="B303"/>
  <c r="B322"/>
  <c r="B334"/>
  <c r="B344"/>
  <c r="B349"/>
  <c r="B356"/>
  <c r="B363"/>
  <c r="B384"/>
  <c r="B479"/>
  <c r="B867"/>
  <c r="B931"/>
  <c r="B933"/>
  <c r="B938"/>
  <c r="B1183"/>
  <c r="B1185"/>
  <c r="B1203"/>
  <c r="B1205"/>
  <c r="B1207"/>
  <c r="B1217"/>
  <c r="B1228"/>
  <c r="B1381"/>
  <c r="B1449"/>
  <c r="B1456"/>
  <c r="B1465"/>
  <c r="B1467"/>
  <c r="B1469"/>
  <c r="B1471"/>
  <c r="B1473"/>
  <c r="B1475"/>
  <c r="B1477"/>
  <c r="B1479"/>
  <c r="B1481"/>
  <c r="B1483"/>
  <c r="B1485"/>
  <c r="B1487"/>
  <c r="B1489"/>
  <c r="B1491"/>
  <c r="B1493"/>
  <c r="B1495"/>
  <c r="B1497"/>
  <c r="B1499"/>
  <c r="B1501"/>
  <c r="B1503"/>
  <c r="B1505"/>
  <c r="B1507"/>
  <c r="B1511"/>
  <c r="B1513"/>
  <c r="B1515"/>
  <c r="B1517"/>
  <c r="B1519"/>
  <c r="B1521"/>
  <c r="B1523"/>
  <c r="B1525"/>
  <c r="B1527"/>
  <c r="B1529"/>
  <c r="B1531"/>
  <c r="B1533"/>
  <c r="B1535"/>
  <c r="B1537"/>
  <c r="B1539"/>
  <c r="B1541"/>
  <c r="B1543"/>
  <c r="B1545"/>
  <c r="B1547"/>
  <c r="B1549"/>
  <c r="B1551"/>
  <c r="B1553"/>
  <c r="B1555"/>
  <c r="B1558"/>
  <c r="B1562"/>
  <c r="B1583"/>
  <c r="B1585"/>
  <c r="B5"/>
  <c r="B475"/>
  <c r="AC475" s="1"/>
  <c r="B254"/>
  <c r="AC33"/>
  <c r="B487"/>
  <c r="B284"/>
  <c r="B1214"/>
  <c r="B1187"/>
  <c r="B1431"/>
  <c r="B250"/>
  <c r="AC172"/>
  <c r="B37"/>
  <c r="B97"/>
  <c r="B115"/>
  <c r="B125"/>
  <c r="B156"/>
  <c r="B186"/>
  <c r="B243"/>
  <c r="AC251"/>
  <c r="B319"/>
  <c r="B353"/>
  <c r="B376"/>
  <c r="B381"/>
  <c r="B388"/>
  <c r="B404"/>
  <c r="AC406"/>
  <c r="B456"/>
  <c r="B474"/>
  <c r="B880"/>
  <c r="B910"/>
  <c r="B928"/>
  <c r="B1199"/>
  <c r="B1235"/>
  <c r="B1412"/>
  <c r="B1453"/>
  <c r="B1566"/>
  <c r="B1592"/>
  <c r="B48"/>
  <c r="B111"/>
  <c r="AC244"/>
  <c r="AC246"/>
  <c r="AC256"/>
  <c r="AC391"/>
  <c r="B1588"/>
  <c r="B904"/>
  <c r="B209"/>
  <c r="B73"/>
  <c r="B80"/>
  <c r="B120"/>
  <c r="B144"/>
  <c r="B164"/>
  <c r="AC275"/>
  <c r="B324"/>
  <c r="B338"/>
  <c r="B1403"/>
  <c r="B222"/>
  <c r="B1604"/>
  <c r="B39"/>
  <c r="B42"/>
  <c r="B87"/>
  <c r="B142"/>
  <c r="AC144"/>
  <c r="B149"/>
  <c r="B166"/>
  <c r="B181"/>
  <c r="B188"/>
  <c r="B207"/>
  <c r="B210"/>
  <c r="B229"/>
  <c r="B238"/>
  <c r="B245"/>
  <c r="B247"/>
  <c r="B249"/>
  <c r="B253"/>
  <c r="B255"/>
  <c r="B257"/>
  <c r="B264"/>
  <c r="B269"/>
  <c r="B271"/>
  <c r="B292"/>
  <c r="B309"/>
  <c r="B331"/>
  <c r="B340"/>
  <c r="B348"/>
  <c r="B355"/>
  <c r="B383"/>
  <c r="B390"/>
  <c r="B397"/>
  <c r="B418"/>
  <c r="B425"/>
  <c r="B866"/>
  <c r="B873"/>
  <c r="B885"/>
  <c r="B890"/>
  <c r="B900"/>
  <c r="B905"/>
  <c r="B930"/>
  <c r="B937"/>
  <c r="B1180"/>
  <c r="B1225"/>
  <c r="B1232"/>
  <c r="B1242"/>
  <c r="B1261"/>
  <c r="B1407"/>
  <c r="B1435"/>
  <c r="B1437"/>
  <c r="B1439"/>
  <c r="B1446"/>
  <c r="B1455"/>
  <c r="B1462"/>
  <c r="B1582"/>
  <c r="B522"/>
  <c r="B790"/>
  <c r="B1572"/>
  <c r="B72"/>
  <c r="B79"/>
  <c r="B89"/>
  <c r="B114"/>
  <c r="B155"/>
  <c r="B218"/>
  <c r="B261"/>
  <c r="B311"/>
  <c r="B333"/>
  <c r="B359"/>
  <c r="B378"/>
  <c r="B399"/>
  <c r="B875"/>
  <c r="B923"/>
  <c r="B1182"/>
  <c r="B1184"/>
  <c r="B1189"/>
  <c r="B1201"/>
  <c r="B1204"/>
  <c r="B1206"/>
  <c r="B1216"/>
  <c r="B1246"/>
  <c r="B1263"/>
  <c r="B1265"/>
  <c r="B1409"/>
  <c r="B1443"/>
  <c r="B1448"/>
  <c r="B1464"/>
  <c r="B1466"/>
  <c r="B1468"/>
  <c r="B1470"/>
  <c r="B1472"/>
  <c r="B1474"/>
  <c r="B1476"/>
  <c r="B1478"/>
  <c r="B1480"/>
  <c r="B1482"/>
  <c r="B1484"/>
  <c r="B1486"/>
  <c r="B1488"/>
  <c r="B1490"/>
  <c r="B1492"/>
  <c r="B1494"/>
  <c r="B766"/>
  <c r="B553"/>
  <c r="B1395"/>
  <c r="B24"/>
  <c r="AC24" s="1"/>
  <c r="B141"/>
  <c r="B1260"/>
  <c r="B1445"/>
  <c r="B1570"/>
  <c r="B1580"/>
  <c r="B750"/>
  <c r="B949"/>
  <c r="B968"/>
  <c r="B30"/>
  <c r="B45"/>
  <c r="B189"/>
  <c r="B258"/>
  <c r="B315"/>
  <c r="B1393"/>
  <c r="B195"/>
  <c r="B312"/>
  <c r="AC495"/>
  <c r="B135"/>
  <c r="B962"/>
  <c r="B1211"/>
  <c r="B1093"/>
  <c r="AC312"/>
  <c r="B100"/>
  <c r="B1601"/>
  <c r="B29"/>
  <c r="AC84"/>
  <c r="AC39"/>
  <c r="AC340"/>
  <c r="AC1246"/>
  <c r="B1198"/>
  <c r="B945"/>
  <c r="B34"/>
  <c r="AC258"/>
  <c r="B157"/>
  <c r="B161"/>
  <c r="AC447"/>
  <c r="AC449"/>
  <c r="B1593"/>
  <c r="B1599"/>
  <c r="B31"/>
  <c r="B36"/>
  <c r="B41"/>
  <c r="AC71"/>
  <c r="B81"/>
  <c r="B96"/>
  <c r="B126"/>
  <c r="AC1369"/>
  <c r="B49"/>
  <c r="AC49" s="1"/>
  <c r="B1040"/>
  <c r="B951"/>
  <c r="B1397"/>
  <c r="B1307"/>
  <c r="AC1307" s="1"/>
  <c r="B1306"/>
  <c r="AC1306" s="1"/>
  <c r="B1293"/>
  <c r="AC1293" s="1"/>
  <c r="B1292"/>
  <c r="AC1292" s="1"/>
  <c r="B1291"/>
  <c r="AC1291" s="1"/>
  <c r="B1274"/>
  <c r="AC1274" s="1"/>
  <c r="B1273"/>
  <c r="AC1273" s="1"/>
  <c r="B1272"/>
  <c r="AC1272" s="1"/>
  <c r="B372"/>
  <c r="AC45"/>
  <c r="B917"/>
  <c r="B1596"/>
  <c r="B43"/>
  <c r="B296"/>
  <c r="AC315"/>
  <c r="B326"/>
  <c r="B426"/>
  <c r="B444"/>
  <c r="AC444" s="1"/>
  <c r="B889"/>
  <c r="B944"/>
  <c r="B1186"/>
  <c r="B1195"/>
  <c r="AC1211"/>
  <c r="B1224"/>
  <c r="B1231"/>
  <c r="B1427"/>
  <c r="B1565"/>
  <c r="B1575"/>
  <c r="B46"/>
  <c r="B162"/>
  <c r="B112"/>
  <c r="AC114"/>
  <c r="B119"/>
  <c r="AC207"/>
  <c r="B214"/>
  <c r="AC408"/>
  <c r="AC173"/>
  <c r="B68"/>
  <c r="B1594"/>
  <c r="B1600"/>
  <c r="B1602"/>
  <c r="B35"/>
  <c r="B40"/>
  <c r="B85"/>
  <c r="B102"/>
  <c r="B130"/>
  <c r="B159"/>
  <c r="B174"/>
  <c r="B178"/>
  <c r="B197"/>
  <c r="B199"/>
  <c r="B201"/>
  <c r="B203"/>
  <c r="B205"/>
  <c r="B224"/>
  <c r="AC261"/>
  <c r="B283"/>
  <c r="B300"/>
  <c r="B313"/>
  <c r="B341"/>
  <c r="B343"/>
  <c r="B360"/>
  <c r="B373"/>
  <c r="B375"/>
  <c r="B394"/>
  <c r="B409"/>
  <c r="B411"/>
  <c r="B428"/>
  <c r="B468"/>
  <c r="B881"/>
  <c r="B884"/>
  <c r="B891"/>
  <c r="B902"/>
  <c r="B913"/>
  <c r="B947"/>
  <c r="B1197"/>
  <c r="B1213"/>
  <c r="B1240"/>
  <c r="B1254"/>
  <c r="B1267"/>
  <c r="B1404"/>
  <c r="B1406"/>
  <c r="B1589"/>
  <c r="B1591"/>
  <c r="AC750"/>
  <c r="B1394"/>
  <c r="B1405"/>
  <c r="B107"/>
  <c r="B128"/>
  <c r="B220"/>
  <c r="B276"/>
  <c r="AC195"/>
  <c r="B1590"/>
  <c r="AC445"/>
  <c r="B484"/>
  <c r="AC484" s="1"/>
  <c r="B903"/>
  <c r="B44"/>
  <c r="B76"/>
  <c r="B82"/>
  <c r="B104"/>
  <c r="B109"/>
  <c r="B116"/>
  <c r="B121"/>
  <c r="B123"/>
  <c r="B127"/>
  <c r="B137"/>
  <c r="B139"/>
  <c r="B148"/>
  <c r="B150"/>
  <c r="B165"/>
  <c r="B180"/>
  <c r="B211"/>
  <c r="B228"/>
  <c r="B230"/>
  <c r="B232"/>
  <c r="B234"/>
  <c r="B236"/>
  <c r="B263"/>
  <c r="B278"/>
  <c r="B280"/>
  <c r="B285"/>
  <c r="B287"/>
  <c r="B291"/>
  <c r="B302"/>
  <c r="B304"/>
  <c r="B306"/>
  <c r="B308"/>
  <c r="B317"/>
  <c r="B321"/>
  <c r="B330"/>
  <c r="B332"/>
  <c r="B345"/>
  <c r="B347"/>
  <c r="B362"/>
  <c r="B364"/>
  <c r="B377"/>
  <c r="B379"/>
  <c r="B396"/>
  <c r="B413"/>
  <c r="B415"/>
  <c r="B417"/>
  <c r="B419"/>
  <c r="B455"/>
  <c r="B906"/>
  <c r="B924"/>
  <c r="B1179"/>
  <c r="B1215"/>
  <c r="B1233"/>
  <c r="B1256"/>
  <c r="B1258"/>
  <c r="B1380"/>
  <c r="B1408"/>
  <c r="B1410"/>
  <c r="AC3"/>
  <c r="B756"/>
  <c r="B555"/>
  <c r="B1576"/>
  <c r="B443"/>
  <c r="AC443" s="1"/>
  <c r="B1595"/>
  <c r="B1603"/>
  <c r="B215"/>
  <c r="B282"/>
  <c r="B888"/>
  <c r="B901"/>
  <c r="B912"/>
  <c r="B919"/>
  <c r="B921"/>
  <c r="B932"/>
  <c r="B934"/>
  <c r="B943"/>
  <c r="B1194"/>
  <c r="B1244"/>
  <c r="B1253"/>
  <c r="B1266"/>
  <c r="B1386"/>
  <c r="B1388"/>
  <c r="B1390"/>
  <c r="B1414"/>
  <c r="B1416"/>
  <c r="B1418"/>
  <c r="B1420"/>
  <c r="B1422"/>
  <c r="B1424"/>
  <c r="B1426"/>
  <c r="B1564"/>
  <c r="B1571"/>
  <c r="B101"/>
  <c r="B113"/>
  <c r="B129"/>
  <c r="B158"/>
  <c r="B160"/>
  <c r="B175"/>
  <c r="B177"/>
  <c r="B196"/>
  <c r="B198"/>
  <c r="B200"/>
  <c r="B202"/>
  <c r="B204"/>
  <c r="B206"/>
  <c r="B208"/>
  <c r="B221"/>
  <c r="B223"/>
  <c r="B225"/>
  <c r="B297"/>
  <c r="B299"/>
  <c r="B314"/>
  <c r="B327"/>
  <c r="B342"/>
  <c r="B374"/>
  <c r="B393"/>
  <c r="B410"/>
  <c r="B427"/>
  <c r="B1196"/>
  <c r="B1210"/>
  <c r="B1212"/>
  <c r="B1239"/>
  <c r="B1373"/>
  <c r="B1375"/>
  <c r="B1436"/>
  <c r="B1577"/>
  <c r="B772"/>
  <c r="B960"/>
  <c r="B793"/>
  <c r="B768"/>
  <c r="B1400"/>
  <c r="B454"/>
  <c r="B948"/>
  <c r="B961"/>
  <c r="B1392"/>
  <c r="AC948"/>
  <c r="AC454"/>
  <c r="B1605"/>
  <c r="B946"/>
  <c r="B970"/>
  <c r="B1178"/>
  <c r="AC5"/>
  <c r="B1581"/>
  <c r="N3" i="7" l="1"/>
  <c r="N2" s="1"/>
  <c r="M2"/>
  <c r="T3"/>
  <c r="T2" s="1"/>
  <c r="S2"/>
</calcChain>
</file>

<file path=xl/comments1.xml><?xml version="1.0" encoding="utf-8"?>
<comments xmlns="http://schemas.openxmlformats.org/spreadsheetml/2006/main">
  <authors>
    <author>Frank</author>
    <author>Frank Beister</author>
  </authors>
  <commentList>
    <comment ref="D1" authorId="0">
      <text>
        <r>
          <rPr>
            <b/>
            <sz val="9"/>
            <color indexed="81"/>
            <rFont val="Tahoma"/>
            <family val="2"/>
          </rPr>
          <t>Frank:</t>
        </r>
        <r>
          <rPr>
            <sz val="9"/>
            <color indexed="81"/>
            <rFont val="Tahoma"/>
            <family val="2"/>
          </rPr>
          <t xml:space="preserve">
Proprties: Zuordnung zu Elementklassen aktiv?</t>
        </r>
      </text>
    </comment>
    <comment ref="F1" authorId="0">
      <text>
        <r>
          <rPr>
            <b/>
            <sz val="9"/>
            <color indexed="81"/>
            <rFont val="Tahoma"/>
            <family val="2"/>
          </rPr>
          <t>Frank:</t>
        </r>
        <r>
          <rPr>
            <sz val="9"/>
            <color indexed="81"/>
            <rFont val="Tahoma"/>
            <family val="2"/>
          </rPr>
          <t xml:space="preserve">
ArchiCAD intern / Subtype-Parameter</t>
        </r>
      </text>
    </comment>
    <comment ref="Y14" authorId="1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ArchiCAD Basiseigenschaft von Objekten</t>
        </r>
      </text>
    </comment>
    <comment ref="N21" authorId="1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Raumzuordnung findet ArchiCAD automatisch. Nutzbar?</t>
        </r>
      </text>
    </comment>
    <comment ref="Y21" authorId="1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Raumzuordnung findet ArchiCAD automatisch. Nutzbar?</t>
        </r>
      </text>
    </comment>
    <comment ref="Y22" authorId="1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ArchiCAD Basiseigenschaft von Objekten</t>
        </r>
      </text>
    </comment>
    <comment ref="N46" authorId="1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Raumzuordnung findet ArchiCAD automatisch. Nutzbar?</t>
        </r>
      </text>
    </comment>
    <comment ref="Y46" authorId="1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Raumzuordnung findet ArchiCAD automatisch. Nutzbar?</t>
        </r>
      </text>
    </comment>
    <comment ref="Y48" authorId="1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Das müsste auch für beide Seiten gelten</t>
        </r>
      </text>
    </comment>
    <comment ref="Y50" authorId="1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Raumzuordnung findet ArchiCAD automatisch. Nutzbar?</t>
        </r>
      </text>
    </comment>
    <comment ref="Y51" authorId="1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Frank Beister:
Raumzuordnung findet ArchiCAD automatisch. Nutzbar?</t>
        </r>
      </text>
    </comment>
    <comment ref="Y52" authorId="1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Frank Beister:
Raumzuordnung findet ArchiCAD automatisch. Nutzbar?</t>
        </r>
      </text>
    </comment>
    <comment ref="Y53" authorId="1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Frank Beister:
Raumzuordnung findet ArchiCAD automatisch. Nutzbar?</t>
        </r>
      </text>
    </comment>
    <comment ref="Y511" authorId="1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Wofür die Anzahl? Wichtiger ist doch die Qualität, Ausführung und Teilung</t>
        </r>
      </text>
    </comment>
    <comment ref="Y516" authorId="1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Minimal und/oder maximal? Was, wenn der Wert nicht definiert ist. Woran erkennt man das? Standardwert 90°?</t>
        </r>
      </text>
    </comment>
    <comment ref="Y521" authorId="1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Boolean oder besser Aus, 230V, Steuerung?
Oder zusätzliche Parameter für die Qualitäten?</t>
        </r>
      </text>
    </comment>
  </commentList>
</comments>
</file>

<file path=xl/comments2.xml><?xml version="1.0" encoding="utf-8"?>
<comments xmlns="http://schemas.openxmlformats.org/spreadsheetml/2006/main">
  <authors>
    <author>Frank</author>
  </authors>
  <commentList>
    <comment ref="B1" authorId="0">
      <text>
        <r>
          <rPr>
            <b/>
            <sz val="9"/>
            <color indexed="81"/>
            <rFont val="Tahoma"/>
            <family val="2"/>
          </rPr>
          <t>Frank:</t>
        </r>
        <r>
          <rPr>
            <sz val="9"/>
            <color indexed="81"/>
            <rFont val="Tahoma"/>
            <family val="2"/>
          </rPr>
          <t xml:space="preserve">
ArchiCAD intern / Subtype-Parameter</t>
        </r>
      </text>
    </comment>
    <comment ref="D1" authorId="0">
      <text>
        <r>
          <rPr>
            <b/>
            <sz val="9"/>
            <color indexed="81"/>
            <rFont val="Tahoma"/>
            <family val="2"/>
          </rPr>
          <t>Frank:</t>
        </r>
        <r>
          <rPr>
            <sz val="9"/>
            <color indexed="81"/>
            <rFont val="Tahoma"/>
            <family val="2"/>
          </rPr>
          <t xml:space="preserve">
Proprties: Zuordnung zu Elementklassen aktiv?</t>
        </r>
      </text>
    </comment>
    <comment ref="F1" authorId="0">
      <text>
        <r>
          <rPr>
            <b/>
            <sz val="9"/>
            <color indexed="81"/>
            <rFont val="Tahoma"/>
            <family val="2"/>
          </rPr>
          <t>Frank:</t>
        </r>
        <r>
          <rPr>
            <sz val="9"/>
            <color indexed="81"/>
            <rFont val="Tahoma"/>
            <family val="2"/>
          </rPr>
          <t xml:space="preserve">
ArchiCAD intern / Subtype-Parameter</t>
        </r>
      </text>
    </comment>
  </commentList>
</comments>
</file>

<file path=xl/sharedStrings.xml><?xml version="1.0" encoding="utf-8"?>
<sst xmlns="http://schemas.openxmlformats.org/spreadsheetml/2006/main" count="24072" uniqueCount="4489">
  <si>
    <t>Object name:</t>
  </si>
  <si>
    <t>Status:</t>
  </si>
  <si>
    <t>Date:</t>
  </si>
  <si>
    <t>GDL Version:</t>
  </si>
  <si>
    <t>Parameters:</t>
  </si>
  <si>
    <t>insert rows for more</t>
  </si>
  <si>
    <t>insert columns for more</t>
  </si>
  <si>
    <t>Value lists:</t>
  </si>
  <si>
    <t>Value array:</t>
  </si>
  <si>
    <t>x</t>
  </si>
  <si>
    <t>Fassade</t>
  </si>
  <si>
    <t>Fenster</t>
  </si>
  <si>
    <t>INTERNAL</t>
  </si>
  <si>
    <t>TYPE / CLASS</t>
  </si>
  <si>
    <t>PRIORITY</t>
  </si>
  <si>
    <t>VALUES</t>
  </si>
  <si>
    <t>FRAC DIGIT</t>
  </si>
  <si>
    <t>XML-NODE:</t>
  </si>
  <si>
    <t>Class-ID</t>
  </si>
  <si>
    <t>AVAILABILITY</t>
  </si>
  <si>
    <t>String</t>
  </si>
  <si>
    <t>S</t>
  </si>
  <si>
    <t>B0485A4F-F7A8-4798-A06A-8EFA6EC97E59</t>
  </si>
  <si>
    <t>info</t>
  </si>
  <si>
    <t>ValueDescriptor</t>
  </si>
  <si>
    <t>512896AD-F784-49FB-B45E-B741E45CCC7A</t>
  </si>
  <si>
    <t>Length</t>
  </si>
  <si>
    <t>Numeric</t>
  </si>
  <si>
    <t>BEA7C323-ACFB-4DE4-83FA-22F8439FB713</t>
  </si>
  <si>
    <t>model</t>
  </si>
  <si>
    <t>empty</t>
  </si>
  <si>
    <t>C</t>
  </si>
  <si>
    <t>CE925ECE-7090-4F83-B45D-C4D9349C9667</t>
  </si>
  <si>
    <t>Angle</t>
  </si>
  <si>
    <t>logic</t>
  </si>
  <si>
    <t>{array}</t>
  </si>
  <si>
    <t>O</t>
  </si>
  <si>
    <t>87FECB96-0931-4CA1-A911-AC6BA507502A</t>
  </si>
  <si>
    <t>RealNum</t>
  </si>
  <si>
    <t>E0BF337E-40C2-43C4-86E5-FB8F2186D7F1</t>
  </si>
  <si>
    <t>internal</t>
  </si>
  <si>
    <t>Variant</t>
  </si>
  <si>
    <t>see left, depending of type</t>
  </si>
  <si>
    <t>ColorRGB</t>
  </si>
  <si>
    <t>Availability</t>
  </si>
  <si>
    <t>52132DF7-B99F-4187-A93D-EA1B568D1A80</t>
  </si>
  <si>
    <t>Integer</t>
  </si>
  <si>
    <t>AvailabilityItem</t>
  </si>
  <si>
    <t>CFF457CF-0CE6-482F-8737-1580DC58D1C7</t>
  </si>
  <si>
    <t>Boolean</t>
  </si>
  <si>
    <t>B</t>
  </si>
  <si>
    <t>A2CE25B9-2C60-4852-8AC0-62FEFE90D34F</t>
  </si>
  <si>
    <t>Material</t>
  </si>
  <si>
    <t>LineType</t>
  </si>
  <si>
    <t>FillPattern</t>
  </si>
  <si>
    <t>PenColor</t>
  </si>
  <si>
    <t>LightSwitch</t>
  </si>
  <si>
    <t>Intensity</t>
  </si>
  <si>
    <t>Separator</t>
  </si>
  <si>
    <t>Title</t>
  </si>
  <si>
    <t>Optionset</t>
  </si>
  <si>
    <t>7F8BA35B-ED11-4752-AFF1-D4BCF0A0317D</t>
  </si>
  <si>
    <t>Itemlist</t>
  </si>
  <si>
    <t>I</t>
  </si>
  <si>
    <t>634B037F-50D5-4C67-8B4B-B06979BE3B09</t>
  </si>
  <si>
    <t>Checkbox</t>
  </si>
  <si>
    <t>addit. Values</t>
  </si>
  <si>
    <t>#</t>
  </si>
  <si>
    <t>available</t>
  </si>
  <si>
    <t>multipleSelect</t>
  </si>
  <si>
    <t>fix</t>
  </si>
  <si>
    <t>hidden</t>
  </si>
  <si>
    <t>bold</t>
  </si>
  <si>
    <t>child</t>
  </si>
  <si>
    <t>unique</t>
  </si>
  <si>
    <t>VARIABLE / PARAMETER</t>
  </si>
  <si>
    <t>DEFAULT VALUE</t>
  </si>
  <si>
    <t>UNIT</t>
  </si>
  <si>
    <t>custom values</t>
  </si>
  <si>
    <t>SOURCE</t>
  </si>
  <si>
    <t>ANNOTATION / LONG DESCRIPTION</t>
  </si>
  <si>
    <t>DEFAULT
ARRAY
LINE</t>
  </si>
  <si>
    <t>VALUE
ARRAY
LINE</t>
  </si>
  <si>
    <t>CLASS</t>
  </si>
  <si>
    <t>VALUE TYPE / CLASS</t>
  </si>
  <si>
    <t>Class</t>
  </si>
  <si>
    <t>G</t>
  </si>
  <si>
    <t>P</t>
  </si>
  <si>
    <t>A</t>
  </si>
  <si>
    <t>PARAMETER</t>
  </si>
  <si>
    <t>&lt; COPY FORMULAS TO NEW COLUMNS</t>
  </si>
  <si>
    <t>&lt; NO EMPTY FIELDS BETWEEN VALUES</t>
  </si>
  <si>
    <t>ZZYZX</t>
  </si>
  <si>
    <t>{empty}</t>
  </si>
  <si>
    <t>Nominalbreite</t>
  </si>
  <si>
    <t>Nominalhöhe</t>
  </si>
  <si>
    <t>Z-Achse</t>
  </si>
  <si>
    <t>Brandschutz</t>
  </si>
  <si>
    <t>Produkt</t>
  </si>
  <si>
    <t>Version:</t>
  </si>
  <si>
    <t>Freitext</t>
  </si>
  <si>
    <t>Ganzzahl</t>
  </si>
  <si>
    <t>Diskret</t>
  </si>
  <si>
    <t>Jeder</t>
  </si>
  <si>
    <t>FM</t>
  </si>
  <si>
    <t>BS</t>
  </si>
  <si>
    <t>GS</t>
  </si>
  <si>
    <t>Planer</t>
  </si>
  <si>
    <t>STAKEHOLDER</t>
  </si>
  <si>
    <t>ABMESSUNGEN - ÖFFNUNG</t>
  </si>
  <si>
    <t>IFC</t>
  </si>
  <si>
    <t>READ</t>
  </si>
  <si>
    <t>WRITE</t>
  </si>
  <si>
    <t>R/W</t>
  </si>
  <si>
    <t>all</t>
  </si>
  <si>
    <t>FPE</t>
  </si>
  <si>
    <t>Planner</t>
  </si>
  <si>
    <t>Manuf.</t>
  </si>
  <si>
    <t>[-]</t>
  </si>
  <si>
    <t>Ja/Nein</t>
  </si>
  <si>
    <t>Fließkomma</t>
  </si>
  <si>
    <t>[m]</t>
  </si>
  <si>
    <t>[cm]</t>
  </si>
  <si>
    <t>[°]</t>
  </si>
  <si>
    <t xml:space="preserve"> </t>
  </si>
  <si>
    <t>[mm]</t>
  </si>
  <si>
    <t>mm</t>
  </si>
  <si>
    <t>IMPORT TRANSLATION</t>
  </si>
  <si>
    <t>°</t>
  </si>
  <si>
    <t>m</t>
  </si>
  <si>
    <t>cm</t>
  </si>
  <si>
    <t>Winkel</t>
  </si>
  <si>
    <t>Länge</t>
  </si>
  <si>
    <t>makeGUID</t>
  </si>
  <si>
    <t>SHORT DESCRIPTION (NAME)</t>
  </si>
  <si>
    <t>ALTERNATIVE
PARAMETER
NAME (e.g. IFC/Building Smart)</t>
  </si>
  <si>
    <t>undefiniert</t>
  </si>
  <si>
    <t>VALUE LIST</t>
  </si>
  <si>
    <t>UIpicIdxArray</t>
  </si>
  <si>
    <t>UItextArray</t>
  </si>
  <si>
    <t>UIvaluesArray</t>
  </si>
  <si>
    <t>AVVariableNames UI</t>
  </si>
  <si>
    <t>VALIDATE</t>
  </si>
  <si>
    <t>ECD_Properties.XML</t>
  </si>
  <si>
    <t>ARRAYs</t>
  </si>
  <si>
    <t>Breite</t>
  </si>
  <si>
    <t>Index prefix</t>
  </si>
  <si>
    <t>PREVIEW:</t>
  </si>
  <si>
    <t>SORT_IMPORT col</t>
  </si>
  <si>
    <t>SORT_IMPORT  row</t>
  </si>
  <si>
    <t>&lt; INSERT COLUMNS LEFT "INSIDE"</t>
  </si>
  <si>
    <t>GUID (1st part)</t>
  </si>
  <si>
    <t>DEFAULTS</t>
  </si>
  <si>
    <r>
      <t xml:space="preserve">Indexname
</t>
    </r>
    <r>
      <rPr>
        <sz val="11"/>
        <rFont val="Arial"/>
        <family val="2"/>
      </rPr>
      <t>-
Parameternamen</t>
    </r>
  </si>
  <si>
    <t>90_Parameters.xml</t>
  </si>
  <si>
    <t>Filename</t>
  </si>
  <si>
    <t>Content</t>
  </si>
  <si>
    <r>
      <t xml:space="preserve">Define significant </t>
    </r>
    <r>
      <rPr>
        <b/>
        <sz val="11"/>
        <color indexed="8"/>
        <rFont val="Arial"/>
        <family val="2"/>
      </rPr>
      <t>IndexNameVariables</t>
    </r>
    <r>
      <rPr>
        <sz val="11"/>
        <color indexed="8"/>
        <rFont val="Arial"/>
        <family val="2"/>
      </rPr>
      <t xml:space="preserve"> of Array parameters</t>
    </r>
  </si>
  <si>
    <r>
      <rPr>
        <b/>
        <sz val="11"/>
        <color indexed="8"/>
        <rFont val="Arial"/>
        <family val="2"/>
      </rPr>
      <t>SUBs</t>
    </r>
    <r>
      <rPr>
        <sz val="11"/>
        <color indexed="8"/>
        <rFont val="Arial"/>
        <family val="2"/>
      </rPr>
      <t xml:space="preserve"> to define Values-Arrays for User Interface Script</t>
    </r>
  </si>
  <si>
    <r>
      <rPr>
        <b/>
        <sz val="11"/>
        <color indexed="8"/>
        <rFont val="Arial"/>
        <family val="2"/>
      </rPr>
      <t>VALUES</t>
    </r>
    <r>
      <rPr>
        <sz val="11"/>
        <color indexed="8"/>
        <rFont val="Arial"/>
        <family val="2"/>
      </rPr>
      <t xml:space="preserve"> commands for Parameter Script</t>
    </r>
  </si>
  <si>
    <t>Action</t>
  </si>
  <si>
    <t>Source.Code:</t>
  </si>
  <si>
    <t>This sheet is used for automatic import and export. Handle with care to prevent data loss.</t>
  </si>
  <si>
    <t>ATTENTION!</t>
  </si>
  <si>
    <r>
      <t xml:space="preserve">Read bitmap schedule and merge to </t>
    </r>
    <r>
      <rPr>
        <b/>
        <sz val="11"/>
        <color indexed="8"/>
        <rFont val="Arial"/>
        <family val="2"/>
      </rPr>
      <t>bitmaps XML</t>
    </r>
    <r>
      <rPr>
        <sz val="11"/>
        <color indexed="8"/>
        <rFont val="Arial"/>
        <family val="2"/>
      </rPr>
      <t xml:space="preserve"> part.</t>
    </r>
  </si>
  <si>
    <t>list of bitmaps.xlsx</t>
  </si>
  <si>
    <t>95_Pictures.xml</t>
  </si>
  <si>
    <t>[work in progress, not for productive use]</t>
  </si>
  <si>
    <t>42_Parameter-Script.gdl</t>
  </si>
  <si>
    <t>12_Master-Script.gdl</t>
  </si>
  <si>
    <t>14_Master-Script.gdl</t>
  </si>
  <si>
    <t>Variable name</t>
  </si>
  <si>
    <t>Index</t>
  </si>
  <si>
    <t>Deutsch</t>
  </si>
  <si>
    <t>Parameter Script - VALUES</t>
  </si>
  <si>
    <t>User Interface - UI_xxxFIELD text</t>
  </si>
  <si>
    <t>User Interface - Tooltip text</t>
  </si>
  <si>
    <t>Multilingual Text divisions</t>
  </si>
  <si>
    <t>English</t>
  </si>
  <si>
    <t>Sprachparameter</t>
  </si>
  <si>
    <t>language</t>
  </si>
  <si>
    <t>Common Text</t>
  </si>
  <si>
    <t>AC_show2DHotspotsIn3D</t>
  </si>
  <si>
    <t>ac_bottomlevel</t>
  </si>
  <si>
    <t>ac_toplevel</t>
  </si>
  <si>
    <t>Standard</t>
  </si>
  <si>
    <t>ZEILE:
Offset / beginning</t>
  </si>
  <si>
    <t>xxx</t>
  </si>
  <si>
    <t>BuildingMat</t>
  </si>
  <si>
    <t>Profile</t>
  </si>
  <si>
    <t>52_User-interface-Script.gdl</t>
  </si>
  <si>
    <t>54_User-Interface-Script.txt</t>
  </si>
  <si>
    <t>Höhe</t>
  </si>
  <si>
    <t>Gruppe</t>
  </si>
  <si>
    <t>Name</t>
  </si>
  <si>
    <t>Tiefe</t>
  </si>
  <si>
    <t>dki_</t>
  </si>
  <si>
    <t>VERWALTUNGSPARAMETER</t>
  </si>
  <si>
    <t>gs_2D_representation</t>
  </si>
  <si>
    <t>2D-Darstellung</t>
  </si>
  <si>
    <t>dk_fill_settings</t>
  </si>
  <si>
    <t>Schraffuren</t>
  </si>
  <si>
    <t>dk_fills</t>
  </si>
  <si>
    <t>Array für Schraffuren</t>
  </si>
  <si>
    <t>DK</t>
  </si>
  <si>
    <t>gs_pen_settings</t>
  </si>
  <si>
    <t>Stifte</t>
  </si>
  <si>
    <t>dk_cont_pens</t>
  </si>
  <si>
    <t>Array für Konturstifte</t>
  </si>
  <si>
    <t>dk_fill_pens</t>
  </si>
  <si>
    <t>Array für Schraffurstifte</t>
  </si>
  <si>
    <t>dk_bkg_pens</t>
  </si>
  <si>
    <t>Array für Schraffurhintergrundstifte</t>
  </si>
  <si>
    <t>gs_door_material</t>
  </si>
  <si>
    <t>Oberflächenmaterialien allgemein</t>
  </si>
  <si>
    <t>dk_materials</t>
  </si>
  <si>
    <t>Array für Oberflächenmaterialien</t>
  </si>
  <si>
    <t>VERFAHRENSBEDINGTE + INTERNE PARAMETER</t>
  </si>
  <si>
    <t>dk_bim</t>
  </si>
  <si>
    <t>BIM + Struktur</t>
  </si>
  <si>
    <t>dk_LOI</t>
  </si>
  <si>
    <t>Level of Input</t>
  </si>
  <si>
    <t>dk_LOD</t>
  </si>
  <si>
    <t>Level of Detail</t>
  </si>
  <si>
    <t>dk_extendable_components</t>
  </si>
  <si>
    <t>Erweiterungsbibliotheken</t>
  </si>
  <si>
    <t>frame_system</t>
  </si>
  <si>
    <t>Verfügbare Zargensysteme</t>
  </si>
  <si>
    <t>allgemein</t>
  </si>
  <si>
    <t>panel_system</t>
  </si>
  <si>
    <t>Verfügbare Türblattsysteme</t>
  </si>
  <si>
    <t>hinge_system</t>
  </si>
  <si>
    <t>Verfügbare Türbandsysteme</t>
  </si>
  <si>
    <t>closer_system</t>
  </si>
  <si>
    <t>Verfügbare Türschließersysteme</t>
  </si>
  <si>
    <t>DORMA_OTS</t>
  </si>
  <si>
    <t>automation_system</t>
  </si>
  <si>
    <t>Verfügbare Autamatisierungssysteme</t>
  </si>
  <si>
    <t>DORMA</t>
  </si>
  <si>
    <t>case_system</t>
  </si>
  <si>
    <t>Verfügbare Türschlosssysteme</t>
  </si>
  <si>
    <t>handle_system</t>
  </si>
  <si>
    <t>Verfügbare Türgriffsysteme</t>
  </si>
  <si>
    <t>DORMA_OGRO</t>
  </si>
  <si>
    <t>access_control_system</t>
  </si>
  <si>
    <t>Verfügbare Zugangskontrollsysteme</t>
  </si>
  <si>
    <t>grip_system</t>
  </si>
  <si>
    <t>Verfügbare Stossgriffsysteme</t>
  </si>
  <si>
    <t>accessory_system</t>
  </si>
  <si>
    <t>Verfügbare Zubehörsysteme</t>
  </si>
  <si>
    <t>ac_library</t>
  </si>
  <si>
    <t>User Interface + Editing</t>
  </si>
  <si>
    <t>LibraryLangCode</t>
  </si>
  <si>
    <t>Sprachversion der Bibliothek</t>
  </si>
  <si>
    <t>GER</t>
  </si>
  <si>
    <t>dk_dlg_subset</t>
  </si>
  <si>
    <t>Dialogseiten-Gruppe</t>
  </si>
  <si>
    <t>gs_ui_current_page</t>
  </si>
  <si>
    <t>Aktuelle UI-Seite</t>
  </si>
  <si>
    <t>gs_ui_sub_tabpage</t>
  </si>
  <si>
    <t>UI-Unterseite</t>
  </si>
  <si>
    <t>gs_ui_sub_tabpage_closure</t>
  </si>
  <si>
    <t>gs_RevealTypeEnable</t>
  </si>
  <si>
    <t>---</t>
  </si>
  <si>
    <t>gs_subHandle</t>
  </si>
  <si>
    <t>gs_GLOB_MODPAR_NAME</t>
  </si>
  <si>
    <t>Zuletzt geänderter Parameter</t>
  </si>
  <si>
    <t>iUIPictIndex</t>
  </si>
  <si>
    <t>Index auf UI-Bitmaps</t>
  </si>
  <si>
    <t>gs_full_edit</t>
  </si>
  <si>
    <t>Bearbeitbare Fixpunkte</t>
  </si>
  <si>
    <t>develop</t>
  </si>
  <si>
    <t>Entwicklungsmodus</t>
  </si>
  <si>
    <t>Typ</t>
  </si>
  <si>
    <t>TÜR - ANFORDERUNGEN</t>
  </si>
  <si>
    <t>bs_requirement_basic</t>
  </si>
  <si>
    <t>Grundanforderungen an die Tür</t>
  </si>
  <si>
    <t>bs_demand_FireResistance</t>
  </si>
  <si>
    <t>Brandschutzanforderung</t>
  </si>
  <si>
    <t>LoI 0</t>
  </si>
  <si>
    <t>bs_demand_SmokeResistance</t>
  </si>
  <si>
    <t>Rauchschutzanforderung</t>
  </si>
  <si>
    <t>bs_demand_NoiseInsulaion</t>
  </si>
  <si>
    <t>Schallschutzanforderung</t>
  </si>
  <si>
    <t>bs_demand_Accessibility</t>
  </si>
  <si>
    <t>Anforderungen Barrierefreiheit</t>
  </si>
  <si>
    <t>Anforderung Barrierefreiheit</t>
  </si>
  <si>
    <t>bs_demand_AdmissionControl</t>
  </si>
  <si>
    <t>Anforderung Zugangskontrolle</t>
  </si>
  <si>
    <t>bs_demand_MoistureProofing</t>
  </si>
  <si>
    <t>Klimatische Anforderungen</t>
  </si>
  <si>
    <t>Feuchteschutzanforderung</t>
  </si>
  <si>
    <t>bs_demand_EscapeRoute</t>
  </si>
  <si>
    <t>Fluchtweg- und Rettungsweganforderung</t>
  </si>
  <si>
    <t>Fluchtweganforderung</t>
  </si>
  <si>
    <t>bs_requirement_protection</t>
  </si>
  <si>
    <t>Schutzanforderungen</t>
  </si>
  <si>
    <t>bs_quality_FireResistanceRating</t>
  </si>
  <si>
    <t/>
  </si>
  <si>
    <t>FM, Brandschutz</t>
  </si>
  <si>
    <t>Anforderungen hinsichtlich Brandschutz</t>
  </si>
  <si>
    <t>bs_quality_SmokeResistance</t>
  </si>
  <si>
    <t>Rauchschutz</t>
  </si>
  <si>
    <t>Anforderungen hinsichtlich Rauchschutz</t>
  </si>
  <si>
    <t>bs_quality_NoiseInsulaion</t>
  </si>
  <si>
    <t>Schallschutz</t>
  </si>
  <si>
    <t>Anforderungen hinsichtlich Schallschutz</t>
  </si>
  <si>
    <t>bs_quality_ThermalInsulaion</t>
  </si>
  <si>
    <t>max. Wärmedurchgangskoeffizient</t>
  </si>
  <si>
    <t>Wärmeschutz</t>
  </si>
  <si>
    <t>Anforderungen hinsichtlich Wärmeschutz</t>
  </si>
  <si>
    <t>bs_quality_BurglaryProtection</t>
  </si>
  <si>
    <t>Einbruchschutz</t>
  </si>
  <si>
    <t>Anforderungen hinsichtlich Einbruchschutz</t>
  </si>
  <si>
    <t>bs_quality_StrafingProtection</t>
  </si>
  <si>
    <t>Beschußsicherheit</t>
  </si>
  <si>
    <t>Anforderungen hinsichtlich Beschußsicherheit</t>
  </si>
  <si>
    <t>bs_quality_DetonationProtection</t>
  </si>
  <si>
    <t>Sprengwirkungsschutz</t>
  </si>
  <si>
    <t>Anforderungen hinsichtlich Sprengwirkungsschutz</t>
  </si>
  <si>
    <t>bs_quality_RadiationProtection</t>
  </si>
  <si>
    <t>Strahlenschutz</t>
  </si>
  <si>
    <t>Anforderungen hinsichtlich Strahlenschutz</t>
  </si>
  <si>
    <t>bs_quality_LaserProtection</t>
  </si>
  <si>
    <t>Laserschutz</t>
  </si>
  <si>
    <t>Anforderungen hinsichtlich Laserschutz</t>
  </si>
  <si>
    <t>bs_quality_FloodProtection</t>
  </si>
  <si>
    <t>Hochwasserschutz</t>
  </si>
  <si>
    <t>Anforderungen hinsichtlich Hochwasserschutz</t>
  </si>
  <si>
    <t>bs_quality_VandalismProtection</t>
  </si>
  <si>
    <t>Vandalismus</t>
  </si>
  <si>
    <t>Anforderungen hinsichtlich Vandalismus</t>
  </si>
  <si>
    <t>bs_quality_GasDefense</t>
  </si>
  <si>
    <t>Gasschutz</t>
  </si>
  <si>
    <t>Dichtigkeit</t>
  </si>
  <si>
    <t>Anforderungen hinsichtlich Dichtigkeit</t>
  </si>
  <si>
    <t>bs_requirement_functional</t>
  </si>
  <si>
    <t>Funktionale Anforderungen</t>
  </si>
  <si>
    <t>bs_quality_EscapeRoute</t>
  </si>
  <si>
    <t>Flucht- und Rettungsweg</t>
  </si>
  <si>
    <t>Flucht-Rettungsweg</t>
  </si>
  <si>
    <t>Anforderungen hinsichtlich eines Einsatzen in Flucht- und Rettungswegen</t>
  </si>
  <si>
    <t>bs_quality_UsableClearance</t>
  </si>
  <si>
    <t>Mindestdurchgangsbreite</t>
  </si>
  <si>
    <t>bs_quality_UsableHeight</t>
  </si>
  <si>
    <t>Mindestdurchgangshöhe</t>
  </si>
  <si>
    <t>bs_quality_OpeningAngle</t>
  </si>
  <si>
    <t>Mindestöffnungswinkel</t>
  </si>
  <si>
    <t>bs_quality_GuardrailHeight</t>
  </si>
  <si>
    <t>Absturzsicherung</t>
  </si>
  <si>
    <t>Anforderungen hinsichtlich einer Sicherung gegen Absturz</t>
  </si>
  <si>
    <t>bs_quality_SHE</t>
  </si>
  <si>
    <t>RWA-Zuluft</t>
  </si>
  <si>
    <t>Anforderungen hinsichtlich RWA-Zuluft</t>
  </si>
  <si>
    <t>bs_quality_SelfClosing</t>
  </si>
  <si>
    <t>Selbstschließend</t>
  </si>
  <si>
    <t>Angabe, ob die Tür selbstständig schließend ausgeführt werden muss</t>
  </si>
  <si>
    <t>bs_quality_Automation</t>
  </si>
  <si>
    <t>Automatisiert</t>
  </si>
  <si>
    <t>Angabe, ob die Tür mit einem automatik Antrieb ausgestattet werden muss</t>
  </si>
  <si>
    <t>bs_quality_AntiTrapProtection</t>
  </si>
  <si>
    <t>Klemmschutz</t>
  </si>
  <si>
    <t>Angabe, ob ein Klemmschutz an der Tür vorhanden sein muss</t>
  </si>
  <si>
    <t>bs_quality_ClimateClass</t>
  </si>
  <si>
    <t>Klimaklasse</t>
  </si>
  <si>
    <t>Anforderungen hinsichtlich Klimaklasse</t>
  </si>
  <si>
    <t>bs_quality_WetRoom</t>
  </si>
  <si>
    <t>Nassraum</t>
  </si>
  <si>
    <t>Anforderungen hinsichtlich eines Einsatzes im Nassraum</t>
  </si>
  <si>
    <t>bs_quality_DampArea</t>
  </si>
  <si>
    <t>Feuchtraum</t>
  </si>
  <si>
    <t>Anforderungen hinsichtlich eines Einsatzes im Feuchtraum</t>
  </si>
  <si>
    <t>bs_quality_Tightness</t>
  </si>
  <si>
    <t>bs_quality_Hygiene</t>
  </si>
  <si>
    <t>Hygiene</t>
  </si>
  <si>
    <t>Anforderungen hinsichtlich Hygiene</t>
  </si>
  <si>
    <t>bs_quality_Sustainability</t>
  </si>
  <si>
    <t>Nachhaltigkeit</t>
  </si>
  <si>
    <t>Anforderungen hinsichtlich der Nachhaltigkeit nach LEED, DGNB etc.</t>
  </si>
  <si>
    <t>bs_quality_ExplosionSafety</t>
  </si>
  <si>
    <t>Explosionsschutz</t>
  </si>
  <si>
    <t>Anforderungen hinsichtlich Explosionsschutz</t>
  </si>
  <si>
    <t>bs_quality_MechanicalLoad</t>
  </si>
  <si>
    <t>Mechanische Beanspruchung</t>
  </si>
  <si>
    <t>Anforderungen hinsichtlich mechanischer Beanspruchung</t>
  </si>
  <si>
    <t>bs_quality_CorrosionPrevention</t>
  </si>
  <si>
    <t>Korrosionschutz</t>
  </si>
  <si>
    <t>Anforderungen hinsichtlich Korrosionsschutz</t>
  </si>
  <si>
    <t>bs_quality_UsefulLife</t>
  </si>
  <si>
    <t>Nutzungsdauer</t>
  </si>
  <si>
    <t>Anforderungen hinsichtlich Dauerbeständigkeit. Z.B. Angabe der geforderten minimalen Anzahl von Lastzyklen</t>
  </si>
  <si>
    <t>bs_quality_IntensityOfUse</t>
  </si>
  <si>
    <t>Nutzungsintensität</t>
  </si>
  <si>
    <t>bs_quality_EMShielding</t>
  </si>
  <si>
    <t>Elektromagnetische Abschirmung</t>
  </si>
  <si>
    <t>Anforderungen hinsichtlich elektromagnetischer Abschirmung</t>
  </si>
  <si>
    <t>bs_quality_Occupancy</t>
  </si>
  <si>
    <t>Nutzungstyp</t>
  </si>
  <si>
    <t>Art der typischen Nutzung. Angabe des Verwendungsgebietes wie beispielsweise Schule, Kindergarten, Hospital, Verwaltung</t>
  </si>
  <si>
    <t>bs_quality_BurglaryAlarmSystem</t>
  </si>
  <si>
    <t>Einbruchmeldeanlage</t>
  </si>
  <si>
    <t>VDS-Klasse</t>
  </si>
  <si>
    <t xml:space="preserve">Geforderte VDS-Klasse Einbruchmeldeanlagen </t>
  </si>
  <si>
    <t>bs_quality_AccidentPrevention</t>
  </si>
  <si>
    <t>Unfallverhütung</t>
  </si>
  <si>
    <t>Anforderungen hinsichtlich Unfallverhütung nach DGUV</t>
  </si>
  <si>
    <t>bs_quality_Accessibility</t>
  </si>
  <si>
    <t>Barrierefreiheit</t>
  </si>
  <si>
    <t>Anforderungen hinsichtlich Barrierefreiheit</t>
  </si>
  <si>
    <t>bs_quality_ActuatingForce</t>
  </si>
  <si>
    <t>Bedienkraft</t>
  </si>
  <si>
    <t>Angabe zur geforderte bzw. ausgeführten Bedienkraft der Tür</t>
  </si>
  <si>
    <t>bs_access_control</t>
  </si>
  <si>
    <t>Anforderungen Zutrittskontrolle</t>
  </si>
  <si>
    <t>bs_ac_identify1</t>
  </si>
  <si>
    <t>Zugang von der  BS</t>
  </si>
  <si>
    <t>Jeder (J); Identifikation (ID); zeitweise Identifikation (ZID)</t>
  </si>
  <si>
    <t>bs_ac_identify2</t>
  </si>
  <si>
    <t>Zugang von der BGS</t>
  </si>
  <si>
    <t>bs_ac_opening1</t>
  </si>
  <si>
    <t>Öffnen von der BS</t>
  </si>
  <si>
    <t>manuell (MÖ); unterstützt (UÖ); automatisch (AÖ)</t>
  </si>
  <si>
    <t>bs_ac_opening2</t>
  </si>
  <si>
    <t>Öffnen von der BGS</t>
  </si>
  <si>
    <t>bs_ac_closing</t>
  </si>
  <si>
    <t>Schließverhalten</t>
  </si>
  <si>
    <t>manuell schließen (MS); permanent selbstschließend (PS); gesteuert selbsschließend (GS)</t>
  </si>
  <si>
    <t>bs_ac_status</t>
  </si>
  <si>
    <t>Flügelposition im Betrieb</t>
  </si>
  <si>
    <t>geschlossen (G); zeitweise offen (ZO); im Betrieb offen (IBO)</t>
  </si>
  <si>
    <t>bs_ac_control</t>
  </si>
  <si>
    <t>Überwachung Türzustand</t>
  </si>
  <si>
    <t>Türflügelposition; Verriegelung, Drückerbetätigung, Schlüsselbetätigung; Fernentriegelung; Türoffenzeit; Notöffnung; Durchbruch; Aufbruch; Sabotage</t>
  </si>
  <si>
    <t>TÜR - TYPDEFINITION</t>
  </si>
  <si>
    <t>dk_basic_features</t>
  </si>
  <si>
    <t>Grundeigenschaften</t>
  </si>
  <si>
    <t>bs_door_OpeningType</t>
  </si>
  <si>
    <t>Türtyp / Öffnungsart</t>
  </si>
  <si>
    <t>Drehflügel</t>
  </si>
  <si>
    <t>Öffnungsart</t>
  </si>
  <si>
    <t>Angabe, wie das Türblatt bewegt wird. Beschreibt die Hauptcharakteristik der Tür</t>
  </si>
  <si>
    <t>bs_door_ConstructionType</t>
  </si>
  <si>
    <t>Türtyp</t>
  </si>
  <si>
    <t>Holzkonstruktion, Rohrrahmentür, Stahlblechtür</t>
  </si>
  <si>
    <t>gs_list_doortype</t>
  </si>
  <si>
    <t>Türart</t>
  </si>
  <si>
    <t>gs_mountingFrame</t>
  </si>
  <si>
    <t>Einbaurahmen</t>
  </si>
  <si>
    <t>bs_door_leafs</t>
  </si>
  <si>
    <t>Anzahl der Türblätter</t>
  </si>
  <si>
    <t>Flügelanzahl</t>
  </si>
  <si>
    <t>Anzahl der Türflügel bzw. beweglichen Elemente</t>
  </si>
  <si>
    <t>Durchgangsbreite nutzbar</t>
  </si>
  <si>
    <t>Die nutzbare Öffnungsweite der Tür. Entspricht der Lichten Türbreite abzüglich vorstehender Anbauteile wie Griffe, Drücker etc.</t>
  </si>
  <si>
    <t>Durchgangshöhe nutzbar</t>
  </si>
  <si>
    <t>Die nutzbare Öffnungshöhe der Tür. Entspricht der Lichten Türhöhe abzüglich vorstehender Anbauteile wie Griffe, Drücker etc.</t>
  </si>
  <si>
    <t>gs_kamp</t>
  </si>
  <si>
    <t>Oberlicht</t>
  </si>
  <si>
    <t>Oberlicht Anzahl</t>
  </si>
  <si>
    <t>bs_door_sidelight</t>
  </si>
  <si>
    <t>Seitenfelder</t>
  </si>
  <si>
    <t>keine</t>
  </si>
  <si>
    <t>gs_sidelight_left</t>
  </si>
  <si>
    <t>Linkes Seitenfeld</t>
  </si>
  <si>
    <t>Seitenteil links</t>
  </si>
  <si>
    <t>gs_sidelight_right</t>
  </si>
  <si>
    <t>Rechtes Seitenfeld</t>
  </si>
  <si>
    <t>Seitenteil rechts</t>
  </si>
  <si>
    <t>Seitenteile Anzahl</t>
  </si>
  <si>
    <t>Gesamtanzahl der Seitenteile ??? Überflüssig?</t>
  </si>
  <si>
    <t>Öffnungswinkel min / max</t>
  </si>
  <si>
    <t>Der minimale Öffnungswinkel des Türblattes. Kann bei Schiebetüren entfallen. ???</t>
  </si>
  <si>
    <t>Aufschlagrichtung</t>
  </si>
  <si>
    <t>Angabe, in welchen Raum sich die Tür öffnet. ??? redundant? Mögliche Angabe z.B. in Raum 5, Flur, Aussen, Innen.</t>
  </si>
  <si>
    <t>gs_list_orientationDef_m</t>
  </si>
  <si>
    <t>Türausrichtungsdefinition</t>
  </si>
  <si>
    <t>ac_OpeningSide</t>
  </si>
  <si>
    <t>Türausrichtung in Wandebene</t>
  </si>
  <si>
    <t>R</t>
  </si>
  <si>
    <t>Anschlagsseite</t>
  </si>
  <si>
    <t>Bezeichnung der deutschen DIN-Konformen Anschlagseite DIN-Rechts oder DIN-Links</t>
  </si>
  <si>
    <t>bs_door_electrified</t>
  </si>
  <si>
    <t>Elektrische Zuleitungen</t>
  </si>
  <si>
    <t>Elektroausstattung</t>
  </si>
  <si>
    <r>
      <t xml:space="preserve">Angabe, ob an der Tür elektronische Bauteile verwendet werden </t>
    </r>
    <r>
      <rPr>
        <sz val="11"/>
        <color rgb="FFFF0000"/>
        <rFont val="Arial"/>
        <family val="2"/>
      </rPr>
      <t>???</t>
    </r>
  </si>
  <si>
    <t>bThreshold</t>
  </si>
  <si>
    <t>Schwelle</t>
  </si>
  <si>
    <t>gs_sill_outside</t>
  </si>
  <si>
    <t>Fensterbank außen</t>
  </si>
  <si>
    <t>Lichtreflektion</t>
  </si>
  <si>
    <t>Lichtdurchlass</t>
  </si>
  <si>
    <t>Sonnenfilter</t>
  </si>
  <si>
    <t>Sonnenreflektion</t>
  </si>
  <si>
    <t>Solarer Strahlungsdurchgang</t>
  </si>
  <si>
    <t>Solarer Wärmestrahlungsanteil</t>
  </si>
  <si>
    <t>Schattenkoeffizient</t>
  </si>
  <si>
    <t>bs_locking_system</t>
  </si>
  <si>
    <t>bs_access_control_type</t>
  </si>
  <si>
    <t>generic</t>
  </si>
  <si>
    <t>Schloss Produktangabe</t>
  </si>
  <si>
    <t>Schloßtyp</t>
  </si>
  <si>
    <t>Oberfläche Schloss</t>
  </si>
  <si>
    <t>Angabe zur Oberfläche des Schlosses</t>
  </si>
  <si>
    <t>Panikfunktionen</t>
  </si>
  <si>
    <t>Angabe ob die Tür mit einem Schloss mit Panikfunktion ausgestattet ist</t>
  </si>
  <si>
    <t>Wechselfunktionen</t>
  </si>
  <si>
    <t>Angabe ob die Tür mit einem Schloss mit Wechselfunktion ausgestattet ist</t>
  </si>
  <si>
    <t>Verriegelungsfunktionen</t>
  </si>
  <si>
    <t>Beschreibung der Verriegelungsfunktion des an der Tür angebrachten Schlosses</t>
  </si>
  <si>
    <t>Selbstverriegelnd</t>
  </si>
  <si>
    <t>Angabe ob die Tür selbstverriegelnd ist</t>
  </si>
  <si>
    <t>Standflügelverriegelung</t>
  </si>
  <si>
    <t>Angabe ob die Tür über die Möglichkeit der Standflügelverriegelung verfügt</t>
  </si>
  <si>
    <t>Schließanlage</t>
  </si>
  <si>
    <t>Angabe ob die Tür Teil einer Schließanlage ist</t>
  </si>
  <si>
    <t>Zylinder Typ GF / SF</t>
  </si>
  <si>
    <t>Beschreibung des Profilzylinders am Gangflügel</t>
  </si>
  <si>
    <t>Schließung</t>
  </si>
  <si>
    <t>beidseitig, nur Bandseitig, nur Bandgegenseitig</t>
  </si>
  <si>
    <t>Angabe von welcher Seite her die Schließung der Tür möglich ist</t>
  </si>
  <si>
    <t>Kabelzug</t>
  </si>
  <si>
    <t>Bechreibung des evtl. vorhanden Kabelzuges zum Schlosskasten</t>
  </si>
  <si>
    <t>gs_door_sizes</t>
  </si>
  <si>
    <t>Abmessungen Tür</t>
  </si>
  <si>
    <t>gs_tolerance_left</t>
  </si>
  <si>
    <t>Einbautoleranz links</t>
  </si>
  <si>
    <t>Montagefüge zu Baukörper links</t>
  </si>
  <si>
    <t>gs_tolerance_right</t>
  </si>
  <si>
    <t>Einbautoleranz rechts</t>
  </si>
  <si>
    <t>Montagefüge zu Baukörper rechts</t>
  </si>
  <si>
    <t>gs_tolerance_upper</t>
  </si>
  <si>
    <t>Einbautoleranz oben</t>
  </si>
  <si>
    <t>Montagefüge zu Baukörper oben</t>
  </si>
  <si>
    <t>gs_tolerance_lower</t>
  </si>
  <si>
    <t>Einbautoleranz unten</t>
  </si>
  <si>
    <t>Montagefüge zu Baukörper unten</t>
  </si>
  <si>
    <t>Fugenbreite</t>
  </si>
  <si>
    <t>Montagefuge zwischen Zarge und Baukörper</t>
  </si>
  <si>
    <t>gs_baurichtmass_outer_left</t>
  </si>
  <si>
    <t>Toleranz außen links</t>
  </si>
  <si>
    <t>gs_baurichtmass_inner_left</t>
  </si>
  <si>
    <t>Toleranz innen links</t>
  </si>
  <si>
    <t>gs_baurichtmass_outer_right</t>
  </si>
  <si>
    <t>Toleranz außen rechts</t>
  </si>
  <si>
    <t>gs_baurichtmass_inner_right</t>
  </si>
  <si>
    <t>Toleranz innen rechts</t>
  </si>
  <si>
    <t>gs_baurichtmass_outer_upper</t>
  </si>
  <si>
    <t>Toleranz außen oben</t>
  </si>
  <si>
    <t>gs_baurichtmass_inner_upper</t>
  </si>
  <si>
    <t>Toleranz innen oben</t>
  </si>
  <si>
    <t>gs_baurichtmass_outer_lower</t>
  </si>
  <si>
    <t>Toleranz außen unten</t>
  </si>
  <si>
    <t>gs_baurichtmass_inner_lower</t>
  </si>
  <si>
    <t>Toleranz innen unten</t>
  </si>
  <si>
    <t>ac_wallhole_width</t>
  </si>
  <si>
    <t>Rohbauöffnung Breite</t>
  </si>
  <si>
    <t>Öffnungsbreite Rohbau</t>
  </si>
  <si>
    <t>Die im Rohbau vorhandene tatsächliche Öffnungsbreite</t>
  </si>
  <si>
    <t>ac_wallhole_height</t>
  </si>
  <si>
    <t>Rohbauöffnung Höhe</t>
  </si>
  <si>
    <t>Öffnungshöhe Rohbau</t>
  </si>
  <si>
    <t>Die im Rohbau vorhandene tatsächliche Öffnungshöhe</t>
  </si>
  <si>
    <t>ac_wallhole_height_original</t>
  </si>
  <si>
    <t>ac_reveal_width</t>
  </si>
  <si>
    <t>Architekturlichte Breite</t>
  </si>
  <si>
    <t>ac_reveal_height</t>
  </si>
  <si>
    <t>Architekturlichte Höhe</t>
  </si>
  <si>
    <t>ac_reveal_height_original</t>
  </si>
  <si>
    <t>ac_unit_width</t>
  </si>
  <si>
    <t>Rahmen Breite</t>
  </si>
  <si>
    <t>ac_unit_height</t>
  </si>
  <si>
    <t>Rahmen Höhe</t>
  </si>
  <si>
    <t>ac_baurichtmass_width</t>
  </si>
  <si>
    <t>Breite Baurichtmaß</t>
  </si>
  <si>
    <t>ac_baurichtmass_height</t>
  </si>
  <si>
    <t>Höhe Baurichtmaß</t>
  </si>
  <si>
    <t>ac_egress_width</t>
  </si>
  <si>
    <t>Durchgangslichte Breite</t>
  </si>
  <si>
    <t>Durchgangsbreite auf Zarge gemessen</t>
  </si>
  <si>
    <t>ac_egress_height</t>
  </si>
  <si>
    <t>Durchgangslichte Höhe</t>
  </si>
  <si>
    <t>Durchgangshöhe auf Zarge gemessen</t>
  </si>
  <si>
    <t>bs_UsableClearance</t>
  </si>
  <si>
    <t>Effektive Durchgangsbreite</t>
  </si>
  <si>
    <t>Automatisch erzeugter Wert, nicht einstellbar</t>
  </si>
  <si>
    <t>bs_UsableHeight</t>
  </si>
  <si>
    <t>Effektive Durchgangshöhe</t>
  </si>
  <si>
    <t>ac_leaf_width</t>
  </si>
  <si>
    <t>Türblatt Breite (Flügelmaß)</t>
  </si>
  <si>
    <t>Türblatt Breite</t>
  </si>
  <si>
    <t>Angabe zum Türblattaußenmaß in der Breite</t>
  </si>
  <si>
    <t>ac_leaf_height</t>
  </si>
  <si>
    <t>Türblatt Höhe (Flügelmaß)</t>
  </si>
  <si>
    <t>Türblatt Höhe</t>
  </si>
  <si>
    <t>Angabe zum Türblattaußenmaß in der Höhe</t>
  </si>
  <si>
    <t>gs_nominal_size</t>
  </si>
  <si>
    <t>Nominalmaß</t>
  </si>
  <si>
    <t>gs_wallhole_nominal</t>
  </si>
  <si>
    <t>Rohbauöffnung als Nominalmaß einstellen</t>
  </si>
  <si>
    <t>gs_reveal_nominal</t>
  </si>
  <si>
    <t>Architekturlichte als Nominalmaß einstellen</t>
  </si>
  <si>
    <t>gs_unit_nominal</t>
  </si>
  <si>
    <t>Rahmen-Außenmaß als Nominalmaß einstellen</t>
  </si>
  <si>
    <t>gs_baurichtmass_nominal</t>
  </si>
  <si>
    <t>Baurichtmaß als Nominalmaß einstellen</t>
  </si>
  <si>
    <t>gs_egress_nominal</t>
  </si>
  <si>
    <t>Freies Öffnungsmaß als Nominalmaß einstellen</t>
  </si>
  <si>
    <t>gs_leaf_nominal</t>
  </si>
  <si>
    <t>Türblattmaß als Nominalmaß einstellen</t>
  </si>
  <si>
    <t>gs_retain_nominal_sizes</t>
  </si>
  <si>
    <t>Übertrage aktuelle Nominal Größe auf die Auswahl</t>
  </si>
  <si>
    <t>gs_threshhold</t>
  </si>
  <si>
    <t>thresholdType</t>
  </si>
  <si>
    <t>Schwellentyp</t>
  </si>
  <si>
    <t>Bis Türblatt</t>
  </si>
  <si>
    <t>iThresholdType</t>
  </si>
  <si>
    <t>iNormalThresholdType</t>
  </si>
  <si>
    <t>Standard-Schwelle Typ</t>
  </si>
  <si>
    <t>bBlindThreshold</t>
  </si>
  <si>
    <t>Blindschwelle</t>
  </si>
  <si>
    <t>thresholdHeight3D</t>
  </si>
  <si>
    <t>Schwellenhöhe</t>
  </si>
  <si>
    <t>Unterschied zu Brüstung? Bodeneinstand?</t>
  </si>
  <si>
    <t>thresholdHeight1</t>
  </si>
  <si>
    <t>thresholdHeight2</t>
  </si>
  <si>
    <t>Schwellenhöhe (b)</t>
  </si>
  <si>
    <t>thresholdHeight3</t>
  </si>
  <si>
    <t>Schwellenhöhe (c)</t>
  </si>
  <si>
    <t>bShowThreshold2D</t>
  </si>
  <si>
    <t>Schwelle in 2D</t>
  </si>
  <si>
    <t>penThreshold</t>
  </si>
  <si>
    <t>Stift Schwelle</t>
  </si>
  <si>
    <t>ltThreshold</t>
  </si>
  <si>
    <t>Linientyp Schwelle</t>
  </si>
  <si>
    <t>holeUnderThreshold</t>
  </si>
  <si>
    <t>Wandöffnung unter Schwelle</t>
  </si>
  <si>
    <t>Wandöffnung zum aktuellen Geschoss</t>
  </si>
  <si>
    <t>iHoleUnderThreshold</t>
  </si>
  <si>
    <t>thresholdBottomOversize</t>
  </si>
  <si>
    <t>Eigene Wandöffnung Übergröße</t>
  </si>
  <si>
    <t>showSIASymbol</t>
  </si>
  <si>
    <t>Schwellensymbol nach SIA</t>
  </si>
  <si>
    <t>Maßstababhängig</t>
  </si>
  <si>
    <t>iShowSIASymbol</t>
  </si>
  <si>
    <t>bEditableSIASymbol</t>
  </si>
  <si>
    <t>Editierbare Schwellenhöhe im Symbol</t>
  </si>
  <si>
    <t>thresholdPos1</t>
  </si>
  <si>
    <t>Position Schwelle</t>
  </si>
  <si>
    <t>thresholdPos2</t>
  </si>
  <si>
    <t>thresholdPos3</t>
  </si>
  <si>
    <t>SIASymbolType</t>
  </si>
  <si>
    <t>Typ 1</t>
  </si>
  <si>
    <t>iSIASymbolType</t>
  </si>
  <si>
    <t>SIASymbolSide</t>
  </si>
  <si>
    <t>Position Schwellensymbol</t>
  </si>
  <si>
    <t>Rechts</t>
  </si>
  <si>
    <t>iSIASymbolSide</t>
  </si>
  <si>
    <t>matThreshold</t>
  </si>
  <si>
    <t>Schwelle Oberflächenmaterial</t>
  </si>
  <si>
    <t>matThresholdMet</t>
  </si>
  <si>
    <t>Schwelle Metallmaterial</t>
  </si>
  <si>
    <t>matBlindThreshold</t>
  </si>
  <si>
    <t>Blindschwelle Oberflächenmaterial</t>
  </si>
  <si>
    <t>gs_sill</t>
  </si>
  <si>
    <t>Fensterbank</t>
  </si>
  <si>
    <t>gs_sill_oversize</t>
  </si>
  <si>
    <t>Übergröße Fensterbank Außen</t>
  </si>
  <si>
    <t>iSillType</t>
  </si>
  <si>
    <t>Fensterbanktyp</t>
  </si>
  <si>
    <t>gs_sill_width</t>
  </si>
  <si>
    <t>Fensterbank Breite</t>
  </si>
  <si>
    <t>gs_sill_topWidth</t>
  </si>
  <si>
    <t>Fensterbank obere Breite</t>
  </si>
  <si>
    <t>gs_sill_topHeight</t>
  </si>
  <si>
    <t>Fensterbank obere Höhe</t>
  </si>
  <si>
    <t>gs_sill_thk</t>
  </si>
  <si>
    <t>Schwellendicke</t>
  </si>
  <si>
    <t>gs_sill_endthk</t>
  </si>
  <si>
    <t>Fensterbank Vorderseite Dicke</t>
  </si>
  <si>
    <t>gs_sill_elev</t>
  </si>
  <si>
    <t>Schwelle Ansicht</t>
  </si>
  <si>
    <t>gs_sill_dripnos</t>
  </si>
  <si>
    <t>Fensterbank Tropfüberhang</t>
  </si>
  <si>
    <t>gs_sill_dripwidth</t>
  </si>
  <si>
    <t>Dicke Fensterbankkante</t>
  </si>
  <si>
    <t>gs_sill_nosing</t>
  </si>
  <si>
    <t>Schwelle Überstand</t>
  </si>
  <si>
    <t>gs_sill_angle</t>
  </si>
  <si>
    <t>Schwelle Winkel</t>
  </si>
  <si>
    <t>gs_sill_ovhg_left</t>
  </si>
  <si>
    <t>Fensterbank Überhang links</t>
  </si>
  <si>
    <t>gs_sill_ovhg_right</t>
  </si>
  <si>
    <t>Fensterbank Überhang rechts</t>
  </si>
  <si>
    <t>gs_sill_slip_in</t>
  </si>
  <si>
    <t>Fensterbank Einschub Tiefe</t>
  </si>
  <si>
    <t>gs_sill_slip_wall</t>
  </si>
  <si>
    <t>Fensterbank Einschub von Wand</t>
  </si>
  <si>
    <t>gs_sill_holeDepthBehind</t>
  </si>
  <si>
    <t>Hintere Lochtiefe</t>
  </si>
  <si>
    <t>gs_sill_curved</t>
  </si>
  <si>
    <t>Fensterbank ist gebogen in gebogenen Wänden</t>
  </si>
  <si>
    <t>gs_sill_ins_below</t>
  </si>
  <si>
    <t>Dämmung unter Fensterbank</t>
  </si>
  <si>
    <t>gs_sill_ins_use_wall_skin</t>
  </si>
  <si>
    <t>Wand-Dämmschicht benutzen</t>
  </si>
  <si>
    <t>iBrickSilldetlevel</t>
  </si>
  <si>
    <t>Rollschicht 3D Detaillierungsgrad</t>
  </si>
  <si>
    <t>gs_brick_sill_br_thk</t>
  </si>
  <si>
    <t>Steinbreite</t>
  </si>
  <si>
    <t>gs_brick_sill_mort_thk</t>
  </si>
  <si>
    <t>gs_sill_pen_3D</t>
  </si>
  <si>
    <t>Fensterbank Stift für 3D und Aufsicht</t>
  </si>
  <si>
    <t>gs_sill_pen_sectcont</t>
  </si>
  <si>
    <t>Fensterbank Schnitt Konturstift</t>
  </si>
  <si>
    <t>gs_sill_fill</t>
  </si>
  <si>
    <t>Fensterbank Schnitt Schraffurtyp</t>
  </si>
  <si>
    <t>gs_sill_pen_fg</t>
  </si>
  <si>
    <t>Fensterbank Schnitt Schraffurstift</t>
  </si>
  <si>
    <t>gs_sill_pen_bg</t>
  </si>
  <si>
    <t>Fensterbank Schnitt Schraffur Hintergrundstift</t>
  </si>
  <si>
    <t>gs_sill_pen_ins_sectcont</t>
  </si>
  <si>
    <t>Schnitt Dämmung Konturstift</t>
  </si>
  <si>
    <t>gs_sill_fill_ins_fg</t>
  </si>
  <si>
    <t>Schnitt Dämmung Schraffurtyp</t>
  </si>
  <si>
    <t>gs_sill_pen_ins_fg</t>
  </si>
  <si>
    <t>Schnitt Dämmung Schraffurstift</t>
  </si>
  <si>
    <t>gs_sill_pen_ins_bg</t>
  </si>
  <si>
    <t>Schnitt Dämmung Schraffur Hintergrundstift</t>
  </si>
  <si>
    <t>gs_sill_mat</t>
  </si>
  <si>
    <t>Fensterbank Oberflächenmaterial</t>
  </si>
  <si>
    <t>gs_brick_sill_mort_mat</t>
  </si>
  <si>
    <t>Mauerwerksbrüstung Mörtel Oberflächenmaterial</t>
  </si>
  <si>
    <t>dk_mounting_frame</t>
  </si>
  <si>
    <t>gs_mountingFrame_depth</t>
  </si>
  <si>
    <t>Einbaurahmen-Dicke</t>
  </si>
  <si>
    <t>gs_mountingFrame_width_left</t>
  </si>
  <si>
    <t>Einbaurahmen-Breite links</t>
  </si>
  <si>
    <t>gs_mountingFrame_width_right</t>
  </si>
  <si>
    <t>Einbaurahmen-Breite rechts</t>
  </si>
  <si>
    <t>gs_mountingFrame_width_top</t>
  </si>
  <si>
    <t>Einbaurahmen-Breite oben</t>
  </si>
  <si>
    <t>gs_mountingFrame_width_bottom</t>
  </si>
  <si>
    <t>Einbaurahmen-Breite unten</t>
  </si>
  <si>
    <t>gs_mountingFrame_pen_view</t>
  </si>
  <si>
    <t>Einbaurahmen-Schnittlinien-Stift</t>
  </si>
  <si>
    <t>gs_mountingFrame_pen_cont</t>
  </si>
  <si>
    <t>Einbaurahmen Konturstift</t>
  </si>
  <si>
    <t>gs_mountingFrame_fill</t>
  </si>
  <si>
    <t>Einbaurahmen Schraffur</t>
  </si>
  <si>
    <t>gs_mountingFrame_pen_fg</t>
  </si>
  <si>
    <t>Einbaurahmen Schraffurstift</t>
  </si>
  <si>
    <t>gs_mountingFrame_pen_bg</t>
  </si>
  <si>
    <t>Einbaurahmen-Schraffurhintergrund-Stift</t>
  </si>
  <si>
    <t>gs_mountingFrame_mat</t>
  </si>
  <si>
    <t>Einbaurahmen Oberflächenmaterial</t>
  </si>
  <si>
    <t>gs_door_frame</t>
  </si>
  <si>
    <t>Türzarge</t>
  </si>
  <si>
    <t>bs_frame_type</t>
  </si>
  <si>
    <t>Zarge</t>
  </si>
  <si>
    <t>gs_frame_type</t>
  </si>
  <si>
    <t>Rahmentyp</t>
  </si>
  <si>
    <t>Zargentyp</t>
  </si>
  <si>
    <t>genaue Beschreibung des Zargentypes</t>
  </si>
  <si>
    <t>iFrameType</t>
  </si>
  <si>
    <t>Zarge4Seitig</t>
  </si>
  <si>
    <t>4 seitig umlaufende Zarge</t>
  </si>
  <si>
    <t>Zargenmaterial</t>
  </si>
  <si>
    <t>Angabe zum Material der Zarge</t>
  </si>
  <si>
    <t>gs_different_framewidth</t>
  </si>
  <si>
    <t>Unterschiedliche Breiten</t>
  </si>
  <si>
    <t>gs_frame_width</t>
  </si>
  <si>
    <t>Rahmen-Breite</t>
  </si>
  <si>
    <t>gs_frame_width_right</t>
  </si>
  <si>
    <t>Rahmenbreite Seite 1</t>
  </si>
  <si>
    <t>gs_frame_width_left</t>
  </si>
  <si>
    <t>Rahmenbreite Seite 2</t>
  </si>
  <si>
    <t>gs_frame_width_right_2</t>
  </si>
  <si>
    <t>Mittlerer Rahmen Seite 1</t>
  </si>
  <si>
    <t>gs_frame_width_left_2</t>
  </si>
  <si>
    <t>Mittlerer Rahmen Seite 2</t>
  </si>
  <si>
    <t>gs_frame_width_upper</t>
  </si>
  <si>
    <t>Oberer Rahmen Breite</t>
  </si>
  <si>
    <t>gs_frame_width_transom</t>
  </si>
  <si>
    <t>Querbalken Rahmen Breite</t>
  </si>
  <si>
    <t>gs_frame_width_bottom_sl</t>
  </si>
  <si>
    <t>Unterer Rahmen Breite</t>
  </si>
  <si>
    <t>gs_frame_thk</t>
  </si>
  <si>
    <t>Rahmen-Dicke</t>
  </si>
  <si>
    <t>Zarge Spiegelbreite BS</t>
  </si>
  <si>
    <t>Ansichtsbreite der Zarge</t>
  </si>
  <si>
    <t>Zarge Spiegelbreite BGS</t>
  </si>
  <si>
    <t>Zarge Spiegelbreite BS oben</t>
  </si>
  <si>
    <t>Zarge Spiegelbreite BGS oben</t>
  </si>
  <si>
    <t>Maulweite</t>
  </si>
  <si>
    <t>lichtes Maß zwischen den Putzkanten</t>
  </si>
  <si>
    <t>Bodeneinstand</t>
  </si>
  <si>
    <t>Einstand der Zarge in den Boden unterhalb OKFF</t>
  </si>
  <si>
    <t>Putzkantentiefe</t>
  </si>
  <si>
    <t>Tiefe der Putzkante</t>
  </si>
  <si>
    <t>Schattennut</t>
  </si>
  <si>
    <t>Breite der Schattennut</t>
  </si>
  <si>
    <t>bs_folding_nmbr</t>
  </si>
  <si>
    <t>Falzdichtung Anzahl</t>
  </si>
  <si>
    <t>Anzahl der Dichtungsebenen (max. 3)</t>
  </si>
  <si>
    <t>gs_vb</t>
  </si>
  <si>
    <t>Falzbreite</t>
  </si>
  <si>
    <t xml:space="preserve"> ---&gt; Zarge?</t>
  </si>
  <si>
    <t>gs_vt</t>
  </si>
  <si>
    <t>Falztiefe</t>
  </si>
  <si>
    <t>dk_folding_dimensions</t>
  </si>
  <si>
    <t>Abmessungen Zargenfalze</t>
  </si>
  <si>
    <t>Gegenzarge</t>
  </si>
  <si>
    <t>Ergänzungszarge im Leibungsbereich</t>
  </si>
  <si>
    <t>gs_rev</t>
  </si>
  <si>
    <t>Seite Laibung</t>
  </si>
  <si>
    <t>gs_bl_thk</t>
  </si>
  <si>
    <t>Block Breite</t>
  </si>
  <si>
    <t>gs_bl_width</t>
  </si>
  <si>
    <t>Block Dicke</t>
  </si>
  <si>
    <t>gs_fuge</t>
  </si>
  <si>
    <t>Mörtel</t>
  </si>
  <si>
    <t>gs_ub_st1</t>
  </si>
  <si>
    <t>Überstand 1</t>
  </si>
  <si>
    <t>gs_ub_st2</t>
  </si>
  <si>
    <t>Überstand 2</t>
  </si>
  <si>
    <t>gs_frame_mat</t>
  </si>
  <si>
    <t>Rahmen</t>
  </si>
  <si>
    <t>Zarge Oberfläche BS</t>
  </si>
  <si>
    <t>Anstrich</t>
  </si>
  <si>
    <t>Art der Oberflächenausführung auf der Bandseite</t>
  </si>
  <si>
    <t>Zarge Oberfläche BGS</t>
  </si>
  <si>
    <t>Art der Oberflächenausführung auf der Bandgegenseite</t>
  </si>
  <si>
    <t>Zarge Farbe BS</t>
  </si>
  <si>
    <t>Zarge Farbe BGS</t>
  </si>
  <si>
    <t>gs_sidelight</t>
  </si>
  <si>
    <t>Seitenfeld</t>
  </si>
  <si>
    <t>bDiffSidelightWidth</t>
  </si>
  <si>
    <t>Seitenfeld untersch. Breiten</t>
  </si>
  <si>
    <t>gs_sidelight_width_left</t>
  </si>
  <si>
    <t>Breite Seitenfeld rechts</t>
  </si>
  <si>
    <t>gs_sidelight_width_right</t>
  </si>
  <si>
    <t>Breite Seitenfeld links</t>
  </si>
  <si>
    <t>vormals "asz"</t>
  </si>
  <si>
    <t>bAutoSideLightSize</t>
  </si>
  <si>
    <t>Automatische Seitenfeldhöhe</t>
  </si>
  <si>
    <t>sx</t>
  </si>
  <si>
    <t>Verglasung 1 Breite</t>
  </si>
  <si>
    <t>glazingWidthRight</t>
  </si>
  <si>
    <t>Verglasung 2 Breite</t>
  </si>
  <si>
    <t>glazingHeight</t>
  </si>
  <si>
    <t>Verglasung Höhe</t>
  </si>
  <si>
    <t>dk_sidelight_transom1</t>
  </si>
  <si>
    <t>Teilung Seitenlicht links</t>
  </si>
  <si>
    <t>dk_sidelight_transom2</t>
  </si>
  <si>
    <t>Teilung Seitenlicht rechts</t>
  </si>
  <si>
    <t>gs_frame_width_transom_sl</t>
  </si>
  <si>
    <t>Seitenfeld Querbalkenrahmen Breite</t>
  </si>
  <si>
    <t>gs_frame_width_upper_sl</t>
  </si>
  <si>
    <t>Seitenfeld oberer Rahmen Breite</t>
  </si>
  <si>
    <t>Seitenfeld Material</t>
  </si>
  <si>
    <t>Seitenfeld Oberfläche</t>
  </si>
  <si>
    <t>gs_fanlight</t>
  </si>
  <si>
    <t>gs_door_transom</t>
  </si>
  <si>
    <t>Kämpfer</t>
  </si>
  <si>
    <t>gs_transom_height</t>
  </si>
  <si>
    <t>Höhe Kämpfer</t>
  </si>
  <si>
    <t>bs_fanlight_division</t>
  </si>
  <si>
    <t>Teilung Oberlicht</t>
  </si>
  <si>
    <t>Oberlicht Aufteilung</t>
  </si>
  <si>
    <t>Aufteilung des Oberlichtes</t>
  </si>
  <si>
    <t>gs_am</t>
  </si>
  <si>
    <t>Höhe Oberlicht</t>
  </si>
  <si>
    <t>Oberlicht Material</t>
  </si>
  <si>
    <t>Oberlicht Oberfläche</t>
  </si>
  <si>
    <t>gs_door_panel</t>
  </si>
  <si>
    <t>Türblatt</t>
  </si>
  <si>
    <t>bs_panel_type</t>
  </si>
  <si>
    <t>Türblatt Typ</t>
  </si>
  <si>
    <t>Typenbezeichnung des Türblattes</t>
  </si>
  <si>
    <t>bs_door_type</t>
  </si>
  <si>
    <t>Türblatt Material</t>
  </si>
  <si>
    <r>
      <t>Angabe zur Materialart/</t>
    </r>
    <r>
      <rPr>
        <sz val="11"/>
        <color rgb="FFFF0000"/>
        <rFont val="Arial"/>
        <family val="2"/>
      </rPr>
      <t>Aufbau</t>
    </r>
    <r>
      <rPr>
        <sz val="11"/>
        <color theme="4"/>
        <rFont val="Arial"/>
        <family val="2"/>
      </rPr>
      <t> des Türblattes</t>
    </r>
  </si>
  <si>
    <t>gs_cust_panel</t>
  </si>
  <si>
    <t>Benutzererzeugtes Sonderpanel</t>
  </si>
  <si>
    <t>gs_cust_panel2</t>
  </si>
  <si>
    <t>bUniformPanels1</t>
  </si>
  <si>
    <t>Einheitliche Panele pro Blatt 1</t>
  </si>
  <si>
    <t>bUniformPanels2</t>
  </si>
  <si>
    <t>Einheitliche Panele pro Blatt 2</t>
  </si>
  <si>
    <t>iDoorPanelType</t>
  </si>
  <si>
    <t>iDoorPanelType2</t>
  </si>
  <si>
    <t>Türblatt 2</t>
  </si>
  <si>
    <t>symm</t>
  </si>
  <si>
    <t>Symmtrische Unterteilung</t>
  </si>
  <si>
    <t>gs_SecondLeaf_w</t>
  </si>
  <si>
    <t>Türblatt- Breite Seite 1</t>
  </si>
  <si>
    <t>gs_leaf_thk</t>
  </si>
  <si>
    <t>Türblatt Stärke</t>
  </si>
  <si>
    <t>Türblattstärke</t>
  </si>
  <si>
    <t>Angabe zur Dicke des Türblattes</t>
  </si>
  <si>
    <t>leafBottomExtra</t>
  </si>
  <si>
    <t>Türblatt Stärke unten</t>
  </si>
  <si>
    <t>bs_leaf_oversize</t>
  </si>
  <si>
    <t>Spiegelbreite des Falzes</t>
  </si>
  <si>
    <t>Türblatt Kantenausführung</t>
  </si>
  <si>
    <t>Türblatt Kanntenausführung</t>
  </si>
  <si>
    <t>Art der Kantenausführung</t>
  </si>
  <si>
    <t>Türblatt Oberfläche Bandseite</t>
  </si>
  <si>
    <t>Art der Oberflächenausführung auf der Bandseite</t>
  </si>
  <si>
    <t>Türblatt Oberfläche Bandgegenseite</t>
  </si>
  <si>
    <t>Art der Oberflächenausführung auf der Bandgegenseite</t>
  </si>
  <si>
    <t>Rammschutz</t>
  </si>
  <si>
    <t>Art des Rammschutzes</t>
  </si>
  <si>
    <t>Anzahl Türspion</t>
  </si>
  <si>
    <r>
      <t xml:space="preserve">Spionanzahl pro Türblatt </t>
    </r>
    <r>
      <rPr>
        <sz val="11"/>
        <color rgb="FFFF0000"/>
        <rFont val="Arial"/>
        <family val="2"/>
      </rPr>
      <t>Lage, Höhe?</t>
    </r>
  </si>
  <si>
    <t>Lüftungsgitter</t>
  </si>
  <si>
    <t>Türblatt Farbe BS</t>
  </si>
  <si>
    <t>Türblatt Farbe BGS</t>
  </si>
  <si>
    <t>Türblatt Dämmung</t>
  </si>
  <si>
    <t>???</t>
  </si>
  <si>
    <t>Türblatt Dichtung</t>
  </si>
  <si>
    <t>Türblatt Bodendichtung</t>
  </si>
  <si>
    <t>gapHeightUnderPanel</t>
  </si>
  <si>
    <t>Spalt unter Türblatt</t>
  </si>
  <si>
    <t>Unterschnitt</t>
  </si>
  <si>
    <t>Höhe des Unterschnittes zur Belüftung</t>
  </si>
  <si>
    <t>bs_ancor_panel_BS</t>
  </si>
  <si>
    <t>Distanz Türblattoberfläche Bandseite</t>
  </si>
  <si>
    <t>Ankerparameter</t>
  </si>
  <si>
    <t>bs_ancor_panel_top</t>
  </si>
  <si>
    <t>OK Türblatt</t>
  </si>
  <si>
    <t>gs_door_panel_filling</t>
  </si>
  <si>
    <t>thkDoorFilling</t>
  </si>
  <si>
    <t>Dicke Türfüllung</t>
  </si>
  <si>
    <t>thkDoorFilling2</t>
  </si>
  <si>
    <t>Dicke Türfüllung 2</t>
  </si>
  <si>
    <t>gs_mat_h</t>
  </si>
  <si>
    <t>Türfüllung</t>
  </si>
  <si>
    <t>Lichte Durchsicht Form</t>
  </si>
  <si>
    <t>Rechteck, Rund, Raute, Sonder, Mehrfeld</t>
  </si>
  <si>
    <t>Beschreibung der Verglasungsgeometrie</t>
  </si>
  <si>
    <t>Lichte Durchsicht Breite</t>
  </si>
  <si>
    <t>Breite des sichbaren Glasausschnitts</t>
  </si>
  <si>
    <t>Lichte Durchsicht Höhe</t>
  </si>
  <si>
    <t>Höhe des sichbaren Glasausschnitts</t>
  </si>
  <si>
    <t>Lichte Durchsicht Fläche</t>
  </si>
  <si>
    <t>[qm]</t>
  </si>
  <si>
    <t>sichtbare Fläche des Glasausschnitt</t>
  </si>
  <si>
    <t>Lichte Durchsicht Durchmesser</t>
  </si>
  <si>
    <t>sichtbarer Durchmesser des Glasausschnitts</t>
  </si>
  <si>
    <t>Glasleiste</t>
  </si>
  <si>
    <t>Art der Glasleiste</t>
  </si>
  <si>
    <t>Sichtschutz</t>
  </si>
  <si>
    <t>Art des Sichtschutzes</t>
  </si>
  <si>
    <t>Glasart/Füllung</t>
  </si>
  <si>
    <t>Iso mit SZR, Funktionsgläser, Kombinationen, Sonder, etc.nach Schutzanforderung, VSG, ESG, Brandschutzgläser, Schallschutzgläser, Einbruchschutzgläser</t>
  </si>
  <si>
    <t>Beschreibung der Glasart/ Füllung</t>
  </si>
  <si>
    <t>Verglasungen Flächenbündig</t>
  </si>
  <si>
    <t>Ausführung ohne sichtbare Glasleisten</t>
  </si>
  <si>
    <t>Friesbreite Bandseite</t>
  </si>
  <si>
    <t>Materialbreite auf Bandseite</t>
  </si>
  <si>
    <t>Friesbreite Schloßseite</t>
  </si>
  <si>
    <t>Materialbreite auf Schloßseite</t>
  </si>
  <si>
    <t>Friesbreite oben</t>
  </si>
  <si>
    <t>Materialbreite oben</t>
  </si>
  <si>
    <t>Friesbreite unten</t>
  </si>
  <si>
    <t>Materialbreite unten</t>
  </si>
  <si>
    <t>Glasleiste Material</t>
  </si>
  <si>
    <t>Stahl, Edelstahl, Aluminium, Holz</t>
  </si>
  <si>
    <t>Art des Materials der Glasleiste</t>
  </si>
  <si>
    <t>Glasleiste Oberfläche</t>
  </si>
  <si>
    <t>verzinkt, grundiert, lackiert, geschliffen, gebürstet, eloxiert, etc.</t>
  </si>
  <si>
    <t>Art der Oberflächenausführung</t>
  </si>
  <si>
    <t>Glasleiste Konstruktionsform</t>
  </si>
  <si>
    <t>Flächenbündig, Profiliert, Nicht festgelegt</t>
  </si>
  <si>
    <t>Geometrie der Glasleiste</t>
  </si>
  <si>
    <t>Glasleiste Befestigung</t>
  </si>
  <si>
    <t>verdeckt, sichtbar</t>
  </si>
  <si>
    <t>Art der Befestigung</t>
  </si>
  <si>
    <t>Glasleiste Sicherung</t>
  </si>
  <si>
    <t>Gesicherte Glasleiste</t>
  </si>
  <si>
    <t>Türblatt Glas Brandschutz</t>
  </si>
  <si>
    <t>Türblatt Glas U-Wert</t>
  </si>
  <si>
    <t>gs_door_frame_panel</t>
  </si>
  <si>
    <t>Türblatt Rahmenelement</t>
  </si>
  <si>
    <t>Flügelrahmen Material</t>
  </si>
  <si>
    <t>Angabe zur Materialart des Flügelrahmens</t>
  </si>
  <si>
    <t xml:space="preserve">Füllung Material </t>
  </si>
  <si>
    <t>Angabe zur Materialart der Füllung</t>
  </si>
  <si>
    <t>Sprossenart</t>
  </si>
  <si>
    <t>Glasteilend, Aufgesetzt</t>
  </si>
  <si>
    <t>Art der Sprossenausführung</t>
  </si>
  <si>
    <t>Sprossenhöhe</t>
  </si>
  <si>
    <t>Lage der Sprossen</t>
  </si>
  <si>
    <t>Füllung Art</t>
  </si>
  <si>
    <t>Beschreibung der Glasart/ Füllung</t>
  </si>
  <si>
    <t>Füllung Stärke</t>
  </si>
  <si>
    <t>Dicke der Füllung</t>
  </si>
  <si>
    <t>leafFrWidthLeft</t>
  </si>
  <si>
    <t>Rahmenbreite links</t>
  </si>
  <si>
    <t>leafFrWidthLeft2</t>
  </si>
  <si>
    <t>Rahmen-Breite links 2</t>
  </si>
  <si>
    <t>leafFrWidthRight</t>
  </si>
  <si>
    <t>Rahmenbreite rechts</t>
  </si>
  <si>
    <t>leafFrWidthRight2</t>
  </si>
  <si>
    <t>Rahmenbreite rechts 2</t>
  </si>
  <si>
    <t>leafFrWidthBottom</t>
  </si>
  <si>
    <t>Rahmenbreite unten</t>
  </si>
  <si>
    <t>leafFrWidthBottom2</t>
  </si>
  <si>
    <t>Rahmen-Breite unten 2</t>
  </si>
  <si>
    <t>leafFrWidthTop</t>
  </si>
  <si>
    <t>Rahmenbreite oben</t>
  </si>
  <si>
    <t>leafFrWidthTop2</t>
  </si>
  <si>
    <t>Rahmenbreite oben 2</t>
  </si>
  <si>
    <t>nMullHorizontal</t>
  </si>
  <si>
    <t>Sprossen horizontal</t>
  </si>
  <si>
    <t>nMullHorizontal2</t>
  </si>
  <si>
    <t>Sprossen - horizontal 2</t>
  </si>
  <si>
    <t>nMullVertical</t>
  </si>
  <si>
    <t>Sprossen vertical</t>
  </si>
  <si>
    <t>nMullVertical2</t>
  </si>
  <si>
    <t>Sprossen - vertikal 2</t>
  </si>
  <si>
    <t>mullWidth</t>
  </si>
  <si>
    <t>Sprossenbreite</t>
  </si>
  <si>
    <t>mullWidth2</t>
  </si>
  <si>
    <t>Sprossenbreite 2</t>
  </si>
  <si>
    <t>mullThickness</t>
  </si>
  <si>
    <t>Sprossentiefe</t>
  </si>
  <si>
    <t>mullThickness2</t>
  </si>
  <si>
    <t>Sprossentiefe 2</t>
  </si>
  <si>
    <t>radDoorFilling</t>
  </si>
  <si>
    <t>Radius Türfüllung</t>
  </si>
  <si>
    <t>radDoorFilling2</t>
  </si>
  <si>
    <t>Radius Türfüllung Radius 2</t>
  </si>
  <si>
    <t>centerOffsetLeft</t>
  </si>
  <si>
    <t>Abstand Mittelpunkt - links</t>
  </si>
  <si>
    <t>centerOffsetLeft2</t>
  </si>
  <si>
    <t>Abstand Mittelpunkt - links 2</t>
  </si>
  <si>
    <t>centerOffsetRight</t>
  </si>
  <si>
    <t>Abstand Mittelpunkt - rechts</t>
  </si>
  <si>
    <t>centerOffsetRight2</t>
  </si>
  <si>
    <t>Abstand Mittelpunkt - rechts 2</t>
  </si>
  <si>
    <t>centerOffsetBottom</t>
  </si>
  <si>
    <t>Abstand Mittelpunkt - unten</t>
  </si>
  <si>
    <t>centerOffsetBottom2</t>
  </si>
  <si>
    <t>Abstand Mittelpunkt - unten 2</t>
  </si>
  <si>
    <t>centerOffsetTop</t>
  </si>
  <si>
    <t>Abstand Mittelpunkt - oben</t>
  </si>
  <si>
    <t>centerOffsetTop2</t>
  </si>
  <si>
    <t>Abstand Mittelpunkt - oben 2</t>
  </si>
  <si>
    <t>bs_door_stylistic_panel</t>
  </si>
  <si>
    <t>Türblatt Stiltür</t>
  </si>
  <si>
    <t>Feldaufteilungen</t>
  </si>
  <si>
    <t>Anzahl der Felder</t>
  </si>
  <si>
    <t>Feldgrößen</t>
  </si>
  <si>
    <t>Lage der Felder</t>
  </si>
  <si>
    <t>Profilleisten</t>
  </si>
  <si>
    <t>Beschreibung der Profileisten</t>
  </si>
  <si>
    <t>Füllungen</t>
  </si>
  <si>
    <t>Beschreibung der Füllungen</t>
  </si>
  <si>
    <t>Kassetten</t>
  </si>
  <si>
    <t>Beschreibung der Kassetten</t>
  </si>
  <si>
    <t>Rahmenaufdoppelungen</t>
  </si>
  <si>
    <t>Beschreibung der Rahmenaufdoppelungen</t>
  </si>
  <si>
    <t>Feldaufdoppelungen</t>
  </si>
  <si>
    <t>Beschreibung der Feldaufdoppelungen</t>
  </si>
  <si>
    <t>Rahmen- und Feldaufdoppelungen</t>
  </si>
  <si>
    <t>Beschreibung der Rahmen-und Feldaufdoppelungen</t>
  </si>
  <si>
    <t>bs_door_external_panel</t>
  </si>
  <si>
    <t>Türblatt Außentür</t>
  </si>
  <si>
    <t>bs_fittings</t>
  </si>
  <si>
    <t>gs_door_handle</t>
  </si>
  <si>
    <t>Beschläge / Türgriff</t>
  </si>
  <si>
    <t>bs_handle_product_line</t>
  </si>
  <si>
    <t>Produktgruppe</t>
  </si>
  <si>
    <t>OGRO</t>
  </si>
  <si>
    <t>gs_handle_type</t>
  </si>
  <si>
    <t>Grifftyp Bandseite</t>
  </si>
  <si>
    <t>DR</t>
  </si>
  <si>
    <t>Drückertyp OS</t>
  </si>
  <si>
    <t>Art des Griffs Öffnungsseite</t>
  </si>
  <si>
    <t>gs_handle_type_m</t>
  </si>
  <si>
    <t>Klinkentyp Bandseite #</t>
  </si>
  <si>
    <t>bs_handle_model</t>
  </si>
  <si>
    <t>Griffmodell Bandseite</t>
  </si>
  <si>
    <t>Aus</t>
  </si>
  <si>
    <t>Drücker OS</t>
  </si>
  <si>
    <t>Beschreibung des Türdrückers, Türknopfs, Muschelgriffs oder Glastürbeschlags der Öffnungsseite</t>
  </si>
  <si>
    <t>gs_cust_handle</t>
  </si>
  <si>
    <t>bs_handle_orientation</t>
  </si>
  <si>
    <t>Ausrichtung Drücker Bandseite</t>
  </si>
  <si>
    <t>W</t>
  </si>
  <si>
    <t>bs_handle_braille</t>
  </si>
  <si>
    <t>Braillebeschriftung des Griffes BS</t>
  </si>
  <si>
    <t>bs_handle_material</t>
  </si>
  <si>
    <t>Material Drücker Bandseite</t>
  </si>
  <si>
    <t>ES</t>
  </si>
  <si>
    <t>Drücker Material OS</t>
  </si>
  <si>
    <t>Art des Materials Griffs Öffnungsseite</t>
  </si>
  <si>
    <t>bs_handle_surface</t>
  </si>
  <si>
    <t>Oberfläche Drücker Bandseite</t>
  </si>
  <si>
    <t>Drücker Oberfläche OS</t>
  </si>
  <si>
    <t>Oberflächenbeschaffenheit des Griffs Öffnungsseite</t>
  </si>
  <si>
    <t>gs_handle_type2</t>
  </si>
  <si>
    <t>Grifftyp Bandgegenseite</t>
  </si>
  <si>
    <t>Drückertyp SS</t>
  </si>
  <si>
    <t>Art des Griffs Schlosseite</t>
  </si>
  <si>
    <t>gs_handle_type2_m</t>
  </si>
  <si>
    <t>Klinkentyp Bandgegenseite #</t>
  </si>
  <si>
    <t>bs_handle_model2</t>
  </si>
  <si>
    <t>Griffmodell Bandgegenseite</t>
  </si>
  <si>
    <t>Drücker SS</t>
  </si>
  <si>
    <t>Beschreibung des Türdrückers, Türknopfs, Muschelgriffs oder Glastürbeschlags der Schlosseite</t>
  </si>
  <si>
    <t>gs_cust_handle2</t>
  </si>
  <si>
    <t>bs_handle_orientation2</t>
  </si>
  <si>
    <t>Ausrichtung Drücker Bandgegenseite</t>
  </si>
  <si>
    <t>bs_handle_braille2</t>
  </si>
  <si>
    <t>Braillebeschriftung des Griffes BGS</t>
  </si>
  <si>
    <t>bs_handle_material2</t>
  </si>
  <si>
    <t>Material Drücker Bandgegenseite</t>
  </si>
  <si>
    <t>Drücker Material SS</t>
  </si>
  <si>
    <t>Art des Materials Griffs Schlossseite</t>
  </si>
  <si>
    <t>bs_handle_surface2</t>
  </si>
  <si>
    <t>Oberfläche Drücker Bandgegenseite</t>
  </si>
  <si>
    <t>Drücker Oberfläche SS</t>
  </si>
  <si>
    <t>Oberflächenbeschaffenheit des Griffs Schlossseite</t>
  </si>
  <si>
    <t>gs_handle_type3</t>
  </si>
  <si>
    <t>Grifftyp Standflügel</t>
  </si>
  <si>
    <t>bs_handle_model3</t>
  </si>
  <si>
    <t>Griffmodell Standflügel</t>
  </si>
  <si>
    <t>gs_cust_handle3</t>
  </si>
  <si>
    <t>gs_handle_side3</t>
  </si>
  <si>
    <t>Griff am Standflügel auf Bandseite</t>
  </si>
  <si>
    <t>bs_handle_orientation3</t>
  </si>
  <si>
    <t>Ausrichtung Drücker Standflügel</t>
  </si>
  <si>
    <t>bs_handle_material3</t>
  </si>
  <si>
    <t>Material Drücker Standflügel</t>
  </si>
  <si>
    <t>bs_handle_surface3</t>
  </si>
  <si>
    <t>Oberfläche Drücker Standflügel</t>
  </si>
  <si>
    <t>gs_handle_type_out</t>
  </si>
  <si>
    <t>Klinkentyp "aussen"</t>
  </si>
  <si>
    <t>Knopf 1</t>
  </si>
  <si>
    <t>gs_handle_type_out_m</t>
  </si>
  <si>
    <t>Klinkentyp "aussen" #</t>
  </si>
  <si>
    <t>gs_cust_handle_out</t>
  </si>
  <si>
    <t>Eigener Griff "aussen"</t>
  </si>
  <si>
    <t>gs_han_height</t>
  </si>
  <si>
    <t>Griffhöhe Gangflügel</t>
  </si>
  <si>
    <t>Drücker vertikale Position</t>
  </si>
  <si>
    <t>Vertikale Position Griff Mittelachse in mm von OKFF</t>
  </si>
  <si>
    <t>gs_han_height2</t>
  </si>
  <si>
    <t>Griffhöhe Standflügel</t>
  </si>
  <si>
    <t>dk_handle_pen</t>
  </si>
  <si>
    <t>Stift Kontur Türgriff 2D+3D</t>
  </si>
  <si>
    <t>dk_handle_fill_pen</t>
  </si>
  <si>
    <t>Stift (opake) Füllschraffur 2D</t>
  </si>
  <si>
    <t>gs_handle_mat</t>
  </si>
  <si>
    <t>Griff</t>
  </si>
  <si>
    <t>Hersteller-Türdrücker</t>
  </si>
  <si>
    <t>Firmenbezeichnung</t>
  </si>
  <si>
    <t>Hersteller</t>
  </si>
  <si>
    <t>URL-Türdrücker</t>
  </si>
  <si>
    <t>Internetpräsenz</t>
  </si>
  <si>
    <t>URL</t>
  </si>
  <si>
    <t>Kontaktdaten-Türdrücker</t>
  </si>
  <si>
    <t>Telefonnummer / Emailadresse</t>
  </si>
  <si>
    <t>Kontaktdaten</t>
  </si>
  <si>
    <t>Drücker Gebrauchssicherheit</t>
  </si>
  <si>
    <t>Gebrauchssicherheit</t>
  </si>
  <si>
    <t>Beschreibung der Gebrauchssicherheit</t>
  </si>
  <si>
    <t>Drücker Nutzungskategorie</t>
  </si>
  <si>
    <t>gering, mittel, hoch, sehr hoch</t>
  </si>
  <si>
    <t>Nutzung</t>
  </si>
  <si>
    <t>Beschreibung der Benutzungskategorie</t>
  </si>
  <si>
    <t>Drücker Einbruchsicherheit</t>
  </si>
  <si>
    <t>Einbruchsicherheit</t>
  </si>
  <si>
    <t>Anforderungen hinsichtlich Einbruchsicherheit</t>
  </si>
  <si>
    <t>Drücker Brandschutztauglichkeit</t>
  </si>
  <si>
    <t>Feuerschutztauglichkeit</t>
  </si>
  <si>
    <t>Anforderungen hinsichtlich Feuerschutztauglichkeit</t>
  </si>
  <si>
    <t>Drücker Barrierefreiheit</t>
  </si>
  <si>
    <t xml:space="preserve">Barrierefrei </t>
  </si>
  <si>
    <t>Anforderungen hinsichtlich Barrierefreiheit</t>
  </si>
  <si>
    <t>Drücker Fluchtwegtauglichkeit</t>
  </si>
  <si>
    <t>Fluchttürverschluss Drücker oder Stange</t>
  </si>
  <si>
    <t>Anforderungen hinsichtlich Antipanik</t>
  </si>
  <si>
    <t>Sonderausstattung</t>
  </si>
  <si>
    <t>Beschreibung Sonderausstattung/Merkmale</t>
  </si>
  <si>
    <t>Beschlag Gangflügel BS / BGS</t>
  </si>
  <si>
    <t>Beschlag Produktangabe</t>
  </si>
  <si>
    <t>Beschlag Standflügel BS / BGS</t>
  </si>
  <si>
    <t>Beschlag Material BS / BGS</t>
  </si>
  <si>
    <t>Beschlag Lage BS / BGS</t>
  </si>
  <si>
    <t>gs_doorplate</t>
  </si>
  <si>
    <t>Türschild / Rosette</t>
  </si>
  <si>
    <t>bs_doorplate_product_line</t>
  </si>
  <si>
    <t>bs_doorplate1</t>
  </si>
  <si>
    <t>Abdeckung Bandseite</t>
  </si>
  <si>
    <t>L</t>
  </si>
  <si>
    <t>Abdeckung OS</t>
  </si>
  <si>
    <t>Art der Abdeckung Öfnungsseite</t>
  </si>
  <si>
    <t>bs_doorplate_model1</t>
  </si>
  <si>
    <t>Modell Abdeckung Bandseite</t>
  </si>
  <si>
    <t>Produktbezeichnung</t>
  </si>
  <si>
    <t>bs_closure1</t>
  </si>
  <si>
    <t>Lochung Abdeckung Bandseite</t>
  </si>
  <si>
    <t>PZ</t>
  </si>
  <si>
    <t>Lochung</t>
  </si>
  <si>
    <t>Art der Lochung</t>
  </si>
  <si>
    <t>bs_doorplate_material1</t>
  </si>
  <si>
    <t>Material Abdeckung Bandseite</t>
  </si>
  <si>
    <t>bs_doorplate_surface1</t>
  </si>
  <si>
    <t>Oberfläche Abdeckung Bandseite</t>
  </si>
  <si>
    <t>bs_doorplate2</t>
  </si>
  <si>
    <t>Abdeckung Bandgegenseite</t>
  </si>
  <si>
    <t>Abdeckung SS</t>
  </si>
  <si>
    <t>Art der Abdeckung Schlosseite</t>
  </si>
  <si>
    <t>bs_doorplate_model2</t>
  </si>
  <si>
    <t>Modell Abdeckung Bandgegenseite</t>
  </si>
  <si>
    <t>bs_closure2</t>
  </si>
  <si>
    <t>Lochung Abdeckung Bandgegenseite</t>
  </si>
  <si>
    <t>bs_doorplate_material2</t>
  </si>
  <si>
    <t>Material Abdeckung Bandgegenseite</t>
  </si>
  <si>
    <t>bs_doorplate_surface2</t>
  </si>
  <si>
    <t>Oberfläche Abdeckung Bandgegenseite</t>
  </si>
  <si>
    <t>bs_doorplate3</t>
  </si>
  <si>
    <t>Abdeckung Standflügel</t>
  </si>
  <si>
    <t>bs_doorplate_model3</t>
  </si>
  <si>
    <t>Modell Abdeckung Standflügel</t>
  </si>
  <si>
    <t>bs_closure3</t>
  </si>
  <si>
    <t>Lochung Abdeckung Standflügel</t>
  </si>
  <si>
    <t>bs_doorplate_material3</t>
  </si>
  <si>
    <t>Material Abdeckung Standflügel</t>
  </si>
  <si>
    <t>bs_doorplate_surface3</t>
  </si>
  <si>
    <t>Oberfläche Abdeckung Standflügel</t>
  </si>
  <si>
    <t>Einbau Abdeckungen</t>
  </si>
  <si>
    <t>flächenbündig, aufliegend</t>
  </si>
  <si>
    <t>Angabe, wie die Drückerrosette ins Türblatt eingebaut wird</t>
  </si>
  <si>
    <t>gs_handle_ac_mat</t>
  </si>
  <si>
    <t>Griff Zubehör</t>
  </si>
  <si>
    <t>Hersteller-Abdeckung</t>
  </si>
  <si>
    <t>URL-Abdeckung</t>
  </si>
  <si>
    <t>Kontaktdaten-Abdeckung</t>
  </si>
  <si>
    <t>bs_door_case</t>
  </si>
  <si>
    <t>Türschloss</t>
  </si>
  <si>
    <t>gs_han_pos</t>
  </si>
  <si>
    <t>Dornmaß Gangflügel</t>
  </si>
  <si>
    <t>bs_case_hole</t>
  </si>
  <si>
    <t>Lochung Gangflügel</t>
  </si>
  <si>
    <t>bs_case_distance</t>
  </si>
  <si>
    <t>Entfernungsmaß Gangflügel</t>
  </si>
  <si>
    <t>gs_han_pos2</t>
  </si>
  <si>
    <t>Dornmaß Standflügel</t>
  </si>
  <si>
    <t>bs_case_hole2</t>
  </si>
  <si>
    <t>Lochung Standflügel</t>
  </si>
  <si>
    <t>bs_case_distance2</t>
  </si>
  <si>
    <t>Entfernungsmaß Standflügel</t>
  </si>
  <si>
    <t>bs_door_pushbar</t>
  </si>
  <si>
    <t>Stoßgriff</t>
  </si>
  <si>
    <t>Stoßgriff Typ OS</t>
  </si>
  <si>
    <t>Art des Stossgriffs Öffnungsseite</t>
  </si>
  <si>
    <t>Stoßgriff vertikale Position OS</t>
  </si>
  <si>
    <t>Vertikale Position Stossgriffs Öffnungsseite Mittelachse in mm von OKFF</t>
  </si>
  <si>
    <t>Stoßgriff horizontale Position OS</t>
  </si>
  <si>
    <t>Horizontale Position Stossgriffs Öffnungsseite Mittelachse in mm ausgehend von der Anschlagseite Kante Türblatt</t>
  </si>
  <si>
    <t>Stossgriff Oberfläche OS</t>
  </si>
  <si>
    <t>Oberflächenbeschaffenheit des Stossgriffs Öffnungsseite</t>
  </si>
  <si>
    <t>Stoßgriff Typ SS</t>
  </si>
  <si>
    <t>Art des Stossgriffs Schlosseite</t>
  </si>
  <si>
    <t>Stoßgriff horizontale Position SS</t>
  </si>
  <si>
    <t>Horizontale Position Stossgriff Mittelachse in mm von OKFF</t>
  </si>
  <si>
    <t>Stoßgriff vertikale Position SS</t>
  </si>
  <si>
    <t>Vertikale Position Stossgriff Mittelachse in mm ausgehend von der Anschlagseite Kante Türblatt</t>
  </si>
  <si>
    <t>Stossgriff Oberfläche SS</t>
  </si>
  <si>
    <t>Oberflächenbeschaffenheit des StossgriffsSchlosseite</t>
  </si>
  <si>
    <t>bs_door_closer</t>
  </si>
  <si>
    <t>Türschließer / Feststellanlage</t>
  </si>
  <si>
    <t>bs_closer_type</t>
  </si>
  <si>
    <t>Schließer Produktangabe</t>
  </si>
  <si>
    <t>Schliesser Typ GF / SF</t>
  </si>
  <si>
    <t>Beschreibung des Türschließers am Gangflügel</t>
  </si>
  <si>
    <t>Schließer Montageart GF / SF</t>
  </si>
  <si>
    <t>Angabe der Position des Türschließers am Gangflügel</t>
  </si>
  <si>
    <t>Schließkraftstärke EN</t>
  </si>
  <si>
    <t>Angabe der Schließkraftstärke des Türschließers am Gangflügel</t>
  </si>
  <si>
    <t>Schließkraftstärke EN SF</t>
  </si>
  <si>
    <t>Angabe der Schließkraftstärke des Türschließers am Standflügel</t>
  </si>
  <si>
    <t>Türschließer Oberfläche</t>
  </si>
  <si>
    <t>Angabe der Türschließeroberfläche des Türschließers am Gangflügel</t>
  </si>
  <si>
    <t>Türschließer Oberfläche SF</t>
  </si>
  <si>
    <t>Angabe der Türschließeroberfläche des Türschließers am Standflügel</t>
  </si>
  <si>
    <t>Freilauf</t>
  </si>
  <si>
    <t>Angabe ob der Türschließer am Gangflügel mit einer Freilauffunktion ausgestattet ist</t>
  </si>
  <si>
    <t xml:space="preserve">Schließfolgeregelung </t>
  </si>
  <si>
    <t>Angabe ob die Tür mit einer Schließfolgeregelung ausgestattet ist</t>
  </si>
  <si>
    <t>Schließverzögerung</t>
  </si>
  <si>
    <t>Angabe ob die Tür mit einer Schließverzögerung ausgestattet ist</t>
  </si>
  <si>
    <t>Öffnungsbegrenzung</t>
  </si>
  <si>
    <t>Angabe ob die Tür mit einer Öffnungsbegrenzung ausgestattet ist</t>
  </si>
  <si>
    <t>Öffnungsdämpfung</t>
  </si>
  <si>
    <t>Angabe ob die Tür mit einer Öffnungsdämpfung ausgestattet ist</t>
  </si>
  <si>
    <t>Handauslösung</t>
  </si>
  <si>
    <t>Angabe ob die Türschließer per Handauslösung aktiviert werden können</t>
  </si>
  <si>
    <t>Mitnehmerklappe</t>
  </si>
  <si>
    <t>Angabe ob einer Mitnehmerklappe am Gangflügel angebracht ist</t>
  </si>
  <si>
    <t>Feststellanlage</t>
  </si>
  <si>
    <t>Art der Feststellfunktion des Türschließers am Gangflügel</t>
  </si>
  <si>
    <t>Feststellanlage SF</t>
  </si>
  <si>
    <t>Art der Feststellfunktion des Türschließers am Standflügel</t>
  </si>
  <si>
    <t>Zusatzfunktionen</t>
  </si>
  <si>
    <t>Beschreibung zusätzlicher Funktionen oder Ausstattungsmerkmale des Türschließers am Gangflügel</t>
  </si>
  <si>
    <t>Zusatzfunktionen SF</t>
  </si>
  <si>
    <t>Beschreibung zusätzlicher Funktionen oder Ausstattungsmerkmale des Türschließers am Standflügel</t>
  </si>
  <si>
    <t>Schließer Feststellung Auslösung</t>
  </si>
  <si>
    <t>bs_door_hinge</t>
  </si>
  <si>
    <t>Bänder / Lager</t>
  </si>
  <si>
    <t>Bandtyp</t>
  </si>
  <si>
    <t>Beschreibung der Bänder</t>
  </si>
  <si>
    <t>Band Material</t>
  </si>
  <si>
    <t>Angabe des bestimmenden Bandmaterials</t>
  </si>
  <si>
    <t>Bandverstellung</t>
  </si>
  <si>
    <t>2D, 3D</t>
  </si>
  <si>
    <t>Angabe der Bandverstellung</t>
  </si>
  <si>
    <t>Bandanzahl</t>
  </si>
  <si>
    <t>Gesamtanzahl der Türbänder an der Tür</t>
  </si>
  <si>
    <t>Drehpunkt</t>
  </si>
  <si>
    <t>Angabe besonderer Anforderungen hinsichtlich des Drehpunktes des Türblattes</t>
  </si>
  <si>
    <t>Band Oberfläche</t>
  </si>
  <si>
    <t>Sicherungsbolzen Anzahl</t>
  </si>
  <si>
    <t>Gesamtanzahl der Sicherungsbolzen an der Tür</t>
  </si>
  <si>
    <t>Band Produktangabe</t>
  </si>
  <si>
    <t>bs_ancor_hinge_X</t>
  </si>
  <si>
    <t>Bandachse in X</t>
  </si>
  <si>
    <t>bs_ancor_hinge_Y</t>
  </si>
  <si>
    <t>Bandachse in Y</t>
  </si>
  <si>
    <t>bs_escape_door</t>
  </si>
  <si>
    <t>bs_door_automation</t>
  </si>
  <si>
    <t>Automatisierung</t>
  </si>
  <si>
    <t>bs_automation_type</t>
  </si>
  <si>
    <t>Automatik</t>
  </si>
  <si>
    <t>Automatisierung Produktangabe</t>
  </si>
  <si>
    <t>Drehtürantrieb</t>
  </si>
  <si>
    <t>Art des Drehtürantriebes beim Gangflügel. Produktbezeichnung oder technische Bauart </t>
  </si>
  <si>
    <t>Drehtürantrieb SF</t>
  </si>
  <si>
    <t>Art des Drehtürantriebes beim Standflügel. Produktbezeichnung oder technische Bauart </t>
  </si>
  <si>
    <t>Öffnungsart Türantrieb</t>
  </si>
  <si>
    <t>Die Öffnungsart drückend oder ziehend des Gangflügels</t>
  </si>
  <si>
    <t>Öffnungsart Türantrieb SF</t>
  </si>
  <si>
    <t>Die Öffnungsart drückend oder ziehend des Standflügels</t>
  </si>
  <si>
    <t>Feststellwinkel</t>
  </si>
  <si>
    <t>Winkel mit dem das Türblatt des Gangflügels festgestellt werden kann</t>
  </si>
  <si>
    <t>Feststellwinkel SF</t>
  </si>
  <si>
    <t>Winkel mit dem das Türblatt des Standflügels festgestellt werden kann</t>
  </si>
  <si>
    <t>Schließfunktion Drehtürantrieb</t>
  </si>
  <si>
    <t>Angabe ob der Türantrieb mit einer Schließfunktion ausgestattet ist bzw. eine Benennung der Schließfunktion</t>
  </si>
  <si>
    <t>Oberfläche Drehtürantrieb SF</t>
  </si>
  <si>
    <t>Angabe zur Oberfläche des Antriebes am Standflügel</t>
  </si>
  <si>
    <t>Oberfläche Drehtürantrieb</t>
  </si>
  <si>
    <t>Angabe zur Oberfläche des Antriebes am Gangflügel</t>
  </si>
  <si>
    <t>Energielevel</t>
  </si>
  <si>
    <t>Angaben zum Antrieb nach DIN 18650 / EN 16005</t>
  </si>
  <si>
    <t>Windlastregelung</t>
  </si>
  <si>
    <t>Angaben zur Regelung der Antriebskräfte bei Windlasten</t>
  </si>
  <si>
    <t>Türantrieb Montageart</t>
  </si>
  <si>
    <t>Angaben zur Montageart</t>
  </si>
  <si>
    <t>Absicherung Hauptschließkante</t>
  </si>
  <si>
    <t>Angaben zur Absicherung Kante an der Hauptschließkante</t>
  </si>
  <si>
    <t>Absicherung Nebenschließkante</t>
  </si>
  <si>
    <t>Angaben zur Absicherung Kante an der Nebenschließkante</t>
  </si>
  <si>
    <t>Zusatzfunktion</t>
  </si>
  <si>
    <t>Beschreibung vorhandener Zusatzfunktionen</t>
  </si>
  <si>
    <t>Antrieb Ansteuerung Radar</t>
  </si>
  <si>
    <t>bs_electrical_fixtures</t>
  </si>
  <si>
    <t>Elektrische Ausstattung</t>
  </si>
  <si>
    <t>Türkontakt</t>
  </si>
  <si>
    <t>Beschreibung des Türkontaktes am Gangflügel oder leer falls nicht relevant</t>
  </si>
  <si>
    <t>Türkontakt SF</t>
  </si>
  <si>
    <t>Beschreibung des Türkontaktes am Standflügel oder leer falls nicht relevant</t>
  </si>
  <si>
    <t>Kabelübergang</t>
  </si>
  <si>
    <t>Beschreibung des Kabelüberganges am Gangflügel oder leer falls nicht relevant</t>
  </si>
  <si>
    <t>Kabelübergang SF</t>
  </si>
  <si>
    <t>Beschreibung des Kabelüberganges am Standflügel oder leer falls nicht relevant</t>
  </si>
  <si>
    <t>Drückerkontakt</t>
  </si>
  <si>
    <t>Beschreibung des Drückerkontaktes oder leer falls nicht relevant</t>
  </si>
  <si>
    <t>Türöffner</t>
  </si>
  <si>
    <t>Beschreibung des Türöffners oder leer falls nicht relevant</t>
  </si>
  <si>
    <t>Sperrelement</t>
  </si>
  <si>
    <t>Beschreibung des Sperrelementes oder leer falls nicht relevant</t>
  </si>
  <si>
    <t>Blockschloß</t>
  </si>
  <si>
    <t>Beschreibung des Blockschlosses oder leer falls nicht relevant</t>
  </si>
  <si>
    <t>Nottaster</t>
  </si>
  <si>
    <t>Beschreibung des Nottasters oder leer falls nicht relevant</t>
  </si>
  <si>
    <t>Sirene</t>
  </si>
  <si>
    <t>Beschreibung der Sirene bzw. des vorhandenen Tonerzeugenden Gerätes oder leer falls nicht relevant</t>
  </si>
  <si>
    <t>Zutrittskontrolle Bandseite</t>
  </si>
  <si>
    <t>Art der Zutrittskontrolle auf Seite Raum 1 oder leer falls nicht relevant</t>
  </si>
  <si>
    <t>Zutrittskontrolle Leseverfahren Bandseite</t>
  </si>
  <si>
    <t>Beschreibung des Leseverfahrens der Zutrittskontrolle auf Seite Raum 1 oder leer falls nicht relevant</t>
  </si>
  <si>
    <t>Zutrittskontrolle Bandgegenseite</t>
  </si>
  <si>
    <t>Art der Zutrittskontrolle auf Seite Raum 2 oder leer falls nicht relevant</t>
  </si>
  <si>
    <t>Zutrittskontrolle Leseverfahren Bandgegenseite</t>
  </si>
  <si>
    <t>Beschreibung des Leseverfahrens der Zutrittskontrolle auf Seite Raum 2 oder leer falls nicht relevant</t>
  </si>
  <si>
    <t>Aufbruchmelder</t>
  </si>
  <si>
    <t>Beschreibung des Aufbruchmelders oder leer falls nicht relevant</t>
  </si>
  <si>
    <t>Glasbruchmelder</t>
  </si>
  <si>
    <t>Beschreibung des Glasbruchmelders oder leer falls nicht relevant</t>
  </si>
  <si>
    <t>Ellenbogentaster</t>
  </si>
  <si>
    <t>Beschreibung des Ellenbogentasters oder leer falls nicht relevant</t>
  </si>
  <si>
    <t>Zugschalter</t>
  </si>
  <si>
    <t>Beschreibung des Zugschalters oder leer falls nicht relevant</t>
  </si>
  <si>
    <t>Deckenmelder</t>
  </si>
  <si>
    <t>Beschreibung des Deckenmeldersoder leer falls nicht relevant</t>
  </si>
  <si>
    <t>Näherungsschalter</t>
  </si>
  <si>
    <t>Beschreibung des Näherungsschalters oder leer falls nicht relevant</t>
  </si>
  <si>
    <t>Magnetkontakt</t>
  </si>
  <si>
    <t>Beschreibung eines angebrachten Magnetkontaktes oder leer falls nicht relevant</t>
  </si>
  <si>
    <t>Zylinderkontakt</t>
  </si>
  <si>
    <t>Beschreibung eines angebrachten Zylinderkontaktes oder leer falls nicht relevant</t>
  </si>
  <si>
    <t>Fallenkontakt</t>
  </si>
  <si>
    <t>Angaben zum Fallenkontakt im Türöffner oder leer falls nicht relevant</t>
  </si>
  <si>
    <t>Beleuchtetes Notschild</t>
  </si>
  <si>
    <t>Beschreibung des Notschildes oder leer falls nicht relevant</t>
  </si>
  <si>
    <t>Fluchttürsicherung</t>
  </si>
  <si>
    <t>Beschreibung der Sicherung einer Fluchttür oder leer falls nicht relevant</t>
  </si>
  <si>
    <t>Notstromversorgung</t>
  </si>
  <si>
    <t>Beschreibung der Notstromversorgung oder leer falls nicht relevant</t>
  </si>
  <si>
    <t>Schlüsselschalter</t>
  </si>
  <si>
    <t>Beschreibung des Schlüsselschalters oder leer falls nicht relevant</t>
  </si>
  <si>
    <t>Signalleuchte</t>
  </si>
  <si>
    <t>Beschreibung der Signalleuchte oder leer falls nicht relevant</t>
  </si>
  <si>
    <t>Zeitschaltuhr</t>
  </si>
  <si>
    <t>Beschreibung der Zeitschaltuhr oder leer falls nicht relevant</t>
  </si>
  <si>
    <t>Vernetzung</t>
  </si>
  <si>
    <t>Beschreibung der Vernetzung mit Haustechniksystem oder leer falls nicht relevant</t>
  </si>
  <si>
    <t>Sprechanlage</t>
  </si>
  <si>
    <t>Beschreibung der Sprechanlage oder leer falls nicht relevant</t>
  </si>
  <si>
    <t>Kabelübergang verdeckt</t>
  </si>
  <si>
    <t>Angabe, ob der Kabelübergang verdeckt ausgeführt wird</t>
  </si>
  <si>
    <t>Anschluss Brandmeldeanlage</t>
  </si>
  <si>
    <t>Beschreibung Anschluss Brandmeldeanlage oder leer falls nicht relevant</t>
  </si>
  <si>
    <t>Anschluss Einbruchmeldeanlage</t>
  </si>
  <si>
    <t>Beschreibung Anschluss Einbruchmeldeanlage oder leer falls nicht relevant</t>
  </si>
  <si>
    <t>Alarmdrahteinlage</t>
  </si>
  <si>
    <t>Beschreibung der Alarmdrahteinlage oder leer falls nicht relevant</t>
  </si>
  <si>
    <t>Klingel</t>
  </si>
  <si>
    <t>Beschreibung der Klingel oder leer falls nicht relevant</t>
  </si>
  <si>
    <t>Videoüberwacht</t>
  </si>
  <si>
    <t>Angabe, ob die Tür per Kamera überwacht wird</t>
  </si>
  <si>
    <t>Programmschalter</t>
  </si>
  <si>
    <t>Beschreibung des Programmschalters oder leer falls nicht relevant</t>
  </si>
  <si>
    <t>Sturzmelder</t>
  </si>
  <si>
    <t>Beschreibung des Stürzmelders oder leer falls nicht relevant</t>
  </si>
  <si>
    <t>Netzgleichrichter</t>
  </si>
  <si>
    <t>Beschreibung des Netzgleichrichters oder leer falls nicht relevant</t>
  </si>
  <si>
    <t>Zentrale Montageart</t>
  </si>
  <si>
    <t>Türverriegelungen</t>
  </si>
  <si>
    <t>Zutrittskontrolle Vernetzung</t>
  </si>
  <si>
    <t>Zutrittskontrolle Leser Bauart</t>
  </si>
  <si>
    <t>Sonstige E-Bauteile</t>
  </si>
  <si>
    <t>bs_additionals</t>
  </si>
  <si>
    <t>Zusätzliche Ausstattung + Eigenschaften</t>
  </si>
  <si>
    <t>gs_leaf_mat</t>
  </si>
  <si>
    <t>Paneel</t>
  </si>
  <si>
    <t>gs_glass_mat</t>
  </si>
  <si>
    <t>Glas</t>
  </si>
  <si>
    <t>gs_metal_mat</t>
  </si>
  <si>
    <t>Metallteile</t>
  </si>
  <si>
    <t>gs_mat_spr</t>
  </si>
  <si>
    <t>Sprossen</t>
  </si>
  <si>
    <t>bLinkCasingSurfaces</t>
  </si>
  <si>
    <t>Einheitliche Oberflächen Verkleidung</t>
  </si>
  <si>
    <t>stored_material</t>
  </si>
  <si>
    <t>gs_trim_in_mat</t>
  </si>
  <si>
    <t>Innenverkleidung Oberflächenmaterial</t>
  </si>
  <si>
    <t>gs_trim_out_mat</t>
  </si>
  <si>
    <t>Außenverkleidung Oberflächenmaterial</t>
  </si>
  <si>
    <t>gs_wall_contour_lines</t>
  </si>
  <si>
    <t>Wandkonturlinien</t>
  </si>
  <si>
    <t>gs_wallcontour</t>
  </si>
  <si>
    <t>seitliche Wandkontur</t>
  </si>
  <si>
    <t>Beide</t>
  </si>
  <si>
    <t>gs_wallcontour_id</t>
  </si>
  <si>
    <t>gs_wcont_line</t>
  </si>
  <si>
    <t>Wandkontur</t>
  </si>
  <si>
    <t>beide Seiten</t>
  </si>
  <si>
    <t>iWallContourLine</t>
  </si>
  <si>
    <t>gs_wcont_line_automatic</t>
  </si>
  <si>
    <t>Automatische Einstellungen</t>
  </si>
  <si>
    <t>gs_wcont_line_inside</t>
  </si>
  <si>
    <t>Wandkonturlinie innen - 1:50 und tiefer</t>
  </si>
  <si>
    <t>gs_wcont_line_inside2</t>
  </si>
  <si>
    <t>Wandkonturlinie innen - 1:100 und höher</t>
  </si>
  <si>
    <t>gs_wcont_line_in</t>
  </si>
  <si>
    <t>Wandkonturlinien Typ innen - 1:50 und tiefer</t>
  </si>
  <si>
    <t>gs_wcont_line_in2</t>
  </si>
  <si>
    <t>Wandkonturlinien Typ innen - 1:100 und höher</t>
  </si>
  <si>
    <t>gs_wcont_line_outside</t>
  </si>
  <si>
    <t>Wandkonturlinie außen - 1:50 und tiefer</t>
  </si>
  <si>
    <t>gs_wcont_line_outside2</t>
  </si>
  <si>
    <t>Wandkonturlinie außen - 1:100 und höher</t>
  </si>
  <si>
    <t>gs_wcont_line_out</t>
  </si>
  <si>
    <t>Wandkonturlinien Typ außen - 1:50 and tiefer</t>
  </si>
  <si>
    <t>gs_wcont_line_out2</t>
  </si>
  <si>
    <t>Wandkonturlinien Typ außen - 1:100 und höher</t>
  </si>
  <si>
    <t>gs_wcont_line_pen</t>
  </si>
  <si>
    <t>Wandkonturlinien Stift - 1:50 und tiefer</t>
  </si>
  <si>
    <t>gs_wcont_line_pen2</t>
  </si>
  <si>
    <t>Wandkonturlinien Stift - 1:100 und höher</t>
  </si>
  <si>
    <t>gs_mounting_frame_gap</t>
  </si>
  <si>
    <t>Fugenausfüllung</t>
  </si>
  <si>
    <t>iBlindstockTypeLeft</t>
  </si>
  <si>
    <t>Typ Links</t>
  </si>
  <si>
    <t>iBlindstockTypeRight</t>
  </si>
  <si>
    <t>Typ Rechts</t>
  </si>
  <si>
    <t>gs_TolerNBF_automatic</t>
  </si>
  <si>
    <t>Automatische Maße</t>
  </si>
  <si>
    <t>gs_TolerNBF_dist_left</t>
  </si>
  <si>
    <t>Position Links</t>
  </si>
  <si>
    <t>gs_TolerNBF_dist_right</t>
  </si>
  <si>
    <t>Position Rechts</t>
  </si>
  <si>
    <t>gs_TolerNBF_width_left</t>
  </si>
  <si>
    <t>Breite Links</t>
  </si>
  <si>
    <t>gs_TolerNBF_width_right</t>
  </si>
  <si>
    <t>Breite Rechts</t>
  </si>
  <si>
    <t>gs_TolerNBF_depth_left</t>
  </si>
  <si>
    <t>Tiefe Links</t>
  </si>
  <si>
    <t>gs_TolerNBF_depth_right</t>
  </si>
  <si>
    <t>Tiefe Rechts</t>
  </si>
  <si>
    <t>gs_TolerBlin_contour_pen</t>
  </si>
  <si>
    <t>Konturlinie-Stift Einbaurahmen</t>
  </si>
  <si>
    <t>gs_TolerBlin_contour_line_type</t>
  </si>
  <si>
    <t>Linientyp Kontur Einbaurahmen</t>
  </si>
  <si>
    <t>gs_TolerBlin_fill_type</t>
  </si>
  <si>
    <t>Schraffur-Typ Einbaurahmen</t>
  </si>
  <si>
    <t>gs_TolerBlin_fg_pen</t>
  </si>
  <si>
    <t>Schraffur-Stift Einbaurahmen</t>
  </si>
  <si>
    <t>gs_TolerBlin_bg_pen</t>
  </si>
  <si>
    <t>Schraffurhintergrund-Stift Einbaurahmen</t>
  </si>
  <si>
    <t>gs_TolerFill_contour_pen</t>
  </si>
  <si>
    <t>Schraffur-Stift Fugenausfüllung</t>
  </si>
  <si>
    <t>gs_TolerFill_contour_line_type</t>
  </si>
  <si>
    <t>Linientyp Kontur Fugenausfüllung</t>
  </si>
  <si>
    <t>gs_TolerFill_fill_type</t>
  </si>
  <si>
    <t>Schraffur-Typ Fugenausfüllung</t>
  </si>
  <si>
    <t>gs_TolerFill_fg_pen</t>
  </si>
  <si>
    <t>gs_TolerFill_bg_pen</t>
  </si>
  <si>
    <t>Schraffurhintergrund-Stift Fugenausfüllung</t>
  </si>
  <si>
    <t>BAUELEMENT - POSITION</t>
  </si>
  <si>
    <t>bs_identification</t>
  </si>
  <si>
    <t>Identifikation</t>
  </si>
  <si>
    <t>GUID</t>
  </si>
  <si>
    <t>Technische Identifikationsnummer</t>
  </si>
  <si>
    <t>Systemindividuell</t>
  </si>
  <si>
    <t>ID</t>
  </si>
  <si>
    <t>Interne, eindeutige technische Identifikationsnummer ("Primary-Key") der Tür im Projekt. Beispiel: 0001, XZ42D669</t>
  </si>
  <si>
    <t>Ist das praktikabel?</t>
  </si>
  <si>
    <t>Projektidentifiaktion</t>
  </si>
  <si>
    <t>Nummer</t>
  </si>
  <si>
    <t>Sprechende eindeutige Kennzeichnung der Tür im Projekt. Speichert die üblicherweise verwendete Türnummer, wie sie in Plänen und Unterlagen innerhalb des Projektes verwendet wird.</t>
  </si>
  <si>
    <t>Versionsnummer</t>
  </si>
  <si>
    <t>Inkr. Versionierungsnummer. Jede Änderung der Parameter soll zu einer Erhöhung der Versionsnummer führen. Die Pflege der Nummer obliegt dem jeweiligen Technischem System, das die Türdaten verwendet / bearbeitet. Beispiel: 1,2,3,4</t>
  </si>
  <si>
    <t>(Zustand)</t>
  </si>
  <si>
    <t>Zustand</t>
  </si>
  <si>
    <t>Neu</t>
  </si>
  <si>
    <t>Planer, Betreiber</t>
  </si>
  <si>
    <t>Zustand bzw. definierter Abschnitt im Lebenszyklus der Tür. </t>
  </si>
  <si>
    <t>BAUELEMENT - LAGE</t>
  </si>
  <si>
    <t>bs_location</t>
  </si>
  <si>
    <t>Einbauort</t>
  </si>
  <si>
    <t>bs_utilization</t>
  </si>
  <si>
    <t>ObjektNutzungstyp</t>
  </si>
  <si>
    <t>Geschoss auf dem die Tür eingebaut wird</t>
  </si>
  <si>
    <t>glob_home_story</t>
  </si>
  <si>
    <t>Geschoss</t>
  </si>
  <si>
    <t>gs_list_location</t>
  </si>
  <si>
    <t>Bauteil / Lage / Einbauort</t>
  </si>
  <si>
    <t>Bauwerksbezeichnung</t>
  </si>
  <si>
    <t>ugs. Bauteil</t>
  </si>
  <si>
    <t>gs_list_structure</t>
  </si>
  <si>
    <t>Gewerk</t>
  </si>
  <si>
    <t>Fasadentyp</t>
  </si>
  <si>
    <t>Art der Fassade</t>
  </si>
  <si>
    <t>Raum-Nr Bandseite</t>
  </si>
  <si>
    <t>Nummer des Raumes auf der Bandseite/Öffnungsseite (Raum 1)</t>
  </si>
  <si>
    <t>Raumbezeichnung BS</t>
  </si>
  <si>
    <t>Benennung zu klären</t>
  </si>
  <si>
    <t>Raum-Nr Bandgegenseite</t>
  </si>
  <si>
    <t>Nummer des Raumes auf der Bandgegenseite/Schließseite (Raum 2)</t>
  </si>
  <si>
    <t>Raumbezeichnung BGS</t>
  </si>
  <si>
    <t>gs_bOpeningToZone</t>
  </si>
  <si>
    <t>Tür gehört zum Raum, in den sie öffnet</t>
  </si>
  <si>
    <t>(Lage)</t>
  </si>
  <si>
    <t>Lage innen/außen</t>
  </si>
  <si>
    <t>nicht definiert</t>
  </si>
  <si>
    <t>Außentür</t>
  </si>
  <si>
    <t>Innen oder Aussentür</t>
  </si>
  <si>
    <t>Einbaulage</t>
  </si>
  <si>
    <t>Schutzsituation außen</t>
  </si>
  <si>
    <t>Bewertung Schutzsituation</t>
  </si>
  <si>
    <t>Ausrichtung</t>
  </si>
  <si>
    <t>Ausrichtung Himmelsrichtung</t>
  </si>
  <si>
    <t>Für Energiebedarfs- und Verschattungsberechnungen</t>
  </si>
  <si>
    <t>dk_environment</t>
  </si>
  <si>
    <t>Einbausituation</t>
  </si>
  <si>
    <t>AC_WallContours</t>
  </si>
  <si>
    <t>ArchiCAD spezifisch</t>
  </si>
  <si>
    <t>AC_Hole_Hotspot_Control</t>
  </si>
  <si>
    <t>Fangpunkte darstellen</t>
  </si>
  <si>
    <t>2D-Fixpunkte in 3D zeigen</t>
  </si>
  <si>
    <t>Höhenlage Unterkante</t>
  </si>
  <si>
    <t>Höhenlage Oberkante</t>
  </si>
  <si>
    <t>AC_Hole_Display_Option</t>
  </si>
  <si>
    <t>Darstellungseinstellung Grundriss</t>
  </si>
  <si>
    <t>AC_Hole_Position_Angle</t>
  </si>
  <si>
    <t>Winkel Öffnungsposition</t>
  </si>
  <si>
    <t>AC_HoleSideMaterial</t>
  </si>
  <si>
    <t>Oberfläche Leibung wie Wandoberfläche</t>
  </si>
  <si>
    <t>AC_HoleMaterialCurved</t>
  </si>
  <si>
    <t>Öffnungsoberfläche ist gebogen in gebogenen Wänden</t>
  </si>
  <si>
    <t>AC_WallType</t>
  </si>
  <si>
    <t>Wand-Typ</t>
  </si>
  <si>
    <t>ArchiCAD spezifisch-konstruktiver Wandtyp</t>
  </si>
  <si>
    <t>AC_WindowInWallContour</t>
  </si>
  <si>
    <t>Fenster in Wandkontur</t>
  </si>
  <si>
    <t>AC_WallContourPolygon</t>
  </si>
  <si>
    <t>Wandkonturpolygon</t>
  </si>
  <si>
    <t>AC_Wall_Direction_Type</t>
  </si>
  <si>
    <t>Wandausrichtung zu Konstruktionsrichtung</t>
  </si>
  <si>
    <t>ac_revealAnchorPos</t>
  </si>
  <si>
    <t>Laibung Ankerposition</t>
  </si>
  <si>
    <t>ac_vertAnchorPos</t>
  </si>
  <si>
    <t>Vertikale Ankerposition</t>
  </si>
  <si>
    <t>ac_revealToWallCore</t>
  </si>
  <si>
    <t>Tiefe Anschlag zum Wandkern</t>
  </si>
  <si>
    <t>AC_Wall_CrossSection_Type</t>
  </si>
  <si>
    <t>Wandquerschnittstyp</t>
  </si>
  <si>
    <t>ac_wido_hide_options</t>
  </si>
  <si>
    <t>Standardeingabefelder verstecken</t>
  </si>
  <si>
    <t>ac_zone_on_reveal_side</t>
  </si>
  <si>
    <t>Raumseite an Anschlagseite?</t>
  </si>
  <si>
    <t>ac_wido_flip_once</t>
  </si>
  <si>
    <t>Öffnung spiegeln</t>
  </si>
  <si>
    <t>Baumischanschluss</t>
  </si>
  <si>
    <t>Hetorogene Einbausituation?</t>
  </si>
  <si>
    <t>bs_walltype</t>
  </si>
  <si>
    <t>Einbaukonstruktion</t>
  </si>
  <si>
    <t>Art der Wand-Konstruktion entsprechend der Auswahlliste</t>
  </si>
  <si>
    <t>bs_load_bearing_material</t>
  </si>
  <si>
    <t>Material tragende Struktur</t>
  </si>
  <si>
    <t>Wandmaterial</t>
  </si>
  <si>
    <t>Rohbaumaterial der Wand, z.B. Kalksandstein</t>
  </si>
  <si>
    <t>WALL_THICKNESS</t>
  </si>
  <si>
    <t>Wandstärke</t>
  </si>
  <si>
    <t>Stärke der Wand incl. Belag</t>
  </si>
  <si>
    <t>Wand Belag BS</t>
  </si>
  <si>
    <t>Wandbelag auf der Bandseite</t>
  </si>
  <si>
    <t>Art des Wandbelages in Raum 1, z.B. Kalkputz, verfliest</t>
  </si>
  <si>
    <t>bs_wall_thk_covering1</t>
  </si>
  <si>
    <t>Stärke Wandbelag auf Bandseite</t>
  </si>
  <si>
    <t>Wand Belag BS Stärke</t>
  </si>
  <si>
    <t>Stärke des Wandbelages in Raum 1 ???</t>
  </si>
  <si>
    <t>Wand Belag BGS</t>
  </si>
  <si>
    <t>Wandbelag auf der Bandgegenseite</t>
  </si>
  <si>
    <t>Art des Wandbelages in Raum 2 ???</t>
  </si>
  <si>
    <t>bs_wall_thk_covering2</t>
  </si>
  <si>
    <t>Stärke Wandbelag auf Bandgegenseite</t>
  </si>
  <si>
    <t>Wand Belag BGS Stärke</t>
  </si>
  <si>
    <t>Stärke des Wandbelages in Raum 2</t>
  </si>
  <si>
    <t>bs_wall_thk_load_bearing</t>
  </si>
  <si>
    <t>Stärke tragende Schichten</t>
  </si>
  <si>
    <t>Sturzstärke</t>
  </si>
  <si>
    <t>Sturzstärke = Dicke tragende Wandschichten !</t>
  </si>
  <si>
    <t>bs_walltype2</t>
  </si>
  <si>
    <t>Einbaukonstruktion rechts</t>
  </si>
  <si>
    <t>Wand Typ rechts</t>
  </si>
  <si>
    <t>Wand Belag 2 Bandseite</t>
  </si>
  <si>
    <t>Art des bandseitigen Wandbelages in Raum 1, z.B. Kalkputz, verfliest</t>
  </si>
  <si>
    <t>Wand Belag 2 Bandgegenseite</t>
  </si>
  <si>
    <t>Art des bandgegenseitigen Wandbelages in Raum 2, z.B. Kalkputz, verfliest</t>
  </si>
  <si>
    <t>Wand Belag 2 Bandseite Stärke</t>
  </si>
  <si>
    <t>Stärke des bandseitigen Wandbelages in Raum 1</t>
  </si>
  <si>
    <t>Wand Belag 2 Bandgegenseite Stärke</t>
  </si>
  <si>
    <t>Stärke des bandgegenseitigen Wandbelages in Raum 2</t>
  </si>
  <si>
    <t>Wand Belag 3 Bandseite</t>
  </si>
  <si>
    <t>Art des Wandbelages im Sturzbereich in Raum 1, z.B. Kalkputz, verfliest</t>
  </si>
  <si>
    <t>Wand Belag 3 Bandgegenseite</t>
  </si>
  <si>
    <t>Art des Wandbelages im Sturzbereich in Raum 2, z.B. Kalkputz, verfliest</t>
  </si>
  <si>
    <t>Wand Belag 3 Bandseite Stärke</t>
  </si>
  <si>
    <t>Stärke des bandseitigen Wandbelages im Sturzbereich  in Raum 1</t>
  </si>
  <si>
    <t>Wand Belag 3 Bandgegenseite Stärke</t>
  </si>
  <si>
    <t>Stärke des bandgegenseitigen Wandbelages im Sturzbereich  in Raum 2</t>
  </si>
  <si>
    <t>Deckenschott</t>
  </si>
  <si>
    <t>Bodenschott</t>
  </si>
  <si>
    <t>Trennfuge</t>
  </si>
  <si>
    <r>
      <rPr>
        <sz val="11"/>
        <color rgb="FF7030A0"/>
        <rFont val="Arial"/>
        <family val="2"/>
      </rPr>
      <t xml:space="preserve">Fuge zwischen </t>
    </r>
    <r>
      <rPr>
        <sz val="11"/>
        <color rgb="FFFF0000"/>
        <rFont val="Arial"/>
        <family val="2"/>
      </rPr>
      <t>Raum1</t>
    </r>
    <r>
      <rPr>
        <sz val="11"/>
        <color theme="4"/>
        <rFont val="Arial"/>
        <family val="2"/>
      </rPr>
      <t xml:space="preserve"> </t>
    </r>
    <r>
      <rPr>
        <sz val="11"/>
        <color rgb="FF7030A0"/>
        <rFont val="Arial"/>
        <family val="2"/>
      </rPr>
      <t>und</t>
    </r>
    <r>
      <rPr>
        <sz val="11"/>
        <color theme="4"/>
        <rFont val="Arial"/>
        <family val="2"/>
      </rPr>
      <t xml:space="preserve"> </t>
    </r>
    <r>
      <rPr>
        <sz val="11"/>
        <color rgb="FFFF0000"/>
        <rFont val="Arial"/>
        <family val="2"/>
      </rPr>
      <t>Raum</t>
    </r>
    <r>
      <rPr>
        <sz val="11"/>
        <color rgb="FF7030A0"/>
        <rFont val="Arial"/>
        <family val="2"/>
      </rPr>
      <t>2</t>
    </r>
  </si>
  <si>
    <t>bs_mixed_materials</t>
  </si>
  <si>
    <t>Hetorogene Anschlussbauteile</t>
  </si>
  <si>
    <t>Schließen links, rechts und oben jeweils unterschiedliche Baumaterialien an die Tür an</t>
  </si>
  <si>
    <t>Raumhöhe Bandseite</t>
  </si>
  <si>
    <t>Rohbau-Raumhöhe Bandseite</t>
  </si>
  <si>
    <r>
      <rPr>
        <sz val="11"/>
        <color rgb="FF7030A0"/>
        <rFont val="Arial"/>
        <family val="2"/>
      </rPr>
      <t xml:space="preserve">Raumhöhe ab OKFF bis UK Rohdecke </t>
    </r>
    <r>
      <rPr>
        <sz val="11"/>
        <color rgb="FFFF0000"/>
        <rFont val="Arial"/>
        <family val="2"/>
      </rPr>
      <t>auf Bandseite</t>
    </r>
  </si>
  <si>
    <t>Raumhöhe Bandgegenseite</t>
  </si>
  <si>
    <t>Rohbau-Raumhöhe Bandgegenseite</t>
  </si>
  <si>
    <r>
      <rPr>
        <sz val="11"/>
        <color rgb="FF7030A0"/>
        <rFont val="Arial"/>
        <family val="2"/>
      </rPr>
      <t xml:space="preserve">Raumhöhe ab OKFF bis UK Rohdecke </t>
    </r>
    <r>
      <rPr>
        <sz val="11"/>
        <color rgb="FFFF0000"/>
        <rFont val="Arial"/>
        <family val="2"/>
      </rPr>
      <t>auf Bandgegenseite</t>
    </r>
  </si>
  <si>
    <t>Qualität Abhangdecke Bandseite</t>
  </si>
  <si>
    <t>Deckenqualität der abgehängten Decke, z.B. F90 Raum 1</t>
  </si>
  <si>
    <t>Qualität Abhangdecke Bandgegenseite</t>
  </si>
  <si>
    <t>Deckenqualität der abgehängten Decke, z.B. F90 Raum 2</t>
  </si>
  <si>
    <t>Höhe Abhangdecke Bandseite</t>
  </si>
  <si>
    <t>Lichte Raumhöhe Bandseite</t>
  </si>
  <si>
    <r>
      <rPr>
        <sz val="11"/>
        <color rgb="FF7030A0"/>
        <rFont val="Arial"/>
        <family val="2"/>
      </rPr>
      <t xml:space="preserve">Höhe der abgehängten Decke ab OKFF bis UK Abhangdecke </t>
    </r>
    <r>
      <rPr>
        <sz val="11"/>
        <color rgb="FFFF0000"/>
        <rFont val="Arial"/>
        <family val="2"/>
      </rPr>
      <t>auf Bandseite</t>
    </r>
  </si>
  <si>
    <t>Höhe Abhangdecke Bandgegenseite</t>
  </si>
  <si>
    <t>Lichte Raumhöhe Bandgegenseite</t>
  </si>
  <si>
    <r>
      <rPr>
        <sz val="11"/>
        <color rgb="FF7030A0"/>
        <rFont val="Arial"/>
        <family val="2"/>
      </rPr>
      <t xml:space="preserve">Höhe der abgehängten Decke ab OKFF bis UK Abhangdecke </t>
    </r>
    <r>
      <rPr>
        <sz val="11"/>
        <color rgb="FFFF0000"/>
        <rFont val="Arial"/>
        <family val="2"/>
      </rPr>
      <t>auf Bandgegenseite</t>
    </r>
  </si>
  <si>
    <t>bs_parapet</t>
  </si>
  <si>
    <t>Brüstung</t>
  </si>
  <si>
    <t>Brüstungstyp</t>
  </si>
  <si>
    <t>Art der Türbrüstung, z.B. Sicherheitsschwelle</t>
  </si>
  <si>
    <t>Brüstungsmaterial</t>
  </si>
  <si>
    <t>Rohbaumaterial der Türbrüstung, z.B. Kalkdsandstein</t>
  </si>
  <si>
    <t>Brüstungsstärke</t>
  </si>
  <si>
    <t>Rohbaustärke der Türbrüstung</t>
  </si>
  <si>
    <t>pwi</t>
  </si>
  <si>
    <t>Ausbildung (Heizkörper)nische</t>
  </si>
  <si>
    <t>AC_Sill_To_Curr_Story</t>
  </si>
  <si>
    <t>Brüstungshöhe zum aktuellen Geschoss</t>
  </si>
  <si>
    <t>Brüstungshöhe</t>
  </si>
  <si>
    <t>Höhe der Türbrüstung ab OKFF</t>
  </si>
  <si>
    <t>Boden Höhe BS</t>
  </si>
  <si>
    <t>Höhe Fußbodenaufbau Bandseite redundant?</t>
  </si>
  <si>
    <t>Boden Höhe BGS</t>
  </si>
  <si>
    <t>Höhe Fußbodenaufbau Bandgegenseite ??? redundant?</t>
  </si>
  <si>
    <t>Bodenaufbau Bandseite</t>
  </si>
  <si>
    <t>Art des Fußbodenaufbaus in Raum 1, z.B. Estrich</t>
  </si>
  <si>
    <t>Bodenhöhe Bandseite</t>
  </si>
  <si>
    <r>
      <rPr>
        <sz val="11"/>
        <color rgb="FF7030A0"/>
        <rFont val="Arial"/>
        <family val="2"/>
      </rPr>
      <t>Gesamtstärke Fußbodenaufbau von OKRD bis OKFF</t>
    </r>
    <r>
      <rPr>
        <sz val="11"/>
        <color rgb="FFFF0000"/>
        <rFont val="Arial"/>
        <family val="2"/>
      </rPr>
      <t xml:space="preserve"> Raum 1</t>
    </r>
    <r>
      <rPr>
        <sz val="11"/>
        <color theme="4"/>
        <rFont val="Arial"/>
        <family val="2"/>
      </rPr>
      <t xml:space="preserve">, </t>
    </r>
    <r>
      <rPr>
        <sz val="11"/>
        <color rgb="FF7030A0"/>
        <rFont val="Arial"/>
        <family val="2"/>
      </rPr>
      <t>z.B. 100mm</t>
    </r>
  </si>
  <si>
    <t>Bodenbelag Bandseite</t>
  </si>
  <si>
    <r>
      <rPr>
        <sz val="11"/>
        <color rgb="FF7030A0"/>
        <rFont val="Arial"/>
        <family val="2"/>
      </rPr>
      <t>Art des Bodenbelages</t>
    </r>
    <r>
      <rPr>
        <sz val="11"/>
        <color rgb="FFFF0000"/>
        <rFont val="Arial"/>
        <family val="2"/>
      </rPr>
      <t xml:space="preserve"> Raum 1</t>
    </r>
    <r>
      <rPr>
        <sz val="11"/>
        <color theme="4"/>
        <rFont val="Arial"/>
        <family val="2"/>
      </rPr>
      <t xml:space="preserve"> </t>
    </r>
    <r>
      <rPr>
        <sz val="11"/>
        <color rgb="FF7030A0"/>
        <rFont val="Arial"/>
        <family val="2"/>
      </rPr>
      <t>(oberhalb desEstriches) z.B. Teppich, Laminat</t>
    </r>
  </si>
  <si>
    <t>Bodenaufbau Bandgegenseite</t>
  </si>
  <si>
    <t>Art des Fußbodenaufbaus in Raum 2, z.B. Estrich</t>
  </si>
  <si>
    <t>Bodenhöhe Bandgegenseite</t>
  </si>
  <si>
    <r>
      <rPr>
        <sz val="11"/>
        <color rgb="FF7030A0"/>
        <rFont val="Arial"/>
        <family val="2"/>
      </rPr>
      <t>Gesamtstärke Fußbodenaufbau von OKRD bis OKFF</t>
    </r>
    <r>
      <rPr>
        <sz val="11"/>
        <color rgb="FFFF0000"/>
        <rFont val="Arial"/>
        <family val="2"/>
      </rPr>
      <t xml:space="preserve"> Raum 2</t>
    </r>
    <r>
      <rPr>
        <sz val="11"/>
        <color theme="4"/>
        <rFont val="Arial"/>
        <family val="2"/>
      </rPr>
      <t>,</t>
    </r>
    <r>
      <rPr>
        <sz val="11"/>
        <color rgb="FF7030A0"/>
        <rFont val="Arial"/>
        <family val="2"/>
      </rPr>
      <t xml:space="preserve"> z.B. 100mm</t>
    </r>
  </si>
  <si>
    <t>Bodenbelag Bandgegenseite</t>
  </si>
  <si>
    <r>
      <rPr>
        <sz val="11"/>
        <color rgb="FF7030A0"/>
        <rFont val="Arial"/>
        <family val="2"/>
      </rPr>
      <t>Art des Bodenbelages</t>
    </r>
    <r>
      <rPr>
        <sz val="11"/>
        <color theme="4"/>
        <rFont val="Arial"/>
        <family val="2"/>
      </rPr>
      <t xml:space="preserve"> </t>
    </r>
    <r>
      <rPr>
        <sz val="11"/>
        <color rgb="FFFF0000"/>
        <rFont val="Arial"/>
        <family val="2"/>
      </rPr>
      <t>Raum 2</t>
    </r>
    <r>
      <rPr>
        <sz val="11"/>
        <color rgb="FF7030A0"/>
        <rFont val="Arial"/>
        <family val="2"/>
      </rPr>
      <t xml:space="preserve"> (oberhalb desEstriches) z.B. Teppich, Laminat</t>
    </r>
  </si>
  <si>
    <t>gs_masonry_arch</t>
  </si>
  <si>
    <t>Sturz Verblenschale</t>
  </si>
  <si>
    <t>bMasonryArch</t>
  </si>
  <si>
    <t>Rollschicht</t>
  </si>
  <si>
    <t>gs_masonry_arch_int</t>
  </si>
  <si>
    <t>gerade, geneigt, geneigt mit Schlußstein, Bogen, Bogen mit Schlußstein</t>
  </si>
  <si>
    <t>gs_masonry_arch_structure</t>
  </si>
  <si>
    <t>Typ Sturz</t>
  </si>
  <si>
    <t>Verputzt</t>
  </si>
  <si>
    <t>verputzt,  gemauert</t>
  </si>
  <si>
    <t>gs_masonry_arch_structure_int</t>
  </si>
  <si>
    <t>… numerisch: 1,2</t>
  </si>
  <si>
    <t>gs_AutomaticArchHeight</t>
  </si>
  <si>
    <t>Sturz direkt über der Tür</t>
  </si>
  <si>
    <t>gs_MasonryArch_height</t>
  </si>
  <si>
    <t>Distanz zwischen Bogen und Tür</t>
  </si>
  <si>
    <t>gs_NicheBelowArch</t>
  </si>
  <si>
    <t>Nische unterm Bogen</t>
  </si>
  <si>
    <t>gs_masonry_arch_ovhg_left</t>
  </si>
  <si>
    <t>Sturz Überhang links</t>
  </si>
  <si>
    <t>gs_masonry_arch_ovhg_right</t>
  </si>
  <si>
    <t>Sturz Überhang rechts</t>
  </si>
  <si>
    <t>gs_masonry_arch_rise</t>
  </si>
  <si>
    <t>Sturz Bogenhöhe</t>
  </si>
  <si>
    <t>gs_masonry_arch_skewback_angle</t>
  </si>
  <si>
    <t>Neigungswinkel</t>
  </si>
  <si>
    <t>gs_masonry_arch_proj</t>
  </si>
  <si>
    <t>Überstand vor Fassade</t>
  </si>
  <si>
    <t>gs_masonry_arch_height</t>
  </si>
  <si>
    <t>Höhe Sichtmauerwerk</t>
  </si>
  <si>
    <t>gs_masonry_arch_depth</t>
  </si>
  <si>
    <t>Tiefe Sichtmauerwerk</t>
  </si>
  <si>
    <t>gs_masonry_arch_rearHoleDepth</t>
  </si>
  <si>
    <t>Abstand von Tragkonstruktion</t>
  </si>
  <si>
    <t>gs_masonry_arch_brick_thk</t>
  </si>
  <si>
    <t>gs_masonry_arch_mort_thk</t>
  </si>
  <si>
    <t>gs_masonry_arch_keystone_width</t>
  </si>
  <si>
    <t>Schlußsteinbreite</t>
  </si>
  <si>
    <t>gs_masonry_arch_keystone_osize</t>
  </si>
  <si>
    <t>Übergröße Schlußstein</t>
  </si>
  <si>
    <t>gs_masonry_arch_keystone_proj</t>
  </si>
  <si>
    <t>Überstand Schlussstein</t>
  </si>
  <si>
    <t>bCustomMatNicheTop</t>
  </si>
  <si>
    <t>Eigenes Nischen-Oberflächenmaterial</t>
  </si>
  <si>
    <t>gs_masonry_arch_fill</t>
  </si>
  <si>
    <t>Schnittschraffur Bogen</t>
  </si>
  <si>
    <t>gs_masonry_arch_pen_fg</t>
  </si>
  <si>
    <t>Bogen Schnitt Schraffurstift</t>
  </si>
  <si>
    <t>gs_masonry_arch_pen_bg</t>
  </si>
  <si>
    <t>Hintergrundstift Bogen Schwelle</t>
  </si>
  <si>
    <t>gs_masonry_arch_pen</t>
  </si>
  <si>
    <t>Stift Ziegelsturz</t>
  </si>
  <si>
    <t>gs_masonry_arch_brick_mat</t>
  </si>
  <si>
    <t>Mauerwerksbogen Stein Oberflächenmaterial</t>
  </si>
  <si>
    <t>gs_masonry_arch_mort_mat</t>
  </si>
  <si>
    <t>Mauerwerksbogen Mörtel Oberflächenmaterial</t>
  </si>
  <si>
    <t>gs_masonry_arch_keystone_mat</t>
  </si>
  <si>
    <t>Mauerwerksbogen Schlusstein Oberflächenmaterial</t>
  </si>
  <si>
    <t>matNicheTop</t>
  </si>
  <si>
    <t>Nischen-Oberflächenmaterial</t>
  </si>
  <si>
    <t>dk_lintel</t>
  </si>
  <si>
    <t>Sturz in Einbau-Bauteil</t>
  </si>
  <si>
    <t>GS-Original nur in AUT-Bib</t>
  </si>
  <si>
    <t>Sturztyp</t>
  </si>
  <si>
    <t>Konstruktionstyp des Türsturzes, z.B. DIA-Sturz</t>
  </si>
  <si>
    <t>Sturzmaterial</t>
  </si>
  <si>
    <t>Rohbaumaterial des Türsturzes, z.B. Ziegel mit Stahlbetonkern</t>
  </si>
  <si>
    <t>gs_sturz</t>
  </si>
  <si>
    <t>Sturzsystem</t>
  </si>
  <si>
    <t>gs_hsturz</t>
  </si>
  <si>
    <t>Tragender Sturz</t>
  </si>
  <si>
    <t>gs_hsturz_autoheight</t>
  </si>
  <si>
    <t>autom. Höhe tragender Sturz</t>
  </si>
  <si>
    <t>gs_hsturz_height</t>
  </si>
  <si>
    <t>Höhe tragender Sturz</t>
  </si>
  <si>
    <t>Sturzhöhe</t>
  </si>
  <si>
    <t>Rohbaustärke des Türsturzes</t>
  </si>
  <si>
    <t>gs_hsturz_wallMaterial</t>
  </si>
  <si>
    <t>Tragender Sturz übernimmt Oberflächenmaterial der Wand</t>
  </si>
  <si>
    <t>gs_hsturz_material</t>
  </si>
  <si>
    <t>Tragender Sturz Oberflächenmaterial</t>
  </si>
  <si>
    <t>gs_hsturz_fillType</t>
  </si>
  <si>
    <t>Schraffur-Typ Tragender Sturz</t>
  </si>
  <si>
    <t>gs_hsturz_fillPen</t>
  </si>
  <si>
    <t>Schraffurstift tragender Sturz</t>
  </si>
  <si>
    <t>gs_hsturz_backPen</t>
  </si>
  <si>
    <t>Hintergrund-Schraffurstift tragender Sturz</t>
  </si>
  <si>
    <t>gs_hsturz_cutPen</t>
  </si>
  <si>
    <t>Schnittlinienstift tragender Sturz</t>
  </si>
  <si>
    <t>iTypeProfiledLintel</t>
  </si>
  <si>
    <t>Profiltyp</t>
  </si>
  <si>
    <t>gs_hhs</t>
  </si>
  <si>
    <t>gs_dsturz</t>
  </si>
  <si>
    <t>Dicke vorne</t>
  </si>
  <si>
    <t>gs_abst_wand</t>
  </si>
  <si>
    <t>Tiefe von Wandebene</t>
  </si>
  <si>
    <t>gs_zd</t>
  </si>
  <si>
    <t>Dämmung</t>
  </si>
  <si>
    <t>gs_st1_zd</t>
  </si>
  <si>
    <t>Dicke Dämmung 1</t>
  </si>
  <si>
    <t>gs_st2_zd</t>
  </si>
  <si>
    <t>Dicke Dämmung 2</t>
  </si>
  <si>
    <t>gs_abst_wink</t>
  </si>
  <si>
    <t>Versatz vom Fensterrahmen</t>
  </si>
  <si>
    <t>gs_sturz_wallMaterial</t>
  </si>
  <si>
    <t>Sturz übernimmt Oberflächenmaterial der Wand</t>
  </si>
  <si>
    <t>gs_matsturz</t>
  </si>
  <si>
    <t>Sturz Oberflächenmaterial</t>
  </si>
  <si>
    <t>gs_zd_mat</t>
  </si>
  <si>
    <t>Wärmedämmung Oberflächenmaterial</t>
  </si>
  <si>
    <t>gs_pensturz</t>
  </si>
  <si>
    <t>Schnittlinien Stift</t>
  </si>
  <si>
    <t>gs_fillsturz</t>
  </si>
  <si>
    <t>Schraffur-Typ Sturz</t>
  </si>
  <si>
    <t>gs_penfillsturz</t>
  </si>
  <si>
    <t>Schraffur-Stift Sturz</t>
  </si>
  <si>
    <t>gs_hgpenfillsturz</t>
  </si>
  <si>
    <t>Sturz Stift Hintergrund</t>
  </si>
  <si>
    <t>gs_fillsturz_damm</t>
  </si>
  <si>
    <t>Dämmung Schraffur-Typ 1</t>
  </si>
  <si>
    <t>gs_fillsturz_damm2</t>
  </si>
  <si>
    <t>Dämmung Schraffur-Typ 2</t>
  </si>
  <si>
    <t>gs_penfillsturz_damm</t>
  </si>
  <si>
    <t>Schraffur-Stift Dämmung</t>
  </si>
  <si>
    <t>gs_hgpenfillsturz_damm</t>
  </si>
  <si>
    <t>Schraffurhintergrund-Stift</t>
  </si>
  <si>
    <t>gs_st_bech</t>
  </si>
  <si>
    <t>Dicke Metalplatte</t>
  </si>
  <si>
    <t>gs_reveal</t>
  </si>
  <si>
    <t>Anschlag</t>
  </si>
  <si>
    <t>Öffnungsanschlag 2- bis 4-seitig</t>
  </si>
  <si>
    <t>gs_reveal_type_new</t>
  </si>
  <si>
    <t>Typ Anschlag</t>
  </si>
  <si>
    <t>Form des Anschlages</t>
  </si>
  <si>
    <t>gs_reveal_type_int</t>
  </si>
  <si>
    <t>gs_reveal_type_bottom</t>
  </si>
  <si>
    <t>Untere Laibung Typ</t>
  </si>
  <si>
    <t>ohne Anschlag</t>
  </si>
  <si>
    <t>gs_reveal_type_bottom_int</t>
  </si>
  <si>
    <t>gs_wido_sill</t>
  </si>
  <si>
    <t>Anschlagtiefe</t>
  </si>
  <si>
    <t>AC_wido_sill</t>
  </si>
  <si>
    <t>gs_reveal_type</t>
  </si>
  <si>
    <t>Äußerer Laibungstyp</t>
  </si>
  <si>
    <t>Benutzerdefinierter Anschlag</t>
  </si>
  <si>
    <t>gs_reveal_doubleOuterTypeInt</t>
  </si>
  <si>
    <t>gs_reveal_double_innerType</t>
  </si>
  <si>
    <t>Laibungstyp Innen</t>
  </si>
  <si>
    <t>gs_reveal_doubleInnerTypeInt</t>
  </si>
  <si>
    <t>gs_reveal_uniform</t>
  </si>
  <si>
    <t>Anschlagtiefe und Laibungswinkel gleich</t>
  </si>
  <si>
    <t>gs_reveal_left</t>
  </si>
  <si>
    <t>Anschlagstiefe Seite 2</t>
  </si>
  <si>
    <t>gs_reveal_right</t>
  </si>
  <si>
    <t>Anschlagstiefe</t>
  </si>
  <si>
    <t>gs_reveal_splayed_innerLeft</t>
  </si>
  <si>
    <t>Innerer Anschlagstiefe Seite 2</t>
  </si>
  <si>
    <t>gs_reveal_splayed_innerRight</t>
  </si>
  <si>
    <t>Innerer Anschlagstiefe</t>
  </si>
  <si>
    <t>gs_reveal_double_innerLeft</t>
  </si>
  <si>
    <t>gs_reveal_double_innerRight</t>
  </si>
  <si>
    <t>gs_reveal_top</t>
  </si>
  <si>
    <t>Tiefe des oberen Anschlags</t>
  </si>
  <si>
    <t>gs_reveal_bottom</t>
  </si>
  <si>
    <t>Tiefe des unteren Anschlags</t>
  </si>
  <si>
    <t>gs_reveal_splayed_innerTop</t>
  </si>
  <si>
    <t>Tiefe Sturz Innen</t>
  </si>
  <si>
    <t>gs_reveal_splayed_innerBottom</t>
  </si>
  <si>
    <t>Tiefe Laibung Innen</t>
  </si>
  <si>
    <t>gs_reveal_double_innerTop</t>
  </si>
  <si>
    <t>gs_reveal_double_innerBottom</t>
  </si>
  <si>
    <t>gs_reveal_outer_jamb_depth</t>
  </si>
  <si>
    <t>Tiefe äußerer Anschlag</t>
  </si>
  <si>
    <t>gs_reveal_angle_edit_by</t>
  </si>
  <si>
    <t>Laibung bearbeiten von</t>
  </si>
  <si>
    <t>Winkel und Tiefe</t>
  </si>
  <si>
    <t>gs_reveal_angle_edit_by_int</t>
  </si>
  <si>
    <t>gs_reveal_left_angle</t>
  </si>
  <si>
    <t>Winkel Seite 2</t>
  </si>
  <si>
    <t>gs_reveal_right_angle</t>
  </si>
  <si>
    <t>Winkel Seite</t>
  </si>
  <si>
    <t>gs_reveal_top_angle</t>
  </si>
  <si>
    <t>Winkel oben</t>
  </si>
  <si>
    <t>gs_reveal_bottom_angle</t>
  </si>
  <si>
    <t>Winkel unten</t>
  </si>
  <si>
    <t>gs_reveal_innerLeft_width</t>
  </si>
  <si>
    <t>Seitenabschrägung Breite Seite 2</t>
  </si>
  <si>
    <t>gs_reveal_innerRight_width</t>
  </si>
  <si>
    <t>Seitenabschrägung Breite Seite</t>
  </si>
  <si>
    <t>gs_reveal_innerTop_width</t>
  </si>
  <si>
    <t>Obere Seitenabschrägung Breite</t>
  </si>
  <si>
    <t>gs_reveal_innerBottom_width</t>
  </si>
  <si>
    <t>Untere Seitenabschrägung Breite</t>
  </si>
  <si>
    <t>gs_reveal_outerLeft_angle</t>
  </si>
  <si>
    <t>Außenwinkel Seite 2</t>
  </si>
  <si>
    <t>gs_reveal_outerRight_angle</t>
  </si>
  <si>
    <t>Außenwinkel Seite</t>
  </si>
  <si>
    <t>gs_reveal_outerTop_angle</t>
  </si>
  <si>
    <t>Außenwinkel obere Seite</t>
  </si>
  <si>
    <t>gs_reveal_outerBottom_angle</t>
  </si>
  <si>
    <t>Außenwinkel untere Seite</t>
  </si>
  <si>
    <t>gs_reveal_auto_changed_by_cc</t>
  </si>
  <si>
    <t>gs_reveal_outerLeft_width</t>
  </si>
  <si>
    <t>Außenabschrägung Breite Seite 2</t>
  </si>
  <si>
    <t>gs_reveal_outerRight_width</t>
  </si>
  <si>
    <t>Außenabschrägung Breite Seite</t>
  </si>
  <si>
    <t>gs_reveal_outerTop_width</t>
  </si>
  <si>
    <t>Äußere Abschrägung Breite an oberer Seite</t>
  </si>
  <si>
    <t>gs_reveal_outerBottom_width</t>
  </si>
  <si>
    <t>Breite äußere Abschrägung an Unterseite</t>
  </si>
  <si>
    <t>gs_turn_plaster</t>
  </si>
  <si>
    <t>Schichteinzug</t>
  </si>
  <si>
    <t>gs_useWallFinishSkin</t>
  </si>
  <si>
    <t>Wandbekleidung benutzen</t>
  </si>
  <si>
    <t>gs_maxPlasterThk</t>
  </si>
  <si>
    <t>Max. Putzdicke</t>
  </si>
  <si>
    <t>gs_bAutoTurnOut</t>
  </si>
  <si>
    <t>automatischer Schichteinzug Putz innen</t>
  </si>
  <si>
    <t>gs_bOverOut</t>
  </si>
  <si>
    <t>Putzschicht innen einziehen</t>
  </si>
  <si>
    <t>gs_bAutoTurnIn</t>
  </si>
  <si>
    <t>automatischer Schichteinzug Putz außen</t>
  </si>
  <si>
    <t>gs_bOverIn</t>
  </si>
  <si>
    <t>Putzschicht außen einziehen</t>
  </si>
  <si>
    <t>gs_turn_plaster_dim_2D</t>
  </si>
  <si>
    <t>Bemaßungsfangpunkte in 2D</t>
  </si>
  <si>
    <t>gs_turn_plaster_show_3D</t>
  </si>
  <si>
    <t>in 3D zeigen</t>
  </si>
  <si>
    <t>gs_closure_type</t>
  </si>
  <si>
    <t>Kein Schichteinzug</t>
  </si>
  <si>
    <t>gs_closure_type_int</t>
  </si>
  <si>
    <t>gs_cavity_side</t>
  </si>
  <si>
    <t>Schicht an Seite einziehen</t>
  </si>
  <si>
    <t>iCavityClosureSide</t>
  </si>
  <si>
    <t>gs_nTurn</t>
  </si>
  <si>
    <t>Einzuziehende Schichten</t>
  </si>
  <si>
    <t>gs_nTurnDir</t>
  </si>
  <si>
    <t>Schichten von</t>
  </si>
  <si>
    <t>Außenseite</t>
  </si>
  <si>
    <t>iCavityClosureTurnDir</t>
  </si>
  <si>
    <t>gs_cc_dutch_ShowLeft</t>
  </si>
  <si>
    <t>Schichteinzug auf Seite 2</t>
  </si>
  <si>
    <t>gs_cc_dutch_ShowRight</t>
  </si>
  <si>
    <t>Schichteinzug auf Seite 1</t>
  </si>
  <si>
    <t>gs_cc_dutch_ShowTop</t>
  </si>
  <si>
    <t>Schichteinzug oben</t>
  </si>
  <si>
    <t>gs_cc_dutch_ShowBottom</t>
  </si>
  <si>
    <t>Schichteinzug unten</t>
  </si>
  <si>
    <t>gs_cc_dutch_ClosureToSkin</t>
  </si>
  <si>
    <t>Schichteinzug zu Schicht</t>
  </si>
  <si>
    <t>gs_cc_dutch_ClosureToSide_str</t>
  </si>
  <si>
    <t>Schichteinzug von Seite</t>
  </si>
  <si>
    <t>gs_cc_dutch_ClosureToSide</t>
  </si>
  <si>
    <t>gs_cc_dutch_TurnToClosure</t>
  </si>
  <si>
    <t>Schicht einziehen zu Abschluss</t>
  </si>
  <si>
    <t>gs_cc_dutch_TurnToClosureOffs</t>
  </si>
  <si>
    <t>Abstand Schicht zu Abschluss</t>
  </si>
  <si>
    <t>gs_cc_dutch_widthJoint</t>
  </si>
  <si>
    <t>Anschluss Breite</t>
  </si>
  <si>
    <t>gs_cc_dutch_thkJoint</t>
  </si>
  <si>
    <t>Anschluss Dicke</t>
  </si>
  <si>
    <t>gs_bJoint</t>
  </si>
  <si>
    <t>Dichtungsband einfügen</t>
  </si>
  <si>
    <t>gs_showJoint</t>
  </si>
  <si>
    <t>Dichtungsband zeigen</t>
  </si>
  <si>
    <t>gs_thkJoint</t>
  </si>
  <si>
    <t>Streifen-Dicke</t>
  </si>
  <si>
    <t>gs_penJoint</t>
  </si>
  <si>
    <t>Kontur-Stift</t>
  </si>
  <si>
    <t>gs_ltJoint</t>
  </si>
  <si>
    <t>Kontur-Linientyp</t>
  </si>
  <si>
    <t>gs_fillJoint</t>
  </si>
  <si>
    <t>Schraffur-Typ</t>
  </si>
  <si>
    <t>gs_penJointFg</t>
  </si>
  <si>
    <t>Schraffur-Stift</t>
  </si>
  <si>
    <t>gs_penJointBg</t>
  </si>
  <si>
    <t>gs_cc_dutch_matJointCustom</t>
  </si>
  <si>
    <t>Eigenes Oberflächenmaterial</t>
  </si>
  <si>
    <t>gs_cc_dutch_matJoint</t>
  </si>
  <si>
    <t>Oberflächenmaterial</t>
  </si>
  <si>
    <t>gs_widthPlug</t>
  </si>
  <si>
    <t>Profil-Breite</t>
  </si>
  <si>
    <t>gs_penPlug</t>
  </si>
  <si>
    <t>gs_ltPlug</t>
  </si>
  <si>
    <t>gs_fillPlug</t>
  </si>
  <si>
    <t>gs_penPlugFg</t>
  </si>
  <si>
    <t>gs_penPlugBg</t>
  </si>
  <si>
    <t>gs_custom_cc_array_left</t>
  </si>
  <si>
    <t>Schicht-Daten Links</t>
  </si>
  <si>
    <t>gs_custom_cc_array_right</t>
  </si>
  <si>
    <t>Schicht-Daten Rechts</t>
  </si>
  <si>
    <t>iCustomCCEditJambSide</t>
  </si>
  <si>
    <t>Editierte Anschlagseite</t>
  </si>
  <si>
    <t>iCustomCCEditWallSide</t>
  </si>
  <si>
    <t>Editierte Wandseite</t>
  </si>
  <si>
    <t>iCustomCCEditSkin</t>
  </si>
  <si>
    <t>Schicht Nummer</t>
  </si>
  <si>
    <t>gs_custom_cc_turn_in</t>
  </si>
  <si>
    <t>Schicht einziehen</t>
  </si>
  <si>
    <t>gs_custom_cc_plaster</t>
  </si>
  <si>
    <t>Schicht als Putz ansehen</t>
  </si>
  <si>
    <t>iCustomCCThicknessType</t>
  </si>
  <si>
    <t>Einzugsdicke</t>
  </si>
  <si>
    <t>gs_custom_cc_thickness</t>
  </si>
  <si>
    <t>Eigene Dicke</t>
  </si>
  <si>
    <t>iCustomCCOrientation</t>
  </si>
  <si>
    <t>Ausrichtung Schraffur</t>
  </si>
  <si>
    <t>gs_custom_cc_separator</t>
  </si>
  <si>
    <t>Trennlinie am Einzug</t>
  </si>
  <si>
    <t>gs_custom_cc_separator_pen</t>
  </si>
  <si>
    <t>Stift Trennlinie</t>
  </si>
  <si>
    <t>gs_custom_cc_overhang</t>
  </si>
  <si>
    <t>Tiefe Schicht-Rahmen Überlappung</t>
  </si>
  <si>
    <t>gs_custom_cc_last_sel_side</t>
  </si>
  <si>
    <t>Letzte ausgewählte Seite</t>
  </si>
  <si>
    <t>gs_closure_auto_changed</t>
  </si>
  <si>
    <t>Abschlussart automatisch verändert</t>
  </si>
  <si>
    <t>gs_door_stack</t>
  </si>
  <si>
    <t>Reihung</t>
  </si>
  <si>
    <t>Randausbildung deaktivieren für gereihte Türelemente</t>
  </si>
  <si>
    <t>gs_stack_left</t>
  </si>
  <si>
    <t>Anschluss Links</t>
  </si>
  <si>
    <t>gs_stack_right</t>
  </si>
  <si>
    <t>Anschluss Rechts</t>
  </si>
  <si>
    <t>gs_stack_top</t>
  </si>
  <si>
    <t>Anschluss Oben</t>
  </si>
  <si>
    <t>dk_lintelboard</t>
  </si>
  <si>
    <t>Sturzbekleidung</t>
  </si>
  <si>
    <t>gs_lintelboard_inside</t>
  </si>
  <si>
    <t>gs_lintelboard_thk</t>
  </si>
  <si>
    <t>Sturzbrett Dicke</t>
  </si>
  <si>
    <t>gs_lintelboard_nosing</t>
  </si>
  <si>
    <t>Sturzbrett Überstand</t>
  </si>
  <si>
    <t>gs_lintelboard_ovhg_left</t>
  </si>
  <si>
    <t>Überstand Verkleidung Links</t>
  </si>
  <si>
    <t>gs_lintelboard_ovhg_right</t>
  </si>
  <si>
    <t>Überstand Verkleidung Rechts</t>
  </si>
  <si>
    <t>gs_lintelboard_width</t>
  </si>
  <si>
    <t>Dicke Verkleidung</t>
  </si>
  <si>
    <t>gs_lintelboard_curved</t>
  </si>
  <si>
    <t>Gebogen in gebogenen Wänden</t>
  </si>
  <si>
    <t>iLintelBoardInPolyWall</t>
  </si>
  <si>
    <t>Einfassung in Polygonwänden</t>
  </si>
  <si>
    <t>iLintelBoardDetail2D</t>
  </si>
  <si>
    <t>2D-Detaillierungsgrad</t>
  </si>
  <si>
    <t>gs_lintelboard_pen_2D</t>
  </si>
  <si>
    <t>Stift Grundriss</t>
  </si>
  <si>
    <t>gs_lintelboard_linetype</t>
  </si>
  <si>
    <t>Linientyp Grundriss</t>
  </si>
  <si>
    <t>gs_lintelboard_pen_3D</t>
  </si>
  <si>
    <t>Konturstift 3D</t>
  </si>
  <si>
    <t>gs_lintelboard_pen_SE</t>
  </si>
  <si>
    <t>Stift Schnitt Kontur</t>
  </si>
  <si>
    <t>gs_lintelboard_fill</t>
  </si>
  <si>
    <t>Schnittschraffur-Typ</t>
  </si>
  <si>
    <t>gs_lintelboard_pen_fg</t>
  </si>
  <si>
    <t>Schnittschraffur-Stift</t>
  </si>
  <si>
    <t>gs_lintelboard_pen_bg</t>
  </si>
  <si>
    <t>Schnittschraffurhintergrund-Stift</t>
  </si>
  <si>
    <t>gs_lintelboard_mat</t>
  </si>
  <si>
    <t>Oberflächenmaterial Einfassung</t>
  </si>
  <si>
    <t>dk_door_mounting</t>
  </si>
  <si>
    <t>Türeinfassung</t>
  </si>
  <si>
    <t>redundant zu Futter+Bekleidung</t>
  </si>
  <si>
    <t>bWinMounting</t>
  </si>
  <si>
    <t>bShowMounting2D</t>
  </si>
  <si>
    <t>iTypeWindowMounting</t>
  </si>
  <si>
    <t>Typ Fassung</t>
  </si>
  <si>
    <t>falz</t>
  </si>
  <si>
    <t>Falz</t>
  </si>
  <si>
    <t>mgew</t>
  </si>
  <si>
    <t>Pfosten</t>
  </si>
  <si>
    <t>efs</t>
  </si>
  <si>
    <t>efb_t1</t>
  </si>
  <si>
    <t>Breite oben</t>
  </si>
  <si>
    <t>efb_ts11</t>
  </si>
  <si>
    <t>Dicke oben</t>
  </si>
  <si>
    <t>efb_bet</t>
  </si>
  <si>
    <t>Breite Sturz außen</t>
  </si>
  <si>
    <t>efsu</t>
  </si>
  <si>
    <t>Breite unten</t>
  </si>
  <si>
    <t>efsu_3</t>
  </si>
  <si>
    <t>Schwellenbreite</t>
  </si>
  <si>
    <t>efb_k</t>
  </si>
  <si>
    <t>Vorstand v. Fassade</t>
  </si>
  <si>
    <t>efb_s</t>
  </si>
  <si>
    <t>Vorstand v. Fassade Fensterbank Außen</t>
  </si>
  <si>
    <t>mat_ef</t>
  </si>
  <si>
    <t>Befestigung Oberflächenmaterial</t>
  </si>
  <si>
    <t>gs_pen_k</t>
  </si>
  <si>
    <t>Kontur-Stiftlinie</t>
  </si>
  <si>
    <t>gs_pen_kv</t>
  </si>
  <si>
    <t>Kontur-Stift Sturz vorne</t>
  </si>
  <si>
    <t>gs_pen_kh</t>
  </si>
  <si>
    <t>Kontur-Stift Sturz hinten</t>
  </si>
  <si>
    <t>gs_pen_sc</t>
  </si>
  <si>
    <t>gs_pen_h</t>
  </si>
  <si>
    <t>efsc</t>
  </si>
  <si>
    <t>Schraffur-Typ Bedeckung</t>
  </si>
  <si>
    <t>efsc1</t>
  </si>
  <si>
    <t>Schraffur Typ Schwelle</t>
  </si>
  <si>
    <t>efsc2</t>
  </si>
  <si>
    <t>efsc_v</t>
  </si>
  <si>
    <t>Schraffur-Typ Sturz vorne</t>
  </si>
  <si>
    <t>efsc_d</t>
  </si>
  <si>
    <t>Schraffurtyp Dämmung</t>
  </si>
  <si>
    <t>efsc_h</t>
  </si>
  <si>
    <t>Schraffur-Typ Hintersturz</t>
  </si>
  <si>
    <t>ltypef</t>
  </si>
  <si>
    <t>Linientyp</t>
  </si>
  <si>
    <t>dk_sunshade</t>
  </si>
  <si>
    <t>Sonnenschutz</t>
  </si>
  <si>
    <t>wird nicht implementiert</t>
  </si>
  <si>
    <t>bSunshade</t>
  </si>
  <si>
    <t>gs_sunShade_iType</t>
  </si>
  <si>
    <t>Sonnenschutz-Typ</t>
  </si>
  <si>
    <t>gs_sunShade_typeEnable</t>
  </si>
  <si>
    <t>Aktivierte Sonnenschutz-Typen</t>
  </si>
  <si>
    <t>gs_sunShade_iCashedEnableTypes</t>
  </si>
  <si>
    <t>gs_shutter_nPanels</t>
  </si>
  <si>
    <t>Anzahl Lamellen</t>
  </si>
  <si>
    <t>gs_shutter_nPanels2</t>
  </si>
  <si>
    <t>Anzahl Paneelen 2</t>
  </si>
  <si>
    <t>gs_shutter_panelPos</t>
  </si>
  <si>
    <t>Paneel-Position</t>
  </si>
  <si>
    <t>Symmetrisch</t>
  </si>
  <si>
    <t>gs_shutter_iPanelPos</t>
  </si>
  <si>
    <t>gs_sunShade_bAutomaticHeight</t>
  </si>
  <si>
    <t>Automatische Höhenanpassung</t>
  </si>
  <si>
    <t>gs_sunShade_height</t>
  </si>
  <si>
    <t>Paneelhöhe</t>
  </si>
  <si>
    <t>gs_shutter_innerOffset</t>
  </si>
  <si>
    <t>Innerer Versatz</t>
  </si>
  <si>
    <t>gs_shutter_closingDepth</t>
  </si>
  <si>
    <t>Schließtiefe</t>
  </si>
  <si>
    <t>gs_shutter_bExtraFrame</t>
  </si>
  <si>
    <t>Extra Rahmen</t>
  </si>
  <si>
    <t>gs_shutter_extraFrameWidth</t>
  </si>
  <si>
    <t>Extra Rahmen Breite</t>
  </si>
  <si>
    <t>gs_shutter_extraFrameThk</t>
  </si>
  <si>
    <t>Extra Rahmen Dicke</t>
  </si>
  <si>
    <t>gs_slidingShutter_cover</t>
  </si>
  <si>
    <t>Abdeckungstyp</t>
  </si>
  <si>
    <t>Z-Profil</t>
  </si>
  <si>
    <t>gs_slidingShutter_iCover</t>
  </si>
  <si>
    <t>gs_slidingShutter_railWidth</t>
  </si>
  <si>
    <t>Geländerbreite</t>
  </si>
  <si>
    <t>gs_slidingShutter_stickLength</t>
  </si>
  <si>
    <t>Türzapfen-Länge</t>
  </si>
  <si>
    <t>gs_slidingShutter_stickRad</t>
  </si>
  <si>
    <t>Türzapfen-Radius</t>
  </si>
  <si>
    <t>gs_slidingShutter_panelDist</t>
  </si>
  <si>
    <t>Paneel-Abstand</t>
  </si>
  <si>
    <t>gs_foldingShutter_stacking</t>
  </si>
  <si>
    <t>Stapelrichtung</t>
  </si>
  <si>
    <t>Innen</t>
  </si>
  <si>
    <t>gs_foldingShutter_iStacking</t>
  </si>
  <si>
    <t>gs_foldingShutter_ovhg</t>
  </si>
  <si>
    <t>Außen-Überhang</t>
  </si>
  <si>
    <t>gs_outFoldingShutter_panelIn</t>
  </si>
  <si>
    <t>Innere Paneel-Breite</t>
  </si>
  <si>
    <t>gs_shutter_opened</t>
  </si>
  <si>
    <t>in 3D geöffnet</t>
  </si>
  <si>
    <t>gs_shutter_opAngle</t>
  </si>
  <si>
    <t>3D-Öffnungswinkel</t>
  </si>
  <si>
    <t>gs_shutter_opLength</t>
  </si>
  <si>
    <t>3D-Öffnungslänge</t>
  </si>
  <si>
    <t>gs_shutter_closedLength</t>
  </si>
  <si>
    <t>3D geschlossene Länge</t>
  </si>
  <si>
    <t>gs_shutter_opLength_1</t>
  </si>
  <si>
    <t>3D-Öffnungslänge 1</t>
  </si>
  <si>
    <t>gs_shutter_opLength_2</t>
  </si>
  <si>
    <t>gs_shutter_opHeight</t>
  </si>
  <si>
    <t>3D-Öffnungshöhe</t>
  </si>
  <si>
    <t>gs_shutter_closedHeight</t>
  </si>
  <si>
    <t>3D geschlossene Höhe</t>
  </si>
  <si>
    <t>gs_sunShade_bShowIn2D</t>
  </si>
  <si>
    <t>2D-Symbol zeigen</t>
  </si>
  <si>
    <t>gs_sunShade_bShowOpline</t>
  </si>
  <si>
    <t>Öffnungslinie im Symbol zeigen</t>
  </si>
  <si>
    <t>gs_sunShade_lineType</t>
  </si>
  <si>
    <t>Sonnenschutz-Symbol-LinienTyp</t>
  </si>
  <si>
    <t>gs_sunShade_cutLinesPen</t>
  </si>
  <si>
    <t>Sonnenschutz-Schnittlinien-Stift</t>
  </si>
  <si>
    <t>gs_sunShade_unCutLinesPen</t>
  </si>
  <si>
    <t>Sonnenschutz-Aufsichtslinien-Stift</t>
  </si>
  <si>
    <t>gs_sunShade_cutFillType</t>
  </si>
  <si>
    <t>Sonnenschutz Schnittschraffur-Typ</t>
  </si>
  <si>
    <t>gs_sunShade_cutFillPen</t>
  </si>
  <si>
    <t>Sonnenschutz Schnittschraffur-Stift</t>
  </si>
  <si>
    <t>gs_sunShade_cutFillBackPen</t>
  </si>
  <si>
    <t>Sonnenschutz Schnittschraffur-Hintergund-Stift</t>
  </si>
  <si>
    <t>gs_sunShade_insFillType</t>
  </si>
  <si>
    <t>Verschattung Dämmung Schraffurtyp</t>
  </si>
  <si>
    <t>gs_sunShade_insFillPen</t>
  </si>
  <si>
    <t>Verschattung Dämmung Schraffurstift</t>
  </si>
  <si>
    <t>gs_sunShade_insFillBackPen</t>
  </si>
  <si>
    <t>Verschattung Dämmung Hintergrundstift</t>
  </si>
  <si>
    <t>gs_shutPanel_materialMain</t>
  </si>
  <si>
    <t>Fensterladen Oberflächenmaterial</t>
  </si>
  <si>
    <t>gs_shutPanel_materialAcc</t>
  </si>
  <si>
    <t>Fensterladenrahmen Oberflächenmaterial</t>
  </si>
  <si>
    <t>gs_shutRoll_matBox</t>
  </si>
  <si>
    <t>Rollladengehäuse Oberflächenmaterial</t>
  </si>
  <si>
    <t>gs_shutRoll_matSegm</t>
  </si>
  <si>
    <t>Rollladenlamellen Oberflächenmaterial</t>
  </si>
  <si>
    <t>gs_shutRoll_matRail</t>
  </si>
  <si>
    <t>Rollladen Schiene Oberflächenmaterial</t>
  </si>
  <si>
    <t>gs_shutLam_matBox</t>
  </si>
  <si>
    <t>Jalousie Oberflächenmaterial</t>
  </si>
  <si>
    <t>gs_shutLam_matLam</t>
  </si>
  <si>
    <t>Jalousielamellen Oberflächenmaterial</t>
  </si>
  <si>
    <t>gs_shutSliding_matRail</t>
  </si>
  <si>
    <t>Schiebladen Schiene Oberflächenmaterial</t>
  </si>
  <si>
    <t>gs_shutPanel_type</t>
  </si>
  <si>
    <t>Paneeltyp</t>
  </si>
  <si>
    <t>gs_shutPanel_iType</t>
  </si>
  <si>
    <t>gs_cust_shutterPanel</t>
  </si>
  <si>
    <t>Namen Eigenes Paneel</t>
  </si>
  <si>
    <t>gs_shutPanel_Thk</t>
  </si>
  <si>
    <t>Paneeldicke</t>
  </si>
  <si>
    <t>gs_shutPanel_frameWidth</t>
  </si>
  <si>
    <t>Paneelrahmen-Breite</t>
  </si>
  <si>
    <t>gs_shutPanel_BDiffBottomFrame</t>
  </si>
  <si>
    <t>Unterschiedliche Rahmen-Breite unten</t>
  </si>
  <si>
    <t>gs_shutPanel_frameWidthBottom</t>
  </si>
  <si>
    <t>Rahmen-Breite unten</t>
  </si>
  <si>
    <t>gs_shutPanel_bAutomaticWidth</t>
  </si>
  <si>
    <t>Rollladen Breite</t>
  </si>
  <si>
    <t>gs_shutPanel_panelWidth</t>
  </si>
  <si>
    <t>Paneelbreite</t>
  </si>
  <si>
    <t>gs_shutPanel_fieldThk</t>
  </si>
  <si>
    <t>Paneelfüllungs-Dicke</t>
  </si>
  <si>
    <t>gs_shutPanel_louverThk</t>
  </si>
  <si>
    <t>Dicke Lamelle</t>
  </si>
  <si>
    <t>gs_shutPanel_louverWidth</t>
  </si>
  <si>
    <t>Breite Lamellen</t>
  </si>
  <si>
    <t>gs_shutPanel_louverAngle</t>
  </si>
  <si>
    <t>Winkel Lamelle</t>
  </si>
  <si>
    <t>gs_shutPanel_midFrameHorW</t>
  </si>
  <si>
    <t>Horizontaler Rahmen Teiler-Breite</t>
  </si>
  <si>
    <t>gs_shutPanel_midFrameVertW</t>
  </si>
  <si>
    <t>Vertikaler Rahmen Teiler-Breite</t>
  </si>
  <si>
    <t>gs_shutPanel_nHoleHor</t>
  </si>
  <si>
    <t>Lochanzahl horizontal</t>
  </si>
  <si>
    <t>gs_shutPanel_nHoleVert</t>
  </si>
  <si>
    <t>Lochanzahl vertikal</t>
  </si>
  <si>
    <t>gs_shutPanel_holeRadius</t>
  </si>
  <si>
    <t>Durchmesser Öffnung</t>
  </si>
  <si>
    <t>gs_shutPanel_ZBoardW</t>
  </si>
  <si>
    <t>Breite des vertikalen Bretts</t>
  </si>
  <si>
    <t>gs_shutPanel_ZWidth</t>
  </si>
  <si>
    <t>Z-Rahmen-Breite</t>
  </si>
  <si>
    <t>gs_shutPanel_ZThk</t>
  </si>
  <si>
    <t>Z-Rahmen-Dicke</t>
  </si>
  <si>
    <t>gs_shutPanel_boardThkVert</t>
  </si>
  <si>
    <t>Dicke der vertikalen Bretter</t>
  </si>
  <si>
    <t>gs_shutPanel_boardThkHor</t>
  </si>
  <si>
    <t>Dicke der horizontalen Bretter</t>
  </si>
  <si>
    <t>gs_shutPanel_vertBoardW</t>
  </si>
  <si>
    <t>Ungefähre Breite der vertikalen Bretter</t>
  </si>
  <si>
    <t>gs_shutPanel_horBoardW</t>
  </si>
  <si>
    <t>gs_shutRoll_placement</t>
  </si>
  <si>
    <t>Rollladen-Platzierung</t>
  </si>
  <si>
    <t>Vor Fassade angebracht</t>
  </si>
  <si>
    <t>gs_shutRoll_iPlacement</t>
  </si>
  <si>
    <t>gs_shutRoll_boxType</t>
  </si>
  <si>
    <t>Rechteckig</t>
  </si>
  <si>
    <t>gs_shutRoll_iBoxType</t>
  </si>
  <si>
    <t>gs_shutRoll_railPos</t>
  </si>
  <si>
    <t>Handlauf Position</t>
  </si>
  <si>
    <t>Auf Verkleidung</t>
  </si>
  <si>
    <t>gs_shutRoll_iRailPos</t>
  </si>
  <si>
    <t>gs_shutRoll_showCasingBehind</t>
  </si>
  <si>
    <t>Verkleidung hinter Sonnenschutz zeigen</t>
  </si>
  <si>
    <t>gs_shutRoll_cutWallBehind</t>
  </si>
  <si>
    <t>Wand hinter Kasten schneiden</t>
  </si>
  <si>
    <t>gs_shutRoll_bIncludeBoxHeight</t>
  </si>
  <si>
    <t>Höhe in Wandlochhöhe einschließen</t>
  </si>
  <si>
    <t>gs_shutRoll_boxHeight</t>
  </si>
  <si>
    <t>Kasten Höhe</t>
  </si>
  <si>
    <t>gs_shutRoll_boxWidth</t>
  </si>
  <si>
    <t>Kasten Tiefe</t>
  </si>
  <si>
    <t>gs_shutRoll_boxAngle</t>
  </si>
  <si>
    <t>Neigung Kastendach</t>
  </si>
  <si>
    <t>gs_shutRoll_boxDefaultSize</t>
  </si>
  <si>
    <t>Kasten–Breite</t>
  </si>
  <si>
    <t>gs_shutRoll_iBoxDefaultSize</t>
  </si>
  <si>
    <t>gs_shutRoll_boxOffsetLeft</t>
  </si>
  <si>
    <t>Kasten Abstand links</t>
  </si>
  <si>
    <t>gs_shutRoll_boxOffsetRight</t>
  </si>
  <si>
    <t>Kasten Abstand rechts</t>
  </si>
  <si>
    <t>gs_shutRoll_railDepth</t>
  </si>
  <si>
    <t>Tiefe Schiene</t>
  </si>
  <si>
    <t>gs_shutRoll_distFromWall</t>
  </si>
  <si>
    <t>Abstand von Wand</t>
  </si>
  <si>
    <t>gs_shutRoll_distFromHead</t>
  </si>
  <si>
    <t>Abstand oben</t>
  </si>
  <si>
    <t>gs_shutRoll_segmentWidth</t>
  </si>
  <si>
    <t>Rollladen-Lamellen-Höhe</t>
  </si>
  <si>
    <t>gs_shutLam_placement</t>
  </si>
  <si>
    <t>Jalousien-Platzierung</t>
  </si>
  <si>
    <t>gs_shutLam_iPlacement</t>
  </si>
  <si>
    <t>gs_shutLam_cutWallBehind</t>
  </si>
  <si>
    <t>Dämmung hinter Kasten</t>
  </si>
  <si>
    <t>gs_shutLam_boxHeight</t>
  </si>
  <si>
    <t>gs_shutLam_boxWidth</t>
  </si>
  <si>
    <t>Kasten Breite</t>
  </si>
  <si>
    <t>gs_shutLam_bOpenBox</t>
  </si>
  <si>
    <t>Geöffnetes Gehäuse</t>
  </si>
  <si>
    <t>gs_shutLam_bRail</t>
  </si>
  <si>
    <t>Führungsschienen</t>
  </si>
  <si>
    <t>gs_shutLam_railPos</t>
  </si>
  <si>
    <t>gs_shutLam_iRailPos</t>
  </si>
  <si>
    <t>gs_shutLam_showCasingBehind</t>
  </si>
  <si>
    <t>gs_shutLam_coverWidth</t>
  </si>
  <si>
    <t>Abdeckungstiefe</t>
  </si>
  <si>
    <t>gs_shutLam_distFromWall</t>
  </si>
  <si>
    <t>Vorstand v. Wand</t>
  </si>
  <si>
    <t>gs_shutLam_distFromHead</t>
  </si>
  <si>
    <t>gs_shutLam_segmentWidth</t>
  </si>
  <si>
    <t>Breite einer Rollade</t>
  </si>
  <si>
    <t>gs_shutLam_rotation</t>
  </si>
  <si>
    <t>Kippwinkel</t>
  </si>
  <si>
    <t>gs_shutLam2_boxHeight</t>
  </si>
  <si>
    <t>gs_shutLam2_boxWidth</t>
  </si>
  <si>
    <t>gs_shutLam2_distFromWindow</t>
  </si>
  <si>
    <t>Abst. v. Fenster</t>
  </si>
  <si>
    <t>gs_shutLam2_distFromHead</t>
  </si>
  <si>
    <t>gs_shutLam2_axisFromHead</t>
  </si>
  <si>
    <t>Kasten-Achshöhe von OK</t>
  </si>
  <si>
    <t>gs_shutLam2_segmentWidth</t>
  </si>
  <si>
    <t>gs_shutLam2_rotation</t>
  </si>
  <si>
    <t>gs_list_accessories</t>
  </si>
  <si>
    <t>Zubehör</t>
  </si>
  <si>
    <t>Bleieinlage</t>
  </si>
  <si>
    <t>Abschirmung gegen Strahlen</t>
  </si>
  <si>
    <t>Bodendichtung</t>
  </si>
  <si>
    <t>keine, standard, absenkbar</t>
  </si>
  <si>
    <t>Abdichtung im Sockelbereich</t>
  </si>
  <si>
    <t>Auflaufdichtung</t>
  </si>
  <si>
    <t>keine, standard, mit Aluminiumschwelle</t>
  </si>
  <si>
    <t>Kabelkanal</t>
  </si>
  <si>
    <t>Aufliegende Kabelführung</t>
  </si>
  <si>
    <t>Aufdopplung Türblatt</t>
  </si>
  <si>
    <t>zusätzliche Verstärkung</t>
  </si>
  <si>
    <t>Sockelblech</t>
  </si>
  <si>
    <t>kein,Aluminium, Edelstahl</t>
  </si>
  <si>
    <t>Verstärkung aus Metall im unteren Türbereich</t>
  </si>
  <si>
    <t>Zeiterfassung</t>
  </si>
  <si>
    <t>gs_list_nameplate</t>
  </si>
  <si>
    <t>Bezeichnungsschild</t>
  </si>
  <si>
    <t>SONDERTÜREN</t>
  </si>
  <si>
    <t>bs_sliding_doors</t>
  </si>
  <si>
    <t>Schiebetüren</t>
  </si>
  <si>
    <t>Schiebetür Antrieb</t>
  </si>
  <si>
    <t>Art des Schiebetürantriebes. Produktbezeichnung oder technische Beschreibung</t>
  </si>
  <si>
    <t>Schiebetür Bauart</t>
  </si>
  <si>
    <t>Bauart der Schiebetür</t>
  </si>
  <si>
    <t>Schiebetür Oberlicht</t>
  </si>
  <si>
    <t>Angabe ob ein Oberlicht im Schiebetürsystem verbaut ist</t>
  </si>
  <si>
    <t>Schiebetür Seitenteil rechts</t>
  </si>
  <si>
    <t>Angabe ob ein Seitenteil rechts im Schiebetürsystem verbaut ist</t>
  </si>
  <si>
    <t>Schiebetür Seitenteil links</t>
  </si>
  <si>
    <t>Angabe ob ein Seitenteil links im Schiebetürsystem verbaut ist</t>
  </si>
  <si>
    <t>Baukörperanschluss NSK</t>
  </si>
  <si>
    <t>Beschreibung des Anschlusses der Tür an den Baukörper an der Nebenschließkante</t>
  </si>
  <si>
    <t>Baukörperanschluss HSK</t>
  </si>
  <si>
    <t>Beschreibung des Anschlusses der Tür an den Baukörper an der Hauptschließkante</t>
  </si>
  <si>
    <t>Der Energy Level des Schiebetürantriebes</t>
  </si>
  <si>
    <t>Fluchtwegeignung</t>
  </si>
  <si>
    <t>Angabe, ob die Tür als Fluchtweg verwendet werden kann</t>
  </si>
  <si>
    <t>Angaben zum Wärmeschutz der Schiebetür</t>
  </si>
  <si>
    <t>Aufbruchschutz</t>
  </si>
  <si>
    <t>Angabe zum evtl. vorhandenen Aufbruchschutz an der Schiebetür</t>
  </si>
  <si>
    <t>Oberfläche</t>
  </si>
  <si>
    <t>Angaben zur Oberfläche der Schiebetürprofile</t>
  </si>
  <si>
    <t>Montageart</t>
  </si>
  <si>
    <t>Beschreibung, wie die Schiebetür bzw. Schiebetürantrieb im Durchgang montiert ist</t>
  </si>
  <si>
    <t>Absicherung</t>
  </si>
  <si>
    <t>Absicherung der Schiebetürflügel</t>
  </si>
  <si>
    <t>Schutzflügel</t>
  </si>
  <si>
    <t>Beschreibung der Schutzflügel</t>
  </si>
  <si>
    <t>Schiebetüranlage</t>
  </si>
  <si>
    <t>Angabe ob die Tür Teil einer Schiebetüranlage ist</t>
  </si>
  <si>
    <t>Sonderausführung</t>
  </si>
  <si>
    <t>Angaben zu besonderen Merkmalen der Schiebetür</t>
  </si>
  <si>
    <t>Bodenführung</t>
  </si>
  <si>
    <t>Angabe ob eine Bodenführung notwendig ist</t>
  </si>
  <si>
    <t>Schiebetür Verriegelung</t>
  </si>
  <si>
    <t>Angaben zur Verriegelung der Schiebetür</t>
  </si>
  <si>
    <t>Windlastwiderstand</t>
  </si>
  <si>
    <t>Windlastwiderstand der Schiebetür</t>
  </si>
  <si>
    <t>Schallschutzwert</t>
  </si>
  <si>
    <t>Der Schallschutzwert der Schiebetür</t>
  </si>
  <si>
    <t>Zertifizierung DIN EN 16361 </t>
  </si>
  <si>
    <t>Angabe, ob die Tür nach DIN EN 16361  zertifiziert ist</t>
  </si>
  <si>
    <t>Zertifizierung DIN EN 16005</t>
  </si>
  <si>
    <t>Angabe, ob die Tür nach DIN EN 16005  zertifiziert ist</t>
  </si>
  <si>
    <t>Zertifizierung DIN 18650</t>
  </si>
  <si>
    <t>Angabe, ob die Tür nach DIN 18650  zertifiziert ist</t>
  </si>
  <si>
    <t>bs_revolving_doors</t>
  </si>
  <si>
    <t>Karusselltüren</t>
  </si>
  <si>
    <t>Karusselltür Typ</t>
  </si>
  <si>
    <t>Angaben zur Art der Karusselltür</t>
  </si>
  <si>
    <t>Karusselltür Oberfläche</t>
  </si>
  <si>
    <t>Oberfläche der Karusselltürprofile</t>
  </si>
  <si>
    <t>Betriebsart</t>
  </si>
  <si>
    <t>Manuell, Vollautomatisch, Halbautomatisch</t>
  </si>
  <si>
    <t>Betriebsart der Karusselltür</t>
  </si>
  <si>
    <t>Verriegelung</t>
  </si>
  <si>
    <t>Angabe ob eine Verriegelung vorhanden ist</t>
  </si>
  <si>
    <t>Trommelwand Material</t>
  </si>
  <si>
    <t>Glas, Blech</t>
  </si>
  <si>
    <t>Material der Trommelwand</t>
  </si>
  <si>
    <t>Nachtabschluss</t>
  </si>
  <si>
    <t>Kein, Innen, Aussen </t>
  </si>
  <si>
    <t>Angaben zu Art und Lage des Nachtabschluss</t>
  </si>
  <si>
    <t>Kranzhöhe</t>
  </si>
  <si>
    <t>Höhe des oben liegenden Kranzes</t>
  </si>
  <si>
    <t>Warmluftschleier</t>
  </si>
  <si>
    <t>Angabe ob ein Warmluftschleier verbaut ist</t>
  </si>
  <si>
    <t>Bodenring</t>
  </si>
  <si>
    <t>Angabe ob ein Bodenring verwendet wird</t>
  </si>
  <si>
    <t>Baukörperanbindung</t>
  </si>
  <si>
    <t>Angaben zu Anbindung der Karusselltür an den Baukörper</t>
  </si>
  <si>
    <t>Angabe ob die Tür in einem Fluchtweg verwendet werden kann</t>
  </si>
  <si>
    <t>Aufstellfunktion</t>
  </si>
  <si>
    <t>Angabe ob die Tür mit einer Aufstellfunktion ausgestattet ist</t>
  </si>
  <si>
    <t>Absicherung Elektrisch</t>
  </si>
  <si>
    <t>Beschreibung der Absicherung</t>
  </si>
  <si>
    <t>Sicherheitskontakte</t>
  </si>
  <si>
    <t>Angabe ob eine zusätzliche Edelstahlsäule zur Aufnahme von Tastern verwendet wird</t>
  </si>
  <si>
    <t>Edelstahlsäule</t>
  </si>
  <si>
    <t>Beschreibung der Zusatzfunktionen</t>
  </si>
  <si>
    <t>Angabe ob eine Schiebetür in den Türflügeln integriert wurde</t>
  </si>
  <si>
    <t>Schiebetür Integriert</t>
  </si>
  <si>
    <t>Material der Deckenverkleidung</t>
  </si>
  <si>
    <t>Karusselltür Decke Material</t>
  </si>
  <si>
    <t>Lage des Karusselltürantriebes</t>
  </si>
  <si>
    <t>Antrieb Lage</t>
  </si>
  <si>
    <t>Decke, Boden</t>
  </si>
  <si>
    <t>Art der Verglasung der Trommelwand</t>
  </si>
  <si>
    <t>Verglasung</t>
  </si>
  <si>
    <t>ja, nein, bodentief</t>
  </si>
  <si>
    <t>Angabe ob der Antrieb verschleißarm ausgeführt ist</t>
  </si>
  <si>
    <t>Antrieb Verschleißarm</t>
  </si>
  <si>
    <t>Low Energy nach Din 18650</t>
  </si>
  <si>
    <t>Kollisionskräfte Reduziert</t>
  </si>
  <si>
    <t>Angabe ob die Tür mit einer Breakoutfunktion ausgestattet ist</t>
  </si>
  <si>
    <t>Breakoutfunktion</t>
  </si>
  <si>
    <t>Beschreibung sonstiger Ausstattungsmerkmale</t>
  </si>
  <si>
    <t>Sonstige Ausstattung</t>
  </si>
  <si>
    <t>gs_pen_2D</t>
  </si>
  <si>
    <t>Rahmen-Aufsicht-Stift</t>
  </si>
  <si>
    <t>gs_frame_pen</t>
  </si>
  <si>
    <t>Rahmen-Stift</t>
  </si>
  <si>
    <t>gs_fillFr</t>
  </si>
  <si>
    <t>Rahmen-Schnittschraffur-Typ</t>
  </si>
  <si>
    <t>gs_penFr_fg</t>
  </si>
  <si>
    <t>Rahmen-Schnittschraffur-Stift</t>
  </si>
  <si>
    <t>gs_penFr_bg</t>
  </si>
  <si>
    <t>Rahmen-Schnittschraffurhintergrund-Stift</t>
  </si>
  <si>
    <t>gs_leaf_pen</t>
  </si>
  <si>
    <t>Türblatt-Stift</t>
  </si>
  <si>
    <t>gs_fillLeaf</t>
  </si>
  <si>
    <t>Schraffurtyp geschnitten Türblatt</t>
  </si>
  <si>
    <t>gs_penLeaf_fg</t>
  </si>
  <si>
    <t>Schraffur-Stift geschnitten Türblatt</t>
  </si>
  <si>
    <t>gs_penLeaf_bg</t>
  </si>
  <si>
    <t>Schraffurhintergrund-Stift geschnitten Türblatt</t>
  </si>
  <si>
    <t>gs_glass_pen</t>
  </si>
  <si>
    <t>Glas Linienstift Kontur</t>
  </si>
  <si>
    <t>gs_fillGlass</t>
  </si>
  <si>
    <t>Schraffurtyp Glas</t>
  </si>
  <si>
    <t>gs_penGlass_fg</t>
  </si>
  <si>
    <t>Schraffurstift Glas</t>
  </si>
  <si>
    <t>gs_penGlass_bg</t>
  </si>
  <si>
    <t>Schraffurstift Hintergrund Glas</t>
  </si>
  <si>
    <t>gs_glass_view_pen</t>
  </si>
  <si>
    <t>Linienstift Glas</t>
  </si>
  <si>
    <t>gs_fillShCover</t>
  </si>
  <si>
    <t>Schraffur-Typ Rahmen</t>
  </si>
  <si>
    <t>gs_penShCov_fg</t>
  </si>
  <si>
    <t>Schraffur-Stift Rahmen</t>
  </si>
  <si>
    <t>_trennzeile</t>
  </si>
  <si>
    <t>Verschiedenes</t>
  </si>
  <si>
    <t>penSIASymbolText</t>
  </si>
  <si>
    <t>Stift Text</t>
  </si>
  <si>
    <t>penSIASymbolLine</t>
  </si>
  <si>
    <t>Symbol-Stift</t>
  </si>
  <si>
    <t>SIASymbolFontStyle</t>
  </si>
  <si>
    <t>Marker-Text</t>
  </si>
  <si>
    <t>Arial</t>
  </si>
  <si>
    <t>SIASymbolFontSize</t>
  </si>
  <si>
    <t>Schriftgröße</t>
  </si>
  <si>
    <t>gs_trim_outside</t>
  </si>
  <si>
    <t>Außenverkleidung</t>
  </si>
  <si>
    <t>gs_trimtype_out</t>
  </si>
  <si>
    <t>Türfutter außen</t>
  </si>
  <si>
    <t>gs_trimtype_out_int</t>
  </si>
  <si>
    <t>iCasingHeadTypeOut</t>
  </si>
  <si>
    <t>Gehäuse Kopftyp</t>
  </si>
  <si>
    <t>bArchitraveCapital</t>
  </si>
  <si>
    <t>Querbalken oben</t>
  </si>
  <si>
    <t>iArchitraveCapitalType</t>
  </si>
  <si>
    <t>Querbalken Typ oben</t>
  </si>
  <si>
    <t>architraveCapitalWidth</t>
  </si>
  <si>
    <t>Querbalken oben Breite</t>
  </si>
  <si>
    <t>gs_trim_show_cover_out</t>
  </si>
  <si>
    <t>Verkleidung</t>
  </si>
  <si>
    <t>gs_trim_outside_uniform</t>
  </si>
  <si>
    <t>einheitliche Einfassungsbreiten</t>
  </si>
  <si>
    <t>gs_tw_right_out</t>
  </si>
  <si>
    <t>Breite Seite 1</t>
  </si>
  <si>
    <t>gs_tw_left_out</t>
  </si>
  <si>
    <t>Breite Seite 2</t>
  </si>
  <si>
    <t>gs_tw_top_out</t>
  </si>
  <si>
    <t>gs_trim_thk_out</t>
  </si>
  <si>
    <t>Dicke an Wand</t>
  </si>
  <si>
    <t>gs_trim_width_out</t>
  </si>
  <si>
    <t>Dicke in Wandloch</t>
  </si>
  <si>
    <t>gs_trim_offs_out</t>
  </si>
  <si>
    <t>Versatz</t>
  </si>
  <si>
    <t>gs_trim_jambext_nosing_out</t>
  </si>
  <si>
    <t>Auskragung</t>
  </si>
  <si>
    <t>gs_trimov_top_right_out</t>
  </si>
  <si>
    <t>Oberer Überstand</t>
  </si>
  <si>
    <t>gs_trim_pen_cont</t>
  </si>
  <si>
    <t>Futter Schnittlinienstift auf beiden Seiten</t>
  </si>
  <si>
    <t>gs_trim_fill_out</t>
  </si>
  <si>
    <t>Schraffur Zarge außen</t>
  </si>
  <si>
    <t>gs_trim_pen_fg_out</t>
  </si>
  <si>
    <t>Schraffurstift Zarge assuen</t>
  </si>
  <si>
    <t>gs_trim_pen_bg_out</t>
  </si>
  <si>
    <t>Stift Hintergr.schr. Verkleidung außen</t>
  </si>
  <si>
    <t>gs_trim_inside</t>
  </si>
  <si>
    <t>Innenverkleidung</t>
  </si>
  <si>
    <t>gs_trimtype_in</t>
  </si>
  <si>
    <t>Türfutter innen</t>
  </si>
  <si>
    <t>gs_trimtype_in_int</t>
  </si>
  <si>
    <t>gs_trim_show_cover_in</t>
  </si>
  <si>
    <t>gs_trim_inside_uniform</t>
  </si>
  <si>
    <t>gs_tw_right_in</t>
  </si>
  <si>
    <t>gs_tw_left_in</t>
  </si>
  <si>
    <t>gs_tw_top_in</t>
  </si>
  <si>
    <t>gs_trim_thk_in</t>
  </si>
  <si>
    <t>gs_trim_width_in</t>
  </si>
  <si>
    <t>gs_trim_offs_in</t>
  </si>
  <si>
    <t>gs_trim_jambext_nosing_in</t>
  </si>
  <si>
    <t>gs_trimov_top_right_in</t>
  </si>
  <si>
    <t>gs_trim_fill_in</t>
  </si>
  <si>
    <t>Schraffur Zarge innen</t>
  </si>
  <si>
    <t>gs_trim_pen_fg_in</t>
  </si>
  <si>
    <t>Schraffurstift Zarge innen</t>
  </si>
  <si>
    <t>gs_trim_pen_bg_in</t>
  </si>
  <si>
    <t>Hintergrundstift Zarge innen</t>
  </si>
  <si>
    <t>gs_penShCov_bg</t>
  </si>
  <si>
    <t>Schraffurhintergrund-Stift Rahmen</t>
  </si>
  <si>
    <t>gs_door_offnung</t>
  </si>
  <si>
    <t>Öffnung</t>
  </si>
  <si>
    <t>iDrawSimpleLeafTo</t>
  </si>
  <si>
    <t>Symbol ausrichten</t>
  </si>
  <si>
    <t>gs_open_2D</t>
  </si>
  <si>
    <t>Öffnungswinkel für Durchgangsflügel in 2D</t>
  </si>
  <si>
    <t>gs_open_2D_s</t>
  </si>
  <si>
    <t>Öffnungswinkel für Standflügel in 2D</t>
  </si>
  <si>
    <t>gs_open_3D</t>
  </si>
  <si>
    <t>Öffnungswinkel für Durchgangsflügel in 3D</t>
  </si>
  <si>
    <t>gs_open_3D_s</t>
  </si>
  <si>
    <t>Öffnungswinkel für Standflügel in 3D</t>
  </si>
  <si>
    <t>gs_bSameLineTypeForLeaves</t>
  </si>
  <si>
    <t>Gleicher Linientyp für Türblätter</t>
  </si>
  <si>
    <t>bOverride_MVO_2D</t>
  </si>
  <si>
    <t>Modelldarstell. für symbolische 2D-Darstellung überschreiben</t>
  </si>
  <si>
    <t>or_bOplines2D</t>
  </si>
  <si>
    <t>Öffnungslinien in 2D</t>
  </si>
  <si>
    <t>or_swingLineType</t>
  </si>
  <si>
    <t>Öffnungslinien-Typ</t>
  </si>
  <si>
    <t>or_swingLineType2</t>
  </si>
  <si>
    <t>Nebenöffnung Linientyp in 2D</t>
  </si>
  <si>
    <t>or_SwingType</t>
  </si>
  <si>
    <t>Öffnungslinien-Form</t>
  </si>
  <si>
    <t>Gebogen</t>
  </si>
  <si>
    <t>or_iSwingType</t>
  </si>
  <si>
    <t>or_SlidingType</t>
  </si>
  <si>
    <t>Kein</t>
  </si>
  <si>
    <t>or_iSlidingType</t>
  </si>
  <si>
    <t>or_opLinePen</t>
  </si>
  <si>
    <t>2D &amp; 3D Öffnungslinien-Stift</t>
  </si>
  <si>
    <t>or_iOpLinePen</t>
  </si>
  <si>
    <t>bOverride_MVO_3D</t>
  </si>
  <si>
    <t>Modelldarstell. für 3D-Darstellung überschreiben</t>
  </si>
  <si>
    <t>or_bOplines3d</t>
  </si>
  <si>
    <t>Öffnungslinie zeigen</t>
  </si>
  <si>
    <t>or_opLineType3dIn</t>
  </si>
  <si>
    <t>Linientyp Öffnungsseite</t>
  </si>
  <si>
    <t>Vollinie</t>
  </si>
  <si>
    <t>or_iOpLineType3dIn</t>
  </si>
  <si>
    <t>or_opLineType3dOut</t>
  </si>
  <si>
    <t>Linientyp Gegenüberliegende Seite</t>
  </si>
  <si>
    <t>Strichlinie</t>
  </si>
  <si>
    <t>or_iOpLineType3dOut</t>
  </si>
  <si>
    <t>or_opLineType3dSecondary</t>
  </si>
  <si>
    <t>Standflügel Linientyp in 3D</t>
  </si>
  <si>
    <t>or_iOpLineType3dSecondary</t>
  </si>
  <si>
    <t>Standflügel Linientyp</t>
  </si>
  <si>
    <t>or_oplineStyle</t>
  </si>
  <si>
    <t>Linien-Ausrichtung</t>
  </si>
  <si>
    <t>or_iOplineStyle</t>
  </si>
  <si>
    <t>gs_detail_level</t>
  </si>
  <si>
    <t>Detaillierungsgrad</t>
  </si>
  <si>
    <t>iDWDet2D</t>
  </si>
  <si>
    <t>Grundriss</t>
  </si>
  <si>
    <t>iDWDet3D</t>
  </si>
  <si>
    <t>3D</t>
  </si>
  <si>
    <t>iDWDetSE</t>
  </si>
  <si>
    <t>Schnitt / Ansicht</t>
  </si>
  <si>
    <t>iRevealOnSymbol</t>
  </si>
  <si>
    <t>Anschlag im Grundriss zeigen</t>
  </si>
  <si>
    <t>gs_bFills_Wallhole</t>
  </si>
  <si>
    <t>Schraffur Wandöffnung</t>
  </si>
  <si>
    <t>gs_wallhole_fill</t>
  </si>
  <si>
    <t>gs_wallhole_pen_fg</t>
  </si>
  <si>
    <t>gs_wallhole_pen_bg</t>
  </si>
  <si>
    <t>bEtikett</t>
  </si>
  <si>
    <t>Türkoten</t>
  </si>
  <si>
    <t>gs_etikett</t>
  </si>
  <si>
    <t>Sichtbarkeit Türbemaßung</t>
  </si>
  <si>
    <t>Modelldarstellungs-Optionen</t>
  </si>
  <si>
    <t>iEtikett</t>
  </si>
  <si>
    <t>iDWDimRawOpening</t>
  </si>
  <si>
    <t>Öffnung roh</t>
  </si>
  <si>
    <t>gs_mtext</t>
  </si>
  <si>
    <t>Text Öffnung roh</t>
  </si>
  <si>
    <t>gs_me</t>
  </si>
  <si>
    <t>Eigene Kote Öffnung roh</t>
  </si>
  <si>
    <t>iDWDimFinishedLintel</t>
  </si>
  <si>
    <t>Sturz fertig</t>
  </si>
  <si>
    <t>gs_ntext</t>
  </si>
  <si>
    <t>Text Fertig Sturz</t>
  </si>
  <si>
    <t>gs_n</t>
  </si>
  <si>
    <t>Eigene Kote Schwelle fertig</t>
  </si>
  <si>
    <t>iDWDimFinishedParapet</t>
  </si>
  <si>
    <t>OK Schwelle</t>
  </si>
  <si>
    <t>gs_qtext</t>
  </si>
  <si>
    <t>Text Schwelle Fertig</t>
  </si>
  <si>
    <t>gs_q</t>
  </si>
  <si>
    <t>iDWDimRawParapet</t>
  </si>
  <si>
    <t>gs_ptext</t>
  </si>
  <si>
    <t>Text Schwelle</t>
  </si>
  <si>
    <t>gs_P</t>
  </si>
  <si>
    <t>Eigene Kote Schwelle</t>
  </si>
  <si>
    <t>gs_Etikett_scaleValues</t>
  </si>
  <si>
    <t>Texteinstellung</t>
  </si>
  <si>
    <t>Maßstababhängig (Modellgröße)</t>
  </si>
  <si>
    <t>gs_Etikett_scaleValues_m</t>
  </si>
  <si>
    <t>Massstab</t>
  </si>
  <si>
    <t>fontType</t>
  </si>
  <si>
    <t>Schrifttyp</t>
  </si>
  <si>
    <t>gs_lsize</t>
  </si>
  <si>
    <t>Schriftgröße (modell)</t>
  </si>
  <si>
    <t>gs_Etikett_fontSize_mm</t>
  </si>
  <si>
    <t>Schriftgröße (papier)</t>
  </si>
  <si>
    <t>gs_koten_pen</t>
  </si>
  <si>
    <t>Dimension Stift Text</t>
  </si>
  <si>
    <t>gs_etx</t>
  </si>
  <si>
    <t>Position X</t>
  </si>
  <si>
    <t>gs_Etikett_xTextPos_m</t>
  </si>
  <si>
    <t>X Position (m)</t>
  </si>
  <si>
    <t>gs_Etikett_xTextPos_mm</t>
  </si>
  <si>
    <t>Position X (mm)</t>
  </si>
  <si>
    <t>gs_ety</t>
  </si>
  <si>
    <t>Position Y</t>
  </si>
  <si>
    <t>gs_Etikett_yTextPos_m</t>
  </si>
  <si>
    <t>Y Position (m)</t>
  </si>
  <si>
    <t>gs_Etikett_yTextPos_mm</t>
  </si>
  <si>
    <t>Position Y (mm)</t>
  </si>
  <si>
    <t>gs_autheight</t>
  </si>
  <si>
    <t>Automat. Zeilenabstand</t>
  </si>
  <si>
    <t>gs_heightuser</t>
  </si>
  <si>
    <t>Zeilenabstand (modell)</t>
  </si>
  <si>
    <t>gs_Etikett_lineSpace_mm</t>
  </si>
  <si>
    <t>Zeilenabstand (papier)</t>
  </si>
  <si>
    <t>gs_festb</t>
  </si>
  <si>
    <t>Feste breite in mm (0= autom.)</t>
  </si>
  <si>
    <t>angleRotate</t>
  </si>
  <si>
    <t>Drehwinkel</t>
  </si>
  <si>
    <t>bIDTextDisplayMode</t>
  </si>
  <si>
    <t>Zeige die ID im Grundriss</t>
  </si>
  <si>
    <t>gs_IDText_displayMode_m</t>
  </si>
  <si>
    <t>Beschriftung Türtyp</t>
  </si>
  <si>
    <t>gs_IDText_bAutoIDNumber</t>
  </si>
  <si>
    <t>Automatische Tür ID</t>
  </si>
  <si>
    <t>gs_IDText_stCustomText</t>
  </si>
  <si>
    <t>Eigener Text</t>
  </si>
  <si>
    <t>Eigene ID</t>
  </si>
  <si>
    <t>gs_IDText_bFlipMarker</t>
  </si>
  <si>
    <t>Marker spiegeln</t>
  </si>
  <si>
    <t>gs_IDText_bAdditionalValues</t>
  </si>
  <si>
    <t>Zusätzliche Werte zeigen (Öffnungsmass 1.20/1.50)</t>
  </si>
  <si>
    <t>gs_IDText_xTextPos</t>
  </si>
  <si>
    <t>Text Position X</t>
  </si>
  <si>
    <t>gs_IDText_yTextPos</t>
  </si>
  <si>
    <t>Text Position Y</t>
  </si>
  <si>
    <t>gs_IDText_xTextPos_mm</t>
  </si>
  <si>
    <t>Text Position X (mm)</t>
  </si>
  <si>
    <t>gs_IDText_yTextPos_mm</t>
  </si>
  <si>
    <t>Text Position Y (mm)</t>
  </si>
  <si>
    <t>gs_IDText_scaleValues</t>
  </si>
  <si>
    <t>gs_IDText_scaleValues_m</t>
  </si>
  <si>
    <t>gs_IDText_fontSize_mm</t>
  </si>
  <si>
    <t>gs_IDText_fontSize_model</t>
  </si>
  <si>
    <t>gs_IDText_fontType</t>
  </si>
  <si>
    <t>gs_IDText_fontPen</t>
  </si>
  <si>
    <t>Text-Stift</t>
  </si>
  <si>
    <t>gs_head_symbol</t>
  </si>
  <si>
    <t>Sturztiefe im Grundriss zeigen</t>
  </si>
  <si>
    <t>gs_head_symbol_line</t>
  </si>
  <si>
    <t>Sturztiefe Symbol- Linientyp</t>
  </si>
  <si>
    <t>gs_head_symbol_pen</t>
  </si>
  <si>
    <t>Sturztiefe Symbolstift</t>
  </si>
  <si>
    <t>gs_min_space</t>
  </si>
  <si>
    <t>Minimaler Platzbedarf</t>
  </si>
  <si>
    <t>msOpeningSideWidth1</t>
  </si>
  <si>
    <t>msOpeningSideWidth2</t>
  </si>
  <si>
    <t>ms_openingSDepth</t>
  </si>
  <si>
    <t>Platzbedarf Bandseite in der Tiefe</t>
  </si>
  <si>
    <t>msOppositeSideWidth1</t>
  </si>
  <si>
    <t>msOppositeSideWidth2</t>
  </si>
  <si>
    <t>ms_oppositeSDepth</t>
  </si>
  <si>
    <t>Platzbedarf Bandgegenseite in der Tiefe</t>
  </si>
  <si>
    <t>gs_leaf_optype_m</t>
  </si>
  <si>
    <t>Offnungstyp</t>
  </si>
  <si>
    <t>GS intern. Fraglich, ob zu nutzen</t>
  </si>
  <si>
    <t>gs_3D_representation</t>
  </si>
  <si>
    <t>3D-Darstellung</t>
  </si>
  <si>
    <t>PLANUNG + KALKULATION + FACILITY MANAGEMENT + LISTENWERTE</t>
  </si>
  <si>
    <t>bs_planning</t>
  </si>
  <si>
    <t>Planungsdokumentation</t>
  </si>
  <si>
    <t>Planungsstatus</t>
  </si>
  <si>
    <t>Textfeld für Statusinformation (z.B. Freigabe, Gesperrt, Klärung)</t>
  </si>
  <si>
    <t>Phase</t>
  </si>
  <si>
    <t>Entwurf</t>
  </si>
  <si>
    <t>Bezeichnung der Planungsphase auf die sich die aktuellen Daten beziehen. Beispiel: Vorplanung, Ausführungsplanung</t>
  </si>
  <si>
    <t>Freigabe</t>
  </si>
  <si>
    <t>Autorisierung ? Sonst doppelt zu Planungsstatus</t>
  </si>
  <si>
    <t>LV-Kennung</t>
  </si>
  <si>
    <t>Detail-Nr</t>
  </si>
  <si>
    <t>Detailreferenznummer</t>
  </si>
  <si>
    <t>Detail-Nummer</t>
  </si>
  <si>
    <t>Referenz/Verweis zu Planungsgrundlagen, Pläne, Details. </t>
  </si>
  <si>
    <t>gs_list_headdet</t>
  </si>
  <si>
    <t>Sturz Detail</t>
  </si>
  <si>
    <t>gs_list_jambdet</t>
  </si>
  <si>
    <t>Laibungsdetail</t>
  </si>
  <si>
    <t>gs_list_silldet</t>
  </si>
  <si>
    <t>Brüstung-Detail</t>
  </si>
  <si>
    <t>Bermerkung</t>
  </si>
  <si>
    <t>Allgemeine Bemerkungen zur Tür. Dient nicht der Spezifikation, sondern soll allgemeine Angaben aufnehmen, die nicht direkt mit der Türplanung zusammen hängen. Beispiel: "Oberfläche noch nicht geklärt. Mit X.Y abzustimmen."</t>
  </si>
  <si>
    <t>bs_calculation</t>
  </si>
  <si>
    <t>Mengen + Kalkulation</t>
  </si>
  <si>
    <t xml:space="preserve">ID Intern </t>
  </si>
  <si>
    <t>redundant -&gt; Bauelement Position  ???</t>
  </si>
  <si>
    <t>Artikelnummern</t>
  </si>
  <si>
    <t>Welche? Zarge? Türblatt? OTS?</t>
  </si>
  <si>
    <t>Produktangabe</t>
  </si>
  <si>
    <t>dito.</t>
  </si>
  <si>
    <t>redundant -&gt; FM  ???</t>
  </si>
  <si>
    <t>Materialpreis</t>
  </si>
  <si>
    <t>Montagepreis</t>
  </si>
  <si>
    <t>gs_list_cost</t>
  </si>
  <si>
    <t>Preis</t>
  </si>
  <si>
    <t>Gesamtpreis</t>
  </si>
  <si>
    <t>gs_list_glassarea</t>
  </si>
  <si>
    <t>Komplette Glasfläche</t>
  </si>
  <si>
    <t>gs_list_glassperimeter</t>
  </si>
  <si>
    <t>Umfang der Glasfläche</t>
  </si>
  <si>
    <t>bs_fm</t>
  </si>
  <si>
    <t>Facility Management</t>
  </si>
  <si>
    <t>FM_Type</t>
  </si>
  <si>
    <t>Türe</t>
  </si>
  <si>
    <t>iFMType</t>
  </si>
  <si>
    <t>FM_InventoryNumber</t>
  </si>
  <si>
    <t>Inventarnummer</t>
  </si>
  <si>
    <t>FM_SerialNumber</t>
  </si>
  <si>
    <t>Seriennummer</t>
  </si>
  <si>
    <t>Montage Tür</t>
  </si>
  <si>
    <t>Montage Gegenzarge</t>
  </si>
  <si>
    <t>Montage Feststellanlage</t>
  </si>
  <si>
    <t>Montage Antrieb</t>
  </si>
  <si>
    <t>Beschreibung Montage</t>
  </si>
  <si>
    <t>Versiegelung</t>
  </si>
  <si>
    <t>gs_list_manufacturer</t>
  </si>
  <si>
    <t>FM_ProductionYear</t>
  </si>
  <si>
    <t>Herstellungsjahr</t>
  </si>
  <si>
    <t>gs_list_note</t>
  </si>
  <si>
    <t>Anmerkungen</t>
  </si>
  <si>
    <t>Bemerkung</t>
  </si>
  <si>
    <t>redundant -&gt; Planungsdokumentation  ???</t>
  </si>
  <si>
    <t>FM_ObjectWeight</t>
  </si>
  <si>
    <t>Gewicht</t>
  </si>
  <si>
    <t>FM_ObjectWeightUnit</t>
  </si>
  <si>
    <t>Gewichtseinheit</t>
  </si>
  <si>
    <t>kg</t>
  </si>
  <si>
    <t>Barcode</t>
  </si>
  <si>
    <t>Codierung</t>
  </si>
  <si>
    <t>gs_list</t>
  </si>
  <si>
    <t>Listenparameter (DACH/GS)</t>
  </si>
  <si>
    <t>outdated ?</t>
  </si>
  <si>
    <t>gs_list_glazing</t>
  </si>
  <si>
    <t>gs_list_hwsetno</t>
  </si>
  <si>
    <t>Beschlag</t>
  </si>
  <si>
    <t>gs_list_hwkeyside</t>
  </si>
  <si>
    <t>Beschlag Schlüssel Rm. Nummer</t>
  </si>
  <si>
    <t>gs_list_optype</t>
  </si>
  <si>
    <t>Öffnungstyp</t>
  </si>
  <si>
    <t>gs_list_finish</t>
  </si>
  <si>
    <t>Belag</t>
  </si>
  <si>
    <t>gs_list_elevation</t>
  </si>
  <si>
    <t>Höhenlage</t>
  </si>
  <si>
    <t>gs_list_hings</t>
  </si>
  <si>
    <t>Türbänder</t>
  </si>
  <si>
    <t>gs_list_lockset</t>
  </si>
  <si>
    <t>Schloss</t>
  </si>
  <si>
    <t>gs_list_bInsulation</t>
  </si>
  <si>
    <t>gs_list_FR_bSelfClosing</t>
  </si>
  <si>
    <t>gs_list_bSmokeProtection</t>
  </si>
  <si>
    <t>Rauchschutz Tür</t>
  </si>
  <si>
    <t>gs_list_SmokeTestTemp</t>
  </si>
  <si>
    <t>Rauchprobe Temperatur</t>
  </si>
  <si>
    <t>gs_list_FR_indexSelfClosing</t>
  </si>
  <si>
    <t>Dämmung Index</t>
  </si>
  <si>
    <t>gs_list_firerating</t>
  </si>
  <si>
    <t>gs_list_acousticrating</t>
  </si>
  <si>
    <t>gs_list_heattransfer</t>
  </si>
  <si>
    <t>Wärmedurchgangskoeffizient</t>
  </si>
  <si>
    <t>gs_list_FR_expression</t>
  </si>
  <si>
    <t>Brandschutz Ausdruck</t>
  </si>
  <si>
    <t>gs_list_doorposition</t>
  </si>
  <si>
    <t>Tür Position</t>
  </si>
  <si>
    <t>gs_list_framestyle</t>
  </si>
  <si>
    <t>Rahmen Stil</t>
  </si>
  <si>
    <t>gs_list_thresholdtype</t>
  </si>
  <si>
    <t>gs_list_leaf</t>
  </si>
  <si>
    <t>Flügel</t>
  </si>
  <si>
    <t>gs_list_slot</t>
  </si>
  <si>
    <t>Aussparung</t>
  </si>
  <si>
    <t>gs_list_sealing</t>
  </si>
  <si>
    <t>Dichtungsystem</t>
  </si>
  <si>
    <t>gs_list_insertinto</t>
  </si>
  <si>
    <t>Einfügen in:</t>
  </si>
  <si>
    <t>gs_list_handlemanufacturer</t>
  </si>
  <si>
    <t>Griff-Hersteller</t>
  </si>
  <si>
    <t>gs_list_handletype</t>
  </si>
  <si>
    <t>Drückerart</t>
  </si>
  <si>
    <t>gs_list_lockcontrol</t>
  </si>
  <si>
    <t>Schließkontrolle</t>
  </si>
  <si>
    <t>gs_list_escaperoute</t>
  </si>
  <si>
    <t>gs_list_escaperoutemonitoring</t>
  </si>
  <si>
    <t>Fluchttür-Überwachung</t>
  </si>
  <si>
    <t>gs_list_doorcloser</t>
  </si>
  <si>
    <t>Obentürschließer (OTS)</t>
  </si>
  <si>
    <t>gs_list_doorcloser_sr</t>
  </si>
  <si>
    <t>Geschwindigkeitsreduzierender Türschließer</t>
  </si>
  <si>
    <t>gs_list_elekrtomecha_lock</t>
  </si>
  <si>
    <t>Elektromechanisches Schloss</t>
  </si>
  <si>
    <t>gs_list_dooropener_feedback</t>
  </si>
  <si>
    <t>Elektrischer Türöffner mit Rückmeldung</t>
  </si>
  <si>
    <t>gs_list_motoroperation</t>
  </si>
  <si>
    <t>Motorgetrieben/Stromverbrauch</t>
  </si>
  <si>
    <t>gs_onorm_Title</t>
  </si>
  <si>
    <t>Listenparameter (ÖNORM)</t>
  </si>
  <si>
    <t>gs_onorm_width_auto</t>
  </si>
  <si>
    <t>Breite Wert</t>
  </si>
  <si>
    <t>gs_onorm_width</t>
  </si>
  <si>
    <t>gs_onorm_height_auto</t>
  </si>
  <si>
    <t>Höhe Wert</t>
  </si>
  <si>
    <t>gs_onorm_height</t>
  </si>
  <si>
    <t>gs_onorm_firerating</t>
  </si>
  <si>
    <t>gs_transom_firerating</t>
  </si>
  <si>
    <t>Oberlichte</t>
  </si>
  <si>
    <t>gs_onorm_doornum</t>
  </si>
  <si>
    <t>Türnummer</t>
  </si>
  <si>
    <t>gs_onorm_locking</t>
  </si>
  <si>
    <t>Schließanlagen Nr.</t>
  </si>
  <si>
    <t>gs_onorm_mat1</t>
  </si>
  <si>
    <t>Material 1</t>
  </si>
  <si>
    <t>gs_onorm_mat2</t>
  </si>
  <si>
    <t>Material 2</t>
  </si>
  <si>
    <t>gs_onorm_col1</t>
  </si>
  <si>
    <t>Farbe 1</t>
  </si>
  <si>
    <t>gs_onorm_col2</t>
  </si>
  <si>
    <t>Farbe 2</t>
  </si>
  <si>
    <t>gs_onorm_surface</t>
  </si>
  <si>
    <t>Reinigungsfläche</t>
  </si>
  <si>
    <t>gs_onorm_reveal</t>
  </si>
  <si>
    <t>gs_onorm_frame</t>
  </si>
  <si>
    <t>gs_onorm_manufacturer</t>
  </si>
  <si>
    <t>gs_onorm_id</t>
  </si>
  <si>
    <t>ID-Nummer</t>
  </si>
  <si>
    <t>Tür-002</t>
  </si>
  <si>
    <t>gs_onorm_doortype</t>
  </si>
  <si>
    <t>Tür-Art</t>
  </si>
  <si>
    <t>gs_onorm_sashnumber</t>
  </si>
  <si>
    <t>Anzahl Flügel</t>
  </si>
  <si>
    <t>gs_onorm_construction</t>
  </si>
  <si>
    <t>Konstruktion</t>
  </si>
  <si>
    <t>gs_onorm_glassarea</t>
  </si>
  <si>
    <t>Glaslichte</t>
  </si>
  <si>
    <t>gs_onorm_escape</t>
  </si>
  <si>
    <t>Fluchtweg</t>
  </si>
  <si>
    <t>gs_onorm_aks</t>
  </si>
  <si>
    <t>AKS-Nummer</t>
  </si>
  <si>
    <t>gs_onorm_product</t>
  </si>
  <si>
    <t>gs_onorm_leistungbuch</t>
  </si>
  <si>
    <t>Sammlung der Spezifikations-ID</t>
  </si>
  <si>
    <t>gs_onorm_description</t>
  </si>
  <si>
    <t>Beschreibung</t>
  </si>
  <si>
    <t>gs_onorm_customtext1</t>
  </si>
  <si>
    <t>Zusatzinformation 1</t>
  </si>
  <si>
    <t>gs_onorm_customtext2</t>
  </si>
  <si>
    <t>Zusatzinformation 2</t>
  </si>
  <si>
    <t>gs_onorm_acousticrating</t>
  </si>
  <si>
    <t>Mindestschallschutz</t>
  </si>
  <si>
    <t>gs_onorm_heattransfer</t>
  </si>
  <si>
    <t>gs_onorm_admission</t>
  </si>
  <si>
    <t>Datum Aufnahme</t>
  </si>
  <si>
    <t>gs_onorm_modification</t>
  </si>
  <si>
    <t>Datum Änderung</t>
  </si>
  <si>
    <t>gs_onorm_zoneinside_auto</t>
  </si>
  <si>
    <t>zu Raum ID innen Wert</t>
  </si>
  <si>
    <t>Eigene</t>
  </si>
  <si>
    <t>gs_onorm_zoneinside</t>
  </si>
  <si>
    <t>zu Raum ID innen</t>
  </si>
  <si>
    <t>gs_onorm_zoneoutside_auto</t>
  </si>
  <si>
    <t>zu Raum ID außen Wert</t>
  </si>
  <si>
    <t>gs_onorm_zoneoutside</t>
  </si>
  <si>
    <t>zu Raum ID außen</t>
  </si>
  <si>
    <t>ifc_parameter_transfer</t>
  </si>
  <si>
    <t>??? -&gt; Klären ob nötig und wozu</t>
  </si>
  <si>
    <t>ifc_optypestr</t>
  </si>
  <si>
    <t>IFC Betrieb</t>
  </si>
  <si>
    <t>Zweiflügeltür - Öffnungsflügel</t>
  </si>
  <si>
    <t>ifc_optype</t>
  </si>
  <si>
    <t>ifc_LiningDepth</t>
  </si>
  <si>
    <t>ifc_LiningThickness</t>
  </si>
  <si>
    <t>ifc_LiningOffset</t>
  </si>
  <si>
    <t>ifc_CasingDepth</t>
  </si>
  <si>
    <t>ifc_CasingThickness</t>
  </si>
  <si>
    <t>ifc_ThresholdDepth</t>
  </si>
  <si>
    <t>ifc_ThresholdThickness</t>
  </si>
  <si>
    <t>ifc_ThresholdOffset</t>
  </si>
  <si>
    <t>ifc_TransomOffset</t>
  </si>
  <si>
    <t>ifc_TransomThickness</t>
  </si>
  <si>
    <t>ifc_DoorPanel</t>
  </si>
  <si>
    <t>ac_details</t>
  </si>
  <si>
    <t>Übergrößen der Wandöffnung</t>
  </si>
  <si>
    <t>Berechnete Werte</t>
  </si>
  <si>
    <t>ac_left_oversize</t>
  </si>
  <si>
    <t>Linkes Öffnungsübermaß</t>
  </si>
  <si>
    <t>ac_right_oversize</t>
  </si>
  <si>
    <t>Rechtes Öffnungsübermaß</t>
  </si>
  <si>
    <t>ac_upper_oversize</t>
  </si>
  <si>
    <t>Oberes Öffnungsübermaß</t>
  </si>
  <si>
    <t>ac_lower_oversize</t>
  </si>
  <si>
    <t>Unteres Öffnungsübermaß</t>
  </si>
  <si>
    <t>Graphisoft</t>
  </si>
  <si>
    <t>Builing Smart</t>
  </si>
  <si>
    <t>Beister / dormakaba</t>
  </si>
  <si>
    <t>parameter von</t>
  </si>
  <si>
    <t>VARIABLE</t>
  </si>
  <si>
    <t>NAME</t>
  </si>
  <si>
    <t>START VALUE</t>
  </si>
  <si>
    <t>Parameter angelegt?</t>
  </si>
  <si>
    <t>Wandkontur (0-Keine,1-Voll,2-Seite,3-Länge)</t>
  </si>
  <si>
    <t>Fixpunkte 0-Kein,1-2D,2-3D,3-Alle</t>
  </si>
  <si>
    <t>Untere Ebene</t>
  </si>
  <si>
    <t>Obere Ebene</t>
  </si>
  <si>
    <t>Darstellungseinstellung Grundr.</t>
  </si>
  <si>
    <t>Loch übernimmt Oberflächenmaterial der Wandseite</t>
  </si>
  <si>
    <t>Wandrichtungstyp</t>
  </si>
  <si>
    <t>Laibung zum Wandkern</t>
  </si>
  <si>
    <t>Öffnungsdirektion</t>
  </si>
  <si>
    <t>Heizkörpernische</t>
  </si>
  <si>
    <t>Türgrößen</t>
  </si>
  <si>
    <t>Türblatt Einstellungen</t>
  </si>
  <si>
    <t>Eigenes Paneel Name 2</t>
  </si>
  <si>
    <t>Türgriff</t>
  </si>
  <si>
    <t>Klinketyp</t>
  </si>
  <si>
    <t>Klinke 3</t>
  </si>
  <si>
    <t>Klinkentyp 2</t>
  </si>
  <si>
    <t>Eigener Griff</t>
  </si>
  <si>
    <t>Eigener Griff 2</t>
  </si>
  <si>
    <t>Klinkenhöhe</t>
  </si>
  <si>
    <t>Klinkenhöhe 2</t>
  </si>
  <si>
    <t>Klinkeposition</t>
  </si>
  <si>
    <t>Klinkeposition 2</t>
  </si>
  <si>
    <t>gs_door_oberlicht</t>
  </si>
  <si>
    <t>DoorTranso_sp0</t>
  </si>
  <si>
    <t>asz</t>
  </si>
  <si>
    <t>Seitenfeld 1 Breite</t>
  </si>
  <si>
    <t>sidelightWidthLeft</t>
  </si>
  <si>
    <t>Seitenfeld 2 Breite</t>
  </si>
  <si>
    <t>Türrahmen</t>
  </si>
  <si>
    <t>Oberflächenmaterialien</t>
  </si>
  <si>
    <t>Normal</t>
  </si>
  <si>
    <t>Fensterbank Außen</t>
  </si>
  <si>
    <t>Projektion Sturz</t>
  </si>
  <si>
    <t>Keilsteinbreite</t>
  </si>
  <si>
    <t>Überhang Keilstein</t>
  </si>
  <si>
    <t>Projektion Keilstein</t>
  </si>
  <si>
    <t>Keine Laibung - Ecke</t>
  </si>
  <si>
    <t>Wandputz einziehen</t>
  </si>
  <si>
    <t>Öffnungsseite Breite 2</t>
  </si>
  <si>
    <t>Öffnungsseite Breite 1</t>
  </si>
  <si>
    <t>Öffnungsseite Tiefe</t>
  </si>
  <si>
    <t>Gegenüberliegende Seite Breite 2</t>
  </si>
  <si>
    <t>Gegenüberliegende Seite Breite 1</t>
  </si>
  <si>
    <t>Gegenüberliegende Seite Tiefe</t>
  </si>
  <si>
    <t>Berechnete Übergrößen</t>
  </si>
  <si>
    <t>AC Linkes Öffnungsübermaß</t>
  </si>
  <si>
    <t>AC Rechtes Öffnungsübermaß</t>
  </si>
  <si>
    <t>AC Oberes Öffnungsübermaß</t>
  </si>
  <si>
    <t>AC Unteres Öffnungsübermaß</t>
  </si>
  <si>
    <t>Bearbeitende Fixpunkte</t>
  </si>
  <si>
    <t>Seitenfeld-Breite</t>
  </si>
  <si>
    <t>Bilder</t>
  </si>
  <si>
    <t>Listenparameter</t>
  </si>
  <si>
    <t>Objektteil/Lage</t>
  </si>
  <si>
    <t>Türausrichtung</t>
  </si>
  <si>
    <t>gs_list_damparea</t>
  </si>
  <si>
    <t>Feuchtraum / Nassraum</t>
  </si>
  <si>
    <t>Norm-Listenparameter</t>
  </si>
  <si>
    <t>Tür-001</t>
  </si>
  <si>
    <t>DESCRIPTION (NAME)</t>
  </si>
  <si>
    <t>ALTERNATIVE
PARAMETER
NAME (e.g. IFC)</t>
  </si>
  <si>
    <t>TRANSLATION 1
(DESCRIPTION)</t>
  </si>
  <si>
    <t>TRANSLATION 2
(DESCRIPTION)</t>
  </si>
  <si>
    <t>Planung</t>
  </si>
  <si>
    <t>Klärung</t>
  </si>
  <si>
    <t>ungeteilt</t>
  </si>
  <si>
    <t>symbolisch (100)</t>
  </si>
  <si>
    <t>auf Kämpferhöhe</t>
  </si>
  <si>
    <t>symetrisch</t>
  </si>
  <si>
    <t>AUT</t>
  </si>
  <si>
    <t>Vorplanung</t>
  </si>
  <si>
    <t>einfach (200)</t>
  </si>
  <si>
    <t>asymetrisch</t>
  </si>
  <si>
    <t>CHE</t>
  </si>
  <si>
    <t>Entwurfsplanung</t>
  </si>
  <si>
    <t>repräsentativ (300)</t>
  </si>
  <si>
    <t>linke Pfostenachse</t>
  </si>
  <si>
    <t>Ausführungsplanung</t>
  </si>
  <si>
    <t>repräsentativ (350)</t>
  </si>
  <si>
    <t>rechte Pfostenachse</t>
  </si>
  <si>
    <t>exakt (400)</t>
  </si>
  <si>
    <t>wie Türöffnung</t>
  </si>
  <si>
    <t>global definiert (MVO)</t>
  </si>
  <si>
    <t>nach Maßstab</t>
  </si>
  <si>
    <t>einheitlich</t>
  </si>
  <si>
    <t>bs_load-bearing_material</t>
  </si>
  <si>
    <t>bs_qualityExplosionSafety</t>
  </si>
  <si>
    <t>Rohbauöffnung ist Nominalmaß</t>
  </si>
  <si>
    <t>Wärmedämmung</t>
  </si>
  <si>
    <t>Keine Linien</t>
  </si>
  <si>
    <t>Projeziert</t>
  </si>
  <si>
    <t>Polygonalwand</t>
  </si>
  <si>
    <t>an Außenseite</t>
  </si>
  <si>
    <t>an Schwelle</t>
  </si>
  <si>
    <t>Einfach (Rechteck)</t>
  </si>
  <si>
    <t>gespiegelt</t>
  </si>
  <si>
    <t>Massiv</t>
  </si>
  <si>
    <t>Schule</t>
  </si>
  <si>
    <t>Stahlbeton</t>
  </si>
  <si>
    <t>EZ</t>
  </si>
  <si>
    <t>Eckzarge</t>
  </si>
  <si>
    <t>Drehflügeltür Anschlagtür</t>
  </si>
  <si>
    <t>Vollblatttür</t>
  </si>
  <si>
    <t>Automatisch</t>
  </si>
  <si>
    <t>Links</t>
  </si>
  <si>
    <t>Bestand</t>
  </si>
  <si>
    <t>Außen</t>
  </si>
  <si>
    <t>Fördertechnik</t>
  </si>
  <si>
    <t>Aluminum Türrahmen</t>
  </si>
  <si>
    <t>frei</t>
  </si>
  <si>
    <t>N</t>
  </si>
  <si>
    <t>Leibungslinien und Wandaußenseitenkanten</t>
  </si>
  <si>
    <t>in 2D</t>
  </si>
  <si>
    <t>Projeziert mit Untersicht</t>
  </si>
  <si>
    <t>gerade Wand</t>
  </si>
  <si>
    <t>an Kern</t>
  </si>
  <si>
    <t>an Sturz</t>
  </si>
  <si>
    <t>Komplex (Profiler)</t>
  </si>
  <si>
    <t>Brüstungstiefe</t>
  </si>
  <si>
    <t>normal</t>
  </si>
  <si>
    <t>Niesche aus</t>
  </si>
  <si>
    <t>Leichtbau</t>
  </si>
  <si>
    <t>Verwaltung</t>
  </si>
  <si>
    <t>Kaksandstein</t>
  </si>
  <si>
    <t>ja</t>
  </si>
  <si>
    <t>nein</t>
  </si>
  <si>
    <t>J</t>
  </si>
  <si>
    <t>MÖ</t>
  </si>
  <si>
    <t>manuell</t>
  </si>
  <si>
    <t>MS</t>
  </si>
  <si>
    <t>manuell schließend</t>
  </si>
  <si>
    <t>geschlossen</t>
  </si>
  <si>
    <t>Schiebe</t>
  </si>
  <si>
    <t>Umfassungszarge</t>
  </si>
  <si>
    <t>Drehflügeltür Pendeltür</t>
  </si>
  <si>
    <t>individuell</t>
  </si>
  <si>
    <t>Rahmen-Außenmaß ist Nominalmaß</t>
  </si>
  <si>
    <t>Abbruch</t>
  </si>
  <si>
    <t>Industrietore</t>
  </si>
  <si>
    <t>Schnellöffnendes Tor</t>
  </si>
  <si>
    <t>überdacht</t>
  </si>
  <si>
    <t>Nur die seitlichen Leibungslinien</t>
  </si>
  <si>
    <t>in 3D</t>
  </si>
  <si>
    <t>Symbolhafte Darstellung (2D)</t>
  </si>
  <si>
    <t>Mitte-rechts</t>
  </si>
  <si>
    <t>Geneigt</t>
  </si>
  <si>
    <t>Metallbausystem</t>
  </si>
  <si>
    <t>Krankenhaus</t>
  </si>
  <si>
    <t>Hochlochziegel</t>
  </si>
  <si>
    <t>Nachströmen</t>
  </si>
  <si>
    <t>T30</t>
  </si>
  <si>
    <t>Sm</t>
  </si>
  <si>
    <t>SK1</t>
  </si>
  <si>
    <t>RC1N</t>
  </si>
  <si>
    <t>BR1</t>
  </si>
  <si>
    <t>ER1</t>
  </si>
  <si>
    <t>nach DGVU</t>
  </si>
  <si>
    <t>Unterdruck</t>
  </si>
  <si>
    <t>luftdicht</t>
  </si>
  <si>
    <t>desinfektionsmittelfest</t>
  </si>
  <si>
    <t>DIN 18040</t>
  </si>
  <si>
    <t>CEN/TR 15894:2009</t>
  </si>
  <si>
    <t>UÖ</t>
  </si>
  <si>
    <t>unterstützt</t>
  </si>
  <si>
    <t>PS</t>
  </si>
  <si>
    <t>permanent selbstschließend</t>
  </si>
  <si>
    <t>ZO</t>
  </si>
  <si>
    <t>zeitweise offen</t>
  </si>
  <si>
    <t>Karussell</t>
  </si>
  <si>
    <t>FB</t>
  </si>
  <si>
    <t>Futter+Bekleidung</t>
  </si>
  <si>
    <t>Drehflügeltür Raumspar-Schwenktür</t>
  </si>
  <si>
    <t>-</t>
  </si>
  <si>
    <t>Lichtes Zargenmaß ist Nominalmaß</t>
  </si>
  <si>
    <t>(Erneuert)</t>
  </si>
  <si>
    <t>Kühlräume</t>
  </si>
  <si>
    <t>Holztür</t>
  </si>
  <si>
    <t>Wandaußenseitenkanten</t>
  </si>
  <si>
    <t>alle</t>
  </si>
  <si>
    <t>Nur Umrißlinie/Symbolisch</t>
  </si>
  <si>
    <t>Mitte-links</t>
  </si>
  <si>
    <t>Trapezoid (gegeneinander geneigt)</t>
  </si>
  <si>
    <t>beide</t>
  </si>
  <si>
    <t>Leibungstiefe innen</t>
  </si>
  <si>
    <t>Trennwand</t>
  </si>
  <si>
    <t>Einkaufstätte</t>
  </si>
  <si>
    <t>Stahl</t>
  </si>
  <si>
    <t>Abströmen</t>
  </si>
  <si>
    <t>T60</t>
  </si>
  <si>
    <t>Sa</t>
  </si>
  <si>
    <t>SK2</t>
  </si>
  <si>
    <t>RC2N</t>
  </si>
  <si>
    <t>BR1-S</t>
  </si>
  <si>
    <t>ER2</t>
  </si>
  <si>
    <t>II</t>
  </si>
  <si>
    <t>Überdruck</t>
  </si>
  <si>
    <t>dampfdicht</t>
  </si>
  <si>
    <t>Rettungsweg</t>
  </si>
  <si>
    <t>Hochdruckreinigung</t>
  </si>
  <si>
    <t>ZID</t>
  </si>
  <si>
    <t>Zeitweise Identifikation</t>
  </si>
  <si>
    <t>AÖ</t>
  </si>
  <si>
    <t>automatisch</t>
  </si>
  <si>
    <t>gesteuert selbsschließend</t>
  </si>
  <si>
    <t>IBO</t>
  </si>
  <si>
    <t>im Betrieb offen</t>
  </si>
  <si>
    <t>Sondertür</t>
  </si>
  <si>
    <t>RR</t>
  </si>
  <si>
    <t>Rohrrahmenzarge</t>
  </si>
  <si>
    <t>Schiebetür</t>
  </si>
  <si>
    <t>Türblattmaß ist Nominalmaß</t>
  </si>
  <si>
    <t>Stahlbau</t>
  </si>
  <si>
    <t>Industrietor</t>
  </si>
  <si>
    <t>Komplette Untersicht</t>
  </si>
  <si>
    <t>Netto-Wandstärke</t>
  </si>
  <si>
    <t>Säule</t>
  </si>
  <si>
    <t>Versammlungsstätte</t>
  </si>
  <si>
    <t>T90</t>
  </si>
  <si>
    <t>E</t>
  </si>
  <si>
    <t>SK3</t>
  </si>
  <si>
    <t>BR1-NS</t>
  </si>
  <si>
    <t>ER3</t>
  </si>
  <si>
    <t>III</t>
  </si>
  <si>
    <t>schlagregendicht</t>
  </si>
  <si>
    <t>Flucht- + Rettungsweg</t>
  </si>
  <si>
    <t>BZ</t>
  </si>
  <si>
    <t>Blockzarge</t>
  </si>
  <si>
    <t>Bogenschiebetür Segmentausführung</t>
  </si>
  <si>
    <t>Baurichtmaß ist Nominalmaß</t>
  </si>
  <si>
    <t>Mobile Trennwand</t>
  </si>
  <si>
    <t>Kühlraum-Schiebetür</t>
  </si>
  <si>
    <t>NO</t>
  </si>
  <si>
    <t>Träger</t>
  </si>
  <si>
    <t>Hotel</t>
  </si>
  <si>
    <t>EI30</t>
  </si>
  <si>
    <t>RC3</t>
  </si>
  <si>
    <t>BR2</t>
  </si>
  <si>
    <t>ER4</t>
  </si>
  <si>
    <t>SR</t>
  </si>
  <si>
    <t>Stockrahmen</t>
  </si>
  <si>
    <t>Bogenschiebetür Halbkreisausführung</t>
  </si>
  <si>
    <t>Freies Durchgangsmaß ist Nominalmaß</t>
  </si>
  <si>
    <t>Reinraum</t>
  </si>
  <si>
    <t>Kühlraum-Sektionaltor</t>
  </si>
  <si>
    <t>NW</t>
  </si>
  <si>
    <t>Stadion</t>
  </si>
  <si>
    <t>EI60</t>
  </si>
  <si>
    <t>RC4</t>
  </si>
  <si>
    <t>BR2-S</t>
  </si>
  <si>
    <t>Bogenschiebetür Vollkreisausführung</t>
  </si>
  <si>
    <t>Metallarbeiten</t>
  </si>
  <si>
    <t>Kühlraumtür</t>
  </si>
  <si>
    <t>SO</t>
  </si>
  <si>
    <t>Kaserne</t>
  </si>
  <si>
    <t>EI90</t>
  </si>
  <si>
    <t>RC5</t>
  </si>
  <si>
    <t>BR2-NS</t>
  </si>
  <si>
    <t>Karusseltür</t>
  </si>
  <si>
    <t>Zu öffnende Trennwand</t>
  </si>
  <si>
    <t>SW</t>
  </si>
  <si>
    <t>Bahnhof</t>
  </si>
  <si>
    <t>EI90-M</t>
  </si>
  <si>
    <t>RC6</t>
  </si>
  <si>
    <t>BR3</t>
  </si>
  <si>
    <t>Faltflügeltür</t>
  </si>
  <si>
    <t>Reinraumtür</t>
  </si>
  <si>
    <t>Fluggastgebäude</t>
  </si>
  <si>
    <t>EI30-ef</t>
  </si>
  <si>
    <t>BR3-S</t>
  </si>
  <si>
    <t>Rollgittertor</t>
  </si>
  <si>
    <t>Wohngebäude</t>
  </si>
  <si>
    <t>EI60-ef</t>
  </si>
  <si>
    <t>BR3-NS</t>
  </si>
  <si>
    <t>Rollgitter</t>
  </si>
  <si>
    <t>Bürogebäude</t>
  </si>
  <si>
    <t>EI90-ef</t>
  </si>
  <si>
    <t>BR4</t>
  </si>
  <si>
    <t>Schiebetor mit Tür</t>
  </si>
  <si>
    <t>Geschäftshaus</t>
  </si>
  <si>
    <t>BR4-S</t>
  </si>
  <si>
    <t>Schiebtür</t>
  </si>
  <si>
    <t>Industrieanlage</t>
  </si>
  <si>
    <t>BR4-NS</t>
  </si>
  <si>
    <t>Sektionaltor</t>
  </si>
  <si>
    <t>Lagereinrichtung</t>
  </si>
  <si>
    <t>BR5</t>
  </si>
  <si>
    <t>Stahlgittertür</t>
  </si>
  <si>
    <t>Landwirtschaftsgebäude</t>
  </si>
  <si>
    <t>BR5-S</t>
  </si>
  <si>
    <t>Stahltür</t>
  </si>
  <si>
    <t>BR5-NS</t>
  </si>
  <si>
    <t>Standardtür</t>
  </si>
  <si>
    <t>BR6</t>
  </si>
  <si>
    <t>BR6-S</t>
  </si>
  <si>
    <t>BR6-NS</t>
  </si>
  <si>
    <t>BR7</t>
  </si>
  <si>
    <t>BR7-S</t>
  </si>
  <si>
    <t>BR7-NS</t>
  </si>
  <si>
    <t>SG1</t>
  </si>
  <si>
    <t>SG1-S</t>
  </si>
  <si>
    <t>SG1-NS</t>
  </si>
  <si>
    <t>SG2</t>
  </si>
  <si>
    <t>SG2-S</t>
  </si>
  <si>
    <t>SG2-NS</t>
  </si>
  <si>
    <t>Sprachversion Interface</t>
  </si>
  <si>
    <t>[indexname]</t>
  </si>
  <si>
    <t>dka_plate_mat</t>
  </si>
  <si>
    <t>dka_handle_penC2</t>
  </si>
  <si>
    <t>dka_handle_penF</t>
  </si>
  <si>
    <t>dka_handle_penB</t>
  </si>
  <si>
    <t>dka_handle_fill</t>
  </si>
  <si>
    <t>dka_handle_mat</t>
  </si>
  <si>
    <t>dka_frame_penF</t>
  </si>
  <si>
    <t>dka_frame_penB</t>
  </si>
  <si>
    <t>dka_frame_fill</t>
  </si>
  <si>
    <t>bs_sidelight_filling_thk1</t>
  </si>
  <si>
    <t>bs_sidelight_filling_thk2</t>
  </si>
  <si>
    <t>bs_fanlight_filling_thk</t>
  </si>
  <si>
    <t>dk_frame_indention1</t>
  </si>
  <si>
    <t>dk_frame_indention2</t>
  </si>
  <si>
    <t>Dicke Seitenfeldfüllung 2</t>
  </si>
  <si>
    <t>Dicke Seitenfeldfüllung 1</t>
  </si>
  <si>
    <t>Dicke Oberlichtfüllung</t>
  </si>
  <si>
    <t>Einzug Bezugsebene Bandseite</t>
  </si>
  <si>
    <t>Einzug Bezugsebene Bandgegenseite</t>
  </si>
  <si>
    <t>dka_handle_penC3</t>
  </si>
  <si>
    <t>dka_frame_penC2</t>
  </si>
  <si>
    <t>dka_frame_penC3</t>
  </si>
  <si>
    <t>dka_side1_penF</t>
  </si>
  <si>
    <t>dka_side2_penF</t>
  </si>
  <si>
    <t>dka_side1_penB</t>
  </si>
  <si>
    <t>dka_side2_penB</t>
  </si>
  <si>
    <t>dka_side2_fill</t>
  </si>
  <si>
    <t>dka_side1_fill</t>
  </si>
  <si>
    <t>dka_frame_mat_BS</t>
  </si>
  <si>
    <t>dka_frame_mat_BGS</t>
  </si>
  <si>
    <t>dka_side1_mat_BS</t>
  </si>
  <si>
    <t>dka_side2_mat_BGS</t>
  </si>
  <si>
    <t>dka_side1_mat_BGS</t>
  </si>
  <si>
    <t>dka_side2_mat_BS</t>
  </si>
  <si>
    <t>dka_panel_penC2</t>
  </si>
  <si>
    <t>dka_panel_penC3</t>
  </si>
  <si>
    <t>dka_panel_penF</t>
  </si>
  <si>
    <t>dka_panelfill1_penF</t>
  </si>
  <si>
    <t>dka_panelfill2_penF</t>
  </si>
  <si>
    <t>dka_panelfill3_penF</t>
  </si>
  <si>
    <t>dka_panel_penB</t>
  </si>
  <si>
    <t>dka_panelfill1_penB</t>
  </si>
  <si>
    <t>dka_panelfill2_penB</t>
  </si>
  <si>
    <t>dka_panelfill3_penB</t>
  </si>
  <si>
    <t>dka_panel_fill</t>
  </si>
  <si>
    <t>dka_panelfill1_fill</t>
  </si>
  <si>
    <t>dka_panelfill2_fill</t>
  </si>
  <si>
    <t>dka_panelfill3_fill</t>
  </si>
  <si>
    <t>dka_panelfill1_mat_BS</t>
  </si>
  <si>
    <t>dka_panel_mat_BS</t>
  </si>
  <si>
    <t>dka_panelfill2_mat_BS</t>
  </si>
  <si>
    <t>dka_panelfill3_mat_BS</t>
  </si>
  <si>
    <t>dka_panelfill3_mat_BGS</t>
  </si>
  <si>
    <t>dka_panelfill2_mat_BGS</t>
  </si>
  <si>
    <t>dka_panelfill1_mat_BGS</t>
  </si>
  <si>
    <t>dka_panel_mat_BGS</t>
  </si>
  <si>
    <t>bs_frame_manufacturer</t>
  </si>
  <si>
    <t>Name Hersteller</t>
  </si>
  <si>
    <t>bs_frame_model</t>
  </si>
  <si>
    <t>Modell- / Typenbezeichnung</t>
  </si>
  <si>
    <t>bs_frame_material</t>
  </si>
  <si>
    <t>bz_tiefe</t>
  </si>
  <si>
    <t>Zargentiefe</t>
  </si>
  <si>
    <t>bz_typ_einzug</t>
  </si>
  <si>
    <t>Typ Einzug Blockzarge</t>
  </si>
  <si>
    <t>bz_einzug</t>
  </si>
  <si>
    <t>Einzug Blockzarge BS</t>
  </si>
  <si>
    <t>VB</t>
  </si>
  <si>
    <t>bs_panel_material</t>
  </si>
  <si>
    <t>H</t>
  </si>
  <si>
    <t>bs_panel_manufacturer</t>
  </si>
  <si>
    <t>bs_panel_model</t>
  </si>
  <si>
    <t>dk_panel_folding_ancor</t>
  </si>
  <si>
    <t>Ausschnittfelder</t>
  </si>
  <si>
    <t>dk_panel_segments</t>
  </si>
  <si>
    <t>dk_mainpanel_design</t>
  </si>
  <si>
    <t>Stil des Hauptpanels</t>
  </si>
  <si>
    <t>dk_panel_division</t>
  </si>
  <si>
    <t>Teilungen der Ausschnittfelder</t>
  </si>
  <si>
    <t>dk_panel_bar</t>
  </si>
  <si>
    <t>Sprossen der Ausschnittfelder</t>
  </si>
  <si>
    <t>dk_panel_filling</t>
  </si>
  <si>
    <t>Stil der Füllung</t>
  </si>
  <si>
    <t>dk_panel_strips</t>
  </si>
  <si>
    <t>bs_panel_surface_BS</t>
  </si>
  <si>
    <t>bs_panel_surface_BGS</t>
  </si>
  <si>
    <t>Türblatt Abmessungen</t>
  </si>
  <si>
    <t>bs_leaf_overhang</t>
  </si>
  <si>
    <t>Überstand Türblatt zu Zarge</t>
  </si>
  <si>
    <t>dk_panel_filling_thk</t>
  </si>
  <si>
    <t>Radius runder Ausschnitt</t>
  </si>
  <si>
    <t>dk_leafFrWidthHorizontal</t>
  </si>
  <si>
    <t>Breite Riegel Horizontal</t>
  </si>
  <si>
    <t>dk_leafFrWidthVertical</t>
  </si>
  <si>
    <t>Breite Pfosten vertikal</t>
  </si>
  <si>
    <t>dk_arch_height</t>
  </si>
  <si>
    <t>Höhe Bogen Hauptfeld</t>
  </si>
  <si>
    <t>bs_panel_colour_BS</t>
  </si>
  <si>
    <t>bs_panel_colour_BGS</t>
  </si>
  <si>
    <t>bs_frame_surface_BS</t>
  </si>
  <si>
    <t>bs_frame_surface_BGS</t>
  </si>
  <si>
    <t>bs_frame_colour_BS</t>
  </si>
  <si>
    <t>bs_frame_colour_BGS</t>
  </si>
  <si>
    <t>weiß</t>
  </si>
  <si>
    <t>Lage Türblatt zu Zarge</t>
  </si>
  <si>
    <t>bs_panel_folding_nmbr</t>
  </si>
  <si>
    <t>Falz Gang- zu Standflügel</t>
  </si>
  <si>
    <t>dk_panel_folding_dimensions</t>
  </si>
  <si>
    <t>dk_panel_folding_nmbr</t>
  </si>
  <si>
    <t>Falz an Mittelfuge</t>
  </si>
  <si>
    <t>Abmessungen Mittelfalz Doppelflügel</t>
  </si>
  <si>
    <t>dk_panel_filling2</t>
  </si>
  <si>
    <t>dk_panel_filling_thk2</t>
  </si>
  <si>
    <t>G1</t>
  </si>
  <si>
    <t>PL</t>
  </si>
  <si>
    <t>Standflügel Oberfläche Bandseite</t>
  </si>
  <si>
    <t>Standflügel Oberfläche Bandgegenseite</t>
  </si>
  <si>
    <t>Stil der Füllung Standflügel</t>
  </si>
  <si>
    <t>Sprossen der Ausschnittfelder Standflügel</t>
  </si>
  <si>
    <t>Teilungen der Ausschnittfelder Standflügel</t>
  </si>
  <si>
    <t>Stil des Hauptpanels Standflügel</t>
  </si>
  <si>
    <t>Ausschnittfelder Standflügel</t>
  </si>
  <si>
    <t>dk_panel_segments2</t>
  </si>
  <si>
    <t>dk_mainpanel_design2</t>
  </si>
  <si>
    <t>dk_panel_division2</t>
  </si>
  <si>
    <t>dk_panel_bar2</t>
  </si>
  <si>
    <t>bs_panel_surface2_BS</t>
  </si>
  <si>
    <t>bs_panel_surface2_BGS</t>
  </si>
  <si>
    <t>bs_panel_colour2_BS</t>
  </si>
  <si>
    <t>bs_panel_colour2_BGS</t>
  </si>
  <si>
    <t>dka_panel2_mat_BS</t>
  </si>
  <si>
    <t>dka_panel2_mat_BGS</t>
  </si>
  <si>
    <t>dka_panel2fill1_mat_BS</t>
  </si>
  <si>
    <t>dka_panel2fill1_mat_BGS</t>
  </si>
  <si>
    <t>dka_panel2fill2_mat_BS</t>
  </si>
  <si>
    <t>dka_panel2fill2_mat_BGS</t>
  </si>
  <si>
    <t>dka_panel2fill3_mat_BS</t>
  </si>
  <si>
    <t>dka_panel2fill3_mat_BGS</t>
  </si>
  <si>
    <t>dka_panel2fill1_penF</t>
  </si>
  <si>
    <t>dka_panel2fill1_penB</t>
  </si>
  <si>
    <t>dka_panel2fill1_fill</t>
  </si>
  <si>
    <t>dka_panel2fill2_penF</t>
  </si>
  <si>
    <t>dka_panel2fill2_penB</t>
  </si>
  <si>
    <t>dka_panel2fill2_fill</t>
  </si>
  <si>
    <t>dka_panel2fill3_penF</t>
  </si>
  <si>
    <t>dka_panel2fill3_penB</t>
  </si>
  <si>
    <t>dka_panel2fill3_fill</t>
  </si>
  <si>
    <t>dk_panel_strips2</t>
  </si>
  <si>
    <t>dk_panel_division_bottom</t>
  </si>
  <si>
    <t>Untere Panelteilung</t>
  </si>
  <si>
    <t>dk_panel_division_top</t>
  </si>
  <si>
    <t>dk_panel_division_bottom2</t>
  </si>
  <si>
    <t>dk_panel_division_top2</t>
  </si>
  <si>
    <t>Untere Panelteilung Standflügel</t>
  </si>
  <si>
    <t>Obere Panelteilung Standflügel</t>
  </si>
  <si>
    <t>Obere Panelteilung</t>
  </si>
  <si>
    <t>dk_leafFrWidthHorizontal2</t>
  </si>
  <si>
    <t>dk_leafFrWidthVertical2</t>
  </si>
  <si>
    <t>dk_arch_height2</t>
  </si>
  <si>
    <t>Breite Riegel Horizontal Standflügel</t>
  </si>
  <si>
    <t>Breite Pfosten vertikal Standflügel</t>
  </si>
  <si>
    <t>Höhe Bogen Hauptfeld Standflügel</t>
  </si>
  <si>
    <t>dk_opening2D</t>
  </si>
  <si>
    <t>Öffnungslinien Grundriss</t>
  </si>
  <si>
    <t>Dicke Türfüllung Standflügel</t>
  </si>
  <si>
    <t>dk_openingSA</t>
  </si>
  <si>
    <t>dk_opening3D</t>
  </si>
  <si>
    <t>Öffnungslinien in Schnitten+Ansichten</t>
  </si>
  <si>
    <t>Öffnungslinien in 3D</t>
  </si>
  <si>
    <t>dk_openLineType_BS</t>
  </si>
  <si>
    <t>Öffnungslinien-Typ Bandseite</t>
  </si>
  <si>
    <t>dk_openLineType_BGS</t>
  </si>
  <si>
    <t>Öffnungslinien-Typ Bandgegenseite</t>
  </si>
  <si>
    <t>dk_openLineType_SF</t>
  </si>
  <si>
    <t>Öffnungslinien-Typ Standflügel</t>
  </si>
  <si>
    <t>dka_opline2D</t>
  </si>
  <si>
    <t>dka_oplineSA</t>
  </si>
  <si>
    <t>dka_opline3D</t>
  </si>
  <si>
    <t>dk_open_leaf</t>
  </si>
  <si>
    <t>Öffnungswinkel Türblätter</t>
  </si>
  <si>
    <t>dk_frame_gasket_thk</t>
  </si>
  <si>
    <t>Fuge Türblatt an Mittelfuge</t>
  </si>
  <si>
    <t>Im Panel-Makro</t>
  </si>
  <si>
    <t>dk_panel_fill_offset</t>
  </si>
  <si>
    <t>dk_panel_folding_gap</t>
  </si>
  <si>
    <t>Fuge Türblatt zu Zarge</t>
  </si>
  <si>
    <t>dk_panel_folding_gap2</t>
  </si>
  <si>
    <t>dk_fries_ancor</t>
  </si>
  <si>
    <t>Friesbreite # Rahmenbreite (von Falzseite/BGS gemessen)</t>
  </si>
  <si>
    <t>dk_panel_gasket_thk</t>
  </si>
  <si>
    <t>Dichtungsstärke Türblatt an Mittelfuge</t>
  </si>
  <si>
    <t>wall_shell_thk_1</t>
  </si>
  <si>
    <t>Bekleidungsdicke auf Bandseite</t>
  </si>
  <si>
    <t>wall_shell_thk_2</t>
  </si>
  <si>
    <t>Bekleidungsdicke auf Bandgegenseite</t>
  </si>
  <si>
    <t>dk_different_frame_thk</t>
  </si>
  <si>
    <t>Unterschiedliche Rahmenstärken</t>
  </si>
  <si>
    <t>Rahmenstärke Pfosten</t>
  </si>
  <si>
    <t>Rahmenstärke oben</t>
  </si>
  <si>
    <t>Rahmenstärke unten</t>
  </si>
  <si>
    <t>Rahmenstärke Kämpfer</t>
  </si>
  <si>
    <t>Rahmenstärke Eckzarge</t>
  </si>
  <si>
    <t>dk_frame_thk_post</t>
  </si>
  <si>
    <t>dk_frame_thk_upper</t>
  </si>
  <si>
    <t>dk_frame_thk_bottom</t>
  </si>
  <si>
    <t>dk_frame_thk_transom</t>
  </si>
  <si>
    <t>dk_frame_thk_EZ</t>
  </si>
  <si>
    <t>bs_inner_frame</t>
  </si>
  <si>
    <t>Seiten mit Profil um Türblatt</t>
  </si>
  <si>
    <t>Dicke Dichtung an Zarge</t>
  </si>
  <si>
    <t>dka_topview_penC2</t>
  </si>
  <si>
    <t>dka_topview_penF</t>
  </si>
  <si>
    <t>dka_topview_penB</t>
  </si>
  <si>
    <t>dka_topview_fill</t>
  </si>
  <si>
    <t>dka_leaf_angle2D</t>
  </si>
  <si>
    <t>dka_leaf2_angle2D</t>
  </si>
  <si>
    <t>dka_leaf_angleSA</t>
  </si>
  <si>
    <t>dka_leaf2_angleSA</t>
  </si>
  <si>
    <t>dka_leaf_angle3D</t>
  </si>
  <si>
    <t>dka_leaf2_angle3D</t>
  </si>
  <si>
    <t>bs_spiegel_br_bs</t>
  </si>
  <si>
    <t>bs_spiegel_br_bgs</t>
  </si>
  <si>
    <t>bs_spiegel_br_ob_bs</t>
  </si>
  <si>
    <t>dk_design_folding_depth</t>
  </si>
  <si>
    <t>Tiefe Zierfalz</t>
  </si>
  <si>
    <t>bs_spiegel_br_ob_bgs</t>
  </si>
  <si>
    <t xml:space="preserve"> Aus</t>
  </si>
  <si>
    <t xml:space="preserve"> Bogen</t>
  </si>
  <si>
    <t>zu Griff</t>
  </si>
  <si>
    <t xml:space="preserve"> Gerade</t>
  </si>
  <si>
    <t>zu Band</t>
  </si>
  <si>
    <t xml:space="preserve"> nach Modelldarstellung</t>
  </si>
  <si>
    <t>Strichpunkt-Linie</t>
  </si>
  <si>
    <t>[bs_fanlight_division]</t>
  </si>
  <si>
    <t>[dk_sidelight_transom1]</t>
  </si>
  <si>
    <t>[dk_sidelight_transom2]</t>
  </si>
  <si>
    <t>Punktiert</t>
  </si>
  <si>
    <t>dka_hinge_mat</t>
  </si>
  <si>
    <t>dka_fan_mat_BS</t>
  </si>
  <si>
    <t>dka_fan_mat_BGS</t>
  </si>
  <si>
    <t>bs_hinge_type</t>
  </si>
  <si>
    <t>bs_hinge_manufacturer</t>
  </si>
  <si>
    <t>Band Hersteller</t>
  </si>
  <si>
    <t>bs_hinge_model</t>
  </si>
  <si>
    <t>bs_hinge_material</t>
  </si>
  <si>
    <t>bs_hinge_surface</t>
  </si>
  <si>
    <t>bs_hinge_adjust</t>
  </si>
  <si>
    <t>bs_hinge_nmbr</t>
  </si>
  <si>
    <t>bs_hinge_reel_diameter</t>
  </si>
  <si>
    <t>Rollendurchmesser</t>
  </si>
  <si>
    <t>bs_hinge_height</t>
  </si>
  <si>
    <t>Gesamthöhe eines Bandes</t>
  </si>
  <si>
    <t>bs_hinge_safety_pin</t>
  </si>
  <si>
    <t>bs_hinge_fixture_width</t>
  </si>
  <si>
    <t>Breite Aufsatz</t>
  </si>
  <si>
    <t>bs_hinge_fixture_height</t>
  </si>
  <si>
    <t>Höhe Aufsatz</t>
  </si>
  <si>
    <t>Bandabstand 3. Band</t>
  </si>
  <si>
    <t>bs_hinge_pos3</t>
  </si>
  <si>
    <t>bs_hinge_pos4</t>
  </si>
  <si>
    <t>Bandabstand 4. Band</t>
  </si>
  <si>
    <t>bs_hinge_chuck</t>
  </si>
  <si>
    <t>bs_FrameRebate_width</t>
  </si>
  <si>
    <t>bs_FrameRebate_height</t>
  </si>
  <si>
    <t>Zargenfalzmaß Breite</t>
  </si>
  <si>
    <t>Zargenfalzmaß Höhe</t>
  </si>
  <si>
    <t>Breite auf Zargenfalz gemessen</t>
  </si>
  <si>
    <t>Höhe auf Zargenfalz gemessen</t>
  </si>
  <si>
    <t>dk_FrameRebate_nominal</t>
  </si>
  <si>
    <t>Türfalzmaß als Nominalmaß einstellen</t>
  </si>
  <si>
    <t>dk_sidelight_filling</t>
  </si>
  <si>
    <t>Füllungsart</t>
  </si>
  <si>
    <t>Oberlicht / Kämpfer / Riegel / Teilung / Oberblende</t>
  </si>
  <si>
    <t>dk_post_width_upper</t>
  </si>
  <si>
    <t>dk_post_thk_upper</t>
  </si>
  <si>
    <t>Pfostenbreite oben</t>
  </si>
  <si>
    <t>Pfostenstärke oben</t>
  </si>
  <si>
    <t>dk_tolerance</t>
  </si>
  <si>
    <t>Bautoleranzangabe - Bezug</t>
  </si>
  <si>
    <t>Geteilter Türflügel / Oberlicht</t>
  </si>
  <si>
    <t>glazingWidthLeft</t>
  </si>
  <si>
    <t>Verglasung links Breite</t>
  </si>
  <si>
    <t>Verglasung rechts Breite</t>
  </si>
  <si>
    <t>glazingHeight2</t>
  </si>
  <si>
    <t>Verglasung Höhe links</t>
  </si>
  <si>
    <t>Verglasung Höhe rechts</t>
  </si>
  <si>
    <t>Keine Bautoleranzen</t>
  </si>
  <si>
    <t>wie Baurichtmaß</t>
  </si>
  <si>
    <t>[ac_wallhole_height_original]</t>
  </si>
  <si>
    <t>[ac_reveal_height_original]</t>
  </si>
  <si>
    <t>ms_frameWidthRight</t>
  </si>
  <si>
    <t>ms_frameWidthLeft</t>
  </si>
  <si>
    <t>Left Frame of Minimal Space</t>
  </si>
  <si>
    <t>Right Frame of Minimal Space</t>
  </si>
  <si>
    <t>Benötigt?</t>
  </si>
  <si>
    <t>dka_fan_penF</t>
  </si>
  <si>
    <t>dka_fan_penB</t>
  </si>
  <si>
    <t>dka_fan_fill</t>
  </si>
  <si>
    <t>Schließertyp</t>
  </si>
  <si>
    <t>OTS</t>
  </si>
  <si>
    <t>bs_slider_system</t>
  </si>
  <si>
    <t>Schließsystem</t>
  </si>
  <si>
    <t>bs_closer_manufacturer</t>
  </si>
  <si>
    <t>Schließer Hersteller</t>
  </si>
  <si>
    <t>Dormakaba</t>
  </si>
  <si>
    <t>bs_closer_model</t>
  </si>
  <si>
    <t>bs_slider_model</t>
  </si>
  <si>
    <t>Gleitschiene Produktangabe</t>
  </si>
  <si>
    <t>bs_closer_orientation</t>
  </si>
  <si>
    <t>Montageseite</t>
  </si>
  <si>
    <t>Angabe der Montageseite des Türschließers am Gangflügel</t>
  </si>
  <si>
    <t>bs_closer_position</t>
  </si>
  <si>
    <t>Montageposition</t>
  </si>
  <si>
    <t>bs_closer_force</t>
  </si>
  <si>
    <t>Schließkraftstärke Gangflügel EN</t>
  </si>
  <si>
    <t>bs_closer_force2</t>
  </si>
  <si>
    <t>Schließkraftstärke Standflügel EN</t>
  </si>
  <si>
    <t>bs_closer_delay</t>
  </si>
  <si>
    <t>Schließverzögerung (Freilauf)</t>
  </si>
  <si>
    <t>bs_closing_order</t>
  </si>
  <si>
    <t>bs_opening_limitation</t>
  </si>
  <si>
    <t>bs_closer_damping</t>
  </si>
  <si>
    <t>bs_closer_manual</t>
  </si>
  <si>
    <t>bs_closer_fix</t>
  </si>
  <si>
    <t>Feststellfunktion</t>
  </si>
  <si>
    <t>bs_closer_fix2</t>
  </si>
  <si>
    <t>Feststellfunktion Standflügel</t>
  </si>
  <si>
    <t>bs_closer_material</t>
  </si>
  <si>
    <t>Schließer Material</t>
  </si>
  <si>
    <t>Angabe des bestimmenden Materials</t>
  </si>
  <si>
    <t>bs_closer_surface</t>
  </si>
  <si>
    <t>Schließer Oberfläche</t>
  </si>
  <si>
    <t>bs_closer_surface2</t>
  </si>
  <si>
    <t>Schließer Oberfläche Standflügel</t>
  </si>
  <si>
    <t>bs_closer_actuator</t>
  </si>
  <si>
    <t>bs_closer_model2</t>
  </si>
  <si>
    <t>Schließer Produktangabe Standflügel</t>
  </si>
  <si>
    <t>bs_slider_model2</t>
  </si>
  <si>
    <t>Gleitschiene Produktangabe Standflügel</t>
  </si>
  <si>
    <t>bs_closer_orientation2</t>
  </si>
  <si>
    <t>Montageseite Standflügel</t>
  </si>
  <si>
    <t>bs_closer_position2</t>
  </si>
  <si>
    <t>Montageposition Standflügel</t>
  </si>
  <si>
    <t>bs_opening_limitation2</t>
  </si>
  <si>
    <t>Öffnungsbegrenzung Standflügel</t>
  </si>
  <si>
    <t>bs_closer_material2</t>
  </si>
  <si>
    <t>Schließer Material Standflügel</t>
  </si>
  <si>
    <t>bs_closer2</t>
  </si>
  <si>
    <t>Schließer auf Bedarfsflügel</t>
  </si>
  <si>
    <t>bs_closer_damping2</t>
  </si>
  <si>
    <t>Öffnungsdämpfung Standflügel</t>
  </si>
  <si>
    <t>UZ</t>
  </si>
  <si>
    <t>HZ</t>
  </si>
  <si>
    <t>Funier</t>
  </si>
  <si>
    <t>Lärche</t>
  </si>
  <si>
    <t>650x + 6612</t>
  </si>
  <si>
    <t>650x</t>
  </si>
  <si>
    <t>TS 93 G EN 2-5</t>
  </si>
  <si>
    <t>O2</t>
  </si>
  <si>
    <t>Bezug dees lichten Durchgangs</t>
  </si>
  <si>
    <t>dk_UCrelation</t>
  </si>
  <si>
    <t>maximal (auf Türblatt)</t>
  </si>
  <si>
    <t>90° (auf Türblatt)</t>
  </si>
  <si>
    <t>90° (auf Beschlag)</t>
  </si>
  <si>
    <t>maximal (auf Beschlag)</t>
  </si>
  <si>
    <t>90° (auf Beschlag) - GF fest</t>
  </si>
  <si>
    <t>nach 2D (auf Beschlag)</t>
  </si>
  <si>
    <t>nach 3D (auf Beschlag)</t>
  </si>
  <si>
    <t>nach 2D (auf Türblatt)</t>
  </si>
  <si>
    <t>nach 3D (auf Türblatt)</t>
  </si>
  <si>
    <t>maximal (auf Beschlag) - GF fest</t>
  </si>
  <si>
    <t>nach 2D (auf Beschlag) - GF fest</t>
  </si>
  <si>
    <t>nach 3D (auf Beschlag) - GF fest</t>
  </si>
  <si>
    <t>90° (auf Türblatt) - GF fest</t>
  </si>
  <si>
    <t>maximal (auf Türblatt) - GF fest</t>
  </si>
  <si>
    <t>nach 2D (auf Türblatt) - GF fest</t>
  </si>
  <si>
    <t>nach 3D (auf Türblatt) - GF fest</t>
  </si>
  <si>
    <t>dk_UCdistanceRight</t>
  </si>
  <si>
    <t>Einschränkung an Schloss-/Standflügelseite</t>
  </si>
  <si>
    <t>dk_id_zoneOrientation</t>
  </si>
  <si>
    <t>Zuordnung Raum-ID zu Tür-ID</t>
  </si>
  <si>
    <t>dk_id_PrefixSuffix</t>
  </si>
  <si>
    <t>Präfix und Suffix der ID</t>
  </si>
  <si>
    <t>BS_ID</t>
  </si>
  <si>
    <t>T.</t>
  </si>
  <si>
    <t>.01</t>
  </si>
  <si>
    <t>Geschoss + Raumnummer BS</t>
  </si>
  <si>
    <t>Raumnummer BGS</t>
  </si>
  <si>
    <t>Raumnummer BS</t>
  </si>
  <si>
    <t>Geschoss + Raumnummer BGS</t>
  </si>
  <si>
    <t>Objekt-ID</t>
  </si>
  <si>
    <t>dk_openingLineSymbol</t>
  </si>
  <si>
    <t>Kreis</t>
  </si>
  <si>
    <t>Quadrat</t>
  </si>
  <si>
    <t>Raute</t>
  </si>
  <si>
    <t>Kreuz</t>
  </si>
  <si>
    <t>dk_openingLineSymbol2</t>
  </si>
  <si>
    <t>Symbol an Öffnungslinie Standflügel</t>
  </si>
  <si>
    <t>Symbol an Öffnungslinie Gangflügel</t>
  </si>
  <si>
    <t>Öffnungswinkel gekoppelt</t>
  </si>
  <si>
    <t>dk_opening_locked</t>
  </si>
  <si>
    <t>Zargenaußenmaß Breite</t>
  </si>
  <si>
    <t>Zargenaußenmaß Höhe</t>
  </si>
  <si>
    <t>bs_OuterFrame_width</t>
  </si>
  <si>
    <t>bs_OuterFrame_height</t>
  </si>
  <si>
    <t>dk_linetype_settings</t>
  </si>
  <si>
    <t>dk_linetype</t>
  </si>
  <si>
    <t>dka_invisible</t>
  </si>
  <si>
    <t>Array für Linientypen</t>
  </si>
  <si>
    <t>dka_penInvisible</t>
  </si>
  <si>
    <t>dka_gap_filling_fill</t>
  </si>
  <si>
    <t>dka_gap_filling_penB</t>
  </si>
  <si>
    <t>dka_gap_filling_penF</t>
  </si>
  <si>
    <t>Linientypen</t>
  </si>
  <si>
    <t>dk_estimatedWeight</t>
  </si>
  <si>
    <t>Berechnetes, abgeschätztes Gewicht Gangflügel</t>
  </si>
  <si>
    <t>dk_estimatedWeight2</t>
  </si>
  <si>
    <t>Berechnetes, abgeschätztes Gewicht Standflügel</t>
  </si>
  <si>
    <t>dka_closer_pen3D</t>
  </si>
  <si>
    <t>dka_closer_penSA</t>
  </si>
  <si>
    <t>dka_automation_mat</t>
  </si>
  <si>
    <t>bs_automation_manufacturer</t>
  </si>
  <si>
    <t>bs_automation_model</t>
  </si>
  <si>
    <t>bs_automation_model2</t>
  </si>
  <si>
    <t>Hersteller Türautomation</t>
  </si>
  <si>
    <t>Modell Türautomation</t>
  </si>
  <si>
    <t>Modell Türautomation Standflügel</t>
  </si>
  <si>
    <t>Türantrieb Material</t>
  </si>
  <si>
    <t>Türantrieb Oberfläche</t>
  </si>
  <si>
    <t>bs_automation_material</t>
  </si>
  <si>
    <t>bs_automation_surface</t>
  </si>
  <si>
    <t>ED 100 mit Gleitschiene Gangfl.</t>
  </si>
  <si>
    <t>Rohbaulichte ist Nominalmaß</t>
  </si>
  <si>
    <t>as built (500)</t>
  </si>
  <si>
    <t>ohne Türblatt</t>
  </si>
  <si>
    <t>Art des an der Tür angebrachten Schlosses (RR, FB, MFV, RF, SR)</t>
  </si>
  <si>
    <t>ZS</t>
  </si>
  <si>
    <t>bs_lock_type</t>
  </si>
  <si>
    <t>bs_lock_panic</t>
  </si>
  <si>
    <t>bs_lock_change</t>
  </si>
  <si>
    <t>bs_lock_system</t>
  </si>
  <si>
    <t>bs_selflocking</t>
  </si>
  <si>
    <t>bs_lock_master</t>
  </si>
  <si>
    <t>bs_lock_barrel</t>
  </si>
  <si>
    <t>bs_locking_side</t>
  </si>
  <si>
    <t>bs_lock_electric</t>
  </si>
  <si>
    <t>bs_lock_SF</t>
  </si>
  <si>
    <t>Art des Zugangskontrollsystems</t>
  </si>
  <si>
    <t>1f</t>
  </si>
  <si>
    <t>FA</t>
  </si>
  <si>
    <t>bs_latch_plate</t>
  </si>
  <si>
    <t>Stulpblech</t>
  </si>
  <si>
    <t>Stoßgriff Typ BS</t>
  </si>
  <si>
    <t>Stossgriff Oberfläche BS</t>
  </si>
  <si>
    <t>dka_grip_penC2</t>
  </si>
  <si>
    <t>dka_grip_penC3</t>
  </si>
  <si>
    <t>dka_grip_penF</t>
  </si>
  <si>
    <t>dka_grip_penB</t>
  </si>
  <si>
    <t>dka_grip_fill</t>
  </si>
  <si>
    <t>dka_grip_mat_BS2</t>
  </si>
  <si>
    <t>dka_grip_mat_BS1</t>
  </si>
  <si>
    <t>dka_grip_mat_BGS1</t>
  </si>
  <si>
    <t>dka_grip_mat_BGS2</t>
  </si>
  <si>
    <t>Stoßgriff Typ BGS</t>
  </si>
  <si>
    <t>Stoßgriff horizontale Position BGS</t>
  </si>
  <si>
    <t>Stoßgriff vertikale Position BGS</t>
  </si>
  <si>
    <t>Stossgriff Oberfläche BGS</t>
  </si>
  <si>
    <t>Stossgriff auf Standflügel</t>
  </si>
  <si>
    <t>bs_pushbar_BS</t>
  </si>
  <si>
    <t>bs_pushbar_posX_BS</t>
  </si>
  <si>
    <t>bs_pushbar_posY_BS</t>
  </si>
  <si>
    <t>bs_pushbar_surface_BS</t>
  </si>
  <si>
    <t>bs_pushbar_BGS</t>
  </si>
  <si>
    <t>bs_pushbar_posX_BGS</t>
  </si>
  <si>
    <t>bs_pushbar_posY_BGS</t>
  </si>
  <si>
    <t>bs_pushbar_surface_BGS</t>
  </si>
  <si>
    <t>bs_pushbar_SF</t>
  </si>
  <si>
    <t>bs_automation_orientation</t>
  </si>
  <si>
    <t>Konstruktionstyp (veraltet)</t>
  </si>
  <si>
    <t>bs_door_manufacturer</t>
  </si>
  <si>
    <t>bs_door_model</t>
  </si>
  <si>
    <t>Hersteller Türelement komplett</t>
  </si>
  <si>
    <t>Typenbezeichnung Komplettkonfiguration</t>
  </si>
  <si>
    <t>Werk- und Detailplanung</t>
  </si>
  <si>
    <t>dk_filling_position</t>
  </si>
  <si>
    <t>Positionierung Füllungen in Türblatt</t>
  </si>
  <si>
    <t>Distanz zu Bezugsebene</t>
  </si>
  <si>
    <t>Zylinder(typ)</t>
  </si>
  <si>
    <t>Panikfunktion</t>
  </si>
  <si>
    <t>Elektronisches Schloss</t>
  </si>
  <si>
    <t>Hersteller Türschloss</t>
  </si>
  <si>
    <t>Modell Türschloss</t>
  </si>
  <si>
    <t>bs_lock_opener</t>
  </si>
  <si>
    <t>Elektrischer Türöffner</t>
  </si>
  <si>
    <t>bs_case_manufacturer</t>
  </si>
  <si>
    <t>bs_case_model</t>
  </si>
  <si>
    <t>Zylinder / Kontrollsystem</t>
  </si>
  <si>
    <t>Taster erforderlich</t>
  </si>
  <si>
    <t>bs_door_external_button</t>
  </si>
  <si>
    <t>dk_panel_bandings</t>
  </si>
  <si>
    <t>Breite Umleimer (ab Falz)</t>
  </si>
  <si>
    <t>dk_leaf_bandings_width</t>
  </si>
  <si>
    <t>bs_automation_activation_BS</t>
  </si>
  <si>
    <t>bs_automation_activation_BGS</t>
  </si>
  <si>
    <t>Ansteuerung Antrieb Bandseite</t>
  </si>
  <si>
    <t>Ansteuerung Antrieb Bandgegenseite</t>
  </si>
  <si>
    <t>dka_panel_bandings_mat</t>
  </si>
  <si>
    <t>dka_closer_mat</t>
  </si>
  <si>
    <t>dka_panel2_bandings_mat</t>
  </si>
  <si>
    <t>bs_panel_surface_KA</t>
  </si>
  <si>
    <t>Türblatt Oberfläche Kanten</t>
  </si>
  <si>
    <t>bs_panel_colour_KA</t>
  </si>
  <si>
    <t>Türblatt Farbe Bandseite</t>
  </si>
  <si>
    <t>Türblatt Farbe Bandgegenseite</t>
  </si>
  <si>
    <t>Türblatt Farbe Kante</t>
  </si>
  <si>
    <t>bs_panel_surface2_KA</t>
  </si>
  <si>
    <t>Standflügel Oberfläche Kante</t>
  </si>
  <si>
    <t>bs_panel_colour2_KA</t>
  </si>
  <si>
    <t>Standflügel Farbe Kante</t>
  </si>
  <si>
    <t>Standflügel Farbe Bandseite</t>
  </si>
  <si>
    <t>Standflügel Farbe Bandgegenseite</t>
  </si>
  <si>
    <t>O3</t>
  </si>
  <si>
    <t>ST</t>
  </si>
  <si>
    <t>AN</t>
  </si>
  <si>
    <t>K</t>
  </si>
  <si>
    <t>HO</t>
  </si>
  <si>
    <t>Material Schloss</t>
  </si>
  <si>
    <t>bs_case_material</t>
  </si>
  <si>
    <t>bs_case_surface</t>
  </si>
  <si>
    <t>Bandaufnahme Typ</t>
  </si>
  <si>
    <t>T</t>
  </si>
  <si>
    <t>TS 93 EN 2-5</t>
  </si>
  <si>
    <t>bs_hide_slider</t>
  </si>
  <si>
    <t>GSR-Schiene verstecken?</t>
  </si>
  <si>
    <t>offsetHingePanelSurfaceBS</t>
  </si>
  <si>
    <t>Abstand Türblattoberfläche (BS) zu Bandachse</t>
  </si>
  <si>
    <t>HingePanelGap</t>
  </si>
  <si>
    <t>Abstand Bandachse Türblatt</t>
  </si>
  <si>
    <t>HingeEgressDistance</t>
  </si>
  <si>
    <t>Abstand Bandachse Zargeninnenkante</t>
  </si>
  <si>
    <t>HingeHingeDistance</t>
  </si>
  <si>
    <t>Abstand Bandachsen bei Doppeltür</t>
  </si>
  <si>
    <t>offsetFrameSurfaceBGS</t>
  </si>
  <si>
    <t>Abstand Zargenspiegel BS zu Kämpferspiegel BGS</t>
  </si>
  <si>
    <t>facingLintelBS</t>
  </si>
  <si>
    <t>Spiegelbreite direkt über Durchgangslichte BS</t>
  </si>
  <si>
    <t>facingLintelBGS</t>
  </si>
  <si>
    <t>Spiegelbreite direkt über Durchgangslichte BGS</t>
  </si>
  <si>
    <t>frame2wallSurfaceBS</t>
  </si>
  <si>
    <t>Abstand Zargenspiegel zu Wandoberfläche BS</t>
  </si>
  <si>
    <t>frame2wallSurfaceBGS</t>
  </si>
  <si>
    <t>Abstand Zargenspiegel zu Wandoberfläche BGS</t>
  </si>
  <si>
    <t>bs_control</t>
  </si>
  <si>
    <t>Sensor Türflügelposition</t>
  </si>
  <si>
    <t>Sensor Verriegelung</t>
  </si>
  <si>
    <t>Sensor Drückerbetätigung</t>
  </si>
  <si>
    <t>Sensor Schlüsselbetätigung</t>
  </si>
  <si>
    <t>Sensor Fernentriegelung</t>
  </si>
  <si>
    <t>Sensor Türoffenzeit</t>
  </si>
  <si>
    <t>Sensor Notöffnung</t>
  </si>
  <si>
    <t>Sensor Durchbruch</t>
  </si>
  <si>
    <t>Sensor Aufbruch</t>
  </si>
  <si>
    <t>Sensor Sabotage</t>
  </si>
  <si>
    <t>bs_ctrl_leaf_position</t>
  </si>
  <si>
    <t>bs_ctrl_locking</t>
  </si>
  <si>
    <t>bs_ctrl_handle_actuation</t>
  </si>
  <si>
    <t>bs_ctrl_key_actuation</t>
  </si>
  <si>
    <t>bs_ctrl_distance_actuation</t>
  </si>
  <si>
    <t>bs_ctrl_time_opened</t>
  </si>
  <si>
    <t>bs_ctrl_emergency_opened</t>
  </si>
  <si>
    <t>bs_ctrl_breakthrough</t>
  </si>
  <si>
    <t>bs_ctrl_burst</t>
  </si>
  <si>
    <t>bs_ctrl_sabotage</t>
  </si>
  <si>
    <t>bs_hinge_pos1</t>
  </si>
  <si>
    <t>bs_hinge_pos2</t>
  </si>
  <si>
    <t>Bandbezugslinie</t>
  </si>
  <si>
    <t>Bandabstand 2. Band</t>
  </si>
  <si>
    <t>bs_hinge_DIN</t>
  </si>
  <si>
    <t>1. und 2. Band nach DIN?</t>
  </si>
  <si>
    <t>DORMAKABA_TS</t>
  </si>
  <si>
    <t>DORMAKABA_ED</t>
  </si>
  <si>
    <t>DORMAKABA_OGRO</t>
  </si>
  <si>
    <t>show_start_screen</t>
  </si>
  <si>
    <t>Startbildschirm anzeigen</t>
  </si>
  <si>
    <t>Bezugsraum Richtung…</t>
  </si>
  <si>
    <t>Bezugsraum Nummer</t>
  </si>
  <si>
    <t>Bezugsraum Name</t>
  </si>
  <si>
    <t>Sekundärraum Nummer</t>
  </si>
  <si>
    <t>Sekundärraum Name</t>
  </si>
  <si>
    <t>FW</t>
  </si>
  <si>
    <t>RW</t>
  </si>
  <si>
    <t>FW+RW</t>
  </si>
  <si>
    <t>dk_refRoom_orientation</t>
  </si>
  <si>
    <t>dk_refRoom_nmbr</t>
  </si>
  <si>
    <t>dk_refRoom_name</t>
  </si>
  <si>
    <t>dk_2ndRoom_nmbr</t>
  </si>
  <si>
    <t>dk_2ndRoom_name</t>
  </si>
  <si>
    <t>BGS</t>
  </si>
  <si>
    <t>Bezugsraumnummer</t>
  </si>
  <si>
    <t>Geschoss + Bezugsraumnummer</t>
  </si>
  <si>
    <t>bs_quality_TotalClearance</t>
  </si>
  <si>
    <t>Mindestdurchgangsbreite 2 Flügel</t>
  </si>
  <si>
    <t>Anforderungen Prüfung</t>
  </si>
  <si>
    <t>Fluchtwegsteuerung</t>
  </si>
  <si>
    <t>Griff Material Zubehör</t>
  </si>
  <si>
    <t>Eigener Griff Bandseite (Makro)</t>
  </si>
  <si>
    <t>Eigener Griff Bandgegenseite (Makro)</t>
  </si>
  <si>
    <t>Eigener Griff Standflügel (Makro)</t>
  </si>
  <si>
    <t>Benutzerdefiniertes Türblatt GF (Makro)</t>
  </si>
  <si>
    <t>Benutzerdefiniertes Türblatt SF (Makro)</t>
  </si>
  <si>
    <t>Art der Verleistung GF</t>
  </si>
  <si>
    <t>Art der Verleistung SF</t>
  </si>
  <si>
    <t>Breite Schattenfuge</t>
  </si>
  <si>
    <t>Bekleidungsdicke / Tiefe Sickenkante</t>
  </si>
  <si>
    <t>bs_internal_rim_width</t>
  </si>
  <si>
    <t>Maulweite / effektive Wandstärke</t>
  </si>
  <si>
    <t>ac_OpeningSide2</t>
  </si>
  <si>
    <t>Ausrichtung SF in Wandebene</t>
  </si>
  <si>
    <t>bs_OuterFrame_height2</t>
  </si>
  <si>
    <t>bs_OuterFrame_width2</t>
  </si>
  <si>
    <t>Zargenaußenmaß BGS Breite</t>
  </si>
  <si>
    <t>Zargenaußenmaß BGS Höhe</t>
  </si>
  <si>
    <t>babel</t>
  </si>
  <si>
    <t>PLANUNGSPHASE  /\nKOMPLEXITÄT DER KONFIGURATION:</t>
  </si>
  <si>
    <t>GRUNDLEGENDE ANFORDERUNGEN AN ...</t>
  </si>
  <si>
    <t>Türflügel:</t>
  </si>
  <si>
    <t>Ausrichtung:</t>
  </si>
  <si>
    <t>Id.Nummer:</t>
  </si>
  <si>
    <t>Hersteller:</t>
  </si>
  <si>
    <t>Türmodell:</t>
  </si>
  <si>
    <t>Bezugsraum:</t>
  </si>
  <si>
    <t>Reduzierte Abfrage der Parameter. Volle Kontrolle über Einstellung 'Werkplanung'.</t>
  </si>
  <si>
    <t>bubble</t>
  </si>
  <si>
    <t>Hersteller des Türsystems</t>
  </si>
  <si>
    <t>Modell der konfigurierten Tür</t>
  </si>
  <si>
    <t>Anzahl Türflügel</t>
  </si>
  <si>
    <t>Bezeichnung der Aufschlagrichtung von BS</t>
  </si>
  <si>
    <t>Ermittlung der Aufschlagrichtung</t>
  </si>
  <si>
    <t>Identifikationsnummer</t>
  </si>
  <si>
    <t>Präfix der ID</t>
  </si>
  <si>
    <t>Suffix der ID</t>
  </si>
  <si>
    <t>Automatisierbare Identifikationsnummer</t>
  </si>
  <si>
    <t>Klimaschutzanforderung</t>
  </si>
  <si>
    <t>Englisch</t>
  </si>
  <si>
    <t>sprache</t>
  </si>
  <si>
    <t>Symbolik des Türtyps</t>
  </si>
  <si>
    <t>Tür benötigt Elektrozuleitung</t>
  </si>
  <si>
    <t>bs_spyhole</t>
  </si>
  <si>
    <t>context</t>
  </si>
  <si>
    <t>Aluminium</t>
  </si>
  <si>
    <t>Holz</t>
  </si>
  <si>
    <t>PLANNING PHASE  /\n COMPLEXITY OF CONFIGURATION:</t>
  </si>
  <si>
    <t>FUNDAMENTAL REQUIREMENTS TO ...</t>
  </si>
  <si>
    <t>Door leaves:</t>
  </si>
  <si>
    <t>Orientation:</t>
  </si>
  <si>
    <t>Id.number:</t>
  </si>
  <si>
    <t>Manufacturer:</t>
  </si>
  <si>
    <t>Referenced room:</t>
  </si>
  <si>
    <t>Reduced parameter selection. Complete configuration with 'Implementation planning'.</t>
  </si>
  <si>
    <t>Manufacturer of door system</t>
  </si>
  <si>
    <t>Modell of configured door</t>
  </si>
  <si>
    <t>Number of door leaves</t>
  </si>
  <si>
    <t>Designation door opening direktion from hinge side</t>
  </si>
  <si>
    <t>Determination of door opening direction</t>
  </si>
  <si>
    <t>Identification number</t>
  </si>
  <si>
    <t>Präfix of ID</t>
  </si>
  <si>
    <t>Suffix of ID</t>
  </si>
  <si>
    <t>Automatable identification number</t>
  </si>
  <si>
    <t>Mapping room-ID to door-ID</t>
  </si>
  <si>
    <t>Door is related to room …</t>
  </si>
  <si>
    <t>Fire protection requirement</t>
  </si>
  <si>
    <t>Smoke protection requirement</t>
  </si>
  <si>
    <t>Sound insulation requirement</t>
  </si>
  <si>
    <t>Requirements of accessibility</t>
  </si>
  <si>
    <t>Climate protection requirement</t>
  </si>
  <si>
    <t>Requirement of escape and rescue route</t>
  </si>
  <si>
    <t>Needs electrical equipment</t>
  </si>
  <si>
    <t>Door type symbol</t>
  </si>
  <si>
    <t>Door model:</t>
  </si>
  <si>
    <t>Demand of access control</t>
  </si>
  <si>
    <t>Steel</t>
  </si>
  <si>
    <t>Wood</t>
  </si>
  <si>
    <t>Wandöffnung zu Wandunterkante</t>
  </si>
  <si>
    <t>Wandöffnung wie Rohbauöffnung</t>
  </si>
  <si>
    <t>Wandöffnung individuelle Höhe</t>
  </si>
  <si>
    <t>dk_wallhole_control</t>
  </si>
  <si>
    <t>wie Rohbauöffnung</t>
  </si>
  <si>
    <t>2d+3d keine Öffnung</t>
  </si>
  <si>
    <t>Wandöffnung darstellen</t>
  </si>
  <si>
    <t>(dk_wallhole_control)</t>
  </si>
  <si>
    <t>Wandkontur darstellen (deaktiviert)</t>
  </si>
  <si>
    <t>Wandkontur Sturz</t>
  </si>
  <si>
    <t>dk_lintelcontour_id</t>
  </si>
  <si>
    <t>links</t>
  </si>
  <si>
    <t>rechts</t>
  </si>
  <si>
    <t>Bandseite</t>
  </si>
  <si>
    <t>Bandgegenseite</t>
  </si>
  <si>
    <t>dk_wallcontour_unique</t>
  </si>
  <si>
    <t>seitliche Wandkontur wie Wandende</t>
  </si>
  <si>
    <t>dka_wallhole_side2D</t>
  </si>
  <si>
    <t>dka_wallhole_lintel2D1</t>
  </si>
  <si>
    <t>dka_wallhole_lintel2D2</t>
  </si>
  <si>
    <t>dka_wallhole_lintelBS1</t>
  </si>
  <si>
    <t>dka_wallhole_lintelBGS2</t>
  </si>
  <si>
    <t>dka_wallhole_lintelBGS1</t>
  </si>
  <si>
    <t>dka_wallhole_lintelBS2</t>
  </si>
  <si>
    <t>Nach Modelleinstellung</t>
  </si>
  <si>
    <t>dk_wallcontourstyle_LoD</t>
  </si>
  <si>
    <t>Stilgrenze der Wandkonturlinien</t>
  </si>
  <si>
    <t>msType</t>
  </si>
  <si>
    <t>Minalflächendarstellung</t>
  </si>
  <si>
    <t>Bewegungsflächen</t>
  </si>
  <si>
    <t>Lichter Durchgang</t>
  </si>
  <si>
    <t>Bewegungsflächen (Modelldarstellung)</t>
  </si>
  <si>
    <t>Lichter Durchgang (Modelldarstellung)</t>
  </si>
  <si>
    <t>Platzbedarf Bandseite am Schloss</t>
  </si>
  <si>
    <t>Platzbedarf Bandseite am Band</t>
  </si>
  <si>
    <t>Platzbedarf Bandgegenseite am Schloss</t>
  </si>
  <si>
    <t>Platzbedarf Bandgegenseite am Band</t>
  </si>
  <si>
    <t>dka_wallhole_penF</t>
  </si>
  <si>
    <t>dka_wallhole_penB</t>
  </si>
  <si>
    <t>dka_wallhole_fill</t>
  </si>
  <si>
    <t>VALUES:</t>
  </si>
  <si>
    <t>PARAMETERS:</t>
  </si>
  <si>
    <r>
      <t xml:space="preserve">Create complete </t>
    </r>
    <r>
      <rPr>
        <b/>
        <sz val="11"/>
        <color indexed="8"/>
        <rFont val="Arial"/>
        <family val="2"/>
      </rPr>
      <t>Parameter List</t>
    </r>
    <r>
      <rPr>
        <sz val="11"/>
        <color indexed="8"/>
        <rFont val="Arial"/>
        <family val="2"/>
      </rPr>
      <t xml:space="preserve"> for GDL object</t>
    </r>
  </si>
  <si>
    <r>
      <t xml:space="preserve">Create </t>
    </r>
    <r>
      <rPr>
        <b/>
        <sz val="11"/>
        <color indexed="8"/>
        <rFont val="Arial"/>
        <family val="2"/>
      </rPr>
      <t>XML-File</t>
    </r>
    <r>
      <rPr>
        <sz val="11"/>
        <color indexed="8"/>
        <rFont val="Arial"/>
        <family val="2"/>
      </rPr>
      <t xml:space="preserve"> of parameters to load in ArchiCAD properties</t>
    </r>
  </si>
  <si>
    <t>TEXT:</t>
  </si>
  <si>
    <t>BITMAPS:</t>
  </si>
  <si>
    <r>
      <t xml:space="preserve">Create array definition script for </t>
    </r>
    <r>
      <rPr>
        <b/>
        <sz val="11"/>
        <color indexed="8"/>
        <rFont val="Arial"/>
        <family val="2"/>
      </rPr>
      <t>TEXT</t>
    </r>
    <r>
      <rPr>
        <sz val="11"/>
        <color indexed="8"/>
        <rFont val="Arial"/>
        <family val="2"/>
      </rPr>
      <t xml:space="preserve"> elements.</t>
    </r>
  </si>
  <si>
    <r>
      <t xml:space="preserve">Read text schedule and merge to </t>
    </r>
    <r>
      <rPr>
        <b/>
        <sz val="11"/>
        <color indexed="8"/>
        <rFont val="Arial"/>
        <family val="2"/>
      </rPr>
      <t>TEXT</t>
    </r>
  </si>
  <si>
    <r>
      <t>Read</t>
    </r>
    <r>
      <rPr>
        <b/>
        <sz val="11"/>
        <color indexed="8"/>
        <rFont val="Arial"/>
        <family val="2"/>
      </rPr>
      <t xml:space="preserve"> automatic generated UI Script</t>
    </r>
    <r>
      <rPr>
        <sz val="11"/>
        <color indexed="8"/>
        <rFont val="Arial"/>
        <family val="2"/>
      </rPr>
      <t xml:space="preserve"> and shrink, crop + format syntax</t>
    </r>
  </si>
  <si>
    <r>
      <t xml:space="preserve">Check Parameter list for </t>
    </r>
    <r>
      <rPr>
        <b/>
        <sz val="11"/>
        <color indexed="8"/>
        <rFont val="Arial"/>
        <family val="2"/>
      </rPr>
      <t>usage of each parameter</t>
    </r>
    <r>
      <rPr>
        <sz val="11"/>
        <color indexed="8"/>
        <rFont val="Arial"/>
        <family val="2"/>
      </rPr>
      <t xml:space="preserve"> in script files.</t>
    </r>
  </si>
  <si>
    <t>used in script</t>
  </si>
  <si>
    <r>
      <t xml:space="preserve">Wand Typ </t>
    </r>
    <r>
      <rPr>
        <strike/>
        <sz val="11"/>
        <color theme="0" tint="-0.249977111117893"/>
        <rFont val="Arial"/>
        <family val="2"/>
      </rPr>
      <t>links</t>
    </r>
  </si>
  <si>
    <t>Gesamtanzahl der Oberlichter ??? Überflüssig?</t>
  </si>
  <si>
    <t>Beschreibung des Lüftungsgitters Lage/Abmessung?</t>
  </si>
  <si>
    <t>OPTIMIZE:</t>
  </si>
  <si>
    <t>BIM-all-doors - Die erweiterbare Komponententür</t>
  </si>
  <si>
    <t>BIM-all-doors - The extendable components door</t>
  </si>
  <si>
    <t>UI-Unterseite closure</t>
  </si>
  <si>
    <t>(pwi)</t>
  </si>
  <si>
    <t>(ac_zone_on_reveal_side)</t>
  </si>
  <si>
    <t>(ac_wido_hide_options)</t>
  </si>
  <si>
    <t>(ac_wall_crosssection_type)</t>
  </si>
  <si>
    <t>(ac_vertAnchorPos)</t>
  </si>
  <si>
    <t>(ac_revealAnchorPos)</t>
  </si>
  <si>
    <t>(AC_Wall_Direction_Type)</t>
  </si>
  <si>
    <t>(AC_WallType)</t>
  </si>
  <si>
    <t>D:\e+f\Projekte\GDL\Develop\Dorma\BIM-all-doors\develop\01 BAD main\source.BIM-all-doors\</t>
  </si>
  <si>
    <t>(dk_dlg_subset)</t>
  </si>
  <si>
    <t>Direction of referenced room …</t>
  </si>
  <si>
    <t>Always dispayed in the dialog box on top left</t>
  </si>
  <si>
    <t>Bezugsraum Richtung …</t>
  </si>
  <si>
    <t>Tür gehört zu Raum auf …</t>
  </si>
  <si>
    <t>Wird immer immer im Dialogfeld links oben angezeigt</t>
  </si>
  <si>
    <t>Kunststoff</t>
  </si>
  <si>
    <t>Plastic</t>
  </si>
  <si>
    <t>DETAILLIERTE ANFORDERUNGEN</t>
  </si>
  <si>
    <t>Die Schutzziele dürfen von den Eigenschaften der gewählten Türkomponenten abweichen, wenn die Komponente die Anforderung erfüllt.</t>
  </si>
  <si>
    <t>Brandschutz:</t>
  </si>
  <si>
    <t>Rauchschutz:</t>
  </si>
  <si>
    <t>Schallschutz:</t>
  </si>
  <si>
    <t>Wärmeschutz:</t>
  </si>
  <si>
    <t>Einbruchschutz:</t>
  </si>
  <si>
    <t>Strahlenschutz:</t>
  </si>
  <si>
    <t>Vandalismusschutz:</t>
  </si>
  <si>
    <t>Beschußsicherheit:</t>
  </si>
  <si>
    <t>Sprengwirkungsschutz:</t>
  </si>
  <si>
    <t>Laserschutz:</t>
  </si>
  <si>
    <t>Hochwasserschutz:</t>
  </si>
  <si>
    <t>Gasschutz:</t>
  </si>
  <si>
    <t>uiTXT</t>
  </si>
  <si>
    <t>Die Öffnung kann mit einem anderen Türobjekt erstellt werden, das nur Durchgänge, aber auch mit anderen Leibungsformen erzeugt. Z.B. mit dem beiliegenden Objekt »Türöffnung 21 plus«.</t>
  </si>
  <si>
    <t>Anforderung als Flucht- und Rettungsweg</t>
  </si>
  <si>
    <t>erforderlicher max. Wärmedurchgangskoeffizient</t>
  </si>
  <si>
    <t>Strahlenschutzanforderung</t>
  </si>
  <si>
    <t>Anforderung an Einbruchschutz</t>
  </si>
  <si>
    <t>Anforderung an Beschußsicherheit</t>
  </si>
  <si>
    <t>Anforderung an Sprengwirkungsschutz</t>
  </si>
  <si>
    <t>Anforderung an Laserschutz</t>
  </si>
  <si>
    <t>Anforderung an Hochwasserschutz</t>
  </si>
  <si>
    <t>Anforderung an Vandalismusschutz</t>
  </si>
  <si>
    <t>Anforderung an Gasschutz</t>
  </si>
  <si>
    <t>Smoke pretection:</t>
  </si>
  <si>
    <t>Fire protection:</t>
  </si>
  <si>
    <t>DETAILED REQUIREMENTS</t>
  </si>
  <si>
    <t>Aufbruch:</t>
  </si>
  <si>
    <t>Zugang von der BGS:</t>
  </si>
  <si>
    <t>TÜRFUNKTIONEN</t>
  </si>
  <si>
    <t>( ANFORDERUNGEN / SOLL )</t>
  </si>
  <si>
    <t>ÜBERWACHUNG TÜRZUSTAND</t>
  </si>
  <si>
    <t>MINIMALABMESSUNGEN</t>
  </si>
  <si>
    <t>Die funktionalen und Schutzziele dürfen von den Eigenschaften der gewählten Türkomponenten abweichen, wenn die Komponente die Anforderung erfüllt.</t>
  </si>
  <si>
    <t>Korrosionsschutz:</t>
  </si>
  <si>
    <t>Abschirmung:</t>
  </si>
  <si>
    <t>Barrierefreiheit:</t>
  </si>
  <si>
    <t>Klemmschutz:</t>
  </si>
  <si>
    <t>Unfallverhütung:</t>
  </si>
  <si>
    <t>Klimaklasse:</t>
  </si>
  <si>
    <t>Beanspruchung:</t>
  </si>
  <si>
    <t>Feuchtraum:</t>
  </si>
  <si>
    <t>Nassraum:</t>
  </si>
  <si>
    <t>Nutzungsdauer:</t>
  </si>
  <si>
    <t>Dichtigkeit:</t>
  </si>
  <si>
    <t>RWA Relevanz:</t>
  </si>
  <si>
    <t>Sabotage:</t>
  </si>
  <si>
    <t>Durchbruch:</t>
  </si>
  <si>
    <t>Notöffnung:</t>
  </si>
  <si>
    <t>Offenzeit:</t>
  </si>
  <si>
    <t>Fernentriegelung:</t>
  </si>
  <si>
    <t>Schlüssel:</t>
  </si>
  <si>
    <t>Drücker:</t>
  </si>
  <si>
    <t>Verriegelung:</t>
  </si>
  <si>
    <t>Flügelposition:</t>
  </si>
  <si>
    <t>Einbruchmeldeanlage:</t>
  </si>
  <si>
    <t>Bedienkraft:</t>
  </si>
  <si>
    <t>Flucht-/Rettungsweg:</t>
  </si>
  <si>
    <t>Nachhaltigkeit:</t>
  </si>
  <si>
    <t>Selbstschließend:</t>
  </si>
  <si>
    <t>Automatisierung:</t>
  </si>
  <si>
    <t>Hygiene:</t>
  </si>
  <si>
    <t>Nutzungsintensität:</t>
  </si>
  <si>
    <t>lichte Durchgangshöhe:</t>
  </si>
  <si>
    <t>lichte Durchgangsbreite:</t>
  </si>
  <si>
    <t>Mindestöffnungswinkel:</t>
  </si>
  <si>
    <t>Min. Absturzsicherung:</t>
  </si>
  <si>
    <t>Zugang von der BS:</t>
  </si>
  <si>
    <t>Öffnen von der BGS:</t>
  </si>
  <si>
    <t>Öffnen von der BS:</t>
  </si>
  <si>
    <t>Schließverhalten:</t>
  </si>
  <si>
    <t>SCHLOSS:</t>
  </si>
  <si>
    <t>STOSSGRIFF:</t>
  </si>
  <si>
    <t>BÄNDER:</t>
  </si>
  <si>
    <t>TÜRBLATT:</t>
  </si>
  <si>
    <t>AUTOMATIK:</t>
  </si>
  <si>
    <t>ZARGE:</t>
  </si>
  <si>
    <t>BESCHLÄGE:</t>
  </si>
  <si>
    <t>Anforderungen Korrosionschutz</t>
  </si>
  <si>
    <t>Hygienische Anforderung</t>
  </si>
  <si>
    <t>erforderliche Klimaklasse</t>
  </si>
  <si>
    <t>Mindesturchgangsbreite beide Flügel</t>
  </si>
  <si>
    <t>Mindesturchgangsbreite Gangflügel</t>
  </si>
  <si>
    <t>Zugang von der Bandgegenseite</t>
  </si>
  <si>
    <t>Zugang von der  Bandseite</t>
  </si>
  <si>
    <t>Öffnen von der Bandgegenseite</t>
  </si>
  <si>
    <t>Öffnen von der Bandseite</t>
  </si>
  <si>
    <t>RWA - Zu- und Fortluft</t>
  </si>
  <si>
    <t>Verfügbare Türschließsysteme</t>
  </si>
  <si>
    <t>Auswahl der Komponentenmakros für diese Tür.</t>
  </si>
  <si>
    <t>Anforderungen Einbruchschutz</t>
  </si>
  <si>
    <t>Anforderung Nutzungsdauer</t>
  </si>
  <si>
    <t>Anforderung an Bedienkraft</t>
  </si>
  <si>
    <t>Anforderung Nutzungsintensität</t>
  </si>
  <si>
    <t>erforderliche elektromagnetische Abschirmung</t>
  </si>
  <si>
    <t>Anforderung an Klemmschutz</t>
  </si>
  <si>
    <t>Anforderung an Unfallverhütung</t>
  </si>
  <si>
    <t>erforderliche mechanische Beanspruchung</t>
  </si>
  <si>
    <t>Anforderung an Dichtigkeit</t>
  </si>
  <si>
    <t>Anforderung an Einbruchmeldeanlage</t>
  </si>
  <si>
    <t>Anforderung Nassraum</t>
  </si>
  <si>
    <t>Anforderung Feuchtraum</t>
  </si>
  <si>
    <t>SCHLIESSER:</t>
  </si>
  <si>
    <t>D:\e+f\Projekte\GDL\Develop\Dorma\BIM-all-doors\develop\01 BAD main\source.BIM-all-doors\list of multilingual tooltip.xlsx_x000D_
D:\e+f\Projekte\GDL\Develop\Dorma\BIM-all-doors\develop\01 BAD main\source.BIM-all-doors\list of multilingual text.xlsx</t>
  </si>
  <si>
    <t>GRUNDEINSTELLUNGEN</t>
  </si>
  <si>
    <t xml:space="preserve"> ... Schutzanforderungen</t>
  </si>
  <si>
    <t xml:space="preserve"> ... Minimalabmessungen + Türfunktionen</t>
  </si>
  <si>
    <t xml:space="preserve"> ... Geforderte Türeigenschaften</t>
  </si>
  <si>
    <t>TÜRKOMPONENTEN</t>
  </si>
  <si>
    <t xml:space="preserve"> ... Grundlegende Anforderungen</t>
  </si>
  <si>
    <t>GESAMTABMESSUNGEN + TOLERANZEN</t>
  </si>
  <si>
    <t>DARSTELLUNG</t>
  </si>
  <si>
    <t xml:space="preserve"> ... Öffnungslinien</t>
  </si>
  <si>
    <t xml:space="preserve"> ... Wandöffnung + Wandkontur</t>
  </si>
  <si>
    <t xml:space="preserve"> ... minimaler Platzbedarf</t>
  </si>
  <si>
    <t>HINWEIS</t>
  </si>
  <si>
    <t>KURZINFORMATION</t>
  </si>
  <si>
    <t>LOCK CASE:</t>
  </si>
  <si>
    <t>PUSHER:</t>
  </si>
  <si>
    <t>HINGE:</t>
  </si>
  <si>
    <t>DOOR LEAF:</t>
  </si>
  <si>
    <t>AUTOMATION:</t>
  </si>
  <si>
    <t>FRAME:</t>
  </si>
  <si>
    <t>HANDLES:</t>
  </si>
  <si>
    <t>DOOR CLOSER:</t>
  </si>
  <si>
    <t>BASIC SETTINGS</t>
  </si>
  <si>
    <t xml:space="preserve"> ... Requested door properties</t>
  </si>
  <si>
    <t xml:space="preserve"> ... minimal dimensions + functionality</t>
  </si>
  <si>
    <t xml:space="preserve"> ... protection requierments</t>
  </si>
  <si>
    <t>DOOR COMPONENTS</t>
  </si>
  <si>
    <t xml:space="preserve"> ... basic demands</t>
  </si>
  <si>
    <t>TOTAL DIMENSIONS + TOLERANCE</t>
  </si>
  <si>
    <t>REPRESENTATION</t>
  </si>
  <si>
    <t xml:space="preserve"> ... opening lines</t>
  </si>
  <si>
    <t xml:space="preserve"> ... Wall opening + wall contour</t>
  </si>
  <si>
    <t xml:space="preserve"> ... Minimal space</t>
  </si>
  <si>
    <t>ANNOTATION</t>
  </si>
  <si>
    <t>QUICK INFORMATION</t>
  </si>
  <si>
    <t xml:space="preserve">BIM-all-doors </t>
  </si>
  <si>
    <t>INFORMATIONEN + MELDUNGEN</t>
  </si>
  <si>
    <t>maximale Eingabe (Werk- und Detailplanung)</t>
  </si>
  <si>
    <t>genaue Eingabe (Ausführungsplanung)</t>
  </si>
  <si>
    <t>einfache Eingabe (Entwurfsplanung)</t>
  </si>
  <si>
    <t>minimale Eingabe (Vorplanung)</t>
  </si>
  <si>
    <t>Spiegelung der Bandseite im Objekt nicht zulässig. Unter 'Vorschau und Positionierung' deaktivieren!</t>
  </si>
  <si>
    <t>... allgemeiner Fehler</t>
  </si>
  <si>
    <t>Hier werden alle Meldungen der Plausibilitätsprüfung aus den Modulen aufgelistet. Dies dient nur einer ersten Prüfung und kann so automatisiert nicht vollständig sein.</t>
  </si>
  <si>
    <t>Es wurden keine Fehler erkannt.</t>
  </si>
  <si>
    <t>Es wird keine Öffnung in der Wand erzeugt!</t>
  </si>
  <si>
    <t>Diese »BIM-all-doors« Tür kann dann darüber platziert werden.</t>
  </si>
  <si>
    <t>It will not be created an opening in the associated wall!</t>
  </si>
  <si>
    <t>The opening can be created by another door object, which creates plain breakthroughs, but with customized sills. For example by the object »Türöffnung 21 plus«.</t>
  </si>
  <si>
    <t>This »BIM-all-doors« can be moved above this plain opening.</t>
  </si>
  <si>
    <t>INFORMATIONS + REPORTS</t>
  </si>
  <si>
    <t>simple input (design phase)</t>
  </si>
  <si>
    <t>detailed input (construction phase)</t>
  </si>
  <si>
    <t>maximum input (construction phase)</t>
  </si>
  <si>
    <t>basic input (design phase)</t>
  </si>
  <si>
    <t>Mirroring the reveal side is not allowed. Please change in section preview and position.</t>
  </si>
  <si>
    <t>… common error</t>
  </si>
  <si>
    <t>No faults have been detected.</t>
  </si>
  <si>
    <t>Here are listed all reports of all BIM-all-doors modules. This is a basic view on the configuration and can not subset a fundamental door planing by an expert.</t>
  </si>
  <si>
    <t>versionStamp</t>
  </si>
  <si>
    <t>Version der Parameterwerte</t>
  </si>
  <si>
    <t>Handle:</t>
  </si>
  <si>
    <t>Key:</t>
  </si>
  <si>
    <t>FUNCTIONALITY</t>
  </si>
  <si>
    <t>( DEMANDS / LIMITS )</t>
  </si>
  <si>
    <t>MONITORING DOOR STATE</t>
  </si>
  <si>
    <t>MINIMAL DIMENSIONS</t>
  </si>
  <si>
    <t>The functional requirements may differ from properties of the component, if the component fullfills at least the requierements.</t>
  </si>
  <si>
    <t>The protection requirements can differ from the qualities of the components, if the component fullfills at least the requierements.</t>
  </si>
  <si>
    <t>Noise insulation:</t>
  </si>
  <si>
    <t>Accessibility:</t>
  </si>
  <si>
    <t>Detonation protection:</t>
  </si>
  <si>
    <t>Strafing protection:</t>
  </si>
  <si>
    <t>Vandalism protection:</t>
  </si>
  <si>
    <t>Radiation protection:</t>
  </si>
  <si>
    <t>Thermal insulation:</t>
  </si>
  <si>
    <t>Flood protection:</t>
  </si>
  <si>
    <t>Laser protection:</t>
  </si>
  <si>
    <t>Burglary protection:</t>
  </si>
  <si>
    <t>Gas defense:</t>
  </si>
  <si>
    <t>Escape / rescue route:</t>
  </si>
  <si>
    <t>Usable clearance width:</t>
  </si>
  <si>
    <t>Usable clearance height:</t>
  </si>
  <si>
    <t>Minimal opening angle:</t>
  </si>
  <si>
    <t>Guardrail height:</t>
  </si>
  <si>
    <t>SHE:</t>
  </si>
  <si>
    <t>Climate class:</t>
  </si>
  <si>
    <t>Wet room:</t>
  </si>
  <si>
    <t>Damp area:</t>
  </si>
  <si>
    <t>Tightness:</t>
  </si>
  <si>
    <t>Useful life:</t>
  </si>
  <si>
    <t>Access from SwS:</t>
  </si>
  <si>
    <t>Open from SwS:</t>
  </si>
  <si>
    <t>Open from oSwS:</t>
  </si>
  <si>
    <t>Access from oSwS:</t>
  </si>
  <si>
    <t>Automation:</t>
  </si>
  <si>
    <t>Self closing:</t>
  </si>
  <si>
    <t>Sustainability:</t>
  </si>
  <si>
    <t>Corrosion prevention:</t>
  </si>
  <si>
    <t>Shielding:</t>
  </si>
  <si>
    <t>Burglary alarm system:</t>
  </si>
  <si>
    <t>Intensity of use:</t>
  </si>
  <si>
    <t>Actuating force:</t>
  </si>
  <si>
    <t>Accident prevention:</t>
  </si>
  <si>
    <t>Emergency opening:</t>
  </si>
  <si>
    <t>Breakthrough:</t>
  </si>
  <si>
    <t>Burst:</t>
  </si>
  <si>
    <t>Time opened:</t>
  </si>
  <si>
    <t>Distance actuation:</t>
  </si>
  <si>
    <t>Locking:</t>
  </si>
  <si>
    <t>Leaf position:</t>
  </si>
  <si>
    <t>Sensor handle actuation</t>
  </si>
  <si>
    <t>Sensor leaf position</t>
  </si>
  <si>
    <t>Sensor locking</t>
  </si>
  <si>
    <t>Sensor key actuation</t>
  </si>
  <si>
    <t>Sensor distance actuation</t>
  </si>
  <si>
    <t>Sensor emergency opened</t>
  </si>
  <si>
    <t>Sensor time opened</t>
  </si>
  <si>
    <t>Sensor breakthrough</t>
  </si>
  <si>
    <t>Sensor burst</t>
  </si>
  <si>
    <t>Sensor sabotage</t>
  </si>
  <si>
    <t>SHE</t>
  </si>
  <si>
    <t>global defined (MVO)</t>
  </si>
  <si>
    <t>construction phase</t>
  </si>
  <si>
    <t>preliminary design phase</t>
  </si>
  <si>
    <t>final design phase</t>
  </si>
  <si>
    <t>detailing planing phase</t>
  </si>
  <si>
    <t>symbolisch</t>
  </si>
  <si>
    <t>einfach</t>
  </si>
  <si>
    <t>exakt</t>
  </si>
  <si>
    <t>abgestimmt</t>
  </si>
  <si>
    <t>symbolic</t>
  </si>
  <si>
    <t>simple</t>
  </si>
  <si>
    <t>detailed</t>
  </si>
  <si>
    <t>as built</t>
  </si>
  <si>
    <t>by scale</t>
  </si>
  <si>
    <t>representative</t>
  </si>
  <si>
    <t>repräsentativ (1)</t>
  </si>
  <si>
    <t>repräsentativ (2)</t>
  </si>
  <si>
    <t>Homepage »BIM-all-doors«</t>
  </si>
  <si>
    <t>Baurichtmaß (BRM) ist Nominalmaß</t>
  </si>
  <si>
    <t>Lichtes Zargenmaß (LD) / Zargendurchgangsmaß (ZDM) ist Nominalmaß</t>
  </si>
  <si>
    <t>Türblattmaß (TB/TBAM) ist Nominalmaß</t>
  </si>
  <si>
    <t>Zargenfalzmaß (ZFM) ist Nominalmaß</t>
  </si>
  <si>
    <t>Zargenaußenmaß /ZAM) ist Nominalmaß</t>
  </si>
  <si>
    <t>Rahmen/Zarge Breite</t>
  </si>
  <si>
    <t>Rahmen/Zarge Höhe</t>
  </si>
  <si>
    <t>Rohbauöffnung (WÖ) Breite</t>
  </si>
  <si>
    <t>Rohbauöffnung (WÖ) Höhe</t>
  </si>
  <si>
    <t>Rohbauöffnung (WÖ) ist Nominalmaß</t>
  </si>
  <si>
    <t>Schraffur Aufsicht/Grundriss</t>
  </si>
  <si>
    <t>Türblattbreite Gangflügel</t>
  </si>
  <si>
    <t>Türblattbreite Standflügel</t>
  </si>
  <si>
    <t>Vordergrundstift</t>
  </si>
  <si>
    <t>Zargenfalzmaß (ZFM) Breite</t>
  </si>
  <si>
    <t>Zargenfalzmaß (ZFM) Höhe</t>
  </si>
  <si>
    <t>Stil der Wandleibungslinien</t>
  </si>
  <si>
    <t>Wandöffnung erzeugen / darstellen</t>
  </si>
  <si>
    <t>Level of Detail - 3D</t>
  </si>
  <si>
    <t>Level of Detail - Grundriss</t>
  </si>
  <si>
    <t>Level of Detail - Schnitt+Ansicht</t>
  </si>
  <si>
    <t>Detaillierungsgrad im Grundriss</t>
  </si>
  <si>
    <t>Detaillierungsgrad in 3D</t>
  </si>
  <si>
    <t>Detaillierungsgrad in Schnitten + Ansichten</t>
  </si>
  <si>
    <t>Grundrissdarstellung der Maße</t>
  </si>
  <si>
    <t>Schnittdarstellung der Maße</t>
  </si>
  <si>
    <t>Sturzlinien / Wandkontur längs</t>
  </si>
  <si>
    <t>Baurichtmaß (BRM) Breite</t>
  </si>
  <si>
    <t>Baurichtmaß (BRM) Höhe</t>
  </si>
  <si>
    <t>Bekleidungs-/Zargenaußenmaß Breite</t>
  </si>
  <si>
    <t>Bekleidungs-/Zargenaußenmaß Höhe</t>
  </si>
  <si>
    <t>Bezug der Bautoleranz</t>
  </si>
  <si>
    <t>Bezug für die Berechnung 'Lichter Durchgang'</t>
  </si>
  <si>
    <t>Darstellung der Maße</t>
  </si>
  <si>
    <t>Darstellung minimale Flächen</t>
  </si>
  <si>
    <t>Hintergrundstift</t>
  </si>
  <si>
    <t>Hinweis ausblenden.</t>
  </si>
  <si>
    <t>Konturstift für verdeckte Elemente</t>
  </si>
  <si>
    <t>Konturstift Grundriss</t>
  </si>
  <si>
    <t>Konturstift Wandleibungen einheitlich</t>
  </si>
  <si>
    <t>Kurzinfo zeigen.</t>
  </si>
  <si>
    <t>Linientyp für verdeckte Elemente</t>
  </si>
  <si>
    <t>Linientyp Gangflügel (Grundriss)</t>
  </si>
  <si>
    <t>Linientyp Standflügel (Grundriss)</t>
  </si>
  <si>
    <t>Öffnungslinienstift Grundriss</t>
  </si>
  <si>
    <t>Öffnungslinienstift Schnitt+Ansicht</t>
  </si>
  <si>
    <t>Öffnungslinienstift´3D</t>
  </si>
  <si>
    <t>Platzbedarf Bandgegenseite am Gangflügel</t>
  </si>
  <si>
    <t>Platzbedarf Bandgegenseite am Standflügel</t>
  </si>
  <si>
    <t>Platzbedarf Bandseite am Gangflügel</t>
  </si>
  <si>
    <t>Platzbedarf Bandseite am Standflügel</t>
  </si>
  <si>
    <t>Besuchen sie uns im Internet unter www.bim-all-doors.de\nHier finden sie Anleitungen, die jeweils neueste Version\nund hilfreiches Bonusmaterial:</t>
  </si>
  <si>
    <t>DORMAKABA - www.bim-all-doors.de</t>
  </si>
  <si>
    <t>4. Bekleidungs-\n    außenmaß</t>
  </si>
  <si>
    <t>1. Rohbauöffnung</t>
  </si>
  <si>
    <t>2. Baurichtmaß</t>
  </si>
  <si>
    <t>3. Rahmenaußenmaß</t>
  </si>
  <si>
    <t>5. Durchgangslichte</t>
  </si>
  <si>
    <t>6. Zargenfalzmaß</t>
  </si>
  <si>
    <t>7. Türblattmaß</t>
  </si>
  <si>
    <t>Gangflügel:</t>
  </si>
  <si>
    <t>Standflügel:</t>
  </si>
  <si>
    <t>BS:</t>
  </si>
  <si>
    <t>BGS:</t>
  </si>
  <si>
    <t>BREITE</t>
  </si>
  <si>
    <t>HÖHE</t>
  </si>
  <si>
    <t>Lichter Durchgang:</t>
  </si>
  <si>
    <t>Nominalmaß ist ...</t>
  </si>
  <si>
    <t>(*) Bautoleranz:</t>
  </si>
  <si>
    <t>Bautoler.</t>
  </si>
  <si>
    <t>Detaillierte Maße ab Planungsphase 'Entwurf'.</t>
  </si>
  <si>
    <t>Aufsicht Profile Zarge/Türblatt:</t>
  </si>
  <si>
    <t>DARSTELLUNG GRUNDIRSS:</t>
  </si>
  <si>
    <t>AUSGABEGENAUIGKEIT \nLEVEL OF DETAIL (LOD):</t>
  </si>
  <si>
    <t>GRUNDRISS</t>
  </si>
  <si>
    <t>SCHNITT\n+ ANSICHT</t>
  </si>
  <si>
    <t>SCHNITT+ANSICHT</t>
  </si>
  <si>
    <t>SCHNITT+ANSICHT+3D</t>
  </si>
  <si>
    <t>SYMBOLIK:</t>
  </si>
  <si>
    <t>LEIBUNGSLINIEN:</t>
  </si>
  <si>
    <t>STURZLINIEN:</t>
  </si>
  <si>
    <t>WANDÖFFNUNG:</t>
  </si>
  <si>
    <t>PLATZBEDARF:</t>
  </si>
  <si>
    <t>Verdeckte Elemente:</t>
  </si>
  <si>
    <t>Level of Detail:</t>
  </si>
  <si>
    <t>Öffnung erzeugen\nin 2D / 3D:</t>
  </si>
  <si>
    <t>Stil 1 | 2 :</t>
  </si>
  <si>
    <t>... ist eine generische Tür. Sie deckt eine Maximalzahl an Türvarianten ab.</t>
  </si>
  <si>
    <t>Auf der Seite 'TÜRKOMPONENTEN' werden die verfügbaren Module, aus denen die Tür zusammengesetzt werden kann, ausgewählt.</t>
  </si>
  <si>
    <t>Favoriten (voreingestellte Beispieltüren), Türlisten (als interaktive Auswertungen)\nund zusätzliche Türeigenschaften (XML Import-Datei).</t>
  </si>
  <si>
    <t>Die Abfrage der einstellbaren Parameter lässt sich abhängig von der Planungs-\nstadium auf der Seite 'GRUNDEINSTELLUNGEN' eingrenzen. Die Einstellung ist auf jeder Dialogseite links oben dargestellt:</t>
  </si>
  <si>
    <t>Die Ausgabegenauigkeit wird auf der Einstellungsseite 'DARSTELLUNG' für Grundriss, Schnitt + Ansicht und 3D differenziert eingestellt.</t>
  </si>
  <si>
    <t>Die Vielzahl an Parametern kann nicht mit jeder Tür komplett von den Grundeinstellungen aus neu eingestellt werden. Arbeiten sie daher mit Favoriten.</t>
  </si>
  <si>
    <t>Eine Grundauswahl aus vorkonfigurierten Standardtüren findet sich in der Datei \n'BIM-all-doors - Favoriten.prf' und kann in jedem Projekt über das Favoritenfenster \nimportiert werden.</t>
  </si>
  <si>
    <t>Die Einstellungen werden in jedem Modul auf Plausibilität grob geprüft. \nUnter 'INFORMATIONEN' werden die Warnmeldungen angezeigt.</t>
  </si>
  <si>
    <t>Es wird keine Öffnung in der Wand erzeugt.</t>
  </si>
  <si>
    <t>5. Bekleidungs-\n    außenmaß</t>
  </si>
  <si>
    <t>2. Rohbauöffnung</t>
  </si>
  <si>
    <t>3. Baurichtmaß</t>
  </si>
  <si>
    <t>4. Rahmenaußenmaß</t>
  </si>
  <si>
    <t>6. Durchgangslichte</t>
  </si>
  <si>
    <t>7. Zargenfalzmaß</t>
  </si>
  <si>
    <t>8. Türblattmaß</t>
  </si>
  <si>
    <t>BIM-all-doors</t>
  </si>
  <si>
    <t>(AC_Hole_Display_Option)</t>
  </si>
  <si>
    <t>ZUGANGSKONTROLLE:</t>
  </si>
  <si>
    <t>ACCESS CONTROL:</t>
  </si>
  <si>
    <t>Modell Zugangskontrollsystem</t>
  </si>
  <si>
    <t>Zusatz</t>
  </si>
  <si>
    <t>Stromversorgung</t>
  </si>
  <si>
    <t>E-Modul</t>
  </si>
  <si>
    <t>Rückplatte (Ländercode)</t>
  </si>
  <si>
    <t>Antennenabdeckung</t>
  </si>
  <si>
    <t>Systemlevel</t>
  </si>
  <si>
    <t>bs_access_control_system</t>
  </si>
  <si>
    <t>bs_acs_model</t>
  </si>
  <si>
    <t>bs_acs_systemlevel</t>
  </si>
  <si>
    <t>bs_acs_cover</t>
  </si>
  <si>
    <t>bs_acs_baseplate</t>
  </si>
  <si>
    <t>bs_acs_emodule</t>
  </si>
  <si>
    <t>bs_acs_electric</t>
  </si>
  <si>
    <t>bs_acs_addon</t>
  </si>
  <si>
    <t>E300</t>
  </si>
  <si>
    <t>dka_acs_mat</t>
  </si>
  <si>
    <t>bs_acs_material</t>
  </si>
  <si>
    <t>bs_acs_surface</t>
  </si>
  <si>
    <t>Material Zugangskontrollsystem</t>
  </si>
  <si>
    <t>Oberfläche Zugangskontrollsystem</t>
  </si>
  <si>
    <t>Hersteller Zugangskontrollsystem</t>
  </si>
  <si>
    <t>dormakaba</t>
  </si>
  <si>
    <t>bs_acs_manufacturer</t>
  </si>
  <si>
    <t>Zugangsidentifikationssystem</t>
  </si>
  <si>
    <t>Zugangskontrollsystem</t>
  </si>
  <si>
    <t>bs_acs_function</t>
  </si>
  <si>
    <t>bs_acs_sytle</t>
  </si>
  <si>
    <t>Funktion Zugangskontrollsystem</t>
  </si>
  <si>
    <t>Ausführung Zugangskontrollsystem</t>
  </si>
  <si>
    <t>bs_control_side</t>
  </si>
  <si>
    <t>Seite von der Zugangskontrolle erfolgt</t>
  </si>
  <si>
    <t>bs_acs_handles</t>
  </si>
  <si>
    <t>Beschläge vom ACS Modul erstellt</t>
  </si>
  <si>
    <t>bs_handle_manufacturer</t>
  </si>
  <si>
    <t>Digitalzylinder</t>
  </si>
  <si>
    <t>EU</t>
  </si>
  <si>
    <t>bs_acs_handle_model</t>
  </si>
  <si>
    <t>Griffmodell</t>
  </si>
  <si>
    <t>HL</t>
  </si>
  <si>
    <t>bs_acs_case_a</t>
  </si>
  <si>
    <t>Profil und Distanz A</t>
  </si>
  <si>
    <t>bs_acs_case_b</t>
  </si>
  <si>
    <t>Profil und Distanz B</t>
  </si>
  <si>
    <t>bs_acs_case_la</t>
  </si>
  <si>
    <t>bs_acs_case_lb</t>
  </si>
  <si>
    <t>bs_acs_cam</t>
  </si>
  <si>
    <t>Mitnehmer</t>
  </si>
  <si>
    <t>bs_acs_platetype</t>
  </si>
  <si>
    <t>Schildausführung</t>
  </si>
  <si>
    <t>patch 12-2020</t>
  </si>
  <si>
    <t>1.62</t>
  </si>
  <si>
    <t>Lange PZ ungeschützter Bereich</t>
  </si>
  <si>
    <t>Lange PZ geschützter Bereich</t>
  </si>
</sst>
</file>

<file path=xl/styles.xml><?xml version="1.0" encoding="utf-8"?>
<styleSheet xmlns="http://schemas.openxmlformats.org/spreadsheetml/2006/main">
  <numFmts count="2">
    <numFmt numFmtId="164" formatCode="0.0000"/>
    <numFmt numFmtId="165" formatCode="[$-F800]dddd\,\ mmmm\ dd\,\ yyyy"/>
  </numFmts>
  <fonts count="83">
    <font>
      <sz val="11"/>
      <color theme="1"/>
      <name val="Calibri"/>
      <family val="2"/>
      <scheme val="minor"/>
    </font>
    <font>
      <b/>
      <sz val="12"/>
      <color indexed="8"/>
      <name val="Arial"/>
      <family val="2"/>
    </font>
    <font>
      <sz val="11"/>
      <color indexed="8"/>
      <name val="Arial"/>
      <family val="2"/>
    </font>
    <font>
      <i/>
      <sz val="11"/>
      <color indexed="8"/>
      <name val="Arial"/>
      <family val="2"/>
    </font>
    <font>
      <sz val="11"/>
      <color indexed="8"/>
      <name val="Courier New"/>
      <family val="3"/>
    </font>
    <font>
      <sz val="8"/>
      <color indexed="8"/>
      <name val="Courier New"/>
      <family val="3"/>
    </font>
    <font>
      <b/>
      <sz val="11"/>
      <color indexed="8"/>
      <name val="Arial"/>
      <family val="2"/>
    </font>
    <font>
      <sz val="8"/>
      <name val="Calibri"/>
      <family val="2"/>
    </font>
    <font>
      <sz val="8"/>
      <color indexed="55"/>
      <name val="Arial"/>
      <family val="2"/>
    </font>
    <font>
      <i/>
      <sz val="8"/>
      <color indexed="8"/>
      <name val="Arial"/>
      <family val="2"/>
    </font>
    <font>
      <i/>
      <sz val="8"/>
      <color indexed="55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indexed="8"/>
      <name val="Courier New"/>
      <family val="3"/>
    </font>
    <font>
      <sz val="11"/>
      <color theme="1"/>
      <name val="Arial"/>
      <family val="2"/>
    </font>
    <font>
      <sz val="11"/>
      <color rgb="FFFF0000"/>
      <name val="Arial"/>
      <family val="2"/>
    </font>
    <font>
      <i/>
      <sz val="8"/>
      <color indexed="8"/>
      <name val="Courier New"/>
      <family val="3"/>
    </font>
    <font>
      <b/>
      <sz val="11"/>
      <color theme="1"/>
      <name val="Calibri"/>
      <family val="2"/>
      <scheme val="minor"/>
    </font>
    <font>
      <sz val="11"/>
      <name val="Arial"/>
      <family val="2"/>
    </font>
    <font>
      <sz val="11"/>
      <color theme="0" tint="-0.499984740745262"/>
      <name val="Arial"/>
      <family val="2"/>
    </font>
    <font>
      <b/>
      <sz val="11"/>
      <color rgb="FFFF0000"/>
      <name val="Arial Black"/>
      <family val="2"/>
    </font>
    <font>
      <sz val="11"/>
      <color theme="3" tint="-0.249977111117893"/>
      <name val="Arial"/>
      <family val="2"/>
    </font>
    <font>
      <b/>
      <sz val="11"/>
      <color theme="1"/>
      <name val="Arial"/>
      <family val="2"/>
    </font>
    <font>
      <i/>
      <sz val="11"/>
      <color rgb="FFC00000"/>
      <name val="Arial"/>
      <family val="2"/>
    </font>
    <font>
      <i/>
      <sz val="8"/>
      <color rgb="FFC00000"/>
      <name val="Arial"/>
      <family val="2"/>
    </font>
    <font>
      <sz val="8"/>
      <color theme="1"/>
      <name val="Arial"/>
      <family val="2"/>
    </font>
    <font>
      <b/>
      <sz val="8"/>
      <color theme="0" tint="-0.499984740745262"/>
      <name val="Arial"/>
      <family val="2"/>
    </font>
    <font>
      <b/>
      <sz val="11"/>
      <color rgb="FFC00000"/>
      <name val="Arial"/>
      <family val="2"/>
    </font>
    <font>
      <sz val="11"/>
      <color rgb="FFC00000"/>
      <name val="Arial"/>
      <family val="2"/>
    </font>
    <font>
      <b/>
      <sz val="11"/>
      <name val="Arial"/>
      <family val="2"/>
    </font>
    <font>
      <b/>
      <sz val="11"/>
      <color rgb="FFC00000"/>
      <name val="Calibri"/>
      <family val="2"/>
      <scheme val="minor"/>
    </font>
    <font>
      <b/>
      <sz val="20"/>
      <color rgb="FFC0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1"/>
      <name val="Calibri"/>
      <family val="2"/>
      <scheme val="minor"/>
    </font>
    <font>
      <b/>
      <sz val="8"/>
      <name val="Arial"/>
      <family val="2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ourier New"/>
      <family val="3"/>
    </font>
    <font>
      <b/>
      <sz val="11"/>
      <color rgb="FFFF0000"/>
      <name val="Arial"/>
      <family val="2"/>
    </font>
    <font>
      <sz val="11"/>
      <color rgb="FFFF0000"/>
      <name val="Courier New"/>
      <family val="3"/>
    </font>
    <font>
      <sz val="11"/>
      <color theme="4"/>
      <name val="Arial"/>
      <family val="2"/>
    </font>
    <font>
      <b/>
      <sz val="11"/>
      <color rgb="FF7030A0"/>
      <name val="Arial"/>
      <family val="2"/>
    </font>
    <font>
      <sz val="11"/>
      <color rgb="FF7030A0"/>
      <name val="Arial"/>
      <family val="2"/>
    </font>
    <font>
      <b/>
      <sz val="11"/>
      <color theme="4"/>
      <name val="Arial"/>
      <family val="2"/>
    </font>
    <font>
      <sz val="11"/>
      <color theme="0" tint="-0.34998626667073579"/>
      <name val="Arial"/>
      <family val="2"/>
    </font>
    <font>
      <b/>
      <strike/>
      <sz val="11"/>
      <color theme="0" tint="-0.34998626667073579"/>
      <name val="Arial"/>
      <family val="2"/>
    </font>
    <font>
      <b/>
      <strike/>
      <sz val="11"/>
      <color rgb="FF7030A0"/>
      <name val="Arial"/>
      <family val="2"/>
    </font>
    <font>
      <strike/>
      <sz val="11"/>
      <color theme="0" tint="-0.34998626667073579"/>
      <name val="Arial"/>
      <family val="2"/>
    </font>
    <font>
      <strike/>
      <sz val="11"/>
      <color rgb="FFFF0000"/>
      <name val="Arial"/>
      <family val="2"/>
    </font>
    <font>
      <strike/>
      <sz val="11"/>
      <color indexed="8"/>
      <name val="Arial"/>
      <family val="2"/>
    </font>
    <font>
      <b/>
      <sz val="11"/>
      <color theme="0" tint="-0.34998626667073579"/>
      <name val="Arial"/>
      <family val="2"/>
    </font>
    <font>
      <b/>
      <strike/>
      <sz val="11"/>
      <color indexed="8"/>
      <name val="Arial"/>
      <family val="2"/>
    </font>
    <font>
      <strike/>
      <sz val="11"/>
      <color rgb="FF7030A0"/>
      <name val="Arial"/>
      <family val="2"/>
    </font>
    <font>
      <b/>
      <sz val="12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4"/>
      <name val="Courier New"/>
      <family val="3"/>
    </font>
    <font>
      <b/>
      <sz val="11"/>
      <name val="Courier New"/>
      <family val="3"/>
    </font>
    <font>
      <sz val="11"/>
      <name val="Courier New"/>
      <family val="3"/>
    </font>
    <font>
      <sz val="11"/>
      <color rgb="FFC00000"/>
      <name val="Courier New"/>
      <family val="3"/>
    </font>
    <font>
      <b/>
      <sz val="11"/>
      <color theme="4" tint="-0.249977111117893"/>
      <name val="Courier New"/>
      <family val="3"/>
    </font>
    <font>
      <sz val="11"/>
      <color theme="4" tint="-0.249977111117893"/>
      <name val="Arial"/>
      <family val="2"/>
    </font>
    <font>
      <b/>
      <sz val="11"/>
      <color theme="4" tint="-0.249977111117893"/>
      <name val="Arial"/>
      <family val="2"/>
    </font>
    <font>
      <b/>
      <strike/>
      <sz val="11"/>
      <color indexed="8"/>
      <name val="Courier New"/>
      <family val="3"/>
    </font>
    <font>
      <sz val="11"/>
      <color theme="4" tint="-0.249977111117893"/>
      <name val="Courier New"/>
      <family val="3"/>
    </font>
    <font>
      <b/>
      <sz val="11"/>
      <color rgb="FF00B050"/>
      <name val="Arial"/>
      <family val="2"/>
    </font>
    <font>
      <b/>
      <strike/>
      <sz val="11"/>
      <color rgb="FF00B050"/>
      <name val="Arial"/>
      <family val="2"/>
    </font>
    <font>
      <b/>
      <sz val="11"/>
      <color theme="0" tint="-0.249977111117893"/>
      <name val="Arial"/>
      <family val="2"/>
    </font>
    <font>
      <sz val="8"/>
      <color theme="0" tint="-0.249977111117893"/>
      <name val="Arial"/>
      <family val="2"/>
    </font>
    <font>
      <strike/>
      <sz val="11"/>
      <color theme="0" tint="-0.249977111117893"/>
      <name val="Arial"/>
      <family val="2"/>
    </font>
    <font>
      <strike/>
      <sz val="11"/>
      <color theme="0" tint="-0.249977111117893"/>
      <name val="Courier New"/>
      <family val="3"/>
    </font>
    <font>
      <b/>
      <strike/>
      <sz val="11"/>
      <color theme="0" tint="-0.249977111117893"/>
      <name val="Arial"/>
      <family val="2"/>
    </font>
    <font>
      <sz val="11"/>
      <color theme="0" tint="-0.249977111117893"/>
      <name val="Arial"/>
      <family val="2"/>
    </font>
    <font>
      <b/>
      <sz val="11"/>
      <color theme="0" tint="-0.249977111117893"/>
      <name val="Arial Black"/>
      <family val="2"/>
    </font>
    <font>
      <sz val="11"/>
      <color theme="0" tint="-0.249977111117893"/>
      <name val="Courier New"/>
      <family val="3"/>
    </font>
    <font>
      <b/>
      <sz val="11"/>
      <color theme="0" tint="-0.249977111117893"/>
      <name val="Courier New"/>
      <family val="3"/>
    </font>
    <font>
      <strike/>
      <sz val="8"/>
      <color theme="0" tint="-0.249977111117893"/>
      <name val="Arial"/>
      <family val="2"/>
    </font>
    <font>
      <b/>
      <sz val="11"/>
      <color rgb="FF0070C0"/>
      <name val="Arial"/>
      <family val="2"/>
    </font>
    <font>
      <b/>
      <strike/>
      <sz val="11"/>
      <color rgb="FF0070C0"/>
      <name val="Arial"/>
      <family val="2"/>
    </font>
    <font>
      <b/>
      <strike/>
      <sz val="11"/>
      <color rgb="FFFF0000"/>
      <name val="Arial"/>
      <family val="2"/>
    </font>
    <font>
      <sz val="11"/>
      <color theme="0" tint="-0.34998626667073579"/>
      <name val="Courier New"/>
      <family val="3"/>
    </font>
    <font>
      <sz val="11"/>
      <color theme="0" tint="-0.34998626667073579"/>
      <name val="Calibri"/>
      <family val="2"/>
      <scheme val="minor"/>
    </font>
    <font>
      <sz val="11"/>
      <color theme="3" tint="0.3999755851924192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</fills>
  <borders count="33">
    <border>
      <left/>
      <right/>
      <top/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auto="1"/>
      </left>
      <right style="thin">
        <color indexed="64"/>
      </right>
      <top style="thick">
        <color auto="1"/>
      </top>
      <bottom/>
      <diagonal/>
    </border>
    <border>
      <left/>
      <right style="thin">
        <color indexed="64"/>
      </right>
      <top style="thick">
        <color auto="1"/>
      </top>
      <bottom/>
      <diagonal/>
    </border>
    <border>
      <left/>
      <right style="thick">
        <color indexed="64"/>
      </right>
      <top/>
      <bottom style="thick">
        <color auto="1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auto="1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auto="1"/>
      </top>
      <bottom/>
      <diagonal/>
    </border>
  </borders>
  <cellStyleXfs count="1">
    <xf numFmtId="0" fontId="0" fillId="0" borderId="0"/>
  </cellStyleXfs>
  <cellXfs count="335">
    <xf numFmtId="0" fontId="0" fillId="0" borderId="0" xfId="0"/>
    <xf numFmtId="0" fontId="1" fillId="0" borderId="0" xfId="0" applyFont="1"/>
    <xf numFmtId="0" fontId="2" fillId="0" borderId="0" xfId="0" applyFont="1" applyAlignment="1">
      <alignment horizontal="left"/>
    </xf>
    <xf numFmtId="0" fontId="2" fillId="0" borderId="0" xfId="0" applyFont="1"/>
    <xf numFmtId="0" fontId="3" fillId="0" borderId="0" xfId="0" applyFont="1"/>
    <xf numFmtId="0" fontId="2" fillId="0" borderId="0" xfId="0" applyFont="1" applyAlignment="1">
      <alignment horizontal="center"/>
    </xf>
    <xf numFmtId="0" fontId="1" fillId="0" borderId="0" xfId="0" applyFont="1" applyAlignment="1">
      <alignment vertical="center"/>
    </xf>
    <xf numFmtId="0" fontId="2" fillId="0" borderId="0" xfId="0" applyFont="1" applyAlignment="1">
      <alignment vertical="top" wrapText="1"/>
    </xf>
    <xf numFmtId="0" fontId="2" fillId="0" borderId="1" xfId="0" applyFont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1" fillId="2" borderId="0" xfId="0" applyFont="1" applyFill="1" applyAlignment="1">
      <alignment vertical="center" wrapText="1"/>
    </xf>
    <xf numFmtId="0" fontId="1" fillId="2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2" fillId="0" borderId="0" xfId="0" applyFont="1" applyAlignment="1">
      <alignment vertical="center" wrapText="1"/>
    </xf>
    <xf numFmtId="0" fontId="6" fillId="0" borderId="0" xfId="0" applyFont="1" applyAlignment="1">
      <alignment horizontal="left" vertical="center"/>
    </xf>
    <xf numFmtId="0" fontId="2" fillId="0" borderId="3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1" xfId="0" applyFont="1" applyBorder="1" applyAlignment="1">
      <alignment vertical="center"/>
    </xf>
    <xf numFmtId="0" fontId="9" fillId="0" borderId="3" xfId="0" applyFont="1" applyBorder="1" applyAlignment="1">
      <alignment horizontal="right" vertical="center"/>
    </xf>
    <xf numFmtId="0" fontId="10" fillId="0" borderId="3" xfId="0" applyFont="1" applyBorder="1" applyAlignment="1">
      <alignment horizontal="right" vertical="center"/>
    </xf>
    <xf numFmtId="0" fontId="6" fillId="0" borderId="3" xfId="0" applyFont="1" applyBorder="1" applyAlignment="1">
      <alignment horizontal="center" vertical="center"/>
    </xf>
    <xf numFmtId="0" fontId="2" fillId="0" borderId="2" xfId="0" applyFont="1" applyBorder="1" applyAlignment="1">
      <alignment horizontal="left" vertical="center" indent="1"/>
    </xf>
    <xf numFmtId="0" fontId="2" fillId="2" borderId="0" xfId="0" applyFont="1" applyFill="1" applyAlignment="1">
      <alignment vertical="center" textRotation="90" wrapText="1"/>
    </xf>
    <xf numFmtId="0" fontId="2" fillId="2" borderId="0" xfId="0" applyFont="1" applyFill="1" applyAlignment="1">
      <alignment horizontal="center" vertical="center" wrapText="1"/>
    </xf>
    <xf numFmtId="0" fontId="2" fillId="2" borderId="0" xfId="0" applyFont="1" applyFill="1" applyAlignment="1">
      <alignment vertical="center" wrapText="1"/>
    </xf>
    <xf numFmtId="0" fontId="2" fillId="0" borderId="2" xfId="0" applyFont="1" applyBorder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0" borderId="5" xfId="0" applyFont="1" applyBorder="1" applyAlignment="1">
      <alignment horizontal="left" vertical="center"/>
    </xf>
    <xf numFmtId="0" fontId="2" fillId="2" borderId="0" xfId="0" applyFont="1" applyFill="1" applyAlignment="1">
      <alignment horizontal="center" vertical="center" textRotation="90" wrapText="1"/>
    </xf>
    <xf numFmtId="0" fontId="6" fillId="0" borderId="0" xfId="0" applyFont="1" applyAlignment="1">
      <alignment horizontal="center" vertical="center"/>
    </xf>
    <xf numFmtId="0" fontId="6" fillId="2" borderId="0" xfId="0" applyFont="1" applyFill="1" applyAlignment="1">
      <alignment vertical="center" wrapText="1"/>
    </xf>
    <xf numFmtId="164" fontId="6" fillId="2" borderId="0" xfId="0" applyNumberFormat="1" applyFont="1" applyFill="1" applyAlignment="1">
      <alignment vertical="center" wrapText="1"/>
    </xf>
    <xf numFmtId="0" fontId="6" fillId="0" borderId="0" xfId="0" applyFont="1" applyAlignment="1">
      <alignment vertical="center"/>
    </xf>
    <xf numFmtId="0" fontId="8" fillId="0" borderId="0" xfId="0" applyFont="1" applyAlignment="1">
      <alignment horizontal="center" vertical="center"/>
    </xf>
    <xf numFmtId="164" fontId="2" fillId="0" borderId="0" xfId="0" applyNumberFormat="1" applyFont="1" applyAlignment="1">
      <alignment vertical="center"/>
    </xf>
    <xf numFmtId="0" fontId="6" fillId="0" borderId="1" xfId="0" applyFont="1" applyBorder="1" applyAlignment="1">
      <alignment vertical="center"/>
    </xf>
    <xf numFmtId="164" fontId="2" fillId="0" borderId="1" xfId="0" applyNumberFormat="1" applyFont="1" applyBorder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0" fontId="13" fillId="0" borderId="0" xfId="0" applyFont="1" applyAlignment="1">
      <alignment vertical="center"/>
    </xf>
    <xf numFmtId="0" fontId="14" fillId="0" borderId="0" xfId="0" applyFont="1"/>
    <xf numFmtId="0" fontId="2" fillId="2" borderId="0" xfId="0" applyFont="1" applyFill="1" applyBorder="1" applyAlignment="1">
      <alignment horizontal="left" vertical="center"/>
    </xf>
    <xf numFmtId="0" fontId="16" fillId="4" borderId="6" xfId="0" applyFont="1" applyFill="1" applyBorder="1" applyAlignment="1">
      <alignment horizontal="left" vertical="center"/>
    </xf>
    <xf numFmtId="0" fontId="6" fillId="0" borderId="1" xfId="0" applyFont="1" applyBorder="1" applyAlignment="1">
      <alignment horizontal="center" vertical="center"/>
    </xf>
    <xf numFmtId="0" fontId="15" fillId="0" borderId="0" xfId="0" applyFont="1" applyAlignment="1">
      <alignment vertical="center"/>
    </xf>
    <xf numFmtId="0" fontId="2" fillId="2" borderId="6" xfId="0" applyFont="1" applyFill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19" fillId="0" borderId="0" xfId="0" applyFont="1" applyAlignment="1">
      <alignment horizontal="center" vertical="center"/>
    </xf>
    <xf numFmtId="0" fontId="19" fillId="0" borderId="2" xfId="0" applyFont="1" applyBorder="1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0" fontId="19" fillId="0" borderId="2" xfId="0" applyFont="1" applyBorder="1" applyAlignment="1">
      <alignment horizontal="center" vertical="center"/>
    </xf>
    <xf numFmtId="0" fontId="19" fillId="0" borderId="4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14" fillId="0" borderId="0" xfId="0" applyFont="1" applyBorder="1"/>
    <xf numFmtId="0" fontId="14" fillId="0" borderId="0" xfId="0" applyFont="1" applyBorder="1" applyAlignment="1">
      <alignment horizontal="center"/>
    </xf>
    <xf numFmtId="0" fontId="14" fillId="0" borderId="16" xfId="0" applyFont="1" applyBorder="1" applyAlignment="1">
      <alignment horizontal="center"/>
    </xf>
    <xf numFmtId="0" fontId="14" fillId="0" borderId="17" xfId="0" applyFont="1" applyBorder="1" applyAlignment="1">
      <alignment horizontal="center"/>
    </xf>
    <xf numFmtId="0" fontId="14" fillId="0" borderId="18" xfId="0" applyFont="1" applyBorder="1" applyAlignment="1">
      <alignment horizontal="center"/>
    </xf>
    <xf numFmtId="0" fontId="21" fillId="0" borderId="16" xfId="0" applyFont="1" applyBorder="1" applyAlignment="1">
      <alignment horizontal="center"/>
    </xf>
    <xf numFmtId="0" fontId="14" fillId="0" borderId="0" xfId="0" applyFont="1" applyAlignment="1">
      <alignment horizontal="center"/>
    </xf>
    <xf numFmtId="0" fontId="14" fillId="0" borderId="19" xfId="0" applyFont="1" applyBorder="1" applyAlignment="1">
      <alignment horizontal="center"/>
    </xf>
    <xf numFmtId="0" fontId="14" fillId="0" borderId="20" xfId="0" applyFont="1" applyBorder="1" applyAlignment="1">
      <alignment horizontal="center"/>
    </xf>
    <xf numFmtId="0" fontId="14" fillId="0" borderId="21" xfId="0" applyFont="1" applyBorder="1"/>
    <xf numFmtId="0" fontId="24" fillId="0" borderId="8" xfId="0" applyFont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25" fillId="0" borderId="0" xfId="0" applyFont="1"/>
    <xf numFmtId="0" fontId="22" fillId="0" borderId="14" xfId="0" applyFont="1" applyBorder="1"/>
    <xf numFmtId="0" fontId="22" fillId="0" borderId="15" xfId="0" applyFont="1" applyBorder="1" applyAlignment="1">
      <alignment horizontal="center"/>
    </xf>
    <xf numFmtId="0" fontId="21" fillId="0" borderId="9" xfId="0" applyFont="1" applyBorder="1" applyAlignment="1">
      <alignment horizontal="center"/>
    </xf>
    <xf numFmtId="0" fontId="14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8" fillId="0" borderId="16" xfId="0" applyFont="1" applyBorder="1" applyAlignment="1">
      <alignment horizontal="center"/>
    </xf>
    <xf numFmtId="0" fontId="28" fillId="0" borderId="19" xfId="0" applyFont="1" applyBorder="1" applyAlignment="1">
      <alignment horizontal="center"/>
    </xf>
    <xf numFmtId="0" fontId="18" fillId="0" borderId="19" xfId="0" applyFont="1" applyBorder="1" applyAlignment="1">
      <alignment horizontal="center"/>
    </xf>
    <xf numFmtId="0" fontId="18" fillId="0" borderId="16" xfId="0" applyFont="1" applyBorder="1" applyAlignment="1">
      <alignment horizontal="center"/>
    </xf>
    <xf numFmtId="0" fontId="24" fillId="0" borderId="22" xfId="0" applyFont="1" applyBorder="1" applyAlignment="1">
      <alignment horizontal="center" vertical="center"/>
    </xf>
    <xf numFmtId="0" fontId="24" fillId="0" borderId="12" xfId="0" applyFont="1" applyBorder="1" applyAlignment="1">
      <alignment horizontal="center" vertical="center"/>
    </xf>
    <xf numFmtId="0" fontId="21" fillId="0" borderId="7" xfId="0" applyFont="1" applyBorder="1" applyAlignment="1">
      <alignment horizontal="center"/>
    </xf>
    <xf numFmtId="0" fontId="21" fillId="0" borderId="0" xfId="0" applyFont="1" applyBorder="1" applyAlignment="1">
      <alignment horizontal="center"/>
    </xf>
    <xf numFmtId="0" fontId="23" fillId="0" borderId="23" xfId="0" applyFont="1" applyBorder="1" applyAlignment="1">
      <alignment horizontal="center" textRotation="90"/>
    </xf>
    <xf numFmtId="0" fontId="23" fillId="0" borderId="24" xfId="0" applyFont="1" applyBorder="1" applyAlignment="1">
      <alignment horizontal="center" textRotation="90"/>
    </xf>
    <xf numFmtId="0" fontId="9" fillId="0" borderId="2" xfId="0" applyFont="1" applyBorder="1" applyAlignment="1">
      <alignment vertical="center"/>
    </xf>
    <xf numFmtId="0" fontId="27" fillId="0" borderId="0" xfId="0" applyFont="1" applyAlignment="1">
      <alignment horizontal="left" vertical="center"/>
    </xf>
    <xf numFmtId="0" fontId="9" fillId="0" borderId="2" xfId="0" applyFont="1" applyBorder="1" applyAlignment="1">
      <alignment horizontal="left" vertical="center" indent="1"/>
    </xf>
    <xf numFmtId="0" fontId="14" fillId="0" borderId="11" xfId="0" applyFont="1" applyBorder="1" applyAlignment="1">
      <alignment horizontal="center"/>
    </xf>
    <xf numFmtId="0" fontId="14" fillId="0" borderId="12" xfId="0" applyFont="1" applyBorder="1" applyAlignment="1">
      <alignment horizontal="center"/>
    </xf>
    <xf numFmtId="0" fontId="21" fillId="0" borderId="11" xfId="0" applyFont="1" applyBorder="1" applyAlignment="1">
      <alignment horizontal="center"/>
    </xf>
    <xf numFmtId="0" fontId="14" fillId="0" borderId="16" xfId="0" applyFont="1" applyBorder="1"/>
    <xf numFmtId="0" fontId="14" fillId="0" borderId="1" xfId="0" applyFont="1" applyBorder="1" applyAlignment="1">
      <alignment horizontal="center"/>
    </xf>
    <xf numFmtId="0" fontId="21" fillId="0" borderId="1" xfId="0" applyFont="1" applyBorder="1" applyAlignment="1">
      <alignment horizontal="center"/>
    </xf>
    <xf numFmtId="0" fontId="14" fillId="0" borderId="2" xfId="0" applyFont="1" applyBorder="1" applyAlignment="1">
      <alignment horizontal="center"/>
    </xf>
    <xf numFmtId="0" fontId="29" fillId="0" borderId="6" xfId="0" applyFont="1" applyBorder="1" applyAlignment="1">
      <alignment horizontal="center" textRotation="90"/>
    </xf>
    <xf numFmtId="0" fontId="14" fillId="6" borderId="2" xfId="0" applyFont="1" applyFill="1" applyBorder="1" applyAlignment="1">
      <alignment horizontal="center" vertical="center" wrapText="1"/>
    </xf>
    <xf numFmtId="0" fontId="14" fillId="6" borderId="0" xfId="0" applyFont="1" applyFill="1"/>
    <xf numFmtId="0" fontId="17" fillId="0" borderId="3" xfId="0" applyFont="1" applyBorder="1" applyAlignment="1">
      <alignment horizontal="center" vertical="center"/>
    </xf>
    <xf numFmtId="0" fontId="27" fillId="0" borderId="0" xfId="0" applyFont="1" applyAlignment="1"/>
    <xf numFmtId="0" fontId="30" fillId="7" borderId="0" xfId="0" applyFont="1" applyFill="1"/>
    <xf numFmtId="0" fontId="31" fillId="7" borderId="0" xfId="0" applyFont="1" applyFill="1"/>
    <xf numFmtId="0" fontId="27" fillId="0" borderId="0" xfId="0" applyFont="1" applyAlignment="1">
      <alignment horizontal="left"/>
    </xf>
    <xf numFmtId="0" fontId="30" fillId="7" borderId="0" xfId="0" applyFont="1" applyFill="1" applyAlignment="1">
      <alignment horizontal="center"/>
    </xf>
    <xf numFmtId="0" fontId="17" fillId="0" borderId="0" xfId="0" applyFont="1"/>
    <xf numFmtId="0" fontId="0" fillId="0" borderId="0" xfId="0" applyFont="1"/>
    <xf numFmtId="0" fontId="0" fillId="0" borderId="0" xfId="0" applyFont="1" applyAlignment="1">
      <alignment horizontal="center"/>
    </xf>
    <xf numFmtId="0" fontId="32" fillId="0" borderId="0" xfId="0" applyFont="1" applyFill="1"/>
    <xf numFmtId="0" fontId="32" fillId="0" borderId="0" xfId="0" applyFont="1"/>
    <xf numFmtId="0" fontId="21" fillId="0" borderId="0" xfId="0" applyFont="1" applyBorder="1" applyAlignment="1">
      <alignment horizontal="center"/>
    </xf>
    <xf numFmtId="0" fontId="21" fillId="0" borderId="7" xfId="0" applyFont="1" applyBorder="1" applyAlignment="1">
      <alignment horizontal="center"/>
    </xf>
    <xf numFmtId="0" fontId="33" fillId="0" borderId="0" xfId="0" applyFont="1"/>
    <xf numFmtId="0" fontId="34" fillId="0" borderId="0" xfId="0" applyFont="1" applyAlignment="1">
      <alignment horizontal="center"/>
    </xf>
    <xf numFmtId="0" fontId="34" fillId="0" borderId="0" xfId="0" applyFont="1"/>
    <xf numFmtId="0" fontId="22" fillId="0" borderId="26" xfId="0" applyFont="1" applyBorder="1"/>
    <xf numFmtId="0" fontId="22" fillId="0" borderId="27" xfId="0" applyFont="1" applyBorder="1" applyAlignment="1">
      <alignment horizontal="center"/>
    </xf>
    <xf numFmtId="0" fontId="26" fillId="0" borderId="28" xfId="0" applyFont="1" applyBorder="1" applyAlignment="1">
      <alignment horizontal="center"/>
    </xf>
    <xf numFmtId="0" fontId="26" fillId="0" borderId="27" xfId="0" applyFont="1" applyBorder="1" applyAlignment="1">
      <alignment horizontal="center"/>
    </xf>
    <xf numFmtId="0" fontId="24" fillId="0" borderId="0" xfId="0" applyFont="1" applyBorder="1" applyAlignment="1">
      <alignment horizontal="center" vertical="center"/>
    </xf>
    <xf numFmtId="0" fontId="26" fillId="0" borderId="29" xfId="0" applyFont="1" applyBorder="1" applyAlignment="1">
      <alignment horizontal="center"/>
    </xf>
    <xf numFmtId="0" fontId="29" fillId="0" borderId="8" xfId="0" applyFont="1" applyBorder="1" applyAlignment="1">
      <alignment horizontal="center" textRotation="90"/>
    </xf>
    <xf numFmtId="0" fontId="35" fillId="0" borderId="13" xfId="0" applyFont="1" applyBorder="1" applyAlignment="1">
      <alignment horizontal="center"/>
    </xf>
    <xf numFmtId="0" fontId="35" fillId="0" borderId="14" xfId="0" applyFont="1" applyBorder="1" applyAlignment="1">
      <alignment horizontal="center"/>
    </xf>
    <xf numFmtId="0" fontId="18" fillId="0" borderId="18" xfId="0" applyFont="1" applyBorder="1" applyAlignment="1">
      <alignment horizontal="center"/>
    </xf>
    <xf numFmtId="0" fontId="18" fillId="0" borderId="20" xfId="0" applyFont="1" applyBorder="1" applyAlignment="1">
      <alignment horizontal="center"/>
    </xf>
    <xf numFmtId="0" fontId="18" fillId="0" borderId="21" xfId="0" applyFont="1" applyBorder="1" applyAlignment="1">
      <alignment horizontal="center" vertical="center"/>
    </xf>
    <xf numFmtId="0" fontId="18" fillId="0" borderId="21" xfId="0" applyFont="1" applyBorder="1" applyAlignment="1">
      <alignment horizontal="center"/>
    </xf>
    <xf numFmtId="0" fontId="18" fillId="0" borderId="21" xfId="0" applyFont="1" applyBorder="1"/>
    <xf numFmtId="0" fontId="29" fillId="0" borderId="11" xfId="0" applyFont="1" applyBorder="1" applyAlignment="1">
      <alignment horizontal="center" textRotation="90"/>
    </xf>
    <xf numFmtId="0" fontId="2" fillId="0" borderId="0" xfId="0" applyFont="1" applyBorder="1" applyAlignment="1">
      <alignment vertical="center"/>
    </xf>
    <xf numFmtId="0" fontId="2" fillId="0" borderId="0" xfId="0" applyFont="1" applyBorder="1" applyAlignment="1">
      <alignment horizontal="left" vertical="center" indent="1"/>
    </xf>
    <xf numFmtId="0" fontId="10" fillId="0" borderId="25" xfId="0" applyFont="1" applyBorder="1" applyAlignment="1">
      <alignment horizontal="right" vertical="center"/>
    </xf>
    <xf numFmtId="0" fontId="14" fillId="0" borderId="16" xfId="0" applyFont="1" applyBorder="1" applyAlignment="1">
      <alignment horizontal="left"/>
    </xf>
    <xf numFmtId="0" fontId="30" fillId="0" borderId="0" xfId="0" applyFont="1"/>
    <xf numFmtId="0" fontId="30" fillId="0" borderId="0" xfId="0" applyFont="1" applyAlignment="1">
      <alignment horizontal="center"/>
    </xf>
    <xf numFmtId="0" fontId="30" fillId="0" borderId="0" xfId="0" applyFont="1" applyAlignment="1">
      <alignment horizontal="left"/>
    </xf>
    <xf numFmtId="0" fontId="36" fillId="7" borderId="0" xfId="0" applyFont="1" applyFill="1"/>
    <xf numFmtId="0" fontId="0" fillId="0" borderId="0" xfId="0" applyAlignment="1">
      <alignment horizontal="center"/>
    </xf>
    <xf numFmtId="0" fontId="23" fillId="0" borderId="30" xfId="0" applyFont="1" applyBorder="1" applyAlignment="1">
      <alignment horizontal="center" textRotation="90"/>
    </xf>
    <xf numFmtId="0" fontId="23" fillId="0" borderId="32" xfId="0" applyFont="1" applyBorder="1" applyAlignment="1">
      <alignment horizontal="center" textRotation="90"/>
    </xf>
    <xf numFmtId="0" fontId="28" fillId="0" borderId="31" xfId="0" applyFont="1" applyBorder="1" applyAlignment="1">
      <alignment horizontal="center" vertical="center" wrapText="1"/>
    </xf>
    <xf numFmtId="0" fontId="4" fillId="8" borderId="0" xfId="0" applyFont="1" applyFill="1" applyAlignment="1">
      <alignment vertical="center"/>
    </xf>
    <xf numFmtId="0" fontId="18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0" fontId="39" fillId="0" borderId="0" xfId="0" applyFont="1" applyAlignment="1">
      <alignment vertical="center"/>
    </xf>
    <xf numFmtId="164" fontId="15" fillId="0" borderId="0" xfId="0" applyNumberFormat="1" applyFont="1" applyAlignment="1">
      <alignment vertical="center"/>
    </xf>
    <xf numFmtId="0" fontId="40" fillId="8" borderId="0" xfId="0" applyFont="1" applyFill="1" applyAlignment="1">
      <alignment vertical="center"/>
    </xf>
    <xf numFmtId="0" fontId="15" fillId="0" borderId="0" xfId="0" applyFont="1" applyAlignment="1"/>
    <xf numFmtId="0" fontId="15" fillId="0" borderId="0" xfId="0" applyFont="1" applyFill="1"/>
    <xf numFmtId="0" fontId="41" fillId="0" borderId="0" xfId="0" applyFont="1" applyFill="1" applyAlignment="1">
      <alignment horizontal="center"/>
    </xf>
    <xf numFmtId="0" fontId="42" fillId="0" borderId="0" xfId="0" applyFont="1" applyFill="1"/>
    <xf numFmtId="0" fontId="42" fillId="0" borderId="0" xfId="0" applyFont="1" applyFill="1" applyAlignment="1">
      <alignment horizontal="center"/>
    </xf>
    <xf numFmtId="0" fontId="43" fillId="0" borderId="0" xfId="0" applyFont="1" applyFill="1"/>
    <xf numFmtId="0" fontId="43" fillId="0" borderId="0" xfId="0" applyFont="1" applyAlignment="1">
      <alignment horizontal="center" vertical="center"/>
    </xf>
    <xf numFmtId="0" fontId="43" fillId="0" borderId="0" xfId="0" applyFont="1" applyFill="1" applyAlignment="1">
      <alignment horizontal="center"/>
    </xf>
    <xf numFmtId="0" fontId="41" fillId="0" borderId="0" xfId="0" applyFont="1" applyFill="1"/>
    <xf numFmtId="0" fontId="18" fillId="0" borderId="0" xfId="0" applyFont="1" applyFill="1"/>
    <xf numFmtId="0" fontId="43" fillId="0" borderId="0" xfId="0" applyFont="1" applyFill="1" applyAlignment="1"/>
    <xf numFmtId="0" fontId="41" fillId="0" borderId="0" xfId="0" applyFont="1" applyFill="1" applyAlignment="1"/>
    <xf numFmtId="0" fontId="44" fillId="0" borderId="0" xfId="0" applyFont="1" applyFill="1"/>
    <xf numFmtId="0" fontId="44" fillId="0" borderId="0" xfId="0" applyFont="1" applyFill="1" applyAlignment="1">
      <alignment horizontal="center"/>
    </xf>
    <xf numFmtId="0" fontId="41" fillId="0" borderId="0" xfId="0" applyFont="1" applyAlignment="1">
      <alignment horizontal="center" vertical="center"/>
    </xf>
    <xf numFmtId="0" fontId="45" fillId="0" borderId="0" xfId="0" applyFont="1" applyFill="1" applyAlignment="1">
      <alignment horizontal="center"/>
    </xf>
    <xf numFmtId="0" fontId="40" fillId="8" borderId="0" xfId="0" applyFont="1" applyFill="1"/>
    <xf numFmtId="0" fontId="15" fillId="0" borderId="0" xfId="0" applyFont="1" applyFill="1" applyAlignment="1">
      <alignment horizontal="center"/>
    </xf>
    <xf numFmtId="0" fontId="39" fillId="0" borderId="0" xfId="0" applyFont="1" applyFill="1"/>
    <xf numFmtId="0" fontId="39" fillId="0" borderId="0" xfId="0" applyFont="1" applyFill="1" applyAlignment="1">
      <alignment horizontal="center"/>
    </xf>
    <xf numFmtId="0" fontId="41" fillId="0" borderId="0" xfId="0" applyFont="1" applyAlignment="1">
      <alignment vertical="center"/>
    </xf>
    <xf numFmtId="0" fontId="46" fillId="0" borderId="0" xfId="0" applyFont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40" fillId="0" borderId="0" xfId="0" applyFont="1" applyFill="1" applyAlignment="1">
      <alignment vertical="center"/>
    </xf>
    <xf numFmtId="0" fontId="41" fillId="0" borderId="0" xfId="0" applyFont="1"/>
    <xf numFmtId="0" fontId="44" fillId="0" borderId="0" xfId="0" applyFont="1" applyAlignment="1">
      <alignment horizontal="center" vertical="center"/>
    </xf>
    <xf numFmtId="0" fontId="48" fillId="0" borderId="0" xfId="0" applyFont="1" applyAlignment="1">
      <alignment horizontal="center" vertical="center"/>
    </xf>
    <xf numFmtId="0" fontId="49" fillId="0" borderId="0" xfId="0" applyFont="1" applyFill="1" applyAlignment="1">
      <alignment horizontal="center"/>
    </xf>
    <xf numFmtId="0" fontId="48" fillId="0" borderId="0" xfId="0" applyFont="1" applyFill="1"/>
    <xf numFmtId="0" fontId="40" fillId="0" borderId="0" xfId="0" applyFont="1" applyAlignment="1">
      <alignment vertical="center"/>
    </xf>
    <xf numFmtId="0" fontId="45" fillId="0" borderId="0" xfId="0" applyFont="1" applyAlignment="1">
      <alignment vertical="center"/>
    </xf>
    <xf numFmtId="0" fontId="51" fillId="0" borderId="0" xfId="0" applyFont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40" fillId="0" borderId="0" xfId="0" applyFont="1" applyFill="1"/>
    <xf numFmtId="0" fontId="42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52" fillId="0" borderId="0" xfId="0" applyFont="1" applyAlignment="1">
      <alignment horizontal="center" vertical="center"/>
    </xf>
    <xf numFmtId="0" fontId="43" fillId="0" borderId="0" xfId="0" applyFont="1"/>
    <xf numFmtId="0" fontId="15" fillId="0" borderId="0" xfId="0" applyFont="1"/>
    <xf numFmtId="0" fontId="43" fillId="0" borderId="0" xfId="0" applyNumberFormat="1" applyFont="1"/>
    <xf numFmtId="0" fontId="53" fillId="0" borderId="0" xfId="0" applyFont="1" applyFill="1" applyAlignment="1">
      <alignment horizontal="center"/>
    </xf>
    <xf numFmtId="0" fontId="41" fillId="0" borderId="0" xfId="0" applyNumberFormat="1" applyFont="1"/>
    <xf numFmtId="0" fontId="32" fillId="0" borderId="0" xfId="0" applyFont="1" applyAlignment="1">
      <alignment horizontal="center" textRotation="90"/>
    </xf>
    <xf numFmtId="0" fontId="54" fillId="0" borderId="0" xfId="0" applyFont="1"/>
    <xf numFmtId="0" fontId="37" fillId="0" borderId="0" xfId="0" applyFont="1"/>
    <xf numFmtId="0" fontId="55" fillId="0" borderId="0" xfId="0" applyFont="1"/>
    <xf numFmtId="0" fontId="15" fillId="4" borderId="0" xfId="0" applyFont="1" applyFill="1" applyAlignment="1">
      <alignment horizontal="center" vertical="center" wrapText="1"/>
    </xf>
    <xf numFmtId="0" fontId="37" fillId="4" borderId="0" xfId="0" applyFont="1" applyFill="1" applyAlignment="1">
      <alignment horizontal="center" vertical="center"/>
    </xf>
    <xf numFmtId="0" fontId="37" fillId="4" borderId="0" xfId="0" applyFont="1" applyFill="1" applyAlignment="1">
      <alignment horizontal="center"/>
    </xf>
    <xf numFmtId="0" fontId="34" fillId="0" borderId="0" xfId="0" applyFont="1" applyFill="1"/>
    <xf numFmtId="0" fontId="36" fillId="0" borderId="0" xfId="0" applyFont="1" applyFill="1" applyAlignment="1">
      <alignment horizontal="center"/>
    </xf>
    <xf numFmtId="0" fontId="56" fillId="0" borderId="0" xfId="0" applyFont="1" applyFill="1"/>
    <xf numFmtId="0" fontId="4" fillId="10" borderId="0" xfId="0" applyFont="1" applyFill="1" applyAlignment="1">
      <alignment vertical="center"/>
    </xf>
    <xf numFmtId="0" fontId="27" fillId="0" borderId="0" xfId="0" applyFont="1" applyFill="1" applyAlignment="1">
      <alignment horizontal="left" vertical="center"/>
    </xf>
    <xf numFmtId="0" fontId="2" fillId="0" borderId="0" xfId="0" applyFont="1" applyFill="1" applyAlignment="1">
      <alignment horizontal="left" vertical="center"/>
    </xf>
    <xf numFmtId="0" fontId="28" fillId="0" borderId="0" xfId="0" applyFont="1" applyFill="1" applyAlignment="1">
      <alignment horizontal="left" vertical="center"/>
    </xf>
    <xf numFmtId="0" fontId="40" fillId="10" borderId="0" xfId="0" applyFont="1" applyFill="1" applyAlignment="1">
      <alignment vertical="center"/>
    </xf>
    <xf numFmtId="0" fontId="50" fillId="0" borderId="0" xfId="0" applyFont="1" applyAlignment="1">
      <alignment vertical="center"/>
    </xf>
    <xf numFmtId="0" fontId="4" fillId="0" borderId="0" xfId="0" applyFont="1" applyFill="1" applyAlignment="1">
      <alignment vertical="center"/>
    </xf>
    <xf numFmtId="0" fontId="57" fillId="0" borderId="0" xfId="0" applyFont="1" applyFill="1"/>
    <xf numFmtId="164" fontId="18" fillId="0" borderId="0" xfId="0" applyNumberFormat="1" applyFont="1" applyAlignment="1">
      <alignment vertical="center"/>
    </xf>
    <xf numFmtId="0" fontId="29" fillId="0" borderId="0" xfId="0" applyFont="1" applyAlignment="1">
      <alignment horizontal="center" vertical="center"/>
    </xf>
    <xf numFmtId="0" fontId="58" fillId="8" borderId="0" xfId="0" applyFont="1" applyFill="1" applyAlignment="1">
      <alignment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left"/>
    </xf>
    <xf numFmtId="0" fontId="15" fillId="0" borderId="0" xfId="0" applyFont="1" applyFill="1" applyAlignment="1">
      <alignment vertical="center"/>
    </xf>
    <xf numFmtId="0" fontId="6" fillId="2" borderId="0" xfId="0" applyFont="1" applyFill="1" applyAlignment="1">
      <alignment horizontal="center" vertical="center" textRotation="90" wrapText="1"/>
    </xf>
    <xf numFmtId="164" fontId="41" fillId="0" borderId="0" xfId="0" applyNumberFormat="1" applyFont="1" applyFill="1"/>
    <xf numFmtId="0" fontId="15" fillId="0" borderId="0" xfId="0" applyFont="1" applyAlignment="1">
      <alignment horizontal="left" vertical="center"/>
    </xf>
    <xf numFmtId="0" fontId="0" fillId="0" borderId="0" xfId="0" applyAlignment="1">
      <alignment horizontal="center"/>
    </xf>
    <xf numFmtId="0" fontId="61" fillId="9" borderId="0" xfId="0" applyFont="1" applyFill="1" applyAlignment="1">
      <alignment vertical="center"/>
    </xf>
    <xf numFmtId="0" fontId="60" fillId="9" borderId="0" xfId="0" applyFont="1" applyFill="1" applyAlignment="1">
      <alignment vertical="center"/>
    </xf>
    <xf numFmtId="0" fontId="62" fillId="9" borderId="0" xfId="0" applyFont="1" applyFill="1" applyAlignment="1">
      <alignment vertical="center"/>
    </xf>
    <xf numFmtId="0" fontId="27" fillId="0" borderId="0" xfId="0" applyFont="1" applyFill="1" applyAlignment="1">
      <alignment horizontal="center" vertical="center"/>
    </xf>
    <xf numFmtId="0" fontId="61" fillId="11" borderId="0" xfId="0" applyFont="1" applyFill="1" applyAlignment="1">
      <alignment vertical="center"/>
    </xf>
    <xf numFmtId="0" fontId="60" fillId="11" borderId="0" xfId="0" applyFont="1" applyFill="1" applyAlignment="1">
      <alignment vertical="center"/>
    </xf>
    <xf numFmtId="0" fontId="62" fillId="11" borderId="0" xfId="0" applyFont="1" applyFill="1" applyAlignment="1">
      <alignment vertical="center"/>
    </xf>
    <xf numFmtId="0" fontId="58" fillId="0" borderId="0" xfId="0" applyFont="1" applyAlignment="1">
      <alignment vertical="center"/>
    </xf>
    <xf numFmtId="0" fontId="58" fillId="12" borderId="0" xfId="0" applyFont="1" applyFill="1" applyAlignment="1">
      <alignment vertical="center"/>
    </xf>
    <xf numFmtId="0" fontId="4" fillId="12" borderId="0" xfId="0" applyFont="1" applyFill="1" applyAlignment="1">
      <alignment vertical="center"/>
    </xf>
    <xf numFmtId="0" fontId="63" fillId="0" borderId="0" xfId="0" applyFont="1" applyAlignment="1">
      <alignment vertical="center"/>
    </xf>
    <xf numFmtId="0" fontId="52" fillId="0" borderId="0" xfId="0" applyFont="1" applyAlignment="1">
      <alignment vertical="center"/>
    </xf>
    <xf numFmtId="0" fontId="64" fillId="11" borderId="0" xfId="0" applyFont="1" applyFill="1" applyAlignment="1">
      <alignment vertical="center"/>
    </xf>
    <xf numFmtId="0" fontId="38" fillId="0" borderId="0" xfId="0" applyFont="1" applyFill="1"/>
    <xf numFmtId="0" fontId="28" fillId="10" borderId="0" xfId="0" applyFont="1" applyFill="1" applyAlignment="1">
      <alignment vertical="center"/>
    </xf>
    <xf numFmtId="0" fontId="59" fillId="10" borderId="0" xfId="0" applyFont="1" applyFill="1" applyAlignment="1">
      <alignment vertical="center"/>
    </xf>
    <xf numFmtId="164" fontId="28" fillId="10" borderId="0" xfId="0" applyNumberFormat="1" applyFont="1" applyFill="1" applyAlignment="1">
      <alignment vertical="center"/>
    </xf>
    <xf numFmtId="0" fontId="27" fillId="10" borderId="0" xfId="0" applyFont="1" applyFill="1" applyAlignment="1">
      <alignment horizontal="center" vertical="center"/>
    </xf>
    <xf numFmtId="0" fontId="15" fillId="10" borderId="0" xfId="0" applyFont="1" applyFill="1"/>
    <xf numFmtId="0" fontId="15" fillId="10" borderId="0" xfId="0" applyFont="1" applyFill="1" applyAlignment="1">
      <alignment vertical="center"/>
    </xf>
    <xf numFmtId="164" fontId="15" fillId="10" borderId="0" xfId="0" applyNumberFormat="1" applyFont="1" applyFill="1" applyAlignment="1">
      <alignment vertical="center"/>
    </xf>
    <xf numFmtId="0" fontId="18" fillId="10" borderId="0" xfId="0" applyFont="1" applyFill="1"/>
    <xf numFmtId="0" fontId="2" fillId="10" borderId="0" xfId="0" applyFont="1" applyFill="1" applyAlignment="1">
      <alignment vertical="center"/>
    </xf>
    <xf numFmtId="0" fontId="2" fillId="0" borderId="0" xfId="0" applyFont="1" applyFill="1" applyAlignment="1">
      <alignment vertical="center"/>
    </xf>
    <xf numFmtId="164" fontId="2" fillId="10" borderId="0" xfId="0" applyNumberFormat="1" applyFont="1" applyFill="1" applyAlignment="1">
      <alignment vertical="center"/>
    </xf>
    <xf numFmtId="0" fontId="18" fillId="0" borderId="0" xfId="0" applyFont="1" applyAlignment="1">
      <alignment horizontal="center" vertical="center"/>
    </xf>
    <xf numFmtId="1" fontId="2" fillId="0" borderId="0" xfId="0" applyNumberFormat="1" applyFont="1" applyAlignment="1">
      <alignment vertical="center"/>
    </xf>
    <xf numFmtId="0" fontId="4" fillId="13" borderId="0" xfId="0" applyFont="1" applyFill="1" applyAlignment="1">
      <alignment vertical="center"/>
    </xf>
    <xf numFmtId="0" fontId="2" fillId="0" borderId="0" xfId="0" applyNumberFormat="1" applyFont="1" applyAlignment="1">
      <alignment vertical="center"/>
    </xf>
    <xf numFmtId="0" fontId="1" fillId="0" borderId="0" xfId="0" applyFont="1" applyAlignment="1">
      <alignment horizontal="left"/>
    </xf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27" fillId="0" borderId="0" xfId="0" applyFont="1" applyAlignment="1">
      <alignment horizontal="left" vertical="center" wrapText="1"/>
    </xf>
    <xf numFmtId="0" fontId="27" fillId="0" borderId="0" xfId="0" applyFont="1" applyAlignment="1">
      <alignment horizontal="right" vertical="top" wrapText="1"/>
    </xf>
    <xf numFmtId="0" fontId="65" fillId="0" borderId="0" xfId="0" applyFont="1" applyAlignment="1">
      <alignment horizontal="center" vertical="center"/>
    </xf>
    <xf numFmtId="0" fontId="66" fillId="0" borderId="0" xfId="0" applyFont="1" applyAlignment="1">
      <alignment horizontal="center" vertical="center"/>
    </xf>
    <xf numFmtId="0" fontId="65" fillId="2" borderId="0" xfId="0" applyFont="1" applyFill="1" applyAlignment="1">
      <alignment vertical="center" textRotation="90" wrapText="1"/>
    </xf>
    <xf numFmtId="0" fontId="67" fillId="0" borderId="0" xfId="0" applyFont="1" applyAlignment="1">
      <alignment horizontal="left" vertical="center"/>
    </xf>
    <xf numFmtId="0" fontId="67" fillId="0" borderId="0" xfId="0" applyFont="1" applyAlignment="1">
      <alignment vertical="center"/>
    </xf>
    <xf numFmtId="0" fontId="68" fillId="0" borderId="0" xfId="0" applyFont="1" applyAlignment="1">
      <alignment horizontal="center" vertical="center"/>
    </xf>
    <xf numFmtId="0" fontId="67" fillId="0" borderId="0" xfId="0" applyFont="1" applyAlignment="1">
      <alignment horizontal="center" vertical="center"/>
    </xf>
    <xf numFmtId="0" fontId="69" fillId="0" borderId="0" xfId="0" applyFont="1" applyAlignment="1">
      <alignment vertical="center"/>
    </xf>
    <xf numFmtId="0" fontId="70" fillId="0" borderId="0" xfId="0" applyFont="1" applyAlignment="1">
      <alignment vertical="center"/>
    </xf>
    <xf numFmtId="164" fontId="69" fillId="0" borderId="0" xfId="0" applyNumberFormat="1" applyFont="1" applyAlignment="1">
      <alignment vertical="center"/>
    </xf>
    <xf numFmtId="0" fontId="71" fillId="0" borderId="0" xfId="0" applyFont="1" applyAlignment="1">
      <alignment horizontal="center" vertical="center"/>
    </xf>
    <xf numFmtId="0" fontId="69" fillId="0" borderId="0" xfId="0" applyFont="1" applyAlignment="1">
      <alignment horizontal="center" vertical="center"/>
    </xf>
    <xf numFmtId="0" fontId="72" fillId="0" borderId="0" xfId="0" applyFont="1" applyAlignment="1">
      <alignment horizontal="center" vertical="center"/>
    </xf>
    <xf numFmtId="0" fontId="72" fillId="0" borderId="2" xfId="0" applyFont="1" applyBorder="1" applyAlignment="1">
      <alignment horizontal="center" vertical="center"/>
    </xf>
    <xf numFmtId="0" fontId="73" fillId="0" borderId="0" xfId="0" applyFont="1" applyAlignment="1">
      <alignment horizontal="center" vertical="center"/>
    </xf>
    <xf numFmtId="0" fontId="72" fillId="0" borderId="0" xfId="0" applyFont="1" applyAlignment="1">
      <alignment horizontal="left" vertical="center"/>
    </xf>
    <xf numFmtId="0" fontId="72" fillId="0" borderId="0" xfId="0" applyFont="1" applyAlignment="1">
      <alignment vertical="center"/>
    </xf>
    <xf numFmtId="0" fontId="69" fillId="0" borderId="0" xfId="0" applyFont="1" applyFill="1"/>
    <xf numFmtId="0" fontId="72" fillId="0" borderId="0" xfId="0" applyFont="1" applyFill="1"/>
    <xf numFmtId="0" fontId="67" fillId="0" borderId="0" xfId="0" applyFont="1" applyFill="1" applyAlignment="1">
      <alignment horizontal="center"/>
    </xf>
    <xf numFmtId="0" fontId="71" fillId="0" borderId="0" xfId="0" applyFont="1" applyFill="1" applyAlignment="1">
      <alignment horizontal="center"/>
    </xf>
    <xf numFmtId="0" fontId="71" fillId="0" borderId="0" xfId="0" applyFont="1" applyFill="1"/>
    <xf numFmtId="0" fontId="67" fillId="0" borderId="0" xfId="0" applyFont="1" applyFill="1"/>
    <xf numFmtId="0" fontId="74" fillId="0" borderId="0" xfId="0" applyFont="1" applyFill="1"/>
    <xf numFmtId="0" fontId="72" fillId="0" borderId="0" xfId="0" applyFont="1" applyFill="1" applyAlignment="1">
      <alignment horizontal="center"/>
    </xf>
    <xf numFmtId="0" fontId="74" fillId="0" borderId="0" xfId="0" applyFont="1" applyAlignment="1">
      <alignment vertical="center"/>
    </xf>
    <xf numFmtId="164" fontId="72" fillId="0" borderId="0" xfId="0" applyNumberFormat="1" applyFont="1" applyAlignment="1">
      <alignment vertical="center"/>
    </xf>
    <xf numFmtId="0" fontId="69" fillId="0" borderId="0" xfId="0" applyFont="1" applyFill="1" applyAlignment="1">
      <alignment horizontal="center"/>
    </xf>
    <xf numFmtId="0" fontId="70" fillId="0" borderId="0" xfId="0" applyFont="1" applyFill="1"/>
    <xf numFmtId="0" fontId="69" fillId="0" borderId="0" xfId="0" applyFont="1"/>
    <xf numFmtId="0" fontId="72" fillId="0" borderId="0" xfId="0" applyFont="1"/>
    <xf numFmtId="0" fontId="74" fillId="0" borderId="0" xfId="0" applyFont="1" applyFill="1" applyAlignment="1">
      <alignment vertical="center"/>
    </xf>
    <xf numFmtId="0" fontId="69" fillId="0" borderId="0" xfId="0" applyFont="1" applyFill="1" applyAlignment="1">
      <alignment vertical="center"/>
    </xf>
    <xf numFmtId="0" fontId="70" fillId="0" borderId="0" xfId="0" applyFont="1" applyFill="1" applyAlignment="1">
      <alignment vertical="center"/>
    </xf>
    <xf numFmtId="0" fontId="72" fillId="9" borderId="0" xfId="0" applyFont="1" applyFill="1" applyAlignment="1">
      <alignment vertical="center"/>
    </xf>
    <xf numFmtId="0" fontId="75" fillId="9" borderId="0" xfId="0" applyFont="1" applyFill="1" applyAlignment="1">
      <alignment vertical="center"/>
    </xf>
    <xf numFmtId="0" fontId="67" fillId="9" borderId="0" xfId="0" applyFont="1" applyFill="1" applyAlignment="1">
      <alignment vertical="center"/>
    </xf>
    <xf numFmtId="0" fontId="71" fillId="0" borderId="0" xfId="0" applyFont="1" applyAlignment="1">
      <alignment horizontal="left" vertical="center"/>
    </xf>
    <xf numFmtId="0" fontId="76" fillId="0" borderId="0" xfId="0" applyFont="1" applyAlignment="1">
      <alignment horizontal="center" vertical="center"/>
    </xf>
    <xf numFmtId="0" fontId="75" fillId="0" borderId="0" xfId="0" applyFont="1" applyFill="1"/>
    <xf numFmtId="0" fontId="75" fillId="0" borderId="0" xfId="0" applyFont="1" applyAlignment="1">
      <alignment vertical="center"/>
    </xf>
    <xf numFmtId="0" fontId="74" fillId="12" borderId="0" xfId="0" applyFont="1" applyFill="1" applyAlignment="1">
      <alignment vertical="center"/>
    </xf>
    <xf numFmtId="0" fontId="68" fillId="0" borderId="0" xfId="0" applyFont="1" applyFill="1" applyAlignment="1">
      <alignment horizontal="center" vertical="center"/>
    </xf>
    <xf numFmtId="0" fontId="14" fillId="0" borderId="0" xfId="0" applyFont="1" applyFill="1"/>
    <xf numFmtId="0" fontId="72" fillId="0" borderId="0" xfId="0" applyFont="1" applyAlignment="1">
      <alignment wrapText="1"/>
    </xf>
    <xf numFmtId="0" fontId="77" fillId="0" borderId="0" xfId="0" applyFont="1" applyAlignment="1">
      <alignment horizontal="center" vertical="center"/>
    </xf>
    <xf numFmtId="0" fontId="78" fillId="0" borderId="0" xfId="0" applyFont="1" applyAlignment="1">
      <alignment horizontal="center" vertical="center"/>
    </xf>
    <xf numFmtId="0" fontId="77" fillId="0" borderId="1" xfId="0" applyFont="1" applyBorder="1" applyAlignment="1">
      <alignment vertical="center"/>
    </xf>
    <xf numFmtId="0" fontId="77" fillId="0" borderId="0" xfId="0" applyFont="1" applyAlignment="1">
      <alignment vertical="center"/>
    </xf>
    <xf numFmtId="0" fontId="79" fillId="0" borderId="0" xfId="0" applyFont="1" applyAlignment="1">
      <alignment horizontal="center" vertical="center"/>
    </xf>
    <xf numFmtId="1" fontId="18" fillId="0" borderId="0" xfId="0" applyNumberFormat="1" applyFont="1" applyAlignment="1">
      <alignment vertical="center"/>
    </xf>
    <xf numFmtId="164" fontId="2" fillId="0" borderId="0" xfId="0" applyNumberFormat="1" applyFont="1" applyFill="1" applyAlignment="1">
      <alignment vertical="center"/>
    </xf>
    <xf numFmtId="164" fontId="69" fillId="0" borderId="0" xfId="0" applyNumberFormat="1" applyFont="1" applyFill="1" applyAlignment="1">
      <alignment vertical="center"/>
    </xf>
    <xf numFmtId="0" fontId="72" fillId="0" borderId="0" xfId="0" applyFont="1" applyFill="1" applyAlignment="1">
      <alignment vertical="center"/>
    </xf>
    <xf numFmtId="1" fontId="2" fillId="0" borderId="0" xfId="0" applyNumberFormat="1" applyFont="1" applyFill="1" applyAlignment="1">
      <alignment vertical="center"/>
    </xf>
    <xf numFmtId="164" fontId="72" fillId="0" borderId="0" xfId="0" applyNumberFormat="1" applyFont="1" applyFill="1" applyAlignment="1">
      <alignment vertical="center"/>
    </xf>
    <xf numFmtId="0" fontId="43" fillId="0" borderId="0" xfId="0" applyFont="1" applyFill="1" applyAlignment="1">
      <alignment vertical="center"/>
    </xf>
    <xf numFmtId="0" fontId="40" fillId="9" borderId="0" xfId="0" applyFont="1" applyFill="1" applyAlignment="1">
      <alignment vertical="center"/>
    </xf>
    <xf numFmtId="0" fontId="58" fillId="9" borderId="0" xfId="0" applyFont="1" applyFill="1" applyAlignment="1">
      <alignment vertical="center"/>
    </xf>
    <xf numFmtId="0" fontId="80" fillId="9" borderId="0" xfId="0" applyFont="1" applyFill="1" applyAlignment="1">
      <alignment vertical="center"/>
    </xf>
    <xf numFmtId="164" fontId="45" fillId="0" borderId="0" xfId="0" applyNumberFormat="1" applyFont="1" applyAlignment="1">
      <alignment vertical="center"/>
    </xf>
    <xf numFmtId="0" fontId="81" fillId="0" borderId="0" xfId="0" applyFont="1"/>
    <xf numFmtId="165" fontId="2" fillId="0" borderId="0" xfId="0" applyNumberFormat="1" applyFont="1"/>
    <xf numFmtId="0" fontId="82" fillId="0" borderId="0" xfId="0" applyFont="1"/>
    <xf numFmtId="0" fontId="55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2" fillId="0" borderId="0" xfId="0" applyFont="1" applyAlignment="1">
      <alignment horizontal="left"/>
    </xf>
    <xf numFmtId="49" fontId="2" fillId="0" borderId="0" xfId="0" applyNumberFormat="1" applyFont="1" applyAlignment="1">
      <alignment horizontal="left"/>
    </xf>
    <xf numFmtId="14" fontId="2" fillId="0" borderId="0" xfId="0" applyNumberFormat="1" applyFont="1" applyAlignment="1">
      <alignment horizontal="left"/>
    </xf>
    <xf numFmtId="0" fontId="9" fillId="0" borderId="2" xfId="0" applyFont="1" applyBorder="1" applyAlignment="1">
      <alignment horizontal="left" vertical="center" indent="1"/>
    </xf>
    <xf numFmtId="0" fontId="1" fillId="2" borderId="0" xfId="0" applyFont="1" applyFill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2" fillId="0" borderId="9" xfId="0" applyFont="1" applyBorder="1" applyAlignment="1">
      <alignment horizontal="center" vertical="center"/>
    </xf>
    <xf numFmtId="0" fontId="22" fillId="0" borderId="10" xfId="0" applyFont="1" applyBorder="1" applyAlignment="1">
      <alignment horizontal="center" vertical="center"/>
    </xf>
  </cellXfs>
  <cellStyles count="1">
    <cellStyle name="Standard" xfId="0" builtinId="0"/>
  </cellStyles>
  <dxfs count="4">
    <dxf>
      <fill>
        <patternFill>
          <bgColor indexed="44"/>
        </patternFill>
      </fill>
    </dxf>
    <dxf>
      <fill>
        <patternFill>
          <bgColor indexed="43"/>
        </patternFill>
      </fill>
    </dxf>
    <dxf>
      <fill>
        <patternFill>
          <bgColor indexed="44"/>
        </patternFill>
      </fill>
    </dxf>
    <dxf>
      <fill>
        <patternFill>
          <bgColor indexed="43"/>
        </patternFill>
      </fill>
    </dxf>
  </dxfs>
  <tableStyles count="0" defaultTableStyle="TableStyleMedium2" defaultPivotStyle="PivotStyleLight16"/>
  <colors>
    <mruColors>
      <color rgb="FFFF7D7D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e+f\Projekte\GDL\Develop\Dorma\BIM-all-doors\develop\10%20BAD%20access_control\BAD10.parameters\BAD-ACCESS_CONTROL-Parameterverwaltung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e+f\Projekte\GDL\Develop\Dorma\ExtendableComponentDoor\automation_dorma.project\dorma_automation.parameters\ECD-DORMA_AUTO-Parameterverwaltung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PROJECT SETTINGS"/>
      <sheetName val="PARAMETERS"/>
      <sheetName val="DEFAULT"/>
      <sheetName val="VALUES"/>
      <sheetName val="TEXT"/>
      <sheetName val="base"/>
      <sheetName val="SORT IMPORT"/>
      <sheetName val="RAW IMPORT"/>
    </sheetNames>
    <sheetDataSet>
      <sheetData sheetId="0"/>
      <sheetData sheetId="1"/>
      <sheetData sheetId="2">
        <row r="5">
          <cell r="B5" t="str">
            <v>ifc_DoorPanel</v>
          </cell>
          <cell r="F5" t="str">
            <v>bs_hinge2_distance</v>
          </cell>
          <cell r="H5" t="str">
            <v>abmess</v>
          </cell>
          <cell r="L5" t="str">
            <v>empty</v>
          </cell>
          <cell r="M5" t="str">
            <v>empty</v>
          </cell>
          <cell r="N5" t="str">
            <v>empty</v>
          </cell>
          <cell r="O5" t="str">
            <v>empty</v>
          </cell>
          <cell r="P5" t="str">
            <v>empty</v>
          </cell>
          <cell r="Q5" t="str">
            <v>empty</v>
          </cell>
          <cell r="R5" t="str">
            <v>empty</v>
          </cell>
          <cell r="S5" t="str">
            <v>empty</v>
          </cell>
          <cell r="T5" t="str">
            <v>empty</v>
          </cell>
          <cell r="U5" t="str">
            <v>empty</v>
          </cell>
          <cell r="V5" t="str">
            <v>empty</v>
          </cell>
          <cell r="W5" t="str">
            <v>empty</v>
          </cell>
          <cell r="X5" t="str">
            <v>empty</v>
          </cell>
          <cell r="Y5" t="str">
            <v>empty</v>
          </cell>
          <cell r="Z5" t="str">
            <v>empty</v>
          </cell>
          <cell r="AA5" t="str">
            <v>empty</v>
          </cell>
          <cell r="AB5" t="str">
            <v>empty</v>
          </cell>
          <cell r="AC5" t="str">
            <v>empty</v>
          </cell>
          <cell r="AD5" t="str">
            <v>empty</v>
          </cell>
          <cell r="AE5" t="str">
            <v>empty</v>
          </cell>
          <cell r="AF5" t="str">
            <v>empty</v>
          </cell>
          <cell r="AG5" t="str">
            <v>empty</v>
          </cell>
          <cell r="AH5" t="str">
            <v>empty</v>
          </cell>
          <cell r="AI5" t="str">
            <v>empty</v>
          </cell>
          <cell r="AJ5" t="str">
            <v>empty</v>
          </cell>
          <cell r="AK5" t="str">
            <v>empty</v>
          </cell>
          <cell r="AL5" t="str">
            <v>empty</v>
          </cell>
          <cell r="AM5" t="str">
            <v>empty</v>
          </cell>
          <cell r="AN5" t="str">
            <v>empty</v>
          </cell>
          <cell r="AO5" t="str">
            <v>empty</v>
          </cell>
          <cell r="AP5" t="str">
            <v>empty</v>
          </cell>
          <cell r="AQ5" t="str">
            <v>empty</v>
          </cell>
          <cell r="AR5" t="str">
            <v>empty</v>
          </cell>
          <cell r="AS5" t="str">
            <v>empty</v>
          </cell>
          <cell r="AT5" t="str">
            <v>empty</v>
          </cell>
          <cell r="AU5" t="str">
            <v>empty</v>
          </cell>
          <cell r="AV5" t="str">
            <v>empty</v>
          </cell>
          <cell r="AW5" t="str">
            <v>empty</v>
          </cell>
          <cell r="AX5" t="str">
            <v>empty</v>
          </cell>
          <cell r="AY5" t="str">
            <v>empty</v>
          </cell>
          <cell r="AZ5" t="str">
            <v>empty</v>
          </cell>
          <cell r="BA5" t="str">
            <v>empty</v>
          </cell>
          <cell r="BB5" t="str">
            <v>empty</v>
          </cell>
          <cell r="BC5" t="str">
            <v>dk_panel_division</v>
          </cell>
          <cell r="BE5" t="str">
            <v>dk_panel_division2</v>
          </cell>
          <cell r="BG5" t="str">
            <v>dk_panel_bar</v>
          </cell>
          <cell r="BI5" t="str">
            <v>dk_panel_bar2</v>
          </cell>
          <cell r="BK5" t="str">
            <v>dk_panel_filling</v>
          </cell>
          <cell r="BL5" t="str">
            <v>dk_panel_filling2</v>
          </cell>
          <cell r="BM5" t="str">
            <v>dk_panel_filling_thk</v>
          </cell>
          <cell r="BN5" t="str">
            <v>dk_panel_filling_thk2</v>
          </cell>
          <cell r="BO5" t="str">
            <v>dk_folding_dimensions</v>
          </cell>
          <cell r="BQ5" t="str">
            <v>[indexname]</v>
          </cell>
          <cell r="BR5" t="str">
            <v>dk_panel_folding_dimensions</v>
          </cell>
          <cell r="BT5" t="str">
            <v>[indexname]</v>
          </cell>
          <cell r="BU5" t="str">
            <v>dk_open_leaf</v>
          </cell>
          <cell r="BV5" t="str">
            <v>[indexname]</v>
          </cell>
          <cell r="BW5" t="str">
            <v>stored_material</v>
          </cell>
          <cell r="BX5" t="str">
            <v>dk_cont_pens</v>
          </cell>
          <cell r="BY5" t="str">
            <v>[indexname]</v>
          </cell>
          <cell r="BZ5" t="str">
            <v>dk_fill_pens</v>
          </cell>
          <cell r="CA5" t="str">
            <v>[indexname]</v>
          </cell>
          <cell r="CB5" t="str">
            <v>dk_bkg_pens</v>
          </cell>
          <cell r="CC5" t="str">
            <v>[indexname]</v>
          </cell>
          <cell r="CD5" t="str">
            <v>dk_fills</v>
          </cell>
          <cell r="CE5" t="str">
            <v>[indexname]</v>
          </cell>
          <cell r="CF5" t="str">
            <v>dk_linetype</v>
          </cell>
          <cell r="CG5" t="str">
            <v>[indexname]</v>
          </cell>
          <cell r="CH5" t="str">
            <v>dk_materials</v>
          </cell>
          <cell r="CI5" t="str">
            <v>[indexname]</v>
          </cell>
        </row>
      </sheetData>
      <sheetData sheetId="3">
        <row r="1">
          <cell r="B1" t="str">
            <v>- |   | M | S | K | C | F | B | ...</v>
          </cell>
          <cell r="C1" t="str">
            <v/>
          </cell>
          <cell r="D1" t="str">
            <v xml:space="preserve">  | ST | ES | AL | XX</v>
          </cell>
          <cell r="E1" t="str">
            <v/>
          </cell>
          <cell r="F1" t="str">
            <v xml:space="preserve">  | - | B | S | T | P | N | L | ...</v>
          </cell>
          <cell r="G1" t="str">
            <v/>
          </cell>
          <cell r="H1" t="str">
            <v>- | ZS | BS | BGS</v>
          </cell>
          <cell r="I1" t="str">
            <v/>
          </cell>
          <cell r="J1" t="str">
            <v>c-lever compact | c-lever 29x4 | c-lever 29x5 | c-lever pro HAC | c-lever pro HBC</v>
          </cell>
          <cell r="K1" t="str">
            <v/>
          </cell>
          <cell r="L1" t="str">
            <v/>
          </cell>
          <cell r="M1" t="str">
            <v/>
          </cell>
          <cell r="N1" t="str">
            <v/>
          </cell>
          <cell r="O1" t="str">
            <v/>
          </cell>
          <cell r="P1" t="str">
            <v/>
          </cell>
          <cell r="Q1" t="str">
            <v/>
          </cell>
          <cell r="R1" t="str">
            <v/>
          </cell>
          <cell r="S1" t="str">
            <v/>
          </cell>
          <cell r="T1" t="str">
            <v/>
          </cell>
          <cell r="U1" t="str">
            <v/>
          </cell>
          <cell r="V1" t="str">
            <v/>
          </cell>
          <cell r="W1" t="str">
            <v/>
          </cell>
          <cell r="X1" t="str">
            <v/>
          </cell>
          <cell r="Y1" t="str">
            <v/>
          </cell>
          <cell r="Z1" t="str">
            <v/>
          </cell>
          <cell r="AA1" t="str">
            <v/>
          </cell>
          <cell r="AB1" t="str">
            <v/>
          </cell>
          <cell r="AC1" t="str">
            <v/>
          </cell>
          <cell r="AD1" t="str">
            <v/>
          </cell>
          <cell r="AE1" t="str">
            <v/>
          </cell>
          <cell r="AF1" t="str">
            <v/>
          </cell>
          <cell r="AG1" t="str">
            <v/>
          </cell>
          <cell r="AH1" t="str">
            <v/>
          </cell>
          <cell r="AI1" t="str">
            <v/>
          </cell>
          <cell r="AJ1" t="str">
            <v/>
          </cell>
          <cell r="AK1" t="str">
            <v/>
          </cell>
          <cell r="AL1" t="str">
            <v/>
          </cell>
          <cell r="AM1" t="str">
            <v/>
          </cell>
          <cell r="AN1" t="str">
            <v/>
          </cell>
          <cell r="AO1" t="str">
            <v/>
          </cell>
          <cell r="AP1" t="str">
            <v/>
          </cell>
          <cell r="AQ1" t="str">
            <v/>
          </cell>
          <cell r="AR1" t="str">
            <v/>
          </cell>
          <cell r="AS1" t="str">
            <v/>
          </cell>
          <cell r="AT1" t="str">
            <v/>
          </cell>
          <cell r="AU1" t="str">
            <v/>
          </cell>
          <cell r="AV1" t="str">
            <v/>
          </cell>
          <cell r="AW1" t="str">
            <v/>
          </cell>
          <cell r="AX1" t="str">
            <v/>
          </cell>
          <cell r="AY1" t="str">
            <v/>
          </cell>
          <cell r="AZ1" t="str">
            <v/>
          </cell>
          <cell r="BA1" t="str">
            <v/>
          </cell>
          <cell r="BB1" t="str">
            <v/>
          </cell>
          <cell r="BC1" t="str">
            <v/>
          </cell>
          <cell r="BD1" t="str">
            <v/>
          </cell>
          <cell r="BE1" t="str">
            <v/>
          </cell>
          <cell r="BF1" t="str">
            <v>0 | 1 | 2 | 3 | 4 | 5 | 6 | 7 | ...</v>
          </cell>
        </row>
      </sheetData>
      <sheetData sheetId="4"/>
      <sheetData sheetId="5">
        <row r="2">
          <cell r="B2" t="str">
            <v>String</v>
          </cell>
          <cell r="C2" t="str">
            <v>String</v>
          </cell>
          <cell r="D2" t="str">
            <v>S</v>
          </cell>
        </row>
        <row r="3">
          <cell r="B3" t="str">
            <v>Length</v>
          </cell>
          <cell r="C3" t="str">
            <v>Length</v>
          </cell>
          <cell r="D3">
            <v>2</v>
          </cell>
        </row>
        <row r="4">
          <cell r="B4" t="str">
            <v>Angle</v>
          </cell>
          <cell r="C4" t="str">
            <v>Angle</v>
          </cell>
          <cell r="D4">
            <v>2</v>
          </cell>
        </row>
        <row r="5">
          <cell r="B5" t="str">
            <v>RealNum</v>
          </cell>
          <cell r="C5" t="str">
            <v>RealNum</v>
          </cell>
          <cell r="D5">
            <v>2</v>
          </cell>
        </row>
        <row r="6">
          <cell r="B6" t="str">
            <v>ColorRGB</v>
          </cell>
          <cell r="C6" t="str">
            <v>ColorRGB</v>
          </cell>
          <cell r="D6">
            <v>2</v>
          </cell>
        </row>
        <row r="7">
          <cell r="B7" t="str">
            <v>Integer</v>
          </cell>
          <cell r="C7" t="str">
            <v>Integer</v>
          </cell>
          <cell r="D7">
            <v>1</v>
          </cell>
        </row>
        <row r="8">
          <cell r="B8" t="str">
            <v>Boolean</v>
          </cell>
          <cell r="C8" t="str">
            <v>Boolean</v>
          </cell>
          <cell r="D8">
            <v>1</v>
          </cell>
        </row>
        <row r="9">
          <cell r="B9" t="str">
            <v>Material</v>
          </cell>
          <cell r="C9" t="str">
            <v>Material</v>
          </cell>
          <cell r="D9">
            <v>1</v>
          </cell>
        </row>
        <row r="10">
          <cell r="B10" t="str">
            <v>LineType</v>
          </cell>
          <cell r="C10" t="str">
            <v>LineType</v>
          </cell>
          <cell r="D10">
            <v>1</v>
          </cell>
        </row>
        <row r="11">
          <cell r="B11" t="str">
            <v>FillPattern</v>
          </cell>
          <cell r="C11" t="str">
            <v>FillPattern</v>
          </cell>
          <cell r="D11">
            <v>1</v>
          </cell>
        </row>
        <row r="12">
          <cell r="B12" t="str">
            <v>PenColor</v>
          </cell>
          <cell r="C12" t="str">
            <v>PenColor</v>
          </cell>
          <cell r="D12">
            <v>1</v>
          </cell>
        </row>
        <row r="13">
          <cell r="B13" t="str">
            <v>BuildingMat</v>
          </cell>
          <cell r="C13" t="str">
            <v>BuildingMat</v>
          </cell>
          <cell r="D13">
            <v>1</v>
          </cell>
        </row>
        <row r="14">
          <cell r="B14" t="str">
            <v>Profile</v>
          </cell>
          <cell r="C14" t="str">
            <v>Profile</v>
          </cell>
          <cell r="D14">
            <v>1</v>
          </cell>
        </row>
        <row r="15">
          <cell r="B15" t="str">
            <v>LightSwitch</v>
          </cell>
          <cell r="C15" t="str">
            <v>LightSwitch</v>
          </cell>
          <cell r="D15">
            <v>1</v>
          </cell>
        </row>
        <row r="16">
          <cell r="B16" t="str">
            <v>Intensity</v>
          </cell>
          <cell r="C16" t="str">
            <v>Intensity</v>
          </cell>
          <cell r="D16">
            <v>1</v>
          </cell>
        </row>
        <row r="17">
          <cell r="B17" t="str">
            <v>Separator</v>
          </cell>
          <cell r="C17" t="str">
            <v>Separator</v>
          </cell>
        </row>
        <row r="18">
          <cell r="B18" t="str">
            <v>Title</v>
          </cell>
          <cell r="C18" t="str">
            <v>Title</v>
          </cell>
        </row>
        <row r="19">
          <cell r="B19" t="str">
            <v>Optionset</v>
          </cell>
        </row>
        <row r="20">
          <cell r="B20" t="str">
            <v>Itemlist</v>
          </cell>
        </row>
      </sheetData>
      <sheetData sheetId="6"/>
      <sheetData sheetId="7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PROJECT SETTINGS"/>
      <sheetName val="PARAMETERS"/>
      <sheetName val="DEFAULT"/>
      <sheetName val="VALUES"/>
      <sheetName val="TEXT"/>
      <sheetName val="XX_Properties.xml"/>
      <sheetName val="prePROP"/>
      <sheetName val="base"/>
      <sheetName val="SORT IMPORT"/>
      <sheetName val="IMPORT SCHLIESSERDATEN"/>
      <sheetName val="UPDATECHECK"/>
      <sheetName val="IMPORT AUFBEREITET"/>
      <sheetName val="COMPAR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>
        <row r="2">
          <cell r="H2" t="str">
            <v>A</v>
          </cell>
        </row>
        <row r="3">
          <cell r="H3" t="str">
            <v>B</v>
          </cell>
        </row>
      </sheetData>
    </sheetDataSet>
  </externalBook>
</externalLink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abelle1"/>
  <dimension ref="A1:G31"/>
  <sheetViews>
    <sheetView zoomScaleNormal="100" workbookViewId="0">
      <selection activeCell="B8" sqref="B8:C8"/>
    </sheetView>
  </sheetViews>
  <sheetFormatPr baseColWidth="10" defaultColWidth="11.42578125" defaultRowHeight="24.75" customHeight="1"/>
  <cols>
    <col min="1" max="1" width="23" style="3" customWidth="1"/>
    <col min="2" max="2" width="2.7109375" style="2" customWidth="1"/>
    <col min="3" max="3" width="64.7109375" style="3" customWidth="1"/>
    <col min="4" max="4" width="25.7109375" style="3" customWidth="1"/>
    <col min="5" max="5" width="3.28515625" style="3" customWidth="1"/>
    <col min="6" max="6" width="74.42578125" style="3" customWidth="1"/>
    <col min="7" max="7" width="17" style="3" customWidth="1"/>
    <col min="8" max="16384" width="11.42578125" style="3"/>
  </cols>
  <sheetData>
    <row r="1" spans="1:7" ht="24.75" customHeight="1">
      <c r="A1" s="1" t="s">
        <v>0</v>
      </c>
      <c r="B1" s="325" t="s">
        <v>4431</v>
      </c>
      <c r="C1" s="325"/>
      <c r="D1" s="4"/>
      <c r="E1" s="255"/>
      <c r="G1" s="4"/>
    </row>
    <row r="2" spans="1:7" ht="7.5" customHeight="1">
      <c r="A2" s="1"/>
      <c r="B2" s="257"/>
      <c r="D2" s="4"/>
      <c r="E2" s="64"/>
      <c r="G2" s="4"/>
    </row>
    <row r="3" spans="1:7" ht="22.5" customHeight="1">
      <c r="A3" s="1" t="s">
        <v>161</v>
      </c>
      <c r="B3" s="107" t="s">
        <v>4074</v>
      </c>
      <c r="C3" s="107"/>
      <c r="D3" s="107"/>
      <c r="E3" s="107"/>
      <c r="G3" s="107"/>
    </row>
    <row r="4" spans="1:7" ht="22.5" customHeight="1">
      <c r="A4" s="1" t="s">
        <v>1</v>
      </c>
      <c r="B4" s="326" t="s">
        <v>4485</v>
      </c>
      <c r="C4" s="326"/>
      <c r="D4" s="4"/>
      <c r="G4" s="4"/>
    </row>
    <row r="5" spans="1:7" ht="22.5" customHeight="1">
      <c r="A5" s="1" t="s">
        <v>99</v>
      </c>
      <c r="B5" s="327" t="s">
        <v>4486</v>
      </c>
      <c r="C5" s="327"/>
      <c r="D5" s="4"/>
      <c r="G5" s="4"/>
    </row>
    <row r="6" spans="1:7" ht="22.5" customHeight="1">
      <c r="A6" s="1" t="s">
        <v>2</v>
      </c>
      <c r="B6" s="328">
        <v>44187</v>
      </c>
      <c r="C6" s="328"/>
      <c r="D6" s="4"/>
      <c r="F6" s="322"/>
      <c r="G6" s="4"/>
    </row>
    <row r="7" spans="1:7" ht="22.5" customHeight="1">
      <c r="A7" s="1" t="s">
        <v>3</v>
      </c>
      <c r="B7" s="326">
        <v>21</v>
      </c>
      <c r="C7" s="326"/>
      <c r="D7" s="54"/>
      <c r="G7" s="54"/>
    </row>
    <row r="8" spans="1:7" ht="22.5" customHeight="1">
      <c r="A8" s="1" t="s">
        <v>4</v>
      </c>
      <c r="B8" s="326" t="str">
        <f>"max. "&amp;TEXT(ROWS(PARAMETERLISTE),"0")&amp;" (complete list)"</f>
        <v>max. 1604 (complete list)</v>
      </c>
      <c r="C8" s="326"/>
      <c r="D8" s="4" t="s">
        <v>5</v>
      </c>
      <c r="G8" s="4"/>
    </row>
    <row r="9" spans="1:7" ht="22.5" customHeight="1">
      <c r="A9" s="1"/>
      <c r="B9" s="326" t="str">
        <f>TEXT(COUNTIF(PARAMETERS!$A$2:$A$1605,"G"),"0")&amp;" (GDL) /  "&amp;TEXT(COUNTIF(PARAMETERS!$A$2:$A$1605,"P"),"0")&amp;" (Properties)"</f>
        <v>529 (GDL) /  45 (Properties)</v>
      </c>
      <c r="C9" s="326"/>
      <c r="D9" s="4"/>
      <c r="G9" s="4"/>
    </row>
    <row r="10" spans="1:7" ht="22.5" customHeight="1">
      <c r="A10" s="1" t="s">
        <v>7</v>
      </c>
      <c r="B10" s="326" t="str">
        <f>"for max. "&amp;TEXT(ROWS(VALUESLIST),"0")&amp;" parameters"</f>
        <v>for max. 92 parameters</v>
      </c>
      <c r="C10" s="326"/>
      <c r="D10" s="4" t="s">
        <v>6</v>
      </c>
      <c r="G10" s="4"/>
    </row>
    <row r="11" spans="1:7" ht="22.5" customHeight="1">
      <c r="A11" s="1" t="s">
        <v>8</v>
      </c>
      <c r="B11" s="326" t="str">
        <f>"max. "&amp;TEXT(ROWS(VALUESval),"0")&amp;" items for value list (per parameter)"</f>
        <v>max. 91 items for value list (per parameter)</v>
      </c>
      <c r="C11" s="326"/>
      <c r="D11" s="4" t="s">
        <v>5</v>
      </c>
      <c r="G11" s="4"/>
    </row>
    <row r="12" spans="1:7" ht="36" customHeight="1">
      <c r="A12" s="1"/>
    </row>
    <row r="13" spans="1:7" ht="16.5" customHeight="1">
      <c r="A13" s="1"/>
      <c r="C13" s="64" t="s">
        <v>156</v>
      </c>
      <c r="D13" s="64" t="s">
        <v>160</v>
      </c>
      <c r="F13" s="64" t="s">
        <v>155</v>
      </c>
      <c r="G13" s="64"/>
    </row>
    <row r="14" spans="1:7" ht="24" customHeight="1">
      <c r="A14" s="6" t="s">
        <v>4049</v>
      </c>
      <c r="B14" s="13" t="s">
        <v>4050</v>
      </c>
      <c r="C14" s="13"/>
      <c r="D14" s="13"/>
      <c r="F14" s="94" t="s">
        <v>154</v>
      </c>
      <c r="G14" s="110"/>
    </row>
    <row r="15" spans="1:7" ht="24" customHeight="1">
      <c r="A15" s="6"/>
      <c r="B15" s="13" t="s">
        <v>4051</v>
      </c>
      <c r="C15" s="13"/>
      <c r="D15" s="13"/>
      <c r="F15" s="94" t="s">
        <v>143</v>
      </c>
      <c r="G15" s="3" t="s">
        <v>167</v>
      </c>
    </row>
    <row r="16" spans="1:7" ht="24" customHeight="1">
      <c r="A16" s="6"/>
      <c r="B16" s="16" t="s">
        <v>4057</v>
      </c>
      <c r="C16" s="13"/>
      <c r="F16" s="259"/>
      <c r="G16" s="256"/>
    </row>
    <row r="17" spans="1:7" ht="24" customHeight="1">
      <c r="A17" s="6"/>
      <c r="B17" s="13"/>
      <c r="C17" s="13"/>
      <c r="D17" s="13"/>
      <c r="F17" s="94"/>
      <c r="G17" s="110"/>
    </row>
    <row r="18" spans="1:7" ht="24" customHeight="1">
      <c r="A18" s="6" t="s">
        <v>4048</v>
      </c>
      <c r="B18" s="13" t="s">
        <v>159</v>
      </c>
      <c r="C18" s="13"/>
      <c r="F18" s="94" t="s">
        <v>168</v>
      </c>
      <c r="G18" s="110"/>
    </row>
    <row r="19" spans="1:7" ht="24" customHeight="1">
      <c r="A19" s="6"/>
      <c r="B19" s="13" t="s">
        <v>158</v>
      </c>
      <c r="C19" s="13"/>
      <c r="F19" s="94" t="s">
        <v>190</v>
      </c>
      <c r="G19" s="110"/>
    </row>
    <row r="20" spans="1:7" ht="24" customHeight="1">
      <c r="A20" s="6"/>
      <c r="B20" s="13" t="s">
        <v>157</v>
      </c>
      <c r="C20" s="13"/>
      <c r="F20" s="94" t="s">
        <v>169</v>
      </c>
      <c r="G20" s="110"/>
    </row>
    <row r="21" spans="1:7" ht="24" customHeight="1">
      <c r="A21" s="6"/>
      <c r="B21" s="3"/>
      <c r="C21" s="13"/>
    </row>
    <row r="22" spans="1:7" ht="24" customHeight="1">
      <c r="A22" s="6" t="s">
        <v>4052</v>
      </c>
      <c r="B22" s="13" t="s">
        <v>4054</v>
      </c>
      <c r="C22" s="13"/>
      <c r="F22" s="94" t="s">
        <v>170</v>
      </c>
      <c r="G22" s="256"/>
    </row>
    <row r="23" spans="1:7" ht="24" customHeight="1">
      <c r="A23" s="6"/>
      <c r="B23" s="13" t="s">
        <v>4055</v>
      </c>
      <c r="C23" s="13"/>
      <c r="D23" s="5" t="s">
        <v>124</v>
      </c>
      <c r="F23" s="258" t="s">
        <v>4188</v>
      </c>
    </row>
    <row r="24" spans="1:7" ht="24" customHeight="1">
      <c r="A24" s="6"/>
      <c r="B24" s="16"/>
      <c r="C24" s="13"/>
      <c r="D24" s="5" t="s">
        <v>124</v>
      </c>
      <c r="F24" s="94"/>
      <c r="G24" s="110"/>
    </row>
    <row r="25" spans="1:7" ht="24" customHeight="1">
      <c r="A25" s="6" t="s">
        <v>4053</v>
      </c>
      <c r="B25" s="16" t="s">
        <v>164</v>
      </c>
      <c r="C25" s="13"/>
      <c r="D25" s="5"/>
      <c r="F25" s="94" t="s">
        <v>165</v>
      </c>
      <c r="G25" s="110"/>
    </row>
    <row r="26" spans="1:7" ht="24" customHeight="1">
      <c r="A26" s="6"/>
      <c r="B26" s="16"/>
      <c r="C26" s="13"/>
      <c r="D26" s="5"/>
      <c r="F26" s="94" t="s">
        <v>166</v>
      </c>
      <c r="G26" s="110"/>
    </row>
    <row r="27" spans="1:7" ht="24" customHeight="1">
      <c r="A27" s="6"/>
      <c r="B27" s="16"/>
      <c r="C27" s="13"/>
      <c r="D27" s="5"/>
      <c r="F27" s="94"/>
      <c r="G27" s="110"/>
    </row>
    <row r="28" spans="1:7" ht="24" customHeight="1">
      <c r="A28" s="6" t="s">
        <v>4062</v>
      </c>
      <c r="B28" s="16" t="s">
        <v>4056</v>
      </c>
      <c r="C28" s="13"/>
      <c r="D28" s="5" t="s">
        <v>124</v>
      </c>
      <c r="F28" s="94" t="s">
        <v>191</v>
      </c>
      <c r="G28" s="110"/>
    </row>
    <row r="29" spans="1:7" ht="24" customHeight="1">
      <c r="A29" s="6"/>
      <c r="B29" s="16"/>
      <c r="C29" s="13"/>
      <c r="D29" s="5"/>
      <c r="F29" s="94"/>
      <c r="G29" s="110"/>
    </row>
    <row r="30" spans="1:7" ht="24" customHeight="1">
      <c r="B30" s="3"/>
      <c r="C30" s="13"/>
      <c r="D30" s="5" t="s">
        <v>124</v>
      </c>
      <c r="G30" s="110"/>
    </row>
    <row r="31" spans="1:7" ht="24" customHeight="1">
      <c r="A31" s="13"/>
      <c r="B31" s="16"/>
      <c r="C31" s="13"/>
      <c r="D31" s="5" t="s">
        <v>124</v>
      </c>
      <c r="G31" s="110"/>
    </row>
  </sheetData>
  <mergeCells count="9">
    <mergeCell ref="B1:C1"/>
    <mergeCell ref="B4:C4"/>
    <mergeCell ref="B5:C5"/>
    <mergeCell ref="B11:C11"/>
    <mergeCell ref="B10:C10"/>
    <mergeCell ref="B8:C8"/>
    <mergeCell ref="B6:C6"/>
    <mergeCell ref="B7:C7"/>
    <mergeCell ref="B9:C9"/>
  </mergeCells>
  <phoneticPr fontId="7" type="noConversion"/>
  <pageMargins left="0.7" right="0.7" top="0.78740157499999996" bottom="0.78740157499999996" header="0.3" footer="0.3"/>
  <pageSetup paperSize="9" orientation="portrait" r:id="rId1"/>
  <legacyDrawing r:id="rId2"/>
  <controls>
    <control shapeId="11284" r:id="rId3" name="CheckButton"/>
    <control shapeId="11276" r:id="rId4" name="IntegrateBitmapsButton"/>
    <control shapeId="11275" r:id="rId5" name="ParseUserInterfaceButton"/>
    <control shapeId="11274" r:id="rId6" name="ImportVariableTextButton"/>
    <control shapeId="11273" r:id="rId7" name="ExportMultilingualTextButton"/>
    <control shapeId="11265" r:id="rId8" name="ExportParameterListButton"/>
    <control shapeId="11266" r:id="rId9" name="ExportValuesCommandsButton"/>
    <control shapeId="11267" r:id="rId10" name="ExportValueListsForUserInterface"/>
    <control shapeId="11268" r:id="rId11" name="ExportArchicadPropertiesButton"/>
    <control shapeId="11269" r:id="rId12" name="ExportArrayIndicesButton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Tabelle2"/>
  <dimension ref="A1:AH1612"/>
  <sheetViews>
    <sheetView zoomScaleNormal="100" workbookViewId="0">
      <pane ySplit="2145" topLeftCell="A1413" activePane="bottomLeft"/>
      <selection activeCell="Q1" sqref="Q1:Q1048576"/>
      <selection pane="bottomLeft" activeCell="O1560" sqref="O1560"/>
    </sheetView>
  </sheetViews>
  <sheetFormatPr baseColWidth="10" defaultColWidth="11.42578125" defaultRowHeight="18.75" outlineLevelRow="1"/>
  <cols>
    <col min="1" max="1" width="2.42578125" style="16" customWidth="1"/>
    <col min="2" max="2" width="3" style="13" customWidth="1"/>
    <col min="3" max="3" width="4.7109375" style="13" customWidth="1"/>
    <col min="4" max="10" width="2.5703125" style="40" customWidth="1"/>
    <col min="11" max="11" width="9.42578125" style="13" customWidth="1"/>
    <col min="12" max="12" width="11.42578125" style="13"/>
    <col min="13" max="13" width="40.42578125" style="19" bestFit="1" customWidth="1"/>
    <col min="14" max="14" width="46.5703125" style="13" customWidth="1"/>
    <col min="15" max="15" width="16.42578125" style="42" customWidth="1"/>
    <col min="16" max="16" width="4.85546875" style="13" customWidth="1"/>
    <col min="17" max="17" width="2.85546875" style="37" customWidth="1"/>
    <col min="18" max="18" width="5.42578125" style="40" customWidth="1"/>
    <col min="19" max="20" width="8.85546875" style="40" customWidth="1"/>
    <col min="21" max="21" width="7.7109375" style="13" customWidth="1"/>
    <col min="22" max="22" width="33.5703125" style="13" customWidth="1"/>
    <col min="23" max="23" width="6" style="13" customWidth="1"/>
    <col min="24" max="24" width="10.28515625" style="14" customWidth="1"/>
    <col min="25" max="25" width="87.28515625" style="13" customWidth="1"/>
    <col min="26" max="26" width="10.42578125" style="58" customWidth="1"/>
    <col min="27" max="27" width="9.140625" style="55" customWidth="1"/>
    <col min="28" max="28" width="13.42578125" style="62" customWidth="1"/>
    <col min="29" max="29" width="36.28515625" style="13" customWidth="1"/>
    <col min="30" max="16384" width="11.42578125" style="13"/>
  </cols>
  <sheetData>
    <row r="1" spans="1:29" s="20" customFormat="1" ht="92.25" customHeight="1">
      <c r="A1" s="222" t="s">
        <v>83</v>
      </c>
      <c r="B1" s="29" t="s">
        <v>66</v>
      </c>
      <c r="C1" s="30" t="s">
        <v>67</v>
      </c>
      <c r="D1" s="262" t="s">
        <v>4058</v>
      </c>
      <c r="E1" s="29" t="s">
        <v>69</v>
      </c>
      <c r="F1" s="29" t="s">
        <v>70</v>
      </c>
      <c r="G1" s="29" t="s">
        <v>71</v>
      </c>
      <c r="H1" s="29" t="s">
        <v>72</v>
      </c>
      <c r="I1" s="29" t="s">
        <v>73</v>
      </c>
      <c r="J1" s="29" t="s">
        <v>74</v>
      </c>
      <c r="K1" s="38" t="s">
        <v>84</v>
      </c>
      <c r="L1" s="38" t="s">
        <v>14</v>
      </c>
      <c r="M1" s="38" t="s">
        <v>75</v>
      </c>
      <c r="N1" s="38" t="s">
        <v>134</v>
      </c>
      <c r="O1" s="39" t="s">
        <v>76</v>
      </c>
      <c r="P1" s="29" t="s">
        <v>77</v>
      </c>
      <c r="Q1" s="36" t="s">
        <v>78</v>
      </c>
      <c r="R1" s="29" t="s">
        <v>108</v>
      </c>
      <c r="S1" s="36" t="s">
        <v>111</v>
      </c>
      <c r="T1" s="36" t="s">
        <v>112</v>
      </c>
      <c r="U1" s="36" t="s">
        <v>79</v>
      </c>
      <c r="V1" s="31" t="s">
        <v>135</v>
      </c>
      <c r="W1" s="30"/>
      <c r="X1" s="30"/>
      <c r="Y1" s="31" t="s">
        <v>80</v>
      </c>
      <c r="Z1" s="56" t="s">
        <v>81</v>
      </c>
      <c r="AA1" s="57" t="s">
        <v>82</v>
      </c>
      <c r="AB1" s="57" t="s">
        <v>142</v>
      </c>
      <c r="AC1" s="20" t="s">
        <v>137</v>
      </c>
    </row>
    <row r="2" spans="1:29">
      <c r="A2" s="21" t="s">
        <v>109</v>
      </c>
      <c r="B2" s="40"/>
      <c r="C2" s="41"/>
      <c r="D2" s="260"/>
      <c r="E2" s="37"/>
      <c r="F2" s="305"/>
      <c r="G2" s="188"/>
      <c r="H2" s="37"/>
      <c r="I2" s="37"/>
      <c r="J2" s="37"/>
      <c r="R2" s="37"/>
      <c r="S2" s="37"/>
      <c r="T2" s="37"/>
      <c r="Z2" s="58" t="str">
        <f>IF(OR($M2="",NOT($O2="{array}")),"",IFERROR(MATCH(PARAMETERS!$M2,DEFAULT!$B$5:$CI$5,0),""))</f>
        <v/>
      </c>
      <c r="AA2" s="55" t="str">
        <f t="shared" ref="AA2:AA16" si="0">IF($M2="","",IFERROR(MATCH($M2,VALUESnames,0),""))</f>
        <v/>
      </c>
      <c r="AB2" s="62" t="str">
        <f>IF(AND(OR($A2="G",$A2="P"),NOT($O2="{array}")),IF(VLOOKUP($K2,base!$B$2:$D$20,3,0)="S",IF(OR($O2="",ISTEXT($O2)),"","STRING!"),IF(VLOOKUP($K2,base!$B$2:$D$20,3,0)="","",IF(ISTEXT($O2),"NUMERIC!",""))),"")</f>
        <v/>
      </c>
      <c r="AC2" s="16" t="str">
        <f>IF($AA2="","",IF($B2="I",VLOOKUP($AA2,#REF!,53,0),INDEX(VALUES!$B$1:$GP$1,1,$AA2)))</f>
        <v/>
      </c>
    </row>
    <row r="3" spans="1:29" hidden="1" outlineLevel="1">
      <c r="A3" s="21" t="s">
        <v>86</v>
      </c>
      <c r="B3" s="40" t="str">
        <f>IF($A3="P",IF(NOT($Z3=""),"A",IF(NOT($AA3=""),"I","")),IF(NOT($AA3=""),IF($A3="G","V","X"),IF(NOT($Z3=""),"A","")))</f>
        <v>V</v>
      </c>
      <c r="C3" s="41">
        <f>(ROW()-1)</f>
        <v>2</v>
      </c>
      <c r="D3" s="260" t="s">
        <v>9</v>
      </c>
      <c r="E3" s="37"/>
      <c r="F3" s="305" t="s">
        <v>9</v>
      </c>
      <c r="G3" s="188"/>
      <c r="H3" s="37"/>
      <c r="I3" s="37"/>
      <c r="J3" s="37"/>
      <c r="K3" s="13" t="s">
        <v>26</v>
      </c>
      <c r="L3" s="13" t="s">
        <v>29</v>
      </c>
      <c r="M3" s="19" t="s">
        <v>88</v>
      </c>
      <c r="N3" s="13" t="s">
        <v>94</v>
      </c>
      <c r="O3" s="42">
        <v>0.88500000000000001</v>
      </c>
      <c r="Q3" s="37" t="s">
        <v>9</v>
      </c>
      <c r="R3" s="37"/>
      <c r="S3" s="37" t="s">
        <v>114</v>
      </c>
      <c r="T3" s="37"/>
      <c r="W3" s="14"/>
      <c r="Z3" s="58" t="str">
        <f>IF(OR($M3="",NOT($O3="{array}")),"",IFERROR(MATCH(PARAMETERS!$M3,DEFAULT!$B$5:$CI$5,0),""))</f>
        <v/>
      </c>
      <c r="AA3" s="55">
        <f t="shared" si="0"/>
        <v>4</v>
      </c>
      <c r="AB3" s="62" t="str">
        <f>IF(AND(OR($A3="G",$A3="P"),NOT($O3="{array}")),IF(VLOOKUP($K3,base!$B$2:$D$20,3,0)="S",IF(OR($O3="",ISTEXT($O3)),"","STRING!"),IF(VLOOKUP($K3,base!$B$2:$D$20,3,0)="","",IF(ISTEXT($O3),"NUMERIC!",""))),"")</f>
        <v/>
      </c>
      <c r="AC3" s="16" t="str">
        <f>IF($AA3="","",IF($B3="I",VLOOKUP($AA3,#REF!,53,0),INDEX(VALUES!$B$1:$GP$1,1,$AA3)))</f>
        <v>0,635 | 0,76 | 0,885 | 1,01 | 1,135 | 1,26 | 1,51 | 1,76 | ...</v>
      </c>
    </row>
    <row r="4" spans="1:29" hidden="1" outlineLevel="1">
      <c r="A4" s="21" t="s">
        <v>86</v>
      </c>
      <c r="B4" s="40" t="str">
        <f>IF($A4="P",IF(NOT($Z4=""),"A",IF(NOT($AA4=""),"I","")),IF(NOT($AA4=""),IF($A4="G","V","X"),IF(NOT($Z4=""),"A","")))</f>
        <v>V</v>
      </c>
      <c r="C4" s="41">
        <f>(ROW()-1)</f>
        <v>3</v>
      </c>
      <c r="D4" s="260" t="s">
        <v>9</v>
      </c>
      <c r="E4" s="37"/>
      <c r="F4" s="305" t="s">
        <v>9</v>
      </c>
      <c r="G4" s="188"/>
      <c r="H4" s="37"/>
      <c r="I4" s="37"/>
      <c r="J4" s="37"/>
      <c r="K4" s="13" t="s">
        <v>26</v>
      </c>
      <c r="L4" s="13" t="s">
        <v>29</v>
      </c>
      <c r="M4" s="19" t="s">
        <v>50</v>
      </c>
      <c r="N4" s="13" t="s">
        <v>95</v>
      </c>
      <c r="O4" s="42">
        <v>2.1349999999999998</v>
      </c>
      <c r="Q4" s="37" t="s">
        <v>9</v>
      </c>
      <c r="R4" s="37"/>
      <c r="S4" s="37" t="s">
        <v>114</v>
      </c>
      <c r="T4" s="37"/>
      <c r="W4" s="14"/>
      <c r="Z4" s="58" t="str">
        <f>IF(OR($M4="",NOT($O4="{array}")),"",IFERROR(MATCH(PARAMETERS!$M4,DEFAULT!$B$5:$CI$5,0),""))</f>
        <v/>
      </c>
      <c r="AA4" s="55">
        <f t="shared" si="0"/>
        <v>12</v>
      </c>
      <c r="AB4" s="62" t="str">
        <f>IF(AND(OR($A4="G",$A4="P"),NOT($O4="{array}")),IF(VLOOKUP($K4,base!$B$2:$D$20,3,0)="S",IF(OR($O4="",ISTEXT($O4)),"","STRING!"),IF(VLOOKUP($K4,base!$B$2:$D$20,3,0)="","",IF(ISTEXT($O4),"NUMERIC!",""))),"")</f>
        <v/>
      </c>
      <c r="AC4" s="16" t="str">
        <f>IF($AA4="","",IF($B4="I",VLOOKUP($AA4,#REF!,53,0),INDEX(VALUES!$B$1:$GP$1,1,$AA4)))</f>
        <v>2,01 | 2,135 | 2,26 | 2,51 | 2,76 | 3,01</v>
      </c>
    </row>
    <row r="5" spans="1:29" hidden="1" outlineLevel="1">
      <c r="A5" s="21" t="s">
        <v>86</v>
      </c>
      <c r="B5" s="40" t="str">
        <f>IF($A5="P",IF(NOT($Z5=""),"A",IF(NOT($AA5=""),"I","")),IF(NOT($AA5=""),IF($A5="G","V","X"),IF(NOT($Z5=""),"A","")))</f>
        <v/>
      </c>
      <c r="C5" s="41">
        <f>(ROW()-1)</f>
        <v>4</v>
      </c>
      <c r="D5" s="260"/>
      <c r="E5" s="37"/>
      <c r="F5" s="305" t="s">
        <v>9</v>
      </c>
      <c r="G5" s="188" t="s">
        <v>9</v>
      </c>
      <c r="H5" s="37"/>
      <c r="I5" s="37"/>
      <c r="J5" s="37"/>
      <c r="K5" s="13" t="s">
        <v>26</v>
      </c>
      <c r="L5" s="13" t="s">
        <v>29</v>
      </c>
      <c r="M5" s="19" t="s">
        <v>92</v>
      </c>
      <c r="N5" s="13" t="s">
        <v>96</v>
      </c>
      <c r="O5" s="42">
        <v>1</v>
      </c>
      <c r="Q5" s="37" t="s">
        <v>9</v>
      </c>
      <c r="R5" s="37" t="s">
        <v>106</v>
      </c>
      <c r="S5" s="37"/>
      <c r="T5" s="37"/>
      <c r="W5" s="14"/>
      <c r="Z5" s="58" t="str">
        <f>IF(OR($M5="",NOT($O5="{array}")),"",IFERROR(MATCH(PARAMETERS!$M5,DEFAULT!$B$5:$CI$5,0),""))</f>
        <v/>
      </c>
      <c r="AA5" s="55" t="str">
        <f>IF($M5="","",IFERROR(MATCH($M5,VALUESnames,0),""))</f>
        <v/>
      </c>
      <c r="AB5" s="62" t="str">
        <f>IF(AND(OR($A5="G",$A5="P"),NOT($O5="{array}")),IF(VLOOKUP($K5,base!$B$2:$D$20,3,0)="S",IF(OR($O5="",ISTEXT($O5)),"","STRING!"),IF(VLOOKUP($K5,base!$B$2:$D$20,3,0)="","",IF(ISTEXT($O5),"NUMERIC!",""))),"")</f>
        <v/>
      </c>
      <c r="AC5" s="16" t="str">
        <f>IF($AA5="","",IF($B5="I",VLOOKUP($AA5,#REF!,53,0),INDEX(VALUES!$B$1:$GP$1,1,$AA5)))</f>
        <v/>
      </c>
    </row>
    <row r="6" spans="1:29" collapsed="1">
      <c r="A6" s="21" t="s">
        <v>1547</v>
      </c>
      <c r="B6" s="40"/>
      <c r="C6" s="41"/>
      <c r="D6" s="260"/>
      <c r="E6" s="37"/>
      <c r="F6" s="305"/>
      <c r="G6" s="188"/>
      <c r="H6" s="37"/>
      <c r="I6" s="37"/>
      <c r="J6" s="37"/>
      <c r="L6" s="150"/>
      <c r="M6" s="13"/>
      <c r="R6" s="37"/>
      <c r="S6" s="37"/>
      <c r="T6" s="37"/>
      <c r="W6" s="14" t="str">
        <f>IF(IFERROR(VLOOKUP($M6,'IMPORT GS-Tür OL FL 2S2 20'!$H$2:$H$847,1,0),"-")="-","","GS")</f>
        <v/>
      </c>
      <c r="Z6" s="58" t="str">
        <f>IF(OR($M6="",NOT($O6="{array}")),"",IFERROR(MATCH(PARAMETERS!$M6,DEFAULT!$B$5:$CI$5,0),""))</f>
        <v/>
      </c>
      <c r="AA6" s="55" t="str">
        <f t="shared" si="0"/>
        <v/>
      </c>
      <c r="AB6" s="62" t="str">
        <f>IF(AND(OR($A6="G",$A6="P"),NOT($O6="{array}")),IF(VLOOKUP($K6,base!$B$2:$D$20,3,0)="S",IF(OR($O6="",ISTEXT($O6)),"","STRING!"),IF(VLOOKUP($K6,base!$B$2:$D$20,3,0)="","",IF(ISTEXT($O6),"NUMERIC!",""))),"")</f>
        <v/>
      </c>
      <c r="AC6" s="16" t="str">
        <f>IF($AA6="","",IF($B6="I",VLOOKUP($AA6,#REF!,53,0),INDEX(VALUES!$B$1:$GP$1,1,$AA6)))</f>
        <v/>
      </c>
    </row>
    <row r="7" spans="1:29" ht="18" customHeight="1">
      <c r="A7" s="21" t="s">
        <v>86</v>
      </c>
      <c r="B7" s="40" t="str">
        <f t="shared" ref="B7:B14" si="1">IF($A7="P",IF(NOT($Z7=""),"A",IF(NOT($AA7=""),"I","")),IF(NOT($AA7=""),IF($A7="G","V","X"),IF(NOT($Z7=""),"A","")))</f>
        <v/>
      </c>
      <c r="C7" s="41">
        <f t="shared" ref="C7:C14" si="2">(ROW()-1)</f>
        <v>6</v>
      </c>
      <c r="D7" s="260"/>
      <c r="E7" s="37"/>
      <c r="F7" s="305"/>
      <c r="G7" s="188" t="s">
        <v>9</v>
      </c>
      <c r="H7" s="37"/>
      <c r="I7" s="37"/>
      <c r="J7" s="37"/>
      <c r="K7" s="230" t="s">
        <v>59</v>
      </c>
      <c r="L7" s="230" t="s">
        <v>40</v>
      </c>
      <c r="M7" s="231" t="s">
        <v>1548</v>
      </c>
      <c r="N7" s="232" t="s">
        <v>1549</v>
      </c>
      <c r="R7" s="37" t="s">
        <v>105</v>
      </c>
      <c r="S7" s="37"/>
      <c r="T7" s="37"/>
      <c r="W7" s="14" t="str">
        <f>IF(IFERROR(VLOOKUP($M7,'IMPORT GS-Tür OL FL 2S2 20'!$H$2:$H$847,1,0),"-")="-","","GS")</f>
        <v/>
      </c>
      <c r="Z7" s="58" t="str">
        <f>IF(OR($M7="",NOT($O7="{array}")),"",IFERROR(MATCH(PARAMETERS!$M7,DEFAULT!$B$5:$CI$5,0),""))</f>
        <v/>
      </c>
      <c r="AA7" s="55" t="str">
        <f t="shared" si="0"/>
        <v/>
      </c>
      <c r="AB7" s="62" t="str">
        <f>IF(AND(OR($A7="G",$A7="P"),NOT($O7="{array}")),IF(VLOOKUP($K7,base!$B$2:$D$20,3,0)="S",IF(OR($O7="",ISTEXT($O7)),"","STRING!"),IF(VLOOKUP($K7,base!$B$2:$D$20,3,0)="","",IF(ISTEXT($O7),"NUMERIC!",""))),"")</f>
        <v/>
      </c>
      <c r="AC7" s="16" t="str">
        <f>IF($AA7="","",IF($B7="I",VLOOKUP($AA7,#REF!,53,0),INDEX(VALUES!$B$1:$GP$1,1,$AA7)))</f>
        <v/>
      </c>
    </row>
    <row r="8" spans="1:29" hidden="1" outlineLevel="1">
      <c r="A8" s="21"/>
      <c r="B8" s="40" t="str">
        <f t="shared" si="1"/>
        <v/>
      </c>
      <c r="C8" s="41">
        <f t="shared" si="2"/>
        <v>7</v>
      </c>
      <c r="D8" s="260"/>
      <c r="E8" s="37"/>
      <c r="F8" s="305"/>
      <c r="G8" s="188"/>
      <c r="H8" s="37"/>
      <c r="I8" s="37" t="s">
        <v>9</v>
      </c>
      <c r="J8" s="37"/>
      <c r="K8" s="175" t="s">
        <v>20</v>
      </c>
      <c r="L8" s="150" t="s">
        <v>23</v>
      </c>
      <c r="M8" s="48" t="s">
        <v>1550</v>
      </c>
      <c r="N8" s="193" t="s">
        <v>1551</v>
      </c>
      <c r="Q8" s="180" t="s">
        <v>9</v>
      </c>
      <c r="R8" s="190" t="s">
        <v>105</v>
      </c>
      <c r="S8" s="190" t="s">
        <v>114</v>
      </c>
      <c r="T8" s="188" t="s">
        <v>116</v>
      </c>
      <c r="U8" s="193" t="s">
        <v>1552</v>
      </c>
      <c r="V8" s="193" t="s">
        <v>1553</v>
      </c>
      <c r="W8" s="14" t="str">
        <f>IF(IFERROR(VLOOKUP($M8,'IMPORT GS-Tür OL FL 2S2 20'!$H$2:$H$847,1,0),"-")="-","","GS")</f>
        <v/>
      </c>
      <c r="X8" s="14">
        <v>1</v>
      </c>
      <c r="Y8" s="193" t="s">
        <v>1554</v>
      </c>
      <c r="Z8" s="58" t="str">
        <f>IF(OR($M8="",NOT($O8="{array}")),"",IFERROR(MATCH(PARAMETERS!$M8,DEFAULT!$B$5:$CI$5,0),""))</f>
        <v/>
      </c>
      <c r="AA8" s="55" t="str">
        <f t="shared" si="0"/>
        <v/>
      </c>
      <c r="AB8" s="62" t="str">
        <f>IF(AND(OR($A8="G",$A8="P"),NOT($O8="{array}")),IF(VLOOKUP($K8,base!$B$2:$D$20,3,0)="S",IF(OR($O8="",ISTEXT($O8)),"","STRING!"),IF(VLOOKUP($K8,base!$B$2:$D$20,3,0)="","",IF(ISTEXT($O8),"NUMERIC!",""))),"")</f>
        <v/>
      </c>
      <c r="AC8" s="16" t="str">
        <f>IF($AA8="","",IF($B8="I",VLOOKUP($AA8,#REF!,53,0),INDEX(VALUES!$B$1:$GP$1,1,$AA8)))</f>
        <v/>
      </c>
    </row>
    <row r="9" spans="1:29" hidden="1" outlineLevel="1">
      <c r="A9" s="21" t="s">
        <v>87</v>
      </c>
      <c r="B9" s="40" t="str">
        <f t="shared" si="1"/>
        <v/>
      </c>
      <c r="C9" s="41">
        <f t="shared" si="2"/>
        <v>8</v>
      </c>
      <c r="D9" s="260"/>
      <c r="E9" s="37"/>
      <c r="F9" s="305"/>
      <c r="G9" s="188"/>
      <c r="H9" s="37"/>
      <c r="I9" s="37" t="s">
        <v>9</v>
      </c>
      <c r="J9" s="37"/>
      <c r="K9" s="175" t="s">
        <v>20</v>
      </c>
      <c r="L9" s="150" t="s">
        <v>23</v>
      </c>
      <c r="M9" s="193" t="s">
        <v>172</v>
      </c>
      <c r="N9" s="193" t="s">
        <v>172</v>
      </c>
      <c r="Q9" s="180" t="s">
        <v>9</v>
      </c>
      <c r="R9" s="190" t="s">
        <v>105</v>
      </c>
      <c r="S9" s="190" t="s">
        <v>114</v>
      </c>
      <c r="T9" s="190"/>
      <c r="U9" s="193"/>
      <c r="V9" s="193" t="s">
        <v>172</v>
      </c>
      <c r="W9" s="14" t="str">
        <f>IF(IFERROR(VLOOKUP($M9,'IMPORT GS-Tür OL FL 2S2 20'!$H$2:$H$847,1,0),"-")="-","","GS")</f>
        <v/>
      </c>
      <c r="X9" s="14">
        <v>2</v>
      </c>
      <c r="Y9" s="194" t="s">
        <v>1555</v>
      </c>
      <c r="Z9" s="58" t="str">
        <f>IF(OR($M9="",NOT($O9="{array}")),"",IFERROR(MATCH(PARAMETERS!$M9,DEFAULT!$B$5:$CI$5,0),""))</f>
        <v/>
      </c>
      <c r="AA9" s="55" t="str">
        <f t="shared" si="0"/>
        <v/>
      </c>
      <c r="AB9" s="62" t="str">
        <f>IF(AND(OR($A9="G",$A9="P"),NOT($O9="{array}")),IF(VLOOKUP($K9,base!$B$2:$D$20,3,0)="S",IF(OR($O9="",ISTEXT($O9)),"","STRING!"),IF(VLOOKUP($K9,base!$B$2:$D$20,3,0)="","",IF(ISTEXT($O9),"NUMERIC!",""))),"")</f>
        <v/>
      </c>
      <c r="AC9" s="16" t="str">
        <f>IF($AA9="","",IF($B9="I",VLOOKUP($AA9,#REF!,53,0),INDEX(VALUES!$B$1:$GP$1,1,$AA9)))</f>
        <v/>
      </c>
    </row>
    <row r="10" spans="1:29" hidden="1" outlineLevel="1">
      <c r="A10" s="21" t="s">
        <v>86</v>
      </c>
      <c r="B10" s="40" t="str">
        <f t="shared" si="1"/>
        <v>V</v>
      </c>
      <c r="C10" s="41">
        <f t="shared" si="2"/>
        <v>9</v>
      </c>
      <c r="D10" s="260" t="s">
        <v>9</v>
      </c>
      <c r="E10" s="37"/>
      <c r="F10" s="305"/>
      <c r="G10" s="188"/>
      <c r="H10" s="37"/>
      <c r="I10" s="37" t="s">
        <v>9</v>
      </c>
      <c r="J10" s="37"/>
      <c r="K10" s="52" t="s">
        <v>46</v>
      </c>
      <c r="L10" s="52" t="s">
        <v>34</v>
      </c>
      <c r="M10" s="178" t="s">
        <v>3705</v>
      </c>
      <c r="N10" s="52" t="s">
        <v>3706</v>
      </c>
      <c r="O10" s="153">
        <v>0</v>
      </c>
      <c r="R10" s="37" t="s">
        <v>204</v>
      </c>
      <c r="S10" s="190"/>
      <c r="T10" s="190"/>
      <c r="U10" s="193"/>
      <c r="V10" s="193"/>
      <c r="W10" s="14"/>
      <c r="Y10" s="194"/>
      <c r="Z10" s="58" t="str">
        <f>IF(OR($M10="",NOT($O10="{array}")),"",IFERROR(MATCH(PARAMETERS!$M10,DEFAULT!$B$5:$CI$5,0),""))</f>
        <v/>
      </c>
      <c r="AA10" s="55">
        <f t="shared" si="0"/>
        <v>153</v>
      </c>
      <c r="AB10" s="62" t="str">
        <f>IF(AND(OR($A10="G",$A10="P"),NOT($O10="{array}")),IF(VLOOKUP($K10,base!$B$2:$D$20,3,0)="S",IF(OR($O10="",ISTEXT($O10)),"","STRING!"),IF(VLOOKUP($K10,base!$B$2:$D$20,3,0)="","",IF(ISTEXT($O10),"NUMERIC!",""))),"")</f>
        <v/>
      </c>
      <c r="AC10" s="16" t="str">
        <f>IF($AA10="","",IF($B10="I",VLOOKUP($AA10,#REF!,53,0),INDEX(VALUES!$B$1:$GP$1,1,$AA10)))</f>
        <v>0 | 1 | 2 | 5 | 6 | 8 | 12 | 16</v>
      </c>
    </row>
    <row r="11" spans="1:29" hidden="1" outlineLevel="1">
      <c r="A11" s="21" t="s">
        <v>86</v>
      </c>
      <c r="B11" s="40" t="str">
        <f t="shared" si="1"/>
        <v>A</v>
      </c>
      <c r="C11" s="41">
        <f t="shared" si="2"/>
        <v>10</v>
      </c>
      <c r="D11" s="260" t="s">
        <v>9</v>
      </c>
      <c r="E11" s="37"/>
      <c r="F11" s="305"/>
      <c r="G11" s="188"/>
      <c r="H11" s="37"/>
      <c r="I11" s="37" t="s">
        <v>9</v>
      </c>
      <c r="J11" s="37"/>
      <c r="K11" s="52" t="s">
        <v>20</v>
      </c>
      <c r="L11" s="52" t="s">
        <v>34</v>
      </c>
      <c r="M11" s="178" t="s">
        <v>3707</v>
      </c>
      <c r="N11" s="52" t="s">
        <v>3708</v>
      </c>
      <c r="O11" s="153" t="s">
        <v>35</v>
      </c>
      <c r="Q11" s="37" t="s">
        <v>9</v>
      </c>
      <c r="R11" s="37" t="s">
        <v>204</v>
      </c>
      <c r="S11" s="190"/>
      <c r="T11" s="190"/>
      <c r="U11" s="193"/>
      <c r="V11" s="193"/>
      <c r="W11" s="14"/>
      <c r="Y11" s="194"/>
      <c r="Z11" s="58">
        <f>IF(OR($M11="",NOT($O11="{array}")),"",IFERROR(MATCH(PARAMETERS!$M11,DEFAULT!$B$5:$CI$5,0),""))</f>
        <v>22</v>
      </c>
      <c r="AA11" s="55" t="str">
        <f t="shared" si="0"/>
        <v/>
      </c>
      <c r="AB11" s="62" t="str">
        <f>IF(AND(OR($A11="G",$A11="P"),NOT($O11="{array}")),IF(VLOOKUP($K11,base!$B$2:$D$20,3,0)="S",IF(OR($O11="",ISTEXT($O11)),"","STRING!"),IF(VLOOKUP($K11,base!$B$2:$D$20,3,0)="","",IF(ISTEXT($O11),"NUMERIC!",""))),"")</f>
        <v/>
      </c>
      <c r="AC11" s="16" t="str">
        <f>IF($AA11="","",IF($B11="I",VLOOKUP($AA11,#REF!,53,0),INDEX(VALUES!$B$1:$GP$1,1,$AA11)))</f>
        <v/>
      </c>
    </row>
    <row r="12" spans="1:29" hidden="1" outlineLevel="1">
      <c r="A12" s="21" t="s">
        <v>86</v>
      </c>
      <c r="B12" s="40" t="str">
        <f t="shared" si="1"/>
        <v/>
      </c>
      <c r="C12" s="41">
        <f t="shared" si="2"/>
        <v>11</v>
      </c>
      <c r="D12" s="260" t="s">
        <v>9</v>
      </c>
      <c r="E12" s="37"/>
      <c r="F12" s="305"/>
      <c r="G12" s="188"/>
      <c r="H12" s="37"/>
      <c r="I12" s="37" t="s">
        <v>9</v>
      </c>
      <c r="J12" s="37"/>
      <c r="K12" s="175" t="s">
        <v>20</v>
      </c>
      <c r="L12" s="150" t="s">
        <v>23</v>
      </c>
      <c r="M12" s="303" t="s">
        <v>3709</v>
      </c>
      <c r="N12" s="193" t="s">
        <v>1556</v>
      </c>
      <c r="Q12" s="180" t="s">
        <v>9</v>
      </c>
      <c r="R12" s="190" t="s">
        <v>105</v>
      </c>
      <c r="S12" s="190" t="s">
        <v>114</v>
      </c>
      <c r="T12" s="188" t="s">
        <v>116</v>
      </c>
      <c r="U12" s="193" t="s">
        <v>107</v>
      </c>
      <c r="V12" s="193" t="s">
        <v>1557</v>
      </c>
      <c r="W12" s="14" t="str">
        <f>IF(IFERROR(VLOOKUP($M12,'IMPORT GS-Tür OL FL 2S2 20'!$H$2:$H$847,1,0),"-")="-","","GS")</f>
        <v/>
      </c>
      <c r="X12" s="14">
        <v>3</v>
      </c>
      <c r="Y12" s="193" t="s">
        <v>1558</v>
      </c>
      <c r="Z12" s="58" t="str">
        <f>IF(OR($M12="",NOT($O12="{array}")),"",IFERROR(MATCH(PARAMETERS!$M12,DEFAULT!$B$5:$CI$5,0),""))</f>
        <v/>
      </c>
      <c r="AA12" s="55" t="str">
        <f t="shared" si="0"/>
        <v/>
      </c>
      <c r="AB12" s="62" t="str">
        <f>IF(AND(OR($A12="G",$A12="P"),NOT($O12="{array}")),IF(VLOOKUP($K12,base!$B$2:$D$20,3,0)="S",IF(OR($O12="",ISTEXT($O12)),"","STRING!"),IF(VLOOKUP($K12,base!$B$2:$D$20,3,0)="","",IF(ISTEXT($O12),"NUMERIC!",""))),"")</f>
        <v/>
      </c>
      <c r="AC12" s="16" t="str">
        <f>IF($AA12="","",IF($B12="I",VLOOKUP($AA12,#REF!,53,0),INDEX(VALUES!$B$1:$GP$1,1,$AA12)))</f>
        <v/>
      </c>
    </row>
    <row r="13" spans="1:29" hidden="1" outlineLevel="1">
      <c r="A13" s="21" t="s">
        <v>87</v>
      </c>
      <c r="B13" s="40" t="str">
        <f t="shared" si="1"/>
        <v/>
      </c>
      <c r="C13" s="41">
        <f t="shared" si="2"/>
        <v>12</v>
      </c>
      <c r="D13" s="260"/>
      <c r="E13" s="37"/>
      <c r="F13" s="305"/>
      <c r="G13" s="188"/>
      <c r="H13" s="37"/>
      <c r="I13" s="37" t="s">
        <v>9</v>
      </c>
      <c r="J13" s="37"/>
      <c r="K13" s="175" t="s">
        <v>46</v>
      </c>
      <c r="L13" s="150" t="s">
        <v>23</v>
      </c>
      <c r="M13" s="193" t="s">
        <v>1559</v>
      </c>
      <c r="N13" s="193" t="s">
        <v>1559</v>
      </c>
      <c r="Q13" s="180" t="s">
        <v>9</v>
      </c>
      <c r="R13" s="190" t="s">
        <v>105</v>
      </c>
      <c r="S13" s="190" t="s">
        <v>114</v>
      </c>
      <c r="T13" s="190"/>
      <c r="U13" s="195" t="s">
        <v>107</v>
      </c>
      <c r="V13" s="193" t="s">
        <v>1559</v>
      </c>
      <c r="W13" s="14" t="str">
        <f>IF(IFERROR(VLOOKUP($M13,'IMPORT GS-Tür OL FL 2S2 20'!$H$2:$H$847,1,0),"-")="-","","GS")</f>
        <v/>
      </c>
      <c r="X13" s="14">
        <v>4</v>
      </c>
      <c r="Y13" s="193" t="s">
        <v>1560</v>
      </c>
      <c r="Z13" s="58" t="str">
        <f>IF(OR($M13="",NOT($O13="{array}")),"",IFERROR(MATCH(PARAMETERS!$M13,DEFAULT!$B$5:$CI$5,0),""))</f>
        <v/>
      </c>
      <c r="AA13" s="55" t="str">
        <f t="shared" si="0"/>
        <v/>
      </c>
      <c r="AB13" s="62" t="str">
        <f>IF(AND(OR($A13="G",$A13="P"),NOT($O13="{array}")),IF(VLOOKUP($K13,base!$B$2:$D$20,3,0)="S",IF(OR($O13="",ISTEXT($O13)),"","STRING!"),IF(VLOOKUP($K13,base!$B$2:$D$20,3,0)="","",IF(ISTEXT($O13),"NUMERIC!",""))),"")</f>
        <v/>
      </c>
      <c r="AC13" s="16" t="str">
        <f>IF($AA13="","",IF($B13="I",VLOOKUP($AA13,#REF!,53,0),INDEX(VALUES!$B$1:$GP$1,1,$AA13)))</f>
        <v/>
      </c>
    </row>
    <row r="14" spans="1:29" s="276" customFormat="1" ht="15.75" hidden="1" customHeight="1" outlineLevel="1">
      <c r="A14" s="263"/>
      <c r="B14" s="264" t="str">
        <f t="shared" si="1"/>
        <v>X</v>
      </c>
      <c r="C14" s="265">
        <f t="shared" si="2"/>
        <v>13</v>
      </c>
      <c r="D14" s="266"/>
      <c r="E14" s="266"/>
      <c r="F14" s="305"/>
      <c r="G14" s="188"/>
      <c r="H14" s="266"/>
      <c r="I14" s="266" t="s">
        <v>9</v>
      </c>
      <c r="J14" s="266"/>
      <c r="K14" s="267" t="s">
        <v>62</v>
      </c>
      <c r="L14" s="267" t="s">
        <v>23</v>
      </c>
      <c r="M14" s="289" t="s">
        <v>1561</v>
      </c>
      <c r="N14" s="289" t="s">
        <v>1562</v>
      </c>
      <c r="O14" s="269" t="s">
        <v>1563</v>
      </c>
      <c r="Q14" s="266"/>
      <c r="R14" s="266" t="s">
        <v>105</v>
      </c>
      <c r="S14" s="266" t="s">
        <v>114</v>
      </c>
      <c r="T14" s="266" t="s">
        <v>104</v>
      </c>
      <c r="U14" s="304" t="s">
        <v>1564</v>
      </c>
      <c r="V14" s="290" t="s">
        <v>1562</v>
      </c>
      <c r="W14" s="272" t="str">
        <f>IF(IFERROR(VLOOKUP($M14,'IMPORT GS-Tür OL FL 2S2 20'!$H$2:$H$847,1,0),"-")="-","","GS")</f>
        <v/>
      </c>
      <c r="X14" s="272">
        <v>9</v>
      </c>
      <c r="Y14" s="290" t="s">
        <v>1565</v>
      </c>
      <c r="Z14" s="273" t="str">
        <f>IF(OR($M14="",NOT($O14="{array}")),"",IFERROR(MATCH(PARAMETERS!$M14,DEFAULT!$B$5:$CI$5,0),""))</f>
        <v/>
      </c>
      <c r="AA14" s="272">
        <f t="shared" si="0"/>
        <v>30</v>
      </c>
      <c r="AB14" s="274" t="str">
        <f>IF(AND(OR($A14="G",$A14="P"),NOT($O14="{array}")),IF(VLOOKUP($K14,base!$B$2:$D$20,3,0)="S",IF(OR($O14="",ISTEXT($O14)),"","STRING!"),IF(VLOOKUP($K14,base!$B$2:$D$20,3,0)="","",IF(ISTEXT($O14),"NUMERIC!",""))),"")</f>
        <v/>
      </c>
      <c r="AC14" s="275" t="str">
        <f>IF($AA14="","",IF($B14="I",VLOOKUP($AA14,#REF!,53,0),INDEX(VALUES!$B$1:$GP$1,1,$AA14)))</f>
        <v>Neu | Bestand | Abbruch | (Erneuert)</v>
      </c>
    </row>
    <row r="15" spans="1:29" collapsed="1">
      <c r="A15" s="21" t="s">
        <v>1566</v>
      </c>
      <c r="B15" s="40"/>
      <c r="C15" s="41"/>
      <c r="D15" s="260"/>
      <c r="E15" s="37"/>
      <c r="F15" s="305"/>
      <c r="G15" s="188"/>
      <c r="H15" s="37"/>
      <c r="I15" s="37"/>
      <c r="J15" s="37"/>
      <c r="R15" s="37"/>
      <c r="S15" s="37"/>
      <c r="T15" s="37"/>
      <c r="W15" s="14" t="str">
        <f>IF(IFERROR(VLOOKUP($M15,'IMPORT GS-Tür OL FL 2S2 20'!$H$2:$H$847,1,0),"-")="-","","GS")</f>
        <v/>
      </c>
      <c r="X15" s="14" t="str">
        <f t="shared" ref="X15:X74" si="3">IF($A15="G",IF(IFERROR(VLOOKUP($M15,Reimport,1,0),"-")="-","&gt;&lt;",IF($O15=VLOOKUP($M15,Reimport,2,0),"...",VLOOKUP($M15,Reimport,2,0))),"")</f>
        <v/>
      </c>
      <c r="Z15" s="58" t="str">
        <f>IF(OR($M15="",NOT($O15="{array}")),"",IFERROR(MATCH(PARAMETERS!$M15,DEFAULT!$B$5:$CI$5,0),""))</f>
        <v/>
      </c>
      <c r="AA15" s="55" t="str">
        <f t="shared" si="0"/>
        <v/>
      </c>
      <c r="AB15" s="62" t="str">
        <f>IF(AND(OR($A15="G",$A15="P"),NOT($O15="{array}")),IF(VLOOKUP($K15,base!$B$2:$D$20,3,0)="S",IF(OR($O15="",ISTEXT($O15)),"","STRING!"),IF(VLOOKUP($K15,base!$B$2:$D$20,3,0)="","",IF(ISTEXT($O15),"NUMERIC!",""))),"")</f>
        <v/>
      </c>
      <c r="AC15" s="16" t="str">
        <f>IF($AA15="","",IF($B15="I",VLOOKUP($AA15,#REF!,53,0),INDEX(VALUES!$B$1:$GP$1,1,$AA15)))</f>
        <v/>
      </c>
    </row>
    <row r="16" spans="1:29">
      <c r="A16" s="21"/>
      <c r="B16" s="40" t="str">
        <f t="shared" ref="B16:B73" si="4">IF($A16="P",IF(NOT($Z16=""),"A",IF(NOT($AA16=""),"I","")),IF(NOT($AA16=""),IF($A16="G","V","X"),IF(NOT($Z16=""),"A","")))</f>
        <v/>
      </c>
      <c r="C16" s="41">
        <f t="shared" ref="C16:C47" si="5">(ROW()-1)</f>
        <v>15</v>
      </c>
      <c r="D16" s="260"/>
      <c r="E16" s="37"/>
      <c r="F16" s="305"/>
      <c r="G16" s="188"/>
      <c r="H16" s="37"/>
      <c r="I16" s="37"/>
      <c r="J16" s="37"/>
      <c r="K16" s="230" t="s">
        <v>59</v>
      </c>
      <c r="L16" s="230" t="s">
        <v>40</v>
      </c>
      <c r="M16" s="231" t="s">
        <v>1567</v>
      </c>
      <c r="N16" s="232" t="s">
        <v>1568</v>
      </c>
      <c r="R16" s="37" t="s">
        <v>105</v>
      </c>
      <c r="S16" s="37"/>
      <c r="T16" s="37"/>
      <c r="W16" s="14" t="str">
        <f>IF(IFERROR(VLOOKUP($M16,'IMPORT GS-Tür OL FL 2S2 20'!$H$2:$H$847,1,0),"-")="-","","GS")</f>
        <v/>
      </c>
      <c r="X16" s="14" t="str">
        <f t="shared" si="3"/>
        <v/>
      </c>
      <c r="Z16" s="58" t="str">
        <f>IF(OR($M16="",NOT($O16="{array}")),"",IFERROR(MATCH(PARAMETERS!$M16,DEFAULT!$B$5:$CI$5,0),""))</f>
        <v/>
      </c>
      <c r="AA16" s="55" t="str">
        <f t="shared" si="0"/>
        <v/>
      </c>
      <c r="AB16" s="62" t="str">
        <f>IF(AND(OR($A16="G",$A16="P"),NOT($O16="{array}")),IF(VLOOKUP($K16,base!$B$2:$D$20,3,0)="S",IF(OR($O16="",ISTEXT($O16)),"","STRING!"),IF(VLOOKUP($K16,base!$B$2:$D$20,3,0)="","",IF(ISTEXT($O16),"NUMERIC!",""))),"")</f>
        <v/>
      </c>
      <c r="AC16" s="16" t="str">
        <f>IF($AA16="","",IF($B16="I",VLOOKUP($AA16,#REF!,53,0),INDEX(VALUES!$B$1:$GP$1,1,$AA16)))</f>
        <v/>
      </c>
    </row>
    <row r="17" spans="1:29" hidden="1" outlineLevel="1">
      <c r="A17" s="21"/>
      <c r="B17" s="40" t="str">
        <f t="shared" si="4"/>
        <v>X</v>
      </c>
      <c r="C17" s="41">
        <f t="shared" si="5"/>
        <v>16</v>
      </c>
      <c r="D17" s="260"/>
      <c r="E17" s="37"/>
      <c r="F17" s="305"/>
      <c r="G17" s="188"/>
      <c r="H17" s="37"/>
      <c r="I17" s="37" t="s">
        <v>9</v>
      </c>
      <c r="J17" s="37"/>
      <c r="K17" s="160" t="s">
        <v>20</v>
      </c>
      <c r="L17" s="164" t="s">
        <v>23</v>
      </c>
      <c r="M17" s="178" t="s">
        <v>1569</v>
      </c>
      <c r="N17" s="160" t="s">
        <v>1570</v>
      </c>
      <c r="O17" s="163" t="s">
        <v>298</v>
      </c>
      <c r="P17" s="163" t="s">
        <v>298</v>
      </c>
      <c r="Q17" s="168" t="s">
        <v>9</v>
      </c>
      <c r="R17" s="159" t="s">
        <v>105</v>
      </c>
      <c r="S17" s="159" t="s">
        <v>114</v>
      </c>
      <c r="T17" s="188" t="s">
        <v>116</v>
      </c>
      <c r="U17" s="163" t="s">
        <v>298</v>
      </c>
      <c r="V17" s="160" t="s">
        <v>1570</v>
      </c>
      <c r="W17" s="14" t="str">
        <f>IF(IFERROR(VLOOKUP($M17,'IMPORT GS-Tür OL FL 2S2 20'!$H$2:$H$847,1,0),"-")="-","","GS")</f>
        <v/>
      </c>
      <c r="X17" s="14" t="str">
        <f t="shared" si="3"/>
        <v/>
      </c>
      <c r="Y17" s="160" t="s">
        <v>1571</v>
      </c>
      <c r="Z17" s="58" t="str">
        <f>IF(OR($M17="",NOT($O17="{array}")),"",IFERROR(MATCH(PARAMETERS!$M17,DEFAULT!$B$5:$CI$5,0),""))</f>
        <v/>
      </c>
      <c r="AA17" s="55">
        <f t="shared" ref="AA17:AA161" si="6">IF($M17="","",IFERROR(MATCH($M17,VALUESnames,0),""))</f>
        <v>70</v>
      </c>
      <c r="AB17" s="62" t="str">
        <f>IF(AND(OR($A17="G",$A17="P"),NOT($O17="{array}")),IF(VLOOKUP($K17,base!$B$2:$D$20,3,0)="S",IF(OR($O17="",ISTEXT($O17)),"","STRING!"),IF(VLOOKUP($K17,base!$B$2:$D$20,3,0)="","",IF(ISTEXT($O17),"NUMERIC!",""))),"")</f>
        <v/>
      </c>
      <c r="AC17" s="16" t="str">
        <f>IF($AA17="","",IF($B17="I",VLOOKUP($AA17,#REF!,53,0),INDEX(VALUES!$B$1:$GP$1,1,$AA17)))</f>
        <v>Schule | Verwaltung | Krankenhaus | Einkaufstätte | Versammlungsstätte | Hotel | Stadion | Kaserne | ...</v>
      </c>
    </row>
    <row r="18" spans="1:29" hidden="1" outlineLevel="1">
      <c r="A18" s="21"/>
      <c r="B18" s="40" t="str">
        <f t="shared" si="4"/>
        <v/>
      </c>
      <c r="C18" s="41">
        <f t="shared" si="5"/>
        <v>17</v>
      </c>
      <c r="D18" s="260"/>
      <c r="E18" s="37"/>
      <c r="F18" s="305"/>
      <c r="G18" s="188"/>
      <c r="H18" s="37"/>
      <c r="I18" s="37" t="s">
        <v>9</v>
      </c>
      <c r="J18" s="37"/>
      <c r="K18" s="160" t="s">
        <v>20</v>
      </c>
      <c r="L18" s="164" t="s">
        <v>23</v>
      </c>
      <c r="M18" s="214" t="s">
        <v>1572</v>
      </c>
      <c r="N18" s="160" t="s">
        <v>1573</v>
      </c>
      <c r="O18" s="163" t="s">
        <v>298</v>
      </c>
      <c r="P18" s="163" t="s">
        <v>298</v>
      </c>
      <c r="Q18" s="168" t="s">
        <v>9</v>
      </c>
      <c r="R18" s="159" t="s">
        <v>105</v>
      </c>
      <c r="S18" s="159" t="s">
        <v>114</v>
      </c>
      <c r="T18" s="188" t="s">
        <v>116</v>
      </c>
      <c r="U18" s="163" t="s">
        <v>298</v>
      </c>
      <c r="V18" s="160" t="s">
        <v>1573</v>
      </c>
      <c r="W18" s="14" t="str">
        <f>IF(IFERROR(VLOOKUP($M18,'IMPORT GS-Tür OL FL 2S2 20'!$H$2:$H$847,1,0),"-")="-","","GS")</f>
        <v/>
      </c>
      <c r="X18" s="14" t="str">
        <f t="shared" si="3"/>
        <v/>
      </c>
      <c r="Y18" s="160" t="s">
        <v>1571</v>
      </c>
      <c r="Z18" s="58" t="str">
        <f>IF(OR($M18="",NOT($O18="{array}")),"",IFERROR(MATCH(PARAMETERS!$M18,DEFAULT!$B$5:$CI$5,0),""))</f>
        <v/>
      </c>
      <c r="AA18" s="55" t="str">
        <f t="shared" si="6"/>
        <v/>
      </c>
      <c r="AB18" s="62" t="str">
        <f>IF(AND(OR($A18="G",$A18="P"),NOT($O18="{array}")),IF(VLOOKUP($K18,base!$B$2:$D$20,3,0)="S",IF(OR($O18="",ISTEXT($O18)),"","STRING!"),IF(VLOOKUP($K18,base!$B$2:$D$20,3,0)="","",IF(ISTEXT($O18),"NUMERIC!",""))),"")</f>
        <v/>
      </c>
      <c r="AC18" s="16" t="str">
        <f>IF($AA18="","",IF($B18="I",VLOOKUP($AA18,#REF!,53,0),INDEX(VALUES!$B$1:$GP$1,1,$AA18)))</f>
        <v/>
      </c>
    </row>
    <row r="19" spans="1:29" hidden="1" outlineLevel="1">
      <c r="A19" s="21" t="s">
        <v>87</v>
      </c>
      <c r="B19" s="40" t="str">
        <f t="shared" si="4"/>
        <v/>
      </c>
      <c r="C19" s="41">
        <f t="shared" si="5"/>
        <v>18</v>
      </c>
      <c r="D19" s="260"/>
      <c r="E19" s="37"/>
      <c r="F19" s="305" t="s">
        <v>9</v>
      </c>
      <c r="G19" s="188"/>
      <c r="H19" s="37"/>
      <c r="I19" s="37" t="s">
        <v>9</v>
      </c>
      <c r="J19" s="37"/>
      <c r="K19" s="249" t="s">
        <v>20</v>
      </c>
      <c r="L19" s="249" t="s">
        <v>23</v>
      </c>
      <c r="M19" s="214" t="s">
        <v>1574</v>
      </c>
      <c r="N19" s="249" t="s">
        <v>1575</v>
      </c>
      <c r="O19" s="311"/>
      <c r="Q19" s="37" t="s">
        <v>9</v>
      </c>
      <c r="R19" s="159" t="s">
        <v>105</v>
      </c>
      <c r="S19" s="159" t="s">
        <v>114</v>
      </c>
      <c r="T19" s="188" t="s">
        <v>116</v>
      </c>
      <c r="U19" s="163" t="s">
        <v>298</v>
      </c>
      <c r="V19" s="160" t="s">
        <v>1576</v>
      </c>
      <c r="W19" s="14" t="str">
        <f>IF(IFERROR(VLOOKUP($M19,'IMPORT GS-Tür OL FL 2S2 20'!$H$2:$H$847,1,0),"-")="-","","GS")</f>
        <v>GS</v>
      </c>
      <c r="X19" s="14" t="str">
        <f t="shared" si="3"/>
        <v/>
      </c>
      <c r="Y19" s="160" t="s">
        <v>1577</v>
      </c>
      <c r="Z19" s="58" t="str">
        <f>IF(OR($M19="",NOT($O19="{array}")),"",IFERROR(MATCH(PARAMETERS!$M19,DEFAULT!$B$5:$CI$5,0),""))</f>
        <v/>
      </c>
      <c r="AA19" s="55" t="str">
        <f t="shared" si="6"/>
        <v/>
      </c>
      <c r="AB19" s="62" t="str">
        <f>IF(AND(OR($A19="G",$A19="P"),NOT($O19="{array}")),IF(VLOOKUP($K19,base!$B$2:$D$20,3,0)="S",IF(OR($O19="",ISTEXT($O19)),"","STRING!"),IF(VLOOKUP($K19,base!$B$2:$D$20,3,0)="","",IF(ISTEXT($O19),"NUMERIC!",""))),"")</f>
        <v/>
      </c>
      <c r="AC19" s="16" t="str">
        <f>IF($AA19="","",IF($B19="I",VLOOKUP($AA19,#REF!,53,0),INDEX(VALUES!$B$1:$GP$1,1,$AA19)))</f>
        <v/>
      </c>
    </row>
    <row r="20" spans="1:29" s="276" customFormat="1" hidden="1" outlineLevel="1">
      <c r="A20" s="263"/>
      <c r="B20" s="264" t="str">
        <f t="shared" si="4"/>
        <v>X</v>
      </c>
      <c r="C20" s="265">
        <f t="shared" si="5"/>
        <v>19</v>
      </c>
      <c r="D20" s="266"/>
      <c r="E20" s="266"/>
      <c r="F20" s="305" t="s">
        <v>9</v>
      </c>
      <c r="G20" s="188"/>
      <c r="H20" s="266"/>
      <c r="I20" s="266" t="s">
        <v>9</v>
      </c>
      <c r="J20" s="266"/>
      <c r="K20" s="292" t="s">
        <v>20</v>
      </c>
      <c r="L20" s="292" t="s">
        <v>23</v>
      </c>
      <c r="M20" s="293" t="s">
        <v>1578</v>
      </c>
      <c r="N20" s="292" t="s">
        <v>1579</v>
      </c>
      <c r="O20" s="312"/>
      <c r="P20" s="267"/>
      <c r="Q20" s="270" t="s">
        <v>9</v>
      </c>
      <c r="R20" s="270" t="s">
        <v>106</v>
      </c>
      <c r="S20" s="270"/>
      <c r="T20" s="270"/>
      <c r="U20" s="267"/>
      <c r="V20" s="267"/>
      <c r="W20" s="271" t="str">
        <f>IF(IFERROR(VLOOKUP($M20,'IMPORT GS-Tür OL FL 2S2 20'!$H$2:$H$847,1,0),"-")="-","","GS")</f>
        <v>GS</v>
      </c>
      <c r="X20" s="272" t="str">
        <f t="shared" si="3"/>
        <v/>
      </c>
      <c r="Y20" s="267"/>
      <c r="Z20" s="273" t="str">
        <f>IF(OR($M20="",NOT($O20="{array}")),"",IFERROR(MATCH(PARAMETERS!$M20,DEFAULT!$B$5:$CI$5,0),""))</f>
        <v/>
      </c>
      <c r="AA20" s="272">
        <f t="shared" si="6"/>
        <v>32</v>
      </c>
      <c r="AB20" s="274" t="str">
        <f>IF(AND(OR($A20="G",$A20="P"),NOT($O20="{array}")),IF(VLOOKUP($K20,base!$B$2:$D$20,3,0)="S",IF(OR($O20="",ISTEXT($O20)),"","STRING!"),IF(VLOOKUP($K20,base!$B$2:$D$20,3,0)="","",IF(ISTEXT($O20),"NUMERIC!",""))),"")</f>
        <v/>
      </c>
      <c r="AC20" s="275" t="str">
        <f>IF($AA20="","",IF($B20="I",VLOOKUP($AA20,#REF!,53,0),INDEX(VALUES!$B$1:$GP$1,1,$AA20)))</f>
        <v>Fenster | Fördertechnik | Industrietore | Kühlräume | Stahlbau | Mobile Trennwand | Reinraum | Metallarbeiten | ...</v>
      </c>
    </row>
    <row r="21" spans="1:29" s="276" customFormat="1" hidden="1" outlineLevel="1">
      <c r="A21" s="263"/>
      <c r="B21" s="264" t="str">
        <f t="shared" si="4"/>
        <v/>
      </c>
      <c r="C21" s="265">
        <f t="shared" si="5"/>
        <v>20</v>
      </c>
      <c r="D21" s="266"/>
      <c r="E21" s="266"/>
      <c r="F21" s="305"/>
      <c r="G21" s="188"/>
      <c r="H21" s="266"/>
      <c r="I21" s="266" t="s">
        <v>9</v>
      </c>
      <c r="J21" s="266"/>
      <c r="K21" s="277" t="s">
        <v>49</v>
      </c>
      <c r="L21" s="278" t="s">
        <v>34</v>
      </c>
      <c r="M21" s="277" t="s">
        <v>10</v>
      </c>
      <c r="N21" s="277" t="s">
        <v>1580</v>
      </c>
      <c r="O21" s="278" t="s">
        <v>298</v>
      </c>
      <c r="P21" s="278" t="s">
        <v>298</v>
      </c>
      <c r="Q21" s="279"/>
      <c r="R21" s="280" t="s">
        <v>105</v>
      </c>
      <c r="S21" s="280" t="s">
        <v>114</v>
      </c>
      <c r="T21" s="281" t="s">
        <v>104</v>
      </c>
      <c r="U21" s="277" t="s">
        <v>298</v>
      </c>
      <c r="V21" s="277" t="s">
        <v>10</v>
      </c>
      <c r="W21" s="271" t="str">
        <f>IF(IFERROR(VLOOKUP($M21,'IMPORT GS-Tür OL FL 2S2 20'!$H$2:$H$847,1,0),"-")="-","","GS")</f>
        <v/>
      </c>
      <c r="X21" s="272" t="str">
        <f t="shared" si="3"/>
        <v/>
      </c>
      <c r="Y21" s="277" t="s">
        <v>1581</v>
      </c>
      <c r="Z21" s="273" t="str">
        <f>IF(OR($M21="",NOT($O21="{array}")),"",IFERROR(MATCH(PARAMETERS!$M21,DEFAULT!$B$5:$CI$5,0),""))</f>
        <v/>
      </c>
      <c r="AA21" s="272" t="str">
        <f t="shared" si="6"/>
        <v/>
      </c>
      <c r="AB21" s="274" t="str">
        <f>IF(AND(OR($A21="G",$A21="P"),NOT($O21="{array}")),IF(VLOOKUP($K21,base!$B$2:$D$20,3,0)="S",IF(OR($O21="",ISTEXT($O21)),"","STRING!"),IF(VLOOKUP($K21,base!$B$2:$D$20,3,0)="","",IF(ISTEXT($O21),"NUMERIC!",""))),"")</f>
        <v/>
      </c>
      <c r="AC21" s="275" t="str">
        <f>IF($AA21="","",IF($B21="I",VLOOKUP($AA21,#REF!,53,0),INDEX(VALUES!$B$1:$GP$1,1,$AA21)))</f>
        <v/>
      </c>
    </row>
    <row r="22" spans="1:29" s="276" customFormat="1" hidden="1" outlineLevel="1">
      <c r="A22" s="263"/>
      <c r="B22" s="264" t="str">
        <f t="shared" si="4"/>
        <v>X</v>
      </c>
      <c r="C22" s="265">
        <f t="shared" si="5"/>
        <v>21</v>
      </c>
      <c r="D22" s="266"/>
      <c r="E22" s="266"/>
      <c r="F22" s="305"/>
      <c r="G22" s="188"/>
      <c r="H22" s="266"/>
      <c r="I22" s="266" t="s">
        <v>9</v>
      </c>
      <c r="J22" s="266"/>
      <c r="K22" s="313" t="s">
        <v>62</v>
      </c>
      <c r="L22" s="313" t="s">
        <v>23</v>
      </c>
      <c r="M22" s="278" t="s">
        <v>1591</v>
      </c>
      <c r="N22" s="278" t="s">
        <v>1592</v>
      </c>
      <c r="O22" s="278" t="s">
        <v>1593</v>
      </c>
      <c r="P22" s="278" t="s">
        <v>298</v>
      </c>
      <c r="Q22" s="279"/>
      <c r="R22" s="279" t="s">
        <v>105</v>
      </c>
      <c r="S22" s="279" t="s">
        <v>114</v>
      </c>
      <c r="T22" s="282" t="s">
        <v>298</v>
      </c>
      <c r="U22" s="278" t="s">
        <v>298</v>
      </c>
      <c r="V22" s="278" t="s">
        <v>1594</v>
      </c>
      <c r="W22" s="272" t="str">
        <f>IF(IFERROR(VLOOKUP($M22,'IMPORT GS-Tür OL FL 2S2 20'!$H$2:$H$847,1,0),"-")="-","","GS")</f>
        <v/>
      </c>
      <c r="X22" s="272" t="str">
        <f t="shared" si="3"/>
        <v/>
      </c>
      <c r="Y22" s="278" t="s">
        <v>1595</v>
      </c>
      <c r="Z22" s="273" t="str">
        <f>IF(OR($M22="",NOT($O22="{array}")),"",IFERROR(MATCH(PARAMETERS!$M22,DEFAULT!$B$5:$CI$5,0),""))</f>
        <v/>
      </c>
      <c r="AA22" s="272">
        <f t="shared" si="6"/>
        <v>31</v>
      </c>
      <c r="AB22" s="274" t="str">
        <f>IF(AND(OR($A22="G",$A22="P"),NOT($O22="{array}")),IF(VLOOKUP($K22,base!$B$2:$D$20,3,0)="S",IF(OR($O22="",ISTEXT($O22)),"","STRING!"),IF(VLOOKUP($K22,base!$B$2:$D$20,3,0)="","",IF(ISTEXT($O22),"NUMERIC!",""))),"")</f>
        <v/>
      </c>
      <c r="AC22" s="275" t="str">
        <f>IF($AA22="","",IF($B22="I",VLOOKUP($AA22,#REF!,53,0),INDEX(VALUES!$B$1:$GP$1,1,$AA22)))</f>
        <v>nicht definiert | Außen | Innen</v>
      </c>
    </row>
    <row r="23" spans="1:29" hidden="1" outlineLevel="1">
      <c r="A23" s="21" t="s">
        <v>87</v>
      </c>
      <c r="B23" s="40" t="str">
        <f t="shared" si="4"/>
        <v>I</v>
      </c>
      <c r="C23" s="41">
        <f t="shared" si="5"/>
        <v>22</v>
      </c>
      <c r="D23" s="260"/>
      <c r="E23" s="37"/>
      <c r="F23" s="305"/>
      <c r="G23" s="188"/>
      <c r="H23" s="37"/>
      <c r="I23" s="37" t="s">
        <v>9</v>
      </c>
      <c r="J23" s="37"/>
      <c r="K23" s="221" t="s">
        <v>62</v>
      </c>
      <c r="L23" s="164" t="s">
        <v>23</v>
      </c>
      <c r="M23" s="160" t="s">
        <v>1596</v>
      </c>
      <c r="N23" s="156" t="s">
        <v>1597</v>
      </c>
      <c r="O23" s="160" t="s">
        <v>1593</v>
      </c>
      <c r="P23" s="157" t="s">
        <v>298</v>
      </c>
      <c r="Q23" s="159" t="s">
        <v>9</v>
      </c>
      <c r="R23" s="159" t="s">
        <v>105</v>
      </c>
      <c r="S23" s="159" t="s">
        <v>114</v>
      </c>
      <c r="T23" s="160" t="s">
        <v>298</v>
      </c>
      <c r="U23" s="160" t="s">
        <v>298</v>
      </c>
      <c r="V23" s="160" t="s">
        <v>1596</v>
      </c>
      <c r="W23" s="14" t="str">
        <f>IF(IFERROR(VLOOKUP($M23,'IMPORT GS-Tür OL FL 2S2 20'!$H$2:$H$847,1,0),"-")="-","","GS")</f>
        <v/>
      </c>
      <c r="X23" s="14" t="str">
        <f t="shared" si="3"/>
        <v/>
      </c>
      <c r="Y23" s="160" t="s">
        <v>1598</v>
      </c>
      <c r="Z23" s="58" t="str">
        <f>IF(OR($M23="",NOT($O23="{array}")),"",IFERROR(MATCH(PARAMETERS!$M23,DEFAULT!$B$5:$CI$5,0),""))</f>
        <v/>
      </c>
      <c r="AA23" s="55">
        <f t="shared" si="6"/>
        <v>34</v>
      </c>
      <c r="AB23" s="62" t="str">
        <f>IF(AND(OR($A23="G",$A23="P"),NOT($O23="{array}")),IF(VLOOKUP($K23,base!$B$2:$D$20,3,0)="S",IF(OR($O23="",ISTEXT($O23)),"","STRING!"),IF(VLOOKUP($K23,base!$B$2:$D$20,3,0)="","",IF(ISTEXT($O23),"NUMERIC!",""))),"")</f>
        <v/>
      </c>
      <c r="AC23" s="16" t="e">
        <f>IF($AA23="","",IF($B23="I",VLOOKUP($AA23,#REF!,53,0),INDEX(VALUES!$B$1:$GP$1,1,$AA23)))</f>
        <v>#REF!</v>
      </c>
    </row>
    <row r="24" spans="1:29" hidden="1" outlineLevel="1">
      <c r="A24" s="21" t="s">
        <v>87</v>
      </c>
      <c r="B24" s="40" t="str">
        <f t="shared" si="4"/>
        <v>I</v>
      </c>
      <c r="C24" s="41">
        <f t="shared" si="5"/>
        <v>23</v>
      </c>
      <c r="D24" s="260"/>
      <c r="E24" s="37"/>
      <c r="F24" s="305"/>
      <c r="G24" s="188"/>
      <c r="H24" s="37"/>
      <c r="I24" s="37" t="s">
        <v>9</v>
      </c>
      <c r="J24" s="37"/>
      <c r="K24" s="221" t="s">
        <v>62</v>
      </c>
      <c r="L24" s="164" t="s">
        <v>23</v>
      </c>
      <c r="M24" s="160" t="s">
        <v>1599</v>
      </c>
      <c r="N24" s="156" t="s">
        <v>1600</v>
      </c>
      <c r="O24" s="160" t="s">
        <v>1593</v>
      </c>
      <c r="P24" s="157" t="s">
        <v>298</v>
      </c>
      <c r="Q24" s="159" t="s">
        <v>9</v>
      </c>
      <c r="R24" s="159" t="s">
        <v>105</v>
      </c>
      <c r="S24" s="159" t="s">
        <v>114</v>
      </c>
      <c r="T24" s="160" t="s">
        <v>298</v>
      </c>
      <c r="U24" s="160" t="s">
        <v>298</v>
      </c>
      <c r="V24" s="160" t="s">
        <v>1599</v>
      </c>
      <c r="W24" s="14" t="str">
        <f>IF(IFERROR(VLOOKUP($M24,'IMPORT GS-Tür OL FL 2S2 20'!$H$2:$H$847,1,0),"-")="-","","GS")</f>
        <v/>
      </c>
      <c r="X24" s="14" t="str">
        <f t="shared" si="3"/>
        <v/>
      </c>
      <c r="Y24" s="160" t="s">
        <v>1601</v>
      </c>
      <c r="Z24" s="58" t="str">
        <f>IF(OR($M24="",NOT($O24="{array}")),"",IFERROR(MATCH(PARAMETERS!$M24,DEFAULT!$B$5:$CI$5,0),""))</f>
        <v/>
      </c>
      <c r="AA24" s="55">
        <f t="shared" si="6"/>
        <v>35</v>
      </c>
      <c r="AB24" s="62" t="str">
        <f>IF(AND(OR($A24="G",$A24="P"),NOT($O24="{array}")),IF(VLOOKUP($K24,base!$B$2:$D$20,3,0)="S",IF(OR($O24="",ISTEXT($O24)),"","STRING!"),IF(VLOOKUP($K24,base!$B$2:$D$20,3,0)="","",IF(ISTEXT($O24),"NUMERIC!",""))),"")</f>
        <v/>
      </c>
      <c r="AC24" s="16" t="e">
        <f>IF($AA24="","",IF($B24="I",VLOOKUP($AA24,#REF!,53,0),INDEX(VALUES!$B$1:$GP$1,1,$AA24)))</f>
        <v>#REF!</v>
      </c>
    </row>
    <row r="25" spans="1:29" collapsed="1">
      <c r="A25" s="21" t="s">
        <v>86</v>
      </c>
      <c r="B25" s="40" t="str">
        <f t="shared" si="4"/>
        <v/>
      </c>
      <c r="C25" s="41">
        <f t="shared" si="5"/>
        <v>24</v>
      </c>
      <c r="D25" s="260"/>
      <c r="E25" s="37"/>
      <c r="F25" s="305"/>
      <c r="G25" s="188"/>
      <c r="H25" s="37"/>
      <c r="I25" s="37"/>
      <c r="J25" s="37"/>
      <c r="K25" s="230" t="s">
        <v>59</v>
      </c>
      <c r="L25" s="230" t="s">
        <v>40</v>
      </c>
      <c r="M25" s="231" t="s">
        <v>1602</v>
      </c>
      <c r="N25" s="232" t="s">
        <v>1603</v>
      </c>
      <c r="O25" s="311"/>
      <c r="R25" s="37" t="s">
        <v>204</v>
      </c>
      <c r="S25" s="37"/>
      <c r="T25" s="37"/>
      <c r="W25" s="14" t="str">
        <f>IF(IFERROR(VLOOKUP($M25,'IMPORT GS-Tür OL FL 2S2 20'!$H$2:$H$847,1,0),"-")="-","","GS")</f>
        <v/>
      </c>
      <c r="X25" s="14" t="str">
        <f t="shared" si="3"/>
        <v>...</v>
      </c>
      <c r="Z25" s="58" t="str">
        <f>IF(OR($M25="",NOT($O25="{array}")),"",IFERROR(MATCH(PARAMETERS!$M25,DEFAULT!$B$5:$CI$5,0),""))</f>
        <v/>
      </c>
      <c r="AA25" s="55" t="str">
        <f t="shared" si="6"/>
        <v/>
      </c>
      <c r="AB25" s="62" t="str">
        <f>IF(AND(OR($A25="G",$A25="P"),NOT($O25="{array}")),IF(VLOOKUP($K25,base!$B$2:$D$20,3,0)="S",IF(OR($O25="",ISTEXT($O25)),"","STRING!"),IF(VLOOKUP($K25,base!$B$2:$D$20,3,0)="","",IF(ISTEXT($O25),"NUMERIC!",""))),"")</f>
        <v/>
      </c>
      <c r="AC25" s="16" t="str">
        <f>IF($AA25="","",IF($B25="I",VLOOKUP($AA25,#REF!,53,0),INDEX(VALUES!$B$1:$GP$1,1,$AA25)))</f>
        <v/>
      </c>
    </row>
    <row r="26" spans="1:29" hidden="1" outlineLevel="1">
      <c r="A26" s="21" t="s">
        <v>86</v>
      </c>
      <c r="B26" s="40" t="str">
        <f t="shared" si="4"/>
        <v/>
      </c>
      <c r="C26" s="41">
        <f t="shared" si="5"/>
        <v>25</v>
      </c>
      <c r="D26" s="260" t="s">
        <v>9</v>
      </c>
      <c r="E26" s="37"/>
      <c r="F26" s="305"/>
      <c r="G26" s="188" t="s">
        <v>9</v>
      </c>
      <c r="H26" s="37"/>
      <c r="I26" s="37" t="s">
        <v>9</v>
      </c>
      <c r="J26" s="37" t="s">
        <v>9</v>
      </c>
      <c r="K26" s="249" t="s">
        <v>49</v>
      </c>
      <c r="L26" s="249" t="s">
        <v>29</v>
      </c>
      <c r="M26" s="214" t="s">
        <v>4011</v>
      </c>
      <c r="N26" s="249" t="s">
        <v>4014</v>
      </c>
      <c r="O26" s="314">
        <v>1</v>
      </c>
      <c r="R26" s="37" t="s">
        <v>106</v>
      </c>
      <c r="S26" s="37"/>
      <c r="T26" s="37"/>
      <c r="W26" s="14" t="str">
        <f>IF(IFERROR(VLOOKUP($M26,'IMPORT GS-Tür OL FL 2S2 20'!$H$2:$H$847,1,0),"-")="-","","GS")</f>
        <v/>
      </c>
      <c r="X26" s="14" t="str">
        <f t="shared" si="3"/>
        <v>&gt;&lt;</v>
      </c>
      <c r="Y26" s="13" t="s">
        <v>1605</v>
      </c>
      <c r="Z26" s="58" t="str">
        <f>IF(OR($M26="",NOT($O26="{array}")),"",IFERROR(MATCH(PARAMETERS!$M26,DEFAULT!$B$5:$CI$5,0),""))</f>
        <v/>
      </c>
      <c r="AA26" s="55" t="str">
        <f t="shared" si="6"/>
        <v/>
      </c>
      <c r="AB26" s="62" t="str">
        <f>IF(AND(OR($A26="G",$A26="P"),NOT($O26="{array}")),IF(VLOOKUP($K26,base!$B$2:$D$20,3,0)="S",IF(OR($O26="",ISTEXT($O26)),"","STRING!"),IF(VLOOKUP($K26,base!$B$2:$D$20,3,0)="","",IF(ISTEXT($O26),"NUMERIC!",""))),"")</f>
        <v/>
      </c>
      <c r="AC26" s="16" t="str">
        <f>IF($AA26="","",IF($B26="I",VLOOKUP($AA26,#REF!,53,0),INDEX(VALUES!$B$1:$GP$1,1,$AA26)))</f>
        <v/>
      </c>
    </row>
    <row r="27" spans="1:29" hidden="1" outlineLevel="1">
      <c r="A27" s="21"/>
      <c r="B27" s="40" t="str">
        <f t="shared" si="4"/>
        <v>X</v>
      </c>
      <c r="C27" s="41">
        <f t="shared" si="5"/>
        <v>26</v>
      </c>
      <c r="D27" s="260"/>
      <c r="E27" s="37"/>
      <c r="F27" s="305" t="s">
        <v>9</v>
      </c>
      <c r="G27" s="188" t="s">
        <v>9</v>
      </c>
      <c r="H27" s="37"/>
      <c r="I27" s="37" t="s">
        <v>9</v>
      </c>
      <c r="J27" s="37"/>
      <c r="K27" s="249" t="s">
        <v>46</v>
      </c>
      <c r="L27" s="249" t="s">
        <v>29</v>
      </c>
      <c r="M27" s="214" t="s">
        <v>1604</v>
      </c>
      <c r="N27" s="249" t="s">
        <v>4016</v>
      </c>
      <c r="O27" s="314">
        <v>0</v>
      </c>
      <c r="R27" s="37" t="s">
        <v>106</v>
      </c>
      <c r="S27" s="37"/>
      <c r="T27" s="37"/>
      <c r="W27" s="14" t="str">
        <f>IF(IFERROR(VLOOKUP($M27,'IMPORT GS-Tür OL FL 2S2 20'!$H$2:$H$847,1,0),"-")="-","","GS")</f>
        <v>GS</v>
      </c>
      <c r="X27" s="14" t="str">
        <f t="shared" si="3"/>
        <v/>
      </c>
      <c r="Y27" s="13" t="s">
        <v>1605</v>
      </c>
      <c r="Z27" s="58" t="str">
        <f>IF(OR($M27="",NOT($O27="{array}")),"",IFERROR(MATCH(PARAMETERS!$M27,DEFAULT!$B$5:$CI$5,0),""))</f>
        <v/>
      </c>
      <c r="AA27" s="55">
        <f t="shared" si="6"/>
        <v>36</v>
      </c>
      <c r="AB27" s="62" t="str">
        <f>IF(AND(OR($A27="G",$A27="P"),NOT($O27="{array}")),IF(VLOOKUP($K27,base!$B$2:$D$20,3,0)="S",IF(OR($O27="",ISTEXT($O27)),"","STRING!"),IF(VLOOKUP($K27,base!$B$2:$D$20,3,0)="","",IF(ISTEXT($O27),"NUMERIC!",""))),"")</f>
        <v/>
      </c>
      <c r="AC27" s="16" t="str">
        <f>IF($AA27="","",IF($B27="I",VLOOKUP($AA27,#REF!,53,0),INDEX(VALUES!$B$1:$GP$1,1,$AA27)))</f>
        <v>0 | 1 | 2 | 3</v>
      </c>
    </row>
    <row r="28" spans="1:29" hidden="1" outlineLevel="1">
      <c r="A28" s="21"/>
      <c r="B28" s="40" t="str">
        <f t="shared" si="4"/>
        <v>X</v>
      </c>
      <c r="C28" s="41">
        <f t="shared" si="5"/>
        <v>27</v>
      </c>
      <c r="D28" s="260"/>
      <c r="E28" s="37"/>
      <c r="F28" s="305" t="s">
        <v>9</v>
      </c>
      <c r="G28" s="188" t="s">
        <v>9</v>
      </c>
      <c r="H28" s="37"/>
      <c r="I28" s="37" t="s">
        <v>9</v>
      </c>
      <c r="J28" s="37"/>
      <c r="K28" s="249" t="s">
        <v>46</v>
      </c>
      <c r="L28" s="249" t="s">
        <v>29</v>
      </c>
      <c r="M28" s="214" t="s">
        <v>1606</v>
      </c>
      <c r="N28" s="249" t="s">
        <v>1607</v>
      </c>
      <c r="O28" s="314">
        <v>3</v>
      </c>
      <c r="R28" s="37" t="s">
        <v>106</v>
      </c>
      <c r="S28" s="37"/>
      <c r="T28" s="37"/>
      <c r="W28" s="14" t="str">
        <f>IF(IFERROR(VLOOKUP($M28,'IMPORT GS-Tür OL FL 2S2 20'!$H$2:$H$847,1,0),"-")="-","","GS")</f>
        <v>GS</v>
      </c>
      <c r="X28" s="14" t="str">
        <f t="shared" si="3"/>
        <v/>
      </c>
      <c r="Y28" s="13" t="s">
        <v>1605</v>
      </c>
      <c r="Z28" s="58" t="str">
        <f>IF(OR($M28="",NOT($O28="{array}")),"",IFERROR(MATCH(PARAMETERS!$M28,DEFAULT!$B$5:$CI$5,0),""))</f>
        <v/>
      </c>
      <c r="AA28" s="55">
        <f t="shared" si="6"/>
        <v>38</v>
      </c>
      <c r="AB28" s="62" t="str">
        <f>IF(AND(OR($A28="G",$A28="P"),NOT($O28="{array}")),IF(VLOOKUP($K28,base!$B$2:$D$20,3,0)="S",IF(OR($O28="",ISTEXT($O28)),"","STRING!"),IF(VLOOKUP($K28,base!$B$2:$D$20,3,0)="","",IF(ISTEXT($O28),"NUMERIC!",""))),"")</f>
        <v/>
      </c>
      <c r="AC28" s="16" t="str">
        <f>IF($AA28="","",IF($B28="I",VLOOKUP($AA28,#REF!,53,0),INDEX(VALUES!$B$1:$GP$1,1,$AA28)))</f>
        <v>0 | 1 | 2 | 3</v>
      </c>
    </row>
    <row r="29" spans="1:29" hidden="1" outlineLevel="1">
      <c r="A29" s="21"/>
      <c r="B29" s="40" t="str">
        <f t="shared" si="4"/>
        <v/>
      </c>
      <c r="C29" s="41">
        <f t="shared" si="5"/>
        <v>28</v>
      </c>
      <c r="D29" s="260"/>
      <c r="E29" s="37"/>
      <c r="F29" s="305" t="s">
        <v>9</v>
      </c>
      <c r="G29" s="188" t="s">
        <v>9</v>
      </c>
      <c r="H29" s="37"/>
      <c r="I29" s="37" t="s">
        <v>9</v>
      </c>
      <c r="J29" s="37"/>
      <c r="K29" s="249" t="s">
        <v>49</v>
      </c>
      <c r="L29" s="249" t="s">
        <v>29</v>
      </c>
      <c r="M29" s="214" t="s">
        <v>182</v>
      </c>
      <c r="N29" s="249" t="s">
        <v>1608</v>
      </c>
      <c r="O29" s="311">
        <v>0</v>
      </c>
      <c r="R29" s="37" t="s">
        <v>106</v>
      </c>
      <c r="S29" s="37"/>
      <c r="T29" s="37"/>
      <c r="W29" s="14" t="str">
        <f>IF(IFERROR(VLOOKUP($M29,'IMPORT GS-Tür OL FL 2S2 20'!$H$2:$H$847,1,0),"-")="-","","GS")</f>
        <v>GS</v>
      </c>
      <c r="X29" s="14" t="str">
        <f t="shared" si="3"/>
        <v/>
      </c>
      <c r="Y29" s="13" t="s">
        <v>1605</v>
      </c>
      <c r="Z29" s="58" t="str">
        <f>IF(OR($M29="",NOT($O29="{array}")),"",IFERROR(MATCH(PARAMETERS!$M29,DEFAULT!$B$5:$CI$5,0),""))</f>
        <v/>
      </c>
      <c r="AA29" s="55" t="str">
        <f t="shared" si="6"/>
        <v/>
      </c>
      <c r="AB29" s="62" t="str">
        <f>IF(AND(OR($A29="G",$A29="P"),NOT($O29="{array}")),IF(VLOOKUP($K29,base!$B$2:$D$20,3,0)="S",IF(OR($O29="",ISTEXT($O29)),"","STRING!"),IF(VLOOKUP($K29,base!$B$2:$D$20,3,0)="","",IF(ISTEXT($O29),"NUMERIC!",""))),"")</f>
        <v/>
      </c>
      <c r="AC29" s="16" t="str">
        <f>IF($AA29="","",IF($B29="I",VLOOKUP($AA29,#REF!,53,0),INDEX(VALUES!$B$1:$GP$1,1,$AA29)))</f>
        <v/>
      </c>
    </row>
    <row r="30" spans="1:29" hidden="1" outlineLevel="1">
      <c r="A30" s="21"/>
      <c r="B30" s="40" t="str">
        <f t="shared" si="4"/>
        <v/>
      </c>
      <c r="C30" s="41">
        <f t="shared" si="5"/>
        <v>29</v>
      </c>
      <c r="D30" s="260"/>
      <c r="E30" s="37"/>
      <c r="F30" s="305" t="s">
        <v>9</v>
      </c>
      <c r="G30" s="188" t="s">
        <v>9</v>
      </c>
      <c r="H30" s="37"/>
      <c r="I30" s="37" t="s">
        <v>9</v>
      </c>
      <c r="J30" s="37"/>
      <c r="K30" s="249" t="s">
        <v>26</v>
      </c>
      <c r="L30" s="249" t="s">
        <v>29</v>
      </c>
      <c r="M30" s="214" t="s">
        <v>183</v>
      </c>
      <c r="N30" s="249" t="s">
        <v>1609</v>
      </c>
      <c r="O30" s="311">
        <v>1</v>
      </c>
      <c r="Q30" s="37" t="s">
        <v>9</v>
      </c>
      <c r="R30" s="37" t="s">
        <v>106</v>
      </c>
      <c r="S30" s="37"/>
      <c r="T30" s="37"/>
      <c r="W30" s="14" t="str">
        <f>IF(IFERROR(VLOOKUP($M30,'IMPORT GS-Tür OL FL 2S2 20'!$H$2:$H$847,1,0),"-")="-","","GS")</f>
        <v>GS</v>
      </c>
      <c r="X30" s="14" t="str">
        <f t="shared" si="3"/>
        <v/>
      </c>
      <c r="Y30" s="13" t="s">
        <v>1605</v>
      </c>
      <c r="Z30" s="58" t="str">
        <f>IF(OR($M30="",NOT($O30="{array}")),"",IFERROR(MATCH(PARAMETERS!$M30,DEFAULT!$B$5:$CI$5,0),""))</f>
        <v/>
      </c>
      <c r="AA30" s="55" t="str">
        <f t="shared" si="6"/>
        <v/>
      </c>
      <c r="AB30" s="62" t="str">
        <f>IF(AND(OR($A30="G",$A30="P"),NOT($O30="{array}")),IF(VLOOKUP($K30,base!$B$2:$D$20,3,0)="S",IF(OR($O30="",ISTEXT($O30)),"","STRING!"),IF(VLOOKUP($K30,base!$B$2:$D$20,3,0)="","",IF(ISTEXT($O30),"NUMERIC!",""))),"")</f>
        <v/>
      </c>
      <c r="AC30" s="16" t="str">
        <f>IF($AA30="","",IF($B30="I",VLOOKUP($AA30,#REF!,53,0),INDEX(VALUES!$B$1:$GP$1,1,$AA30)))</f>
        <v/>
      </c>
    </row>
    <row r="31" spans="1:29" hidden="1" outlineLevel="1">
      <c r="A31" s="21"/>
      <c r="B31" s="40" t="str">
        <f t="shared" si="4"/>
        <v/>
      </c>
      <c r="C31" s="41">
        <f t="shared" si="5"/>
        <v>30</v>
      </c>
      <c r="D31" s="260"/>
      <c r="E31" s="37"/>
      <c r="F31" s="305" t="s">
        <v>9</v>
      </c>
      <c r="G31" s="188" t="s">
        <v>9</v>
      </c>
      <c r="H31" s="37"/>
      <c r="I31" s="37" t="s">
        <v>9</v>
      </c>
      <c r="J31" s="37"/>
      <c r="K31" s="249" t="s">
        <v>26</v>
      </c>
      <c r="L31" s="249" t="s">
        <v>29</v>
      </c>
      <c r="M31" s="214" t="s">
        <v>184</v>
      </c>
      <c r="N31" s="249" t="s">
        <v>1610</v>
      </c>
      <c r="O31" s="311">
        <v>0</v>
      </c>
      <c r="Q31" s="37" t="s">
        <v>9</v>
      </c>
      <c r="R31" s="37" t="s">
        <v>106</v>
      </c>
      <c r="S31" s="37"/>
      <c r="T31" s="37"/>
      <c r="W31" s="14" t="str">
        <f>IF(IFERROR(VLOOKUP($M31,'IMPORT GS-Tür OL FL 2S2 20'!$H$2:$H$847,1,0),"-")="-","","GS")</f>
        <v>GS</v>
      </c>
      <c r="X31" s="14" t="str">
        <f t="shared" si="3"/>
        <v/>
      </c>
      <c r="Y31" s="13" t="s">
        <v>1605</v>
      </c>
      <c r="Z31" s="58" t="str">
        <f>IF(OR($M31="",NOT($O31="{array}")),"",IFERROR(MATCH(PARAMETERS!$M31,DEFAULT!$B$5:$CI$5,0),""))</f>
        <v/>
      </c>
      <c r="AA31" s="55" t="str">
        <f t="shared" si="6"/>
        <v/>
      </c>
      <c r="AB31" s="62" t="str">
        <f>IF(AND(OR($A31="G",$A31="P"),NOT($O31="{array}")),IF(VLOOKUP($K31,base!$B$2:$D$20,3,0)="S",IF(OR($O31="",ISTEXT($O31)),"","STRING!"),IF(VLOOKUP($K31,base!$B$2:$D$20,3,0)="","",IF(ISTEXT($O31),"NUMERIC!",""))),"")</f>
        <v/>
      </c>
      <c r="AC31" s="16" t="str">
        <f>IF($AA31="","",IF($B31="I",VLOOKUP($AA31,#REF!,53,0),INDEX(VALUES!$B$1:$GP$1,1,$AA31)))</f>
        <v/>
      </c>
    </row>
    <row r="32" spans="1:29" hidden="1" outlineLevel="1">
      <c r="A32" s="21"/>
      <c r="B32" s="40" t="str">
        <f t="shared" si="4"/>
        <v/>
      </c>
      <c r="C32" s="41">
        <f t="shared" si="5"/>
        <v>31</v>
      </c>
      <c r="D32" s="260"/>
      <c r="E32" s="37"/>
      <c r="F32" s="305" t="s">
        <v>9</v>
      </c>
      <c r="G32" s="188" t="s">
        <v>9</v>
      </c>
      <c r="H32" s="37"/>
      <c r="I32" s="37" t="s">
        <v>9</v>
      </c>
      <c r="J32" s="37"/>
      <c r="K32" s="249" t="s">
        <v>46</v>
      </c>
      <c r="L32" s="249" t="s">
        <v>29</v>
      </c>
      <c r="M32" s="214" t="s">
        <v>1611</v>
      </c>
      <c r="N32" s="249" t="s">
        <v>1612</v>
      </c>
      <c r="O32" s="314">
        <v>3</v>
      </c>
      <c r="R32" s="37" t="s">
        <v>106</v>
      </c>
      <c r="S32" s="37"/>
      <c r="T32" s="37"/>
      <c r="W32" s="14" t="str">
        <f>IF(IFERROR(VLOOKUP($M32,'IMPORT GS-Tür OL FL 2S2 20'!$H$2:$H$847,1,0),"-")="-","","GS")</f>
        <v>GS</v>
      </c>
      <c r="X32" s="14" t="str">
        <f t="shared" si="3"/>
        <v/>
      </c>
      <c r="Y32" s="13" t="s">
        <v>1605</v>
      </c>
      <c r="Z32" s="58" t="str">
        <f>IF(OR($M32="",NOT($O32="{array}")),"",IFERROR(MATCH(PARAMETERS!$M32,DEFAULT!$B$5:$CI$5,0),""))</f>
        <v/>
      </c>
      <c r="AA32" s="55" t="str">
        <f t="shared" si="6"/>
        <v/>
      </c>
      <c r="AB32" s="62" t="str">
        <f>IF(AND(OR($A32="G",$A32="P"),NOT($O32="{array}")),IF(VLOOKUP($K32,base!$B$2:$D$20,3,0)="S",IF(OR($O32="",ISTEXT($O32)),"","STRING!"),IF(VLOOKUP($K32,base!$B$2:$D$20,3,0)="","",IF(ISTEXT($O32),"NUMERIC!",""))),"")</f>
        <v/>
      </c>
      <c r="AC32" s="16" t="str">
        <f>IF($AA32="","",IF($B32="I",VLOOKUP($AA32,#REF!,53,0),INDEX(VALUES!$B$1:$GP$1,1,$AA32)))</f>
        <v/>
      </c>
    </row>
    <row r="33" spans="1:29" hidden="1" outlineLevel="1">
      <c r="A33" s="21"/>
      <c r="B33" s="40" t="str">
        <f t="shared" si="4"/>
        <v/>
      </c>
      <c r="C33" s="41">
        <f t="shared" si="5"/>
        <v>32</v>
      </c>
      <c r="D33" s="260"/>
      <c r="E33" s="37"/>
      <c r="F33" s="305" t="s">
        <v>9</v>
      </c>
      <c r="G33" s="188" t="s">
        <v>9</v>
      </c>
      <c r="H33" s="37"/>
      <c r="I33" s="37" t="s">
        <v>9</v>
      </c>
      <c r="J33" s="37"/>
      <c r="K33" s="249" t="s">
        <v>33</v>
      </c>
      <c r="L33" s="249" t="s">
        <v>29</v>
      </c>
      <c r="M33" s="214" t="s">
        <v>1613</v>
      </c>
      <c r="N33" s="249" t="s">
        <v>1614</v>
      </c>
      <c r="O33" s="311">
        <v>0</v>
      </c>
      <c r="Q33" s="37" t="s">
        <v>9</v>
      </c>
      <c r="R33" s="37" t="s">
        <v>106</v>
      </c>
      <c r="S33" s="37"/>
      <c r="T33" s="37"/>
      <c r="W33" s="14" t="str">
        <f>IF(IFERROR(VLOOKUP($M33,'IMPORT GS-Tür OL FL 2S2 20'!$H$2:$H$847,1,0),"-")="-","","GS")</f>
        <v>GS</v>
      </c>
      <c r="X33" s="14" t="str">
        <f t="shared" si="3"/>
        <v/>
      </c>
      <c r="Y33" s="13" t="s">
        <v>1605</v>
      </c>
      <c r="Z33" s="58" t="str">
        <f>IF(OR($M33="",NOT($O33="{array}")),"",IFERROR(MATCH(PARAMETERS!$M33,DEFAULT!$B$5:$CI$5,0),""))</f>
        <v/>
      </c>
      <c r="AA33" s="55" t="str">
        <f t="shared" si="6"/>
        <v/>
      </c>
      <c r="AB33" s="62" t="str">
        <f>IF(AND(OR($A33="G",$A33="P"),NOT($O33="{array}")),IF(VLOOKUP($K33,base!$B$2:$D$20,3,0)="S",IF(OR($O33="",ISTEXT($O33)),"","STRING!"),IF(VLOOKUP($K33,base!$B$2:$D$20,3,0)="","",IF(ISTEXT($O33),"NUMERIC!",""))),"")</f>
        <v/>
      </c>
      <c r="AC33" s="16" t="str">
        <f>IF($AA33="","",IF($B33="I",VLOOKUP($AA33,#REF!,53,0),INDEX(VALUES!$B$1:$GP$1,1,$AA33)))</f>
        <v/>
      </c>
    </row>
    <row r="34" spans="1:29" hidden="1" outlineLevel="1">
      <c r="A34" s="21"/>
      <c r="B34" s="40" t="str">
        <f t="shared" si="4"/>
        <v/>
      </c>
      <c r="C34" s="41">
        <f t="shared" si="5"/>
        <v>33</v>
      </c>
      <c r="D34" s="260"/>
      <c r="E34" s="37"/>
      <c r="F34" s="305" t="s">
        <v>9</v>
      </c>
      <c r="G34" s="188" t="s">
        <v>9</v>
      </c>
      <c r="H34" s="37"/>
      <c r="I34" s="37" t="s">
        <v>9</v>
      </c>
      <c r="J34" s="37"/>
      <c r="K34" s="249" t="s">
        <v>49</v>
      </c>
      <c r="L34" s="249" t="s">
        <v>29</v>
      </c>
      <c r="M34" s="214" t="s">
        <v>1615</v>
      </c>
      <c r="N34" s="249" t="s">
        <v>1616</v>
      </c>
      <c r="O34" s="311">
        <v>1</v>
      </c>
      <c r="R34" s="37" t="s">
        <v>106</v>
      </c>
      <c r="S34" s="37"/>
      <c r="T34" s="37"/>
      <c r="W34" s="14" t="str">
        <f>IF(IFERROR(VLOOKUP($M34,'IMPORT GS-Tür OL FL 2S2 20'!$H$2:$H$847,1,0),"-")="-","","GS")</f>
        <v>GS</v>
      </c>
      <c r="X34" s="14" t="str">
        <f t="shared" si="3"/>
        <v/>
      </c>
      <c r="Y34" s="13" t="s">
        <v>1605</v>
      </c>
      <c r="Z34" s="58" t="str">
        <f>IF(OR($M34="",NOT($O34="{array}")),"",IFERROR(MATCH(PARAMETERS!$M34,DEFAULT!$B$5:$CI$5,0),""))</f>
        <v/>
      </c>
      <c r="AA34" s="55" t="str">
        <f t="shared" si="6"/>
        <v/>
      </c>
      <c r="AB34" s="62" t="str">
        <f>IF(AND(OR($A34="G",$A34="P"),NOT($O34="{array}")),IF(VLOOKUP($K34,base!$B$2:$D$20,3,0)="S",IF(OR($O34="",ISTEXT($O34)),"","STRING!"),IF(VLOOKUP($K34,base!$B$2:$D$20,3,0)="","",IF(ISTEXT($O34),"NUMERIC!",""))),"")</f>
        <v/>
      </c>
      <c r="AC34" s="16" t="str">
        <f>IF($AA34="","",IF($B34="I",VLOOKUP($AA34,#REF!,53,0),INDEX(VALUES!$B$1:$GP$1,1,$AA34)))</f>
        <v/>
      </c>
    </row>
    <row r="35" spans="1:29" hidden="1" outlineLevel="1">
      <c r="A35" s="21"/>
      <c r="B35" s="40" t="str">
        <f t="shared" si="4"/>
        <v/>
      </c>
      <c r="C35" s="41">
        <f t="shared" si="5"/>
        <v>34</v>
      </c>
      <c r="D35" s="260"/>
      <c r="E35" s="37"/>
      <c r="F35" s="305" t="s">
        <v>9</v>
      </c>
      <c r="G35" s="188" t="s">
        <v>9</v>
      </c>
      <c r="H35" s="37"/>
      <c r="I35" s="37" t="s">
        <v>9</v>
      </c>
      <c r="J35" s="37"/>
      <c r="K35" s="249" t="s">
        <v>49</v>
      </c>
      <c r="L35" s="249" t="s">
        <v>29</v>
      </c>
      <c r="M35" s="214" t="s">
        <v>1617</v>
      </c>
      <c r="N35" s="249" t="s">
        <v>1618</v>
      </c>
      <c r="O35" s="311">
        <v>0</v>
      </c>
      <c r="R35" s="37" t="s">
        <v>106</v>
      </c>
      <c r="S35" s="37"/>
      <c r="T35" s="37"/>
      <c r="W35" s="14" t="str">
        <f>IF(IFERROR(VLOOKUP($M35,'IMPORT GS-Tür OL FL 2S2 20'!$H$2:$H$847,1,0),"-")="-","","GS")</f>
        <v>GS</v>
      </c>
      <c r="X35" s="14" t="str">
        <f t="shared" si="3"/>
        <v/>
      </c>
      <c r="Y35" s="13" t="s">
        <v>1605</v>
      </c>
      <c r="Z35" s="58" t="str">
        <f>IF(OR($M35="",NOT($O35="{array}")),"",IFERROR(MATCH(PARAMETERS!$M35,DEFAULT!$B$5:$CI$5,0),""))</f>
        <v/>
      </c>
      <c r="AA35" s="55" t="str">
        <f t="shared" si="6"/>
        <v/>
      </c>
      <c r="AB35" s="62" t="str">
        <f>IF(AND(OR($A35="G",$A35="P"),NOT($O35="{array}")),IF(VLOOKUP($K35,base!$B$2:$D$20,3,0)="S",IF(OR($O35="",ISTEXT($O35)),"","STRING!"),IF(VLOOKUP($K35,base!$B$2:$D$20,3,0)="","",IF(ISTEXT($O35),"NUMERIC!",""))),"")</f>
        <v/>
      </c>
      <c r="AC35" s="16" t="str">
        <f>IF($AA35="","",IF($B35="I",VLOOKUP($AA35,#REF!,53,0),INDEX(VALUES!$B$1:$GP$1,1,$AA35)))</f>
        <v/>
      </c>
    </row>
    <row r="36" spans="1:29" hidden="1" outlineLevel="1">
      <c r="A36" s="21"/>
      <c r="B36" s="40" t="str">
        <f t="shared" si="4"/>
        <v/>
      </c>
      <c r="C36" s="41">
        <f t="shared" si="5"/>
        <v>35</v>
      </c>
      <c r="D36" s="260"/>
      <c r="E36" s="37"/>
      <c r="F36" s="305" t="s">
        <v>9</v>
      </c>
      <c r="G36" s="188" t="s">
        <v>9</v>
      </c>
      <c r="H36" s="37"/>
      <c r="I36" s="37" t="s">
        <v>9</v>
      </c>
      <c r="J36" s="37"/>
      <c r="K36" s="249" t="s">
        <v>46</v>
      </c>
      <c r="L36" s="249" t="s">
        <v>29</v>
      </c>
      <c r="M36" s="214" t="s">
        <v>1619</v>
      </c>
      <c r="N36" s="249" t="s">
        <v>1620</v>
      </c>
      <c r="O36" s="314">
        <v>1</v>
      </c>
      <c r="R36" s="37" t="s">
        <v>106</v>
      </c>
      <c r="S36" s="37"/>
      <c r="T36" s="37"/>
      <c r="W36" s="14" t="str">
        <f>IF(IFERROR(VLOOKUP($M36,'IMPORT GS-Tür OL FL 2S2 20'!$H$2:$H$847,1,0),"-")="-","","GS")</f>
        <v>GS</v>
      </c>
      <c r="X36" s="14" t="str">
        <f t="shared" si="3"/>
        <v/>
      </c>
      <c r="Y36" s="13" t="s">
        <v>1621</v>
      </c>
      <c r="Z36" s="58" t="str">
        <f>IF(OR($M36="",NOT($O36="{array}")),"",IFERROR(MATCH(PARAMETERS!$M36,DEFAULT!$B$5:$CI$5,0),""))</f>
        <v/>
      </c>
      <c r="AA36" s="55" t="str">
        <f t="shared" si="6"/>
        <v/>
      </c>
      <c r="AB36" s="62" t="str">
        <f>IF(AND(OR($A36="G",$A36="P"),NOT($O36="{array}")),IF(VLOOKUP($K36,base!$B$2:$D$20,3,0)="S",IF(OR($O36="",ISTEXT($O36)),"","STRING!"),IF(VLOOKUP($K36,base!$B$2:$D$20,3,0)="","",IF(ISTEXT($O36),"NUMERIC!",""))),"")</f>
        <v/>
      </c>
      <c r="AC36" s="16" t="str">
        <f>IF($AA36="","",IF($B36="I",VLOOKUP($AA36,#REF!,53,0),INDEX(VALUES!$B$1:$GP$1,1,$AA36)))</f>
        <v/>
      </c>
    </row>
    <row r="37" spans="1:29" hidden="1" outlineLevel="1">
      <c r="A37" s="21"/>
      <c r="B37" s="40" t="str">
        <f t="shared" si="4"/>
        <v>A</v>
      </c>
      <c r="C37" s="41">
        <f t="shared" si="5"/>
        <v>36</v>
      </c>
      <c r="D37" s="260"/>
      <c r="E37" s="37"/>
      <c r="F37" s="305" t="s">
        <v>9</v>
      </c>
      <c r="G37" s="188" t="s">
        <v>9</v>
      </c>
      <c r="H37" s="37"/>
      <c r="I37" s="37" t="s">
        <v>9</v>
      </c>
      <c r="J37" s="37"/>
      <c r="K37" s="249" t="s">
        <v>46</v>
      </c>
      <c r="L37" s="249" t="s">
        <v>29</v>
      </c>
      <c r="M37" s="214" t="s">
        <v>1622</v>
      </c>
      <c r="N37" s="249" t="s">
        <v>1623</v>
      </c>
      <c r="O37" s="311" t="s">
        <v>35</v>
      </c>
      <c r="Q37" s="37" t="s">
        <v>9</v>
      </c>
      <c r="R37" s="37" t="s">
        <v>106</v>
      </c>
      <c r="S37" s="37"/>
      <c r="T37" s="37"/>
      <c r="W37" s="14" t="str">
        <f>IF(IFERROR(VLOOKUP($M37,'IMPORT GS-Tür OL FL 2S2 20'!$H$2:$H$847,1,0),"-")="-","","GS")</f>
        <v>GS</v>
      </c>
      <c r="X37" s="14" t="str">
        <f t="shared" si="3"/>
        <v/>
      </c>
      <c r="Y37" s="13" t="s">
        <v>1605</v>
      </c>
      <c r="Z37" s="58">
        <f>IF(OR($M37="",NOT($O37="{array}")),"",IFERROR(MATCH(PARAMETERS!$M37,DEFAULT!$B$5:$CI$5,0),""))</f>
        <v>1</v>
      </c>
      <c r="AA37" s="55" t="str">
        <f t="shared" si="6"/>
        <v/>
      </c>
      <c r="AB37" s="62" t="str">
        <f>IF(AND(OR($A37="G",$A37="P"),NOT($O37="{array}")),IF(VLOOKUP($K37,base!$B$2:$D$20,3,0)="S",IF(OR($O37="",ISTEXT($O37)),"","STRING!"),IF(VLOOKUP($K37,base!$B$2:$D$20,3,0)="","",IF(ISTEXT($O37),"NUMERIC!",""))),"")</f>
        <v/>
      </c>
      <c r="AC37" s="16" t="str">
        <f>IF($AA37="","",IF($B37="I",VLOOKUP($AA37,#REF!,53,0),INDEX(VALUES!$B$1:$GP$1,1,$AA37)))</f>
        <v/>
      </c>
    </row>
    <row r="38" spans="1:29" hidden="1" outlineLevel="1">
      <c r="A38" s="21"/>
      <c r="B38" s="40" t="str">
        <f t="shared" si="4"/>
        <v>A</v>
      </c>
      <c r="C38" s="41">
        <f t="shared" si="5"/>
        <v>37</v>
      </c>
      <c r="D38" s="260"/>
      <c r="E38" s="37"/>
      <c r="F38" s="305" t="s">
        <v>9</v>
      </c>
      <c r="G38" s="188" t="s">
        <v>9</v>
      </c>
      <c r="H38" s="37"/>
      <c r="I38" s="37" t="s">
        <v>9</v>
      </c>
      <c r="J38" s="37"/>
      <c r="K38" s="249" t="s">
        <v>26</v>
      </c>
      <c r="L38" s="249" t="s">
        <v>29</v>
      </c>
      <c r="M38" s="214" t="s">
        <v>1624</v>
      </c>
      <c r="N38" s="249" t="s">
        <v>1625</v>
      </c>
      <c r="O38" s="311" t="s">
        <v>35</v>
      </c>
      <c r="Q38" s="37" t="s">
        <v>9</v>
      </c>
      <c r="R38" s="37" t="s">
        <v>106</v>
      </c>
      <c r="S38" s="37"/>
      <c r="T38" s="37"/>
      <c r="W38" s="14" t="str">
        <f>IF(IFERROR(VLOOKUP($M38,'IMPORT GS-Tür OL FL 2S2 20'!$H$2:$H$847,1,0),"-")="-","","GS")</f>
        <v>GS</v>
      </c>
      <c r="X38" s="14" t="str">
        <f t="shared" si="3"/>
        <v/>
      </c>
      <c r="Y38" s="13" t="s">
        <v>1605</v>
      </c>
      <c r="Z38" s="58">
        <f>IF(OR($M38="",NOT($O38="{array}")),"",IFERROR(MATCH(PARAMETERS!$M38,DEFAULT!$B$5:$CI$5,0),""))</f>
        <v>2</v>
      </c>
      <c r="AA38" s="55" t="str">
        <f t="shared" si="6"/>
        <v/>
      </c>
      <c r="AB38" s="62" t="str">
        <f>IF(AND(OR($A38="G",$A38="P"),NOT($O38="{array}")),IF(VLOOKUP($K38,base!$B$2:$D$20,3,0)="S",IF(OR($O38="",ISTEXT($O38)),"","STRING!"),IF(VLOOKUP($K38,base!$B$2:$D$20,3,0)="","",IF(ISTEXT($O38),"NUMERIC!",""))),"")</f>
        <v/>
      </c>
      <c r="AC38" s="16" t="str">
        <f>IF($AA38="","",IF($B38="I",VLOOKUP($AA38,#REF!,53,0),INDEX(VALUES!$B$1:$GP$1,1,$AA38)))</f>
        <v/>
      </c>
    </row>
    <row r="39" spans="1:29" hidden="1" outlineLevel="1">
      <c r="A39" s="21"/>
      <c r="B39" s="40" t="str">
        <f t="shared" si="4"/>
        <v/>
      </c>
      <c r="C39" s="41">
        <f t="shared" si="5"/>
        <v>38</v>
      </c>
      <c r="D39" s="260"/>
      <c r="E39" s="37"/>
      <c r="F39" s="305" t="s">
        <v>9</v>
      </c>
      <c r="G39" s="188" t="s">
        <v>9</v>
      </c>
      <c r="H39" s="37"/>
      <c r="I39" s="37" t="s">
        <v>9</v>
      </c>
      <c r="J39" s="37"/>
      <c r="K39" s="249" t="s">
        <v>46</v>
      </c>
      <c r="L39" s="249" t="s">
        <v>29</v>
      </c>
      <c r="M39" s="214" t="s">
        <v>1626</v>
      </c>
      <c r="N39" s="249" t="s">
        <v>1627</v>
      </c>
      <c r="O39" s="314">
        <v>0</v>
      </c>
      <c r="R39" s="37" t="s">
        <v>106</v>
      </c>
      <c r="S39" s="37"/>
      <c r="T39" s="37"/>
      <c r="W39" s="14" t="str">
        <f>IF(IFERROR(VLOOKUP($M39,'IMPORT GS-Tür OL FL 2S2 20'!$H$2:$H$847,1,0),"-")="-","","GS")</f>
        <v>GS</v>
      </c>
      <c r="X39" s="14" t="str">
        <f t="shared" si="3"/>
        <v/>
      </c>
      <c r="Y39" s="13" t="s">
        <v>1605</v>
      </c>
      <c r="Z39" s="58" t="str">
        <f>IF(OR($M39="",NOT($O39="{array}")),"",IFERROR(MATCH(PARAMETERS!$M39,DEFAULT!$B$5:$CI$5,0),""))</f>
        <v/>
      </c>
      <c r="AA39" s="55" t="str">
        <f t="shared" si="6"/>
        <v/>
      </c>
      <c r="AB39" s="62" t="str">
        <f>IF(AND(OR($A39="G",$A39="P"),NOT($O39="{array}")),IF(VLOOKUP($K39,base!$B$2:$D$20,3,0)="S",IF(OR($O39="",ISTEXT($O39)),"","STRING!"),IF(VLOOKUP($K39,base!$B$2:$D$20,3,0)="","",IF(ISTEXT($O39),"NUMERIC!",""))),"")</f>
        <v/>
      </c>
      <c r="AC39" s="16" t="str">
        <f>IF($AA39="","",IF($B39="I",VLOOKUP($AA39,#REF!,53,0),INDEX(VALUES!$B$1:$GP$1,1,$AA39)))</f>
        <v/>
      </c>
    </row>
    <row r="40" spans="1:29" hidden="1" outlineLevel="1">
      <c r="A40" s="21"/>
      <c r="B40" s="40" t="str">
        <f t="shared" si="4"/>
        <v/>
      </c>
      <c r="C40" s="41">
        <f t="shared" si="5"/>
        <v>39</v>
      </c>
      <c r="D40" s="260"/>
      <c r="E40" s="37"/>
      <c r="F40" s="305" t="s">
        <v>9</v>
      </c>
      <c r="G40" s="188" t="s">
        <v>9</v>
      </c>
      <c r="H40" s="37"/>
      <c r="I40" s="37" t="s">
        <v>9</v>
      </c>
      <c r="J40" s="37" t="s">
        <v>9</v>
      </c>
      <c r="K40" s="249" t="s">
        <v>46</v>
      </c>
      <c r="L40" s="249" t="s">
        <v>29</v>
      </c>
      <c r="M40" s="214" t="s">
        <v>1628</v>
      </c>
      <c r="N40" s="249" t="s">
        <v>1629</v>
      </c>
      <c r="O40" s="314">
        <v>1</v>
      </c>
      <c r="R40" s="37" t="s">
        <v>106</v>
      </c>
      <c r="S40" s="37"/>
      <c r="T40" s="37"/>
      <c r="W40" s="14" t="str">
        <f>IF(IFERROR(VLOOKUP($M40,'IMPORT GS-Tür OL FL 2S2 20'!$H$2:$H$847,1,0),"-")="-","","GS")</f>
        <v>GS</v>
      </c>
      <c r="X40" s="14" t="str">
        <f t="shared" si="3"/>
        <v/>
      </c>
      <c r="Y40" s="13" t="s">
        <v>1605</v>
      </c>
      <c r="Z40" s="58" t="str">
        <f>IF(OR($M40="",NOT($O40="{array}")),"",IFERROR(MATCH(PARAMETERS!$M40,DEFAULT!$B$5:$CI$5,0),""))</f>
        <v/>
      </c>
      <c r="AA40" s="55" t="str">
        <f t="shared" si="6"/>
        <v/>
      </c>
      <c r="AB40" s="62" t="str">
        <f>IF(AND(OR($A40="G",$A40="P"),NOT($O40="{array}")),IF(VLOOKUP($K40,base!$B$2:$D$20,3,0)="S",IF(OR($O40="",ISTEXT($O40)),"","STRING!"),IF(VLOOKUP($K40,base!$B$2:$D$20,3,0)="","",IF(ISTEXT($O40),"NUMERIC!",""))),"")</f>
        <v/>
      </c>
      <c r="AC40" s="16" t="str">
        <f>IF($AA40="","",IF($B40="I",VLOOKUP($AA40,#REF!,53,0),INDEX(VALUES!$B$1:$GP$1,1,$AA40)))</f>
        <v/>
      </c>
    </row>
    <row r="41" spans="1:29" hidden="1" outlineLevel="1">
      <c r="A41" s="21"/>
      <c r="B41" s="40" t="str">
        <f t="shared" si="4"/>
        <v/>
      </c>
      <c r="C41" s="41">
        <f t="shared" si="5"/>
        <v>40</v>
      </c>
      <c r="D41" s="260"/>
      <c r="E41" s="37"/>
      <c r="F41" s="305" t="s">
        <v>9</v>
      </c>
      <c r="G41" s="188" t="s">
        <v>9</v>
      </c>
      <c r="H41" s="37"/>
      <c r="I41" s="37" t="s">
        <v>9</v>
      </c>
      <c r="J41" s="37" t="s">
        <v>9</v>
      </c>
      <c r="K41" s="249" t="s">
        <v>46</v>
      </c>
      <c r="L41" s="249" t="s">
        <v>29</v>
      </c>
      <c r="M41" s="214" t="s">
        <v>1630</v>
      </c>
      <c r="N41" s="249" t="s">
        <v>1631</v>
      </c>
      <c r="O41" s="314">
        <v>1</v>
      </c>
      <c r="R41" s="37" t="s">
        <v>106</v>
      </c>
      <c r="S41" s="37"/>
      <c r="T41" s="37"/>
      <c r="W41" s="14" t="str">
        <f>IF(IFERROR(VLOOKUP($M41,'IMPORT GS-Tür OL FL 2S2 20'!$H$2:$H$847,1,0),"-")="-","","GS")</f>
        <v/>
      </c>
      <c r="X41" s="14" t="str">
        <f t="shared" si="3"/>
        <v/>
      </c>
      <c r="Y41" s="13" t="s">
        <v>1605</v>
      </c>
      <c r="Z41" s="58" t="str">
        <f>IF(OR($M41="",NOT($O41="{array}")),"",IFERROR(MATCH(PARAMETERS!$M41,DEFAULT!$B$5:$CI$5,0),""))</f>
        <v/>
      </c>
      <c r="AA41" s="55" t="str">
        <f t="shared" si="6"/>
        <v/>
      </c>
      <c r="AB41" s="62" t="str">
        <f>IF(AND(OR($A41="G",$A41="P"),NOT($O41="{array}")),IF(VLOOKUP($K41,base!$B$2:$D$20,3,0)="S",IF(OR($O41="",ISTEXT($O41)),"","STRING!"),IF(VLOOKUP($K41,base!$B$2:$D$20,3,0)="","",IF(ISTEXT($O41),"NUMERIC!",""))),"")</f>
        <v/>
      </c>
      <c r="AC41" s="16" t="str">
        <f>IF($AA41="","",IF($B41="I",VLOOKUP($AA41,#REF!,53,0),INDEX(VALUES!$B$1:$GP$1,1,$AA41)))</f>
        <v/>
      </c>
    </row>
    <row r="42" spans="1:29" hidden="1" outlineLevel="1">
      <c r="A42" s="21"/>
      <c r="B42" s="40" t="str">
        <f t="shared" si="4"/>
        <v/>
      </c>
      <c r="C42" s="41">
        <f t="shared" si="5"/>
        <v>41</v>
      </c>
      <c r="D42" s="260"/>
      <c r="E42" s="37"/>
      <c r="F42" s="305" t="s">
        <v>9</v>
      </c>
      <c r="G42" s="188" t="s">
        <v>9</v>
      </c>
      <c r="H42" s="37"/>
      <c r="I42" s="37" t="s">
        <v>9</v>
      </c>
      <c r="J42" s="37" t="s">
        <v>9</v>
      </c>
      <c r="K42" s="249" t="s">
        <v>26</v>
      </c>
      <c r="L42" s="249" t="s">
        <v>29</v>
      </c>
      <c r="M42" s="214" t="s">
        <v>1632</v>
      </c>
      <c r="N42" s="249" t="s">
        <v>1633</v>
      </c>
      <c r="O42" s="311">
        <v>0</v>
      </c>
      <c r="Q42" s="37" t="s">
        <v>9</v>
      </c>
      <c r="R42" s="37" t="s">
        <v>106</v>
      </c>
      <c r="S42" s="37"/>
      <c r="T42" s="37"/>
      <c r="W42" s="14" t="str">
        <f>IF(IFERROR(VLOOKUP($M42,'IMPORT GS-Tür OL FL 2S2 20'!$H$2:$H$847,1,0),"-")="-","","GS")</f>
        <v>GS</v>
      </c>
      <c r="X42" s="14" t="str">
        <f t="shared" si="3"/>
        <v/>
      </c>
      <c r="Y42" s="13" t="s">
        <v>1605</v>
      </c>
      <c r="Z42" s="58" t="str">
        <f>IF(OR($M42="",NOT($O42="{array}")),"",IFERROR(MATCH(PARAMETERS!$M42,DEFAULT!$B$5:$CI$5,0),""))</f>
        <v/>
      </c>
      <c r="AA42" s="55" t="str">
        <f t="shared" si="6"/>
        <v/>
      </c>
      <c r="AB42" s="62" t="str">
        <f>IF(AND(OR($A42="G",$A42="P"),NOT($O42="{array}")),IF(VLOOKUP($K42,base!$B$2:$D$20,3,0)="S",IF(OR($O42="",ISTEXT($O42)),"","STRING!"),IF(VLOOKUP($K42,base!$B$2:$D$20,3,0)="","",IF(ISTEXT($O42),"NUMERIC!",""))),"")</f>
        <v/>
      </c>
      <c r="AC42" s="16" t="str">
        <f>IF($AA42="","",IF($B42="I",VLOOKUP($AA42,#REF!,53,0),INDEX(VALUES!$B$1:$GP$1,1,$AA42)))</f>
        <v/>
      </c>
    </row>
    <row r="43" spans="1:29" hidden="1" outlineLevel="1">
      <c r="A43" s="21"/>
      <c r="B43" s="40" t="str">
        <f t="shared" si="4"/>
        <v/>
      </c>
      <c r="C43" s="41">
        <f t="shared" si="5"/>
        <v>42</v>
      </c>
      <c r="D43" s="260"/>
      <c r="E43" s="37"/>
      <c r="F43" s="305" t="s">
        <v>9</v>
      </c>
      <c r="G43" s="188" t="s">
        <v>9</v>
      </c>
      <c r="H43" s="37"/>
      <c r="I43" s="37" t="s">
        <v>9</v>
      </c>
      <c r="J43" s="37"/>
      <c r="K43" s="249" t="s">
        <v>46</v>
      </c>
      <c r="L43" s="249" t="s">
        <v>29</v>
      </c>
      <c r="M43" s="214" t="s">
        <v>1634</v>
      </c>
      <c r="N43" s="249" t="s">
        <v>1635</v>
      </c>
      <c r="O43" s="314">
        <v>1</v>
      </c>
      <c r="R43" s="37" t="s">
        <v>106</v>
      </c>
      <c r="S43" s="37"/>
      <c r="T43" s="37"/>
      <c r="W43" s="14" t="str">
        <f>IF(IFERROR(VLOOKUP($M43,'IMPORT GS-Tür OL FL 2S2 20'!$H$2:$H$847,1,0),"-")="-","","GS")</f>
        <v>GS</v>
      </c>
      <c r="X43" s="14" t="str">
        <f t="shared" si="3"/>
        <v/>
      </c>
      <c r="Y43" s="13" t="s">
        <v>1605</v>
      </c>
      <c r="Z43" s="58" t="str">
        <f>IF(OR($M43="",NOT($O43="{array}")),"",IFERROR(MATCH(PARAMETERS!$M43,DEFAULT!$B$5:$CI$5,0),""))</f>
        <v/>
      </c>
      <c r="AA43" s="55" t="str">
        <f t="shared" si="6"/>
        <v/>
      </c>
      <c r="AB43" s="62" t="str">
        <f>IF(AND(OR($A43="G",$A43="P"),NOT($O43="{array}")),IF(VLOOKUP($K43,base!$B$2:$D$20,3,0)="S",IF(OR($O43="",ISTEXT($O43)),"","STRING!"),IF(VLOOKUP($K43,base!$B$2:$D$20,3,0)="","",IF(ISTEXT($O43),"NUMERIC!",""))),"")</f>
        <v/>
      </c>
      <c r="AC43" s="16" t="str">
        <f>IF($AA43="","",IF($B43="I",VLOOKUP($AA43,#REF!,53,0),INDEX(VALUES!$B$1:$GP$1,1,$AA43)))</f>
        <v/>
      </c>
    </row>
    <row r="44" spans="1:29" hidden="1" outlineLevel="1">
      <c r="A44" s="21"/>
      <c r="B44" s="40" t="str">
        <f t="shared" si="4"/>
        <v/>
      </c>
      <c r="C44" s="41">
        <f t="shared" si="5"/>
        <v>43</v>
      </c>
      <c r="D44" s="260"/>
      <c r="E44" s="37"/>
      <c r="F44" s="305" t="s">
        <v>9</v>
      </c>
      <c r="G44" s="188" t="s">
        <v>9</v>
      </c>
      <c r="H44" s="37"/>
      <c r="I44" s="37" t="s">
        <v>9</v>
      </c>
      <c r="J44" s="37" t="s">
        <v>9</v>
      </c>
      <c r="K44" s="249" t="s">
        <v>46</v>
      </c>
      <c r="L44" s="249" t="s">
        <v>29</v>
      </c>
      <c r="M44" s="214" t="s">
        <v>1638</v>
      </c>
      <c r="N44" s="249" t="s">
        <v>1639</v>
      </c>
      <c r="O44" s="314">
        <v>0</v>
      </c>
      <c r="R44" s="37" t="s">
        <v>106</v>
      </c>
      <c r="S44" s="37"/>
      <c r="T44" s="37"/>
      <c r="W44" s="14" t="str">
        <f>IF(IFERROR(VLOOKUP($M44,'IMPORT GS-Tür OL FL 2S2 20'!$H$2:$H$847,1,0),"-")="-","","GS")</f>
        <v>GS</v>
      </c>
      <c r="X44" s="14" t="str">
        <f t="shared" si="3"/>
        <v/>
      </c>
      <c r="Y44" s="13" t="s">
        <v>1605</v>
      </c>
      <c r="Z44" s="58" t="str">
        <f>IF(OR($M44="",NOT($O44="{array}")),"",IFERROR(MATCH(PARAMETERS!$M44,DEFAULT!$B$5:$CI$5,0),""))</f>
        <v/>
      </c>
      <c r="AA44" s="55" t="str">
        <f t="shared" si="6"/>
        <v/>
      </c>
      <c r="AB44" s="62" t="str">
        <f>IF(AND(OR($A44="G",$A44="P"),NOT($O44="{array}")),IF(VLOOKUP($K44,base!$B$2:$D$20,3,0)="S",IF(OR($O44="",ISTEXT($O44)),"","STRING!"),IF(VLOOKUP($K44,base!$B$2:$D$20,3,0)="","",IF(ISTEXT($O44),"NUMERIC!",""))),"")</f>
        <v/>
      </c>
      <c r="AC44" s="16" t="str">
        <f>IF($AA44="","",IF($B44="I",VLOOKUP($AA44,#REF!,53,0),INDEX(VALUES!$B$1:$GP$1,1,$AA44)))</f>
        <v/>
      </c>
    </row>
    <row r="45" spans="1:29" hidden="1" outlineLevel="1">
      <c r="A45" s="21"/>
      <c r="B45" s="40" t="str">
        <f t="shared" si="4"/>
        <v/>
      </c>
      <c r="C45" s="41">
        <f t="shared" si="5"/>
        <v>44</v>
      </c>
      <c r="D45" s="260"/>
      <c r="E45" s="37"/>
      <c r="F45" s="305"/>
      <c r="G45" s="188" t="s">
        <v>9</v>
      </c>
      <c r="H45" s="37"/>
      <c r="I45" s="37"/>
      <c r="J45" s="37"/>
      <c r="K45" s="249" t="s">
        <v>49</v>
      </c>
      <c r="L45" s="249" t="s">
        <v>29</v>
      </c>
      <c r="M45" s="214" t="s">
        <v>1640</v>
      </c>
      <c r="N45" s="249" t="s">
        <v>1641</v>
      </c>
      <c r="O45" s="314">
        <v>0</v>
      </c>
      <c r="R45" s="37" t="s">
        <v>106</v>
      </c>
      <c r="S45" s="37"/>
      <c r="T45" s="37"/>
      <c r="W45" s="14" t="str">
        <f>IF(IFERROR(VLOOKUP($M45,'IMPORT GS-Tür OL FL 2S2 20'!$H$2:$H$847,1,0),"-")="-","","GS")</f>
        <v/>
      </c>
      <c r="X45" s="14" t="str">
        <f t="shared" si="3"/>
        <v/>
      </c>
      <c r="Y45" s="13" t="s">
        <v>1605</v>
      </c>
      <c r="Z45" s="58" t="str">
        <f>IF(OR($M45="",NOT($O45="{array}")),"",IFERROR(MATCH(PARAMETERS!$M45,DEFAULT!$B$5:$CI$5,0),""))</f>
        <v/>
      </c>
      <c r="AA45" s="55" t="str">
        <f t="shared" si="6"/>
        <v/>
      </c>
      <c r="AB45" s="62" t="str">
        <f>IF(AND(OR($A45="G",$A45="P"),NOT($O45="{array}")),IF(VLOOKUP($K45,base!$B$2:$D$20,3,0)="S",IF(OR($O45="",ISTEXT($O45)),"","STRING!"),IF(VLOOKUP($K45,base!$B$2:$D$20,3,0)="","",IF(ISTEXT($O45),"NUMERIC!",""))),"")</f>
        <v/>
      </c>
      <c r="AC45" s="16" t="str">
        <f>IF($AA45="","",IF($B45="I",VLOOKUP($AA45,#REF!,53,0),INDEX(VALUES!$B$1:$GP$1,1,$AA45)))</f>
        <v/>
      </c>
    </row>
    <row r="46" spans="1:29" s="276" customFormat="1" hidden="1" outlineLevel="1">
      <c r="A46" s="263"/>
      <c r="B46" s="264" t="str">
        <f t="shared" si="4"/>
        <v/>
      </c>
      <c r="C46" s="265">
        <f t="shared" si="5"/>
        <v>45</v>
      </c>
      <c r="D46" s="266"/>
      <c r="E46" s="266"/>
      <c r="F46" s="305"/>
      <c r="G46" s="188"/>
      <c r="H46" s="266"/>
      <c r="I46" s="266" t="s">
        <v>9</v>
      </c>
      <c r="J46" s="266"/>
      <c r="K46" s="278" t="s">
        <v>49</v>
      </c>
      <c r="L46" s="278" t="s">
        <v>34</v>
      </c>
      <c r="M46" s="277" t="s">
        <v>1642</v>
      </c>
      <c r="N46" s="277" t="s">
        <v>1643</v>
      </c>
      <c r="O46" s="277" t="s">
        <v>298</v>
      </c>
      <c r="P46" s="277" t="s">
        <v>298</v>
      </c>
      <c r="Q46" s="280"/>
      <c r="R46" s="280" t="s">
        <v>105</v>
      </c>
      <c r="S46" s="280" t="s">
        <v>114</v>
      </c>
      <c r="T46" s="281" t="s">
        <v>104</v>
      </c>
      <c r="U46" s="277" t="s">
        <v>298</v>
      </c>
      <c r="V46" s="277" t="s">
        <v>1642</v>
      </c>
      <c r="W46" s="271" t="str">
        <f>IF(IFERROR(VLOOKUP($M46,'IMPORT GS-Tür OL FL 2S2 20'!$H$2:$H$847,1,0),"-")="-","","GS")</f>
        <v/>
      </c>
      <c r="X46" s="272" t="str">
        <f t="shared" si="3"/>
        <v/>
      </c>
      <c r="Y46" s="277" t="s">
        <v>1643</v>
      </c>
      <c r="Z46" s="273" t="str">
        <f>IF(OR($M46="",NOT($O46="{array}")),"",IFERROR(MATCH(PARAMETERS!$M46,DEFAULT!$B$5:$CI$5,0),""))</f>
        <v/>
      </c>
      <c r="AA46" s="272" t="str">
        <f t="shared" si="6"/>
        <v/>
      </c>
      <c r="AB46" s="274" t="str">
        <f>IF(AND(OR($A46="G",$A46="P"),NOT($O46="{array}")),IF(VLOOKUP($K46,base!$B$2:$D$20,3,0)="S",IF(OR($O46="",ISTEXT($O46)),"","STRING!"),IF(VLOOKUP($K46,base!$B$2:$D$20,3,0)="","",IF(ISTEXT($O46),"NUMERIC!",""))),"")</f>
        <v/>
      </c>
      <c r="AC46" s="275" t="str">
        <f>IF($AA46="","",IF($B46="I",VLOOKUP($AA46,#REF!,53,0),INDEX(VALUES!$B$1:$GP$1,1,$AA46)))</f>
        <v/>
      </c>
    </row>
    <row r="47" spans="1:29" s="276" customFormat="1" hidden="1" outlineLevel="1">
      <c r="A47" s="263"/>
      <c r="B47" s="264" t="str">
        <f t="shared" si="4"/>
        <v>X</v>
      </c>
      <c r="C47" s="265">
        <f t="shared" si="5"/>
        <v>46</v>
      </c>
      <c r="D47" s="266"/>
      <c r="E47" s="266"/>
      <c r="F47" s="305"/>
      <c r="G47" s="188"/>
      <c r="H47" s="266"/>
      <c r="I47" s="266" t="s">
        <v>9</v>
      </c>
      <c r="J47" s="266"/>
      <c r="K47" s="278" t="s">
        <v>20</v>
      </c>
      <c r="L47" s="278" t="s">
        <v>34</v>
      </c>
      <c r="M47" s="283" t="s">
        <v>1644</v>
      </c>
      <c r="N47" s="278" t="s">
        <v>1645</v>
      </c>
      <c r="O47" s="278" t="s">
        <v>136</v>
      </c>
      <c r="P47" s="284" t="s">
        <v>298</v>
      </c>
      <c r="Q47" s="279"/>
      <c r="R47" s="279" t="s">
        <v>105</v>
      </c>
      <c r="S47" s="279" t="s">
        <v>114</v>
      </c>
      <c r="T47" s="278" t="s">
        <v>298</v>
      </c>
      <c r="U47" s="278" t="s">
        <v>298</v>
      </c>
      <c r="V47" s="278" t="s">
        <v>4059</v>
      </c>
      <c r="W47" s="272" t="str">
        <f>IF(IFERROR(VLOOKUP($M47,'IMPORT GS-Tür OL FL 2S2 20'!$H$2:$H$847,1,0),"-")="-","","GS")</f>
        <v/>
      </c>
      <c r="X47" s="272" t="str">
        <f t="shared" si="3"/>
        <v/>
      </c>
      <c r="Y47" s="278" t="s">
        <v>1646</v>
      </c>
      <c r="Z47" s="273" t="str">
        <f>IF(OR($M47="",NOT($O47="{array}")),"",IFERROR(MATCH(PARAMETERS!$M47,DEFAULT!$B$5:$CI$5,0),""))</f>
        <v/>
      </c>
      <c r="AA47" s="272">
        <f t="shared" si="6"/>
        <v>68</v>
      </c>
      <c r="AB47" s="274" t="str">
        <f>IF(AND(OR($A47="G",$A47="P"),NOT($O47="{array}")),IF(VLOOKUP($K47,base!$B$2:$D$20,3,0)="S",IF(OR($O47="",ISTEXT($O47)),"","STRING!"),IF(VLOOKUP($K47,base!$B$2:$D$20,3,0)="","",IF(ISTEXT($O47),"NUMERIC!",""))),"")</f>
        <v/>
      </c>
      <c r="AC47" s="275" t="str">
        <f>IF($AA47="","",IF($B47="I",VLOOKUP($AA47,#REF!,53,0),INDEX(VALUES!$B$1:$GP$1,1,$AA47)))</f>
        <v>Massiv | Leichtbau | Metallbausystem | Trennwand | Säule | Träger | undefiniert</v>
      </c>
    </row>
    <row r="48" spans="1:29" s="276" customFormat="1" hidden="1" outlineLevel="1">
      <c r="A48" s="263"/>
      <c r="B48" s="264" t="str">
        <f t="shared" si="4"/>
        <v/>
      </c>
      <c r="C48" s="265">
        <f t="shared" ref="C48:C80" si="7">(ROW()-1)</f>
        <v>47</v>
      </c>
      <c r="D48" s="266"/>
      <c r="E48" s="266"/>
      <c r="F48" s="305"/>
      <c r="G48" s="188"/>
      <c r="H48" s="266"/>
      <c r="I48" s="266" t="s">
        <v>9</v>
      </c>
      <c r="J48" s="266"/>
      <c r="K48" s="278" t="s">
        <v>20</v>
      </c>
      <c r="L48" s="278" t="s">
        <v>34</v>
      </c>
      <c r="M48" s="283" t="s">
        <v>1647</v>
      </c>
      <c r="N48" s="278" t="s">
        <v>1648</v>
      </c>
      <c r="O48" s="278" t="s">
        <v>136</v>
      </c>
      <c r="P48" s="284" t="s">
        <v>298</v>
      </c>
      <c r="Q48" s="279" t="s">
        <v>9</v>
      </c>
      <c r="R48" s="279" t="s">
        <v>105</v>
      </c>
      <c r="S48" s="279" t="s">
        <v>114</v>
      </c>
      <c r="T48" s="278" t="s">
        <v>298</v>
      </c>
      <c r="U48" s="278" t="s">
        <v>298</v>
      </c>
      <c r="V48" s="278" t="s">
        <v>1649</v>
      </c>
      <c r="W48" s="272" t="str">
        <f>IF(IFERROR(VLOOKUP($M48,'IMPORT GS-Tür OL FL 2S2 20'!$H$2:$H$847,1,0),"-")="-","","GS")</f>
        <v/>
      </c>
      <c r="X48" s="272" t="str">
        <f t="shared" si="3"/>
        <v/>
      </c>
      <c r="Y48" s="278" t="s">
        <v>1650</v>
      </c>
      <c r="Z48" s="273" t="str">
        <f>IF(OR($M48="",NOT($O48="{array}")),"",IFERROR(MATCH(PARAMETERS!$M48,DEFAULT!$B$5:$CI$5,0),""))</f>
        <v/>
      </c>
      <c r="AA48" s="272" t="str">
        <f t="shared" si="6"/>
        <v/>
      </c>
      <c r="AB48" s="274" t="str">
        <f>IF(AND(OR($A48="G",$A48="P"),NOT($O48="{array}")),IF(VLOOKUP($K48,base!$B$2:$D$20,3,0)="S",IF(OR($O48="",ISTEXT($O48)),"","STRING!"),IF(VLOOKUP($K48,base!$B$2:$D$20,3,0)="","",IF(ISTEXT($O48),"NUMERIC!",""))),"")</f>
        <v/>
      </c>
      <c r="AC48" s="275" t="str">
        <f>IF($AA48="","",IF($B48="I",VLOOKUP($AA48,#REF!,53,0),INDEX(VALUES!$B$1:$GP$1,1,$AA48)))</f>
        <v/>
      </c>
    </row>
    <row r="49" spans="1:29" hidden="1" outlineLevel="1">
      <c r="A49" s="21" t="s">
        <v>86</v>
      </c>
      <c r="B49" s="40" t="str">
        <f t="shared" si="4"/>
        <v>V</v>
      </c>
      <c r="C49" s="41">
        <f t="shared" si="7"/>
        <v>48</v>
      </c>
      <c r="D49" s="260" t="s">
        <v>9</v>
      </c>
      <c r="E49" s="37"/>
      <c r="F49" s="305"/>
      <c r="G49" s="188"/>
      <c r="H49" s="37"/>
      <c r="I49" s="37" t="s">
        <v>9</v>
      </c>
      <c r="J49" s="37"/>
      <c r="K49" s="163" t="s">
        <v>20</v>
      </c>
      <c r="L49" s="164" t="s">
        <v>34</v>
      </c>
      <c r="M49" s="189" t="s">
        <v>3918</v>
      </c>
      <c r="N49" s="156" t="s">
        <v>3910</v>
      </c>
      <c r="O49" s="160" t="s">
        <v>105</v>
      </c>
      <c r="P49" s="162" t="s">
        <v>298</v>
      </c>
      <c r="Q49" s="159"/>
      <c r="R49" s="159" t="s">
        <v>105</v>
      </c>
      <c r="S49" s="159" t="s">
        <v>114</v>
      </c>
      <c r="T49" s="163"/>
      <c r="U49" s="163"/>
      <c r="V49" s="160"/>
      <c r="W49" s="161"/>
      <c r="Y49" s="160"/>
      <c r="AA49" s="272">
        <f t="shared" si="6"/>
        <v>155</v>
      </c>
      <c r="AB49" s="274" t="str">
        <f>IF(AND(OR($A49="G",$A49="P"),NOT($O49="{array}")),IF(VLOOKUP($K49,base!$B$2:$D$20,3,0)="S",IF(OR($O49="",ISTEXT($O49)),"","STRING!"),IF(VLOOKUP($K49,base!$B$2:$D$20,3,0)="","",IF(ISTEXT($O49),"NUMERIC!",""))),"")</f>
        <v/>
      </c>
      <c r="AC49" s="275" t="str">
        <f>IF($AA49="","",IF($B49="I",VLOOKUP($AA49,#REF!,53,0),INDEX(VALUES!$B$1:$GP$1,1,$AA49)))</f>
        <v>BS | BGS</v>
      </c>
    </row>
    <row r="50" spans="1:29" hidden="1" outlineLevel="1">
      <c r="A50" s="21" t="s">
        <v>86</v>
      </c>
      <c r="B50" s="40" t="str">
        <f t="shared" si="4"/>
        <v/>
      </c>
      <c r="C50" s="41">
        <f t="shared" si="7"/>
        <v>49</v>
      </c>
      <c r="D50" s="260" t="s">
        <v>9</v>
      </c>
      <c r="E50" s="37"/>
      <c r="F50" s="305"/>
      <c r="G50" s="188"/>
      <c r="H50" s="37"/>
      <c r="I50" s="37" t="s">
        <v>9</v>
      </c>
      <c r="J50" s="37"/>
      <c r="K50" s="163" t="s">
        <v>20</v>
      </c>
      <c r="L50" s="164" t="s">
        <v>34</v>
      </c>
      <c r="M50" s="189" t="s">
        <v>3919</v>
      </c>
      <c r="N50" s="156" t="s">
        <v>3911</v>
      </c>
      <c r="O50" s="160"/>
      <c r="P50" s="162" t="s">
        <v>298</v>
      </c>
      <c r="Q50" s="159" t="s">
        <v>9</v>
      </c>
      <c r="R50" s="159" t="s">
        <v>105</v>
      </c>
      <c r="S50" s="159" t="s">
        <v>114</v>
      </c>
      <c r="T50" s="163"/>
      <c r="U50" s="163"/>
      <c r="V50" s="160" t="s">
        <v>1582</v>
      </c>
      <c r="W50" s="14" t="str">
        <f>IF(IFERROR(VLOOKUP($M50,'IMPORT GS-Tür OL FL 2S2 20'!$H$2:$H$847,1,0),"-")="-","","GS")</f>
        <v/>
      </c>
      <c r="X50" s="14" t="str">
        <f>IF($A50="G",IF(IFERROR(VLOOKUP($M50,Reimport,1,0),"-")="-","&gt;&lt;",IF($O50=VLOOKUP($M50,Reimport,2,0),"...",VLOOKUP($M50,Reimport,2,0))),"")</f>
        <v>&gt;&lt;</v>
      </c>
      <c r="Y50" s="160" t="s">
        <v>1583</v>
      </c>
      <c r="AA50" s="272" t="str">
        <f t="shared" si="6"/>
        <v/>
      </c>
      <c r="AB50" s="274" t="str">
        <f>IF(AND(OR($A50="G",$A50="P"),NOT($O50="{array}")),IF(VLOOKUP($K50,base!$B$2:$D$20,3,0)="S",IF(OR($O50="",ISTEXT($O50)),"","STRING!"),IF(VLOOKUP($K50,base!$B$2:$D$20,3,0)="","",IF(ISTEXT($O50),"NUMERIC!",""))),"")</f>
        <v/>
      </c>
      <c r="AC50" s="275" t="str">
        <f>IF($AA50="","",IF($B50="I",VLOOKUP($AA50,#REF!,53,0),INDEX(VALUES!$B$1:$GP$1,1,$AA50)))</f>
        <v/>
      </c>
    </row>
    <row r="51" spans="1:29" hidden="1" outlineLevel="1">
      <c r="A51" s="21" t="s">
        <v>86</v>
      </c>
      <c r="B51" s="40" t="str">
        <f t="shared" si="4"/>
        <v/>
      </c>
      <c r="C51" s="41">
        <f t="shared" si="7"/>
        <v>50</v>
      </c>
      <c r="D51" s="260" t="s">
        <v>9</v>
      </c>
      <c r="E51" s="37"/>
      <c r="F51" s="305"/>
      <c r="G51" s="188"/>
      <c r="H51" s="37"/>
      <c r="I51" s="37" t="s">
        <v>9</v>
      </c>
      <c r="J51" s="37"/>
      <c r="K51" s="163" t="s">
        <v>20</v>
      </c>
      <c r="L51" s="164" t="s">
        <v>34</v>
      </c>
      <c r="M51" s="189" t="s">
        <v>3920</v>
      </c>
      <c r="N51" s="156" t="s">
        <v>3912</v>
      </c>
      <c r="O51" s="160"/>
      <c r="P51" s="162" t="s">
        <v>298</v>
      </c>
      <c r="Q51" s="159" t="s">
        <v>9</v>
      </c>
      <c r="R51" s="159" t="s">
        <v>105</v>
      </c>
      <c r="S51" s="159" t="s">
        <v>114</v>
      </c>
      <c r="T51" s="163"/>
      <c r="U51" s="163"/>
      <c r="V51" s="160" t="s">
        <v>1584</v>
      </c>
      <c r="W51" s="14" t="str">
        <f>IF(IFERROR(VLOOKUP($M51,'IMPORT GS-Tür OL FL 2S2 20'!$H$2:$H$847,1,0),"-")="-","","GS")</f>
        <v/>
      </c>
      <c r="X51" s="14" t="str">
        <f>IF($A51="G",IF(IFERROR(VLOOKUP($M51,Reimport,1,0),"-")="-","&gt;&lt;",IF($O51=VLOOKUP($M51,Reimport,2,0),"...",VLOOKUP($M51,Reimport,2,0))),"")</f>
        <v>&gt;&lt;</v>
      </c>
      <c r="Y51" s="160" t="s">
        <v>1585</v>
      </c>
      <c r="AA51" s="272" t="str">
        <f t="shared" si="6"/>
        <v/>
      </c>
      <c r="AB51" s="274" t="str">
        <f>IF(AND(OR($A51="G",$A51="P"),NOT($O51="{array}")),IF(VLOOKUP($K51,base!$B$2:$D$20,3,0)="S",IF(OR($O51="",ISTEXT($O51)),"","STRING!"),IF(VLOOKUP($K51,base!$B$2:$D$20,3,0)="","",IF(ISTEXT($O51),"NUMERIC!",""))),"")</f>
        <v/>
      </c>
      <c r="AC51" s="275" t="str">
        <f>IF($AA51="","",IF($B51="I",VLOOKUP($AA51,#REF!,53,0),INDEX(VALUES!$B$1:$GP$1,1,$AA51)))</f>
        <v/>
      </c>
    </row>
    <row r="52" spans="1:29" hidden="1" outlineLevel="1">
      <c r="A52" s="21" t="s">
        <v>86</v>
      </c>
      <c r="B52" s="40" t="str">
        <f t="shared" si="4"/>
        <v/>
      </c>
      <c r="C52" s="41">
        <f t="shared" si="7"/>
        <v>51</v>
      </c>
      <c r="D52" s="260" t="s">
        <v>9</v>
      </c>
      <c r="E52" s="37"/>
      <c r="F52" s="305"/>
      <c r="G52" s="188"/>
      <c r="H52" s="37"/>
      <c r="I52" s="37" t="s">
        <v>9</v>
      </c>
      <c r="J52" s="37"/>
      <c r="K52" s="163" t="s">
        <v>20</v>
      </c>
      <c r="L52" s="164" t="s">
        <v>34</v>
      </c>
      <c r="M52" s="189" t="s">
        <v>3921</v>
      </c>
      <c r="N52" s="156" t="s">
        <v>3913</v>
      </c>
      <c r="O52" s="160"/>
      <c r="P52" s="162" t="s">
        <v>298</v>
      </c>
      <c r="Q52" s="159" t="s">
        <v>9</v>
      </c>
      <c r="R52" s="159" t="s">
        <v>105</v>
      </c>
      <c r="S52" s="159" t="s">
        <v>114</v>
      </c>
      <c r="T52" s="163"/>
      <c r="U52" s="163"/>
      <c r="V52" s="160" t="s">
        <v>1586</v>
      </c>
      <c r="W52" s="14" t="str">
        <f>IF(IFERROR(VLOOKUP($M52,'IMPORT GS-Tür OL FL 2S2 20'!$H$2:$H$847,1,0),"-")="-","","GS")</f>
        <v/>
      </c>
      <c r="X52" s="14" t="str">
        <f>IF($A52="G",IF(IFERROR(VLOOKUP($M52,Reimport,1,0),"-")="-","&gt;&lt;",IF($O52=VLOOKUP($M52,Reimport,2,0),"...",VLOOKUP($M52,Reimport,2,0))),"")</f>
        <v>&gt;&lt;</v>
      </c>
      <c r="Y52" s="160" t="s">
        <v>1587</v>
      </c>
      <c r="AA52" s="272" t="str">
        <f t="shared" si="6"/>
        <v/>
      </c>
      <c r="AB52" s="274" t="str">
        <f>IF(AND(OR($A52="G",$A52="P"),NOT($O52="{array}")),IF(VLOOKUP($K52,base!$B$2:$D$20,3,0)="S",IF(OR($O52="",ISTEXT($O52)),"","STRING!"),IF(VLOOKUP($K52,base!$B$2:$D$20,3,0)="","",IF(ISTEXT($O52),"NUMERIC!",""))),"")</f>
        <v/>
      </c>
      <c r="AC52" s="275" t="str">
        <f>IF($AA52="","",IF($B52="I",VLOOKUP($AA52,#REF!,53,0),INDEX(VALUES!$B$1:$GP$1,1,$AA52)))</f>
        <v/>
      </c>
    </row>
    <row r="53" spans="1:29" hidden="1" outlineLevel="1">
      <c r="A53" s="21" t="s">
        <v>86</v>
      </c>
      <c r="B53" s="40" t="str">
        <f t="shared" si="4"/>
        <v/>
      </c>
      <c r="C53" s="41">
        <f t="shared" si="7"/>
        <v>52</v>
      </c>
      <c r="D53" s="260" t="s">
        <v>9</v>
      </c>
      <c r="E53" s="37"/>
      <c r="F53" s="305"/>
      <c r="G53" s="188"/>
      <c r="H53" s="37"/>
      <c r="I53" s="37" t="s">
        <v>9</v>
      </c>
      <c r="J53" s="37"/>
      <c r="K53" s="163" t="s">
        <v>20</v>
      </c>
      <c r="L53" s="164" t="s">
        <v>34</v>
      </c>
      <c r="M53" s="189" t="s">
        <v>3922</v>
      </c>
      <c r="N53" s="156" t="s">
        <v>3914</v>
      </c>
      <c r="O53" s="160"/>
      <c r="P53" s="162" t="s">
        <v>298</v>
      </c>
      <c r="Q53" s="159" t="s">
        <v>9</v>
      </c>
      <c r="R53" s="159" t="s">
        <v>105</v>
      </c>
      <c r="S53" s="159" t="s">
        <v>114</v>
      </c>
      <c r="T53" s="163"/>
      <c r="U53" s="163"/>
      <c r="V53" s="160" t="s">
        <v>1588</v>
      </c>
      <c r="W53" s="14" t="str">
        <f>IF(IFERROR(VLOOKUP($M53,'IMPORT GS-Tür OL FL 2S2 20'!$H$2:$H$847,1,0),"-")="-","","GS")</f>
        <v/>
      </c>
      <c r="X53" s="14" t="str">
        <f>IF($A53="G",IF(IFERROR(VLOOKUP($M53,Reimport,1,0),"-")="-","&gt;&lt;",IF($O53=VLOOKUP($M53,Reimport,2,0),"...",VLOOKUP($M53,Reimport,2,0))),"")</f>
        <v>&gt;&lt;</v>
      </c>
      <c r="Y53" s="160" t="s">
        <v>1585</v>
      </c>
      <c r="AA53" s="272" t="str">
        <f t="shared" si="6"/>
        <v/>
      </c>
      <c r="AB53" s="274" t="str">
        <f>IF(AND(OR($A53="G",$A53="P"),NOT($O53="{array}")),IF(VLOOKUP($K53,base!$B$2:$D$20,3,0)="S",IF(OR($O53="",ISTEXT($O53)),"","STRING!"),IF(VLOOKUP($K53,base!$B$2:$D$20,3,0)="","",IF(ISTEXT($O53),"NUMERIC!",""))),"")</f>
        <v/>
      </c>
      <c r="AC53" s="275" t="str">
        <f>IF($AA53="","",IF($B53="I",VLOOKUP($AA53,#REF!,53,0),INDEX(VALUES!$B$1:$GP$1,1,$AA53)))</f>
        <v/>
      </c>
    </row>
    <row r="54" spans="1:29" s="276" customFormat="1" hidden="1" outlineLevel="1">
      <c r="A54" s="263"/>
      <c r="B54" s="264" t="str">
        <f>IF($A54="P",IF(NOT($Z54=""),"A",IF(NOT($AA54=""),"I","")),IF(NOT($AA54=""),IF($A54="G","V","X"),IF(NOT($Z54=""),"A","")))</f>
        <v/>
      </c>
      <c r="C54" s="265">
        <f t="shared" si="7"/>
        <v>53</v>
      </c>
      <c r="D54" s="266"/>
      <c r="E54" s="266"/>
      <c r="F54" s="305" t="s">
        <v>9</v>
      </c>
      <c r="G54" s="188"/>
      <c r="H54" s="266"/>
      <c r="I54" s="266" t="s">
        <v>9</v>
      </c>
      <c r="J54" s="266"/>
      <c r="K54" s="313" t="s">
        <v>49</v>
      </c>
      <c r="L54" s="313" t="s">
        <v>23</v>
      </c>
      <c r="M54" s="291" t="s">
        <v>1589</v>
      </c>
      <c r="N54" s="313" t="s">
        <v>1590</v>
      </c>
      <c r="O54" s="315">
        <v>1</v>
      </c>
      <c r="Q54" s="266"/>
      <c r="R54" s="266" t="s">
        <v>106</v>
      </c>
      <c r="S54" s="266"/>
      <c r="T54" s="266"/>
      <c r="W54" s="272" t="str">
        <f>IF(IFERROR(VLOOKUP($M54,'IMPORT GS-Tür OL FL 2S2 20'!$H$2:$H$847,1,0),"-")="-","","GS")</f>
        <v>GS</v>
      </c>
      <c r="X54" s="272" t="str">
        <f>IF($A54="G",IF(IFERROR(VLOOKUP($M54,Reimport,1,0),"-")="-","&gt;&lt;",IF($O54=VLOOKUP($M54,Reimport,2,0),"...",VLOOKUP($M54,Reimport,2,0))),"")</f>
        <v/>
      </c>
      <c r="Z54" s="273" t="str">
        <f>IF(OR($M54="",NOT($O54="{array}")),"",IFERROR(MATCH(PARAMETERS!$M54,DEFAULT!$B$5:$CI$5,0),""))</f>
        <v/>
      </c>
      <c r="AA54" s="272" t="str">
        <f t="shared" si="6"/>
        <v/>
      </c>
      <c r="AB54" s="274" t="str">
        <f>IF(AND(OR($A54="G",$A54="P"),NOT($O54="{array}")),IF(VLOOKUP($K54,base!$B$2:$D$20,3,0)="S",IF(OR($O54="",ISTEXT($O54)),"","STRING!"),IF(VLOOKUP($K54,base!$B$2:$D$20,3,0)="","",IF(ISTEXT($O54),"NUMERIC!",""))),"")</f>
        <v/>
      </c>
      <c r="AC54" s="275" t="str">
        <f>IF($AA54="","",IF($B54="I",VLOOKUP($AA54,#REF!,53,0),INDEX(VALUES!$B$1:$GP$1,1,$AA54)))</f>
        <v/>
      </c>
    </row>
    <row r="55" spans="1:29" s="276" customFormat="1" hidden="1" outlineLevel="1">
      <c r="A55" s="263"/>
      <c r="B55" s="264" t="str">
        <f t="shared" si="4"/>
        <v/>
      </c>
      <c r="C55" s="265">
        <f t="shared" si="7"/>
        <v>54</v>
      </c>
      <c r="D55" s="266"/>
      <c r="E55" s="266"/>
      <c r="F55" s="305"/>
      <c r="G55" s="188"/>
      <c r="H55" s="266"/>
      <c r="I55" s="266" t="s">
        <v>9</v>
      </c>
      <c r="J55" s="266"/>
      <c r="K55" s="313" t="s">
        <v>26</v>
      </c>
      <c r="L55" s="313" t="s">
        <v>29</v>
      </c>
      <c r="M55" s="291" t="s">
        <v>1651</v>
      </c>
      <c r="N55" s="313"/>
      <c r="O55" s="315">
        <v>0</v>
      </c>
      <c r="P55" s="276" t="s">
        <v>129</v>
      </c>
      <c r="Q55" s="266"/>
      <c r="R55" s="266" t="s">
        <v>106</v>
      </c>
      <c r="S55" s="266" t="s">
        <v>114</v>
      </c>
      <c r="T55" s="278" t="s">
        <v>298</v>
      </c>
      <c r="U55" s="278" t="s">
        <v>298</v>
      </c>
      <c r="V55" s="278" t="s">
        <v>1652</v>
      </c>
      <c r="W55" s="272" t="str">
        <f>IF(IFERROR(VLOOKUP($M55,'IMPORT GS-Tür OL FL 2S2 20'!$H$2:$H$847,1,0),"-")="-","","GS")</f>
        <v/>
      </c>
      <c r="X55" s="272" t="str">
        <f t="shared" si="3"/>
        <v/>
      </c>
      <c r="Y55" s="278" t="s">
        <v>1653</v>
      </c>
      <c r="Z55" s="273" t="str">
        <f>IF(OR($M55="",NOT($O55="{array}")),"",IFERROR(MATCH(PARAMETERS!$M55,DEFAULT!$B$5:$CI$5,0),""))</f>
        <v/>
      </c>
      <c r="AA55" s="272" t="str">
        <f t="shared" si="6"/>
        <v/>
      </c>
      <c r="AB55" s="274" t="str">
        <f>IF(AND(OR($A55="G",$A55="P"),NOT($O55="{array}")),IF(VLOOKUP($K55,base!$B$2:$D$20,3,0)="S",IF(OR($O55="",ISTEXT($O55)),"","STRING!"),IF(VLOOKUP($K55,base!$B$2:$D$20,3,0)="","",IF(ISTEXT($O55),"NUMERIC!",""))),"")</f>
        <v/>
      </c>
      <c r="AC55" s="275" t="str">
        <f>IF($AA55="","",IF($B55="I",VLOOKUP($AA55,#REF!,53,0),INDEX(VALUES!$B$1:$GP$1,1,$AA55)))</f>
        <v/>
      </c>
    </row>
    <row r="56" spans="1:29" hidden="1" outlineLevel="1">
      <c r="A56" s="21" t="s">
        <v>87</v>
      </c>
      <c r="B56" s="40" t="str">
        <f t="shared" si="4"/>
        <v/>
      </c>
      <c r="C56" s="41">
        <f t="shared" si="7"/>
        <v>55</v>
      </c>
      <c r="D56" s="260"/>
      <c r="E56" s="37"/>
      <c r="F56" s="305"/>
      <c r="G56" s="188"/>
      <c r="H56" s="37"/>
      <c r="I56" s="37" t="s">
        <v>9</v>
      </c>
      <c r="J56" s="37"/>
      <c r="K56" s="163" t="s">
        <v>20</v>
      </c>
      <c r="L56" s="164" t="s">
        <v>23</v>
      </c>
      <c r="M56" s="163" t="s">
        <v>1654</v>
      </c>
      <c r="N56" s="156" t="s">
        <v>1655</v>
      </c>
      <c r="O56" s="163" t="s">
        <v>298</v>
      </c>
      <c r="P56" s="157" t="s">
        <v>298</v>
      </c>
      <c r="Q56" s="168" t="s">
        <v>9</v>
      </c>
      <c r="R56" s="159" t="s">
        <v>105</v>
      </c>
      <c r="S56" s="159" t="s">
        <v>114</v>
      </c>
      <c r="T56" s="163" t="s">
        <v>298</v>
      </c>
      <c r="U56" s="163" t="s">
        <v>298</v>
      </c>
      <c r="V56" s="160" t="s">
        <v>1654</v>
      </c>
      <c r="W56" s="161" t="str">
        <f>IF(IFERROR(VLOOKUP($M56,'IMPORT GS-Tür OL FL 2S2 20'!$H$2:$H$847,1,0),"-")="-","","GS")</f>
        <v/>
      </c>
      <c r="X56" s="14" t="str">
        <f t="shared" si="3"/>
        <v/>
      </c>
      <c r="Y56" s="160" t="s">
        <v>1656</v>
      </c>
      <c r="Z56" s="58" t="str">
        <f>IF(OR($M56="",NOT($O56="{array}")),"",IFERROR(MATCH(PARAMETERS!$M56,DEFAULT!$B$5:$CI$5,0),""))</f>
        <v/>
      </c>
      <c r="AA56" s="272" t="str">
        <f t="shared" si="6"/>
        <v/>
      </c>
      <c r="AB56" s="274" t="str">
        <f>IF(AND(OR($A56="G",$A56="P"),NOT($O56="{array}")),IF(VLOOKUP($K56,base!$B$2:$D$20,3,0)="S",IF(OR($O56="",ISTEXT($O56)),"","STRING!"),IF(VLOOKUP($K56,base!$B$2:$D$20,3,0)="","",IF(ISTEXT($O56),"NUMERIC!",""))),"")</f>
        <v/>
      </c>
      <c r="AC56" s="275" t="str">
        <f>IF($AA56="","",IF($B56="I",VLOOKUP($AA56,#REF!,53,0),INDEX(VALUES!$B$1:$GP$1,1,$AA56)))</f>
        <v/>
      </c>
    </row>
    <row r="57" spans="1:29" hidden="1" outlineLevel="1">
      <c r="A57" s="21" t="s">
        <v>86</v>
      </c>
      <c r="B57" s="40" t="str">
        <f t="shared" si="4"/>
        <v/>
      </c>
      <c r="C57" s="41">
        <f t="shared" si="7"/>
        <v>56</v>
      </c>
      <c r="D57" s="260"/>
      <c r="E57" s="37"/>
      <c r="F57" s="305"/>
      <c r="G57" s="188"/>
      <c r="H57" s="37"/>
      <c r="I57" s="37" t="s">
        <v>9</v>
      </c>
      <c r="J57" s="37"/>
      <c r="K57" s="249" t="s">
        <v>26</v>
      </c>
      <c r="L57" s="164" t="s">
        <v>23</v>
      </c>
      <c r="M57" s="156" t="s">
        <v>1657</v>
      </c>
      <c r="N57" s="156" t="s">
        <v>1658</v>
      </c>
      <c r="O57" s="163">
        <v>0</v>
      </c>
      <c r="P57" s="182"/>
      <c r="Q57" s="168" t="s">
        <v>9</v>
      </c>
      <c r="R57" s="159" t="s">
        <v>105</v>
      </c>
      <c r="S57" s="159" t="s">
        <v>114</v>
      </c>
      <c r="T57" s="163" t="s">
        <v>298</v>
      </c>
      <c r="U57" s="163" t="s">
        <v>298</v>
      </c>
      <c r="V57" s="160" t="s">
        <v>1659</v>
      </c>
      <c r="W57" s="161" t="str">
        <f>IF(IFERROR(VLOOKUP($M57,'IMPORT GS-Tür OL FL 2S2 20'!$H$2:$H$847,1,0),"-")="-","","GS")</f>
        <v/>
      </c>
      <c r="X57" s="14" t="str">
        <f t="shared" si="3"/>
        <v>...</v>
      </c>
      <c r="Y57" s="160" t="s">
        <v>1660</v>
      </c>
      <c r="Z57" s="58" t="str">
        <f>IF(OR($M57="",NOT($O57="{array}")),"",IFERROR(MATCH(PARAMETERS!$M57,DEFAULT!$B$5:$CI$5,0),""))</f>
        <v/>
      </c>
      <c r="AA57" s="272" t="str">
        <f t="shared" si="6"/>
        <v/>
      </c>
      <c r="AB57" s="274" t="str">
        <f>IF(AND(OR($A57="G",$A57="P"),NOT($O57="{array}")),IF(VLOOKUP($K57,base!$B$2:$D$20,3,0)="S",IF(OR($O57="",ISTEXT($O57)),"","STRING!"),IF(VLOOKUP($K57,base!$B$2:$D$20,3,0)="","",IF(ISTEXT($O57),"NUMERIC!",""))),"")</f>
        <v/>
      </c>
      <c r="AC57" s="275" t="str">
        <f>IF($AA57="","",IF($B57="I",VLOOKUP($AA57,#REF!,53,0),INDEX(VALUES!$B$1:$GP$1,1,$AA57)))</f>
        <v/>
      </c>
    </row>
    <row r="58" spans="1:29" hidden="1" outlineLevel="1">
      <c r="A58" s="21" t="s">
        <v>87</v>
      </c>
      <c r="B58" s="40" t="str">
        <f t="shared" si="4"/>
        <v/>
      </c>
      <c r="C58" s="41">
        <f t="shared" si="7"/>
        <v>57</v>
      </c>
      <c r="D58" s="260"/>
      <c r="E58" s="37"/>
      <c r="F58" s="305"/>
      <c r="G58" s="188"/>
      <c r="H58" s="37"/>
      <c r="I58" s="37" t="s">
        <v>9</v>
      </c>
      <c r="J58" s="37"/>
      <c r="K58" s="163" t="s">
        <v>20</v>
      </c>
      <c r="L58" s="164" t="s">
        <v>23</v>
      </c>
      <c r="M58" s="163" t="s">
        <v>1661</v>
      </c>
      <c r="N58" s="156" t="s">
        <v>1662</v>
      </c>
      <c r="O58" s="163" t="s">
        <v>298</v>
      </c>
      <c r="P58" s="157"/>
      <c r="Q58" s="168" t="s">
        <v>9</v>
      </c>
      <c r="R58" s="159" t="s">
        <v>105</v>
      </c>
      <c r="S58" s="159" t="s">
        <v>114</v>
      </c>
      <c r="T58" s="163" t="s">
        <v>298</v>
      </c>
      <c r="U58" s="163" t="s">
        <v>298</v>
      </c>
      <c r="V58" s="160" t="s">
        <v>1661</v>
      </c>
      <c r="W58" s="161" t="str">
        <f>IF(IFERROR(VLOOKUP($M58,'IMPORT GS-Tür OL FL 2S2 20'!$H$2:$H$847,1,0),"-")="-","","GS")</f>
        <v/>
      </c>
      <c r="X58" s="14" t="str">
        <f t="shared" si="3"/>
        <v/>
      </c>
      <c r="Y58" s="160" t="s">
        <v>1663</v>
      </c>
      <c r="Z58" s="58" t="str">
        <f>IF(OR($M58="",NOT($O58="{array}")),"",IFERROR(MATCH(PARAMETERS!$M58,DEFAULT!$B$5:$CI$5,0),""))</f>
        <v/>
      </c>
      <c r="AA58" s="272" t="str">
        <f t="shared" si="6"/>
        <v/>
      </c>
      <c r="AB58" s="274" t="str">
        <f>IF(AND(OR($A58="G",$A58="P"),NOT($O58="{array}")),IF(VLOOKUP($K58,base!$B$2:$D$20,3,0)="S",IF(OR($O58="",ISTEXT($O58)),"","STRING!"),IF(VLOOKUP($K58,base!$B$2:$D$20,3,0)="","",IF(ISTEXT($O58),"NUMERIC!",""))),"")</f>
        <v/>
      </c>
      <c r="AC58" s="275" t="str">
        <f>IF($AA58="","",IF($B58="I",VLOOKUP($AA58,#REF!,53,0),INDEX(VALUES!$B$1:$GP$1,1,$AA58)))</f>
        <v/>
      </c>
    </row>
    <row r="59" spans="1:29" hidden="1" outlineLevel="1">
      <c r="A59" s="21" t="s">
        <v>86</v>
      </c>
      <c r="B59" s="40" t="str">
        <f t="shared" si="4"/>
        <v/>
      </c>
      <c r="C59" s="41">
        <f t="shared" si="7"/>
        <v>58</v>
      </c>
      <c r="D59" s="260"/>
      <c r="E59" s="37"/>
      <c r="F59" s="305"/>
      <c r="G59" s="188"/>
      <c r="H59" s="37"/>
      <c r="I59" s="37" t="s">
        <v>9</v>
      </c>
      <c r="J59" s="37"/>
      <c r="K59" s="249" t="s">
        <v>26</v>
      </c>
      <c r="L59" s="164" t="s">
        <v>23</v>
      </c>
      <c r="M59" s="156" t="s">
        <v>1664</v>
      </c>
      <c r="N59" s="156" t="s">
        <v>1665</v>
      </c>
      <c r="O59" s="163">
        <v>0</v>
      </c>
      <c r="P59" s="182"/>
      <c r="Q59" s="168" t="s">
        <v>9</v>
      </c>
      <c r="R59" s="159" t="s">
        <v>105</v>
      </c>
      <c r="S59" s="159" t="s">
        <v>114</v>
      </c>
      <c r="T59" s="163" t="s">
        <v>298</v>
      </c>
      <c r="U59" s="163" t="s">
        <v>298</v>
      </c>
      <c r="V59" s="160" t="s">
        <v>1666</v>
      </c>
      <c r="W59" s="161" t="str">
        <f>IF(IFERROR(VLOOKUP($M59,'IMPORT GS-Tür OL FL 2S2 20'!$H$2:$H$847,1,0),"-")="-","","GS")</f>
        <v/>
      </c>
      <c r="X59" s="14" t="str">
        <f t="shared" si="3"/>
        <v>...</v>
      </c>
      <c r="Y59" s="160" t="s">
        <v>1667</v>
      </c>
      <c r="Z59" s="58" t="str">
        <f>IF(OR($M59="",NOT($O59="{array}")),"",IFERROR(MATCH(PARAMETERS!$M59,DEFAULT!$B$5:$CI$5,0),""))</f>
        <v/>
      </c>
      <c r="AA59" s="272" t="str">
        <f t="shared" si="6"/>
        <v/>
      </c>
      <c r="AB59" s="274" t="str">
        <f>IF(AND(OR($A59="G",$A59="P"),NOT($O59="{array}")),IF(VLOOKUP($K59,base!$B$2:$D$20,3,0)="S",IF(OR($O59="",ISTEXT($O59)),"","STRING!"),IF(VLOOKUP($K59,base!$B$2:$D$20,3,0)="","",IF(ISTEXT($O59),"NUMERIC!",""))),"")</f>
        <v/>
      </c>
      <c r="AC59" s="275" t="str">
        <f>IF($AA59="","",IF($B59="I",VLOOKUP($AA59,#REF!,53,0),INDEX(VALUES!$B$1:$GP$1,1,$AA59)))</f>
        <v/>
      </c>
    </row>
    <row r="60" spans="1:29" s="276" customFormat="1" hidden="1" outlineLevel="1">
      <c r="A60" s="263"/>
      <c r="B60" s="264" t="str">
        <f t="shared" si="4"/>
        <v/>
      </c>
      <c r="C60" s="265">
        <f t="shared" si="7"/>
        <v>59</v>
      </c>
      <c r="D60" s="266"/>
      <c r="E60" s="266"/>
      <c r="F60" s="305"/>
      <c r="G60" s="188"/>
      <c r="H60" s="266"/>
      <c r="I60" s="266" t="s">
        <v>9</v>
      </c>
      <c r="J60" s="266"/>
      <c r="K60" s="313" t="s">
        <v>26</v>
      </c>
      <c r="L60" s="278" t="s">
        <v>23</v>
      </c>
      <c r="M60" s="278" t="s">
        <v>1668</v>
      </c>
      <c r="N60" s="278" t="s">
        <v>1669</v>
      </c>
      <c r="O60" s="278">
        <v>0</v>
      </c>
      <c r="P60" s="287" t="s">
        <v>130</v>
      </c>
      <c r="Q60" s="279" t="s">
        <v>9</v>
      </c>
      <c r="R60" s="279" t="s">
        <v>105</v>
      </c>
      <c r="S60" s="279" t="s">
        <v>114</v>
      </c>
      <c r="T60" s="278" t="s">
        <v>298</v>
      </c>
      <c r="U60" s="278" t="s">
        <v>298</v>
      </c>
      <c r="V60" s="278" t="s">
        <v>1670</v>
      </c>
      <c r="W60" s="272" t="str">
        <f>IF(IFERROR(VLOOKUP($M60,'IMPORT GS-Tür OL FL 2S2 20'!$H$2:$H$847,1,0),"-")="-","","GS")</f>
        <v/>
      </c>
      <c r="X60" s="272" t="str">
        <f t="shared" si="3"/>
        <v/>
      </c>
      <c r="Y60" s="278" t="s">
        <v>1671</v>
      </c>
      <c r="Z60" s="273" t="str">
        <f>IF(OR($M60="",NOT($O60="{array}")),"",IFERROR(MATCH(PARAMETERS!$M60,DEFAULT!$B$5:$CI$5,0),""))</f>
        <v/>
      </c>
      <c r="AA60" s="272" t="str">
        <f t="shared" si="6"/>
        <v/>
      </c>
      <c r="AB60" s="274" t="str">
        <f>IF(AND(OR($A60="G",$A60="P"),NOT($O60="{array}")),IF(VLOOKUP($K60,base!$B$2:$D$20,3,0)="S",IF(OR($O60="",ISTEXT($O60)),"","STRING!"),IF(VLOOKUP($K60,base!$B$2:$D$20,3,0)="","",IF(ISTEXT($O60),"NUMERIC!",""))),"")</f>
        <v/>
      </c>
      <c r="AC60" s="275" t="str">
        <f>IF($AA60="","",IF($B60="I",VLOOKUP($AA60,#REF!,53,0),INDEX(VALUES!$B$1:$GP$1,1,$AA60)))</f>
        <v/>
      </c>
    </row>
    <row r="61" spans="1:29" s="276" customFormat="1" hidden="1" outlineLevel="1">
      <c r="A61" s="263"/>
      <c r="B61" s="264" t="str">
        <f t="shared" si="4"/>
        <v>X</v>
      </c>
      <c r="C61" s="265">
        <f t="shared" si="7"/>
        <v>60</v>
      </c>
      <c r="D61" s="266"/>
      <c r="E61" s="266"/>
      <c r="F61" s="305"/>
      <c r="G61" s="188"/>
      <c r="H61" s="266"/>
      <c r="I61" s="266" t="s">
        <v>9</v>
      </c>
      <c r="J61" s="266"/>
      <c r="K61" s="277" t="s">
        <v>20</v>
      </c>
      <c r="L61" s="277" t="s">
        <v>34</v>
      </c>
      <c r="M61" s="277" t="s">
        <v>1672</v>
      </c>
      <c r="N61" s="277" t="s">
        <v>1673</v>
      </c>
      <c r="O61" s="277" t="s">
        <v>136</v>
      </c>
      <c r="P61" s="287" t="s">
        <v>298</v>
      </c>
      <c r="Q61" s="280"/>
      <c r="R61" s="280" t="s">
        <v>105</v>
      </c>
      <c r="S61" s="280" t="s">
        <v>114</v>
      </c>
      <c r="T61" s="277" t="s">
        <v>298</v>
      </c>
      <c r="U61" s="277" t="s">
        <v>298</v>
      </c>
      <c r="V61" s="277" t="s">
        <v>1674</v>
      </c>
      <c r="W61" s="272" t="str">
        <f>IF(IFERROR(VLOOKUP($M61,'IMPORT GS-Tür OL FL 2S2 20'!$H$2:$H$847,1,0),"-")="-","","GS")</f>
        <v/>
      </c>
      <c r="X61" s="272" t="str">
        <f t="shared" si="3"/>
        <v/>
      </c>
      <c r="Y61" s="277" t="s">
        <v>1646</v>
      </c>
      <c r="Z61" s="273" t="str">
        <f>IF(OR($M61="",NOT($O61="{array}")),"",IFERROR(MATCH(PARAMETERS!$M61,DEFAULT!$B$5:$CI$5,0),""))</f>
        <v/>
      </c>
      <c r="AA61" s="272">
        <f t="shared" si="6"/>
        <v>69</v>
      </c>
      <c r="AB61" s="274" t="str">
        <f>IF(AND(OR($A61="G",$A61="P"),NOT($O61="{array}")),IF(VLOOKUP($K61,base!$B$2:$D$20,3,0)="S",IF(OR($O61="",ISTEXT($O61)),"","STRING!"),IF(VLOOKUP($K61,base!$B$2:$D$20,3,0)="","",IF(ISTEXT($O61),"NUMERIC!",""))),"")</f>
        <v/>
      </c>
      <c r="AC61" s="275" t="str">
        <f>IF($AA61="","",IF($B61="I",VLOOKUP($AA61,#REF!,53,0),INDEX(VALUES!$B$1:$GP$1,1,$AA61)))</f>
        <v>Massiv | Leichtbau | Metallbausystem | Trennwand | Säule | Träger | undefiniert</v>
      </c>
    </row>
    <row r="62" spans="1:29" s="276" customFormat="1" hidden="1" outlineLevel="1">
      <c r="A62" s="263"/>
      <c r="B62" s="264" t="str">
        <f t="shared" si="4"/>
        <v/>
      </c>
      <c r="C62" s="265">
        <f t="shared" si="7"/>
        <v>61</v>
      </c>
      <c r="D62" s="266"/>
      <c r="E62" s="266"/>
      <c r="F62" s="305"/>
      <c r="G62" s="188"/>
      <c r="H62" s="266"/>
      <c r="I62" s="266" t="s">
        <v>9</v>
      </c>
      <c r="J62" s="266"/>
      <c r="K62" s="277" t="s">
        <v>20</v>
      </c>
      <c r="L62" s="277" t="s">
        <v>23</v>
      </c>
      <c r="M62" s="277" t="s">
        <v>1675</v>
      </c>
      <c r="N62" s="277" t="s">
        <v>298</v>
      </c>
      <c r="O62" s="277" t="s">
        <v>298</v>
      </c>
      <c r="P62" s="287" t="s">
        <v>298</v>
      </c>
      <c r="Q62" s="280" t="s">
        <v>9</v>
      </c>
      <c r="R62" s="280" t="s">
        <v>105</v>
      </c>
      <c r="S62" s="280" t="s">
        <v>114</v>
      </c>
      <c r="T62" s="277" t="s">
        <v>298</v>
      </c>
      <c r="U62" s="277" t="s">
        <v>298</v>
      </c>
      <c r="V62" s="277" t="s">
        <v>1675</v>
      </c>
      <c r="W62" s="272" t="str">
        <f>IF(IFERROR(VLOOKUP($M62,'IMPORT GS-Tür OL FL 2S2 20'!$H$2:$H$847,1,0),"-")="-","","GS")</f>
        <v/>
      </c>
      <c r="X62" s="272" t="str">
        <f t="shared" si="3"/>
        <v/>
      </c>
      <c r="Y62" s="277" t="s">
        <v>1676</v>
      </c>
      <c r="Z62" s="273" t="str">
        <f>IF(OR($M62="",NOT($O62="{array}")),"",IFERROR(MATCH(PARAMETERS!$M62,DEFAULT!$B$5:$CI$5,0),""))</f>
        <v/>
      </c>
      <c r="AA62" s="272" t="str">
        <f t="shared" si="6"/>
        <v/>
      </c>
      <c r="AB62" s="274" t="str">
        <f>IF(AND(OR($A62="G",$A62="P"),NOT($O62="{array}")),IF(VLOOKUP($K62,base!$B$2:$D$20,3,0)="S",IF(OR($O62="",ISTEXT($O62)),"","STRING!"),IF(VLOOKUP($K62,base!$B$2:$D$20,3,0)="","",IF(ISTEXT($O62),"NUMERIC!",""))),"")</f>
        <v/>
      </c>
      <c r="AC62" s="275" t="str">
        <f>IF($AA62="","",IF($B62="I",VLOOKUP($AA62,#REF!,53,0),INDEX(VALUES!$B$1:$GP$1,1,$AA62)))</f>
        <v/>
      </c>
    </row>
    <row r="63" spans="1:29" s="276" customFormat="1" hidden="1" outlineLevel="1">
      <c r="A63" s="263"/>
      <c r="B63" s="264" t="str">
        <f t="shared" si="4"/>
        <v/>
      </c>
      <c r="C63" s="265">
        <f t="shared" si="7"/>
        <v>62</v>
      </c>
      <c r="D63" s="266"/>
      <c r="E63" s="266"/>
      <c r="F63" s="305"/>
      <c r="G63" s="188"/>
      <c r="H63" s="266"/>
      <c r="I63" s="266" t="s">
        <v>9</v>
      </c>
      <c r="J63" s="266"/>
      <c r="K63" s="277" t="s">
        <v>20</v>
      </c>
      <c r="L63" s="277" t="s">
        <v>23</v>
      </c>
      <c r="M63" s="277" t="s">
        <v>1677</v>
      </c>
      <c r="N63" s="277" t="s">
        <v>298</v>
      </c>
      <c r="O63" s="277" t="s">
        <v>298</v>
      </c>
      <c r="P63" s="287" t="s">
        <v>298</v>
      </c>
      <c r="Q63" s="280" t="s">
        <v>9</v>
      </c>
      <c r="R63" s="280" t="s">
        <v>105</v>
      </c>
      <c r="S63" s="280" t="s">
        <v>114</v>
      </c>
      <c r="T63" s="277" t="s">
        <v>298</v>
      </c>
      <c r="U63" s="277" t="s">
        <v>298</v>
      </c>
      <c r="V63" s="277" t="s">
        <v>1677</v>
      </c>
      <c r="W63" s="272" t="str">
        <f>IF(IFERROR(VLOOKUP($M63,'IMPORT GS-Tür OL FL 2S2 20'!$H$2:$H$847,1,0),"-")="-","","GS")</f>
        <v/>
      </c>
      <c r="X63" s="272" t="str">
        <f t="shared" si="3"/>
        <v/>
      </c>
      <c r="Y63" s="277" t="s">
        <v>1678</v>
      </c>
      <c r="Z63" s="273" t="str">
        <f>IF(OR($M63="",NOT($O63="{array}")),"",IFERROR(MATCH(PARAMETERS!$M63,DEFAULT!$B$5:$CI$5,0),""))</f>
        <v/>
      </c>
      <c r="AA63" s="272" t="str">
        <f t="shared" si="6"/>
        <v/>
      </c>
      <c r="AB63" s="274" t="str">
        <f>IF(AND(OR($A63="G",$A63="P"),NOT($O63="{array}")),IF(VLOOKUP($K63,base!$B$2:$D$20,3,0)="S",IF(OR($O63="",ISTEXT($O63)),"","STRING!"),IF(VLOOKUP($K63,base!$B$2:$D$20,3,0)="","",IF(ISTEXT($O63),"NUMERIC!",""))),"")</f>
        <v/>
      </c>
      <c r="AC63" s="275" t="str">
        <f>IF($AA63="","",IF($B63="I",VLOOKUP($AA63,#REF!,53,0),INDEX(VALUES!$B$1:$GP$1,1,$AA63)))</f>
        <v/>
      </c>
    </row>
    <row r="64" spans="1:29" s="276" customFormat="1" hidden="1" outlineLevel="1">
      <c r="A64" s="263"/>
      <c r="B64" s="264" t="str">
        <f t="shared" si="4"/>
        <v/>
      </c>
      <c r="C64" s="265">
        <f t="shared" si="7"/>
        <v>63</v>
      </c>
      <c r="D64" s="266"/>
      <c r="E64" s="266"/>
      <c r="F64" s="305"/>
      <c r="G64" s="188"/>
      <c r="H64" s="266"/>
      <c r="I64" s="266" t="s">
        <v>9</v>
      </c>
      <c r="J64" s="266"/>
      <c r="K64" s="292" t="s">
        <v>26</v>
      </c>
      <c r="L64" s="277" t="s">
        <v>23</v>
      </c>
      <c r="M64" s="277" t="s">
        <v>1679</v>
      </c>
      <c r="N64" s="277" t="s">
        <v>298</v>
      </c>
      <c r="O64" s="277" t="s">
        <v>298</v>
      </c>
      <c r="P64" s="287" t="s">
        <v>130</v>
      </c>
      <c r="Q64" s="280" t="s">
        <v>9</v>
      </c>
      <c r="R64" s="280" t="s">
        <v>105</v>
      </c>
      <c r="S64" s="280" t="s">
        <v>114</v>
      </c>
      <c r="T64" s="277" t="s">
        <v>298</v>
      </c>
      <c r="U64" s="277" t="s">
        <v>298</v>
      </c>
      <c r="V64" s="277" t="s">
        <v>1679</v>
      </c>
      <c r="W64" s="272" t="str">
        <f>IF(IFERROR(VLOOKUP($M64,'IMPORT GS-Tür OL FL 2S2 20'!$H$2:$H$847,1,0),"-")="-","","GS")</f>
        <v/>
      </c>
      <c r="X64" s="272" t="str">
        <f t="shared" si="3"/>
        <v/>
      </c>
      <c r="Y64" s="277" t="s">
        <v>1680</v>
      </c>
      <c r="Z64" s="273" t="str">
        <f>IF(OR($M64="",NOT($O64="{array}")),"",IFERROR(MATCH(PARAMETERS!$M64,DEFAULT!$B$5:$CI$5,0),""))</f>
        <v/>
      </c>
      <c r="AA64" s="272" t="str">
        <f t="shared" si="6"/>
        <v/>
      </c>
      <c r="AB64" s="274" t="str">
        <f>IF(AND(OR($A64="G",$A64="P"),NOT($O64="{array}")),IF(VLOOKUP($K64,base!$B$2:$D$20,3,0)="S",IF(OR($O64="",ISTEXT($O64)),"","STRING!"),IF(VLOOKUP($K64,base!$B$2:$D$20,3,0)="","",IF(ISTEXT($O64),"NUMERIC!",""))),"")</f>
        <v/>
      </c>
      <c r="AC64" s="275" t="str">
        <f>IF($AA64="","",IF($B64="I",VLOOKUP($AA64,#REF!,53,0),INDEX(VALUES!$B$1:$GP$1,1,$AA64)))</f>
        <v/>
      </c>
    </row>
    <row r="65" spans="1:29" s="276" customFormat="1" hidden="1" outlineLevel="1">
      <c r="A65" s="263"/>
      <c r="B65" s="264" t="str">
        <f t="shared" si="4"/>
        <v/>
      </c>
      <c r="C65" s="265">
        <f t="shared" si="7"/>
        <v>64</v>
      </c>
      <c r="D65" s="266"/>
      <c r="E65" s="266"/>
      <c r="F65" s="305"/>
      <c r="G65" s="188"/>
      <c r="H65" s="266"/>
      <c r="I65" s="266" t="s">
        <v>9</v>
      </c>
      <c r="J65" s="266"/>
      <c r="K65" s="292" t="s">
        <v>26</v>
      </c>
      <c r="L65" s="277" t="s">
        <v>23</v>
      </c>
      <c r="M65" s="277" t="s">
        <v>1681</v>
      </c>
      <c r="N65" s="277" t="s">
        <v>298</v>
      </c>
      <c r="O65" s="277" t="s">
        <v>298</v>
      </c>
      <c r="P65" s="287" t="s">
        <v>130</v>
      </c>
      <c r="Q65" s="280" t="s">
        <v>9</v>
      </c>
      <c r="R65" s="280" t="s">
        <v>105</v>
      </c>
      <c r="S65" s="280" t="s">
        <v>114</v>
      </c>
      <c r="T65" s="277" t="s">
        <v>298</v>
      </c>
      <c r="U65" s="277" t="s">
        <v>298</v>
      </c>
      <c r="V65" s="277" t="s">
        <v>1681</v>
      </c>
      <c r="W65" s="272" t="str">
        <f>IF(IFERROR(VLOOKUP($M65,'IMPORT GS-Tür OL FL 2S2 20'!$H$2:$H$847,1,0),"-")="-","","GS")</f>
        <v/>
      </c>
      <c r="X65" s="272" t="str">
        <f t="shared" si="3"/>
        <v/>
      </c>
      <c r="Y65" s="277" t="s">
        <v>1682</v>
      </c>
      <c r="Z65" s="273" t="str">
        <f>IF(OR($M65="",NOT($O65="{array}")),"",IFERROR(MATCH(PARAMETERS!$M65,DEFAULT!$B$5:$CI$5,0),""))</f>
        <v/>
      </c>
      <c r="AA65" s="272" t="str">
        <f t="shared" si="6"/>
        <v/>
      </c>
      <c r="AB65" s="274" t="str">
        <f>IF(AND(OR($A65="G",$A65="P"),NOT($O65="{array}")),IF(VLOOKUP($K65,base!$B$2:$D$20,3,0)="S",IF(OR($O65="",ISTEXT($O65)),"","STRING!"),IF(VLOOKUP($K65,base!$B$2:$D$20,3,0)="","",IF(ISTEXT($O65),"NUMERIC!",""))),"")</f>
        <v/>
      </c>
      <c r="AC65" s="275" t="str">
        <f>IF($AA65="","",IF($B65="I",VLOOKUP($AA65,#REF!,53,0),INDEX(VALUES!$B$1:$GP$1,1,$AA65)))</f>
        <v/>
      </c>
    </row>
    <row r="66" spans="1:29" s="276" customFormat="1" hidden="1" outlineLevel="1">
      <c r="A66" s="263"/>
      <c r="B66" s="264" t="str">
        <f t="shared" si="4"/>
        <v/>
      </c>
      <c r="C66" s="265">
        <f t="shared" si="7"/>
        <v>65</v>
      </c>
      <c r="D66" s="266"/>
      <c r="E66" s="266"/>
      <c r="F66" s="305"/>
      <c r="G66" s="188"/>
      <c r="H66" s="266"/>
      <c r="I66" s="266" t="s">
        <v>9</v>
      </c>
      <c r="J66" s="266"/>
      <c r="K66" s="277" t="s">
        <v>20</v>
      </c>
      <c r="L66" s="277" t="s">
        <v>23</v>
      </c>
      <c r="M66" s="277" t="s">
        <v>1683</v>
      </c>
      <c r="N66" s="277" t="s">
        <v>298</v>
      </c>
      <c r="O66" s="277" t="s">
        <v>298</v>
      </c>
      <c r="P66" s="287" t="s">
        <v>298</v>
      </c>
      <c r="Q66" s="280" t="s">
        <v>9</v>
      </c>
      <c r="R66" s="280" t="s">
        <v>105</v>
      </c>
      <c r="S66" s="280" t="s">
        <v>114</v>
      </c>
      <c r="T66" s="277" t="s">
        <v>298</v>
      </c>
      <c r="U66" s="277" t="s">
        <v>298</v>
      </c>
      <c r="V66" s="277" t="s">
        <v>1683</v>
      </c>
      <c r="W66" s="272" t="str">
        <f>IF(IFERROR(VLOOKUP($M66,'IMPORT GS-Tür OL FL 2S2 20'!$H$2:$H$847,1,0),"-")="-","","GS")</f>
        <v/>
      </c>
      <c r="X66" s="272" t="str">
        <f t="shared" si="3"/>
        <v/>
      </c>
      <c r="Y66" s="277" t="s">
        <v>1684</v>
      </c>
      <c r="Z66" s="273" t="str">
        <f>IF(OR($M66="",NOT($O66="{array}")),"",IFERROR(MATCH(PARAMETERS!$M66,DEFAULT!$B$5:$CI$5,0),""))</f>
        <v/>
      </c>
      <c r="AA66" s="272" t="str">
        <f t="shared" si="6"/>
        <v/>
      </c>
      <c r="AB66" s="274" t="str">
        <f>IF(AND(OR($A66="G",$A66="P"),NOT($O66="{array}")),IF(VLOOKUP($K66,base!$B$2:$D$20,3,0)="S",IF(OR($O66="",ISTEXT($O66)),"","STRING!"),IF(VLOOKUP($K66,base!$B$2:$D$20,3,0)="","",IF(ISTEXT($O66),"NUMERIC!",""))),"")</f>
        <v/>
      </c>
      <c r="AC66" s="275" t="str">
        <f>IF($AA66="","",IF($B66="I",VLOOKUP($AA66,#REF!,53,0),INDEX(VALUES!$B$1:$GP$1,1,$AA66)))</f>
        <v/>
      </c>
    </row>
    <row r="67" spans="1:29" s="276" customFormat="1" hidden="1" outlineLevel="1">
      <c r="A67" s="263"/>
      <c r="B67" s="264" t="str">
        <f t="shared" si="4"/>
        <v/>
      </c>
      <c r="C67" s="265">
        <f t="shared" si="7"/>
        <v>66</v>
      </c>
      <c r="D67" s="266"/>
      <c r="E67" s="266"/>
      <c r="F67" s="305"/>
      <c r="G67" s="188"/>
      <c r="H67" s="266"/>
      <c r="I67" s="266" t="s">
        <v>9</v>
      </c>
      <c r="J67" s="266"/>
      <c r="K67" s="277" t="s">
        <v>20</v>
      </c>
      <c r="L67" s="277" t="s">
        <v>23</v>
      </c>
      <c r="M67" s="277" t="s">
        <v>1685</v>
      </c>
      <c r="N67" s="277" t="s">
        <v>298</v>
      </c>
      <c r="O67" s="277" t="s">
        <v>298</v>
      </c>
      <c r="P67" s="287" t="s">
        <v>298</v>
      </c>
      <c r="Q67" s="280" t="s">
        <v>9</v>
      </c>
      <c r="R67" s="280" t="s">
        <v>105</v>
      </c>
      <c r="S67" s="280" t="s">
        <v>114</v>
      </c>
      <c r="T67" s="277" t="s">
        <v>298</v>
      </c>
      <c r="U67" s="277" t="s">
        <v>298</v>
      </c>
      <c r="V67" s="277" t="s">
        <v>1685</v>
      </c>
      <c r="W67" s="272" t="str">
        <f>IF(IFERROR(VLOOKUP($M67,'IMPORT GS-Tür OL FL 2S2 20'!$H$2:$H$847,1,0),"-")="-","","GS")</f>
        <v/>
      </c>
      <c r="X67" s="272" t="str">
        <f t="shared" si="3"/>
        <v/>
      </c>
      <c r="Y67" s="277" t="s">
        <v>1686</v>
      </c>
      <c r="Z67" s="273" t="str">
        <f>IF(OR($M67="",NOT($O67="{array}")),"",IFERROR(MATCH(PARAMETERS!$M67,DEFAULT!$B$5:$CI$5,0),""))</f>
        <v/>
      </c>
      <c r="AA67" s="272" t="str">
        <f t="shared" si="6"/>
        <v/>
      </c>
      <c r="AB67" s="274" t="str">
        <f>IF(AND(OR($A67="G",$A67="P"),NOT($O67="{array}")),IF(VLOOKUP($K67,base!$B$2:$D$20,3,0)="S",IF(OR($O67="",ISTEXT($O67)),"","STRING!"),IF(VLOOKUP($K67,base!$B$2:$D$20,3,0)="","",IF(ISTEXT($O67),"NUMERIC!",""))),"")</f>
        <v/>
      </c>
      <c r="AC67" s="275" t="str">
        <f>IF($AA67="","",IF($B67="I",VLOOKUP($AA67,#REF!,53,0),INDEX(VALUES!$B$1:$GP$1,1,$AA67)))</f>
        <v/>
      </c>
    </row>
    <row r="68" spans="1:29" s="276" customFormat="1" hidden="1" outlineLevel="1">
      <c r="A68" s="263"/>
      <c r="B68" s="264" t="str">
        <f t="shared" si="4"/>
        <v/>
      </c>
      <c r="C68" s="265">
        <f t="shared" si="7"/>
        <v>67</v>
      </c>
      <c r="D68" s="266"/>
      <c r="E68" s="266"/>
      <c r="F68" s="305"/>
      <c r="G68" s="188"/>
      <c r="H68" s="266"/>
      <c r="I68" s="266" t="s">
        <v>9</v>
      </c>
      <c r="J68" s="266"/>
      <c r="K68" s="292" t="s">
        <v>26</v>
      </c>
      <c r="L68" s="277" t="s">
        <v>23</v>
      </c>
      <c r="M68" s="277" t="s">
        <v>1687</v>
      </c>
      <c r="N68" s="277" t="s">
        <v>298</v>
      </c>
      <c r="O68" s="277" t="s">
        <v>298</v>
      </c>
      <c r="P68" s="287" t="s">
        <v>130</v>
      </c>
      <c r="Q68" s="280" t="s">
        <v>9</v>
      </c>
      <c r="R68" s="280" t="s">
        <v>105</v>
      </c>
      <c r="S68" s="280" t="s">
        <v>114</v>
      </c>
      <c r="T68" s="277" t="s">
        <v>298</v>
      </c>
      <c r="U68" s="277" t="s">
        <v>298</v>
      </c>
      <c r="V68" s="277" t="s">
        <v>1687</v>
      </c>
      <c r="W68" s="272" t="str">
        <f>IF(IFERROR(VLOOKUP($M68,'IMPORT GS-Tür OL FL 2S2 20'!$H$2:$H$847,1,0),"-")="-","","GS")</f>
        <v/>
      </c>
      <c r="X68" s="272" t="str">
        <f t="shared" si="3"/>
        <v/>
      </c>
      <c r="Y68" s="277" t="s">
        <v>1688</v>
      </c>
      <c r="Z68" s="273" t="str">
        <f>IF(OR($M68="",NOT($O68="{array}")),"",IFERROR(MATCH(PARAMETERS!$M68,DEFAULT!$B$5:$CI$5,0),""))</f>
        <v/>
      </c>
      <c r="AA68" s="272" t="str">
        <f t="shared" si="6"/>
        <v/>
      </c>
      <c r="AB68" s="274" t="str">
        <f>IF(AND(OR($A68="G",$A68="P"),NOT($O68="{array}")),IF(VLOOKUP($K68,base!$B$2:$D$20,3,0)="S",IF(OR($O68="",ISTEXT($O68)),"","STRING!"),IF(VLOOKUP($K68,base!$B$2:$D$20,3,0)="","",IF(ISTEXT($O68),"NUMERIC!",""))),"")</f>
        <v/>
      </c>
      <c r="AC68" s="275" t="str">
        <f>IF($AA68="","",IF($B68="I",VLOOKUP($AA68,#REF!,53,0),INDEX(VALUES!$B$1:$GP$1,1,$AA68)))</f>
        <v/>
      </c>
    </row>
    <row r="69" spans="1:29" s="276" customFormat="1" hidden="1" outlineLevel="1">
      <c r="A69" s="263"/>
      <c r="B69" s="264" t="str">
        <f t="shared" si="4"/>
        <v/>
      </c>
      <c r="C69" s="265">
        <f t="shared" si="7"/>
        <v>68</v>
      </c>
      <c r="D69" s="266"/>
      <c r="E69" s="266"/>
      <c r="F69" s="305"/>
      <c r="G69" s="188"/>
      <c r="H69" s="266"/>
      <c r="I69" s="266" t="s">
        <v>9</v>
      </c>
      <c r="J69" s="266"/>
      <c r="K69" s="292" t="s">
        <v>26</v>
      </c>
      <c r="L69" s="277" t="s">
        <v>23</v>
      </c>
      <c r="M69" s="277" t="s">
        <v>1689</v>
      </c>
      <c r="N69" s="277" t="s">
        <v>298</v>
      </c>
      <c r="O69" s="277"/>
      <c r="P69" s="287" t="s">
        <v>130</v>
      </c>
      <c r="Q69" s="280" t="s">
        <v>9</v>
      </c>
      <c r="R69" s="280" t="s">
        <v>105</v>
      </c>
      <c r="S69" s="280" t="s">
        <v>114</v>
      </c>
      <c r="T69" s="277" t="s">
        <v>298</v>
      </c>
      <c r="U69" s="277" t="s">
        <v>298</v>
      </c>
      <c r="V69" s="277" t="s">
        <v>1689</v>
      </c>
      <c r="W69" s="272" t="str">
        <f>IF(IFERROR(VLOOKUP($M69,'IMPORT GS-Tür OL FL 2S2 20'!$H$2:$H$847,1,0),"-")="-","","GS")</f>
        <v/>
      </c>
      <c r="X69" s="272" t="str">
        <f t="shared" si="3"/>
        <v/>
      </c>
      <c r="Y69" s="277" t="s">
        <v>1690</v>
      </c>
      <c r="Z69" s="273" t="str">
        <f>IF(OR($M69="",NOT($O69="{array}")),"",IFERROR(MATCH(PARAMETERS!$M69,DEFAULT!$B$5:$CI$5,0),""))</f>
        <v/>
      </c>
      <c r="AA69" s="272" t="str">
        <f t="shared" si="6"/>
        <v/>
      </c>
      <c r="AB69" s="274" t="str">
        <f>IF(AND(OR($A69="G",$A69="P"),NOT($O69="{array}")),IF(VLOOKUP($K69,base!$B$2:$D$20,3,0)="S",IF(OR($O69="",ISTEXT($O69)),"","STRING!"),IF(VLOOKUP($K69,base!$B$2:$D$20,3,0)="","",IF(ISTEXT($O69),"NUMERIC!",""))),"")</f>
        <v/>
      </c>
      <c r="AC69" s="275" t="str">
        <f>IF($AA69="","",IF($B69="I",VLOOKUP($AA69,#REF!,53,0),INDEX(VALUES!$B$1:$GP$1,1,$AA69)))</f>
        <v/>
      </c>
    </row>
    <row r="70" spans="1:29" hidden="1" outlineLevel="1">
      <c r="A70" s="21" t="s">
        <v>87</v>
      </c>
      <c r="B70" s="40" t="str">
        <f t="shared" si="4"/>
        <v/>
      </c>
      <c r="C70" s="41">
        <f t="shared" si="7"/>
        <v>69</v>
      </c>
      <c r="D70" s="260"/>
      <c r="E70" s="37"/>
      <c r="F70" s="305"/>
      <c r="G70" s="188"/>
      <c r="H70" s="37"/>
      <c r="I70" s="37" t="s">
        <v>9</v>
      </c>
      <c r="J70" s="37"/>
      <c r="K70" s="160" t="s">
        <v>49</v>
      </c>
      <c r="L70" s="164" t="s">
        <v>23</v>
      </c>
      <c r="M70" s="160" t="s">
        <v>1691</v>
      </c>
      <c r="N70" s="160" t="s">
        <v>298</v>
      </c>
      <c r="O70" s="160">
        <v>0</v>
      </c>
      <c r="P70" s="162" t="s">
        <v>298</v>
      </c>
      <c r="Q70" s="159"/>
      <c r="R70" s="159" t="s">
        <v>105</v>
      </c>
      <c r="S70" s="159" t="s">
        <v>114</v>
      </c>
      <c r="T70" s="160" t="s">
        <v>298</v>
      </c>
      <c r="U70" s="160" t="s">
        <v>298</v>
      </c>
      <c r="V70" s="160" t="s">
        <v>1691</v>
      </c>
      <c r="W70" s="14" t="str">
        <f>IF(IFERROR(VLOOKUP($M70,'IMPORT GS-Tür OL FL 2S2 20'!$H$2:$H$847,1,0),"-")="-","","GS")</f>
        <v/>
      </c>
      <c r="X70" s="14" t="str">
        <f t="shared" si="3"/>
        <v/>
      </c>
      <c r="Y70" s="156" t="s">
        <v>919</v>
      </c>
      <c r="Z70" s="58" t="str">
        <f>IF(OR($M70="",NOT($O70="{array}")),"",IFERROR(MATCH(PARAMETERS!$M70,DEFAULT!$B$5:$CI$5,0),""))</f>
        <v/>
      </c>
      <c r="AA70" s="55" t="str">
        <f t="shared" si="6"/>
        <v/>
      </c>
      <c r="AB70" s="62" t="str">
        <f>IF(AND(OR($A70="G",$A70="P"),NOT($O70="{array}")),IF(VLOOKUP($K70,base!$B$2:$D$20,3,0)="S",IF(OR($O70="",ISTEXT($O70)),"","STRING!"),IF(VLOOKUP($K70,base!$B$2:$D$20,3,0)="","",IF(ISTEXT($O70),"NUMERIC!",""))),"")</f>
        <v/>
      </c>
      <c r="AC70" s="16" t="str">
        <f>IF($AA70="","",IF($B70="I",VLOOKUP($AA70,#REF!,53,0),INDEX(VALUES!$B$1:$GP$1,1,$AA70)))</f>
        <v/>
      </c>
    </row>
    <row r="71" spans="1:29" hidden="1" outlineLevel="1">
      <c r="A71" s="21" t="s">
        <v>87</v>
      </c>
      <c r="B71" s="40" t="str">
        <f t="shared" si="4"/>
        <v/>
      </c>
      <c r="C71" s="41">
        <f t="shared" si="7"/>
        <v>70</v>
      </c>
      <c r="D71" s="260"/>
      <c r="E71" s="37"/>
      <c r="F71" s="305"/>
      <c r="G71" s="188"/>
      <c r="H71" s="37"/>
      <c r="I71" s="37" t="s">
        <v>9</v>
      </c>
      <c r="J71" s="37"/>
      <c r="K71" s="160" t="s">
        <v>49</v>
      </c>
      <c r="L71" s="164" t="s">
        <v>23</v>
      </c>
      <c r="M71" s="160" t="s">
        <v>1692</v>
      </c>
      <c r="N71" s="160" t="s">
        <v>298</v>
      </c>
      <c r="O71" s="160">
        <v>0</v>
      </c>
      <c r="P71" s="162" t="s">
        <v>298</v>
      </c>
      <c r="Q71" s="159"/>
      <c r="R71" s="159" t="s">
        <v>105</v>
      </c>
      <c r="S71" s="159" t="s">
        <v>114</v>
      </c>
      <c r="T71" s="160" t="s">
        <v>298</v>
      </c>
      <c r="U71" s="160" t="s">
        <v>298</v>
      </c>
      <c r="V71" s="160" t="s">
        <v>1692</v>
      </c>
      <c r="W71" s="14" t="str">
        <f>IF(IFERROR(VLOOKUP($M71,'IMPORT GS-Tür OL FL 2S2 20'!$H$2:$H$847,1,0),"-")="-","","GS")</f>
        <v/>
      </c>
      <c r="X71" s="14" t="str">
        <f t="shared" si="3"/>
        <v/>
      </c>
      <c r="Y71" s="156" t="s">
        <v>919</v>
      </c>
      <c r="Z71" s="58" t="str">
        <f>IF(OR($M71="",NOT($O71="{array}")),"",IFERROR(MATCH(PARAMETERS!$M71,DEFAULT!$B$5:$CI$5,0),""))</f>
        <v/>
      </c>
      <c r="AA71" s="55" t="str">
        <f t="shared" si="6"/>
        <v/>
      </c>
      <c r="AB71" s="62" t="str">
        <f>IF(AND(OR($A71="G",$A71="P"),NOT($O71="{array}")),IF(VLOOKUP($K71,base!$B$2:$D$20,3,0)="S",IF(OR($O71="",ISTEXT($O71)),"","STRING!"),IF(VLOOKUP($K71,base!$B$2:$D$20,3,0)="","",IF(ISTEXT($O71),"NUMERIC!",""))),"")</f>
        <v/>
      </c>
      <c r="AC71" s="16" t="str">
        <f>IF($AA71="","",IF($B71="I",VLOOKUP($AA71,#REF!,53,0),INDEX(VALUES!$B$1:$GP$1,1,$AA71)))</f>
        <v/>
      </c>
    </row>
    <row r="72" spans="1:29" hidden="1" outlineLevel="1">
      <c r="A72" s="21" t="s">
        <v>87</v>
      </c>
      <c r="B72" s="40" t="str">
        <f t="shared" si="4"/>
        <v/>
      </c>
      <c r="C72" s="41">
        <f t="shared" si="7"/>
        <v>71</v>
      </c>
      <c r="D72" s="260"/>
      <c r="E72" s="37"/>
      <c r="F72" s="305"/>
      <c r="G72" s="188"/>
      <c r="H72" s="37"/>
      <c r="I72" s="37" t="s">
        <v>9</v>
      </c>
      <c r="J72" s="37"/>
      <c r="K72" s="160" t="s">
        <v>49</v>
      </c>
      <c r="L72" s="164" t="s">
        <v>23</v>
      </c>
      <c r="M72" s="160" t="s">
        <v>1693</v>
      </c>
      <c r="N72" s="160" t="s">
        <v>298</v>
      </c>
      <c r="O72" s="160">
        <v>0</v>
      </c>
      <c r="P72" s="162" t="s">
        <v>298</v>
      </c>
      <c r="Q72" s="159"/>
      <c r="R72" s="159" t="s">
        <v>105</v>
      </c>
      <c r="S72" s="159" t="s">
        <v>114</v>
      </c>
      <c r="T72" s="160" t="s">
        <v>298</v>
      </c>
      <c r="U72" s="160" t="s">
        <v>298</v>
      </c>
      <c r="V72" s="160" t="s">
        <v>1693</v>
      </c>
      <c r="W72" s="14" t="str">
        <f>IF(IFERROR(VLOOKUP($M72,'IMPORT GS-Tür OL FL 2S2 20'!$H$2:$H$847,1,0),"-")="-","","GS")</f>
        <v/>
      </c>
      <c r="X72" s="14" t="str">
        <f t="shared" si="3"/>
        <v/>
      </c>
      <c r="Y72" s="163" t="s">
        <v>1694</v>
      </c>
      <c r="Z72" s="58" t="str">
        <f>IF(OR($M72="",NOT($O72="{array}")),"",IFERROR(MATCH(PARAMETERS!$M72,DEFAULT!$B$5:$CI$5,0),""))</f>
        <v/>
      </c>
      <c r="AA72" s="55" t="str">
        <f t="shared" si="6"/>
        <v/>
      </c>
      <c r="AB72" s="62" t="str">
        <f>IF(AND(OR($A72="G",$A72="P"),NOT($O72="{array}")),IF(VLOOKUP($K72,base!$B$2:$D$20,3,0)="S",IF(OR($O72="",ISTEXT($O72)),"","STRING!"),IF(VLOOKUP($K72,base!$B$2:$D$20,3,0)="","",IF(ISTEXT($O72),"NUMERIC!",""))),"")</f>
        <v/>
      </c>
      <c r="AC72" s="16" t="str">
        <f>IF($AA72="","",IF($B72="I",VLOOKUP($AA72,#REF!,53,0),INDEX(VALUES!$B$1:$GP$1,1,$AA72)))</f>
        <v/>
      </c>
    </row>
    <row r="73" spans="1:29" s="276" customFormat="1" hidden="1" outlineLevel="1">
      <c r="A73" s="263"/>
      <c r="B73" s="264" t="str">
        <f t="shared" si="4"/>
        <v/>
      </c>
      <c r="C73" s="265">
        <f t="shared" si="7"/>
        <v>72</v>
      </c>
      <c r="D73" s="266"/>
      <c r="E73" s="266"/>
      <c r="F73" s="305"/>
      <c r="G73" s="188"/>
      <c r="H73" s="266"/>
      <c r="I73" s="266" t="s">
        <v>9</v>
      </c>
      <c r="J73" s="266"/>
      <c r="K73" s="278" t="s">
        <v>49</v>
      </c>
      <c r="L73" s="278" t="s">
        <v>34</v>
      </c>
      <c r="M73" s="278" t="s">
        <v>1695</v>
      </c>
      <c r="N73" s="278" t="s">
        <v>1696</v>
      </c>
      <c r="O73" s="278">
        <v>0</v>
      </c>
      <c r="P73" s="284" t="s">
        <v>298</v>
      </c>
      <c r="Q73" s="279"/>
      <c r="R73" s="279" t="s">
        <v>105</v>
      </c>
      <c r="S73" s="279" t="s">
        <v>114</v>
      </c>
      <c r="T73" s="278" t="s">
        <v>298</v>
      </c>
      <c r="U73" s="278" t="s">
        <v>298</v>
      </c>
      <c r="V73" s="278" t="s">
        <v>1642</v>
      </c>
      <c r="W73" s="272" t="str">
        <f>IF(IFERROR(VLOOKUP($M73,'IMPORT GS-Tür OL FL 2S2 20'!$H$2:$H$847,1,0),"-")="-","","GS")</f>
        <v/>
      </c>
      <c r="X73" s="272" t="str">
        <f t="shared" si="3"/>
        <v/>
      </c>
      <c r="Y73" s="278" t="s">
        <v>1697</v>
      </c>
      <c r="Z73" s="273" t="str">
        <f>IF(OR($M73="",NOT($O73="{array}")),"",IFERROR(MATCH(PARAMETERS!$M73,DEFAULT!$B$5:$CI$5,0),""))</f>
        <v/>
      </c>
      <c r="AA73" s="272" t="str">
        <f t="shared" si="6"/>
        <v/>
      </c>
      <c r="AB73" s="274" t="str">
        <f>IF(AND(OR($A73="G",$A73="P"),NOT($O73="{array}")),IF(VLOOKUP($K73,base!$B$2:$D$20,3,0)="S",IF(OR($O73="",ISTEXT($O73)),"","STRING!"),IF(VLOOKUP($K73,base!$B$2:$D$20,3,0)="","",IF(ISTEXT($O73),"NUMERIC!",""))),"")</f>
        <v/>
      </c>
      <c r="AC73" s="275" t="str">
        <f>IF($AA73="","",IF($B73="I",VLOOKUP($AA73,#REF!,53,0),INDEX(VALUES!$B$1:$GP$1,1,$AA73)))</f>
        <v/>
      </c>
    </row>
    <row r="74" spans="1:29" hidden="1" outlineLevel="1">
      <c r="A74" s="21" t="s">
        <v>87</v>
      </c>
      <c r="B74" s="40" t="str">
        <f t="shared" ref="B74:B137" si="8">IF($A74="P",IF(NOT($Z74=""),"A",IF(NOT($AA74=""),"I","")),IF(NOT($AA74=""),IF($A74="G","V","X"),IF(NOT($Z74=""),"A","")))</f>
        <v/>
      </c>
      <c r="C74" s="41">
        <f t="shared" si="7"/>
        <v>73</v>
      </c>
      <c r="D74" s="260"/>
      <c r="E74" s="37"/>
      <c r="F74" s="305"/>
      <c r="G74" s="188"/>
      <c r="H74" s="37"/>
      <c r="I74" s="37" t="s">
        <v>9</v>
      </c>
      <c r="J74" s="37"/>
      <c r="K74" s="249" t="s">
        <v>38</v>
      </c>
      <c r="L74" s="164" t="s">
        <v>23</v>
      </c>
      <c r="M74" s="160" t="s">
        <v>1698</v>
      </c>
      <c r="N74" s="160" t="s">
        <v>1699</v>
      </c>
      <c r="O74" s="160">
        <v>0</v>
      </c>
      <c r="P74" s="182" t="s">
        <v>129</v>
      </c>
      <c r="Q74" s="159" t="s">
        <v>9</v>
      </c>
      <c r="R74" s="159" t="s">
        <v>105</v>
      </c>
      <c r="S74" s="159" t="s">
        <v>114</v>
      </c>
      <c r="T74" s="160" t="s">
        <v>298</v>
      </c>
      <c r="U74" s="160" t="s">
        <v>298</v>
      </c>
      <c r="V74" s="160" t="s">
        <v>1698</v>
      </c>
      <c r="W74" s="161" t="str">
        <f>IF(IFERROR(VLOOKUP($M74,'IMPORT GS-Tür OL FL 2S2 20'!$H$2:$H$847,1,0),"-")="-","","GS")</f>
        <v/>
      </c>
      <c r="X74" s="14" t="str">
        <f t="shared" si="3"/>
        <v/>
      </c>
      <c r="Y74" s="163" t="s">
        <v>1700</v>
      </c>
      <c r="Z74" s="58" t="str">
        <f>IF(OR($M74="",NOT($O74="{array}")),"",IFERROR(MATCH(PARAMETERS!$M74,DEFAULT!$B$5:$CI$5,0),""))</f>
        <v/>
      </c>
      <c r="AA74" s="55" t="str">
        <f t="shared" si="6"/>
        <v/>
      </c>
      <c r="AB74" s="62" t="str">
        <f>IF(AND(OR($A74="G",$A74="P"),NOT($O74="{array}")),IF(VLOOKUP($K74,base!$B$2:$D$20,3,0)="S",IF(OR($O74="",ISTEXT($O74)),"","STRING!"),IF(VLOOKUP($K74,base!$B$2:$D$20,3,0)="","",IF(ISTEXT($O74),"NUMERIC!",""))),"")</f>
        <v/>
      </c>
      <c r="AC74" s="16" t="str">
        <f>IF($AA74="","",IF($B74="I",VLOOKUP($AA74,#REF!,53,0),INDEX(VALUES!$B$1:$GP$1,1,$AA74)))</f>
        <v/>
      </c>
    </row>
    <row r="75" spans="1:29" hidden="1" outlineLevel="1">
      <c r="A75" s="21" t="s">
        <v>87</v>
      </c>
      <c r="B75" s="40" t="str">
        <f t="shared" si="8"/>
        <v/>
      </c>
      <c r="C75" s="41">
        <f t="shared" si="7"/>
        <v>74</v>
      </c>
      <c r="D75" s="260"/>
      <c r="E75" s="37"/>
      <c r="F75" s="305"/>
      <c r="G75" s="188"/>
      <c r="H75" s="37"/>
      <c r="I75" s="37" t="s">
        <v>9</v>
      </c>
      <c r="J75" s="37"/>
      <c r="K75" s="249" t="s">
        <v>38</v>
      </c>
      <c r="L75" s="164" t="s">
        <v>23</v>
      </c>
      <c r="M75" s="160" t="s">
        <v>1701</v>
      </c>
      <c r="N75" s="160" t="s">
        <v>1702</v>
      </c>
      <c r="O75" s="160">
        <v>0</v>
      </c>
      <c r="P75" s="182" t="s">
        <v>129</v>
      </c>
      <c r="Q75" s="159" t="s">
        <v>9</v>
      </c>
      <c r="R75" s="159" t="s">
        <v>105</v>
      </c>
      <c r="S75" s="159" t="s">
        <v>114</v>
      </c>
      <c r="T75" s="160" t="s">
        <v>298</v>
      </c>
      <c r="U75" s="160" t="s">
        <v>298</v>
      </c>
      <c r="V75" s="160" t="s">
        <v>1701</v>
      </c>
      <c r="W75" s="161" t="str">
        <f>IF(IFERROR(VLOOKUP($M75,'IMPORT GS-Tür OL FL 2S2 20'!$H$2:$H$847,1,0),"-")="-","","GS")</f>
        <v/>
      </c>
      <c r="X75" s="14" t="str">
        <f t="shared" ref="X75:X138" si="9">IF($A75="G",IF(IFERROR(VLOOKUP($M75,Reimport,1,0),"-")="-","&gt;&lt;",IF($O75=VLOOKUP($M75,Reimport,2,0),"...",VLOOKUP($M75,Reimport,2,0))),"")</f>
        <v/>
      </c>
      <c r="Y75" s="163" t="s">
        <v>1703</v>
      </c>
      <c r="Z75" s="58" t="str">
        <f>IF(OR($M75="",NOT($O75="{array}")),"",IFERROR(MATCH(PARAMETERS!$M75,DEFAULT!$B$5:$CI$5,0),""))</f>
        <v/>
      </c>
      <c r="AA75" s="55" t="str">
        <f t="shared" si="6"/>
        <v/>
      </c>
      <c r="AB75" s="62" t="str">
        <f>IF(AND(OR($A75="G",$A75="P"),NOT($O75="{array}")),IF(VLOOKUP($K75,base!$B$2:$D$20,3,0)="S",IF(OR($O75="",ISTEXT($O75)),"","STRING!"),IF(VLOOKUP($K75,base!$B$2:$D$20,3,0)="","",IF(ISTEXT($O75),"NUMERIC!",""))),"")</f>
        <v/>
      </c>
      <c r="AC75" s="16" t="str">
        <f>IF($AA75="","",IF($B75="I",VLOOKUP($AA75,#REF!,53,0),INDEX(VALUES!$B$1:$GP$1,1,$AA75)))</f>
        <v/>
      </c>
    </row>
    <row r="76" spans="1:29" s="276" customFormat="1" hidden="1" outlineLevel="1">
      <c r="A76" s="263"/>
      <c r="B76" s="264" t="str">
        <f t="shared" si="8"/>
        <v/>
      </c>
      <c r="C76" s="265">
        <f t="shared" si="7"/>
        <v>75</v>
      </c>
      <c r="D76" s="266"/>
      <c r="E76" s="266"/>
      <c r="F76" s="305"/>
      <c r="G76" s="188"/>
      <c r="H76" s="266"/>
      <c r="I76" s="266" t="s">
        <v>9</v>
      </c>
      <c r="J76" s="266"/>
      <c r="K76" s="277" t="s">
        <v>20</v>
      </c>
      <c r="L76" s="277" t="s">
        <v>23</v>
      </c>
      <c r="M76" s="277" t="s">
        <v>1704</v>
      </c>
      <c r="N76" s="277" t="s">
        <v>298</v>
      </c>
      <c r="O76" s="277"/>
      <c r="P76" s="287" t="s">
        <v>298</v>
      </c>
      <c r="Q76" s="280" t="s">
        <v>9</v>
      </c>
      <c r="R76" s="280" t="s">
        <v>105</v>
      </c>
      <c r="S76" s="280" t="s">
        <v>114</v>
      </c>
      <c r="T76" s="277" t="s">
        <v>298</v>
      </c>
      <c r="U76" s="277" t="s">
        <v>298</v>
      </c>
      <c r="V76" s="277" t="s">
        <v>1704</v>
      </c>
      <c r="W76" s="272" t="str">
        <f>IF(IFERROR(VLOOKUP($M76,'IMPORT GS-Tür OL FL 2S2 20'!$H$2:$H$847,1,0),"-")="-","","GS")</f>
        <v/>
      </c>
      <c r="X76" s="272" t="str">
        <f t="shared" si="9"/>
        <v/>
      </c>
      <c r="Y76" s="277" t="s">
        <v>1705</v>
      </c>
      <c r="Z76" s="273" t="str">
        <f>IF(OR($M76="",NOT($O76="{array}")),"",IFERROR(MATCH(PARAMETERS!$M76,DEFAULT!$B$5:$CI$5,0),""))</f>
        <v/>
      </c>
      <c r="AA76" s="272" t="str">
        <f t="shared" si="6"/>
        <v/>
      </c>
      <c r="AB76" s="274" t="str">
        <f>IF(AND(OR($A76="G",$A76="P"),NOT($O76="{array}")),IF(VLOOKUP($K76,base!$B$2:$D$20,3,0)="S",IF(OR($O76="",ISTEXT($O76)),"","STRING!"),IF(VLOOKUP($K76,base!$B$2:$D$20,3,0)="","",IF(ISTEXT($O76),"NUMERIC!",""))),"")</f>
        <v/>
      </c>
      <c r="AC76" s="275" t="str">
        <f>IF($AA76="","",IF($B76="I",VLOOKUP($AA76,#REF!,53,0),INDEX(VALUES!$B$1:$GP$1,1,$AA76)))</f>
        <v/>
      </c>
    </row>
    <row r="77" spans="1:29" s="276" customFormat="1" hidden="1" outlineLevel="1">
      <c r="A77" s="263"/>
      <c r="B77" s="264" t="str">
        <f t="shared" si="8"/>
        <v/>
      </c>
      <c r="C77" s="265">
        <f t="shared" si="7"/>
        <v>76</v>
      </c>
      <c r="D77" s="266"/>
      <c r="E77" s="266"/>
      <c r="F77" s="305"/>
      <c r="G77" s="188"/>
      <c r="H77" s="266"/>
      <c r="I77" s="266" t="s">
        <v>9</v>
      </c>
      <c r="J77" s="266"/>
      <c r="K77" s="277" t="s">
        <v>20</v>
      </c>
      <c r="L77" s="277" t="s">
        <v>23</v>
      </c>
      <c r="M77" s="277" t="s">
        <v>1706</v>
      </c>
      <c r="N77" s="277" t="s">
        <v>298</v>
      </c>
      <c r="O77" s="277"/>
      <c r="P77" s="287" t="s">
        <v>298</v>
      </c>
      <c r="Q77" s="280" t="s">
        <v>9</v>
      </c>
      <c r="R77" s="280" t="s">
        <v>105</v>
      </c>
      <c r="S77" s="280" t="s">
        <v>114</v>
      </c>
      <c r="T77" s="277" t="s">
        <v>298</v>
      </c>
      <c r="U77" s="277" t="s">
        <v>298</v>
      </c>
      <c r="V77" s="277" t="s">
        <v>1706</v>
      </c>
      <c r="W77" s="272" t="str">
        <f>IF(IFERROR(VLOOKUP($M77,'IMPORT GS-Tür OL FL 2S2 20'!$H$2:$H$847,1,0),"-")="-","","GS")</f>
        <v/>
      </c>
      <c r="X77" s="272" t="str">
        <f t="shared" si="9"/>
        <v/>
      </c>
      <c r="Y77" s="277" t="s">
        <v>1707</v>
      </c>
      <c r="Z77" s="273" t="str">
        <f>IF(OR($M77="",NOT($O77="{array}")),"",IFERROR(MATCH(PARAMETERS!$M77,DEFAULT!$B$5:$CI$5,0),""))</f>
        <v/>
      </c>
      <c r="AA77" s="272" t="str">
        <f t="shared" si="6"/>
        <v/>
      </c>
      <c r="AB77" s="274" t="str">
        <f>IF(AND(OR($A77="G",$A77="P"),NOT($O77="{array}")),IF(VLOOKUP($K77,base!$B$2:$D$20,3,0)="S",IF(OR($O77="",ISTEXT($O77)),"","STRING!"),IF(VLOOKUP($K77,base!$B$2:$D$20,3,0)="","",IF(ISTEXT($O77),"NUMERIC!",""))),"")</f>
        <v/>
      </c>
      <c r="AC77" s="275" t="str">
        <f>IF($AA77="","",IF($B77="I",VLOOKUP($AA77,#REF!,53,0),INDEX(VALUES!$B$1:$GP$1,1,$AA77)))</f>
        <v/>
      </c>
    </row>
    <row r="78" spans="1:29" hidden="1" outlineLevel="1">
      <c r="A78" s="21" t="s">
        <v>87</v>
      </c>
      <c r="B78" s="40" t="str">
        <f t="shared" si="8"/>
        <v/>
      </c>
      <c r="C78" s="41">
        <f t="shared" si="7"/>
        <v>77</v>
      </c>
      <c r="D78" s="260"/>
      <c r="E78" s="37"/>
      <c r="F78" s="305"/>
      <c r="G78" s="188"/>
      <c r="H78" s="37"/>
      <c r="I78" s="37" t="s">
        <v>9</v>
      </c>
      <c r="J78" s="37"/>
      <c r="K78" s="249" t="s">
        <v>38</v>
      </c>
      <c r="L78" s="164" t="s">
        <v>23</v>
      </c>
      <c r="M78" s="160" t="s">
        <v>1708</v>
      </c>
      <c r="N78" s="160" t="s">
        <v>1709</v>
      </c>
      <c r="O78" s="160">
        <v>0</v>
      </c>
      <c r="P78" s="182" t="s">
        <v>130</v>
      </c>
      <c r="Q78" s="159" t="s">
        <v>9</v>
      </c>
      <c r="R78" s="159" t="s">
        <v>105</v>
      </c>
      <c r="S78" s="159" t="s">
        <v>114</v>
      </c>
      <c r="T78" s="160" t="s">
        <v>298</v>
      </c>
      <c r="U78" s="160" t="s">
        <v>298</v>
      </c>
      <c r="V78" s="160" t="s">
        <v>1708</v>
      </c>
      <c r="W78" s="161" t="str">
        <f>IF(IFERROR(VLOOKUP($M78,'IMPORT GS-Tür OL FL 2S2 20'!$H$2:$H$847,1,0),"-")="-","","GS")</f>
        <v/>
      </c>
      <c r="X78" s="14" t="str">
        <f t="shared" si="9"/>
        <v/>
      </c>
      <c r="Y78" s="163" t="s">
        <v>1710</v>
      </c>
      <c r="Z78" s="58" t="str">
        <f>IF(OR($M78="",NOT($O78="{array}")),"",IFERROR(MATCH(PARAMETERS!$M78,DEFAULT!$B$5:$CI$5,0),""))</f>
        <v/>
      </c>
      <c r="AA78" s="55" t="str">
        <f t="shared" si="6"/>
        <v/>
      </c>
      <c r="AB78" s="62" t="str">
        <f>IF(AND(OR($A78="G",$A78="P"),NOT($O78="{array}")),IF(VLOOKUP($K78,base!$B$2:$D$20,3,0)="S",IF(OR($O78="",ISTEXT($O78)),"","STRING!"),IF(VLOOKUP($K78,base!$B$2:$D$20,3,0)="","",IF(ISTEXT($O78),"NUMERIC!",""))),"")</f>
        <v/>
      </c>
      <c r="AC78" s="16" t="str">
        <f>IF($AA78="","",IF($B78="I",VLOOKUP($AA78,#REF!,53,0),INDEX(VALUES!$B$1:$GP$1,1,$AA78)))</f>
        <v/>
      </c>
    </row>
    <row r="79" spans="1:29" hidden="1" outlineLevel="1">
      <c r="A79" s="21" t="s">
        <v>87</v>
      </c>
      <c r="B79" s="40" t="str">
        <f t="shared" si="8"/>
        <v/>
      </c>
      <c r="C79" s="41">
        <f t="shared" si="7"/>
        <v>78</v>
      </c>
      <c r="D79" s="260"/>
      <c r="E79" s="37"/>
      <c r="F79" s="305"/>
      <c r="G79" s="188"/>
      <c r="H79" s="37"/>
      <c r="I79" s="37" t="s">
        <v>9</v>
      </c>
      <c r="J79" s="37"/>
      <c r="K79" s="249" t="s">
        <v>38</v>
      </c>
      <c r="L79" s="164" t="s">
        <v>23</v>
      </c>
      <c r="M79" s="160" t="s">
        <v>1711</v>
      </c>
      <c r="N79" s="160" t="s">
        <v>1712</v>
      </c>
      <c r="O79" s="160">
        <v>0</v>
      </c>
      <c r="P79" s="182" t="s">
        <v>130</v>
      </c>
      <c r="Q79" s="159" t="s">
        <v>9</v>
      </c>
      <c r="R79" s="159" t="s">
        <v>105</v>
      </c>
      <c r="S79" s="159" t="s">
        <v>114</v>
      </c>
      <c r="T79" s="160" t="s">
        <v>298</v>
      </c>
      <c r="U79" s="160" t="s">
        <v>298</v>
      </c>
      <c r="V79" s="160" t="s">
        <v>1711</v>
      </c>
      <c r="W79" s="161" t="str">
        <f>IF(IFERROR(VLOOKUP($M79,'IMPORT GS-Tür OL FL 2S2 20'!$H$2:$H$847,1,0),"-")="-","","GS")</f>
        <v/>
      </c>
      <c r="X79" s="14" t="str">
        <f t="shared" si="9"/>
        <v/>
      </c>
      <c r="Y79" s="163" t="s">
        <v>1713</v>
      </c>
      <c r="Z79" s="58" t="str">
        <f>IF(OR($M79="",NOT($O79="{array}")),"",IFERROR(MATCH(PARAMETERS!$M79,DEFAULT!$B$5:$CI$5,0),""))</f>
        <v/>
      </c>
      <c r="AA79" s="55" t="str">
        <f t="shared" si="6"/>
        <v/>
      </c>
      <c r="AB79" s="62" t="str">
        <f>IF(AND(OR($A79="G",$A79="P"),NOT($O79="{array}")),IF(VLOOKUP($K79,base!$B$2:$D$20,3,0)="S",IF(OR($O79="",ISTEXT($O79)),"","STRING!"),IF(VLOOKUP($K79,base!$B$2:$D$20,3,0)="","",IF(ISTEXT($O79),"NUMERIC!",""))),"")</f>
        <v/>
      </c>
      <c r="AC79" s="16" t="str">
        <f>IF($AA79="","",IF($B79="I",VLOOKUP($AA79,#REF!,53,0),INDEX(VALUES!$B$1:$GP$1,1,$AA79)))</f>
        <v/>
      </c>
    </row>
    <row r="80" spans="1:29" collapsed="1">
      <c r="A80" s="21" t="s">
        <v>86</v>
      </c>
      <c r="B80" s="40" t="str">
        <f t="shared" si="8"/>
        <v/>
      </c>
      <c r="C80" s="41">
        <f t="shared" si="7"/>
        <v>79</v>
      </c>
      <c r="D80" s="260"/>
      <c r="E80" s="37"/>
      <c r="F80" s="305"/>
      <c r="G80" s="188"/>
      <c r="H80" s="37"/>
      <c r="I80" s="37"/>
      <c r="J80" s="37"/>
      <c r="K80" s="230" t="s">
        <v>59</v>
      </c>
      <c r="L80" s="230" t="s">
        <v>40</v>
      </c>
      <c r="M80" s="231" t="s">
        <v>1714</v>
      </c>
      <c r="N80" s="232" t="s">
        <v>1715</v>
      </c>
      <c r="O80" s="311"/>
      <c r="R80" s="37" t="s">
        <v>106</v>
      </c>
      <c r="S80" s="37"/>
      <c r="T80" s="37"/>
      <c r="W80" s="14" t="str">
        <f>IF(IFERROR(VLOOKUP($M80,'IMPORT GS-Tür OL FL 2S2 20'!$H$2:$H$847,1,0),"-")="-","","GS")</f>
        <v/>
      </c>
      <c r="X80" s="14" t="str">
        <f t="shared" si="9"/>
        <v>...</v>
      </c>
      <c r="Z80" s="58" t="str">
        <f>IF(OR($M80="",NOT($O80="{array}")),"",IFERROR(MATCH(PARAMETERS!$M80,DEFAULT!$B$5:$CI$5,0),""))</f>
        <v/>
      </c>
      <c r="AA80" s="55" t="str">
        <f t="shared" si="6"/>
        <v/>
      </c>
      <c r="AB80" s="62" t="str">
        <f>IF(AND(OR($A80="G",$A80="P"),NOT($O80="{array}")),IF(VLOOKUP($K80,base!$B$2:$D$20,3,0)="S",IF(OR($O80="",ISTEXT($O80)),"","STRING!"),IF(VLOOKUP($K80,base!$B$2:$D$20,3,0)="","",IF(ISTEXT($O80),"NUMERIC!",""))),"")</f>
        <v/>
      </c>
      <c r="AC80" s="16" t="str">
        <f>IF($AA80="","",IF($B80="I",VLOOKUP($AA80,#REF!,53,0),INDEX(VALUES!$B$1:$GP$1,1,$AA80)))</f>
        <v/>
      </c>
    </row>
    <row r="81" spans="1:29" hidden="1" outlineLevel="1">
      <c r="A81" s="21" t="s">
        <v>87</v>
      </c>
      <c r="B81" s="40" t="str">
        <f t="shared" si="8"/>
        <v/>
      </c>
      <c r="C81" s="41">
        <f t="shared" ref="C81:C144" si="10">(ROW()-1)</f>
        <v>80</v>
      </c>
      <c r="D81" s="260"/>
      <c r="E81" s="37"/>
      <c r="F81" s="305"/>
      <c r="G81" s="188"/>
      <c r="H81" s="37"/>
      <c r="I81" s="37" t="s">
        <v>9</v>
      </c>
      <c r="J81" s="37"/>
      <c r="K81" s="160" t="s">
        <v>20</v>
      </c>
      <c r="L81" s="164" t="s">
        <v>23</v>
      </c>
      <c r="M81" s="160" t="s">
        <v>1716</v>
      </c>
      <c r="N81" s="160" t="s">
        <v>298</v>
      </c>
      <c r="O81" s="160" t="s">
        <v>298</v>
      </c>
      <c r="P81" s="162" t="s">
        <v>298</v>
      </c>
      <c r="Q81" s="159" t="s">
        <v>9</v>
      </c>
      <c r="R81" s="159" t="s">
        <v>105</v>
      </c>
      <c r="S81" s="159" t="s">
        <v>114</v>
      </c>
      <c r="T81" s="160" t="s">
        <v>298</v>
      </c>
      <c r="U81" s="160" t="s">
        <v>298</v>
      </c>
      <c r="V81" s="160" t="s">
        <v>1716</v>
      </c>
      <c r="W81" s="161" t="str">
        <f>IF(IFERROR(VLOOKUP($M81,'IMPORT GS-Tür OL FL 2S2 20'!$H$2:$H$847,1,0),"-")="-","","GS")</f>
        <v/>
      </c>
      <c r="X81" s="14" t="str">
        <f t="shared" si="9"/>
        <v/>
      </c>
      <c r="Y81" s="160" t="s">
        <v>1717</v>
      </c>
      <c r="Z81" s="58" t="str">
        <f>IF(OR($M81="",NOT($O81="{array}")),"",IFERROR(MATCH(PARAMETERS!$M81,DEFAULT!$B$5:$CI$5,0),""))</f>
        <v/>
      </c>
      <c r="AA81" s="55" t="str">
        <f t="shared" si="6"/>
        <v/>
      </c>
      <c r="AB81" s="62" t="str">
        <f>IF(AND(OR($A81="G",$A81="P"),NOT($O81="{array}")),IF(VLOOKUP($K81,base!$B$2:$D$20,3,0)="S",IF(OR($O81="",ISTEXT($O81)),"","STRING!"),IF(VLOOKUP($K81,base!$B$2:$D$20,3,0)="","",IF(ISTEXT($O81),"NUMERIC!",""))),"")</f>
        <v/>
      </c>
      <c r="AC81" s="16" t="str">
        <f>IF($AA81="","",IF($B81="I",VLOOKUP($AA81,#REF!,53,0),INDEX(VALUES!$B$1:$GP$1,1,$AA81)))</f>
        <v/>
      </c>
    </row>
    <row r="82" spans="1:29" hidden="1" outlineLevel="1">
      <c r="A82" s="21" t="s">
        <v>87</v>
      </c>
      <c r="B82" s="40" t="str">
        <f t="shared" si="8"/>
        <v/>
      </c>
      <c r="C82" s="41">
        <f t="shared" si="10"/>
        <v>81</v>
      </c>
      <c r="D82" s="260"/>
      <c r="E82" s="37"/>
      <c r="F82" s="305"/>
      <c r="G82" s="188"/>
      <c r="H82" s="37"/>
      <c r="I82" s="37" t="s">
        <v>9</v>
      </c>
      <c r="J82" s="37"/>
      <c r="K82" s="160" t="s">
        <v>20</v>
      </c>
      <c r="L82" s="164" t="s">
        <v>23</v>
      </c>
      <c r="M82" s="160" t="s">
        <v>1718</v>
      </c>
      <c r="N82" s="160" t="s">
        <v>298</v>
      </c>
      <c r="O82" s="160" t="s">
        <v>298</v>
      </c>
      <c r="P82" s="196" t="s">
        <v>298</v>
      </c>
      <c r="Q82" s="159" t="s">
        <v>9</v>
      </c>
      <c r="R82" s="159" t="s">
        <v>105</v>
      </c>
      <c r="S82" s="159" t="s">
        <v>114</v>
      </c>
      <c r="T82" s="160" t="s">
        <v>298</v>
      </c>
      <c r="U82" s="160" t="s">
        <v>298</v>
      </c>
      <c r="V82" s="160" t="s">
        <v>1718</v>
      </c>
      <c r="W82" s="161" t="str">
        <f>IF(IFERROR(VLOOKUP($M82,'IMPORT GS-Tür OL FL 2S2 20'!$H$2:$H$847,1,0),"-")="-","","GS")</f>
        <v/>
      </c>
      <c r="X82" s="14" t="str">
        <f t="shared" si="9"/>
        <v/>
      </c>
      <c r="Y82" s="160" t="s">
        <v>1719</v>
      </c>
      <c r="Z82" s="58" t="str">
        <f>IF(OR($M82="",NOT($O82="{array}")),"",IFERROR(MATCH(PARAMETERS!$M82,DEFAULT!$B$5:$CI$5,0),""))</f>
        <v/>
      </c>
      <c r="AA82" s="55" t="str">
        <f t="shared" si="6"/>
        <v/>
      </c>
      <c r="AB82" s="62" t="str">
        <f>IF(AND(OR($A82="G",$A82="P"),NOT($O82="{array}")),IF(VLOOKUP($K82,base!$B$2:$D$20,3,0)="S",IF(OR($O82="",ISTEXT($O82)),"","STRING!"),IF(VLOOKUP($K82,base!$B$2:$D$20,3,0)="","",IF(ISTEXT($O82),"NUMERIC!",""))),"")</f>
        <v/>
      </c>
      <c r="AC82" s="16" t="str">
        <f>IF($AA82="","",IF($B82="I",VLOOKUP($AA82,#REF!,53,0),INDEX(VALUES!$B$1:$GP$1,1,$AA82)))</f>
        <v/>
      </c>
    </row>
    <row r="83" spans="1:29" hidden="1" outlineLevel="1">
      <c r="A83" s="21" t="s">
        <v>87</v>
      </c>
      <c r="B83" s="40" t="str">
        <f t="shared" si="8"/>
        <v/>
      </c>
      <c r="C83" s="41">
        <f t="shared" si="10"/>
        <v>82</v>
      </c>
      <c r="D83" s="260"/>
      <c r="E83" s="37"/>
      <c r="F83" s="305"/>
      <c r="G83" s="188"/>
      <c r="H83" s="37"/>
      <c r="I83" s="37" t="s">
        <v>9</v>
      </c>
      <c r="J83" s="37"/>
      <c r="K83" s="316" t="s">
        <v>26</v>
      </c>
      <c r="L83" s="164" t="s">
        <v>23</v>
      </c>
      <c r="M83" s="160" t="s">
        <v>1720</v>
      </c>
      <c r="N83" s="160" t="s">
        <v>298</v>
      </c>
      <c r="O83" s="160" t="s">
        <v>298</v>
      </c>
      <c r="P83" s="196" t="s">
        <v>130</v>
      </c>
      <c r="Q83" s="159" t="s">
        <v>9</v>
      </c>
      <c r="R83" s="159" t="s">
        <v>105</v>
      </c>
      <c r="S83" s="159" t="s">
        <v>114</v>
      </c>
      <c r="T83" s="160" t="s">
        <v>298</v>
      </c>
      <c r="U83" s="160" t="s">
        <v>298</v>
      </c>
      <c r="V83" s="160" t="s">
        <v>1720</v>
      </c>
      <c r="W83" s="161" t="str">
        <f>IF(IFERROR(VLOOKUP($M83,'IMPORT GS-Tür OL FL 2S2 20'!$H$2:$H$847,1,0),"-")="-","","GS")</f>
        <v/>
      </c>
      <c r="X83" s="14" t="str">
        <f t="shared" si="9"/>
        <v/>
      </c>
      <c r="Y83" s="160" t="s">
        <v>1721</v>
      </c>
      <c r="Z83" s="58" t="str">
        <f>IF(OR($M83="",NOT($O83="{array}")),"",IFERROR(MATCH(PARAMETERS!$M83,DEFAULT!$B$5:$CI$5,0),""))</f>
        <v/>
      </c>
      <c r="AA83" s="55" t="str">
        <f t="shared" si="6"/>
        <v/>
      </c>
      <c r="AB83" s="62" t="str">
        <f>IF(AND(OR($A83="G",$A83="P"),NOT($O83="{array}")),IF(VLOOKUP($K83,base!$B$2:$D$20,3,0)="S",IF(OR($O83="",ISTEXT($O83)),"","STRING!"),IF(VLOOKUP($K83,base!$B$2:$D$20,3,0)="","",IF(ISTEXT($O83),"NUMERIC!",""))),"")</f>
        <v>NUMERIC!</v>
      </c>
      <c r="AC83" s="16" t="str">
        <f>IF($AA83="","",IF($B83="I",VLOOKUP($AA83,#REF!,53,0),INDEX(VALUES!$B$1:$GP$1,1,$AA83)))</f>
        <v/>
      </c>
    </row>
    <row r="84" spans="1:29" hidden="1" outlineLevel="1">
      <c r="A84" s="21"/>
      <c r="B84" s="40" t="str">
        <f t="shared" si="8"/>
        <v/>
      </c>
      <c r="C84" s="41">
        <f t="shared" si="10"/>
        <v>83</v>
      </c>
      <c r="D84" s="260"/>
      <c r="E84" s="37"/>
      <c r="F84" s="305" t="s">
        <v>9</v>
      </c>
      <c r="G84" s="188" t="s">
        <v>9</v>
      </c>
      <c r="H84" s="37"/>
      <c r="I84" s="37" t="s">
        <v>9</v>
      </c>
      <c r="J84" s="37" t="s">
        <v>9</v>
      </c>
      <c r="K84" s="249" t="s">
        <v>46</v>
      </c>
      <c r="L84" s="249" t="s">
        <v>29</v>
      </c>
      <c r="M84" s="214" t="s">
        <v>1722</v>
      </c>
      <c r="N84" s="249" t="s">
        <v>1723</v>
      </c>
      <c r="O84" s="311">
        <v>3</v>
      </c>
      <c r="R84" s="37" t="s">
        <v>106</v>
      </c>
      <c r="S84" s="37"/>
      <c r="T84" s="37"/>
      <c r="W84" s="14" t="str">
        <f>IF(IFERROR(VLOOKUP($M84,'IMPORT GS-Tür OL FL 2S2 20'!$H$2:$H$847,1,0),"-")="-","","GS")</f>
        <v>GS</v>
      </c>
      <c r="X84" s="14" t="str">
        <f t="shared" si="9"/>
        <v/>
      </c>
      <c r="Y84" s="13" t="s">
        <v>1605</v>
      </c>
      <c r="Z84" s="58" t="str">
        <f>IF(OR($M84="",NOT($O84="{array}")),"",IFERROR(MATCH(PARAMETERS!$M84,DEFAULT!$B$5:$CI$5,0),""))</f>
        <v/>
      </c>
      <c r="AA84" s="55" t="str">
        <f t="shared" si="6"/>
        <v/>
      </c>
      <c r="AB84" s="62" t="str">
        <f>IF(AND(OR($A84="G",$A84="P"),NOT($O84="{array}")),IF(VLOOKUP($K84,base!$B$2:$D$20,3,0)="S",IF(OR($O84="",ISTEXT($O84)),"","STRING!"),IF(VLOOKUP($K84,base!$B$2:$D$20,3,0)="","",IF(ISTEXT($O84),"NUMERIC!",""))),"")</f>
        <v/>
      </c>
      <c r="AC84" s="16" t="str">
        <f>IF($AA84="","",IF($B84="I",VLOOKUP($AA84,#REF!,53,0),INDEX(VALUES!$B$1:$GP$1,1,$AA84)))</f>
        <v/>
      </c>
    </row>
    <row r="85" spans="1:29" hidden="1" outlineLevel="1">
      <c r="A85" s="21" t="s">
        <v>86</v>
      </c>
      <c r="B85" s="40" t="str">
        <f t="shared" si="8"/>
        <v/>
      </c>
      <c r="C85" s="41">
        <f t="shared" si="10"/>
        <v>84</v>
      </c>
      <c r="D85" s="260" t="s">
        <v>9</v>
      </c>
      <c r="E85" s="37"/>
      <c r="F85" s="305" t="s">
        <v>9</v>
      </c>
      <c r="G85" s="188" t="s">
        <v>9</v>
      </c>
      <c r="H85" s="37"/>
      <c r="I85" s="37" t="s">
        <v>9</v>
      </c>
      <c r="J85" s="37" t="s">
        <v>9</v>
      </c>
      <c r="K85" s="249" t="s">
        <v>26</v>
      </c>
      <c r="L85" s="249" t="s">
        <v>29</v>
      </c>
      <c r="M85" s="214" t="s">
        <v>1724</v>
      </c>
      <c r="N85" s="249" t="s">
        <v>1725</v>
      </c>
      <c r="O85" s="311">
        <v>0</v>
      </c>
      <c r="Q85" s="37" t="s">
        <v>9</v>
      </c>
      <c r="R85" s="37" t="s">
        <v>106</v>
      </c>
      <c r="S85" s="37"/>
      <c r="T85" s="37"/>
      <c r="W85" s="14" t="str">
        <f>IF(IFERROR(VLOOKUP($M85,'IMPORT GS-Tür OL FL 2S2 20'!$H$2:$H$847,1,0),"-")="-","","GS")</f>
        <v>GS</v>
      </c>
      <c r="X85" s="14" t="str">
        <f t="shared" si="9"/>
        <v>...</v>
      </c>
      <c r="Y85" s="13" t="s">
        <v>1605</v>
      </c>
      <c r="Z85" s="58" t="str">
        <f>IF(OR($M85="",NOT($O85="{array}")),"",IFERROR(MATCH(PARAMETERS!$M85,DEFAULT!$B$5:$CI$5,0),""))</f>
        <v/>
      </c>
      <c r="AA85" s="55" t="str">
        <f t="shared" si="6"/>
        <v/>
      </c>
      <c r="AB85" s="62" t="str">
        <f>IF(AND(OR($A85="G",$A85="P"),NOT($O85="{array}")),IF(VLOOKUP($K85,base!$B$2:$D$20,3,0)="S",IF(OR($O85="",ISTEXT($O85)),"","STRING!"),IF(VLOOKUP($K85,base!$B$2:$D$20,3,0)="","",IF(ISTEXT($O85),"NUMERIC!",""))),"")</f>
        <v/>
      </c>
      <c r="AC85" s="16" t="str">
        <f>IF($AA85="","",IF($B85="I",VLOOKUP($AA85,#REF!,53,0),INDEX(VALUES!$B$1:$GP$1,1,$AA85)))</f>
        <v/>
      </c>
    </row>
    <row r="86" spans="1:29" hidden="1" outlineLevel="1">
      <c r="A86" s="21" t="s">
        <v>87</v>
      </c>
      <c r="B86" s="40" t="str">
        <f t="shared" si="8"/>
        <v/>
      </c>
      <c r="C86" s="41">
        <f t="shared" si="10"/>
        <v>85</v>
      </c>
      <c r="D86" s="260"/>
      <c r="E86" s="37"/>
      <c r="F86" s="305"/>
      <c r="G86" s="188"/>
      <c r="H86" s="37"/>
      <c r="I86" s="37" t="s">
        <v>9</v>
      </c>
      <c r="J86" s="37"/>
      <c r="K86" s="316" t="s">
        <v>26</v>
      </c>
      <c r="L86" s="160" t="s">
        <v>23</v>
      </c>
      <c r="M86" s="160" t="s">
        <v>1726</v>
      </c>
      <c r="N86" s="160" t="s">
        <v>298</v>
      </c>
      <c r="O86" s="160" t="s">
        <v>298</v>
      </c>
      <c r="P86" s="182" t="s">
        <v>130</v>
      </c>
      <c r="Q86" s="159" t="s">
        <v>9</v>
      </c>
      <c r="R86" s="159" t="s">
        <v>105</v>
      </c>
      <c r="S86" s="159" t="s">
        <v>114</v>
      </c>
      <c r="T86" s="160" t="s">
        <v>298</v>
      </c>
      <c r="U86" s="160" t="s">
        <v>298</v>
      </c>
      <c r="V86" s="160" t="s">
        <v>1726</v>
      </c>
      <c r="W86" s="14" t="str">
        <f>IF(IFERROR(VLOOKUP($M86,'IMPORT GS-Tür OL FL 2S2 20'!$H$2:$H$847,1,0),"-")="-","","GS")</f>
        <v/>
      </c>
      <c r="X86" s="14" t="str">
        <f t="shared" si="9"/>
        <v/>
      </c>
      <c r="Y86" s="160" t="s">
        <v>1727</v>
      </c>
      <c r="Z86" s="58" t="str">
        <f>IF(OR($M86="",NOT($O86="{array}")),"",IFERROR(MATCH(PARAMETERS!$M86,DEFAULT!$B$5:$CI$5,0),""))</f>
        <v/>
      </c>
      <c r="AA86" s="55" t="str">
        <f t="shared" si="6"/>
        <v/>
      </c>
      <c r="AB86" s="62" t="str">
        <f>IF(AND(OR($A86="G",$A86="P"),NOT($O86="{array}")),IF(VLOOKUP($K86,base!$B$2:$D$20,3,0)="S",IF(OR($O86="",ISTEXT($O86)),"","STRING!"),IF(VLOOKUP($K86,base!$B$2:$D$20,3,0)="","",IF(ISTEXT($O86),"NUMERIC!",""))),"")</f>
        <v>NUMERIC!</v>
      </c>
      <c r="AC86" s="16" t="str">
        <f>IF($AA86="","",IF($B86="I",VLOOKUP($AA86,#REF!,53,0),INDEX(VALUES!$B$1:$GP$1,1,$AA86)))</f>
        <v/>
      </c>
    </row>
    <row r="87" spans="1:29" hidden="1" outlineLevel="1">
      <c r="A87" s="21" t="s">
        <v>87</v>
      </c>
      <c r="B87" s="40" t="str">
        <f t="shared" si="8"/>
        <v/>
      </c>
      <c r="C87" s="41">
        <f t="shared" si="10"/>
        <v>86</v>
      </c>
      <c r="D87" s="260"/>
      <c r="E87" s="37"/>
      <c r="F87" s="305"/>
      <c r="G87" s="188"/>
      <c r="H87" s="37"/>
      <c r="I87" s="37" t="s">
        <v>9</v>
      </c>
      <c r="J87" s="37"/>
      <c r="K87" s="316" t="s">
        <v>26</v>
      </c>
      <c r="L87" s="160" t="s">
        <v>23</v>
      </c>
      <c r="M87" s="160" t="s">
        <v>1728</v>
      </c>
      <c r="N87" s="163"/>
      <c r="O87" s="163"/>
      <c r="P87" s="157"/>
      <c r="Q87" s="159"/>
      <c r="R87" s="159" t="s">
        <v>105</v>
      </c>
      <c r="S87" s="159" t="s">
        <v>114</v>
      </c>
      <c r="T87" s="160"/>
      <c r="U87" s="160"/>
      <c r="V87" s="160" t="s">
        <v>1728</v>
      </c>
      <c r="W87" s="14" t="str">
        <f>IF(IFERROR(VLOOKUP($M87,'IMPORT GS-Tür OL FL 2S2 20'!$H$2:$H$847,1,0),"-")="-","","GS")</f>
        <v/>
      </c>
      <c r="X87" s="14" t="str">
        <f t="shared" si="9"/>
        <v/>
      </c>
      <c r="Y87" s="156" t="s">
        <v>1729</v>
      </c>
      <c r="Z87" s="58" t="str">
        <f>IF(OR($M87="",NOT($O87="{array}")),"",IFERROR(MATCH(PARAMETERS!$M87,DEFAULT!$B$5:$CI$5,0),""))</f>
        <v/>
      </c>
      <c r="AA87" s="55" t="str">
        <f t="shared" si="6"/>
        <v/>
      </c>
      <c r="AB87" s="62" t="str">
        <f>IF(AND(OR($A87="G",$A87="P"),NOT($O87="{array}")),IF(VLOOKUP($K87,base!$B$2:$D$20,3,0)="S",IF(OR($O87="",ISTEXT($O87)),"","STRING!"),IF(VLOOKUP($K87,base!$B$2:$D$20,3,0)="","",IF(ISTEXT($O87),"NUMERIC!",""))),"")</f>
        <v/>
      </c>
      <c r="AC87" s="16" t="str">
        <f>IF($AA87="","",IF($B87="I",VLOOKUP($AA87,#REF!,53,0),INDEX(VALUES!$B$1:$GP$1,1,$AA87)))</f>
        <v/>
      </c>
    </row>
    <row r="88" spans="1:29" hidden="1" outlineLevel="1">
      <c r="A88" s="21" t="s">
        <v>87</v>
      </c>
      <c r="B88" s="40" t="str">
        <f t="shared" si="8"/>
        <v/>
      </c>
      <c r="C88" s="41">
        <f t="shared" si="10"/>
        <v>87</v>
      </c>
      <c r="D88" s="260"/>
      <c r="E88" s="37"/>
      <c r="F88" s="305"/>
      <c r="G88" s="188"/>
      <c r="H88" s="37"/>
      <c r="I88" s="37" t="s">
        <v>9</v>
      </c>
      <c r="J88" s="37"/>
      <c r="K88" s="316" t="s">
        <v>26</v>
      </c>
      <c r="L88" s="160" t="s">
        <v>23</v>
      </c>
      <c r="M88" s="160" t="s">
        <v>1730</v>
      </c>
      <c r="N88" s="163" t="s">
        <v>298</v>
      </c>
      <c r="O88" s="163" t="s">
        <v>298</v>
      </c>
      <c r="P88" s="182" t="s">
        <v>130</v>
      </c>
      <c r="Q88" s="159" t="s">
        <v>9</v>
      </c>
      <c r="R88" s="159" t="s">
        <v>105</v>
      </c>
      <c r="S88" s="159" t="s">
        <v>114</v>
      </c>
      <c r="T88" s="160" t="s">
        <v>298</v>
      </c>
      <c r="U88" s="160" t="s">
        <v>298</v>
      </c>
      <c r="V88" s="160" t="s">
        <v>1730</v>
      </c>
      <c r="W88" s="14" t="str">
        <f>IF(IFERROR(VLOOKUP($M88,'IMPORT GS-Tür OL FL 2S2 20'!$H$2:$H$847,1,0),"-")="-","","GS")</f>
        <v/>
      </c>
      <c r="X88" s="14" t="str">
        <f t="shared" si="9"/>
        <v/>
      </c>
      <c r="Y88" s="156" t="s">
        <v>1731</v>
      </c>
      <c r="Z88" s="58" t="str">
        <f>IF(OR($M88="",NOT($O88="{array}")),"",IFERROR(MATCH(PARAMETERS!$M88,DEFAULT!$B$5:$CI$5,0),""))</f>
        <v/>
      </c>
      <c r="AA88" s="55" t="str">
        <f t="shared" si="6"/>
        <v/>
      </c>
      <c r="AB88" s="62" t="str">
        <f>IF(AND(OR($A88="G",$A88="P"),NOT($O88="{array}")),IF(VLOOKUP($K88,base!$B$2:$D$20,3,0)="S",IF(OR($O88="",ISTEXT($O88)),"","STRING!"),IF(VLOOKUP($K88,base!$B$2:$D$20,3,0)="","",IF(ISTEXT($O88),"NUMERIC!",""))),"")</f>
        <v>NUMERIC!</v>
      </c>
      <c r="AC88" s="16" t="str">
        <f>IF($AA88="","",IF($B88="I",VLOOKUP($AA88,#REF!,53,0),INDEX(VALUES!$B$1:$GP$1,1,$AA88)))</f>
        <v/>
      </c>
    </row>
    <row r="89" spans="1:29" hidden="1" outlineLevel="1">
      <c r="A89" s="21" t="s">
        <v>87</v>
      </c>
      <c r="B89" s="40" t="str">
        <f t="shared" si="8"/>
        <v/>
      </c>
      <c r="C89" s="41">
        <f t="shared" si="10"/>
        <v>88</v>
      </c>
      <c r="D89" s="260"/>
      <c r="E89" s="37"/>
      <c r="F89" s="305"/>
      <c r="G89" s="188"/>
      <c r="H89" s="37"/>
      <c r="I89" s="37" t="s">
        <v>9</v>
      </c>
      <c r="J89" s="37"/>
      <c r="K89" s="160" t="s">
        <v>20</v>
      </c>
      <c r="L89" s="164" t="s">
        <v>23</v>
      </c>
      <c r="M89" s="160" t="s">
        <v>1732</v>
      </c>
      <c r="N89" s="163" t="s">
        <v>298</v>
      </c>
      <c r="O89" s="163" t="s">
        <v>298</v>
      </c>
      <c r="P89" s="157" t="s">
        <v>298</v>
      </c>
      <c r="Q89" s="159" t="s">
        <v>9</v>
      </c>
      <c r="R89" s="159" t="s">
        <v>105</v>
      </c>
      <c r="S89" s="159" t="s">
        <v>114</v>
      </c>
      <c r="T89" s="160" t="s">
        <v>298</v>
      </c>
      <c r="U89" s="160" t="s">
        <v>298</v>
      </c>
      <c r="V89" s="160" t="s">
        <v>1732</v>
      </c>
      <c r="W89" s="161" t="str">
        <f>IF(IFERROR(VLOOKUP($M89,'IMPORT GS-Tür OL FL 2S2 20'!$H$2:$H$847,1,0),"-")="-","","GS")</f>
        <v/>
      </c>
      <c r="X89" s="14" t="str">
        <f t="shared" si="9"/>
        <v/>
      </c>
      <c r="Y89" s="160" t="s">
        <v>1733</v>
      </c>
      <c r="Z89" s="58" t="str">
        <f>IF(OR($M89="",NOT($O89="{array}")),"",IFERROR(MATCH(PARAMETERS!$M89,DEFAULT!$B$5:$CI$5,0),""))</f>
        <v/>
      </c>
      <c r="AA89" s="55" t="str">
        <f t="shared" si="6"/>
        <v/>
      </c>
      <c r="AB89" s="62" t="str">
        <f>IF(AND(OR($A89="G",$A89="P"),NOT($O89="{array}")),IF(VLOOKUP($K89,base!$B$2:$D$20,3,0)="S",IF(OR($O89="",ISTEXT($O89)),"","STRING!"),IF(VLOOKUP($K89,base!$B$2:$D$20,3,0)="","",IF(ISTEXT($O89),"NUMERIC!",""))),"")</f>
        <v/>
      </c>
      <c r="AC89" s="16" t="str">
        <f>IF($AA89="","",IF($B89="I",VLOOKUP($AA89,#REF!,53,0),INDEX(VALUES!$B$1:$GP$1,1,$AA89)))</f>
        <v/>
      </c>
    </row>
    <row r="90" spans="1:29" hidden="1" outlineLevel="1">
      <c r="A90" s="21" t="s">
        <v>87</v>
      </c>
      <c r="B90" s="40" t="str">
        <f t="shared" si="8"/>
        <v/>
      </c>
      <c r="C90" s="41">
        <f t="shared" si="10"/>
        <v>89</v>
      </c>
      <c r="D90" s="260"/>
      <c r="E90" s="37"/>
      <c r="F90" s="305"/>
      <c r="G90" s="188"/>
      <c r="H90" s="37"/>
      <c r="I90" s="37" t="s">
        <v>9</v>
      </c>
      <c r="J90" s="37"/>
      <c r="K90" s="316" t="s">
        <v>26</v>
      </c>
      <c r="L90" s="164" t="s">
        <v>23</v>
      </c>
      <c r="M90" s="160" t="s">
        <v>1734</v>
      </c>
      <c r="N90" s="163" t="s">
        <v>298</v>
      </c>
      <c r="O90" s="163" t="s">
        <v>298</v>
      </c>
      <c r="P90" s="182" t="s">
        <v>130</v>
      </c>
      <c r="Q90" s="159" t="s">
        <v>9</v>
      </c>
      <c r="R90" s="159" t="s">
        <v>105</v>
      </c>
      <c r="S90" s="159" t="s">
        <v>114</v>
      </c>
      <c r="T90" s="160" t="s">
        <v>298</v>
      </c>
      <c r="U90" s="160" t="s">
        <v>298</v>
      </c>
      <c r="V90" s="160" t="s">
        <v>1734</v>
      </c>
      <c r="W90" s="161" t="str">
        <f>IF(IFERROR(VLOOKUP($M90,'IMPORT GS-Tür OL FL 2S2 20'!$H$2:$H$847,1,0),"-")="-","","GS")</f>
        <v/>
      </c>
      <c r="X90" s="14" t="str">
        <f t="shared" si="9"/>
        <v/>
      </c>
      <c r="Y90" s="163" t="s">
        <v>1735</v>
      </c>
      <c r="Z90" s="58" t="str">
        <f>IF(OR($M90="",NOT($O90="{array}")),"",IFERROR(MATCH(PARAMETERS!$M90,DEFAULT!$B$5:$CI$5,0),""))</f>
        <v/>
      </c>
      <c r="AA90" s="55" t="str">
        <f t="shared" si="6"/>
        <v/>
      </c>
      <c r="AB90" s="62" t="str">
        <f>IF(AND(OR($A90="G",$A90="P"),NOT($O90="{array}")),IF(VLOOKUP($K90,base!$B$2:$D$20,3,0)="S",IF(OR($O90="",ISTEXT($O90)),"","STRING!"),IF(VLOOKUP($K90,base!$B$2:$D$20,3,0)="","",IF(ISTEXT($O90),"NUMERIC!",""))),"")</f>
        <v>NUMERIC!</v>
      </c>
      <c r="AC90" s="16" t="str">
        <f>IF($AA90="","",IF($B90="I",VLOOKUP($AA90,#REF!,53,0),INDEX(VALUES!$B$1:$GP$1,1,$AA90)))</f>
        <v/>
      </c>
    </row>
    <row r="91" spans="1:29" hidden="1" outlineLevel="1">
      <c r="A91" s="21" t="s">
        <v>87</v>
      </c>
      <c r="B91" s="40" t="str">
        <f t="shared" si="8"/>
        <v/>
      </c>
      <c r="C91" s="41">
        <f t="shared" si="10"/>
        <v>90</v>
      </c>
      <c r="D91" s="260"/>
      <c r="E91" s="37"/>
      <c r="F91" s="305"/>
      <c r="G91" s="188"/>
      <c r="H91" s="37"/>
      <c r="I91" s="37" t="s">
        <v>9</v>
      </c>
      <c r="J91" s="37"/>
      <c r="K91" s="160" t="s">
        <v>20</v>
      </c>
      <c r="L91" s="164" t="s">
        <v>23</v>
      </c>
      <c r="M91" s="160" t="s">
        <v>1736</v>
      </c>
      <c r="N91" s="163" t="s">
        <v>298</v>
      </c>
      <c r="O91" s="163" t="s">
        <v>298</v>
      </c>
      <c r="P91" s="157" t="s">
        <v>298</v>
      </c>
      <c r="Q91" s="159" t="s">
        <v>9</v>
      </c>
      <c r="R91" s="159" t="s">
        <v>105</v>
      </c>
      <c r="S91" s="159" t="s">
        <v>114</v>
      </c>
      <c r="T91" s="160" t="s">
        <v>298</v>
      </c>
      <c r="U91" s="160" t="s">
        <v>298</v>
      </c>
      <c r="V91" s="160" t="s">
        <v>1736</v>
      </c>
      <c r="W91" s="161" t="str">
        <f>IF(IFERROR(VLOOKUP($M91,'IMPORT GS-Tür OL FL 2S2 20'!$H$2:$H$847,1,0),"-")="-","","GS")</f>
        <v/>
      </c>
      <c r="X91" s="14" t="str">
        <f t="shared" si="9"/>
        <v/>
      </c>
      <c r="Y91" s="163" t="s">
        <v>1737</v>
      </c>
      <c r="Z91" s="58" t="str">
        <f>IF(OR($M91="",NOT($O91="{array}")),"",IFERROR(MATCH(PARAMETERS!$M91,DEFAULT!$B$5:$CI$5,0),""))</f>
        <v/>
      </c>
      <c r="AA91" s="55" t="str">
        <f t="shared" si="6"/>
        <v/>
      </c>
      <c r="AB91" s="62" t="str">
        <f>IF(AND(OR($A91="G",$A91="P"),NOT($O91="{array}")),IF(VLOOKUP($K91,base!$B$2:$D$20,3,0)="S",IF(OR($O91="",ISTEXT($O91)),"","STRING!"),IF(VLOOKUP($K91,base!$B$2:$D$20,3,0)="","",IF(ISTEXT($O91),"NUMERIC!",""))),"")</f>
        <v/>
      </c>
      <c r="AC91" s="16" t="str">
        <f>IF($AA91="","",IF($B91="I",VLOOKUP($AA91,#REF!,53,0),INDEX(VALUES!$B$1:$GP$1,1,$AA91)))</f>
        <v/>
      </c>
    </row>
    <row r="92" spans="1:29" hidden="1" outlineLevel="1">
      <c r="A92" s="21" t="s">
        <v>87</v>
      </c>
      <c r="B92" s="40" t="str">
        <f t="shared" si="8"/>
        <v/>
      </c>
      <c r="C92" s="41">
        <f t="shared" si="10"/>
        <v>91</v>
      </c>
      <c r="D92" s="260"/>
      <c r="E92" s="37"/>
      <c r="F92" s="305"/>
      <c r="G92" s="188"/>
      <c r="H92" s="37"/>
      <c r="I92" s="37" t="s">
        <v>9</v>
      </c>
      <c r="J92" s="37"/>
      <c r="K92" s="160" t="s">
        <v>20</v>
      </c>
      <c r="L92" s="164" t="s">
        <v>23</v>
      </c>
      <c r="M92" s="160" t="s">
        <v>1738</v>
      </c>
      <c r="N92" s="163" t="s">
        <v>298</v>
      </c>
      <c r="O92" s="163" t="s">
        <v>298</v>
      </c>
      <c r="P92" s="157" t="s">
        <v>298</v>
      </c>
      <c r="Q92" s="159" t="s">
        <v>9</v>
      </c>
      <c r="R92" s="159" t="s">
        <v>105</v>
      </c>
      <c r="S92" s="159" t="s">
        <v>114</v>
      </c>
      <c r="T92" s="160" t="s">
        <v>298</v>
      </c>
      <c r="U92" s="160" t="s">
        <v>298</v>
      </c>
      <c r="V92" s="160" t="s">
        <v>1738</v>
      </c>
      <c r="W92" s="161" t="str">
        <f>IF(IFERROR(VLOOKUP($M92,'IMPORT GS-Tür OL FL 2S2 20'!$H$2:$H$847,1,0),"-")="-","","GS")</f>
        <v/>
      </c>
      <c r="X92" s="14" t="str">
        <f t="shared" si="9"/>
        <v/>
      </c>
      <c r="Y92" s="160" t="s">
        <v>1739</v>
      </c>
      <c r="Z92" s="58" t="str">
        <f>IF(OR($M92="",NOT($O92="{array}")),"",IFERROR(MATCH(PARAMETERS!$M92,DEFAULT!$B$5:$CI$5,0),""))</f>
        <v/>
      </c>
      <c r="AA92" s="55" t="str">
        <f t="shared" si="6"/>
        <v/>
      </c>
      <c r="AB92" s="62" t="str">
        <f>IF(AND(OR($A92="G",$A92="P"),NOT($O92="{array}")),IF(VLOOKUP($K92,base!$B$2:$D$20,3,0)="S",IF(OR($O92="",ISTEXT($O92)),"","STRING!"),IF(VLOOKUP($K92,base!$B$2:$D$20,3,0)="","",IF(ISTEXT($O92),"NUMERIC!",""))),"")</f>
        <v/>
      </c>
      <c r="AC92" s="16" t="str">
        <f>IF($AA92="","",IF($B92="I",VLOOKUP($AA92,#REF!,53,0),INDEX(VALUES!$B$1:$GP$1,1,$AA92)))</f>
        <v/>
      </c>
    </row>
    <row r="93" spans="1:29" hidden="1" outlineLevel="1">
      <c r="A93" s="21" t="s">
        <v>87</v>
      </c>
      <c r="B93" s="40" t="str">
        <f t="shared" si="8"/>
        <v/>
      </c>
      <c r="C93" s="41">
        <f t="shared" si="10"/>
        <v>92</v>
      </c>
      <c r="D93" s="260"/>
      <c r="E93" s="37"/>
      <c r="F93" s="305"/>
      <c r="G93" s="188"/>
      <c r="H93" s="37"/>
      <c r="I93" s="37" t="s">
        <v>9</v>
      </c>
      <c r="J93" s="37"/>
      <c r="K93" s="316" t="s">
        <v>26</v>
      </c>
      <c r="L93" s="164" t="s">
        <v>23</v>
      </c>
      <c r="M93" s="160" t="s">
        <v>1740</v>
      </c>
      <c r="N93" s="163" t="s">
        <v>298</v>
      </c>
      <c r="O93" s="163" t="s">
        <v>298</v>
      </c>
      <c r="P93" s="182" t="s">
        <v>130</v>
      </c>
      <c r="Q93" s="159" t="s">
        <v>9</v>
      </c>
      <c r="R93" s="159" t="s">
        <v>105</v>
      </c>
      <c r="S93" s="159" t="s">
        <v>114</v>
      </c>
      <c r="T93" s="160" t="s">
        <v>298</v>
      </c>
      <c r="U93" s="160" t="s">
        <v>298</v>
      </c>
      <c r="V93" s="160" t="s">
        <v>1740</v>
      </c>
      <c r="W93" s="161" t="str">
        <f>IF(IFERROR(VLOOKUP($M93,'IMPORT GS-Tür OL FL 2S2 20'!$H$2:$H$847,1,0),"-")="-","","GS")</f>
        <v/>
      </c>
      <c r="X93" s="14" t="str">
        <f t="shared" si="9"/>
        <v/>
      </c>
      <c r="Y93" s="163" t="s">
        <v>1741</v>
      </c>
      <c r="Z93" s="58" t="str">
        <f>IF(OR($M93="",NOT($O93="{array}")),"",IFERROR(MATCH(PARAMETERS!$M93,DEFAULT!$B$5:$CI$5,0),""))</f>
        <v/>
      </c>
      <c r="AA93" s="55" t="str">
        <f t="shared" si="6"/>
        <v/>
      </c>
      <c r="AB93" s="62" t="str">
        <f>IF(AND(OR($A93="G",$A93="P"),NOT($O93="{array}")),IF(VLOOKUP($K93,base!$B$2:$D$20,3,0)="S",IF(OR($O93="",ISTEXT($O93)),"","STRING!"),IF(VLOOKUP($K93,base!$B$2:$D$20,3,0)="","",IF(ISTEXT($O93),"NUMERIC!",""))),"")</f>
        <v>NUMERIC!</v>
      </c>
      <c r="AC93" s="16" t="str">
        <f>IF($AA93="","",IF($B93="I",VLOOKUP($AA93,#REF!,53,0),INDEX(VALUES!$B$1:$GP$1,1,$AA93)))</f>
        <v/>
      </c>
    </row>
    <row r="94" spans="1:29" hidden="1" outlineLevel="1">
      <c r="A94" s="21" t="s">
        <v>87</v>
      </c>
      <c r="B94" s="40" t="str">
        <f t="shared" si="8"/>
        <v/>
      </c>
      <c r="C94" s="41">
        <f t="shared" si="10"/>
        <v>93</v>
      </c>
      <c r="D94" s="260"/>
      <c r="E94" s="37"/>
      <c r="F94" s="305"/>
      <c r="G94" s="188"/>
      <c r="H94" s="37"/>
      <c r="I94" s="37" t="s">
        <v>9</v>
      </c>
      <c r="J94" s="37"/>
      <c r="K94" s="160" t="s">
        <v>20</v>
      </c>
      <c r="L94" s="164" t="s">
        <v>23</v>
      </c>
      <c r="M94" s="160" t="s">
        <v>1742</v>
      </c>
      <c r="N94" s="163" t="s">
        <v>298</v>
      </c>
      <c r="O94" s="163" t="s">
        <v>298</v>
      </c>
      <c r="P94" s="157" t="s">
        <v>298</v>
      </c>
      <c r="Q94" s="159" t="s">
        <v>9</v>
      </c>
      <c r="R94" s="159" t="s">
        <v>105</v>
      </c>
      <c r="S94" s="159" t="s">
        <v>114</v>
      </c>
      <c r="T94" s="160" t="s">
        <v>298</v>
      </c>
      <c r="U94" s="160" t="s">
        <v>298</v>
      </c>
      <c r="V94" s="160" t="s">
        <v>1742</v>
      </c>
      <c r="W94" s="161" t="str">
        <f>IF(IFERROR(VLOOKUP($M94,'IMPORT GS-Tür OL FL 2S2 20'!$H$2:$H$847,1,0),"-")="-","","GS")</f>
        <v/>
      </c>
      <c r="X94" s="14" t="str">
        <f t="shared" si="9"/>
        <v/>
      </c>
      <c r="Y94" s="163" t="s">
        <v>1743</v>
      </c>
      <c r="Z94" s="58" t="str">
        <f>IF(OR($M94="",NOT($O94="{array}")),"",IFERROR(MATCH(PARAMETERS!$M94,DEFAULT!$B$5:$CI$5,0),""))</f>
        <v/>
      </c>
      <c r="AA94" s="55" t="str">
        <f t="shared" si="6"/>
        <v/>
      </c>
      <c r="AB94" s="62" t="str">
        <f>IF(AND(OR($A94="G",$A94="P"),NOT($O94="{array}")),IF(VLOOKUP($K94,base!$B$2:$D$20,3,0)="S",IF(OR($O94="",ISTEXT($O94)),"","STRING!"),IF(VLOOKUP($K94,base!$B$2:$D$20,3,0)="","",IF(ISTEXT($O94),"NUMERIC!",""))),"")</f>
        <v/>
      </c>
      <c r="AC94" s="16" t="str">
        <f>IF($AA94="","",IF($B94="I",VLOOKUP($AA94,#REF!,53,0),INDEX(VALUES!$B$1:$GP$1,1,$AA94)))</f>
        <v/>
      </c>
    </row>
    <row r="95" spans="1:29" collapsed="1">
      <c r="A95" s="21"/>
      <c r="B95" s="40" t="str">
        <f t="shared" si="8"/>
        <v/>
      </c>
      <c r="C95" s="41">
        <f t="shared" si="10"/>
        <v>94</v>
      </c>
      <c r="D95" s="260"/>
      <c r="E95" s="37"/>
      <c r="F95" s="305" t="s">
        <v>9</v>
      </c>
      <c r="G95" s="188"/>
      <c r="H95" s="37"/>
      <c r="I95" s="37"/>
      <c r="J95" s="37"/>
      <c r="K95" s="230" t="s">
        <v>59</v>
      </c>
      <c r="L95" s="230" t="s">
        <v>40</v>
      </c>
      <c r="M95" s="231" t="s">
        <v>1744</v>
      </c>
      <c r="N95" s="232" t="s">
        <v>1745</v>
      </c>
      <c r="O95" s="311"/>
      <c r="R95" s="37" t="s">
        <v>106</v>
      </c>
      <c r="S95" s="37"/>
      <c r="T95" s="37"/>
      <c r="W95" s="14" t="str">
        <f>IF(IFERROR(VLOOKUP($M95,'IMPORT GS-Tür OL FL 2S2 20'!$H$2:$H$847,1,0),"-")="-","","GS")</f>
        <v/>
      </c>
      <c r="X95" s="14" t="str">
        <f t="shared" si="9"/>
        <v/>
      </c>
      <c r="Z95" s="58" t="str">
        <f>IF(OR($M95="",NOT($O95="{array}")),"",IFERROR(MATCH(PARAMETERS!$M95,DEFAULT!$B$5:$CI$5,0),""))</f>
        <v/>
      </c>
      <c r="AA95" s="55" t="str">
        <f t="shared" si="6"/>
        <v/>
      </c>
      <c r="AB95" s="62" t="str">
        <f>IF(AND(OR($A95="G",$A95="P"),NOT($O95="{array}")),IF(VLOOKUP($K95,base!$B$2:$D$20,3,0)="S",IF(OR($O95="",ISTEXT($O95)),"","STRING!"),IF(VLOOKUP($K95,base!$B$2:$D$20,3,0)="","",IF(ISTEXT($O95),"NUMERIC!",""))),"")</f>
        <v/>
      </c>
      <c r="AC95" s="16" t="str">
        <f>IF($AA95="","",IF($B95="I",VLOOKUP($AA95,#REF!,53,0),INDEX(VALUES!$B$1:$GP$1,1,$AA95)))</f>
        <v/>
      </c>
    </row>
    <row r="96" spans="1:29" hidden="1" outlineLevel="1">
      <c r="A96" s="21"/>
      <c r="B96" s="40" t="str">
        <f t="shared" si="8"/>
        <v/>
      </c>
      <c r="C96" s="41">
        <f t="shared" si="10"/>
        <v>95</v>
      </c>
      <c r="D96" s="260"/>
      <c r="E96" s="37"/>
      <c r="F96" s="305" t="s">
        <v>9</v>
      </c>
      <c r="G96" s="188"/>
      <c r="H96" s="37"/>
      <c r="I96" s="37" t="s">
        <v>9</v>
      </c>
      <c r="J96" s="37"/>
      <c r="K96" s="249" t="s">
        <v>49</v>
      </c>
      <c r="L96" s="249" t="s">
        <v>29</v>
      </c>
      <c r="M96" s="214" t="s">
        <v>1746</v>
      </c>
      <c r="N96" s="249" t="s">
        <v>1747</v>
      </c>
      <c r="O96" s="311">
        <v>0</v>
      </c>
      <c r="R96" s="37" t="s">
        <v>106</v>
      </c>
      <c r="S96" s="37"/>
      <c r="T96" s="37"/>
      <c r="W96" s="14" t="str">
        <f>IF(IFERROR(VLOOKUP($M96,'IMPORT GS-Tür OL FL 2S2 20'!$H$2:$H$847,1,0),"-")="-","","GS")</f>
        <v>GS</v>
      </c>
      <c r="X96" s="14" t="str">
        <f t="shared" si="9"/>
        <v/>
      </c>
      <c r="Z96" s="58" t="str">
        <f>IF(OR($M96="",NOT($O96="{array}")),"",IFERROR(MATCH(PARAMETERS!$M96,DEFAULT!$B$5:$CI$5,0),""))</f>
        <v/>
      </c>
      <c r="AA96" s="55" t="str">
        <f t="shared" si="6"/>
        <v/>
      </c>
      <c r="AB96" s="62" t="str">
        <f>IF(AND(OR($A96="G",$A96="P"),NOT($O96="{array}")),IF(VLOOKUP($K96,base!$B$2:$D$20,3,0)="S",IF(OR($O96="",ISTEXT($O96)),"","STRING!"),IF(VLOOKUP($K96,base!$B$2:$D$20,3,0)="","",IF(ISTEXT($O96),"NUMERIC!",""))),"")</f>
        <v/>
      </c>
      <c r="AC96" s="16" t="str">
        <f>IF($AA96="","",IF($B96="I",VLOOKUP($AA96,#REF!,53,0),INDEX(VALUES!$B$1:$GP$1,1,$AA96)))</f>
        <v/>
      </c>
    </row>
    <row r="97" spans="1:29" hidden="1" outlineLevel="1">
      <c r="A97" s="21"/>
      <c r="B97" s="40" t="str">
        <f t="shared" si="8"/>
        <v/>
      </c>
      <c r="C97" s="41">
        <f t="shared" si="10"/>
        <v>96</v>
      </c>
      <c r="D97" s="260"/>
      <c r="E97" s="37"/>
      <c r="F97" s="305" t="s">
        <v>9</v>
      </c>
      <c r="G97" s="188"/>
      <c r="H97" s="37"/>
      <c r="I97" s="37" t="s">
        <v>9</v>
      </c>
      <c r="J97" s="37"/>
      <c r="K97" s="249" t="s">
        <v>46</v>
      </c>
      <c r="L97" s="249" t="s">
        <v>29</v>
      </c>
      <c r="M97" s="214" t="s">
        <v>1748</v>
      </c>
      <c r="N97" s="249" t="s">
        <v>1747</v>
      </c>
      <c r="O97" s="311">
        <v>2</v>
      </c>
      <c r="R97" s="37" t="s">
        <v>106</v>
      </c>
      <c r="S97" s="37"/>
      <c r="T97" s="37"/>
      <c r="W97" s="14" t="str">
        <f>IF(IFERROR(VLOOKUP($M97,'IMPORT GS-Tür OL FL 2S2 20'!$H$2:$H$847,1,0),"-")="-","","GS")</f>
        <v>GS</v>
      </c>
      <c r="X97" s="14" t="str">
        <f t="shared" si="9"/>
        <v/>
      </c>
      <c r="Y97" s="13" t="s">
        <v>1749</v>
      </c>
      <c r="Z97" s="58" t="str">
        <f>IF(OR($M97="",NOT($O97="{array}")),"",IFERROR(MATCH(PARAMETERS!$M97,DEFAULT!$B$5:$CI$5,0),""))</f>
        <v/>
      </c>
      <c r="AA97" s="55" t="str">
        <f t="shared" si="6"/>
        <v/>
      </c>
      <c r="AB97" s="62" t="str">
        <f>IF(AND(OR($A97="G",$A97="P"),NOT($O97="{array}")),IF(VLOOKUP($K97,base!$B$2:$D$20,3,0)="S",IF(OR($O97="",ISTEXT($O97)),"","STRING!"),IF(VLOOKUP($K97,base!$B$2:$D$20,3,0)="","",IF(ISTEXT($O97),"NUMERIC!",""))),"")</f>
        <v/>
      </c>
      <c r="AC97" s="16" t="str">
        <f>IF($AA97="","",IF($B97="I",VLOOKUP($AA97,#REF!,53,0),INDEX(VALUES!$B$1:$GP$1,1,$AA97)))</f>
        <v/>
      </c>
    </row>
    <row r="98" spans="1:29" hidden="1" outlineLevel="1">
      <c r="A98" s="21"/>
      <c r="B98" s="40" t="str">
        <f t="shared" si="8"/>
        <v/>
      </c>
      <c r="C98" s="41">
        <f t="shared" si="10"/>
        <v>97</v>
      </c>
      <c r="D98" s="260"/>
      <c r="E98" s="37"/>
      <c r="F98" s="305" t="s">
        <v>9</v>
      </c>
      <c r="G98" s="188"/>
      <c r="H98" s="37"/>
      <c r="I98" s="37" t="s">
        <v>9</v>
      </c>
      <c r="J98" s="37"/>
      <c r="K98" s="249" t="s">
        <v>20</v>
      </c>
      <c r="L98" s="249" t="s">
        <v>29</v>
      </c>
      <c r="M98" s="214" t="s">
        <v>1750</v>
      </c>
      <c r="N98" s="249" t="s">
        <v>1751</v>
      </c>
      <c r="O98" s="311" t="s">
        <v>1752</v>
      </c>
      <c r="R98" s="37" t="s">
        <v>106</v>
      </c>
      <c r="S98" s="37"/>
      <c r="T98" s="37"/>
      <c r="W98" s="14" t="str">
        <f>IF(IFERROR(VLOOKUP($M98,'IMPORT GS-Tür OL FL 2S2 20'!$H$2:$H$847,1,0),"-")="-","","GS")</f>
        <v>GS</v>
      </c>
      <c r="X98" s="14" t="str">
        <f t="shared" si="9"/>
        <v/>
      </c>
      <c r="Y98" s="13" t="s">
        <v>1753</v>
      </c>
      <c r="Z98" s="58" t="str">
        <f>IF(OR($M98="",NOT($O98="{array}")),"",IFERROR(MATCH(PARAMETERS!$M98,DEFAULT!$B$5:$CI$5,0),""))</f>
        <v/>
      </c>
      <c r="AA98" s="55" t="str">
        <f t="shared" si="6"/>
        <v/>
      </c>
      <c r="AB98" s="62" t="str">
        <f>IF(AND(OR($A98="G",$A98="P"),NOT($O98="{array}")),IF(VLOOKUP($K98,base!$B$2:$D$20,3,0)="S",IF(OR($O98="",ISTEXT($O98)),"","STRING!"),IF(VLOOKUP($K98,base!$B$2:$D$20,3,0)="","",IF(ISTEXT($O98),"NUMERIC!",""))),"")</f>
        <v/>
      </c>
      <c r="AC98" s="16" t="str">
        <f>IF($AA98="","",IF($B98="I",VLOOKUP($AA98,#REF!,53,0),INDEX(VALUES!$B$1:$GP$1,1,$AA98)))</f>
        <v/>
      </c>
    </row>
    <row r="99" spans="1:29" hidden="1" outlineLevel="1">
      <c r="A99" s="21"/>
      <c r="B99" s="40" t="str">
        <f t="shared" si="8"/>
        <v/>
      </c>
      <c r="C99" s="41">
        <f t="shared" si="10"/>
        <v>98</v>
      </c>
      <c r="D99" s="260"/>
      <c r="E99" s="37"/>
      <c r="F99" s="305" t="s">
        <v>9</v>
      </c>
      <c r="G99" s="188" t="s">
        <v>9</v>
      </c>
      <c r="H99" s="37"/>
      <c r="I99" s="37" t="s">
        <v>9</v>
      </c>
      <c r="J99" s="37"/>
      <c r="K99" s="249" t="s">
        <v>46</v>
      </c>
      <c r="L99" s="249" t="s">
        <v>29</v>
      </c>
      <c r="M99" s="214" t="s">
        <v>1754</v>
      </c>
      <c r="N99" s="249" t="s">
        <v>1751</v>
      </c>
      <c r="O99" s="311">
        <v>1</v>
      </c>
      <c r="R99" s="37" t="s">
        <v>106</v>
      </c>
      <c r="S99" s="37"/>
      <c r="T99" s="37"/>
      <c r="W99" s="14" t="str">
        <f>IF(IFERROR(VLOOKUP($M99,'IMPORT GS-Tür OL FL 2S2 20'!$H$2:$H$847,1,0),"-")="-","","GS")</f>
        <v>GS</v>
      </c>
      <c r="X99" s="14" t="str">
        <f t="shared" si="9"/>
        <v/>
      </c>
      <c r="Y99" s="13" t="s">
        <v>1755</v>
      </c>
      <c r="Z99" s="58" t="str">
        <f>IF(OR($M99="",NOT($O99="{array}")),"",IFERROR(MATCH(PARAMETERS!$M99,DEFAULT!$B$5:$CI$5,0),""))</f>
        <v/>
      </c>
      <c r="AA99" s="55" t="str">
        <f t="shared" si="6"/>
        <v/>
      </c>
      <c r="AB99" s="62" t="str">
        <f>IF(AND(OR($A99="G",$A99="P"),NOT($O99="{array}")),IF(VLOOKUP($K99,base!$B$2:$D$20,3,0)="S",IF(OR($O99="",ISTEXT($O99)),"","STRING!"),IF(VLOOKUP($K99,base!$B$2:$D$20,3,0)="","",IF(ISTEXT($O99),"NUMERIC!",""))),"")</f>
        <v/>
      </c>
      <c r="AC99" s="16" t="str">
        <f>IF($AA99="","",IF($B99="I",VLOOKUP($AA99,#REF!,53,0),INDEX(VALUES!$B$1:$GP$1,1,$AA99)))</f>
        <v/>
      </c>
    </row>
    <row r="100" spans="1:29" hidden="1" outlineLevel="1">
      <c r="A100" s="21"/>
      <c r="B100" s="40" t="str">
        <f t="shared" si="8"/>
        <v/>
      </c>
      <c r="C100" s="41">
        <f t="shared" si="10"/>
        <v>99</v>
      </c>
      <c r="D100" s="260"/>
      <c r="E100" s="37"/>
      <c r="F100" s="305" t="s">
        <v>9</v>
      </c>
      <c r="G100" s="188"/>
      <c r="H100" s="37"/>
      <c r="I100" s="37" t="s">
        <v>9</v>
      </c>
      <c r="J100" s="37"/>
      <c r="K100" s="249" t="s">
        <v>49</v>
      </c>
      <c r="L100" s="249" t="s">
        <v>29</v>
      </c>
      <c r="M100" s="214" t="s">
        <v>1756</v>
      </c>
      <c r="N100" s="249" t="s">
        <v>1757</v>
      </c>
      <c r="O100" s="311">
        <v>1</v>
      </c>
      <c r="R100" s="37" t="s">
        <v>106</v>
      </c>
      <c r="S100" s="37"/>
      <c r="T100" s="37"/>
      <c r="W100" s="14" t="str">
        <f>IF(IFERROR(VLOOKUP($M100,'IMPORT GS-Tür OL FL 2S2 20'!$H$2:$H$847,1,0),"-")="-","","GS")</f>
        <v>GS</v>
      </c>
      <c r="X100" s="14" t="str">
        <f t="shared" si="9"/>
        <v/>
      </c>
      <c r="Z100" s="58" t="str">
        <f>IF(OR($M100="",NOT($O100="{array}")),"",IFERROR(MATCH(PARAMETERS!$M100,DEFAULT!$B$5:$CI$5,0),""))</f>
        <v/>
      </c>
      <c r="AA100" s="55" t="str">
        <f t="shared" si="6"/>
        <v/>
      </c>
      <c r="AB100" s="62" t="str">
        <f>IF(AND(OR($A100="G",$A100="P"),NOT($O100="{array}")),IF(VLOOKUP($K100,base!$B$2:$D$20,3,0)="S",IF(OR($O100="",ISTEXT($O100)),"","STRING!"),IF(VLOOKUP($K100,base!$B$2:$D$20,3,0)="","",IF(ISTEXT($O100),"NUMERIC!",""))),"")</f>
        <v/>
      </c>
      <c r="AC100" s="16" t="str">
        <f>IF($AA100="","",IF($B100="I",VLOOKUP($AA100,#REF!,53,0),INDEX(VALUES!$B$1:$GP$1,1,$AA100)))</f>
        <v/>
      </c>
    </row>
    <row r="101" spans="1:29" hidden="1" outlineLevel="1">
      <c r="A101" s="21"/>
      <c r="B101" s="40" t="str">
        <f t="shared" si="8"/>
        <v/>
      </c>
      <c r="C101" s="41">
        <f t="shared" si="10"/>
        <v>100</v>
      </c>
      <c r="D101" s="260"/>
      <c r="E101" s="37"/>
      <c r="F101" s="305" t="s">
        <v>9</v>
      </c>
      <c r="G101" s="188"/>
      <c r="H101" s="37"/>
      <c r="I101" s="37" t="s">
        <v>9</v>
      </c>
      <c r="J101" s="37"/>
      <c r="K101" s="249" t="s">
        <v>26</v>
      </c>
      <c r="L101" s="249" t="s">
        <v>29</v>
      </c>
      <c r="M101" s="214" t="s">
        <v>1758</v>
      </c>
      <c r="N101" s="249" t="s">
        <v>1759</v>
      </c>
      <c r="O101" s="311">
        <v>0</v>
      </c>
      <c r="Q101" s="37" t="s">
        <v>9</v>
      </c>
      <c r="R101" s="37" t="s">
        <v>106</v>
      </c>
      <c r="S101" s="37"/>
      <c r="T101" s="37"/>
      <c r="W101" s="14" t="str">
        <f>IF(IFERROR(VLOOKUP($M101,'IMPORT GS-Tür OL FL 2S2 20'!$H$2:$H$847,1,0),"-")="-","","GS")</f>
        <v>GS</v>
      </c>
      <c r="X101" s="14" t="str">
        <f t="shared" si="9"/>
        <v/>
      </c>
      <c r="Z101" s="58" t="str">
        <f>IF(OR($M101="",NOT($O101="{array}")),"",IFERROR(MATCH(PARAMETERS!$M101,DEFAULT!$B$5:$CI$5,0),""))</f>
        <v/>
      </c>
      <c r="AA101" s="55" t="str">
        <f t="shared" si="6"/>
        <v/>
      </c>
      <c r="AB101" s="62" t="str">
        <f>IF(AND(OR($A101="G",$A101="P"),NOT($O101="{array}")),IF(VLOOKUP($K101,base!$B$2:$D$20,3,0)="S",IF(OR($O101="",ISTEXT($O101)),"","STRING!"),IF(VLOOKUP($K101,base!$B$2:$D$20,3,0)="","",IF(ISTEXT($O101),"NUMERIC!",""))),"")</f>
        <v/>
      </c>
      <c r="AC101" s="16" t="str">
        <f>IF($AA101="","",IF($B101="I",VLOOKUP($AA101,#REF!,53,0),INDEX(VALUES!$B$1:$GP$1,1,$AA101)))</f>
        <v/>
      </c>
    </row>
    <row r="102" spans="1:29" hidden="1" outlineLevel="1">
      <c r="A102" s="21"/>
      <c r="B102" s="40" t="str">
        <f t="shared" si="8"/>
        <v/>
      </c>
      <c r="C102" s="41">
        <f t="shared" si="10"/>
        <v>101</v>
      </c>
      <c r="D102" s="260"/>
      <c r="E102" s="37"/>
      <c r="F102" s="305" t="s">
        <v>9</v>
      </c>
      <c r="G102" s="188"/>
      <c r="H102" s="37"/>
      <c r="I102" s="37" t="s">
        <v>9</v>
      </c>
      <c r="J102" s="37"/>
      <c r="K102" s="249" t="s">
        <v>49</v>
      </c>
      <c r="L102" s="249" t="s">
        <v>29</v>
      </c>
      <c r="M102" s="214" t="s">
        <v>1760</v>
      </c>
      <c r="N102" s="249" t="s">
        <v>1761</v>
      </c>
      <c r="O102" s="311">
        <v>1</v>
      </c>
      <c r="R102" s="37" t="s">
        <v>106</v>
      </c>
      <c r="S102" s="37"/>
      <c r="T102" s="37"/>
      <c r="W102" s="14" t="str">
        <f>IF(IFERROR(VLOOKUP($M102,'IMPORT GS-Tür OL FL 2S2 20'!$H$2:$H$847,1,0),"-")="-","","GS")</f>
        <v>GS</v>
      </c>
      <c r="X102" s="14" t="str">
        <f t="shared" si="9"/>
        <v/>
      </c>
      <c r="Z102" s="58" t="str">
        <f>IF(OR($M102="",NOT($O102="{array}")),"",IFERROR(MATCH(PARAMETERS!$M102,DEFAULT!$B$5:$CI$5,0),""))</f>
        <v/>
      </c>
      <c r="AA102" s="55" t="str">
        <f t="shared" si="6"/>
        <v/>
      </c>
      <c r="AB102" s="62" t="str">
        <f>IF(AND(OR($A102="G",$A102="P"),NOT($O102="{array}")),IF(VLOOKUP($K102,base!$B$2:$D$20,3,0)="S",IF(OR($O102="",ISTEXT($O102)),"","STRING!"),IF(VLOOKUP($K102,base!$B$2:$D$20,3,0)="","",IF(ISTEXT($O102),"NUMERIC!",""))),"")</f>
        <v/>
      </c>
      <c r="AC102" s="16" t="str">
        <f>IF($AA102="","",IF($B102="I",VLOOKUP($AA102,#REF!,53,0),INDEX(VALUES!$B$1:$GP$1,1,$AA102)))</f>
        <v/>
      </c>
    </row>
    <row r="103" spans="1:29" hidden="1" outlineLevel="1">
      <c r="A103" s="21"/>
      <c r="B103" s="40" t="str">
        <f t="shared" si="8"/>
        <v/>
      </c>
      <c r="C103" s="41">
        <f t="shared" si="10"/>
        <v>102</v>
      </c>
      <c r="D103" s="260"/>
      <c r="E103" s="37"/>
      <c r="F103" s="305" t="s">
        <v>9</v>
      </c>
      <c r="G103" s="188"/>
      <c r="H103" s="37"/>
      <c r="I103" s="37" t="s">
        <v>9</v>
      </c>
      <c r="J103" s="37"/>
      <c r="K103" s="249" t="s">
        <v>26</v>
      </c>
      <c r="L103" s="249" t="s">
        <v>29</v>
      </c>
      <c r="M103" s="214" t="s">
        <v>1762</v>
      </c>
      <c r="N103" s="249" t="s">
        <v>1763</v>
      </c>
      <c r="O103" s="311">
        <v>0</v>
      </c>
      <c r="Q103" s="37" t="s">
        <v>9</v>
      </c>
      <c r="R103" s="37" t="s">
        <v>106</v>
      </c>
      <c r="S103" s="37"/>
      <c r="T103" s="37"/>
      <c r="W103" s="14" t="str">
        <f>IF(IFERROR(VLOOKUP($M103,'IMPORT GS-Tür OL FL 2S2 20'!$H$2:$H$847,1,0),"-")="-","","GS")</f>
        <v>GS</v>
      </c>
      <c r="X103" s="14" t="str">
        <f t="shared" si="9"/>
        <v/>
      </c>
      <c r="Z103" s="58" t="str">
        <f>IF(OR($M103="",NOT($O103="{array}")),"",IFERROR(MATCH(PARAMETERS!$M103,DEFAULT!$B$5:$CI$5,0),""))</f>
        <v/>
      </c>
      <c r="AA103" s="55" t="str">
        <f t="shared" si="6"/>
        <v/>
      </c>
      <c r="AB103" s="62" t="str">
        <f>IF(AND(OR($A103="G",$A103="P"),NOT($O103="{array}")),IF(VLOOKUP($K103,base!$B$2:$D$20,3,0)="S",IF(OR($O103="",ISTEXT($O103)),"","STRING!"),IF(VLOOKUP($K103,base!$B$2:$D$20,3,0)="","",IF(ISTEXT($O103),"NUMERIC!",""))),"")</f>
        <v/>
      </c>
      <c r="AC103" s="16" t="str">
        <f>IF($AA103="","",IF($B103="I",VLOOKUP($AA103,#REF!,53,0),INDEX(VALUES!$B$1:$GP$1,1,$AA103)))</f>
        <v/>
      </c>
    </row>
    <row r="104" spans="1:29" hidden="1" outlineLevel="1">
      <c r="A104" s="21"/>
      <c r="B104" s="40" t="str">
        <f t="shared" si="8"/>
        <v/>
      </c>
      <c r="C104" s="41">
        <f t="shared" si="10"/>
        <v>103</v>
      </c>
      <c r="D104" s="260"/>
      <c r="E104" s="37"/>
      <c r="F104" s="305" t="s">
        <v>9</v>
      </c>
      <c r="G104" s="188"/>
      <c r="H104" s="37"/>
      <c r="I104" s="37" t="s">
        <v>9</v>
      </c>
      <c r="J104" s="37"/>
      <c r="K104" s="249" t="s">
        <v>26</v>
      </c>
      <c r="L104" s="249" t="s">
        <v>29</v>
      </c>
      <c r="M104" s="214" t="s">
        <v>1764</v>
      </c>
      <c r="N104" s="249" t="s">
        <v>1765</v>
      </c>
      <c r="O104" s="311">
        <v>0</v>
      </c>
      <c r="Q104" s="37" t="s">
        <v>9</v>
      </c>
      <c r="R104" s="37" t="s">
        <v>106</v>
      </c>
      <c r="S104" s="37"/>
      <c r="T104" s="37"/>
      <c r="W104" s="14" t="str">
        <f>IF(IFERROR(VLOOKUP($M104,'IMPORT GS-Tür OL FL 2S2 20'!$H$2:$H$847,1,0),"-")="-","","GS")</f>
        <v>GS</v>
      </c>
      <c r="X104" s="14" t="str">
        <f t="shared" si="9"/>
        <v/>
      </c>
      <c r="Z104" s="58" t="str">
        <f>IF(OR($M104="",NOT($O104="{array}")),"",IFERROR(MATCH(PARAMETERS!$M104,DEFAULT!$B$5:$CI$5,0),""))</f>
        <v/>
      </c>
      <c r="AA104" s="55" t="str">
        <f t="shared" si="6"/>
        <v/>
      </c>
      <c r="AB104" s="62" t="str">
        <f>IF(AND(OR($A104="G",$A104="P"),NOT($O104="{array}")),IF(VLOOKUP($K104,base!$B$2:$D$20,3,0)="S",IF(OR($O104="",ISTEXT($O104)),"","STRING!"),IF(VLOOKUP($K104,base!$B$2:$D$20,3,0)="","",IF(ISTEXT($O104),"NUMERIC!",""))),"")</f>
        <v/>
      </c>
      <c r="AC104" s="16" t="str">
        <f>IF($AA104="","",IF($B104="I",VLOOKUP($AA104,#REF!,53,0),INDEX(VALUES!$B$1:$GP$1,1,$AA104)))</f>
        <v/>
      </c>
    </row>
    <row r="105" spans="1:29" hidden="1" outlineLevel="1">
      <c r="A105" s="21"/>
      <c r="B105" s="40" t="str">
        <f t="shared" si="8"/>
        <v/>
      </c>
      <c r="C105" s="41">
        <f t="shared" si="10"/>
        <v>104</v>
      </c>
      <c r="D105" s="260"/>
      <c r="E105" s="37"/>
      <c r="F105" s="305" t="s">
        <v>9</v>
      </c>
      <c r="G105" s="188"/>
      <c r="H105" s="37"/>
      <c r="I105" s="37" t="s">
        <v>9</v>
      </c>
      <c r="J105" s="37"/>
      <c r="K105" s="249" t="s">
        <v>26</v>
      </c>
      <c r="L105" s="249" t="s">
        <v>29</v>
      </c>
      <c r="M105" s="214" t="s">
        <v>1766</v>
      </c>
      <c r="N105" s="249" t="s">
        <v>1767</v>
      </c>
      <c r="O105" s="311">
        <v>0.03</v>
      </c>
      <c r="Q105" s="37" t="s">
        <v>9</v>
      </c>
      <c r="R105" s="37" t="s">
        <v>106</v>
      </c>
      <c r="S105" s="37"/>
      <c r="T105" s="37"/>
      <c r="W105" s="14" t="str">
        <f>IF(IFERROR(VLOOKUP($M105,'IMPORT GS-Tür OL FL 2S2 20'!$H$2:$H$847,1,0),"-")="-","","GS")</f>
        <v>GS</v>
      </c>
      <c r="X105" s="14" t="str">
        <f t="shared" si="9"/>
        <v/>
      </c>
      <c r="Z105" s="58" t="str">
        <f>IF(OR($M105="",NOT($O105="{array}")),"",IFERROR(MATCH(PARAMETERS!$M105,DEFAULT!$B$5:$CI$5,0),""))</f>
        <v/>
      </c>
      <c r="AA105" s="55" t="str">
        <f t="shared" si="6"/>
        <v/>
      </c>
      <c r="AB105" s="62" t="str">
        <f>IF(AND(OR($A105="G",$A105="P"),NOT($O105="{array}")),IF(VLOOKUP($K105,base!$B$2:$D$20,3,0)="S",IF(OR($O105="",ISTEXT($O105)),"","STRING!"),IF(VLOOKUP($K105,base!$B$2:$D$20,3,0)="","",IF(ISTEXT($O105),"NUMERIC!",""))),"")</f>
        <v/>
      </c>
      <c r="AC105" s="16" t="str">
        <f>IF($AA105="","",IF($B105="I",VLOOKUP($AA105,#REF!,53,0),INDEX(VALUES!$B$1:$GP$1,1,$AA105)))</f>
        <v/>
      </c>
    </row>
    <row r="106" spans="1:29" hidden="1" outlineLevel="1">
      <c r="A106" s="21"/>
      <c r="B106" s="40" t="str">
        <f t="shared" si="8"/>
        <v/>
      </c>
      <c r="C106" s="41">
        <f t="shared" si="10"/>
        <v>105</v>
      </c>
      <c r="D106" s="260"/>
      <c r="E106" s="37"/>
      <c r="F106" s="305" t="s">
        <v>9</v>
      </c>
      <c r="G106" s="188"/>
      <c r="H106" s="37"/>
      <c r="I106" s="37" t="s">
        <v>9</v>
      </c>
      <c r="J106" s="37"/>
      <c r="K106" s="249" t="s">
        <v>33</v>
      </c>
      <c r="L106" s="249" t="s">
        <v>29</v>
      </c>
      <c r="M106" s="214" t="s">
        <v>1768</v>
      </c>
      <c r="N106" s="249" t="s">
        <v>1769</v>
      </c>
      <c r="O106" s="311">
        <v>75</v>
      </c>
      <c r="Q106" s="37" t="s">
        <v>9</v>
      </c>
      <c r="R106" s="37" t="s">
        <v>106</v>
      </c>
      <c r="S106" s="37"/>
      <c r="T106" s="37"/>
      <c r="W106" s="14" t="str">
        <f>IF(IFERROR(VLOOKUP($M106,'IMPORT GS-Tür OL FL 2S2 20'!$H$2:$H$847,1,0),"-")="-","","GS")</f>
        <v>GS</v>
      </c>
      <c r="X106" s="14" t="str">
        <f t="shared" si="9"/>
        <v/>
      </c>
      <c r="Z106" s="58" t="str">
        <f>IF(OR($M106="",NOT($O106="{array}")),"",IFERROR(MATCH(PARAMETERS!$M106,DEFAULT!$B$5:$CI$5,0),""))</f>
        <v/>
      </c>
      <c r="AA106" s="55" t="str">
        <f t="shared" si="6"/>
        <v/>
      </c>
      <c r="AB106" s="62" t="str">
        <f>IF(AND(OR($A106="G",$A106="P"),NOT($O106="{array}")),IF(VLOOKUP($K106,base!$B$2:$D$20,3,0)="S",IF(OR($O106="",ISTEXT($O106)),"","STRING!"),IF(VLOOKUP($K106,base!$B$2:$D$20,3,0)="","",IF(ISTEXT($O106),"NUMERIC!",""))),"")</f>
        <v/>
      </c>
      <c r="AC106" s="16" t="str">
        <f>IF($AA106="","",IF($B106="I",VLOOKUP($AA106,#REF!,53,0),INDEX(VALUES!$B$1:$GP$1,1,$AA106)))</f>
        <v/>
      </c>
    </row>
    <row r="107" spans="1:29" hidden="1" outlineLevel="1">
      <c r="A107" s="21"/>
      <c r="B107" s="40" t="str">
        <f t="shared" si="8"/>
        <v/>
      </c>
      <c r="C107" s="41">
        <f t="shared" si="10"/>
        <v>106</v>
      </c>
      <c r="D107" s="260"/>
      <c r="E107" s="37"/>
      <c r="F107" s="305" t="s">
        <v>9</v>
      </c>
      <c r="G107" s="188"/>
      <c r="H107" s="37"/>
      <c r="I107" s="37" t="s">
        <v>9</v>
      </c>
      <c r="J107" s="37"/>
      <c r="K107" s="249" t="s">
        <v>26</v>
      </c>
      <c r="L107" s="249" t="s">
        <v>29</v>
      </c>
      <c r="M107" s="214" t="s">
        <v>1770</v>
      </c>
      <c r="N107" s="249" t="s">
        <v>1771</v>
      </c>
      <c r="O107" s="311">
        <v>0</v>
      </c>
      <c r="Q107" s="37" t="s">
        <v>9</v>
      </c>
      <c r="R107" s="37" t="s">
        <v>106</v>
      </c>
      <c r="S107" s="37"/>
      <c r="T107" s="37"/>
      <c r="W107" s="14" t="str">
        <f>IF(IFERROR(VLOOKUP($M107,'IMPORT GS-Tür OL FL 2S2 20'!$H$2:$H$847,1,0),"-")="-","","GS")</f>
        <v>GS</v>
      </c>
      <c r="X107" s="14" t="str">
        <f t="shared" si="9"/>
        <v/>
      </c>
      <c r="Z107" s="58" t="str">
        <f>IF(OR($M107="",NOT($O107="{array}")),"",IFERROR(MATCH(PARAMETERS!$M107,DEFAULT!$B$5:$CI$5,0),""))</f>
        <v/>
      </c>
      <c r="AA107" s="55" t="str">
        <f t="shared" si="6"/>
        <v/>
      </c>
      <c r="AB107" s="62" t="str">
        <f>IF(AND(OR($A107="G",$A107="P"),NOT($O107="{array}")),IF(VLOOKUP($K107,base!$B$2:$D$20,3,0)="S",IF(OR($O107="",ISTEXT($O107)),"","STRING!"),IF(VLOOKUP($K107,base!$B$2:$D$20,3,0)="","",IF(ISTEXT($O107),"NUMERIC!",""))),"")</f>
        <v/>
      </c>
      <c r="AC107" s="16" t="str">
        <f>IF($AA107="","",IF($B107="I",VLOOKUP($AA107,#REF!,53,0),INDEX(VALUES!$B$1:$GP$1,1,$AA107)))</f>
        <v/>
      </c>
    </row>
    <row r="108" spans="1:29" hidden="1" outlineLevel="1">
      <c r="A108" s="21"/>
      <c r="B108" s="40" t="str">
        <f t="shared" si="8"/>
        <v/>
      </c>
      <c r="C108" s="41">
        <f t="shared" si="10"/>
        <v>107</v>
      </c>
      <c r="D108" s="260"/>
      <c r="E108" s="37"/>
      <c r="F108" s="305" t="s">
        <v>9</v>
      </c>
      <c r="G108" s="188"/>
      <c r="H108" s="37"/>
      <c r="I108" s="37" t="s">
        <v>9</v>
      </c>
      <c r="J108" s="37"/>
      <c r="K108" s="249" t="s">
        <v>26</v>
      </c>
      <c r="L108" s="249" t="s">
        <v>29</v>
      </c>
      <c r="M108" s="214" t="s">
        <v>1772</v>
      </c>
      <c r="N108" s="249" t="s">
        <v>1773</v>
      </c>
      <c r="O108" s="311">
        <v>0.24</v>
      </c>
      <c r="Q108" s="37" t="s">
        <v>9</v>
      </c>
      <c r="R108" s="37" t="s">
        <v>106</v>
      </c>
      <c r="S108" s="37"/>
      <c r="T108" s="37"/>
      <c r="W108" s="14" t="str">
        <f>IF(IFERROR(VLOOKUP($M108,'IMPORT GS-Tür OL FL 2S2 20'!$H$2:$H$847,1,0),"-")="-","","GS")</f>
        <v>GS</v>
      </c>
      <c r="X108" s="14" t="str">
        <f t="shared" si="9"/>
        <v/>
      </c>
      <c r="Z108" s="58" t="str">
        <f>IF(OR($M108="",NOT($O108="{array}")),"",IFERROR(MATCH(PARAMETERS!$M108,DEFAULT!$B$5:$CI$5,0),""))</f>
        <v/>
      </c>
      <c r="AA108" s="55" t="str">
        <f t="shared" si="6"/>
        <v/>
      </c>
      <c r="AB108" s="62" t="str">
        <f>IF(AND(OR($A108="G",$A108="P"),NOT($O108="{array}")),IF(VLOOKUP($K108,base!$B$2:$D$20,3,0)="S",IF(OR($O108="",ISTEXT($O108)),"","STRING!"),IF(VLOOKUP($K108,base!$B$2:$D$20,3,0)="","",IF(ISTEXT($O108),"NUMERIC!",""))),"")</f>
        <v/>
      </c>
      <c r="AC108" s="16" t="str">
        <f>IF($AA108="","",IF($B108="I",VLOOKUP($AA108,#REF!,53,0),INDEX(VALUES!$B$1:$GP$1,1,$AA108)))</f>
        <v/>
      </c>
    </row>
    <row r="109" spans="1:29" hidden="1" outlineLevel="1">
      <c r="A109" s="21"/>
      <c r="B109" s="40" t="str">
        <f t="shared" si="8"/>
        <v/>
      </c>
      <c r="C109" s="41">
        <f t="shared" si="10"/>
        <v>108</v>
      </c>
      <c r="D109" s="260"/>
      <c r="E109" s="37"/>
      <c r="F109" s="305" t="s">
        <v>9</v>
      </c>
      <c r="G109" s="188"/>
      <c r="H109" s="37"/>
      <c r="I109" s="37" t="s">
        <v>9</v>
      </c>
      <c r="J109" s="37"/>
      <c r="K109" s="249" t="s">
        <v>26</v>
      </c>
      <c r="L109" s="249" t="s">
        <v>29</v>
      </c>
      <c r="M109" s="214" t="s">
        <v>1774</v>
      </c>
      <c r="N109" s="249" t="s">
        <v>1775</v>
      </c>
      <c r="O109" s="311">
        <v>0.115</v>
      </c>
      <c r="Q109" s="37" t="s">
        <v>9</v>
      </c>
      <c r="R109" s="37" t="s">
        <v>106</v>
      </c>
      <c r="S109" s="37"/>
      <c r="T109" s="37"/>
      <c r="W109" s="14" t="str">
        <f>IF(IFERROR(VLOOKUP($M109,'IMPORT GS-Tür OL FL 2S2 20'!$H$2:$H$847,1,0),"-")="-","","GS")</f>
        <v>GS</v>
      </c>
      <c r="X109" s="14" t="str">
        <f t="shared" si="9"/>
        <v/>
      </c>
      <c r="Z109" s="58" t="str">
        <f>IF(OR($M109="",NOT($O109="{array}")),"",IFERROR(MATCH(PARAMETERS!$M109,DEFAULT!$B$5:$CI$5,0),""))</f>
        <v/>
      </c>
      <c r="AA109" s="55" t="str">
        <f t="shared" si="6"/>
        <v/>
      </c>
      <c r="AB109" s="62" t="str">
        <f>IF(AND(OR($A109="G",$A109="P"),NOT($O109="{array}")),IF(VLOOKUP($K109,base!$B$2:$D$20,3,0)="S",IF(OR($O109="",ISTEXT($O109)),"","STRING!"),IF(VLOOKUP($K109,base!$B$2:$D$20,3,0)="","",IF(ISTEXT($O109),"NUMERIC!",""))),"")</f>
        <v/>
      </c>
      <c r="AC109" s="16" t="str">
        <f>IF($AA109="","",IF($B109="I",VLOOKUP($AA109,#REF!,53,0),INDEX(VALUES!$B$1:$GP$1,1,$AA109)))</f>
        <v/>
      </c>
    </row>
    <row r="110" spans="1:29" hidden="1" outlineLevel="1">
      <c r="A110" s="21"/>
      <c r="B110" s="40" t="str">
        <f t="shared" si="8"/>
        <v/>
      </c>
      <c r="C110" s="41">
        <f t="shared" si="10"/>
        <v>109</v>
      </c>
      <c r="D110" s="260"/>
      <c r="E110" s="37"/>
      <c r="F110" s="305" t="s">
        <v>9</v>
      </c>
      <c r="G110" s="188"/>
      <c r="H110" s="37"/>
      <c r="I110" s="37" t="s">
        <v>9</v>
      </c>
      <c r="J110" s="37"/>
      <c r="K110" s="249" t="s">
        <v>26</v>
      </c>
      <c r="L110" s="249" t="s">
        <v>29</v>
      </c>
      <c r="M110" s="214" t="s">
        <v>1776</v>
      </c>
      <c r="N110" s="249" t="s">
        <v>1777</v>
      </c>
      <c r="O110" s="311">
        <v>0</v>
      </c>
      <c r="Q110" s="37" t="s">
        <v>9</v>
      </c>
      <c r="R110" s="37" t="s">
        <v>106</v>
      </c>
      <c r="S110" s="37"/>
      <c r="T110" s="37"/>
      <c r="W110" s="14" t="str">
        <f>IF(IFERROR(VLOOKUP($M110,'IMPORT GS-Tür OL FL 2S2 20'!$H$2:$H$847,1,0),"-")="-","","GS")</f>
        <v>GS</v>
      </c>
      <c r="X110" s="14" t="str">
        <f t="shared" si="9"/>
        <v/>
      </c>
      <c r="Z110" s="58" t="str">
        <f>IF(OR($M110="",NOT($O110="{array}")),"",IFERROR(MATCH(PARAMETERS!$M110,DEFAULT!$B$5:$CI$5,0),""))</f>
        <v/>
      </c>
      <c r="AA110" s="55" t="str">
        <f t="shared" si="6"/>
        <v/>
      </c>
      <c r="AB110" s="62" t="str">
        <f>IF(AND(OR($A110="G",$A110="P"),NOT($O110="{array}")),IF(VLOOKUP($K110,base!$B$2:$D$20,3,0)="S",IF(OR($O110="",ISTEXT($O110)),"","STRING!"),IF(VLOOKUP($K110,base!$B$2:$D$20,3,0)="","",IF(ISTEXT($O110),"NUMERIC!",""))),"")</f>
        <v/>
      </c>
      <c r="AC110" s="16" t="str">
        <f>IF($AA110="","",IF($B110="I",VLOOKUP($AA110,#REF!,53,0),INDEX(VALUES!$B$1:$GP$1,1,$AA110)))</f>
        <v/>
      </c>
    </row>
    <row r="111" spans="1:29" hidden="1" outlineLevel="1">
      <c r="A111" s="21"/>
      <c r="B111" s="40" t="str">
        <f t="shared" si="8"/>
        <v/>
      </c>
      <c r="C111" s="41">
        <f t="shared" si="10"/>
        <v>110</v>
      </c>
      <c r="D111" s="260"/>
      <c r="E111" s="37"/>
      <c r="F111" s="305" t="s">
        <v>9</v>
      </c>
      <c r="G111" s="188"/>
      <c r="H111" s="37"/>
      <c r="I111" s="37" t="s">
        <v>9</v>
      </c>
      <c r="J111" s="37"/>
      <c r="K111" s="249" t="s">
        <v>26</v>
      </c>
      <c r="L111" s="249" t="s">
        <v>29</v>
      </c>
      <c r="M111" s="214" t="s">
        <v>1778</v>
      </c>
      <c r="N111" s="249" t="s">
        <v>708</v>
      </c>
      <c r="O111" s="311">
        <v>5.1999999999999998E-2</v>
      </c>
      <c r="Q111" s="37" t="s">
        <v>9</v>
      </c>
      <c r="R111" s="37" t="s">
        <v>106</v>
      </c>
      <c r="S111" s="37"/>
      <c r="T111" s="37"/>
      <c r="W111" s="14" t="str">
        <f>IF(IFERROR(VLOOKUP($M111,'IMPORT GS-Tür OL FL 2S2 20'!$H$2:$H$847,1,0),"-")="-","","GS")</f>
        <v>GS</v>
      </c>
      <c r="X111" s="14" t="str">
        <f t="shared" si="9"/>
        <v/>
      </c>
      <c r="Z111" s="58" t="str">
        <f>IF(OR($M111="",NOT($O111="{array}")),"",IFERROR(MATCH(PARAMETERS!$M111,DEFAULT!$B$5:$CI$5,0),""))</f>
        <v/>
      </c>
      <c r="AA111" s="55" t="str">
        <f t="shared" si="6"/>
        <v/>
      </c>
      <c r="AB111" s="62" t="str">
        <f>IF(AND(OR($A111="G",$A111="P"),NOT($O111="{array}")),IF(VLOOKUP($K111,base!$B$2:$D$20,3,0)="S",IF(OR($O111="",ISTEXT($O111)),"","STRING!"),IF(VLOOKUP($K111,base!$B$2:$D$20,3,0)="","",IF(ISTEXT($O111),"NUMERIC!",""))),"")</f>
        <v/>
      </c>
      <c r="AC111" s="16" t="str">
        <f>IF($AA111="","",IF($B111="I",VLOOKUP($AA111,#REF!,53,0),INDEX(VALUES!$B$1:$GP$1,1,$AA111)))</f>
        <v/>
      </c>
    </row>
    <row r="112" spans="1:29" hidden="1" outlineLevel="1">
      <c r="A112" s="21"/>
      <c r="B112" s="40" t="str">
        <f t="shared" si="8"/>
        <v/>
      </c>
      <c r="C112" s="41">
        <f t="shared" si="10"/>
        <v>111</v>
      </c>
      <c r="D112" s="260"/>
      <c r="E112" s="37"/>
      <c r="F112" s="305" t="s">
        <v>9</v>
      </c>
      <c r="G112" s="188"/>
      <c r="H112" s="37"/>
      <c r="I112" s="37" t="s">
        <v>9</v>
      </c>
      <c r="J112" s="37"/>
      <c r="K112" s="249" t="s">
        <v>26</v>
      </c>
      <c r="L112" s="249" t="s">
        <v>29</v>
      </c>
      <c r="M112" s="214" t="s">
        <v>1779</v>
      </c>
      <c r="N112" s="249" t="s">
        <v>536</v>
      </c>
      <c r="O112" s="311">
        <v>0.01</v>
      </c>
      <c r="Q112" s="37" t="s">
        <v>9</v>
      </c>
      <c r="R112" s="37" t="s">
        <v>106</v>
      </c>
      <c r="S112" s="37"/>
      <c r="T112" s="37"/>
      <c r="W112" s="14" t="str">
        <f>IF(IFERROR(VLOOKUP($M112,'IMPORT GS-Tür OL FL 2S2 20'!$H$2:$H$847,1,0),"-")="-","","GS")</f>
        <v>GS</v>
      </c>
      <c r="X112" s="14" t="str">
        <f t="shared" si="9"/>
        <v/>
      </c>
      <c r="Z112" s="58" t="str">
        <f>IF(OR($M112="",NOT($O112="{array}")),"",IFERROR(MATCH(PARAMETERS!$M112,DEFAULT!$B$5:$CI$5,0),""))</f>
        <v/>
      </c>
      <c r="AA112" s="55" t="str">
        <f t="shared" si="6"/>
        <v/>
      </c>
      <c r="AB112" s="62" t="str">
        <f>IF(AND(OR($A112="G",$A112="P"),NOT($O112="{array}")),IF(VLOOKUP($K112,base!$B$2:$D$20,3,0)="S",IF(OR($O112="",ISTEXT($O112)),"","STRING!"),IF(VLOOKUP($K112,base!$B$2:$D$20,3,0)="","",IF(ISTEXT($O112),"NUMERIC!",""))),"")</f>
        <v/>
      </c>
      <c r="AC112" s="16" t="str">
        <f>IF($AA112="","",IF($B112="I",VLOOKUP($AA112,#REF!,53,0),INDEX(VALUES!$B$1:$GP$1,1,$AA112)))</f>
        <v/>
      </c>
    </row>
    <row r="113" spans="1:29" hidden="1" outlineLevel="1">
      <c r="A113" s="21"/>
      <c r="B113" s="40" t="str">
        <f t="shared" si="8"/>
        <v/>
      </c>
      <c r="C113" s="41">
        <f t="shared" si="10"/>
        <v>112</v>
      </c>
      <c r="D113" s="260"/>
      <c r="E113" s="37"/>
      <c r="F113" s="305" t="s">
        <v>9</v>
      </c>
      <c r="G113" s="188"/>
      <c r="H113" s="37"/>
      <c r="I113" s="37" t="s">
        <v>9</v>
      </c>
      <c r="J113" s="37"/>
      <c r="K113" s="249" t="s">
        <v>26</v>
      </c>
      <c r="L113" s="249" t="s">
        <v>29</v>
      </c>
      <c r="M113" s="214" t="s">
        <v>1780</v>
      </c>
      <c r="N113" s="249" t="s">
        <v>1781</v>
      </c>
      <c r="O113" s="311">
        <v>0.1</v>
      </c>
      <c r="Q113" s="37" t="s">
        <v>9</v>
      </c>
      <c r="R113" s="37" t="s">
        <v>106</v>
      </c>
      <c r="S113" s="37"/>
      <c r="T113" s="37"/>
      <c r="W113" s="14" t="str">
        <f>IF(IFERROR(VLOOKUP($M113,'IMPORT GS-Tür OL FL 2S2 20'!$H$2:$H$847,1,0),"-")="-","","GS")</f>
        <v>GS</v>
      </c>
      <c r="X113" s="14" t="str">
        <f t="shared" si="9"/>
        <v/>
      </c>
      <c r="Z113" s="58" t="str">
        <f>IF(OR($M113="",NOT($O113="{array}")),"",IFERROR(MATCH(PARAMETERS!$M113,DEFAULT!$B$5:$CI$5,0),""))</f>
        <v/>
      </c>
      <c r="AA113" s="55" t="str">
        <f t="shared" si="6"/>
        <v/>
      </c>
      <c r="AB113" s="62" t="str">
        <f>IF(AND(OR($A113="G",$A113="P"),NOT($O113="{array}")),IF(VLOOKUP($K113,base!$B$2:$D$20,3,0)="S",IF(OR($O113="",ISTEXT($O113)),"","STRING!"),IF(VLOOKUP($K113,base!$B$2:$D$20,3,0)="","",IF(ISTEXT($O113),"NUMERIC!",""))),"")</f>
        <v/>
      </c>
      <c r="AC113" s="16" t="str">
        <f>IF($AA113="","",IF($B113="I",VLOOKUP($AA113,#REF!,53,0),INDEX(VALUES!$B$1:$GP$1,1,$AA113)))</f>
        <v/>
      </c>
    </row>
    <row r="114" spans="1:29" hidden="1" outlineLevel="1">
      <c r="A114" s="21"/>
      <c r="B114" s="40" t="str">
        <f t="shared" si="8"/>
        <v/>
      </c>
      <c r="C114" s="41">
        <f t="shared" si="10"/>
        <v>113</v>
      </c>
      <c r="D114" s="260"/>
      <c r="E114" s="37"/>
      <c r="F114" s="305" t="s">
        <v>9</v>
      </c>
      <c r="G114" s="188"/>
      <c r="H114" s="37"/>
      <c r="I114" s="37" t="s">
        <v>9</v>
      </c>
      <c r="J114" s="37"/>
      <c r="K114" s="249" t="s">
        <v>26</v>
      </c>
      <c r="L114" s="249" t="s">
        <v>29</v>
      </c>
      <c r="M114" s="214" t="s">
        <v>1782</v>
      </c>
      <c r="N114" s="249" t="s">
        <v>1783</v>
      </c>
      <c r="O114" s="311">
        <v>0</v>
      </c>
      <c r="Q114" s="37" t="s">
        <v>9</v>
      </c>
      <c r="R114" s="37" t="s">
        <v>106</v>
      </c>
      <c r="S114" s="37"/>
      <c r="T114" s="37"/>
      <c r="W114" s="14" t="str">
        <f>IF(IFERROR(VLOOKUP($M114,'IMPORT GS-Tür OL FL 2S2 20'!$H$2:$H$847,1,0),"-")="-","","GS")</f>
        <v>GS</v>
      </c>
      <c r="X114" s="14" t="str">
        <f t="shared" si="9"/>
        <v/>
      </c>
      <c r="Z114" s="58" t="str">
        <f>IF(OR($M114="",NOT($O114="{array}")),"",IFERROR(MATCH(PARAMETERS!$M114,DEFAULT!$B$5:$CI$5,0),""))</f>
        <v/>
      </c>
      <c r="AA114" s="55" t="str">
        <f t="shared" si="6"/>
        <v/>
      </c>
      <c r="AB114" s="62" t="str">
        <f>IF(AND(OR($A114="G",$A114="P"),NOT($O114="{array}")),IF(VLOOKUP($K114,base!$B$2:$D$20,3,0)="S",IF(OR($O114="",ISTEXT($O114)),"","STRING!"),IF(VLOOKUP($K114,base!$B$2:$D$20,3,0)="","",IF(ISTEXT($O114),"NUMERIC!",""))),"")</f>
        <v/>
      </c>
      <c r="AC114" s="16" t="str">
        <f>IF($AA114="","",IF($B114="I",VLOOKUP($AA114,#REF!,53,0),INDEX(VALUES!$B$1:$GP$1,1,$AA114)))</f>
        <v/>
      </c>
    </row>
    <row r="115" spans="1:29" hidden="1" outlineLevel="1">
      <c r="A115" s="21"/>
      <c r="B115" s="40" t="str">
        <f t="shared" si="8"/>
        <v/>
      </c>
      <c r="C115" s="41">
        <f t="shared" si="10"/>
        <v>114</v>
      </c>
      <c r="D115" s="260"/>
      <c r="E115" s="37"/>
      <c r="F115" s="305" t="s">
        <v>9</v>
      </c>
      <c r="G115" s="188"/>
      <c r="H115" s="37"/>
      <c r="I115" s="37" t="s">
        <v>9</v>
      </c>
      <c r="J115" s="37"/>
      <c r="K115" s="249" t="s">
        <v>26</v>
      </c>
      <c r="L115" s="249" t="s">
        <v>29</v>
      </c>
      <c r="M115" s="214" t="s">
        <v>1784</v>
      </c>
      <c r="N115" s="249" t="s">
        <v>1785</v>
      </c>
      <c r="O115" s="311">
        <v>0.01</v>
      </c>
      <c r="Q115" s="37" t="s">
        <v>9</v>
      </c>
      <c r="R115" s="37" t="s">
        <v>106</v>
      </c>
      <c r="S115" s="37"/>
      <c r="T115" s="37"/>
      <c r="W115" s="14" t="str">
        <f>IF(IFERROR(VLOOKUP($M115,'IMPORT GS-Tür OL FL 2S2 20'!$H$2:$H$847,1,0),"-")="-","","GS")</f>
        <v>GS</v>
      </c>
      <c r="X115" s="14" t="str">
        <f t="shared" si="9"/>
        <v/>
      </c>
      <c r="Z115" s="58" t="str">
        <f>IF(OR($M115="",NOT($O115="{array}")),"",IFERROR(MATCH(PARAMETERS!$M115,DEFAULT!$B$5:$CI$5,0),""))</f>
        <v/>
      </c>
      <c r="AA115" s="55" t="str">
        <f t="shared" si="6"/>
        <v/>
      </c>
      <c r="AB115" s="62" t="str">
        <f>IF(AND(OR($A115="G",$A115="P"),NOT($O115="{array}")),IF(VLOOKUP($K115,base!$B$2:$D$20,3,0)="S",IF(OR($O115="",ISTEXT($O115)),"","STRING!"),IF(VLOOKUP($K115,base!$B$2:$D$20,3,0)="","",IF(ISTEXT($O115),"NUMERIC!",""))),"")</f>
        <v/>
      </c>
      <c r="AC115" s="16" t="str">
        <f>IF($AA115="","",IF($B115="I",VLOOKUP($AA115,#REF!,53,0),INDEX(VALUES!$B$1:$GP$1,1,$AA115)))</f>
        <v/>
      </c>
    </row>
    <row r="116" spans="1:29" hidden="1" outlineLevel="1">
      <c r="A116" s="21"/>
      <c r="B116" s="40" t="str">
        <f t="shared" si="8"/>
        <v/>
      </c>
      <c r="C116" s="41">
        <f t="shared" si="10"/>
        <v>115</v>
      </c>
      <c r="D116" s="260"/>
      <c r="E116" s="37"/>
      <c r="F116" s="305" t="s">
        <v>9</v>
      </c>
      <c r="G116" s="188"/>
      <c r="H116" s="37"/>
      <c r="I116" s="37" t="s">
        <v>9</v>
      </c>
      <c r="J116" s="37"/>
      <c r="K116" s="249" t="s">
        <v>49</v>
      </c>
      <c r="L116" s="249" t="s">
        <v>29</v>
      </c>
      <c r="M116" s="214" t="s">
        <v>1786</v>
      </c>
      <c r="N116" s="249" t="s">
        <v>1787</v>
      </c>
      <c r="O116" s="311">
        <v>0</v>
      </c>
      <c r="R116" s="37" t="s">
        <v>106</v>
      </c>
      <c r="S116" s="37"/>
      <c r="T116" s="37"/>
      <c r="W116" s="14" t="str">
        <f>IF(IFERROR(VLOOKUP($M116,'IMPORT GS-Tür OL FL 2S2 20'!$H$2:$H$847,1,0),"-")="-","","GS")</f>
        <v>GS</v>
      </c>
      <c r="X116" s="14" t="str">
        <f t="shared" si="9"/>
        <v/>
      </c>
      <c r="Z116" s="58" t="str">
        <f>IF(OR($M116="",NOT($O116="{array}")),"",IFERROR(MATCH(PARAMETERS!$M116,DEFAULT!$B$5:$CI$5,0),""))</f>
        <v/>
      </c>
      <c r="AA116" s="55" t="str">
        <f t="shared" si="6"/>
        <v/>
      </c>
      <c r="AB116" s="62" t="str">
        <f>IF(AND(OR($A116="G",$A116="P"),NOT($O116="{array}")),IF(VLOOKUP($K116,base!$B$2:$D$20,3,0)="S",IF(OR($O116="",ISTEXT($O116)),"","STRING!"),IF(VLOOKUP($K116,base!$B$2:$D$20,3,0)="","",IF(ISTEXT($O116),"NUMERIC!",""))),"")</f>
        <v/>
      </c>
      <c r="AC116" s="16" t="str">
        <f>IF($AA116="","",IF($B116="I",VLOOKUP($AA116,#REF!,53,0),INDEX(VALUES!$B$1:$GP$1,1,$AA116)))</f>
        <v/>
      </c>
    </row>
    <row r="117" spans="1:29" hidden="1" outlineLevel="1">
      <c r="A117" s="21"/>
      <c r="B117" s="40" t="str">
        <f t="shared" si="8"/>
        <v/>
      </c>
      <c r="C117" s="41">
        <f t="shared" si="10"/>
        <v>116</v>
      </c>
      <c r="D117" s="260"/>
      <c r="E117" s="37"/>
      <c r="F117" s="305" t="s">
        <v>9</v>
      </c>
      <c r="G117" s="188"/>
      <c r="H117" s="37"/>
      <c r="I117" s="37" t="s">
        <v>9</v>
      </c>
      <c r="J117" s="37"/>
      <c r="K117" s="249" t="s">
        <v>54</v>
      </c>
      <c r="L117" s="249" t="s">
        <v>29</v>
      </c>
      <c r="M117" s="214" t="s">
        <v>1788</v>
      </c>
      <c r="N117" s="249" t="s">
        <v>1789</v>
      </c>
      <c r="O117" s="311">
        <v>7</v>
      </c>
      <c r="R117" s="37" t="s">
        <v>106</v>
      </c>
      <c r="S117" s="37"/>
      <c r="T117" s="37"/>
      <c r="W117" s="14" t="str">
        <f>IF(IFERROR(VLOOKUP($M117,'IMPORT GS-Tür OL FL 2S2 20'!$H$2:$H$847,1,0),"-")="-","","GS")</f>
        <v>GS</v>
      </c>
      <c r="X117" s="14" t="str">
        <f t="shared" si="9"/>
        <v/>
      </c>
      <c r="Z117" s="58" t="str">
        <f>IF(OR($M117="",NOT($O117="{array}")),"",IFERROR(MATCH(PARAMETERS!$M117,DEFAULT!$B$5:$CI$5,0),""))</f>
        <v/>
      </c>
      <c r="AA117" s="55" t="str">
        <f t="shared" si="6"/>
        <v/>
      </c>
      <c r="AB117" s="62" t="str">
        <f>IF(AND(OR($A117="G",$A117="P"),NOT($O117="{array}")),IF(VLOOKUP($K117,base!$B$2:$D$20,3,0)="S",IF(OR($O117="",ISTEXT($O117)),"","STRING!"),IF(VLOOKUP($K117,base!$B$2:$D$20,3,0)="","",IF(ISTEXT($O117),"NUMERIC!",""))),"")</f>
        <v/>
      </c>
      <c r="AC117" s="16" t="str">
        <f>IF($AA117="","",IF($B117="I",VLOOKUP($AA117,#REF!,53,0),INDEX(VALUES!$B$1:$GP$1,1,$AA117)))</f>
        <v/>
      </c>
    </row>
    <row r="118" spans="1:29" hidden="1" outlineLevel="1">
      <c r="A118" s="21"/>
      <c r="B118" s="40" t="str">
        <f t="shared" si="8"/>
        <v/>
      </c>
      <c r="C118" s="41">
        <f t="shared" si="10"/>
        <v>117</v>
      </c>
      <c r="D118" s="260"/>
      <c r="E118" s="37"/>
      <c r="F118" s="305" t="s">
        <v>9</v>
      </c>
      <c r="G118" s="188"/>
      <c r="H118" s="37"/>
      <c r="I118" s="37" t="s">
        <v>9</v>
      </c>
      <c r="J118" s="37"/>
      <c r="K118" s="249" t="s">
        <v>55</v>
      </c>
      <c r="L118" s="249" t="s">
        <v>29</v>
      </c>
      <c r="M118" s="214" t="s">
        <v>1790</v>
      </c>
      <c r="N118" s="249" t="s">
        <v>1791</v>
      </c>
      <c r="O118" s="311">
        <v>3</v>
      </c>
      <c r="R118" s="37" t="s">
        <v>106</v>
      </c>
      <c r="S118" s="37"/>
      <c r="T118" s="37"/>
      <c r="W118" s="14" t="str">
        <f>IF(IFERROR(VLOOKUP($M118,'IMPORT GS-Tür OL FL 2S2 20'!$H$2:$H$847,1,0),"-")="-","","GS")</f>
        <v>GS</v>
      </c>
      <c r="X118" s="14" t="str">
        <f t="shared" si="9"/>
        <v/>
      </c>
      <c r="Z118" s="58" t="str">
        <f>IF(OR($M118="",NOT($O118="{array}")),"",IFERROR(MATCH(PARAMETERS!$M118,DEFAULT!$B$5:$CI$5,0),""))</f>
        <v/>
      </c>
      <c r="AA118" s="55" t="str">
        <f t="shared" si="6"/>
        <v/>
      </c>
      <c r="AB118" s="62" t="str">
        <f>IF(AND(OR($A118="G",$A118="P"),NOT($O118="{array}")),IF(VLOOKUP($K118,base!$B$2:$D$20,3,0)="S",IF(OR($O118="",ISTEXT($O118)),"","STRING!"),IF(VLOOKUP($K118,base!$B$2:$D$20,3,0)="","",IF(ISTEXT($O118),"NUMERIC!",""))),"")</f>
        <v/>
      </c>
      <c r="AC118" s="16" t="str">
        <f>IF($AA118="","",IF($B118="I",VLOOKUP($AA118,#REF!,53,0),INDEX(VALUES!$B$1:$GP$1,1,$AA118)))</f>
        <v/>
      </c>
    </row>
    <row r="119" spans="1:29" hidden="1" outlineLevel="1">
      <c r="A119" s="21"/>
      <c r="B119" s="40" t="str">
        <f t="shared" si="8"/>
        <v/>
      </c>
      <c r="C119" s="41">
        <f t="shared" si="10"/>
        <v>118</v>
      </c>
      <c r="D119" s="260"/>
      <c r="E119" s="37"/>
      <c r="F119" s="305" t="s">
        <v>9</v>
      </c>
      <c r="G119" s="188"/>
      <c r="H119" s="37"/>
      <c r="I119" s="37" t="s">
        <v>9</v>
      </c>
      <c r="J119" s="37"/>
      <c r="K119" s="249" t="s">
        <v>55</v>
      </c>
      <c r="L119" s="249" t="s">
        <v>29</v>
      </c>
      <c r="M119" s="214" t="s">
        <v>1792</v>
      </c>
      <c r="N119" s="249" t="s">
        <v>1793</v>
      </c>
      <c r="O119" s="311">
        <v>91</v>
      </c>
      <c r="R119" s="37" t="s">
        <v>106</v>
      </c>
      <c r="S119" s="37"/>
      <c r="T119" s="37"/>
      <c r="W119" s="14" t="str">
        <f>IF(IFERROR(VLOOKUP($M119,'IMPORT GS-Tür OL FL 2S2 20'!$H$2:$H$847,1,0),"-")="-","","GS")</f>
        <v>GS</v>
      </c>
      <c r="X119" s="14" t="str">
        <f t="shared" si="9"/>
        <v/>
      </c>
      <c r="Z119" s="58" t="str">
        <f>IF(OR($M119="",NOT($O119="{array}")),"",IFERROR(MATCH(PARAMETERS!$M119,DEFAULT!$B$5:$CI$5,0),""))</f>
        <v/>
      </c>
      <c r="AA119" s="55" t="str">
        <f t="shared" si="6"/>
        <v/>
      </c>
      <c r="AB119" s="62" t="str">
        <f>IF(AND(OR($A119="G",$A119="P"),NOT($O119="{array}")),IF(VLOOKUP($K119,base!$B$2:$D$20,3,0)="S",IF(OR($O119="",ISTEXT($O119)),"","STRING!"),IF(VLOOKUP($K119,base!$B$2:$D$20,3,0)="","",IF(ISTEXT($O119),"NUMERIC!",""))),"")</f>
        <v/>
      </c>
      <c r="AC119" s="16" t="str">
        <f>IF($AA119="","",IF($B119="I",VLOOKUP($AA119,#REF!,53,0),INDEX(VALUES!$B$1:$GP$1,1,$AA119)))</f>
        <v/>
      </c>
    </row>
    <row r="120" spans="1:29" hidden="1" outlineLevel="1">
      <c r="A120" s="21"/>
      <c r="B120" s="40" t="str">
        <f t="shared" si="8"/>
        <v/>
      </c>
      <c r="C120" s="41">
        <f t="shared" si="10"/>
        <v>119</v>
      </c>
      <c r="D120" s="260"/>
      <c r="E120" s="37"/>
      <c r="F120" s="305" t="s">
        <v>9</v>
      </c>
      <c r="G120" s="188"/>
      <c r="H120" s="37"/>
      <c r="I120" s="37" t="s">
        <v>9</v>
      </c>
      <c r="J120" s="37"/>
      <c r="K120" s="249" t="s">
        <v>55</v>
      </c>
      <c r="L120" s="249" t="s">
        <v>29</v>
      </c>
      <c r="M120" s="214" t="s">
        <v>1794</v>
      </c>
      <c r="N120" s="249" t="s">
        <v>1795</v>
      </c>
      <c r="O120" s="311">
        <v>10</v>
      </c>
      <c r="R120" s="37" t="s">
        <v>106</v>
      </c>
      <c r="S120" s="37"/>
      <c r="T120" s="37"/>
      <c r="W120" s="14" t="str">
        <f>IF(IFERROR(VLOOKUP($M120,'IMPORT GS-Tür OL FL 2S2 20'!$H$2:$H$847,1,0),"-")="-","","GS")</f>
        <v>GS</v>
      </c>
      <c r="X120" s="14" t="str">
        <f t="shared" si="9"/>
        <v/>
      </c>
      <c r="Z120" s="58" t="str">
        <f>IF(OR($M120="",NOT($O120="{array}")),"",IFERROR(MATCH(PARAMETERS!$M120,DEFAULT!$B$5:$CI$5,0),""))</f>
        <v/>
      </c>
      <c r="AA120" s="55" t="str">
        <f t="shared" si="6"/>
        <v/>
      </c>
      <c r="AB120" s="62" t="str">
        <f>IF(AND(OR($A120="G",$A120="P"),NOT($O120="{array}")),IF(VLOOKUP($K120,base!$B$2:$D$20,3,0)="S",IF(OR($O120="",ISTEXT($O120)),"","STRING!"),IF(VLOOKUP($K120,base!$B$2:$D$20,3,0)="","",IF(ISTEXT($O120),"NUMERIC!",""))),"")</f>
        <v/>
      </c>
      <c r="AC120" s="16" t="str">
        <f>IF($AA120="","",IF($B120="I",VLOOKUP($AA120,#REF!,53,0),INDEX(VALUES!$B$1:$GP$1,1,$AA120)))</f>
        <v/>
      </c>
    </row>
    <row r="121" spans="1:29" hidden="1" outlineLevel="1">
      <c r="A121" s="21"/>
      <c r="B121" s="40" t="str">
        <f t="shared" si="8"/>
        <v/>
      </c>
      <c r="C121" s="41">
        <f t="shared" si="10"/>
        <v>120</v>
      </c>
      <c r="D121" s="260"/>
      <c r="E121" s="37"/>
      <c r="F121" s="305" t="s">
        <v>9</v>
      </c>
      <c r="G121" s="188"/>
      <c r="H121" s="37"/>
      <c r="I121" s="37" t="s">
        <v>9</v>
      </c>
      <c r="J121" s="37"/>
      <c r="K121" s="249" t="s">
        <v>52</v>
      </c>
      <c r="L121" s="249" t="s">
        <v>29</v>
      </c>
      <c r="M121" s="214" t="s">
        <v>1796</v>
      </c>
      <c r="N121" s="249" t="s">
        <v>1797</v>
      </c>
      <c r="O121" s="311">
        <v>35</v>
      </c>
      <c r="R121" s="37" t="s">
        <v>106</v>
      </c>
      <c r="S121" s="37"/>
      <c r="T121" s="37"/>
      <c r="W121" s="14" t="str">
        <f>IF(IFERROR(VLOOKUP($M121,'IMPORT GS-Tür OL FL 2S2 20'!$H$2:$H$847,1,0),"-")="-","","GS")</f>
        <v>GS</v>
      </c>
      <c r="X121" s="14" t="str">
        <f t="shared" si="9"/>
        <v/>
      </c>
      <c r="Z121" s="58" t="str">
        <f>IF(OR($M121="",NOT($O121="{array}")),"",IFERROR(MATCH(PARAMETERS!$M121,DEFAULT!$B$5:$CI$5,0),""))</f>
        <v/>
      </c>
      <c r="AA121" s="55" t="str">
        <f t="shared" si="6"/>
        <v/>
      </c>
      <c r="AB121" s="62" t="str">
        <f>IF(AND(OR($A121="G",$A121="P"),NOT($O121="{array}")),IF(VLOOKUP($K121,base!$B$2:$D$20,3,0)="S",IF(OR($O121="",ISTEXT($O121)),"","STRING!"),IF(VLOOKUP($K121,base!$B$2:$D$20,3,0)="","",IF(ISTEXT($O121),"NUMERIC!",""))),"")</f>
        <v/>
      </c>
      <c r="AC121" s="16" t="str">
        <f>IF($AA121="","",IF($B121="I",VLOOKUP($AA121,#REF!,53,0),INDEX(VALUES!$B$1:$GP$1,1,$AA121)))</f>
        <v/>
      </c>
    </row>
    <row r="122" spans="1:29" hidden="1" outlineLevel="1">
      <c r="A122" s="21"/>
      <c r="B122" s="40" t="str">
        <f t="shared" si="8"/>
        <v/>
      </c>
      <c r="C122" s="41">
        <f t="shared" si="10"/>
        <v>121</v>
      </c>
      <c r="D122" s="260"/>
      <c r="E122" s="37"/>
      <c r="F122" s="305" t="s">
        <v>9</v>
      </c>
      <c r="G122" s="188"/>
      <c r="H122" s="37"/>
      <c r="I122" s="37" t="s">
        <v>9</v>
      </c>
      <c r="J122" s="37"/>
      <c r="K122" s="249" t="s">
        <v>52</v>
      </c>
      <c r="L122" s="249" t="s">
        <v>29</v>
      </c>
      <c r="M122" s="214" t="s">
        <v>1798</v>
      </c>
      <c r="N122" s="249" t="s">
        <v>1799</v>
      </c>
      <c r="O122" s="311">
        <v>48</v>
      </c>
      <c r="R122" s="37" t="s">
        <v>106</v>
      </c>
      <c r="S122" s="37"/>
      <c r="T122" s="37"/>
      <c r="W122" s="14" t="str">
        <f>IF(IFERROR(VLOOKUP($M122,'IMPORT GS-Tür OL FL 2S2 20'!$H$2:$H$847,1,0),"-")="-","","GS")</f>
        <v>GS</v>
      </c>
      <c r="X122" s="14" t="str">
        <f t="shared" si="9"/>
        <v/>
      </c>
      <c r="Z122" s="58" t="str">
        <f>IF(OR($M122="",NOT($O122="{array}")),"",IFERROR(MATCH(PARAMETERS!$M122,DEFAULT!$B$5:$CI$5,0),""))</f>
        <v/>
      </c>
      <c r="AA122" s="55" t="str">
        <f t="shared" si="6"/>
        <v/>
      </c>
      <c r="AB122" s="62" t="str">
        <f>IF(AND(OR($A122="G",$A122="P"),NOT($O122="{array}")),IF(VLOOKUP($K122,base!$B$2:$D$20,3,0)="S",IF(OR($O122="",ISTEXT($O122)),"","STRING!"),IF(VLOOKUP($K122,base!$B$2:$D$20,3,0)="","",IF(ISTEXT($O122),"NUMERIC!",""))),"")</f>
        <v/>
      </c>
      <c r="AC122" s="16" t="str">
        <f>IF($AA122="","",IF($B122="I",VLOOKUP($AA122,#REF!,53,0),INDEX(VALUES!$B$1:$GP$1,1,$AA122)))</f>
        <v/>
      </c>
    </row>
    <row r="123" spans="1:29" hidden="1" outlineLevel="1">
      <c r="A123" s="21"/>
      <c r="B123" s="40" t="str">
        <f t="shared" si="8"/>
        <v/>
      </c>
      <c r="C123" s="41">
        <f t="shared" si="10"/>
        <v>122</v>
      </c>
      <c r="D123" s="260"/>
      <c r="E123" s="37"/>
      <c r="F123" s="305" t="s">
        <v>9</v>
      </c>
      <c r="G123" s="188"/>
      <c r="H123" s="37"/>
      <c r="I123" s="37" t="s">
        <v>9</v>
      </c>
      <c r="J123" s="37"/>
      <c r="K123" s="249" t="s">
        <v>52</v>
      </c>
      <c r="L123" s="249" t="s">
        <v>29</v>
      </c>
      <c r="M123" s="214" t="s">
        <v>1800</v>
      </c>
      <c r="N123" s="249" t="s">
        <v>1801</v>
      </c>
      <c r="O123" s="311">
        <v>5</v>
      </c>
      <c r="R123" s="37" t="s">
        <v>106</v>
      </c>
      <c r="S123" s="37"/>
      <c r="T123" s="37"/>
      <c r="W123" s="14" t="str">
        <f>IF(IFERROR(VLOOKUP($M123,'IMPORT GS-Tür OL FL 2S2 20'!$H$2:$H$847,1,0),"-")="-","","GS")</f>
        <v>GS</v>
      </c>
      <c r="X123" s="14" t="str">
        <f t="shared" si="9"/>
        <v/>
      </c>
      <c r="Z123" s="58" t="str">
        <f>IF(OR($M123="",NOT($O123="{array}")),"",IFERROR(MATCH(PARAMETERS!$M123,DEFAULT!$B$5:$CI$5,0),""))</f>
        <v/>
      </c>
      <c r="AA123" s="55" t="str">
        <f t="shared" si="6"/>
        <v/>
      </c>
      <c r="AB123" s="62" t="str">
        <f>IF(AND(OR($A123="G",$A123="P"),NOT($O123="{array}")),IF(VLOOKUP($K123,base!$B$2:$D$20,3,0)="S",IF(OR($O123="",ISTEXT($O123)),"","STRING!"),IF(VLOOKUP($K123,base!$B$2:$D$20,3,0)="","",IF(ISTEXT($O123),"NUMERIC!",""))),"")</f>
        <v/>
      </c>
      <c r="AC123" s="16" t="str">
        <f>IF($AA123="","",IF($B123="I",VLOOKUP($AA123,#REF!,53,0),INDEX(VALUES!$B$1:$GP$1,1,$AA123)))</f>
        <v/>
      </c>
    </row>
    <row r="124" spans="1:29" hidden="1" outlineLevel="1">
      <c r="A124" s="21"/>
      <c r="B124" s="40" t="str">
        <f t="shared" si="8"/>
        <v/>
      </c>
      <c r="C124" s="41">
        <f t="shared" si="10"/>
        <v>123</v>
      </c>
      <c r="D124" s="260"/>
      <c r="E124" s="37"/>
      <c r="F124" s="305" t="s">
        <v>9</v>
      </c>
      <c r="G124" s="188"/>
      <c r="H124" s="37"/>
      <c r="I124" s="37" t="s">
        <v>9</v>
      </c>
      <c r="J124" s="37"/>
      <c r="K124" s="249" t="s">
        <v>52</v>
      </c>
      <c r="L124" s="249" t="s">
        <v>29</v>
      </c>
      <c r="M124" s="214" t="s">
        <v>1802</v>
      </c>
      <c r="N124" s="249" t="s">
        <v>1803</v>
      </c>
      <c r="O124" s="311">
        <v>122</v>
      </c>
      <c r="R124" s="37" t="s">
        <v>106</v>
      </c>
      <c r="S124" s="37"/>
      <c r="T124" s="37"/>
      <c r="W124" s="14" t="str">
        <f>IF(IFERROR(VLOOKUP($M124,'IMPORT GS-Tür OL FL 2S2 20'!$H$2:$H$847,1,0),"-")="-","","GS")</f>
        <v>GS</v>
      </c>
      <c r="X124" s="14" t="str">
        <f t="shared" si="9"/>
        <v/>
      </c>
      <c r="Y124" s="52" t="s">
        <v>919</v>
      </c>
      <c r="Z124" s="58" t="str">
        <f>IF(OR($M124="",NOT($O124="{array}")),"",IFERROR(MATCH(PARAMETERS!$M124,DEFAULT!$B$5:$CI$5,0),""))</f>
        <v/>
      </c>
      <c r="AA124" s="55" t="str">
        <f t="shared" si="6"/>
        <v/>
      </c>
      <c r="AB124" s="62" t="str">
        <f>IF(AND(OR($A124="G",$A124="P"),NOT($O124="{array}")),IF(VLOOKUP($K124,base!$B$2:$D$20,3,0)="S",IF(OR($O124="",ISTEXT($O124)),"","STRING!"),IF(VLOOKUP($K124,base!$B$2:$D$20,3,0)="","",IF(ISTEXT($O124),"NUMERIC!",""))),"")</f>
        <v/>
      </c>
      <c r="AC124" s="16" t="str">
        <f>IF($AA124="","",IF($B124="I",VLOOKUP($AA124,#REF!,53,0),INDEX(VALUES!$B$1:$GP$1,1,$AA124)))</f>
        <v/>
      </c>
    </row>
    <row r="125" spans="1:29" collapsed="1">
      <c r="A125" s="21" t="s">
        <v>86</v>
      </c>
      <c r="B125" s="40" t="str">
        <f t="shared" si="8"/>
        <v/>
      </c>
      <c r="C125" s="41">
        <f t="shared" si="10"/>
        <v>124</v>
      </c>
      <c r="D125" s="260" t="s">
        <v>9</v>
      </c>
      <c r="E125" s="37"/>
      <c r="F125" s="305" t="s">
        <v>9</v>
      </c>
      <c r="G125" s="188"/>
      <c r="H125" s="37"/>
      <c r="I125" s="37"/>
      <c r="J125" s="37"/>
      <c r="K125" s="230" t="s">
        <v>59</v>
      </c>
      <c r="L125" s="230" t="s">
        <v>40</v>
      </c>
      <c r="M125" s="231" t="s">
        <v>1804</v>
      </c>
      <c r="N125" s="232" t="s">
        <v>1805</v>
      </c>
      <c r="O125" s="311"/>
      <c r="R125" s="37" t="s">
        <v>106</v>
      </c>
      <c r="S125" s="37"/>
      <c r="T125" s="37"/>
      <c r="W125" s="14" t="str">
        <f>IF(IFERROR(VLOOKUP($M125,'IMPORT GS-Tür OL FL 2S2 20'!$H$2:$H$847,1,0),"-")="-","","GS")</f>
        <v/>
      </c>
      <c r="X125" s="14" t="str">
        <f t="shared" si="9"/>
        <v>...</v>
      </c>
      <c r="Y125" s="52" t="s">
        <v>1806</v>
      </c>
      <c r="Z125" s="58" t="str">
        <f>IF(OR($M125="",NOT($O125="{array}")),"",IFERROR(MATCH(PARAMETERS!$M125,DEFAULT!$B$5:$CI$5,0),""))</f>
        <v/>
      </c>
      <c r="AA125" s="55" t="str">
        <f t="shared" si="6"/>
        <v/>
      </c>
      <c r="AB125" s="62" t="str">
        <f>IF(AND(OR($A125="G",$A125="P"),NOT($O125="{array}")),IF(VLOOKUP($K125,base!$B$2:$D$20,3,0)="S",IF(OR($O125="",ISTEXT($O125)),"","STRING!"),IF(VLOOKUP($K125,base!$B$2:$D$20,3,0)="","",IF(ISTEXT($O125),"NUMERIC!",""))),"")</f>
        <v/>
      </c>
      <c r="AC125" s="16" t="str">
        <f>IF($AA125="","",IF($B125="I",VLOOKUP($AA125,#REF!,53,0),INDEX(VALUES!$B$1:$GP$1,1,$AA125)))</f>
        <v/>
      </c>
    </row>
    <row r="126" spans="1:29" hidden="1" outlineLevel="1">
      <c r="A126" s="21" t="s">
        <v>87</v>
      </c>
      <c r="B126" s="40" t="str">
        <f t="shared" si="8"/>
        <v/>
      </c>
      <c r="C126" s="41">
        <f t="shared" si="10"/>
        <v>125</v>
      </c>
      <c r="D126" s="260"/>
      <c r="E126" s="37"/>
      <c r="F126" s="305"/>
      <c r="G126" s="188"/>
      <c r="H126" s="37"/>
      <c r="I126" s="37" t="s">
        <v>9</v>
      </c>
      <c r="J126" s="37"/>
      <c r="K126" s="160" t="s">
        <v>20</v>
      </c>
      <c r="L126" s="164" t="s">
        <v>23</v>
      </c>
      <c r="M126" s="160" t="s">
        <v>1807</v>
      </c>
      <c r="N126" s="160" t="s">
        <v>298</v>
      </c>
      <c r="O126" s="160" t="s">
        <v>298</v>
      </c>
      <c r="P126" s="162" t="s">
        <v>298</v>
      </c>
      <c r="Q126" s="159" t="s">
        <v>9</v>
      </c>
      <c r="R126" s="159" t="s">
        <v>105</v>
      </c>
      <c r="S126" s="159" t="s">
        <v>114</v>
      </c>
      <c r="T126" s="160" t="s">
        <v>298</v>
      </c>
      <c r="U126" s="160" t="s">
        <v>298</v>
      </c>
      <c r="V126" s="160" t="s">
        <v>1807</v>
      </c>
      <c r="W126" s="161" t="str">
        <f>IF(IFERROR(VLOOKUP($M126,'IMPORT GS-Tür OL FL 2S2 20'!$H$2:$H$847,1,0),"-")="-","","GS")</f>
        <v/>
      </c>
      <c r="X126" s="14" t="str">
        <f t="shared" si="9"/>
        <v/>
      </c>
      <c r="Y126" s="160" t="s">
        <v>1808</v>
      </c>
      <c r="Z126" s="58" t="str">
        <f>IF(OR($M126="",NOT($O126="{array}")),"",IFERROR(MATCH(PARAMETERS!$M126,DEFAULT!$B$5:$CI$5,0),""))</f>
        <v/>
      </c>
      <c r="AA126" s="55" t="str">
        <f t="shared" si="6"/>
        <v/>
      </c>
      <c r="AB126" s="62" t="str">
        <f>IF(AND(OR($A126="G",$A126="P"),NOT($O126="{array}")),IF(VLOOKUP($K126,base!$B$2:$D$20,3,0)="S",IF(OR($O126="",ISTEXT($O126)),"","STRING!"),IF(VLOOKUP($K126,base!$B$2:$D$20,3,0)="","",IF(ISTEXT($O126),"NUMERIC!",""))),"")</f>
        <v/>
      </c>
      <c r="AC126" s="16" t="str">
        <f>IF($AA126="","",IF($B126="I",VLOOKUP($AA126,#REF!,53,0),INDEX(VALUES!$B$1:$GP$1,1,$AA126)))</f>
        <v/>
      </c>
    </row>
    <row r="127" spans="1:29" hidden="1" outlineLevel="1">
      <c r="A127" s="21" t="s">
        <v>87</v>
      </c>
      <c r="B127" s="40" t="str">
        <f t="shared" si="8"/>
        <v/>
      </c>
      <c r="C127" s="41">
        <f t="shared" si="10"/>
        <v>126</v>
      </c>
      <c r="D127" s="260"/>
      <c r="E127" s="37"/>
      <c r="F127" s="305"/>
      <c r="G127" s="188"/>
      <c r="H127" s="37"/>
      <c r="I127" s="37" t="s">
        <v>9</v>
      </c>
      <c r="J127" s="37"/>
      <c r="K127" s="160" t="s">
        <v>20</v>
      </c>
      <c r="L127" s="164" t="s">
        <v>23</v>
      </c>
      <c r="M127" s="160" t="s">
        <v>1809</v>
      </c>
      <c r="N127" s="160" t="s">
        <v>298</v>
      </c>
      <c r="O127" s="160" t="s">
        <v>298</v>
      </c>
      <c r="P127" s="162" t="s">
        <v>298</v>
      </c>
      <c r="Q127" s="159" t="s">
        <v>9</v>
      </c>
      <c r="R127" s="159" t="s">
        <v>105</v>
      </c>
      <c r="S127" s="159" t="s">
        <v>114</v>
      </c>
      <c r="T127" s="160" t="s">
        <v>298</v>
      </c>
      <c r="U127" s="160" t="s">
        <v>298</v>
      </c>
      <c r="V127" s="160" t="s">
        <v>1809</v>
      </c>
      <c r="W127" s="161" t="str">
        <f>IF(IFERROR(VLOOKUP($M127,'IMPORT GS-Tür OL FL 2S2 20'!$H$2:$H$847,1,0),"-")="-","","GS")</f>
        <v/>
      </c>
      <c r="X127" s="14" t="str">
        <f t="shared" si="9"/>
        <v/>
      </c>
      <c r="Y127" s="160" t="s">
        <v>1810</v>
      </c>
      <c r="Z127" s="58" t="str">
        <f>IF(OR($M127="",NOT($O127="{array}")),"",IFERROR(MATCH(PARAMETERS!$M127,DEFAULT!$B$5:$CI$5,0),""))</f>
        <v/>
      </c>
      <c r="AA127" s="55" t="str">
        <f t="shared" si="6"/>
        <v/>
      </c>
      <c r="AB127" s="62" t="str">
        <f>IF(AND(OR($A127="G",$A127="P"),NOT($O127="{array}")),IF(VLOOKUP($K127,base!$B$2:$D$20,3,0)="S",IF(OR($O127="",ISTEXT($O127)),"","STRING!"),IF(VLOOKUP($K127,base!$B$2:$D$20,3,0)="","",IF(ISTEXT($O127),"NUMERIC!",""))),"")</f>
        <v/>
      </c>
      <c r="AC127" s="16" t="str">
        <f>IF($AA127="","",IF($B127="I",VLOOKUP($AA127,#REF!,53,0),INDEX(VALUES!$B$1:$GP$1,1,$AA127)))</f>
        <v/>
      </c>
    </row>
    <row r="128" spans="1:29" hidden="1" outlineLevel="1">
      <c r="A128" s="21"/>
      <c r="B128" s="40" t="str">
        <f t="shared" si="8"/>
        <v/>
      </c>
      <c r="C128" s="41">
        <f t="shared" si="10"/>
        <v>127</v>
      </c>
      <c r="D128" s="260"/>
      <c r="E128" s="37"/>
      <c r="F128" s="305" t="s">
        <v>9</v>
      </c>
      <c r="G128" s="188"/>
      <c r="H128" s="37" t="s">
        <v>9</v>
      </c>
      <c r="I128" s="37"/>
      <c r="J128" s="37"/>
      <c r="K128" s="249" t="s">
        <v>49</v>
      </c>
      <c r="L128" s="249" t="s">
        <v>29</v>
      </c>
      <c r="M128" s="214" t="s">
        <v>1811</v>
      </c>
      <c r="N128" s="249" t="s">
        <v>1812</v>
      </c>
      <c r="O128" s="311">
        <v>0</v>
      </c>
      <c r="R128" s="37" t="s">
        <v>106</v>
      </c>
      <c r="S128" s="37"/>
      <c r="T128" s="37"/>
      <c r="W128" s="14" t="str">
        <f>IF(IFERROR(VLOOKUP($M128,'IMPORT GS-Tür OL FL 2S2 20'!$H$2:$H$847,1,0),"-")="-","","GS")</f>
        <v/>
      </c>
      <c r="X128" s="14" t="str">
        <f t="shared" si="9"/>
        <v/>
      </c>
      <c r="Z128" s="58" t="str">
        <f>IF(OR($M128="",NOT($O128="{array}")),"",IFERROR(MATCH(PARAMETERS!$M128,DEFAULT!$B$5:$CI$5,0),""))</f>
        <v/>
      </c>
      <c r="AA128" s="55" t="str">
        <f t="shared" si="6"/>
        <v/>
      </c>
      <c r="AB128" s="62" t="str">
        <f>IF(AND(OR($A128="G",$A128="P"),NOT($O128="{array}")),IF(VLOOKUP($K128,base!$B$2:$D$20,3,0)="S",IF(OR($O128="",ISTEXT($O128)),"","STRING!"),IF(VLOOKUP($K128,base!$B$2:$D$20,3,0)="","",IF(ISTEXT($O128),"NUMERIC!",""))),"")</f>
        <v/>
      </c>
      <c r="AC128" s="16" t="str">
        <f>IF($AA128="","",IF($B128="I",VLOOKUP($AA128,#REF!,53,0),INDEX(VALUES!$B$1:$GP$1,1,$AA128)))</f>
        <v/>
      </c>
    </row>
    <row r="129" spans="1:29" s="276" customFormat="1" hidden="1" outlineLevel="1">
      <c r="A129" s="263"/>
      <c r="B129" s="264" t="str">
        <f t="shared" si="8"/>
        <v/>
      </c>
      <c r="C129" s="265">
        <f t="shared" si="10"/>
        <v>128</v>
      </c>
      <c r="D129" s="266"/>
      <c r="E129" s="266"/>
      <c r="F129" s="305"/>
      <c r="G129" s="188"/>
      <c r="H129" s="266"/>
      <c r="I129" s="266" t="s">
        <v>9</v>
      </c>
      <c r="J129" s="266"/>
      <c r="K129" s="313" t="s">
        <v>49</v>
      </c>
      <c r="L129" s="313" t="s">
        <v>29</v>
      </c>
      <c r="M129" s="291" t="s">
        <v>1813</v>
      </c>
      <c r="N129" s="313" t="s">
        <v>1814</v>
      </c>
      <c r="O129" s="315">
        <v>0</v>
      </c>
      <c r="Q129" s="266"/>
      <c r="R129" s="266" t="s">
        <v>106</v>
      </c>
      <c r="S129" s="266"/>
      <c r="T129" s="266"/>
      <c r="W129" s="272" t="str">
        <f>IF(IFERROR(VLOOKUP($M129,'IMPORT GS-Tür OL FL 2S2 20'!$H$2:$H$847,1,0),"-")="-","","GS")</f>
        <v/>
      </c>
      <c r="X129" s="272" t="str">
        <f t="shared" si="9"/>
        <v/>
      </c>
      <c r="Z129" s="273" t="str">
        <f>IF(OR($M129="",NOT($O129="{array}")),"",IFERROR(MATCH(PARAMETERS!$M129,DEFAULT!$B$5:$CI$5,0),""))</f>
        <v/>
      </c>
      <c r="AA129" s="272" t="str">
        <f t="shared" si="6"/>
        <v/>
      </c>
      <c r="AB129" s="274" t="str">
        <f>IF(AND(OR($A129="G",$A129="P"),NOT($O129="{array}")),IF(VLOOKUP($K129,base!$B$2:$D$20,3,0)="S",IF(OR($O129="",ISTEXT($O129)),"","STRING!"),IF(VLOOKUP($K129,base!$B$2:$D$20,3,0)="","",IF(ISTEXT($O129),"NUMERIC!",""))),"")</f>
        <v/>
      </c>
      <c r="AC129" s="275" t="str">
        <f>IF($AA129="","",IF($B129="I",VLOOKUP($AA129,#REF!,53,0),INDEX(VALUES!$B$1:$GP$1,1,$AA129)))</f>
        <v/>
      </c>
    </row>
    <row r="130" spans="1:29" s="276" customFormat="1" hidden="1" outlineLevel="1">
      <c r="A130" s="263"/>
      <c r="B130" s="264" t="str">
        <f t="shared" si="8"/>
        <v/>
      </c>
      <c r="C130" s="265">
        <f t="shared" si="10"/>
        <v>129</v>
      </c>
      <c r="D130" s="266"/>
      <c r="E130" s="266"/>
      <c r="F130" s="305"/>
      <c r="G130" s="188"/>
      <c r="H130" s="266"/>
      <c r="I130" s="266" t="s">
        <v>9</v>
      </c>
      <c r="J130" s="266"/>
      <c r="K130" s="313" t="s">
        <v>49</v>
      </c>
      <c r="L130" s="313" t="s">
        <v>29</v>
      </c>
      <c r="M130" s="291" t="s">
        <v>1815</v>
      </c>
      <c r="N130" s="313" t="s">
        <v>1816</v>
      </c>
      <c r="O130" s="315">
        <v>0</v>
      </c>
      <c r="Q130" s="266"/>
      <c r="R130" s="266" t="s">
        <v>106</v>
      </c>
      <c r="S130" s="266"/>
      <c r="T130" s="266"/>
      <c r="W130" s="272" t="str">
        <f>IF(IFERROR(VLOOKUP($M130,'IMPORT GS-Tür OL FL 2S2 20'!$H$2:$H$847,1,0),"-")="-","","GS")</f>
        <v/>
      </c>
      <c r="X130" s="272" t="str">
        <f t="shared" si="9"/>
        <v/>
      </c>
      <c r="Z130" s="273" t="str">
        <f>IF(OR($M130="",NOT($O130="{array}")),"",IFERROR(MATCH(PARAMETERS!$M130,DEFAULT!$B$5:$CI$5,0),""))</f>
        <v/>
      </c>
      <c r="AA130" s="272" t="str">
        <f t="shared" si="6"/>
        <v/>
      </c>
      <c r="AB130" s="274" t="str">
        <f>IF(AND(OR($A130="G",$A130="P"),NOT($O130="{array}")),IF(VLOOKUP($K130,base!$B$2:$D$20,3,0)="S",IF(OR($O130="",ISTEXT($O130)),"","STRING!"),IF(VLOOKUP($K130,base!$B$2:$D$20,3,0)="","",IF(ISTEXT($O130),"NUMERIC!",""))),"")</f>
        <v/>
      </c>
      <c r="AC130" s="275" t="str">
        <f>IF($AA130="","",IF($B130="I",VLOOKUP($AA130,#REF!,53,0),INDEX(VALUES!$B$1:$GP$1,1,$AA130)))</f>
        <v/>
      </c>
    </row>
    <row r="131" spans="1:29" s="276" customFormat="1" hidden="1" outlineLevel="1">
      <c r="A131" s="263"/>
      <c r="B131" s="264" t="str">
        <f t="shared" si="8"/>
        <v/>
      </c>
      <c r="C131" s="265">
        <f t="shared" si="10"/>
        <v>130</v>
      </c>
      <c r="D131" s="266"/>
      <c r="E131" s="266"/>
      <c r="F131" s="305"/>
      <c r="G131" s="188"/>
      <c r="H131" s="266"/>
      <c r="I131" s="266" t="s">
        <v>9</v>
      </c>
      <c r="J131" s="266"/>
      <c r="K131" s="313" t="s">
        <v>26</v>
      </c>
      <c r="L131" s="313" t="s">
        <v>29</v>
      </c>
      <c r="M131" s="291" t="s">
        <v>1817</v>
      </c>
      <c r="N131" s="313" t="s">
        <v>1818</v>
      </c>
      <c r="O131" s="315">
        <v>0.08</v>
      </c>
      <c r="Q131" s="266" t="s">
        <v>9</v>
      </c>
      <c r="R131" s="266" t="s">
        <v>106</v>
      </c>
      <c r="S131" s="279" t="s">
        <v>114</v>
      </c>
      <c r="T131" s="278" t="s">
        <v>298</v>
      </c>
      <c r="U131" s="278" t="s">
        <v>298</v>
      </c>
      <c r="V131" s="278" t="s">
        <v>1819</v>
      </c>
      <c r="W131" s="272" t="str">
        <f>IF(IFERROR(VLOOKUP($M131,'IMPORT GS-Tür OL FL 2S2 20'!$H$2:$H$847,1,0),"-")="-","","GS")</f>
        <v/>
      </c>
      <c r="X131" s="272" t="str">
        <f t="shared" si="9"/>
        <v/>
      </c>
      <c r="Y131" s="278" t="s">
        <v>1820</v>
      </c>
      <c r="Z131" s="273" t="str">
        <f>IF(OR($M131="",NOT($O131="{array}")),"",IFERROR(MATCH(PARAMETERS!$M131,DEFAULT!$B$5:$CI$5,0),""))</f>
        <v/>
      </c>
      <c r="AA131" s="272" t="str">
        <f t="shared" si="6"/>
        <v/>
      </c>
      <c r="AB131" s="274" t="str">
        <f>IF(AND(OR($A131="G",$A131="P"),NOT($O131="{array}")),IF(VLOOKUP($K131,base!$B$2:$D$20,3,0)="S",IF(OR($O131="",ISTEXT($O131)),"","STRING!"),IF(VLOOKUP($K131,base!$B$2:$D$20,3,0)="","",IF(ISTEXT($O131),"NUMERIC!",""))),"")</f>
        <v/>
      </c>
      <c r="AC131" s="275" t="str">
        <f>IF($AA131="","",IF($B131="I",VLOOKUP($AA131,#REF!,53,0),INDEX(VALUES!$B$1:$GP$1,1,$AA131)))</f>
        <v/>
      </c>
    </row>
    <row r="132" spans="1:29" s="276" customFormat="1" hidden="1" outlineLevel="1">
      <c r="A132" s="263"/>
      <c r="B132" s="264" t="str">
        <f t="shared" si="8"/>
        <v/>
      </c>
      <c r="C132" s="265">
        <f t="shared" si="10"/>
        <v>131</v>
      </c>
      <c r="D132" s="266"/>
      <c r="E132" s="266"/>
      <c r="F132" s="305"/>
      <c r="G132" s="188"/>
      <c r="H132" s="266"/>
      <c r="I132" s="266" t="s">
        <v>9</v>
      </c>
      <c r="J132" s="266"/>
      <c r="K132" s="313" t="s">
        <v>49</v>
      </c>
      <c r="L132" s="313" t="s">
        <v>29</v>
      </c>
      <c r="M132" s="291" t="s">
        <v>1821</v>
      </c>
      <c r="N132" s="313" t="s">
        <v>1822</v>
      </c>
      <c r="O132" s="315">
        <v>1</v>
      </c>
      <c r="Q132" s="266"/>
      <c r="R132" s="266" t="s">
        <v>106</v>
      </c>
      <c r="S132" s="266"/>
      <c r="T132" s="266"/>
      <c r="W132" s="272" t="str">
        <f>IF(IFERROR(VLOOKUP($M132,'IMPORT GS-Tür OL FL 2S2 20'!$H$2:$H$847,1,0),"-")="-","","GS")</f>
        <v/>
      </c>
      <c r="X132" s="272" t="str">
        <f t="shared" si="9"/>
        <v/>
      </c>
      <c r="Z132" s="273" t="str">
        <f>IF(OR($M132="",NOT($O132="{array}")),"",IFERROR(MATCH(PARAMETERS!$M132,DEFAULT!$B$5:$CI$5,0),""))</f>
        <v/>
      </c>
      <c r="AA132" s="272" t="str">
        <f t="shared" si="6"/>
        <v/>
      </c>
      <c r="AB132" s="274" t="str">
        <f>IF(AND(OR($A132="G",$A132="P"),NOT($O132="{array}")),IF(VLOOKUP($K132,base!$B$2:$D$20,3,0)="S",IF(OR($O132="",ISTEXT($O132)),"","STRING!"),IF(VLOOKUP($K132,base!$B$2:$D$20,3,0)="","",IF(ISTEXT($O132),"NUMERIC!",""))),"")</f>
        <v/>
      </c>
      <c r="AC132" s="275" t="str">
        <f>IF($AA132="","",IF($B132="I",VLOOKUP($AA132,#REF!,53,0),INDEX(VALUES!$B$1:$GP$1,1,$AA132)))</f>
        <v/>
      </c>
    </row>
    <row r="133" spans="1:29" s="276" customFormat="1" hidden="1" outlineLevel="1">
      <c r="A133" s="263"/>
      <c r="B133" s="264" t="str">
        <f t="shared" si="8"/>
        <v/>
      </c>
      <c r="C133" s="265">
        <f t="shared" si="10"/>
        <v>132</v>
      </c>
      <c r="D133" s="266"/>
      <c r="E133" s="266"/>
      <c r="F133" s="305"/>
      <c r="G133" s="188"/>
      <c r="H133" s="266"/>
      <c r="I133" s="266" t="s">
        <v>9</v>
      </c>
      <c r="J133" s="266"/>
      <c r="K133" s="313" t="s">
        <v>52</v>
      </c>
      <c r="L133" s="313" t="s">
        <v>29</v>
      </c>
      <c r="M133" s="291" t="s">
        <v>1823</v>
      </c>
      <c r="N133" s="313" t="s">
        <v>1824</v>
      </c>
      <c r="O133" s="315">
        <v>57</v>
      </c>
      <c r="Q133" s="266"/>
      <c r="R133" s="266" t="s">
        <v>106</v>
      </c>
      <c r="S133" s="266"/>
      <c r="T133" s="266"/>
      <c r="W133" s="272" t="str">
        <f>IF(IFERROR(VLOOKUP($M133,'IMPORT GS-Tür OL FL 2S2 20'!$H$2:$H$847,1,0),"-")="-","","GS")</f>
        <v/>
      </c>
      <c r="X133" s="272" t="str">
        <f t="shared" si="9"/>
        <v/>
      </c>
      <c r="Z133" s="273" t="str">
        <f>IF(OR($M133="",NOT($O133="{array}")),"",IFERROR(MATCH(PARAMETERS!$M133,DEFAULT!$B$5:$CI$5,0),""))</f>
        <v/>
      </c>
      <c r="AA133" s="272" t="str">
        <f t="shared" si="6"/>
        <v/>
      </c>
      <c r="AB133" s="274" t="str">
        <f>IF(AND(OR($A133="G",$A133="P"),NOT($O133="{array}")),IF(VLOOKUP($K133,base!$B$2:$D$20,3,0)="S",IF(OR($O133="",ISTEXT($O133)),"","STRING!"),IF(VLOOKUP($K133,base!$B$2:$D$20,3,0)="","",IF(ISTEXT($O133),"NUMERIC!",""))),"")</f>
        <v/>
      </c>
      <c r="AC133" s="275" t="str">
        <f>IF($AA133="","",IF($B133="I",VLOOKUP($AA133,#REF!,53,0),INDEX(VALUES!$B$1:$GP$1,1,$AA133)))</f>
        <v/>
      </c>
    </row>
    <row r="134" spans="1:29" s="276" customFormat="1" hidden="1" outlineLevel="1">
      <c r="A134" s="263"/>
      <c r="B134" s="264" t="str">
        <f t="shared" si="8"/>
        <v/>
      </c>
      <c r="C134" s="265">
        <f t="shared" si="10"/>
        <v>133</v>
      </c>
      <c r="D134" s="266"/>
      <c r="E134" s="266"/>
      <c r="F134" s="305"/>
      <c r="G134" s="188"/>
      <c r="H134" s="266"/>
      <c r="I134" s="266" t="s">
        <v>9</v>
      </c>
      <c r="J134" s="266"/>
      <c r="K134" s="313" t="s">
        <v>54</v>
      </c>
      <c r="L134" s="313" t="s">
        <v>29</v>
      </c>
      <c r="M134" s="291" t="s">
        <v>1825</v>
      </c>
      <c r="N134" s="313" t="s">
        <v>1826</v>
      </c>
      <c r="O134" s="315">
        <v>65</v>
      </c>
      <c r="Q134" s="266"/>
      <c r="R134" s="266" t="s">
        <v>106</v>
      </c>
      <c r="S134" s="266"/>
      <c r="T134" s="266"/>
      <c r="W134" s="272" t="str">
        <f>IF(IFERROR(VLOOKUP($M134,'IMPORT GS-Tür OL FL 2S2 20'!$H$2:$H$847,1,0),"-")="-","","GS")</f>
        <v/>
      </c>
      <c r="X134" s="272" t="str">
        <f t="shared" si="9"/>
        <v/>
      </c>
      <c r="Z134" s="273" t="str">
        <f>IF(OR($M134="",NOT($O134="{array}")),"",IFERROR(MATCH(PARAMETERS!$M134,DEFAULT!$B$5:$CI$5,0),""))</f>
        <v/>
      </c>
      <c r="AA134" s="272" t="str">
        <f t="shared" si="6"/>
        <v/>
      </c>
      <c r="AB134" s="274" t="str">
        <f>IF(AND(OR($A134="G",$A134="P"),NOT($O134="{array}")),IF(VLOOKUP($K134,base!$B$2:$D$20,3,0)="S",IF(OR($O134="",ISTEXT($O134)),"","STRING!"),IF(VLOOKUP($K134,base!$B$2:$D$20,3,0)="","",IF(ISTEXT($O134),"NUMERIC!",""))),"")</f>
        <v/>
      </c>
      <c r="AC134" s="275" t="str">
        <f>IF($AA134="","",IF($B134="I",VLOOKUP($AA134,#REF!,53,0),INDEX(VALUES!$B$1:$GP$1,1,$AA134)))</f>
        <v/>
      </c>
    </row>
    <row r="135" spans="1:29" s="276" customFormat="1" hidden="1" outlineLevel="1">
      <c r="A135" s="263"/>
      <c r="B135" s="264" t="str">
        <f t="shared" si="8"/>
        <v/>
      </c>
      <c r="C135" s="265">
        <f t="shared" si="10"/>
        <v>134</v>
      </c>
      <c r="D135" s="266"/>
      <c r="E135" s="266"/>
      <c r="F135" s="305"/>
      <c r="G135" s="188"/>
      <c r="H135" s="266"/>
      <c r="I135" s="266" t="s">
        <v>9</v>
      </c>
      <c r="J135" s="266"/>
      <c r="K135" s="313" t="s">
        <v>55</v>
      </c>
      <c r="L135" s="313" t="s">
        <v>29</v>
      </c>
      <c r="M135" s="291" t="s">
        <v>1827</v>
      </c>
      <c r="N135" s="313" t="s">
        <v>1828</v>
      </c>
      <c r="O135" s="315">
        <v>1</v>
      </c>
      <c r="Q135" s="266"/>
      <c r="R135" s="266" t="s">
        <v>106</v>
      </c>
      <c r="S135" s="266"/>
      <c r="T135" s="266"/>
      <c r="W135" s="272" t="str">
        <f>IF(IFERROR(VLOOKUP($M135,'IMPORT GS-Tür OL FL 2S2 20'!$H$2:$H$847,1,0),"-")="-","","GS")</f>
        <v/>
      </c>
      <c r="X135" s="272" t="str">
        <f t="shared" si="9"/>
        <v/>
      </c>
      <c r="Z135" s="273" t="str">
        <f>IF(OR($M135="",NOT($O135="{array}")),"",IFERROR(MATCH(PARAMETERS!$M135,DEFAULT!$B$5:$CI$5,0),""))</f>
        <v/>
      </c>
      <c r="AA135" s="272" t="str">
        <f t="shared" si="6"/>
        <v/>
      </c>
      <c r="AB135" s="274" t="str">
        <f>IF(AND(OR($A135="G",$A135="P"),NOT($O135="{array}")),IF(VLOOKUP($K135,base!$B$2:$D$20,3,0)="S",IF(OR($O135="",ISTEXT($O135)),"","STRING!"),IF(VLOOKUP($K135,base!$B$2:$D$20,3,0)="","",IF(ISTEXT($O135),"NUMERIC!",""))),"")</f>
        <v/>
      </c>
      <c r="AC135" s="275" t="str">
        <f>IF($AA135="","",IF($B135="I",VLOOKUP($AA135,#REF!,53,0),INDEX(VALUES!$B$1:$GP$1,1,$AA135)))</f>
        <v/>
      </c>
    </row>
    <row r="136" spans="1:29" s="276" customFormat="1" hidden="1" outlineLevel="1">
      <c r="A136" s="263"/>
      <c r="B136" s="264" t="str">
        <f t="shared" si="8"/>
        <v/>
      </c>
      <c r="C136" s="265">
        <f t="shared" si="10"/>
        <v>135</v>
      </c>
      <c r="D136" s="266"/>
      <c r="E136" s="266"/>
      <c r="F136" s="305"/>
      <c r="G136" s="188"/>
      <c r="H136" s="266"/>
      <c r="I136" s="266" t="s">
        <v>9</v>
      </c>
      <c r="J136" s="266"/>
      <c r="K136" s="313" t="s">
        <v>55</v>
      </c>
      <c r="L136" s="313" t="s">
        <v>29</v>
      </c>
      <c r="M136" s="291" t="s">
        <v>1829</v>
      </c>
      <c r="N136" s="313" t="s">
        <v>1830</v>
      </c>
      <c r="O136" s="315">
        <v>19</v>
      </c>
      <c r="Q136" s="266"/>
      <c r="R136" s="266" t="s">
        <v>106</v>
      </c>
      <c r="S136" s="266"/>
      <c r="T136" s="266"/>
      <c r="W136" s="272" t="str">
        <f>IF(IFERROR(VLOOKUP($M136,'IMPORT GS-Tür OL FL 2S2 20'!$H$2:$H$847,1,0),"-")="-","","GS")</f>
        <v/>
      </c>
      <c r="X136" s="272" t="str">
        <f t="shared" si="9"/>
        <v/>
      </c>
      <c r="Z136" s="273" t="str">
        <f>IF(OR($M136="",NOT($O136="{array}")),"",IFERROR(MATCH(PARAMETERS!$M136,DEFAULT!$B$5:$CI$5,0),""))</f>
        <v/>
      </c>
      <c r="AA136" s="272" t="str">
        <f t="shared" si="6"/>
        <v/>
      </c>
      <c r="AB136" s="274" t="str">
        <f>IF(AND(OR($A136="G",$A136="P"),NOT($O136="{array}")),IF(VLOOKUP($K136,base!$B$2:$D$20,3,0)="S",IF(OR($O136="",ISTEXT($O136)),"","STRING!"),IF(VLOOKUP($K136,base!$B$2:$D$20,3,0)="","",IF(ISTEXT($O136),"NUMERIC!",""))),"")</f>
        <v/>
      </c>
      <c r="AC136" s="275" t="str">
        <f>IF($AA136="","",IF($B136="I",VLOOKUP($AA136,#REF!,53,0),INDEX(VALUES!$B$1:$GP$1,1,$AA136)))</f>
        <v/>
      </c>
    </row>
    <row r="137" spans="1:29" s="276" customFormat="1" hidden="1" outlineLevel="1">
      <c r="A137" s="263"/>
      <c r="B137" s="264" t="str">
        <f t="shared" si="8"/>
        <v/>
      </c>
      <c r="C137" s="265">
        <f t="shared" si="10"/>
        <v>136</v>
      </c>
      <c r="D137" s="266"/>
      <c r="E137" s="266"/>
      <c r="F137" s="305"/>
      <c r="G137" s="188"/>
      <c r="H137" s="266"/>
      <c r="I137" s="266" t="s">
        <v>9</v>
      </c>
      <c r="J137" s="266"/>
      <c r="K137" s="313" t="s">
        <v>55</v>
      </c>
      <c r="L137" s="313" t="s">
        <v>29</v>
      </c>
      <c r="M137" s="291" t="s">
        <v>1831</v>
      </c>
      <c r="N137" s="313" t="s">
        <v>1832</v>
      </c>
      <c r="O137" s="315">
        <v>1</v>
      </c>
      <c r="Q137" s="266"/>
      <c r="R137" s="266" t="s">
        <v>106</v>
      </c>
      <c r="S137" s="266"/>
      <c r="T137" s="266"/>
      <c r="W137" s="272" t="str">
        <f>IF(IFERROR(VLOOKUP($M137,'IMPORT GS-Tür OL FL 2S2 20'!$H$2:$H$847,1,0),"-")="-","","GS")</f>
        <v/>
      </c>
      <c r="X137" s="272" t="str">
        <f t="shared" si="9"/>
        <v/>
      </c>
      <c r="Z137" s="273" t="str">
        <f>IF(OR($M137="",NOT($O137="{array}")),"",IFERROR(MATCH(PARAMETERS!$M137,DEFAULT!$B$5:$CI$5,0),""))</f>
        <v/>
      </c>
      <c r="AA137" s="272" t="str">
        <f t="shared" si="6"/>
        <v/>
      </c>
      <c r="AB137" s="274" t="str">
        <f>IF(AND(OR($A137="G",$A137="P"),NOT($O137="{array}")),IF(VLOOKUP($K137,base!$B$2:$D$20,3,0)="S",IF(OR($O137="",ISTEXT($O137)),"","STRING!"),IF(VLOOKUP($K137,base!$B$2:$D$20,3,0)="","",IF(ISTEXT($O137),"NUMERIC!",""))),"")</f>
        <v/>
      </c>
      <c r="AC137" s="275" t="str">
        <f>IF($AA137="","",IF($B137="I",VLOOKUP($AA137,#REF!,53,0),INDEX(VALUES!$B$1:$GP$1,1,$AA137)))</f>
        <v/>
      </c>
    </row>
    <row r="138" spans="1:29" s="276" customFormat="1" hidden="1" outlineLevel="1">
      <c r="A138" s="263"/>
      <c r="B138" s="264" t="str">
        <f t="shared" ref="B138:B201" si="11">IF($A138="P",IF(NOT($Z138=""),"A",IF(NOT($AA138=""),"I","")),IF(NOT($AA138=""),IF($A138="G","V","X"),IF(NOT($Z138=""),"A","")))</f>
        <v/>
      </c>
      <c r="C138" s="265">
        <f t="shared" si="10"/>
        <v>137</v>
      </c>
      <c r="D138" s="266"/>
      <c r="E138" s="266"/>
      <c r="F138" s="305"/>
      <c r="G138" s="188"/>
      <c r="H138" s="266"/>
      <c r="I138" s="266" t="s">
        <v>9</v>
      </c>
      <c r="J138" s="266"/>
      <c r="K138" s="313" t="s">
        <v>46</v>
      </c>
      <c r="L138" s="313" t="s">
        <v>29</v>
      </c>
      <c r="M138" s="291" t="s">
        <v>1833</v>
      </c>
      <c r="N138" s="313" t="s">
        <v>1834</v>
      </c>
      <c r="O138" s="315">
        <v>1</v>
      </c>
      <c r="Q138" s="266" t="s">
        <v>9</v>
      </c>
      <c r="R138" s="266" t="s">
        <v>106</v>
      </c>
      <c r="S138" s="266"/>
      <c r="T138" s="266"/>
      <c r="W138" s="272" t="str">
        <f>IF(IFERROR(VLOOKUP($M138,'IMPORT GS-Tür OL FL 2S2 20'!$H$2:$H$847,1,0),"-")="-","","GS")</f>
        <v/>
      </c>
      <c r="X138" s="272" t="str">
        <f t="shared" si="9"/>
        <v/>
      </c>
      <c r="Z138" s="273" t="str">
        <f>IF(OR($M138="",NOT($O138="{array}")),"",IFERROR(MATCH(PARAMETERS!$M138,DEFAULT!$B$5:$CI$5,0),""))</f>
        <v/>
      </c>
      <c r="AA138" s="272" t="str">
        <f t="shared" si="6"/>
        <v/>
      </c>
      <c r="AB138" s="274" t="str">
        <f>IF(AND(OR($A138="G",$A138="P"),NOT($O138="{array}")),IF(VLOOKUP($K138,base!$B$2:$D$20,3,0)="S",IF(OR($O138="",ISTEXT($O138)),"","STRING!"),IF(VLOOKUP($K138,base!$B$2:$D$20,3,0)="","",IF(ISTEXT($O138),"NUMERIC!",""))),"")</f>
        <v/>
      </c>
      <c r="AC138" s="275" t="str">
        <f>IF($AA138="","",IF($B138="I",VLOOKUP($AA138,#REF!,53,0),INDEX(VALUES!$B$1:$GP$1,1,$AA138)))</f>
        <v/>
      </c>
    </row>
    <row r="139" spans="1:29" s="276" customFormat="1" hidden="1" outlineLevel="1">
      <c r="A139" s="263"/>
      <c r="B139" s="264" t="str">
        <f t="shared" si="11"/>
        <v/>
      </c>
      <c r="C139" s="265">
        <f t="shared" si="10"/>
        <v>138</v>
      </c>
      <c r="D139" s="266"/>
      <c r="E139" s="266"/>
      <c r="F139" s="305"/>
      <c r="G139" s="188"/>
      <c r="H139" s="266"/>
      <c r="I139" s="266" t="s">
        <v>9</v>
      </c>
      <c r="J139" s="266"/>
      <c r="K139" s="313" t="s">
        <v>26</v>
      </c>
      <c r="L139" s="313" t="s">
        <v>29</v>
      </c>
      <c r="M139" s="291" t="s">
        <v>1835</v>
      </c>
      <c r="N139" s="313" t="s">
        <v>1818</v>
      </c>
      <c r="O139" s="315">
        <v>0.2</v>
      </c>
      <c r="Q139" s="266" t="s">
        <v>9</v>
      </c>
      <c r="R139" s="266" t="s">
        <v>106</v>
      </c>
      <c r="S139" s="266"/>
      <c r="T139" s="266"/>
      <c r="W139" s="272" t="str">
        <f>IF(IFERROR(VLOOKUP($M139,'IMPORT GS-Tür OL FL 2S2 20'!$H$2:$H$847,1,0),"-")="-","","GS")</f>
        <v/>
      </c>
      <c r="X139" s="272" t="str">
        <f t="shared" ref="X139:X202" si="12">IF($A139="G",IF(IFERROR(VLOOKUP($M139,Reimport,1,0),"-")="-","&gt;&lt;",IF($O139=VLOOKUP($M139,Reimport,2,0),"...",VLOOKUP($M139,Reimport,2,0))),"")</f>
        <v/>
      </c>
      <c r="Y139" s="276" t="s">
        <v>919</v>
      </c>
      <c r="Z139" s="273" t="str">
        <f>IF(OR($M139="",NOT($O139="{array}")),"",IFERROR(MATCH(PARAMETERS!$M139,DEFAULT!$B$5:$CI$5,0),""))</f>
        <v/>
      </c>
      <c r="AA139" s="272" t="str">
        <f t="shared" si="6"/>
        <v/>
      </c>
      <c r="AB139" s="274" t="str">
        <f>IF(AND(OR($A139="G",$A139="P"),NOT($O139="{array}")),IF(VLOOKUP($K139,base!$B$2:$D$20,3,0)="S",IF(OR($O139="",ISTEXT($O139)),"","STRING!"),IF(VLOOKUP($K139,base!$B$2:$D$20,3,0)="","",IF(ISTEXT($O139),"NUMERIC!",""))),"")</f>
        <v/>
      </c>
      <c r="AC139" s="275" t="str">
        <f>IF($AA139="","",IF($B139="I",VLOOKUP($AA139,#REF!,53,0),INDEX(VALUES!$B$1:$GP$1,1,$AA139)))</f>
        <v/>
      </c>
    </row>
    <row r="140" spans="1:29" s="276" customFormat="1" hidden="1" outlineLevel="1">
      <c r="A140" s="263"/>
      <c r="B140" s="264" t="str">
        <f t="shared" si="11"/>
        <v/>
      </c>
      <c r="C140" s="265">
        <f t="shared" si="10"/>
        <v>139</v>
      </c>
      <c r="D140" s="266"/>
      <c r="E140" s="266"/>
      <c r="F140" s="305"/>
      <c r="G140" s="188"/>
      <c r="H140" s="266"/>
      <c r="I140" s="266" t="s">
        <v>9</v>
      </c>
      <c r="J140" s="266"/>
      <c r="K140" s="313" t="s">
        <v>26</v>
      </c>
      <c r="L140" s="313" t="s">
        <v>29</v>
      </c>
      <c r="M140" s="291" t="s">
        <v>1836</v>
      </c>
      <c r="N140" s="313" t="s">
        <v>1837</v>
      </c>
      <c r="O140" s="315">
        <v>0.06</v>
      </c>
      <c r="Q140" s="266" t="s">
        <v>9</v>
      </c>
      <c r="R140" s="266" t="s">
        <v>106</v>
      </c>
      <c r="S140" s="266"/>
      <c r="T140" s="266"/>
      <c r="W140" s="272" t="str">
        <f>IF(IFERROR(VLOOKUP($M140,'IMPORT GS-Tür OL FL 2S2 20'!$H$2:$H$847,1,0),"-")="-","","GS")</f>
        <v/>
      </c>
      <c r="X140" s="272" t="str">
        <f t="shared" si="12"/>
        <v/>
      </c>
      <c r="Z140" s="273" t="str">
        <f>IF(OR($M140="",NOT($O140="{array}")),"",IFERROR(MATCH(PARAMETERS!$M140,DEFAULT!$B$5:$CI$5,0),""))</f>
        <v/>
      </c>
      <c r="AA140" s="272" t="str">
        <f t="shared" si="6"/>
        <v/>
      </c>
      <c r="AB140" s="274" t="str">
        <f>IF(AND(OR($A140="G",$A140="P"),NOT($O140="{array}")),IF(VLOOKUP($K140,base!$B$2:$D$20,3,0)="S",IF(OR($O140="",ISTEXT($O140)),"","STRING!"),IF(VLOOKUP($K140,base!$B$2:$D$20,3,0)="","",IF(ISTEXT($O140),"NUMERIC!",""))),"")</f>
        <v/>
      </c>
      <c r="AC140" s="275" t="str">
        <f>IF($AA140="","",IF($B140="I",VLOOKUP($AA140,#REF!,53,0),INDEX(VALUES!$B$1:$GP$1,1,$AA140)))</f>
        <v/>
      </c>
    </row>
    <row r="141" spans="1:29" s="276" customFormat="1" hidden="1" outlineLevel="1">
      <c r="A141" s="263"/>
      <c r="B141" s="264" t="str">
        <f t="shared" si="11"/>
        <v/>
      </c>
      <c r="C141" s="265">
        <f t="shared" si="10"/>
        <v>140</v>
      </c>
      <c r="D141" s="266"/>
      <c r="E141" s="266"/>
      <c r="F141" s="305"/>
      <c r="G141" s="188"/>
      <c r="H141" s="266"/>
      <c r="I141" s="266" t="s">
        <v>9</v>
      </c>
      <c r="J141" s="266"/>
      <c r="K141" s="313" t="s">
        <v>26</v>
      </c>
      <c r="L141" s="313" t="s">
        <v>29</v>
      </c>
      <c r="M141" s="291" t="s">
        <v>1838</v>
      </c>
      <c r="N141" s="313" t="s">
        <v>1839</v>
      </c>
      <c r="O141" s="315">
        <v>0</v>
      </c>
      <c r="Q141" s="266" t="s">
        <v>9</v>
      </c>
      <c r="R141" s="266" t="s">
        <v>106</v>
      </c>
      <c r="S141" s="266"/>
      <c r="T141" s="266"/>
      <c r="W141" s="272" t="str">
        <f>IF(IFERROR(VLOOKUP($M141,'IMPORT GS-Tür OL FL 2S2 20'!$H$2:$H$847,1,0),"-")="-","","GS")</f>
        <v/>
      </c>
      <c r="X141" s="272" t="str">
        <f t="shared" si="12"/>
        <v/>
      </c>
      <c r="Z141" s="273" t="str">
        <f>IF(OR($M141="",NOT($O141="{array}")),"",IFERROR(MATCH(PARAMETERS!$M141,DEFAULT!$B$5:$CI$5,0),""))</f>
        <v/>
      </c>
      <c r="AA141" s="272" t="str">
        <f t="shared" si="6"/>
        <v/>
      </c>
      <c r="AB141" s="274" t="str">
        <f>IF(AND(OR($A141="G",$A141="P"),NOT($O141="{array}")),IF(VLOOKUP($K141,base!$B$2:$D$20,3,0)="S",IF(OR($O141="",ISTEXT($O141)),"","STRING!"),IF(VLOOKUP($K141,base!$B$2:$D$20,3,0)="","",IF(ISTEXT($O141),"NUMERIC!",""))),"")</f>
        <v/>
      </c>
      <c r="AC141" s="275" t="str">
        <f>IF($AA141="","",IF($B141="I",VLOOKUP($AA141,#REF!,53,0),INDEX(VALUES!$B$1:$GP$1,1,$AA141)))</f>
        <v/>
      </c>
    </row>
    <row r="142" spans="1:29" s="276" customFormat="1" hidden="1" outlineLevel="1">
      <c r="A142" s="263"/>
      <c r="B142" s="264" t="str">
        <f t="shared" si="11"/>
        <v/>
      </c>
      <c r="C142" s="265">
        <f t="shared" si="10"/>
        <v>141</v>
      </c>
      <c r="D142" s="266"/>
      <c r="E142" s="266"/>
      <c r="F142" s="305"/>
      <c r="G142" s="188"/>
      <c r="H142" s="266"/>
      <c r="I142" s="266" t="s">
        <v>9</v>
      </c>
      <c r="J142" s="266"/>
      <c r="K142" s="313" t="s">
        <v>49</v>
      </c>
      <c r="L142" s="313" t="s">
        <v>29</v>
      </c>
      <c r="M142" s="291" t="s">
        <v>1840</v>
      </c>
      <c r="N142" s="313" t="s">
        <v>1841</v>
      </c>
      <c r="O142" s="315">
        <v>1</v>
      </c>
      <c r="Q142" s="266"/>
      <c r="R142" s="266" t="s">
        <v>106</v>
      </c>
      <c r="S142" s="266"/>
      <c r="T142" s="266"/>
      <c r="W142" s="272" t="str">
        <f>IF(IFERROR(VLOOKUP($M142,'IMPORT GS-Tür OL FL 2S2 20'!$H$2:$H$847,1,0),"-")="-","","GS")</f>
        <v/>
      </c>
      <c r="X142" s="272" t="str">
        <f t="shared" si="12"/>
        <v/>
      </c>
      <c r="Y142" s="276" t="s">
        <v>919</v>
      </c>
      <c r="Z142" s="273" t="str">
        <f>IF(OR($M142="",NOT($O142="{array}")),"",IFERROR(MATCH(PARAMETERS!$M142,DEFAULT!$B$5:$CI$5,0),""))</f>
        <v/>
      </c>
      <c r="AA142" s="272" t="str">
        <f t="shared" si="6"/>
        <v/>
      </c>
      <c r="AB142" s="274" t="str">
        <f>IF(AND(OR($A142="G",$A142="P"),NOT($O142="{array}")),IF(VLOOKUP($K142,base!$B$2:$D$20,3,0)="S",IF(OR($O142="",ISTEXT($O142)),"","STRING!"),IF(VLOOKUP($K142,base!$B$2:$D$20,3,0)="","",IF(ISTEXT($O142),"NUMERIC!",""))),"")</f>
        <v/>
      </c>
      <c r="AC142" s="275" t="str">
        <f>IF($AA142="","",IF($B142="I",VLOOKUP($AA142,#REF!,53,0),INDEX(VALUES!$B$1:$GP$1,1,$AA142)))</f>
        <v/>
      </c>
    </row>
    <row r="143" spans="1:29" s="276" customFormat="1" hidden="1" outlineLevel="1">
      <c r="A143" s="263"/>
      <c r="B143" s="264" t="str">
        <f t="shared" si="11"/>
        <v/>
      </c>
      <c r="C143" s="265">
        <f t="shared" si="10"/>
        <v>142</v>
      </c>
      <c r="D143" s="266"/>
      <c r="E143" s="266"/>
      <c r="F143" s="305"/>
      <c r="G143" s="188"/>
      <c r="H143" s="266"/>
      <c r="I143" s="266" t="s">
        <v>9</v>
      </c>
      <c r="J143" s="266"/>
      <c r="K143" s="313" t="s">
        <v>26</v>
      </c>
      <c r="L143" s="313" t="s">
        <v>29</v>
      </c>
      <c r="M143" s="291" t="s">
        <v>1842</v>
      </c>
      <c r="N143" s="313" t="s">
        <v>1843</v>
      </c>
      <c r="O143" s="315">
        <v>0.03</v>
      </c>
      <c r="Q143" s="266" t="s">
        <v>9</v>
      </c>
      <c r="R143" s="266" t="s">
        <v>106</v>
      </c>
      <c r="S143" s="266"/>
      <c r="T143" s="266"/>
      <c r="W143" s="272" t="str">
        <f>IF(IFERROR(VLOOKUP($M143,'IMPORT GS-Tür OL FL 2S2 20'!$H$2:$H$847,1,0),"-")="-","","GS")</f>
        <v/>
      </c>
      <c r="X143" s="272" t="str">
        <f t="shared" si="12"/>
        <v/>
      </c>
      <c r="Z143" s="273" t="str">
        <f>IF(OR($M143="",NOT($O143="{array}")),"",IFERROR(MATCH(PARAMETERS!$M143,DEFAULT!$B$5:$CI$5,0),""))</f>
        <v/>
      </c>
      <c r="AA143" s="272" t="str">
        <f t="shared" si="6"/>
        <v/>
      </c>
      <c r="AB143" s="274" t="str">
        <f>IF(AND(OR($A143="G",$A143="P"),NOT($O143="{array}")),IF(VLOOKUP($K143,base!$B$2:$D$20,3,0)="S",IF(OR($O143="",ISTEXT($O143)),"","STRING!"),IF(VLOOKUP($K143,base!$B$2:$D$20,3,0)="","",IF(ISTEXT($O143),"NUMERIC!",""))),"")</f>
        <v/>
      </c>
      <c r="AC143" s="275" t="str">
        <f>IF($AA143="","",IF($B143="I",VLOOKUP($AA143,#REF!,53,0),INDEX(VALUES!$B$1:$GP$1,1,$AA143)))</f>
        <v/>
      </c>
    </row>
    <row r="144" spans="1:29" s="276" customFormat="1" hidden="1" outlineLevel="1">
      <c r="A144" s="263"/>
      <c r="B144" s="264" t="str">
        <f t="shared" si="11"/>
        <v/>
      </c>
      <c r="C144" s="265">
        <f t="shared" si="10"/>
        <v>143</v>
      </c>
      <c r="D144" s="266"/>
      <c r="E144" s="266"/>
      <c r="F144" s="305"/>
      <c r="G144" s="188"/>
      <c r="H144" s="266"/>
      <c r="I144" s="266" t="s">
        <v>9</v>
      </c>
      <c r="J144" s="266"/>
      <c r="K144" s="313" t="s">
        <v>26</v>
      </c>
      <c r="L144" s="313" t="s">
        <v>29</v>
      </c>
      <c r="M144" s="291" t="s">
        <v>1844</v>
      </c>
      <c r="N144" s="313" t="s">
        <v>1845</v>
      </c>
      <c r="O144" s="315">
        <v>0.03</v>
      </c>
      <c r="Q144" s="266" t="s">
        <v>9</v>
      </c>
      <c r="R144" s="266" t="s">
        <v>106</v>
      </c>
      <c r="S144" s="266"/>
      <c r="T144" s="266"/>
      <c r="W144" s="272" t="str">
        <f>IF(IFERROR(VLOOKUP($M144,'IMPORT GS-Tür OL FL 2S2 20'!$H$2:$H$847,1,0),"-")="-","","GS")</f>
        <v/>
      </c>
      <c r="X144" s="272" t="str">
        <f t="shared" si="12"/>
        <v/>
      </c>
      <c r="Z144" s="273" t="str">
        <f>IF(OR($M144="",NOT($O144="{array}")),"",IFERROR(MATCH(PARAMETERS!$M144,DEFAULT!$B$5:$CI$5,0),""))</f>
        <v/>
      </c>
      <c r="AA144" s="272" t="str">
        <f t="shared" si="6"/>
        <v/>
      </c>
      <c r="AB144" s="274" t="str">
        <f>IF(AND(OR($A144="G",$A144="P"),NOT($O144="{array}")),IF(VLOOKUP($K144,base!$B$2:$D$20,3,0)="S",IF(OR($O144="",ISTEXT($O144)),"","STRING!"),IF(VLOOKUP($K144,base!$B$2:$D$20,3,0)="","",IF(ISTEXT($O144),"NUMERIC!",""))),"")</f>
        <v/>
      </c>
      <c r="AC144" s="275" t="str">
        <f>IF($AA144="","",IF($B144="I",VLOOKUP($AA144,#REF!,53,0),INDEX(VALUES!$B$1:$GP$1,1,$AA144)))</f>
        <v/>
      </c>
    </row>
    <row r="145" spans="1:29" s="276" customFormat="1" hidden="1" outlineLevel="1">
      <c r="A145" s="263"/>
      <c r="B145" s="264" t="str">
        <f t="shared" si="11"/>
        <v/>
      </c>
      <c r="C145" s="265">
        <f t="shared" ref="C145:C208" si="13">(ROW()-1)</f>
        <v>144</v>
      </c>
      <c r="D145" s="266"/>
      <c r="E145" s="266"/>
      <c r="F145" s="305"/>
      <c r="G145" s="188"/>
      <c r="H145" s="266"/>
      <c r="I145" s="266" t="s">
        <v>9</v>
      </c>
      <c r="J145" s="266"/>
      <c r="K145" s="313" t="s">
        <v>26</v>
      </c>
      <c r="L145" s="313" t="s">
        <v>29</v>
      </c>
      <c r="M145" s="291" t="s">
        <v>1846</v>
      </c>
      <c r="N145" s="313" t="s">
        <v>1847</v>
      </c>
      <c r="O145" s="315">
        <v>0</v>
      </c>
      <c r="Q145" s="266" t="s">
        <v>9</v>
      </c>
      <c r="R145" s="266" t="s">
        <v>106</v>
      </c>
      <c r="S145" s="266"/>
      <c r="T145" s="266"/>
      <c r="W145" s="272" t="str">
        <f>IF(IFERROR(VLOOKUP($M145,'IMPORT GS-Tür OL FL 2S2 20'!$H$2:$H$847,1,0),"-")="-","","GS")</f>
        <v/>
      </c>
      <c r="X145" s="272" t="str">
        <f t="shared" si="12"/>
        <v/>
      </c>
      <c r="Z145" s="273" t="str">
        <f>IF(OR($M145="",NOT($O145="{array}")),"",IFERROR(MATCH(PARAMETERS!$M145,DEFAULT!$B$5:$CI$5,0),""))</f>
        <v/>
      </c>
      <c r="AA145" s="272" t="str">
        <f t="shared" si="6"/>
        <v/>
      </c>
      <c r="AB145" s="274" t="str">
        <f>IF(AND(OR($A145="G",$A145="P"),NOT($O145="{array}")),IF(VLOOKUP($K145,base!$B$2:$D$20,3,0)="S",IF(OR($O145="",ISTEXT($O145)),"","STRING!"),IF(VLOOKUP($K145,base!$B$2:$D$20,3,0)="","",IF(ISTEXT($O145),"NUMERIC!",""))),"")</f>
        <v/>
      </c>
      <c r="AC145" s="275" t="str">
        <f>IF($AA145="","",IF($B145="I",VLOOKUP($AA145,#REF!,53,0),INDEX(VALUES!$B$1:$GP$1,1,$AA145)))</f>
        <v/>
      </c>
    </row>
    <row r="146" spans="1:29" s="276" customFormat="1" hidden="1" outlineLevel="1">
      <c r="A146" s="263"/>
      <c r="B146" s="264" t="str">
        <f t="shared" si="11"/>
        <v/>
      </c>
      <c r="C146" s="265">
        <f t="shared" si="13"/>
        <v>145</v>
      </c>
      <c r="D146" s="266"/>
      <c r="E146" s="266"/>
      <c r="F146" s="305"/>
      <c r="G146" s="188"/>
      <c r="H146" s="266"/>
      <c r="I146" s="266" t="s">
        <v>9</v>
      </c>
      <c r="J146" s="266"/>
      <c r="K146" s="313" t="s">
        <v>49</v>
      </c>
      <c r="L146" s="313" t="s">
        <v>29</v>
      </c>
      <c r="M146" s="291" t="s">
        <v>1848</v>
      </c>
      <c r="N146" s="313" t="s">
        <v>1849</v>
      </c>
      <c r="O146" s="315">
        <v>1</v>
      </c>
      <c r="Q146" s="266"/>
      <c r="R146" s="266" t="s">
        <v>106</v>
      </c>
      <c r="S146" s="266"/>
      <c r="T146" s="266"/>
      <c r="W146" s="272" t="str">
        <f>IF(IFERROR(VLOOKUP($M146,'IMPORT GS-Tür OL FL 2S2 20'!$H$2:$H$847,1,0),"-")="-","","GS")</f>
        <v/>
      </c>
      <c r="X146" s="272" t="str">
        <f t="shared" si="12"/>
        <v/>
      </c>
      <c r="Z146" s="273" t="str">
        <f>IF(OR($M146="",NOT($O146="{array}")),"",IFERROR(MATCH(PARAMETERS!$M146,DEFAULT!$B$5:$CI$5,0),""))</f>
        <v/>
      </c>
      <c r="AA146" s="272" t="str">
        <f t="shared" si="6"/>
        <v/>
      </c>
      <c r="AB146" s="274" t="str">
        <f>IF(AND(OR($A146="G",$A146="P"),NOT($O146="{array}")),IF(VLOOKUP($K146,base!$B$2:$D$20,3,0)="S",IF(OR($O146="",ISTEXT($O146)),"","STRING!"),IF(VLOOKUP($K146,base!$B$2:$D$20,3,0)="","",IF(ISTEXT($O146),"NUMERIC!",""))),"")</f>
        <v/>
      </c>
      <c r="AC146" s="275" t="str">
        <f>IF($AA146="","",IF($B146="I",VLOOKUP($AA146,#REF!,53,0),INDEX(VALUES!$B$1:$GP$1,1,$AA146)))</f>
        <v/>
      </c>
    </row>
    <row r="147" spans="1:29" s="276" customFormat="1" hidden="1" outlineLevel="1">
      <c r="A147" s="263"/>
      <c r="B147" s="264" t="str">
        <f t="shared" si="11"/>
        <v/>
      </c>
      <c r="C147" s="265">
        <f t="shared" si="13"/>
        <v>146</v>
      </c>
      <c r="D147" s="266"/>
      <c r="E147" s="266"/>
      <c r="F147" s="305"/>
      <c r="G147" s="188"/>
      <c r="H147" s="266"/>
      <c r="I147" s="266" t="s">
        <v>9</v>
      </c>
      <c r="J147" s="266"/>
      <c r="K147" s="313" t="s">
        <v>52</v>
      </c>
      <c r="L147" s="313" t="s">
        <v>29</v>
      </c>
      <c r="M147" s="291" t="s">
        <v>1850</v>
      </c>
      <c r="N147" s="313" t="s">
        <v>1851</v>
      </c>
      <c r="O147" s="315">
        <v>57</v>
      </c>
      <c r="Q147" s="266"/>
      <c r="R147" s="266" t="s">
        <v>106</v>
      </c>
      <c r="S147" s="266"/>
      <c r="T147" s="266"/>
      <c r="W147" s="272" t="str">
        <f>IF(IFERROR(VLOOKUP($M147,'IMPORT GS-Tür OL FL 2S2 20'!$H$2:$H$847,1,0),"-")="-","","GS")</f>
        <v/>
      </c>
      <c r="X147" s="272" t="str">
        <f t="shared" si="12"/>
        <v/>
      </c>
      <c r="Z147" s="273" t="str">
        <f>IF(OR($M147="",NOT($O147="{array}")),"",IFERROR(MATCH(PARAMETERS!$M147,DEFAULT!$B$5:$CI$5,0),""))</f>
        <v/>
      </c>
      <c r="AA147" s="272" t="str">
        <f t="shared" si="6"/>
        <v/>
      </c>
      <c r="AB147" s="274" t="str">
        <f>IF(AND(OR($A147="G",$A147="P"),NOT($O147="{array}")),IF(VLOOKUP($K147,base!$B$2:$D$20,3,0)="S",IF(OR($O147="",ISTEXT($O147)),"","STRING!"),IF(VLOOKUP($K147,base!$B$2:$D$20,3,0)="","",IF(ISTEXT($O147),"NUMERIC!",""))),"")</f>
        <v/>
      </c>
      <c r="AC147" s="275" t="str">
        <f>IF($AA147="","",IF($B147="I",VLOOKUP($AA147,#REF!,53,0),INDEX(VALUES!$B$1:$GP$1,1,$AA147)))</f>
        <v/>
      </c>
    </row>
    <row r="148" spans="1:29" s="276" customFormat="1" hidden="1" outlineLevel="1">
      <c r="A148" s="263"/>
      <c r="B148" s="264" t="str">
        <f t="shared" si="11"/>
        <v/>
      </c>
      <c r="C148" s="265">
        <f t="shared" si="13"/>
        <v>147</v>
      </c>
      <c r="D148" s="266"/>
      <c r="E148" s="266"/>
      <c r="F148" s="305"/>
      <c r="G148" s="188"/>
      <c r="H148" s="266"/>
      <c r="I148" s="266" t="s">
        <v>9</v>
      </c>
      <c r="J148" s="266"/>
      <c r="K148" s="313" t="s">
        <v>52</v>
      </c>
      <c r="L148" s="313" t="s">
        <v>29</v>
      </c>
      <c r="M148" s="291" t="s">
        <v>1852</v>
      </c>
      <c r="N148" s="313" t="s">
        <v>1853</v>
      </c>
      <c r="O148" s="315">
        <v>57</v>
      </c>
      <c r="Q148" s="266"/>
      <c r="R148" s="266" t="s">
        <v>106</v>
      </c>
      <c r="S148" s="266"/>
      <c r="T148" s="266"/>
      <c r="W148" s="272" t="str">
        <f>IF(IFERROR(VLOOKUP($M148,'IMPORT GS-Tür OL FL 2S2 20'!$H$2:$H$847,1,0),"-")="-","","GS")</f>
        <v/>
      </c>
      <c r="X148" s="272" t="str">
        <f t="shared" si="12"/>
        <v/>
      </c>
      <c r="Z148" s="273" t="str">
        <f>IF(OR($M148="",NOT($O148="{array}")),"",IFERROR(MATCH(PARAMETERS!$M148,DEFAULT!$B$5:$CI$5,0),""))</f>
        <v/>
      </c>
      <c r="AA148" s="272" t="str">
        <f t="shared" si="6"/>
        <v/>
      </c>
      <c r="AB148" s="274" t="str">
        <f>IF(AND(OR($A148="G",$A148="P"),NOT($O148="{array}")),IF(VLOOKUP($K148,base!$B$2:$D$20,3,0)="S",IF(OR($O148="",ISTEXT($O148)),"","STRING!"),IF(VLOOKUP($K148,base!$B$2:$D$20,3,0)="","",IF(ISTEXT($O148),"NUMERIC!",""))),"")</f>
        <v/>
      </c>
      <c r="AC148" s="275" t="str">
        <f>IF($AA148="","",IF($B148="I",VLOOKUP($AA148,#REF!,53,0),INDEX(VALUES!$B$1:$GP$1,1,$AA148)))</f>
        <v/>
      </c>
    </row>
    <row r="149" spans="1:29" s="276" customFormat="1" hidden="1" outlineLevel="1">
      <c r="A149" s="263"/>
      <c r="B149" s="264" t="str">
        <f t="shared" si="11"/>
        <v/>
      </c>
      <c r="C149" s="265">
        <f t="shared" si="13"/>
        <v>148</v>
      </c>
      <c r="D149" s="266"/>
      <c r="E149" s="266"/>
      <c r="F149" s="305"/>
      <c r="G149" s="188"/>
      <c r="H149" s="266"/>
      <c r="I149" s="266" t="s">
        <v>9</v>
      </c>
      <c r="J149" s="266"/>
      <c r="K149" s="313" t="s">
        <v>55</v>
      </c>
      <c r="L149" s="313" t="s">
        <v>29</v>
      </c>
      <c r="M149" s="291" t="s">
        <v>1854</v>
      </c>
      <c r="N149" s="313" t="s">
        <v>1855</v>
      </c>
      <c r="O149" s="315">
        <v>3</v>
      </c>
      <c r="Q149" s="266"/>
      <c r="R149" s="266" t="s">
        <v>106</v>
      </c>
      <c r="S149" s="266"/>
      <c r="T149" s="266"/>
      <c r="W149" s="272" t="str">
        <f>IF(IFERROR(VLOOKUP($M149,'IMPORT GS-Tür OL FL 2S2 20'!$H$2:$H$847,1,0),"-")="-","","GS")</f>
        <v/>
      </c>
      <c r="X149" s="272" t="str">
        <f t="shared" si="12"/>
        <v/>
      </c>
      <c r="Z149" s="273" t="str">
        <f>IF(OR($M149="",NOT($O149="{array}")),"",IFERROR(MATCH(PARAMETERS!$M149,DEFAULT!$B$5:$CI$5,0),""))</f>
        <v/>
      </c>
      <c r="AA149" s="272" t="str">
        <f t="shared" si="6"/>
        <v/>
      </c>
      <c r="AB149" s="274" t="str">
        <f>IF(AND(OR($A149="G",$A149="P"),NOT($O149="{array}")),IF(VLOOKUP($K149,base!$B$2:$D$20,3,0)="S",IF(OR($O149="",ISTEXT($O149)),"","STRING!"),IF(VLOOKUP($K149,base!$B$2:$D$20,3,0)="","",IF(ISTEXT($O149),"NUMERIC!",""))),"")</f>
        <v/>
      </c>
      <c r="AC149" s="275" t="str">
        <f>IF($AA149="","",IF($B149="I",VLOOKUP($AA149,#REF!,53,0),INDEX(VALUES!$B$1:$GP$1,1,$AA149)))</f>
        <v/>
      </c>
    </row>
    <row r="150" spans="1:29" s="276" customFormat="1" hidden="1" outlineLevel="1">
      <c r="A150" s="263"/>
      <c r="B150" s="264" t="str">
        <f t="shared" si="11"/>
        <v/>
      </c>
      <c r="C150" s="265">
        <f t="shared" si="13"/>
        <v>149</v>
      </c>
      <c r="D150" s="266"/>
      <c r="E150" s="266"/>
      <c r="F150" s="305"/>
      <c r="G150" s="188"/>
      <c r="H150" s="266"/>
      <c r="I150" s="266" t="s">
        <v>9</v>
      </c>
      <c r="J150" s="266"/>
      <c r="K150" s="313" t="s">
        <v>54</v>
      </c>
      <c r="L150" s="313" t="s">
        <v>29</v>
      </c>
      <c r="M150" s="291" t="s">
        <v>1856</v>
      </c>
      <c r="N150" s="313" t="s">
        <v>1857</v>
      </c>
      <c r="O150" s="315">
        <v>65</v>
      </c>
      <c r="Q150" s="266"/>
      <c r="R150" s="266" t="s">
        <v>106</v>
      </c>
      <c r="S150" s="266"/>
      <c r="T150" s="266"/>
      <c r="W150" s="272" t="str">
        <f>IF(IFERROR(VLOOKUP($M150,'IMPORT GS-Tür OL FL 2S2 20'!$H$2:$H$847,1,0),"-")="-","","GS")</f>
        <v/>
      </c>
      <c r="X150" s="272" t="str">
        <f t="shared" si="12"/>
        <v/>
      </c>
      <c r="Z150" s="273" t="str">
        <f>IF(OR($M150="",NOT($O150="{array}")),"",IFERROR(MATCH(PARAMETERS!$M150,DEFAULT!$B$5:$CI$5,0),""))</f>
        <v/>
      </c>
      <c r="AA150" s="272" t="str">
        <f t="shared" si="6"/>
        <v/>
      </c>
      <c r="AB150" s="274" t="str">
        <f>IF(AND(OR($A150="G",$A150="P"),NOT($O150="{array}")),IF(VLOOKUP($K150,base!$B$2:$D$20,3,0)="S",IF(OR($O150="",ISTEXT($O150)),"","STRING!"),IF(VLOOKUP($K150,base!$B$2:$D$20,3,0)="","",IF(ISTEXT($O150),"NUMERIC!",""))),"")</f>
        <v/>
      </c>
      <c r="AC150" s="275" t="str">
        <f>IF($AA150="","",IF($B150="I",VLOOKUP($AA150,#REF!,53,0),INDEX(VALUES!$B$1:$GP$1,1,$AA150)))</f>
        <v/>
      </c>
    </row>
    <row r="151" spans="1:29" s="276" customFormat="1" hidden="1" outlineLevel="1">
      <c r="A151" s="263"/>
      <c r="B151" s="264" t="str">
        <f t="shared" si="11"/>
        <v/>
      </c>
      <c r="C151" s="265">
        <f t="shared" si="13"/>
        <v>150</v>
      </c>
      <c r="D151" s="266"/>
      <c r="E151" s="266"/>
      <c r="F151" s="305"/>
      <c r="G151" s="188"/>
      <c r="H151" s="266"/>
      <c r="I151" s="266" t="s">
        <v>9</v>
      </c>
      <c r="J151" s="266"/>
      <c r="K151" s="313" t="s">
        <v>55</v>
      </c>
      <c r="L151" s="313" t="s">
        <v>29</v>
      </c>
      <c r="M151" s="291" t="s">
        <v>1858</v>
      </c>
      <c r="N151" s="313" t="s">
        <v>1859</v>
      </c>
      <c r="O151" s="315">
        <v>1</v>
      </c>
      <c r="Q151" s="266"/>
      <c r="R151" s="266" t="s">
        <v>106</v>
      </c>
      <c r="S151" s="266"/>
      <c r="T151" s="266"/>
      <c r="W151" s="272" t="str">
        <f>IF(IFERROR(VLOOKUP($M151,'IMPORT GS-Tür OL FL 2S2 20'!$H$2:$H$847,1,0),"-")="-","","GS")</f>
        <v/>
      </c>
      <c r="X151" s="272" t="str">
        <f t="shared" si="12"/>
        <v/>
      </c>
      <c r="Z151" s="273" t="str">
        <f>IF(OR($M151="",NOT($O151="{array}")),"",IFERROR(MATCH(PARAMETERS!$M151,DEFAULT!$B$5:$CI$5,0),""))</f>
        <v/>
      </c>
      <c r="AA151" s="272" t="str">
        <f t="shared" si="6"/>
        <v/>
      </c>
      <c r="AB151" s="274" t="str">
        <f>IF(AND(OR($A151="G",$A151="P"),NOT($O151="{array}")),IF(VLOOKUP($K151,base!$B$2:$D$20,3,0)="S",IF(OR($O151="",ISTEXT($O151)),"","STRING!"),IF(VLOOKUP($K151,base!$B$2:$D$20,3,0)="","",IF(ISTEXT($O151),"NUMERIC!",""))),"")</f>
        <v/>
      </c>
      <c r="AC151" s="275" t="str">
        <f>IF($AA151="","",IF($B151="I",VLOOKUP($AA151,#REF!,53,0),INDEX(VALUES!$B$1:$GP$1,1,$AA151)))</f>
        <v/>
      </c>
    </row>
    <row r="152" spans="1:29" s="276" customFormat="1" hidden="1" outlineLevel="1">
      <c r="A152" s="263"/>
      <c r="B152" s="264" t="str">
        <f t="shared" si="11"/>
        <v/>
      </c>
      <c r="C152" s="265">
        <f t="shared" si="13"/>
        <v>151</v>
      </c>
      <c r="D152" s="266"/>
      <c r="E152" s="266"/>
      <c r="F152" s="305"/>
      <c r="G152" s="188"/>
      <c r="H152" s="266"/>
      <c r="I152" s="266" t="s">
        <v>9</v>
      </c>
      <c r="J152" s="266"/>
      <c r="K152" s="313" t="s">
        <v>55</v>
      </c>
      <c r="L152" s="313" t="s">
        <v>29</v>
      </c>
      <c r="M152" s="291" t="s">
        <v>1860</v>
      </c>
      <c r="N152" s="313" t="s">
        <v>1861</v>
      </c>
      <c r="O152" s="315">
        <v>19</v>
      </c>
      <c r="Q152" s="266"/>
      <c r="R152" s="266" t="s">
        <v>106</v>
      </c>
      <c r="S152" s="266"/>
      <c r="T152" s="266"/>
      <c r="W152" s="272" t="str">
        <f>IF(IFERROR(VLOOKUP($M152,'IMPORT GS-Tür OL FL 2S2 20'!$H$2:$H$847,1,0),"-")="-","","GS")</f>
        <v/>
      </c>
      <c r="X152" s="272" t="str">
        <f t="shared" si="12"/>
        <v/>
      </c>
      <c r="Z152" s="273" t="str">
        <f>IF(OR($M152="",NOT($O152="{array}")),"",IFERROR(MATCH(PARAMETERS!$M152,DEFAULT!$B$5:$CI$5,0),""))</f>
        <v/>
      </c>
      <c r="AA152" s="272" t="str">
        <f t="shared" si="6"/>
        <v/>
      </c>
      <c r="AB152" s="274" t="str">
        <f>IF(AND(OR($A152="G",$A152="P"),NOT($O152="{array}")),IF(VLOOKUP($K152,base!$B$2:$D$20,3,0)="S",IF(OR($O152="",ISTEXT($O152)),"","STRING!"),IF(VLOOKUP($K152,base!$B$2:$D$20,3,0)="","",IF(ISTEXT($O152),"NUMERIC!",""))),"")</f>
        <v/>
      </c>
      <c r="AC152" s="275" t="str">
        <f>IF($AA152="","",IF($B152="I",VLOOKUP($AA152,#REF!,53,0),INDEX(VALUES!$B$1:$GP$1,1,$AA152)))</f>
        <v/>
      </c>
    </row>
    <row r="153" spans="1:29" s="276" customFormat="1" hidden="1" outlineLevel="1">
      <c r="A153" s="263"/>
      <c r="B153" s="264" t="str">
        <f t="shared" si="11"/>
        <v/>
      </c>
      <c r="C153" s="265">
        <f t="shared" si="13"/>
        <v>152</v>
      </c>
      <c r="D153" s="266"/>
      <c r="E153" s="266"/>
      <c r="F153" s="305"/>
      <c r="G153" s="188"/>
      <c r="H153" s="266"/>
      <c r="I153" s="266" t="s">
        <v>9</v>
      </c>
      <c r="J153" s="266"/>
      <c r="K153" s="313" t="s">
        <v>54</v>
      </c>
      <c r="L153" s="313" t="s">
        <v>29</v>
      </c>
      <c r="M153" s="291" t="s">
        <v>1862</v>
      </c>
      <c r="N153" s="313" t="s">
        <v>1863</v>
      </c>
      <c r="O153" s="315">
        <v>65</v>
      </c>
      <c r="Q153" s="266"/>
      <c r="R153" s="266" t="s">
        <v>106</v>
      </c>
      <c r="S153" s="266"/>
      <c r="T153" s="266"/>
      <c r="W153" s="272" t="str">
        <f>IF(IFERROR(VLOOKUP($M153,'IMPORT GS-Tür OL FL 2S2 20'!$H$2:$H$847,1,0),"-")="-","","GS")</f>
        <v/>
      </c>
      <c r="X153" s="272" t="str">
        <f t="shared" si="12"/>
        <v/>
      </c>
      <c r="Z153" s="273" t="str">
        <f>IF(OR($M153="",NOT($O153="{array}")),"",IFERROR(MATCH(PARAMETERS!$M153,DEFAULT!$B$5:$CI$5,0),""))</f>
        <v/>
      </c>
      <c r="AA153" s="272" t="str">
        <f t="shared" si="6"/>
        <v/>
      </c>
      <c r="AB153" s="274" t="str">
        <f>IF(AND(OR($A153="G",$A153="P"),NOT($O153="{array}")),IF(VLOOKUP($K153,base!$B$2:$D$20,3,0)="S",IF(OR($O153="",ISTEXT($O153)),"","STRING!"),IF(VLOOKUP($K153,base!$B$2:$D$20,3,0)="","",IF(ISTEXT($O153),"NUMERIC!",""))),"")</f>
        <v/>
      </c>
      <c r="AC153" s="275" t="str">
        <f>IF($AA153="","",IF($B153="I",VLOOKUP($AA153,#REF!,53,0),INDEX(VALUES!$B$1:$GP$1,1,$AA153)))</f>
        <v/>
      </c>
    </row>
    <row r="154" spans="1:29" s="276" customFormat="1" hidden="1" outlineLevel="1">
      <c r="A154" s="263"/>
      <c r="B154" s="264" t="str">
        <f t="shared" si="11"/>
        <v/>
      </c>
      <c r="C154" s="265">
        <f t="shared" si="13"/>
        <v>153</v>
      </c>
      <c r="D154" s="266"/>
      <c r="E154" s="266"/>
      <c r="F154" s="305"/>
      <c r="G154" s="188"/>
      <c r="H154" s="266"/>
      <c r="I154" s="266" t="s">
        <v>9</v>
      </c>
      <c r="J154" s="266"/>
      <c r="K154" s="313" t="s">
        <v>54</v>
      </c>
      <c r="L154" s="313" t="s">
        <v>29</v>
      </c>
      <c r="M154" s="291" t="s">
        <v>1864</v>
      </c>
      <c r="N154" s="313" t="s">
        <v>1865</v>
      </c>
      <c r="O154" s="315">
        <v>65</v>
      </c>
      <c r="Q154" s="266"/>
      <c r="R154" s="266" t="s">
        <v>106</v>
      </c>
      <c r="S154" s="266"/>
      <c r="T154" s="266"/>
      <c r="W154" s="272" t="str">
        <f>IF(IFERROR(VLOOKUP($M154,'IMPORT GS-Tür OL FL 2S2 20'!$H$2:$H$847,1,0),"-")="-","","GS")</f>
        <v/>
      </c>
      <c r="X154" s="272" t="str">
        <f t="shared" si="12"/>
        <v/>
      </c>
      <c r="Z154" s="273" t="str">
        <f>IF(OR($M154="",NOT($O154="{array}")),"",IFERROR(MATCH(PARAMETERS!$M154,DEFAULT!$B$5:$CI$5,0),""))</f>
        <v/>
      </c>
      <c r="AA154" s="272" t="str">
        <f t="shared" si="6"/>
        <v/>
      </c>
      <c r="AB154" s="274" t="str">
        <f>IF(AND(OR($A154="G",$A154="P"),NOT($O154="{array}")),IF(VLOOKUP($K154,base!$B$2:$D$20,3,0)="S",IF(OR($O154="",ISTEXT($O154)),"","STRING!"),IF(VLOOKUP($K154,base!$B$2:$D$20,3,0)="","",IF(ISTEXT($O154),"NUMERIC!",""))),"")</f>
        <v/>
      </c>
      <c r="AC154" s="275" t="str">
        <f>IF($AA154="","",IF($B154="I",VLOOKUP($AA154,#REF!,53,0),INDEX(VALUES!$B$1:$GP$1,1,$AA154)))</f>
        <v/>
      </c>
    </row>
    <row r="155" spans="1:29" s="276" customFormat="1" hidden="1" outlineLevel="1">
      <c r="A155" s="263"/>
      <c r="B155" s="264" t="str">
        <f t="shared" si="11"/>
        <v/>
      </c>
      <c r="C155" s="265">
        <f t="shared" si="13"/>
        <v>154</v>
      </c>
      <c r="D155" s="266"/>
      <c r="E155" s="266"/>
      <c r="F155" s="305"/>
      <c r="G155" s="188"/>
      <c r="H155" s="266"/>
      <c r="I155" s="266" t="s">
        <v>9</v>
      </c>
      <c r="J155" s="266"/>
      <c r="K155" s="313" t="s">
        <v>55</v>
      </c>
      <c r="L155" s="313" t="s">
        <v>29</v>
      </c>
      <c r="M155" s="291" t="s">
        <v>1866</v>
      </c>
      <c r="N155" s="313" t="s">
        <v>1867</v>
      </c>
      <c r="O155" s="315">
        <v>1</v>
      </c>
      <c r="Q155" s="266"/>
      <c r="R155" s="266" t="s">
        <v>106</v>
      </c>
      <c r="S155" s="266"/>
      <c r="T155" s="266"/>
      <c r="W155" s="272" t="str">
        <f>IF(IFERROR(VLOOKUP($M155,'IMPORT GS-Tür OL FL 2S2 20'!$H$2:$H$847,1,0),"-")="-","","GS")</f>
        <v/>
      </c>
      <c r="X155" s="272" t="str">
        <f t="shared" si="12"/>
        <v/>
      </c>
      <c r="Z155" s="273" t="str">
        <f>IF(OR($M155="",NOT($O155="{array}")),"",IFERROR(MATCH(PARAMETERS!$M155,DEFAULT!$B$5:$CI$5,0),""))</f>
        <v/>
      </c>
      <c r="AA155" s="272" t="str">
        <f t="shared" si="6"/>
        <v/>
      </c>
      <c r="AB155" s="274" t="str">
        <f>IF(AND(OR($A155="G",$A155="P"),NOT($O155="{array}")),IF(VLOOKUP($K155,base!$B$2:$D$20,3,0)="S",IF(OR($O155="",ISTEXT($O155)),"","STRING!"),IF(VLOOKUP($K155,base!$B$2:$D$20,3,0)="","",IF(ISTEXT($O155),"NUMERIC!",""))),"")</f>
        <v/>
      </c>
      <c r="AC155" s="275" t="str">
        <f>IF($AA155="","",IF($B155="I",VLOOKUP($AA155,#REF!,53,0),INDEX(VALUES!$B$1:$GP$1,1,$AA155)))</f>
        <v/>
      </c>
    </row>
    <row r="156" spans="1:29" s="276" customFormat="1" hidden="1" outlineLevel="1">
      <c r="A156" s="263"/>
      <c r="B156" s="264" t="str">
        <f t="shared" si="11"/>
        <v/>
      </c>
      <c r="C156" s="265">
        <f t="shared" si="13"/>
        <v>155</v>
      </c>
      <c r="D156" s="266"/>
      <c r="E156" s="266"/>
      <c r="F156" s="305"/>
      <c r="G156" s="188"/>
      <c r="H156" s="266"/>
      <c r="I156" s="266" t="s">
        <v>9</v>
      </c>
      <c r="J156" s="266"/>
      <c r="K156" s="313" t="s">
        <v>55</v>
      </c>
      <c r="L156" s="313" t="s">
        <v>29</v>
      </c>
      <c r="M156" s="291" t="s">
        <v>1868</v>
      </c>
      <c r="N156" s="313" t="s">
        <v>1869</v>
      </c>
      <c r="O156" s="315">
        <v>19</v>
      </c>
      <c r="Q156" s="266"/>
      <c r="R156" s="266" t="s">
        <v>106</v>
      </c>
      <c r="S156" s="266"/>
      <c r="T156" s="266"/>
      <c r="W156" s="272" t="str">
        <f>IF(IFERROR(VLOOKUP($M156,'IMPORT GS-Tür OL FL 2S2 20'!$H$2:$H$847,1,0),"-")="-","","GS")</f>
        <v/>
      </c>
      <c r="X156" s="272" t="str">
        <f t="shared" si="12"/>
        <v/>
      </c>
      <c r="Z156" s="273" t="str">
        <f>IF(OR($M156="",NOT($O156="{array}")),"",IFERROR(MATCH(PARAMETERS!$M156,DEFAULT!$B$5:$CI$5,0),""))</f>
        <v/>
      </c>
      <c r="AA156" s="272" t="str">
        <f t="shared" si="6"/>
        <v/>
      </c>
      <c r="AB156" s="274" t="str">
        <f>IF(AND(OR($A156="G",$A156="P"),NOT($O156="{array}")),IF(VLOOKUP($K156,base!$B$2:$D$20,3,0)="S",IF(OR($O156="",ISTEXT($O156)),"","STRING!"),IF(VLOOKUP($K156,base!$B$2:$D$20,3,0)="","",IF(ISTEXT($O156),"NUMERIC!",""))),"")</f>
        <v/>
      </c>
      <c r="AC156" s="275" t="str">
        <f>IF($AA156="","",IF($B156="I",VLOOKUP($AA156,#REF!,53,0),INDEX(VALUES!$B$1:$GP$1,1,$AA156)))</f>
        <v/>
      </c>
    </row>
    <row r="157" spans="1:29" s="276" customFormat="1" hidden="1" outlineLevel="1">
      <c r="A157" s="263"/>
      <c r="B157" s="264" t="str">
        <f t="shared" si="11"/>
        <v/>
      </c>
      <c r="C157" s="265">
        <f t="shared" si="13"/>
        <v>156</v>
      </c>
      <c r="D157" s="266"/>
      <c r="E157" s="266"/>
      <c r="F157" s="305"/>
      <c r="G157" s="188" t="s">
        <v>9</v>
      </c>
      <c r="H157" s="266"/>
      <c r="I157" s="266" t="s">
        <v>9</v>
      </c>
      <c r="J157" s="266"/>
      <c r="K157" s="313" t="s">
        <v>26</v>
      </c>
      <c r="L157" s="313" t="s">
        <v>29</v>
      </c>
      <c r="M157" s="291" t="s">
        <v>1870</v>
      </c>
      <c r="N157" s="313" t="s">
        <v>1871</v>
      </c>
      <c r="O157" s="315">
        <v>5.0000000000000001E-3</v>
      </c>
      <c r="Q157" s="266" t="s">
        <v>9</v>
      </c>
      <c r="R157" s="266" t="s">
        <v>106</v>
      </c>
      <c r="S157" s="266"/>
      <c r="T157" s="266"/>
      <c r="W157" s="272" t="str">
        <f>IF(IFERROR(VLOOKUP($M157,'IMPORT GS-Tür OL FL 2S2 20'!$H$2:$H$847,1,0),"-")="-","","GS")</f>
        <v/>
      </c>
      <c r="X157" s="272" t="str">
        <f t="shared" si="12"/>
        <v/>
      </c>
      <c r="Y157" s="276" t="s">
        <v>919</v>
      </c>
      <c r="Z157" s="273" t="str">
        <f>IF(OR($M157="",NOT($O157="{array}")),"",IFERROR(MATCH(PARAMETERS!$M157,DEFAULT!$B$5:$CI$5,0),""))</f>
        <v/>
      </c>
      <c r="AA157" s="272" t="str">
        <f t="shared" si="6"/>
        <v/>
      </c>
      <c r="AB157" s="274" t="str">
        <f>IF(AND(OR($A157="G",$A157="P"),NOT($O157="{array}")),IF(VLOOKUP($K157,base!$B$2:$D$20,3,0)="S",IF(OR($O157="",ISTEXT($O157)),"","STRING!"),IF(VLOOKUP($K157,base!$B$2:$D$20,3,0)="","",IF(ISTEXT($O157),"NUMERIC!",""))),"")</f>
        <v/>
      </c>
      <c r="AC157" s="275" t="str">
        <f>IF($AA157="","",IF($B157="I",VLOOKUP($AA157,#REF!,53,0),INDEX(VALUES!$B$1:$GP$1,1,$AA157)))</f>
        <v/>
      </c>
    </row>
    <row r="158" spans="1:29" collapsed="1">
      <c r="A158" s="21" t="s">
        <v>86</v>
      </c>
      <c r="B158" s="40" t="str">
        <f t="shared" si="11"/>
        <v/>
      </c>
      <c r="C158" s="41">
        <f t="shared" si="13"/>
        <v>157</v>
      </c>
      <c r="D158" s="260" t="s">
        <v>9</v>
      </c>
      <c r="E158" s="37"/>
      <c r="F158" s="305" t="s">
        <v>9</v>
      </c>
      <c r="G158" s="188"/>
      <c r="H158" s="37"/>
      <c r="I158" s="37"/>
      <c r="J158" s="37"/>
      <c r="K158" s="230" t="s">
        <v>59</v>
      </c>
      <c r="L158" s="230" t="s">
        <v>40</v>
      </c>
      <c r="M158" s="231" t="s">
        <v>1872</v>
      </c>
      <c r="N158" s="232" t="s">
        <v>1873</v>
      </c>
      <c r="O158" s="311"/>
      <c r="R158" s="37" t="s">
        <v>106</v>
      </c>
      <c r="S158" s="37"/>
      <c r="T158" s="37"/>
      <c r="W158" s="14" t="str">
        <f>IF(IFERROR(VLOOKUP($M158,'IMPORT GS-Tür OL FL 2S2 20'!$H$2:$H$847,1,0),"-")="-","","GS")</f>
        <v/>
      </c>
      <c r="X158" s="14" t="str">
        <f t="shared" si="12"/>
        <v>...</v>
      </c>
      <c r="Y158" s="13" t="s">
        <v>1874</v>
      </c>
      <c r="Z158" s="58" t="str">
        <f>IF(OR($M158="",NOT($O158="{array}")),"",IFERROR(MATCH(PARAMETERS!$M158,DEFAULT!$B$5:$CI$5,0),""))</f>
        <v/>
      </c>
      <c r="AA158" s="55" t="str">
        <f t="shared" si="6"/>
        <v/>
      </c>
      <c r="AB158" s="62" t="str">
        <f>IF(AND(OR($A158="G",$A158="P"),NOT($O158="{array}")),IF(VLOOKUP($K158,base!$B$2:$D$20,3,0)="S",IF(OR($O158="",ISTEXT($O158)),"","STRING!"),IF(VLOOKUP($K158,base!$B$2:$D$20,3,0)="","",IF(ISTEXT($O158),"NUMERIC!",""))),"")</f>
        <v/>
      </c>
      <c r="AC158" s="16" t="str">
        <f>IF($AA158="","",IF($B158="I",VLOOKUP($AA158,#REF!,53,0),INDEX(VALUES!$B$1:$GP$1,1,$AA158)))</f>
        <v/>
      </c>
    </row>
    <row r="159" spans="1:29" hidden="1" outlineLevel="1">
      <c r="A159" s="21"/>
      <c r="B159" s="40" t="str">
        <f t="shared" si="11"/>
        <v/>
      </c>
      <c r="C159" s="41">
        <f t="shared" si="13"/>
        <v>158</v>
      </c>
      <c r="D159" s="260"/>
      <c r="E159" s="37"/>
      <c r="F159" s="305" t="s">
        <v>9</v>
      </c>
      <c r="G159" s="188"/>
      <c r="H159" s="37"/>
      <c r="I159" s="37" t="s">
        <v>9</v>
      </c>
      <c r="J159" s="37"/>
      <c r="K159" s="249" t="s">
        <v>20</v>
      </c>
      <c r="L159" s="249" t="s">
        <v>29</v>
      </c>
      <c r="M159" s="214" t="s">
        <v>1875</v>
      </c>
      <c r="N159" s="249" t="s">
        <v>1876</v>
      </c>
      <c r="O159" s="311" t="s">
        <v>1873</v>
      </c>
      <c r="R159" s="37" t="s">
        <v>106</v>
      </c>
      <c r="S159" s="37"/>
      <c r="T159" s="37"/>
      <c r="W159" s="14" t="str">
        <f>IF(IFERROR(VLOOKUP($M159,'IMPORT GS-Tür OL FL 2S2 20'!$H$2:$H$847,1,0),"-")="-","","GS")</f>
        <v>GS</v>
      </c>
      <c r="X159" s="14" t="str">
        <f t="shared" si="12"/>
        <v/>
      </c>
      <c r="Y159" s="13" t="s">
        <v>1877</v>
      </c>
      <c r="Z159" s="58" t="str">
        <f>IF(OR($M159="",NOT($O159="{array}")),"",IFERROR(MATCH(PARAMETERS!$M159,DEFAULT!$B$5:$CI$5,0),""))</f>
        <v/>
      </c>
      <c r="AA159" s="55" t="str">
        <f t="shared" si="6"/>
        <v/>
      </c>
      <c r="AB159" s="62" t="str">
        <f>IF(AND(OR($A159="G",$A159="P"),NOT($O159="{array}")),IF(VLOOKUP($K159,base!$B$2:$D$20,3,0)="S",IF(OR($O159="",ISTEXT($O159)),"","STRING!"),IF(VLOOKUP($K159,base!$B$2:$D$20,3,0)="","",IF(ISTEXT($O159),"NUMERIC!",""))),"")</f>
        <v/>
      </c>
      <c r="AC159" s="16" t="str">
        <f>IF($AA159="","",IF($B159="I",VLOOKUP($AA159,#REF!,53,0),INDEX(VALUES!$B$1:$GP$1,1,$AA159)))</f>
        <v/>
      </c>
    </row>
    <row r="160" spans="1:29" hidden="1" outlineLevel="1">
      <c r="A160" s="21"/>
      <c r="B160" s="40" t="str">
        <f t="shared" si="11"/>
        <v/>
      </c>
      <c r="C160" s="41">
        <f t="shared" si="13"/>
        <v>159</v>
      </c>
      <c r="D160" s="260"/>
      <c r="E160" s="37"/>
      <c r="F160" s="305" t="s">
        <v>9</v>
      </c>
      <c r="G160" s="188" t="s">
        <v>9</v>
      </c>
      <c r="H160" s="37" t="s">
        <v>9</v>
      </c>
      <c r="I160" s="37" t="s">
        <v>9</v>
      </c>
      <c r="J160" s="37"/>
      <c r="K160" s="249" t="s">
        <v>46</v>
      </c>
      <c r="L160" s="249" t="s">
        <v>29</v>
      </c>
      <c r="M160" s="214" t="s">
        <v>1878</v>
      </c>
      <c r="N160" s="249" t="s">
        <v>1876</v>
      </c>
      <c r="O160" s="311">
        <v>3</v>
      </c>
      <c r="R160" s="37" t="s">
        <v>106</v>
      </c>
      <c r="S160" s="37"/>
      <c r="T160" s="37"/>
      <c r="W160" s="14" t="str">
        <f>IF(IFERROR(VLOOKUP($M160,'IMPORT GS-Tür OL FL 2S2 20'!$H$2:$H$847,1,0),"-")="-","","GS")</f>
        <v>GS</v>
      </c>
      <c r="X160" s="14" t="str">
        <f t="shared" si="12"/>
        <v/>
      </c>
      <c r="Z160" s="58" t="str">
        <f>IF(OR($M160="",NOT($O160="{array}")),"",IFERROR(MATCH(PARAMETERS!$M160,DEFAULT!$B$5:$CI$5,0),""))</f>
        <v/>
      </c>
      <c r="AA160" s="55" t="str">
        <f t="shared" si="6"/>
        <v/>
      </c>
      <c r="AB160" s="62" t="str">
        <f>IF(AND(OR($A160="G",$A160="P"),NOT($O160="{array}")),IF(VLOOKUP($K160,base!$B$2:$D$20,3,0)="S",IF(OR($O160="",ISTEXT($O160)),"","STRING!"),IF(VLOOKUP($K160,base!$B$2:$D$20,3,0)="","",IF(ISTEXT($O160),"NUMERIC!",""))),"")</f>
        <v/>
      </c>
      <c r="AC160" s="16" t="str">
        <f>IF($AA160="","",IF($B160="I",VLOOKUP($AA160,#REF!,53,0),INDEX(VALUES!$B$1:$GP$1,1,$AA160)))</f>
        <v/>
      </c>
    </row>
    <row r="161" spans="1:29" hidden="1" outlineLevel="1">
      <c r="A161" s="21"/>
      <c r="B161" s="40" t="str">
        <f t="shared" si="11"/>
        <v/>
      </c>
      <c r="C161" s="41">
        <f t="shared" si="13"/>
        <v>160</v>
      </c>
      <c r="D161" s="260"/>
      <c r="E161" s="37"/>
      <c r="F161" s="305" t="s">
        <v>9</v>
      </c>
      <c r="G161" s="188"/>
      <c r="H161" s="37"/>
      <c r="I161" s="37" t="s">
        <v>9</v>
      </c>
      <c r="J161" s="37"/>
      <c r="K161" s="249" t="s">
        <v>20</v>
      </c>
      <c r="L161" s="249" t="s">
        <v>29</v>
      </c>
      <c r="M161" s="214" t="s">
        <v>1879</v>
      </c>
      <c r="N161" s="249" t="s">
        <v>1880</v>
      </c>
      <c r="O161" s="311" t="s">
        <v>1881</v>
      </c>
      <c r="R161" s="37" t="s">
        <v>106</v>
      </c>
      <c r="S161" s="37"/>
      <c r="T161" s="37"/>
      <c r="W161" s="14" t="str">
        <f>IF(IFERROR(VLOOKUP($M161,'IMPORT GS-Tür OL FL 2S2 20'!$H$2:$H$847,1,0),"-")="-","","GS")</f>
        <v>GS</v>
      </c>
      <c r="X161" s="14" t="str">
        <f t="shared" si="12"/>
        <v/>
      </c>
      <c r="Z161" s="58" t="str">
        <f>IF(OR($M161="",NOT($O161="{array}")),"",IFERROR(MATCH(PARAMETERS!$M161,DEFAULT!$B$5:$CI$5,0),""))</f>
        <v/>
      </c>
      <c r="AA161" s="55" t="str">
        <f t="shared" si="6"/>
        <v/>
      </c>
      <c r="AB161" s="62" t="str">
        <f>IF(AND(OR($A161="G",$A161="P"),NOT($O161="{array}")),IF(VLOOKUP($K161,base!$B$2:$D$20,3,0)="S",IF(OR($O161="",ISTEXT($O161)),"","STRING!"),IF(VLOOKUP($K161,base!$B$2:$D$20,3,0)="","",IF(ISTEXT($O161),"NUMERIC!",""))),"")</f>
        <v/>
      </c>
      <c r="AC161" s="16" t="str">
        <f>IF($AA161="","",IF($B161="I",VLOOKUP($AA161,#REF!,53,0),INDEX(VALUES!$B$1:$GP$1,1,$AA161)))</f>
        <v/>
      </c>
    </row>
    <row r="162" spans="1:29" hidden="1" outlineLevel="1">
      <c r="A162" s="21"/>
      <c r="B162" s="40" t="str">
        <f t="shared" si="11"/>
        <v/>
      </c>
      <c r="C162" s="41">
        <f t="shared" si="13"/>
        <v>161</v>
      </c>
      <c r="D162" s="260"/>
      <c r="E162" s="37"/>
      <c r="F162" s="305" t="s">
        <v>9</v>
      </c>
      <c r="G162" s="188" t="s">
        <v>9</v>
      </c>
      <c r="H162" s="37"/>
      <c r="I162" s="37" t="s">
        <v>9</v>
      </c>
      <c r="J162" s="37"/>
      <c r="K162" s="249" t="s">
        <v>46</v>
      </c>
      <c r="L162" s="249" t="s">
        <v>29</v>
      </c>
      <c r="M162" s="214" t="s">
        <v>1882</v>
      </c>
      <c r="N162" s="249" t="s">
        <v>1880</v>
      </c>
      <c r="O162" s="311">
        <v>2</v>
      </c>
      <c r="R162" s="37" t="s">
        <v>106</v>
      </c>
      <c r="S162" s="37"/>
      <c r="T162" s="37"/>
      <c r="W162" s="14" t="str">
        <f>IF(IFERROR(VLOOKUP($M162,'IMPORT GS-Tür OL FL 2S2 20'!$H$2:$H$847,1,0),"-")="-","","GS")</f>
        <v>GS</v>
      </c>
      <c r="X162" s="14" t="str">
        <f t="shared" si="12"/>
        <v/>
      </c>
      <c r="Z162" s="58" t="str">
        <f>IF(OR($M162="",NOT($O162="{array}")),"",IFERROR(MATCH(PARAMETERS!$M162,DEFAULT!$B$5:$CI$5,0),""))</f>
        <v/>
      </c>
      <c r="AA162" s="55" t="str">
        <f t="shared" ref="AA162:AA408" si="14">IF($M162="","",IFERROR(MATCH($M162,VALUESnames,0),""))</f>
        <v/>
      </c>
      <c r="AB162" s="62" t="str">
        <f>IF(AND(OR($A162="G",$A162="P"),NOT($O162="{array}")),IF(VLOOKUP($K162,base!$B$2:$D$20,3,0)="S",IF(OR($O162="",ISTEXT($O162)),"","STRING!"),IF(VLOOKUP($K162,base!$B$2:$D$20,3,0)="","",IF(ISTEXT($O162),"NUMERIC!",""))),"")</f>
        <v/>
      </c>
      <c r="AC162" s="16" t="str">
        <f>IF($AA162="","",IF($B162="I",VLOOKUP($AA162,#REF!,53,0),INDEX(VALUES!$B$1:$GP$1,1,$AA162)))</f>
        <v/>
      </c>
    </row>
    <row r="163" spans="1:29" hidden="1" outlineLevel="1">
      <c r="A163" s="21"/>
      <c r="B163" s="40" t="str">
        <f t="shared" si="11"/>
        <v/>
      </c>
      <c r="C163" s="41">
        <f t="shared" si="13"/>
        <v>162</v>
      </c>
      <c r="D163" s="260"/>
      <c r="E163" s="37"/>
      <c r="F163" s="305" t="s">
        <v>9</v>
      </c>
      <c r="G163" s="188"/>
      <c r="H163" s="37"/>
      <c r="I163" s="37" t="s">
        <v>9</v>
      </c>
      <c r="J163" s="37"/>
      <c r="K163" s="249" t="s">
        <v>26</v>
      </c>
      <c r="L163" s="249" t="s">
        <v>29</v>
      </c>
      <c r="M163" s="214" t="s">
        <v>1883</v>
      </c>
      <c r="N163" s="249" t="s">
        <v>1884</v>
      </c>
      <c r="O163" s="311">
        <v>0</v>
      </c>
      <c r="Q163" s="37" t="s">
        <v>9</v>
      </c>
      <c r="R163" s="37" t="s">
        <v>106</v>
      </c>
      <c r="S163" s="37"/>
      <c r="T163" s="37"/>
      <c r="W163" s="14" t="str">
        <f>IF(IFERROR(VLOOKUP($M163,'IMPORT GS-Tür OL FL 2S2 20'!$H$2:$H$847,1,0),"-")="-","","GS")</f>
        <v>GS</v>
      </c>
      <c r="X163" s="14" t="str">
        <f t="shared" si="12"/>
        <v/>
      </c>
      <c r="Z163" s="58" t="str">
        <f>IF(OR($M163="",NOT($O163="{array}")),"",IFERROR(MATCH(PARAMETERS!$M163,DEFAULT!$B$5:$CI$5,0),""))</f>
        <v/>
      </c>
      <c r="AA163" s="55" t="str">
        <f t="shared" si="14"/>
        <v/>
      </c>
      <c r="AB163" s="62" t="str">
        <f>IF(AND(OR($A163="G",$A163="P"),NOT($O163="{array}")),IF(VLOOKUP($K163,base!$B$2:$D$20,3,0)="S",IF(OR($O163="",ISTEXT($O163)),"","STRING!"),IF(VLOOKUP($K163,base!$B$2:$D$20,3,0)="","",IF(ISTEXT($O163),"NUMERIC!",""))),"")</f>
        <v/>
      </c>
      <c r="AC163" s="16" t="str">
        <f>IF($AA163="","",IF($B163="I",VLOOKUP($AA163,#REF!,53,0),INDEX(VALUES!$B$1:$GP$1,1,$AA163)))</f>
        <v/>
      </c>
    </row>
    <row r="164" spans="1:29" hidden="1" outlineLevel="1">
      <c r="A164" s="21"/>
      <c r="B164" s="40" t="str">
        <f t="shared" si="11"/>
        <v/>
      </c>
      <c r="C164" s="41">
        <f t="shared" si="13"/>
        <v>163</v>
      </c>
      <c r="D164" s="260"/>
      <c r="E164" s="37"/>
      <c r="F164" s="305" t="s">
        <v>9</v>
      </c>
      <c r="G164" s="188" t="s">
        <v>9</v>
      </c>
      <c r="H164" s="37"/>
      <c r="I164" s="37" t="s">
        <v>9</v>
      </c>
      <c r="J164" s="37"/>
      <c r="K164" s="249" t="s">
        <v>26</v>
      </c>
      <c r="L164" s="249" t="s">
        <v>29</v>
      </c>
      <c r="M164" s="214" t="s">
        <v>1885</v>
      </c>
      <c r="N164" s="249" t="s">
        <v>1884</v>
      </c>
      <c r="O164" s="311">
        <v>0</v>
      </c>
      <c r="Q164" s="37" t="s">
        <v>9</v>
      </c>
      <c r="R164" s="37" t="s">
        <v>106</v>
      </c>
      <c r="S164" s="37"/>
      <c r="T164" s="37"/>
      <c r="W164" s="14" t="str">
        <f>IF(IFERROR(VLOOKUP($M164,'IMPORT GS-Tür OL FL 2S2 20'!$H$2:$H$847,1,0),"-")="-","","GS")</f>
        <v>GS</v>
      </c>
      <c r="X164" s="14" t="str">
        <f t="shared" si="12"/>
        <v/>
      </c>
      <c r="Z164" s="58" t="str">
        <f>IF(OR($M164="",NOT($O164="{array}")),"",IFERROR(MATCH(PARAMETERS!$M164,DEFAULT!$B$5:$CI$5,0),""))</f>
        <v/>
      </c>
      <c r="AA164" s="55" t="str">
        <f t="shared" si="14"/>
        <v/>
      </c>
      <c r="AB164" s="62" t="str">
        <f>IF(AND(OR($A164="G",$A164="P"),NOT($O164="{array}")),IF(VLOOKUP($K164,base!$B$2:$D$20,3,0)="S",IF(OR($O164="",ISTEXT($O164)),"","STRING!"),IF(VLOOKUP($K164,base!$B$2:$D$20,3,0)="","",IF(ISTEXT($O164),"NUMERIC!",""))),"")</f>
        <v/>
      </c>
      <c r="AC164" s="16" t="str">
        <f>IF($AA164="","",IF($B164="I",VLOOKUP($AA164,#REF!,53,0),INDEX(VALUES!$B$1:$GP$1,1,$AA164)))</f>
        <v/>
      </c>
    </row>
    <row r="165" spans="1:29" hidden="1" outlineLevel="1">
      <c r="A165" s="21"/>
      <c r="B165" s="40" t="str">
        <f t="shared" si="11"/>
        <v/>
      </c>
      <c r="C165" s="41">
        <f t="shared" si="13"/>
        <v>164</v>
      </c>
      <c r="D165" s="260"/>
      <c r="E165" s="37"/>
      <c r="F165" s="305" t="s">
        <v>9</v>
      </c>
      <c r="G165" s="188"/>
      <c r="H165" s="37"/>
      <c r="I165" s="37" t="s">
        <v>9</v>
      </c>
      <c r="J165" s="37"/>
      <c r="K165" s="249" t="s">
        <v>20</v>
      </c>
      <c r="L165" s="249" t="s">
        <v>29</v>
      </c>
      <c r="M165" s="214" t="s">
        <v>1886</v>
      </c>
      <c r="N165" s="249" t="s">
        <v>1887</v>
      </c>
      <c r="O165" s="311" t="s">
        <v>1873</v>
      </c>
      <c r="R165" s="37" t="s">
        <v>106</v>
      </c>
      <c r="S165" s="37"/>
      <c r="T165" s="37"/>
      <c r="W165" s="14" t="str">
        <f>IF(IFERROR(VLOOKUP($M165,'IMPORT GS-Tür OL FL 2S2 20'!$H$2:$H$847,1,0),"-")="-","","GS")</f>
        <v>GS</v>
      </c>
      <c r="X165" s="14" t="str">
        <f t="shared" si="12"/>
        <v/>
      </c>
      <c r="Y165" s="13" t="s">
        <v>1888</v>
      </c>
      <c r="Z165" s="58" t="str">
        <f>IF(OR($M165="",NOT($O165="{array}")),"",IFERROR(MATCH(PARAMETERS!$M165,DEFAULT!$B$5:$CI$5,0),""))</f>
        <v/>
      </c>
      <c r="AA165" s="55" t="str">
        <f t="shared" si="14"/>
        <v/>
      </c>
      <c r="AB165" s="62" t="str">
        <f>IF(AND(OR($A165="G",$A165="P"),NOT($O165="{array}")),IF(VLOOKUP($K165,base!$B$2:$D$20,3,0)="S",IF(OR($O165="",ISTEXT($O165)),"","STRING!"),IF(VLOOKUP($K165,base!$B$2:$D$20,3,0)="","",IF(ISTEXT($O165),"NUMERIC!",""))),"")</f>
        <v/>
      </c>
      <c r="AC165" s="16" t="str">
        <f>IF($AA165="","",IF($B165="I",VLOOKUP($AA165,#REF!,53,0),INDEX(VALUES!$B$1:$GP$1,1,$AA165)))</f>
        <v/>
      </c>
    </row>
    <row r="166" spans="1:29" hidden="1" outlineLevel="1">
      <c r="A166" s="21"/>
      <c r="B166" s="40" t="str">
        <f t="shared" si="11"/>
        <v/>
      </c>
      <c r="C166" s="41">
        <f t="shared" si="13"/>
        <v>165</v>
      </c>
      <c r="D166" s="260"/>
      <c r="E166" s="37"/>
      <c r="F166" s="305" t="s">
        <v>9</v>
      </c>
      <c r="G166" s="188" t="s">
        <v>9</v>
      </c>
      <c r="H166" s="37"/>
      <c r="I166" s="37" t="s">
        <v>9</v>
      </c>
      <c r="J166" s="37"/>
      <c r="K166" s="249" t="s">
        <v>46</v>
      </c>
      <c r="L166" s="249" t="s">
        <v>29</v>
      </c>
      <c r="M166" s="214" t="s">
        <v>1889</v>
      </c>
      <c r="N166" s="249" t="s">
        <v>1876</v>
      </c>
      <c r="O166" s="311">
        <v>3</v>
      </c>
      <c r="R166" s="37" t="s">
        <v>106</v>
      </c>
      <c r="S166" s="37"/>
      <c r="T166" s="37"/>
      <c r="W166" s="14" t="str">
        <f>IF(IFERROR(VLOOKUP($M166,'IMPORT GS-Tür OL FL 2S2 20'!$H$2:$H$847,1,0),"-")="-","","GS")</f>
        <v>GS</v>
      </c>
      <c r="X166" s="14" t="str">
        <f t="shared" si="12"/>
        <v/>
      </c>
      <c r="Z166" s="58" t="str">
        <f>IF(OR($M166="",NOT($O166="{array}")),"",IFERROR(MATCH(PARAMETERS!$M166,DEFAULT!$B$5:$CI$5,0),""))</f>
        <v/>
      </c>
      <c r="AA166" s="55" t="str">
        <f t="shared" si="14"/>
        <v/>
      </c>
      <c r="AB166" s="62" t="str">
        <f>IF(AND(OR($A166="G",$A166="P"),NOT($O166="{array}")),IF(VLOOKUP($K166,base!$B$2:$D$20,3,0)="S",IF(OR($O166="",ISTEXT($O166)),"","STRING!"),IF(VLOOKUP($K166,base!$B$2:$D$20,3,0)="","",IF(ISTEXT($O166),"NUMERIC!",""))),"")</f>
        <v/>
      </c>
      <c r="AC166" s="16" t="str">
        <f>IF($AA166="","",IF($B166="I",VLOOKUP($AA166,#REF!,53,0),INDEX(VALUES!$B$1:$GP$1,1,$AA166)))</f>
        <v/>
      </c>
    </row>
    <row r="167" spans="1:29" hidden="1" outlineLevel="1">
      <c r="A167" s="21"/>
      <c r="B167" s="40" t="str">
        <f t="shared" si="11"/>
        <v/>
      </c>
      <c r="C167" s="41">
        <f t="shared" si="13"/>
        <v>166</v>
      </c>
      <c r="D167" s="260"/>
      <c r="E167" s="37"/>
      <c r="F167" s="305" t="s">
        <v>9</v>
      </c>
      <c r="G167" s="188"/>
      <c r="H167" s="37"/>
      <c r="I167" s="37" t="s">
        <v>9</v>
      </c>
      <c r="J167" s="37"/>
      <c r="K167" s="249" t="s">
        <v>20</v>
      </c>
      <c r="L167" s="249" t="s">
        <v>29</v>
      </c>
      <c r="M167" s="214" t="s">
        <v>1890</v>
      </c>
      <c r="N167" s="249" t="s">
        <v>1891</v>
      </c>
      <c r="O167" s="311" t="s">
        <v>1873</v>
      </c>
      <c r="R167" s="37" t="s">
        <v>106</v>
      </c>
      <c r="S167" s="37"/>
      <c r="T167" s="37"/>
      <c r="W167" s="14" t="str">
        <f>IF(IFERROR(VLOOKUP($M167,'IMPORT GS-Tür OL FL 2S2 20'!$H$2:$H$847,1,0),"-")="-","","GS")</f>
        <v>GS</v>
      </c>
      <c r="X167" s="14" t="str">
        <f t="shared" si="12"/>
        <v/>
      </c>
      <c r="Y167" s="13" t="s">
        <v>1888</v>
      </c>
      <c r="Z167" s="58" t="str">
        <f>IF(OR($M167="",NOT($O167="{array}")),"",IFERROR(MATCH(PARAMETERS!$M167,DEFAULT!$B$5:$CI$5,0),""))</f>
        <v/>
      </c>
      <c r="AA167" s="55" t="str">
        <f t="shared" si="14"/>
        <v/>
      </c>
      <c r="AB167" s="62" t="str">
        <f>IF(AND(OR($A167="G",$A167="P"),NOT($O167="{array}")),IF(VLOOKUP($K167,base!$B$2:$D$20,3,0)="S",IF(OR($O167="",ISTEXT($O167)),"","STRING!"),IF(VLOOKUP($K167,base!$B$2:$D$20,3,0)="","",IF(ISTEXT($O167),"NUMERIC!",""))),"")</f>
        <v/>
      </c>
      <c r="AC167" s="16" t="str">
        <f>IF($AA167="","",IF($B167="I",VLOOKUP($AA167,#REF!,53,0),INDEX(VALUES!$B$1:$GP$1,1,$AA167)))</f>
        <v/>
      </c>
    </row>
    <row r="168" spans="1:29" hidden="1" outlineLevel="1">
      <c r="A168" s="21"/>
      <c r="B168" s="40" t="str">
        <f t="shared" si="11"/>
        <v/>
      </c>
      <c r="C168" s="41">
        <f t="shared" si="13"/>
        <v>167</v>
      </c>
      <c r="D168" s="260"/>
      <c r="E168" s="37"/>
      <c r="F168" s="305" t="s">
        <v>9</v>
      </c>
      <c r="G168" s="188" t="s">
        <v>9</v>
      </c>
      <c r="H168" s="37"/>
      <c r="I168" s="37" t="s">
        <v>9</v>
      </c>
      <c r="J168" s="37"/>
      <c r="K168" s="249" t="s">
        <v>46</v>
      </c>
      <c r="L168" s="249" t="s">
        <v>29</v>
      </c>
      <c r="M168" s="214" t="s">
        <v>1892</v>
      </c>
      <c r="N168" s="249" t="s">
        <v>1876</v>
      </c>
      <c r="O168" s="311">
        <v>3</v>
      </c>
      <c r="R168" s="37" t="s">
        <v>106</v>
      </c>
      <c r="S168" s="37"/>
      <c r="T168" s="37"/>
      <c r="W168" s="14" t="str">
        <f>IF(IFERROR(VLOOKUP($M168,'IMPORT GS-Tür OL FL 2S2 20'!$H$2:$H$847,1,0),"-")="-","","GS")</f>
        <v>GS</v>
      </c>
      <c r="X168" s="14" t="str">
        <f t="shared" si="12"/>
        <v/>
      </c>
      <c r="Z168" s="58" t="str">
        <f>IF(OR($M168="",NOT($O168="{array}")),"",IFERROR(MATCH(PARAMETERS!$M168,DEFAULT!$B$5:$CI$5,0),""))</f>
        <v/>
      </c>
      <c r="AA168" s="55" t="str">
        <f t="shared" si="14"/>
        <v/>
      </c>
      <c r="AB168" s="62" t="str">
        <f>IF(AND(OR($A168="G",$A168="P"),NOT($O168="{array}")),IF(VLOOKUP($K168,base!$B$2:$D$20,3,0)="S",IF(OR($O168="",ISTEXT($O168)),"","STRING!"),IF(VLOOKUP($K168,base!$B$2:$D$20,3,0)="","",IF(ISTEXT($O168),"NUMERIC!",""))),"")</f>
        <v/>
      </c>
      <c r="AC168" s="16" t="str">
        <f>IF($AA168="","",IF($B168="I",VLOOKUP($AA168,#REF!,53,0),INDEX(VALUES!$B$1:$GP$1,1,$AA168)))</f>
        <v/>
      </c>
    </row>
    <row r="169" spans="1:29" hidden="1" outlineLevel="1">
      <c r="A169" s="21"/>
      <c r="B169" s="40" t="str">
        <f t="shared" si="11"/>
        <v/>
      </c>
      <c r="C169" s="41">
        <f t="shared" si="13"/>
        <v>168</v>
      </c>
      <c r="D169" s="260"/>
      <c r="E169" s="37"/>
      <c r="F169" s="305" t="s">
        <v>9</v>
      </c>
      <c r="G169" s="188"/>
      <c r="H169" s="37"/>
      <c r="I169" s="37" t="s">
        <v>9</v>
      </c>
      <c r="J169" s="37"/>
      <c r="K169" s="249" t="s">
        <v>49</v>
      </c>
      <c r="L169" s="249" t="s">
        <v>29</v>
      </c>
      <c r="M169" s="214" t="s">
        <v>1893</v>
      </c>
      <c r="N169" s="249" t="s">
        <v>1894</v>
      </c>
      <c r="O169" s="311">
        <v>0</v>
      </c>
      <c r="Q169" s="37" t="s">
        <v>9</v>
      </c>
      <c r="R169" s="37" t="s">
        <v>106</v>
      </c>
      <c r="S169" s="37"/>
      <c r="T169" s="37"/>
      <c r="W169" s="14" t="str">
        <f>IF(IFERROR(VLOOKUP($M169,'IMPORT GS-Tür OL FL 2S2 20'!$H$2:$H$847,1,0),"-")="-","","GS")</f>
        <v>GS</v>
      </c>
      <c r="X169" s="14" t="str">
        <f t="shared" si="12"/>
        <v/>
      </c>
      <c r="Z169" s="58" t="str">
        <f>IF(OR($M169="",NOT($O169="{array}")),"",IFERROR(MATCH(PARAMETERS!$M169,DEFAULT!$B$5:$CI$5,0),""))</f>
        <v/>
      </c>
      <c r="AA169" s="55" t="str">
        <f t="shared" si="14"/>
        <v/>
      </c>
      <c r="AB169" s="62" t="str">
        <f>IF(AND(OR($A169="G",$A169="P"),NOT($O169="{array}")),IF(VLOOKUP($K169,base!$B$2:$D$20,3,0)="S",IF(OR($O169="",ISTEXT($O169)),"","STRING!"),IF(VLOOKUP($K169,base!$B$2:$D$20,3,0)="","",IF(ISTEXT($O169),"NUMERIC!",""))),"")</f>
        <v/>
      </c>
      <c r="AC169" s="16" t="str">
        <f>IF($AA169="","",IF($B169="I",VLOOKUP($AA169,#REF!,53,0),INDEX(VALUES!$B$1:$GP$1,1,$AA169)))</f>
        <v/>
      </c>
    </row>
    <row r="170" spans="1:29" hidden="1" outlineLevel="1">
      <c r="A170" s="21" t="s">
        <v>86</v>
      </c>
      <c r="B170" s="40" t="str">
        <f t="shared" si="11"/>
        <v/>
      </c>
      <c r="C170" s="41">
        <f t="shared" si="13"/>
        <v>169</v>
      </c>
      <c r="D170" s="260" t="s">
        <v>9</v>
      </c>
      <c r="E170" s="37"/>
      <c r="F170" s="305" t="s">
        <v>9</v>
      </c>
      <c r="G170" s="188" t="s">
        <v>9</v>
      </c>
      <c r="H170" s="37"/>
      <c r="I170" s="37" t="s">
        <v>9</v>
      </c>
      <c r="J170" s="37"/>
      <c r="K170" s="249" t="s">
        <v>26</v>
      </c>
      <c r="L170" s="249" t="s">
        <v>29</v>
      </c>
      <c r="M170" s="214" t="s">
        <v>1895</v>
      </c>
      <c r="N170" s="249" t="s">
        <v>1896</v>
      </c>
      <c r="O170" s="311">
        <v>5.5E-2</v>
      </c>
      <c r="Q170" s="37" t="s">
        <v>9</v>
      </c>
      <c r="R170" s="37" t="s">
        <v>106</v>
      </c>
      <c r="S170" s="37"/>
      <c r="T170" s="37"/>
      <c r="W170" s="14" t="str">
        <f>IF(IFERROR(VLOOKUP($M170,'IMPORT GS-Tür OL FL 2S2 20'!$H$2:$H$847,1,0),"-")="-","","GS")</f>
        <v>GS</v>
      </c>
      <c r="X170" s="14" t="str">
        <f t="shared" si="12"/>
        <v>...</v>
      </c>
      <c r="Z170" s="58" t="str">
        <f>IF(OR($M170="",NOT($O170="{array}")),"",IFERROR(MATCH(PARAMETERS!$M170,DEFAULT!$B$5:$CI$5,0),""))</f>
        <v/>
      </c>
      <c r="AA170" s="55" t="str">
        <f t="shared" si="14"/>
        <v/>
      </c>
      <c r="AB170" s="62" t="str">
        <f>IF(AND(OR($A170="G",$A170="P"),NOT($O170="{array}")),IF(VLOOKUP($K170,base!$B$2:$D$20,3,0)="S",IF(OR($O170="",ISTEXT($O170)),"","STRING!"),IF(VLOOKUP($K170,base!$B$2:$D$20,3,0)="","",IF(ISTEXT($O170),"NUMERIC!",""))),"")</f>
        <v/>
      </c>
      <c r="AC170" s="16" t="str">
        <f>IF($AA170="","",IF($B170="I",VLOOKUP($AA170,#REF!,53,0),INDEX(VALUES!$B$1:$GP$1,1,$AA170)))</f>
        <v/>
      </c>
    </row>
    <row r="171" spans="1:29" hidden="1" outlineLevel="1">
      <c r="A171" s="21" t="s">
        <v>86</v>
      </c>
      <c r="B171" s="40" t="str">
        <f t="shared" si="11"/>
        <v/>
      </c>
      <c r="C171" s="41">
        <f t="shared" si="13"/>
        <v>170</v>
      </c>
      <c r="D171" s="260" t="s">
        <v>9</v>
      </c>
      <c r="E171" s="37"/>
      <c r="F171" s="305" t="s">
        <v>9</v>
      </c>
      <c r="G171" s="188" t="s">
        <v>9</v>
      </c>
      <c r="H171" s="37"/>
      <c r="I171" s="37" t="s">
        <v>9</v>
      </c>
      <c r="J171" s="37"/>
      <c r="K171" s="249" t="s">
        <v>26</v>
      </c>
      <c r="L171" s="249" t="s">
        <v>29</v>
      </c>
      <c r="M171" s="214" t="s">
        <v>1897</v>
      </c>
      <c r="N171" s="249" t="s">
        <v>1898</v>
      </c>
      <c r="O171" s="311">
        <v>5.5E-2</v>
      </c>
      <c r="Q171" s="37" t="s">
        <v>9</v>
      </c>
      <c r="R171" s="37" t="s">
        <v>106</v>
      </c>
      <c r="S171" s="37"/>
      <c r="T171" s="37"/>
      <c r="W171" s="14" t="str">
        <f>IF(IFERROR(VLOOKUP($M171,'IMPORT GS-Tür OL FL 2S2 20'!$H$2:$H$847,1,0),"-")="-","","GS")</f>
        <v>GS</v>
      </c>
      <c r="X171" s="14" t="str">
        <f t="shared" si="12"/>
        <v>...</v>
      </c>
      <c r="Z171" s="58" t="str">
        <f>IF(OR($M171="",NOT($O171="{array}")),"",IFERROR(MATCH(PARAMETERS!$M171,DEFAULT!$B$5:$CI$5,0),""))</f>
        <v/>
      </c>
      <c r="AA171" s="55" t="str">
        <f t="shared" si="14"/>
        <v/>
      </c>
      <c r="AB171" s="62" t="str">
        <f>IF(AND(OR($A171="G",$A171="P"),NOT($O171="{array}")),IF(VLOOKUP($K171,base!$B$2:$D$20,3,0)="S",IF(OR($O171="",ISTEXT($O171)),"","STRING!"),IF(VLOOKUP($K171,base!$B$2:$D$20,3,0)="","",IF(ISTEXT($O171),"NUMERIC!",""))),"")</f>
        <v/>
      </c>
      <c r="AC171" s="16" t="str">
        <f>IF($AA171="","",IF($B171="I",VLOOKUP($AA171,#REF!,53,0),INDEX(VALUES!$B$1:$GP$1,1,$AA171)))</f>
        <v/>
      </c>
    </row>
    <row r="172" spans="1:29" hidden="1" outlineLevel="1">
      <c r="A172" s="21"/>
      <c r="B172" s="40" t="str">
        <f t="shared" si="11"/>
        <v/>
      </c>
      <c r="C172" s="41">
        <f t="shared" si="13"/>
        <v>171</v>
      </c>
      <c r="D172" s="260"/>
      <c r="E172" s="37"/>
      <c r="F172" s="305" t="s">
        <v>9</v>
      </c>
      <c r="G172" s="188"/>
      <c r="H172" s="37"/>
      <c r="I172" s="37" t="s">
        <v>9</v>
      </c>
      <c r="J172" s="37"/>
      <c r="K172" s="249" t="s">
        <v>26</v>
      </c>
      <c r="L172" s="249" t="s">
        <v>29</v>
      </c>
      <c r="M172" s="214" t="s">
        <v>1899</v>
      </c>
      <c r="N172" s="249" t="s">
        <v>1900</v>
      </c>
      <c r="O172" s="311">
        <v>0.06</v>
      </c>
      <c r="Q172" s="37" t="s">
        <v>9</v>
      </c>
      <c r="R172" s="37" t="s">
        <v>106</v>
      </c>
      <c r="S172" s="37"/>
      <c r="T172" s="37"/>
      <c r="W172" s="14" t="str">
        <f>IF(IFERROR(VLOOKUP($M172,'IMPORT GS-Tür OL FL 2S2 20'!$H$2:$H$847,1,0),"-")="-","","GS")</f>
        <v>GS</v>
      </c>
      <c r="X172" s="14" t="str">
        <f t="shared" si="12"/>
        <v/>
      </c>
      <c r="Z172" s="58" t="str">
        <f>IF(OR($M172="",NOT($O172="{array}")),"",IFERROR(MATCH(PARAMETERS!$M172,DEFAULT!$B$5:$CI$5,0),""))</f>
        <v/>
      </c>
      <c r="AA172" s="55" t="str">
        <f t="shared" si="14"/>
        <v/>
      </c>
      <c r="AB172" s="62" t="str">
        <f>IF(AND(OR($A172="G",$A172="P"),NOT($O172="{array}")),IF(VLOOKUP($K172,base!$B$2:$D$20,3,0)="S",IF(OR($O172="",ISTEXT($O172)),"","STRING!"),IF(VLOOKUP($K172,base!$B$2:$D$20,3,0)="","",IF(ISTEXT($O172),"NUMERIC!",""))),"")</f>
        <v/>
      </c>
      <c r="AC172" s="16" t="str">
        <f>IF($AA172="","",IF($B172="I",VLOOKUP($AA172,#REF!,53,0),INDEX(VALUES!$B$1:$GP$1,1,$AA172)))</f>
        <v/>
      </c>
    </row>
    <row r="173" spans="1:29" hidden="1" outlineLevel="1">
      <c r="A173" s="21"/>
      <c r="B173" s="40" t="str">
        <f t="shared" si="11"/>
        <v/>
      </c>
      <c r="C173" s="41">
        <f t="shared" si="13"/>
        <v>172</v>
      </c>
      <c r="D173" s="260"/>
      <c r="E173" s="37"/>
      <c r="F173" s="305" t="s">
        <v>9</v>
      </c>
      <c r="G173" s="188"/>
      <c r="H173" s="37"/>
      <c r="I173" s="37" t="s">
        <v>9</v>
      </c>
      <c r="J173" s="37"/>
      <c r="K173" s="249" t="s">
        <v>26</v>
      </c>
      <c r="L173" s="249" t="s">
        <v>29</v>
      </c>
      <c r="M173" s="214" t="s">
        <v>1901</v>
      </c>
      <c r="N173" s="249" t="s">
        <v>1902</v>
      </c>
      <c r="O173" s="311">
        <v>0.06</v>
      </c>
      <c r="Q173" s="37" t="s">
        <v>9</v>
      </c>
      <c r="R173" s="37" t="s">
        <v>106</v>
      </c>
      <c r="S173" s="37"/>
      <c r="T173" s="37"/>
      <c r="W173" s="14" t="str">
        <f>IF(IFERROR(VLOOKUP($M173,'IMPORT GS-Tür OL FL 2S2 20'!$H$2:$H$847,1,0),"-")="-","","GS")</f>
        <v>GS</v>
      </c>
      <c r="X173" s="14" t="str">
        <f t="shared" si="12"/>
        <v/>
      </c>
      <c r="Z173" s="58" t="str">
        <f>IF(OR($M173="",NOT($O173="{array}")),"",IFERROR(MATCH(PARAMETERS!$M173,DEFAULT!$B$5:$CI$5,0),""))</f>
        <v/>
      </c>
      <c r="AA173" s="55" t="str">
        <f t="shared" si="14"/>
        <v/>
      </c>
      <c r="AB173" s="62" t="str">
        <f>IF(AND(OR($A173="G",$A173="P"),NOT($O173="{array}")),IF(VLOOKUP($K173,base!$B$2:$D$20,3,0)="S",IF(OR($O173="",ISTEXT($O173)),"","STRING!"),IF(VLOOKUP($K173,base!$B$2:$D$20,3,0)="","",IF(ISTEXT($O173),"NUMERIC!",""))),"")</f>
        <v/>
      </c>
      <c r="AC173" s="16" t="str">
        <f>IF($AA173="","",IF($B173="I",VLOOKUP($AA173,#REF!,53,0),INDEX(VALUES!$B$1:$GP$1,1,$AA173)))</f>
        <v/>
      </c>
    </row>
    <row r="174" spans="1:29" hidden="1" outlineLevel="1">
      <c r="A174" s="21"/>
      <c r="B174" s="40" t="str">
        <f t="shared" si="11"/>
        <v/>
      </c>
      <c r="C174" s="41">
        <f t="shared" si="13"/>
        <v>173</v>
      </c>
      <c r="D174" s="260"/>
      <c r="E174" s="37"/>
      <c r="F174" s="305" t="s">
        <v>9</v>
      </c>
      <c r="G174" s="188"/>
      <c r="H174" s="37"/>
      <c r="I174" s="37" t="s">
        <v>9</v>
      </c>
      <c r="J174" s="37"/>
      <c r="K174" s="249" t="s">
        <v>26</v>
      </c>
      <c r="L174" s="249" t="s">
        <v>29</v>
      </c>
      <c r="M174" s="214" t="s">
        <v>1903</v>
      </c>
      <c r="N174" s="249" t="s">
        <v>1900</v>
      </c>
      <c r="O174" s="311">
        <v>5.5E-2</v>
      </c>
      <c r="Q174" s="37" t="s">
        <v>9</v>
      </c>
      <c r="R174" s="37" t="s">
        <v>106</v>
      </c>
      <c r="S174" s="37"/>
      <c r="T174" s="37"/>
      <c r="W174" s="14" t="str">
        <f>IF(IFERROR(VLOOKUP($M174,'IMPORT GS-Tür OL FL 2S2 20'!$H$2:$H$847,1,0),"-")="-","","GS")</f>
        <v>GS</v>
      </c>
      <c r="X174" s="14" t="str">
        <f t="shared" si="12"/>
        <v/>
      </c>
      <c r="Z174" s="58" t="str">
        <f>IF(OR($M174="",NOT($O174="{array}")),"",IFERROR(MATCH(PARAMETERS!$M174,DEFAULT!$B$5:$CI$5,0),""))</f>
        <v/>
      </c>
      <c r="AA174" s="55" t="str">
        <f t="shared" si="14"/>
        <v/>
      </c>
      <c r="AB174" s="62" t="str">
        <f>IF(AND(OR($A174="G",$A174="P"),NOT($O174="{array}")),IF(VLOOKUP($K174,base!$B$2:$D$20,3,0)="S",IF(OR($O174="",ISTEXT($O174)),"","STRING!"),IF(VLOOKUP($K174,base!$B$2:$D$20,3,0)="","",IF(ISTEXT($O174),"NUMERIC!",""))),"")</f>
        <v/>
      </c>
      <c r="AC174" s="16" t="str">
        <f>IF($AA174="","",IF($B174="I",VLOOKUP($AA174,#REF!,53,0),INDEX(VALUES!$B$1:$GP$1,1,$AA174)))</f>
        <v/>
      </c>
    </row>
    <row r="175" spans="1:29" hidden="1" outlineLevel="1">
      <c r="A175" s="21"/>
      <c r="B175" s="40" t="str">
        <f t="shared" si="11"/>
        <v/>
      </c>
      <c r="C175" s="41">
        <f t="shared" si="13"/>
        <v>174</v>
      </c>
      <c r="D175" s="260"/>
      <c r="E175" s="37"/>
      <c r="F175" s="305" t="s">
        <v>9</v>
      </c>
      <c r="G175" s="188"/>
      <c r="H175" s="37"/>
      <c r="I175" s="37" t="s">
        <v>9</v>
      </c>
      <c r="J175" s="37"/>
      <c r="K175" s="249" t="s">
        <v>26</v>
      </c>
      <c r="L175" s="249" t="s">
        <v>29</v>
      </c>
      <c r="M175" s="214" t="s">
        <v>1904</v>
      </c>
      <c r="N175" s="249" t="s">
        <v>1902</v>
      </c>
      <c r="O175" s="311">
        <v>5.5E-2</v>
      </c>
      <c r="Q175" s="37" t="s">
        <v>9</v>
      </c>
      <c r="R175" s="37" t="s">
        <v>106</v>
      </c>
      <c r="S175" s="37"/>
      <c r="T175" s="37"/>
      <c r="W175" s="14" t="str">
        <f>IF(IFERROR(VLOOKUP($M175,'IMPORT GS-Tür OL FL 2S2 20'!$H$2:$H$847,1,0),"-")="-","","GS")</f>
        <v>GS</v>
      </c>
      <c r="X175" s="14" t="str">
        <f t="shared" si="12"/>
        <v/>
      </c>
      <c r="Z175" s="58" t="str">
        <f>IF(OR($M175="",NOT($O175="{array}")),"",IFERROR(MATCH(PARAMETERS!$M175,DEFAULT!$B$5:$CI$5,0),""))</f>
        <v/>
      </c>
      <c r="AA175" s="55" t="str">
        <f t="shared" si="14"/>
        <v/>
      </c>
      <c r="AB175" s="62" t="str">
        <f>IF(AND(OR($A175="G",$A175="P"),NOT($O175="{array}")),IF(VLOOKUP($K175,base!$B$2:$D$20,3,0)="S",IF(OR($O175="",ISTEXT($O175)),"","STRING!"),IF(VLOOKUP($K175,base!$B$2:$D$20,3,0)="","",IF(ISTEXT($O175),"NUMERIC!",""))),"")</f>
        <v/>
      </c>
      <c r="AC175" s="16" t="str">
        <f>IF($AA175="","",IF($B175="I",VLOOKUP($AA175,#REF!,53,0),INDEX(VALUES!$B$1:$GP$1,1,$AA175)))</f>
        <v/>
      </c>
    </row>
    <row r="176" spans="1:29" hidden="1" outlineLevel="1">
      <c r="A176" s="21" t="s">
        <v>86</v>
      </c>
      <c r="B176" s="40" t="str">
        <f t="shared" si="11"/>
        <v/>
      </c>
      <c r="C176" s="41">
        <f t="shared" si="13"/>
        <v>175</v>
      </c>
      <c r="D176" s="260" t="s">
        <v>9</v>
      </c>
      <c r="E176" s="37"/>
      <c r="F176" s="305" t="s">
        <v>9</v>
      </c>
      <c r="G176" s="188" t="s">
        <v>9</v>
      </c>
      <c r="H176" s="37"/>
      <c r="I176" s="37" t="s">
        <v>9</v>
      </c>
      <c r="J176" s="37"/>
      <c r="K176" s="249" t="s">
        <v>26</v>
      </c>
      <c r="L176" s="249" t="s">
        <v>29</v>
      </c>
      <c r="M176" s="214" t="s">
        <v>1905</v>
      </c>
      <c r="N176" s="249" t="s">
        <v>1906</v>
      </c>
      <c r="O176" s="311">
        <v>5.5E-2</v>
      </c>
      <c r="Q176" s="37" t="s">
        <v>9</v>
      </c>
      <c r="R176" s="37" t="s">
        <v>106</v>
      </c>
      <c r="S176" s="37"/>
      <c r="T176" s="37"/>
      <c r="W176" s="14" t="str">
        <f>IF(IFERROR(VLOOKUP($M176,'IMPORT GS-Tür OL FL 2S2 20'!$H$2:$H$847,1,0),"-")="-","","GS")</f>
        <v>GS</v>
      </c>
      <c r="X176" s="14" t="str">
        <f t="shared" si="12"/>
        <v>...</v>
      </c>
      <c r="Z176" s="58" t="str">
        <f>IF(OR($M176="",NOT($O176="{array}")),"",IFERROR(MATCH(PARAMETERS!$M176,DEFAULT!$B$5:$CI$5,0),""))</f>
        <v/>
      </c>
      <c r="AA176" s="55" t="str">
        <f t="shared" si="14"/>
        <v/>
      </c>
      <c r="AB176" s="62" t="str">
        <f>IF(AND(OR($A176="G",$A176="P"),NOT($O176="{array}")),IF(VLOOKUP($K176,base!$B$2:$D$20,3,0)="S",IF(OR($O176="",ISTEXT($O176)),"","STRING!"),IF(VLOOKUP($K176,base!$B$2:$D$20,3,0)="","",IF(ISTEXT($O176),"NUMERIC!",""))),"")</f>
        <v/>
      </c>
      <c r="AC176" s="16" t="str">
        <f>IF($AA176="","",IF($B176="I",VLOOKUP($AA176,#REF!,53,0),INDEX(VALUES!$B$1:$GP$1,1,$AA176)))</f>
        <v/>
      </c>
    </row>
    <row r="177" spans="1:29" hidden="1" outlineLevel="1">
      <c r="A177" s="21" t="s">
        <v>86</v>
      </c>
      <c r="B177" s="40" t="str">
        <f t="shared" si="11"/>
        <v/>
      </c>
      <c r="C177" s="41">
        <f t="shared" si="13"/>
        <v>176</v>
      </c>
      <c r="D177" s="260" t="s">
        <v>9</v>
      </c>
      <c r="E177" s="37"/>
      <c r="F177" s="305" t="s">
        <v>9</v>
      </c>
      <c r="G177" s="188" t="s">
        <v>9</v>
      </c>
      <c r="H177" s="37"/>
      <c r="I177" s="37" t="s">
        <v>9</v>
      </c>
      <c r="J177" s="37"/>
      <c r="K177" s="249" t="s">
        <v>26</v>
      </c>
      <c r="L177" s="249" t="s">
        <v>29</v>
      </c>
      <c r="M177" s="214" t="s">
        <v>1907</v>
      </c>
      <c r="N177" s="249" t="s">
        <v>1908</v>
      </c>
      <c r="O177" s="311">
        <v>5.5E-2</v>
      </c>
      <c r="Q177" s="37" t="s">
        <v>9</v>
      </c>
      <c r="R177" s="37" t="s">
        <v>106</v>
      </c>
      <c r="S177" s="37"/>
      <c r="T177" s="37"/>
      <c r="W177" s="14" t="str">
        <f>IF(IFERROR(VLOOKUP($M177,'IMPORT GS-Tür OL FL 2S2 20'!$H$2:$H$847,1,0),"-")="-","","GS")</f>
        <v>GS</v>
      </c>
      <c r="X177" s="14" t="str">
        <f t="shared" si="12"/>
        <v>...</v>
      </c>
      <c r="Z177" s="58" t="str">
        <f>IF(OR($M177="",NOT($O177="{array}")),"",IFERROR(MATCH(PARAMETERS!$M177,DEFAULT!$B$5:$CI$5,0),""))</f>
        <v/>
      </c>
      <c r="AA177" s="55" t="str">
        <f t="shared" si="14"/>
        <v/>
      </c>
      <c r="AB177" s="62" t="str">
        <f>IF(AND(OR($A177="G",$A177="P"),NOT($O177="{array}")),IF(VLOOKUP($K177,base!$B$2:$D$20,3,0)="S",IF(OR($O177="",ISTEXT($O177)),"","STRING!"),IF(VLOOKUP($K177,base!$B$2:$D$20,3,0)="","",IF(ISTEXT($O177),"NUMERIC!",""))),"")</f>
        <v/>
      </c>
      <c r="AC177" s="16" t="str">
        <f>IF($AA177="","",IF($B177="I",VLOOKUP($AA177,#REF!,53,0),INDEX(VALUES!$B$1:$GP$1,1,$AA177)))</f>
        <v/>
      </c>
    </row>
    <row r="178" spans="1:29" hidden="1" outlineLevel="1">
      <c r="A178" s="21"/>
      <c r="B178" s="40" t="str">
        <f t="shared" si="11"/>
        <v/>
      </c>
      <c r="C178" s="41">
        <f t="shared" si="13"/>
        <v>177</v>
      </c>
      <c r="D178" s="260"/>
      <c r="E178" s="37"/>
      <c r="F178" s="305" t="s">
        <v>9</v>
      </c>
      <c r="G178" s="188"/>
      <c r="H178" s="37"/>
      <c r="I178" s="37" t="s">
        <v>9</v>
      </c>
      <c r="J178" s="37"/>
      <c r="K178" s="249" t="s">
        <v>26</v>
      </c>
      <c r="L178" s="249" t="s">
        <v>29</v>
      </c>
      <c r="M178" s="214" t="s">
        <v>1909</v>
      </c>
      <c r="N178" s="249" t="s">
        <v>1910</v>
      </c>
      <c r="O178" s="311">
        <v>0.06</v>
      </c>
      <c r="Q178" s="37" t="s">
        <v>9</v>
      </c>
      <c r="R178" s="37" t="s">
        <v>106</v>
      </c>
      <c r="S178" s="37"/>
      <c r="T178" s="37"/>
      <c r="W178" s="14" t="str">
        <f>IF(IFERROR(VLOOKUP($M178,'IMPORT GS-Tür OL FL 2S2 20'!$H$2:$H$847,1,0),"-")="-","","GS")</f>
        <v>GS</v>
      </c>
      <c r="X178" s="14" t="str">
        <f t="shared" si="12"/>
        <v/>
      </c>
      <c r="Z178" s="58" t="str">
        <f>IF(OR($M178="",NOT($O178="{array}")),"",IFERROR(MATCH(PARAMETERS!$M178,DEFAULT!$B$5:$CI$5,0),""))</f>
        <v/>
      </c>
      <c r="AA178" s="55" t="str">
        <f t="shared" si="14"/>
        <v/>
      </c>
      <c r="AB178" s="62" t="str">
        <f>IF(AND(OR($A178="G",$A178="P"),NOT($O178="{array}")),IF(VLOOKUP($K178,base!$B$2:$D$20,3,0)="S",IF(OR($O178="",ISTEXT($O178)),"","STRING!"),IF(VLOOKUP($K178,base!$B$2:$D$20,3,0)="","",IF(ISTEXT($O178),"NUMERIC!",""))),"")</f>
        <v/>
      </c>
      <c r="AC178" s="16" t="str">
        <f>IF($AA178="","",IF($B178="I",VLOOKUP($AA178,#REF!,53,0),INDEX(VALUES!$B$1:$GP$1,1,$AA178)))</f>
        <v/>
      </c>
    </row>
    <row r="179" spans="1:29" hidden="1" outlineLevel="1">
      <c r="A179" s="21"/>
      <c r="B179" s="40" t="str">
        <f t="shared" si="11"/>
        <v/>
      </c>
      <c r="C179" s="41">
        <f t="shared" si="13"/>
        <v>178</v>
      </c>
      <c r="D179" s="260"/>
      <c r="E179" s="37"/>
      <c r="F179" s="305" t="s">
        <v>9</v>
      </c>
      <c r="G179" s="188"/>
      <c r="H179" s="37"/>
      <c r="I179" s="37" t="s">
        <v>9</v>
      </c>
      <c r="J179" s="37"/>
      <c r="K179" s="249" t="s">
        <v>26</v>
      </c>
      <c r="L179" s="249" t="s">
        <v>29</v>
      </c>
      <c r="M179" s="214" t="s">
        <v>1911</v>
      </c>
      <c r="N179" s="249" t="s">
        <v>1912</v>
      </c>
      <c r="O179" s="311">
        <v>0</v>
      </c>
      <c r="Q179" s="37" t="s">
        <v>9</v>
      </c>
      <c r="R179" s="37" t="s">
        <v>106</v>
      </c>
      <c r="S179" s="37"/>
      <c r="T179" s="37"/>
      <c r="W179" s="14" t="str">
        <f>IF(IFERROR(VLOOKUP($M179,'IMPORT GS-Tür OL FL 2S2 20'!$H$2:$H$847,1,0),"-")="-","","GS")</f>
        <v>GS</v>
      </c>
      <c r="X179" s="14" t="str">
        <f t="shared" si="12"/>
        <v/>
      </c>
      <c r="Z179" s="58" t="str">
        <f>IF(OR($M179="",NOT($O179="{array}")),"",IFERROR(MATCH(PARAMETERS!$M179,DEFAULT!$B$5:$CI$5,0),""))</f>
        <v/>
      </c>
      <c r="AA179" s="55" t="str">
        <f t="shared" si="14"/>
        <v/>
      </c>
      <c r="AB179" s="62" t="str">
        <f>IF(AND(OR($A179="G",$A179="P"),NOT($O179="{array}")),IF(VLOOKUP($K179,base!$B$2:$D$20,3,0)="S",IF(OR($O179="",ISTEXT($O179)),"","STRING!"),IF(VLOOKUP($K179,base!$B$2:$D$20,3,0)="","",IF(ISTEXT($O179),"NUMERIC!",""))),"")</f>
        <v/>
      </c>
      <c r="AC179" s="16" t="str">
        <f>IF($AA179="","",IF($B179="I",VLOOKUP($AA179,#REF!,53,0),INDEX(VALUES!$B$1:$GP$1,1,$AA179)))</f>
        <v/>
      </c>
    </row>
    <row r="180" spans="1:29" hidden="1" outlineLevel="1">
      <c r="A180" s="21"/>
      <c r="B180" s="40" t="str">
        <f t="shared" si="11"/>
        <v/>
      </c>
      <c r="C180" s="41">
        <f t="shared" si="13"/>
        <v>179</v>
      </c>
      <c r="D180" s="260"/>
      <c r="E180" s="37"/>
      <c r="F180" s="305" t="s">
        <v>9</v>
      </c>
      <c r="G180" s="188"/>
      <c r="H180" s="37"/>
      <c r="I180" s="37" t="s">
        <v>9</v>
      </c>
      <c r="J180" s="37"/>
      <c r="K180" s="249" t="s">
        <v>26</v>
      </c>
      <c r="L180" s="249" t="s">
        <v>29</v>
      </c>
      <c r="M180" s="214" t="s">
        <v>1913</v>
      </c>
      <c r="N180" s="249" t="s">
        <v>1910</v>
      </c>
      <c r="O180" s="311">
        <v>5.5E-2</v>
      </c>
      <c r="Q180" s="37" t="s">
        <v>9</v>
      </c>
      <c r="R180" s="37" t="s">
        <v>106</v>
      </c>
      <c r="S180" s="37"/>
      <c r="T180" s="37"/>
      <c r="W180" s="14" t="str">
        <f>IF(IFERROR(VLOOKUP($M180,'IMPORT GS-Tür OL FL 2S2 20'!$H$2:$H$847,1,0),"-")="-","","GS")</f>
        <v>GS</v>
      </c>
      <c r="X180" s="14" t="str">
        <f t="shared" si="12"/>
        <v/>
      </c>
      <c r="Z180" s="58" t="str">
        <f>IF(OR($M180="",NOT($O180="{array}")),"",IFERROR(MATCH(PARAMETERS!$M180,DEFAULT!$B$5:$CI$5,0),""))</f>
        <v/>
      </c>
      <c r="AA180" s="55" t="str">
        <f t="shared" si="14"/>
        <v/>
      </c>
      <c r="AB180" s="62" t="str">
        <f>IF(AND(OR($A180="G",$A180="P"),NOT($O180="{array}")),IF(VLOOKUP($K180,base!$B$2:$D$20,3,0)="S",IF(OR($O180="",ISTEXT($O180)),"","STRING!"),IF(VLOOKUP($K180,base!$B$2:$D$20,3,0)="","",IF(ISTEXT($O180),"NUMERIC!",""))),"")</f>
        <v/>
      </c>
      <c r="AC180" s="16" t="str">
        <f>IF($AA180="","",IF($B180="I",VLOOKUP($AA180,#REF!,53,0),INDEX(VALUES!$B$1:$GP$1,1,$AA180)))</f>
        <v/>
      </c>
    </row>
    <row r="181" spans="1:29" hidden="1" outlineLevel="1">
      <c r="A181" s="21"/>
      <c r="B181" s="40" t="str">
        <f t="shared" si="11"/>
        <v/>
      </c>
      <c r="C181" s="41">
        <f t="shared" si="13"/>
        <v>180</v>
      </c>
      <c r="D181" s="260"/>
      <c r="E181" s="37"/>
      <c r="F181" s="305" t="s">
        <v>9</v>
      </c>
      <c r="G181" s="188"/>
      <c r="H181" s="37"/>
      <c r="I181" s="37" t="s">
        <v>9</v>
      </c>
      <c r="J181" s="37"/>
      <c r="K181" s="249" t="s">
        <v>26</v>
      </c>
      <c r="L181" s="249" t="s">
        <v>29</v>
      </c>
      <c r="M181" s="214" t="s">
        <v>1914</v>
      </c>
      <c r="N181" s="249" t="s">
        <v>1912</v>
      </c>
      <c r="O181" s="311">
        <v>5.5E-2</v>
      </c>
      <c r="Q181" s="37" t="s">
        <v>9</v>
      </c>
      <c r="R181" s="37" t="s">
        <v>106</v>
      </c>
      <c r="S181" s="37"/>
      <c r="T181" s="37"/>
      <c r="W181" s="14" t="str">
        <f>IF(IFERROR(VLOOKUP($M181,'IMPORT GS-Tür OL FL 2S2 20'!$H$2:$H$847,1,0),"-")="-","","GS")</f>
        <v>GS</v>
      </c>
      <c r="X181" s="14" t="str">
        <f t="shared" si="12"/>
        <v/>
      </c>
      <c r="Z181" s="58" t="str">
        <f>IF(OR($M181="",NOT($O181="{array}")),"",IFERROR(MATCH(PARAMETERS!$M181,DEFAULT!$B$5:$CI$5,0),""))</f>
        <v/>
      </c>
      <c r="AA181" s="55" t="str">
        <f t="shared" si="14"/>
        <v/>
      </c>
      <c r="AB181" s="62" t="str">
        <f>IF(AND(OR($A181="G",$A181="P"),NOT($O181="{array}")),IF(VLOOKUP($K181,base!$B$2:$D$20,3,0)="S",IF(OR($O181="",ISTEXT($O181)),"","STRING!"),IF(VLOOKUP($K181,base!$B$2:$D$20,3,0)="","",IF(ISTEXT($O181),"NUMERIC!",""))),"")</f>
        <v/>
      </c>
      <c r="AC181" s="16" t="str">
        <f>IF($AA181="","",IF($B181="I",VLOOKUP($AA181,#REF!,53,0),INDEX(VALUES!$B$1:$GP$1,1,$AA181)))</f>
        <v/>
      </c>
    </row>
    <row r="182" spans="1:29" hidden="1" outlineLevel="1">
      <c r="A182" s="21"/>
      <c r="B182" s="40" t="str">
        <f t="shared" si="11"/>
        <v/>
      </c>
      <c r="C182" s="41">
        <f t="shared" si="13"/>
        <v>181</v>
      </c>
      <c r="D182" s="260"/>
      <c r="E182" s="37"/>
      <c r="F182" s="305" t="s">
        <v>9</v>
      </c>
      <c r="G182" s="188"/>
      <c r="H182" s="37"/>
      <c r="I182" s="37" t="s">
        <v>9</v>
      </c>
      <c r="J182" s="37"/>
      <c r="K182" s="249" t="s">
        <v>26</v>
      </c>
      <c r="L182" s="249" t="s">
        <v>29</v>
      </c>
      <c r="M182" s="214" t="s">
        <v>1915</v>
      </c>
      <c r="N182" s="249" t="s">
        <v>1916</v>
      </c>
      <c r="O182" s="311">
        <v>0.05</v>
      </c>
      <c r="Q182" s="37" t="s">
        <v>9</v>
      </c>
      <c r="R182" s="37" t="s">
        <v>106</v>
      </c>
      <c r="S182" s="37"/>
      <c r="T182" s="37"/>
      <c r="W182" s="14" t="str">
        <f>IF(IFERROR(VLOOKUP($M182,'IMPORT GS-Tür OL FL 2S2 20'!$H$2:$H$847,1,0),"-")="-","","GS")</f>
        <v>GS</v>
      </c>
      <c r="X182" s="14" t="str">
        <f t="shared" si="12"/>
        <v/>
      </c>
      <c r="Z182" s="58" t="str">
        <f>IF(OR($M182="",NOT($O182="{array}")),"",IFERROR(MATCH(PARAMETERS!$M182,DEFAULT!$B$5:$CI$5,0),""))</f>
        <v/>
      </c>
      <c r="AA182" s="55" t="str">
        <f t="shared" si="14"/>
        <v/>
      </c>
      <c r="AB182" s="62" t="str">
        <f>IF(AND(OR($A182="G",$A182="P"),NOT($O182="{array}")),IF(VLOOKUP($K182,base!$B$2:$D$20,3,0)="S",IF(OR($O182="",ISTEXT($O182)),"","STRING!"),IF(VLOOKUP($K182,base!$B$2:$D$20,3,0)="","",IF(ISTEXT($O182),"NUMERIC!",""))),"")</f>
        <v/>
      </c>
      <c r="AC182" s="16" t="str">
        <f>IF($AA182="","",IF($B182="I",VLOOKUP($AA182,#REF!,53,0),INDEX(VALUES!$B$1:$GP$1,1,$AA182)))</f>
        <v/>
      </c>
    </row>
    <row r="183" spans="1:29" hidden="1" outlineLevel="1">
      <c r="A183" s="21"/>
      <c r="B183" s="40" t="str">
        <f t="shared" si="11"/>
        <v/>
      </c>
      <c r="C183" s="41">
        <f t="shared" si="13"/>
        <v>182</v>
      </c>
      <c r="D183" s="260"/>
      <c r="E183" s="37"/>
      <c r="F183" s="305" t="s">
        <v>9</v>
      </c>
      <c r="G183" s="188"/>
      <c r="H183" s="37"/>
      <c r="I183" s="37" t="s">
        <v>9</v>
      </c>
      <c r="J183" s="37"/>
      <c r="K183" s="249" t="s">
        <v>20</v>
      </c>
      <c r="L183" s="249" t="s">
        <v>29</v>
      </c>
      <c r="M183" s="214" t="s">
        <v>1917</v>
      </c>
      <c r="N183" s="249" t="s">
        <v>1918</v>
      </c>
      <c r="O183" s="311" t="s">
        <v>1919</v>
      </c>
      <c r="R183" s="37" t="s">
        <v>106</v>
      </c>
      <c r="S183" s="37"/>
      <c r="T183" s="37"/>
      <c r="W183" s="14" t="str">
        <f>IF(IFERROR(VLOOKUP($M183,'IMPORT GS-Tür OL FL 2S2 20'!$H$2:$H$847,1,0),"-")="-","","GS")</f>
        <v>GS</v>
      </c>
      <c r="X183" s="14" t="str">
        <f t="shared" si="12"/>
        <v/>
      </c>
      <c r="Z183" s="58" t="str">
        <f>IF(OR($M183="",NOT($O183="{array}")),"",IFERROR(MATCH(PARAMETERS!$M183,DEFAULT!$B$5:$CI$5,0),""))</f>
        <v/>
      </c>
      <c r="AA183" s="55" t="str">
        <f t="shared" si="14"/>
        <v/>
      </c>
      <c r="AB183" s="62" t="str">
        <f>IF(AND(OR($A183="G",$A183="P"),NOT($O183="{array}")),IF(VLOOKUP($K183,base!$B$2:$D$20,3,0)="S",IF(OR($O183="",ISTEXT($O183)),"","STRING!"),IF(VLOOKUP($K183,base!$B$2:$D$20,3,0)="","",IF(ISTEXT($O183),"NUMERIC!",""))),"")</f>
        <v/>
      </c>
      <c r="AC183" s="16" t="str">
        <f>IF($AA183="","",IF($B183="I",VLOOKUP($AA183,#REF!,53,0),INDEX(VALUES!$B$1:$GP$1,1,$AA183)))</f>
        <v/>
      </c>
    </row>
    <row r="184" spans="1:29" hidden="1" outlineLevel="1">
      <c r="A184" s="21"/>
      <c r="B184" s="40" t="str">
        <f t="shared" si="11"/>
        <v/>
      </c>
      <c r="C184" s="41">
        <f t="shared" si="13"/>
        <v>183</v>
      </c>
      <c r="D184" s="260"/>
      <c r="E184" s="37"/>
      <c r="F184" s="305" t="s">
        <v>9</v>
      </c>
      <c r="G184" s="188" t="s">
        <v>9</v>
      </c>
      <c r="H184" s="37"/>
      <c r="I184" s="37" t="s">
        <v>9</v>
      </c>
      <c r="J184" s="37"/>
      <c r="K184" s="249" t="s">
        <v>46</v>
      </c>
      <c r="L184" s="249" t="s">
        <v>29</v>
      </c>
      <c r="M184" s="214" t="s">
        <v>1920</v>
      </c>
      <c r="N184" s="249" t="s">
        <v>1918</v>
      </c>
      <c r="O184" s="311">
        <v>1</v>
      </c>
      <c r="R184" s="37" t="s">
        <v>106</v>
      </c>
      <c r="S184" s="37"/>
      <c r="T184" s="37"/>
      <c r="W184" s="14" t="str">
        <f>IF(IFERROR(VLOOKUP($M184,'IMPORT GS-Tür OL FL 2S2 20'!$H$2:$H$847,1,0),"-")="-","","GS")</f>
        <v>GS</v>
      </c>
      <c r="X184" s="14" t="str">
        <f t="shared" si="12"/>
        <v/>
      </c>
      <c r="Z184" s="58" t="str">
        <f>IF(OR($M184="",NOT($O184="{array}")),"",IFERROR(MATCH(PARAMETERS!$M184,DEFAULT!$B$5:$CI$5,0),""))</f>
        <v/>
      </c>
      <c r="AA184" s="55" t="str">
        <f t="shared" si="14"/>
        <v/>
      </c>
      <c r="AB184" s="62" t="str">
        <f>IF(AND(OR($A184="G",$A184="P"),NOT($O184="{array}")),IF(VLOOKUP($K184,base!$B$2:$D$20,3,0)="S",IF(OR($O184="",ISTEXT($O184)),"","STRING!"),IF(VLOOKUP($K184,base!$B$2:$D$20,3,0)="","",IF(ISTEXT($O184),"NUMERIC!",""))),"")</f>
        <v/>
      </c>
      <c r="AC184" s="16" t="str">
        <f>IF($AA184="","",IF($B184="I",VLOOKUP($AA184,#REF!,53,0),INDEX(VALUES!$B$1:$GP$1,1,$AA184)))</f>
        <v/>
      </c>
    </row>
    <row r="185" spans="1:29" hidden="1" outlineLevel="1">
      <c r="A185" s="21"/>
      <c r="B185" s="40" t="str">
        <f t="shared" si="11"/>
        <v/>
      </c>
      <c r="C185" s="41">
        <f t="shared" si="13"/>
        <v>184</v>
      </c>
      <c r="D185" s="260"/>
      <c r="E185" s="37"/>
      <c r="F185" s="305" t="s">
        <v>9</v>
      </c>
      <c r="G185" s="188"/>
      <c r="H185" s="37"/>
      <c r="I185" s="37" t="s">
        <v>9</v>
      </c>
      <c r="J185" s="37"/>
      <c r="K185" s="249" t="s">
        <v>33</v>
      </c>
      <c r="L185" s="249" t="s">
        <v>29</v>
      </c>
      <c r="M185" s="214" t="s">
        <v>1921</v>
      </c>
      <c r="N185" s="249" t="s">
        <v>1922</v>
      </c>
      <c r="O185" s="311">
        <v>20</v>
      </c>
      <c r="Q185" s="37" t="s">
        <v>9</v>
      </c>
      <c r="R185" s="37" t="s">
        <v>106</v>
      </c>
      <c r="S185" s="37"/>
      <c r="T185" s="37"/>
      <c r="W185" s="14" t="str">
        <f>IF(IFERROR(VLOOKUP($M185,'IMPORT GS-Tür OL FL 2S2 20'!$H$2:$H$847,1,0),"-")="-","","GS")</f>
        <v>GS</v>
      </c>
      <c r="X185" s="14" t="str">
        <f t="shared" si="12"/>
        <v/>
      </c>
      <c r="Z185" s="58" t="str">
        <f>IF(OR($M185="",NOT($O185="{array}")),"",IFERROR(MATCH(PARAMETERS!$M185,DEFAULT!$B$5:$CI$5,0),""))</f>
        <v/>
      </c>
      <c r="AA185" s="55" t="str">
        <f t="shared" si="14"/>
        <v/>
      </c>
      <c r="AB185" s="62" t="str">
        <f>IF(AND(OR($A185="G",$A185="P"),NOT($O185="{array}")),IF(VLOOKUP($K185,base!$B$2:$D$20,3,0)="S",IF(OR($O185="",ISTEXT($O185)),"","STRING!"),IF(VLOOKUP($K185,base!$B$2:$D$20,3,0)="","",IF(ISTEXT($O185),"NUMERIC!",""))),"")</f>
        <v/>
      </c>
      <c r="AC185" s="16" t="str">
        <f>IF($AA185="","",IF($B185="I",VLOOKUP($AA185,#REF!,53,0),INDEX(VALUES!$B$1:$GP$1,1,$AA185)))</f>
        <v/>
      </c>
    </row>
    <row r="186" spans="1:29" hidden="1" outlineLevel="1">
      <c r="A186" s="21"/>
      <c r="B186" s="40" t="str">
        <f t="shared" si="11"/>
        <v/>
      </c>
      <c r="C186" s="41">
        <f t="shared" si="13"/>
        <v>185</v>
      </c>
      <c r="D186" s="260"/>
      <c r="E186" s="37"/>
      <c r="F186" s="305" t="s">
        <v>9</v>
      </c>
      <c r="G186" s="188"/>
      <c r="H186" s="37"/>
      <c r="I186" s="37" t="s">
        <v>9</v>
      </c>
      <c r="J186" s="37"/>
      <c r="K186" s="249" t="s">
        <v>33</v>
      </c>
      <c r="L186" s="249" t="s">
        <v>29</v>
      </c>
      <c r="M186" s="214" t="s">
        <v>1923</v>
      </c>
      <c r="N186" s="249" t="s">
        <v>1924</v>
      </c>
      <c r="O186" s="311">
        <v>20</v>
      </c>
      <c r="Q186" s="37" t="s">
        <v>9</v>
      </c>
      <c r="R186" s="37" t="s">
        <v>106</v>
      </c>
      <c r="S186" s="37"/>
      <c r="T186" s="37"/>
      <c r="W186" s="14" t="str">
        <f>IF(IFERROR(VLOOKUP($M186,'IMPORT GS-Tür OL FL 2S2 20'!$H$2:$H$847,1,0),"-")="-","","GS")</f>
        <v>GS</v>
      </c>
      <c r="X186" s="14" t="str">
        <f t="shared" si="12"/>
        <v/>
      </c>
      <c r="Z186" s="58" t="str">
        <f>IF(OR($M186="",NOT($O186="{array}")),"",IFERROR(MATCH(PARAMETERS!$M186,DEFAULT!$B$5:$CI$5,0),""))</f>
        <v/>
      </c>
      <c r="AA186" s="55" t="str">
        <f t="shared" si="14"/>
        <v/>
      </c>
      <c r="AB186" s="62" t="str">
        <f>IF(AND(OR($A186="G",$A186="P"),NOT($O186="{array}")),IF(VLOOKUP($K186,base!$B$2:$D$20,3,0)="S",IF(OR($O186="",ISTEXT($O186)),"","STRING!"),IF(VLOOKUP($K186,base!$B$2:$D$20,3,0)="","",IF(ISTEXT($O186),"NUMERIC!",""))),"")</f>
        <v/>
      </c>
      <c r="AC186" s="16" t="str">
        <f>IF($AA186="","",IF($B186="I",VLOOKUP($AA186,#REF!,53,0),INDEX(VALUES!$B$1:$GP$1,1,$AA186)))</f>
        <v/>
      </c>
    </row>
    <row r="187" spans="1:29" hidden="1" outlineLevel="1">
      <c r="A187" s="21"/>
      <c r="B187" s="40" t="str">
        <f t="shared" si="11"/>
        <v/>
      </c>
      <c r="C187" s="41">
        <f t="shared" si="13"/>
        <v>186</v>
      </c>
      <c r="D187" s="260"/>
      <c r="E187" s="37"/>
      <c r="F187" s="305" t="s">
        <v>9</v>
      </c>
      <c r="G187" s="188"/>
      <c r="H187" s="37"/>
      <c r="I187" s="37" t="s">
        <v>9</v>
      </c>
      <c r="J187" s="37"/>
      <c r="K187" s="249" t="s">
        <v>33</v>
      </c>
      <c r="L187" s="249" t="s">
        <v>29</v>
      </c>
      <c r="M187" s="214" t="s">
        <v>1925</v>
      </c>
      <c r="N187" s="249" t="s">
        <v>1926</v>
      </c>
      <c r="O187" s="311">
        <v>20</v>
      </c>
      <c r="Q187" s="37" t="s">
        <v>9</v>
      </c>
      <c r="R187" s="37" t="s">
        <v>106</v>
      </c>
      <c r="S187" s="37"/>
      <c r="T187" s="37"/>
      <c r="W187" s="14" t="str">
        <f>IF(IFERROR(VLOOKUP($M187,'IMPORT GS-Tür OL FL 2S2 20'!$H$2:$H$847,1,0),"-")="-","","GS")</f>
        <v>GS</v>
      </c>
      <c r="X187" s="14" t="str">
        <f t="shared" si="12"/>
        <v/>
      </c>
      <c r="Z187" s="58" t="str">
        <f>IF(OR($M187="",NOT($O187="{array}")),"",IFERROR(MATCH(PARAMETERS!$M187,DEFAULT!$B$5:$CI$5,0),""))</f>
        <v/>
      </c>
      <c r="AA187" s="55" t="str">
        <f t="shared" si="14"/>
        <v/>
      </c>
      <c r="AB187" s="62" t="str">
        <f>IF(AND(OR($A187="G",$A187="P"),NOT($O187="{array}")),IF(VLOOKUP($K187,base!$B$2:$D$20,3,0)="S",IF(OR($O187="",ISTEXT($O187)),"","STRING!"),IF(VLOOKUP($K187,base!$B$2:$D$20,3,0)="","",IF(ISTEXT($O187),"NUMERIC!",""))),"")</f>
        <v/>
      </c>
      <c r="AC187" s="16" t="str">
        <f>IF($AA187="","",IF($B187="I",VLOOKUP($AA187,#REF!,53,0),INDEX(VALUES!$B$1:$GP$1,1,$AA187)))</f>
        <v/>
      </c>
    </row>
    <row r="188" spans="1:29" hidden="1" outlineLevel="1">
      <c r="A188" s="21"/>
      <c r="B188" s="40" t="str">
        <f t="shared" si="11"/>
        <v/>
      </c>
      <c r="C188" s="41">
        <f t="shared" si="13"/>
        <v>187</v>
      </c>
      <c r="D188" s="260"/>
      <c r="E188" s="37"/>
      <c r="F188" s="305" t="s">
        <v>9</v>
      </c>
      <c r="G188" s="188"/>
      <c r="H188" s="37"/>
      <c r="I188" s="37" t="s">
        <v>9</v>
      </c>
      <c r="J188" s="37"/>
      <c r="K188" s="249" t="s">
        <v>33</v>
      </c>
      <c r="L188" s="249" t="s">
        <v>29</v>
      </c>
      <c r="M188" s="214" t="s">
        <v>1927</v>
      </c>
      <c r="N188" s="249" t="s">
        <v>1928</v>
      </c>
      <c r="O188" s="311">
        <v>0</v>
      </c>
      <c r="Q188" s="37" t="s">
        <v>9</v>
      </c>
      <c r="R188" s="37" t="s">
        <v>106</v>
      </c>
      <c r="S188" s="37"/>
      <c r="T188" s="37"/>
      <c r="W188" s="14" t="str">
        <f>IF(IFERROR(VLOOKUP($M188,'IMPORT GS-Tür OL FL 2S2 20'!$H$2:$H$847,1,0),"-")="-","","GS")</f>
        <v>GS</v>
      </c>
      <c r="X188" s="14" t="str">
        <f t="shared" si="12"/>
        <v/>
      </c>
      <c r="Z188" s="58" t="str">
        <f>IF(OR($M188="",NOT($O188="{array}")),"",IFERROR(MATCH(PARAMETERS!$M188,DEFAULT!$B$5:$CI$5,0),""))</f>
        <v/>
      </c>
      <c r="AA188" s="55" t="str">
        <f t="shared" si="14"/>
        <v/>
      </c>
      <c r="AB188" s="62" t="str">
        <f>IF(AND(OR($A188="G",$A188="P"),NOT($O188="{array}")),IF(VLOOKUP($K188,base!$B$2:$D$20,3,0)="S",IF(OR($O188="",ISTEXT($O188)),"","STRING!"),IF(VLOOKUP($K188,base!$B$2:$D$20,3,0)="","",IF(ISTEXT($O188),"NUMERIC!",""))),"")</f>
        <v/>
      </c>
      <c r="AC188" s="16" t="str">
        <f>IF($AA188="","",IF($B188="I",VLOOKUP($AA188,#REF!,53,0),INDEX(VALUES!$B$1:$GP$1,1,$AA188)))</f>
        <v/>
      </c>
    </row>
    <row r="189" spans="1:29" hidden="1" outlineLevel="1">
      <c r="A189" s="21"/>
      <c r="B189" s="40" t="str">
        <f t="shared" si="11"/>
        <v/>
      </c>
      <c r="C189" s="41">
        <f t="shared" si="13"/>
        <v>188</v>
      </c>
      <c r="D189" s="260"/>
      <c r="E189" s="37"/>
      <c r="F189" s="305" t="s">
        <v>9</v>
      </c>
      <c r="G189" s="188"/>
      <c r="H189" s="37"/>
      <c r="I189" s="37" t="s">
        <v>9</v>
      </c>
      <c r="J189" s="37"/>
      <c r="K189" s="249" t="s">
        <v>26</v>
      </c>
      <c r="L189" s="249" t="s">
        <v>29</v>
      </c>
      <c r="M189" s="214" t="s">
        <v>1929</v>
      </c>
      <c r="N189" s="249" t="s">
        <v>1930</v>
      </c>
      <c r="O189" s="311">
        <v>-1</v>
      </c>
      <c r="Q189" s="37" t="s">
        <v>9</v>
      </c>
      <c r="R189" s="37" t="s">
        <v>106</v>
      </c>
      <c r="S189" s="37"/>
      <c r="T189" s="37"/>
      <c r="W189" s="14" t="str">
        <f>IF(IFERROR(VLOOKUP($M189,'IMPORT GS-Tür OL FL 2S2 20'!$H$2:$H$847,1,0),"-")="-","","GS")</f>
        <v>GS</v>
      </c>
      <c r="X189" s="14" t="str">
        <f t="shared" si="12"/>
        <v/>
      </c>
      <c r="Z189" s="58" t="str">
        <f>IF(OR($M189="",NOT($O189="{array}")),"",IFERROR(MATCH(PARAMETERS!$M189,DEFAULT!$B$5:$CI$5,0),""))</f>
        <v/>
      </c>
      <c r="AA189" s="55" t="str">
        <f t="shared" si="14"/>
        <v/>
      </c>
      <c r="AB189" s="62" t="str">
        <f>IF(AND(OR($A189="G",$A189="P"),NOT($O189="{array}")),IF(VLOOKUP($K189,base!$B$2:$D$20,3,0)="S",IF(OR($O189="",ISTEXT($O189)),"","STRING!"),IF(VLOOKUP($K189,base!$B$2:$D$20,3,0)="","",IF(ISTEXT($O189),"NUMERIC!",""))),"")</f>
        <v/>
      </c>
      <c r="AC189" s="16" t="str">
        <f>IF($AA189="","",IF($B189="I",VLOOKUP($AA189,#REF!,53,0),INDEX(VALUES!$B$1:$GP$1,1,$AA189)))</f>
        <v/>
      </c>
    </row>
    <row r="190" spans="1:29" hidden="1" outlineLevel="1">
      <c r="A190" s="21"/>
      <c r="B190" s="40" t="str">
        <f t="shared" si="11"/>
        <v/>
      </c>
      <c r="C190" s="41">
        <f t="shared" si="13"/>
        <v>189</v>
      </c>
      <c r="D190" s="260"/>
      <c r="E190" s="37"/>
      <c r="F190" s="305" t="s">
        <v>9</v>
      </c>
      <c r="G190" s="188"/>
      <c r="H190" s="37"/>
      <c r="I190" s="37" t="s">
        <v>9</v>
      </c>
      <c r="J190" s="37"/>
      <c r="K190" s="249" t="s">
        <v>26</v>
      </c>
      <c r="L190" s="249" t="s">
        <v>29</v>
      </c>
      <c r="M190" s="214" t="s">
        <v>1931</v>
      </c>
      <c r="N190" s="249" t="s">
        <v>1932</v>
      </c>
      <c r="O190" s="311">
        <v>-1</v>
      </c>
      <c r="Q190" s="37" t="s">
        <v>9</v>
      </c>
      <c r="R190" s="37" t="s">
        <v>106</v>
      </c>
      <c r="S190" s="37"/>
      <c r="T190" s="37"/>
      <c r="W190" s="14" t="str">
        <f>IF(IFERROR(VLOOKUP($M190,'IMPORT GS-Tür OL FL 2S2 20'!$H$2:$H$847,1,0),"-")="-","","GS")</f>
        <v>GS</v>
      </c>
      <c r="X190" s="14" t="str">
        <f t="shared" si="12"/>
        <v/>
      </c>
      <c r="Z190" s="58" t="str">
        <f>IF(OR($M190="",NOT($O190="{array}")),"",IFERROR(MATCH(PARAMETERS!$M190,DEFAULT!$B$5:$CI$5,0),""))</f>
        <v/>
      </c>
      <c r="AA190" s="55" t="str">
        <f t="shared" si="14"/>
        <v/>
      </c>
      <c r="AB190" s="62" t="str">
        <f>IF(AND(OR($A190="G",$A190="P"),NOT($O190="{array}")),IF(VLOOKUP($K190,base!$B$2:$D$20,3,0)="S",IF(OR($O190="",ISTEXT($O190)),"","STRING!"),IF(VLOOKUP($K190,base!$B$2:$D$20,3,0)="","",IF(ISTEXT($O190),"NUMERIC!",""))),"")</f>
        <v/>
      </c>
      <c r="AC190" s="16" t="str">
        <f>IF($AA190="","",IF($B190="I",VLOOKUP($AA190,#REF!,53,0),INDEX(VALUES!$B$1:$GP$1,1,$AA190)))</f>
        <v/>
      </c>
    </row>
    <row r="191" spans="1:29" hidden="1" outlineLevel="1">
      <c r="A191" s="21"/>
      <c r="B191" s="40" t="str">
        <f t="shared" si="11"/>
        <v/>
      </c>
      <c r="C191" s="41">
        <f t="shared" si="13"/>
        <v>190</v>
      </c>
      <c r="D191" s="260"/>
      <c r="E191" s="37"/>
      <c r="F191" s="305" t="s">
        <v>9</v>
      </c>
      <c r="G191" s="188"/>
      <c r="H191" s="37"/>
      <c r="I191" s="37" t="s">
        <v>9</v>
      </c>
      <c r="J191" s="37"/>
      <c r="K191" s="249" t="s">
        <v>26</v>
      </c>
      <c r="L191" s="249" t="s">
        <v>29</v>
      </c>
      <c r="M191" s="214" t="s">
        <v>1933</v>
      </c>
      <c r="N191" s="249" t="s">
        <v>1934</v>
      </c>
      <c r="O191" s="311">
        <v>-1</v>
      </c>
      <c r="Q191" s="37" t="s">
        <v>9</v>
      </c>
      <c r="R191" s="37" t="s">
        <v>106</v>
      </c>
      <c r="S191" s="37"/>
      <c r="T191" s="37"/>
      <c r="W191" s="14" t="str">
        <f>IF(IFERROR(VLOOKUP($M191,'IMPORT GS-Tür OL FL 2S2 20'!$H$2:$H$847,1,0),"-")="-","","GS")</f>
        <v>GS</v>
      </c>
      <c r="X191" s="14" t="str">
        <f t="shared" si="12"/>
        <v/>
      </c>
      <c r="Z191" s="58" t="str">
        <f>IF(OR($M191="",NOT($O191="{array}")),"",IFERROR(MATCH(PARAMETERS!$M191,DEFAULT!$B$5:$CI$5,0),""))</f>
        <v/>
      </c>
      <c r="AA191" s="55" t="str">
        <f t="shared" si="14"/>
        <v/>
      </c>
      <c r="AB191" s="62" t="str">
        <f>IF(AND(OR($A191="G",$A191="P"),NOT($O191="{array}")),IF(VLOOKUP($K191,base!$B$2:$D$20,3,0)="S",IF(OR($O191="",ISTEXT($O191)),"","STRING!"),IF(VLOOKUP($K191,base!$B$2:$D$20,3,0)="","",IF(ISTEXT($O191),"NUMERIC!",""))),"")</f>
        <v/>
      </c>
      <c r="AC191" s="16" t="str">
        <f>IF($AA191="","",IF($B191="I",VLOOKUP($AA191,#REF!,53,0),INDEX(VALUES!$B$1:$GP$1,1,$AA191)))</f>
        <v/>
      </c>
    </row>
    <row r="192" spans="1:29" hidden="1" outlineLevel="1">
      <c r="A192" s="21"/>
      <c r="B192" s="40" t="str">
        <f t="shared" si="11"/>
        <v/>
      </c>
      <c r="C192" s="41">
        <f t="shared" si="13"/>
        <v>191</v>
      </c>
      <c r="D192" s="260"/>
      <c r="E192" s="37"/>
      <c r="F192" s="305" t="s">
        <v>9</v>
      </c>
      <c r="G192" s="188"/>
      <c r="H192" s="37"/>
      <c r="I192" s="37" t="s">
        <v>9</v>
      </c>
      <c r="J192" s="37"/>
      <c r="K192" s="249" t="s">
        <v>26</v>
      </c>
      <c r="L192" s="249" t="s">
        <v>29</v>
      </c>
      <c r="M192" s="214" t="s">
        <v>1935</v>
      </c>
      <c r="N192" s="249" t="s">
        <v>1936</v>
      </c>
      <c r="O192" s="311">
        <v>-1</v>
      </c>
      <c r="Q192" s="37" t="s">
        <v>9</v>
      </c>
      <c r="R192" s="37" t="s">
        <v>106</v>
      </c>
      <c r="S192" s="37"/>
      <c r="T192" s="37"/>
      <c r="W192" s="14" t="str">
        <f>IF(IFERROR(VLOOKUP($M192,'IMPORT GS-Tür OL FL 2S2 20'!$H$2:$H$847,1,0),"-")="-","","GS")</f>
        <v>GS</v>
      </c>
      <c r="X192" s="14" t="str">
        <f t="shared" si="12"/>
        <v/>
      </c>
      <c r="Z192" s="58" t="str">
        <f>IF(OR($M192="",NOT($O192="{array}")),"",IFERROR(MATCH(PARAMETERS!$M192,DEFAULT!$B$5:$CI$5,0),""))</f>
        <v/>
      </c>
      <c r="AA192" s="55" t="str">
        <f t="shared" si="14"/>
        <v/>
      </c>
      <c r="AB192" s="62" t="str">
        <f>IF(AND(OR($A192="G",$A192="P"),NOT($O192="{array}")),IF(VLOOKUP($K192,base!$B$2:$D$20,3,0)="S",IF(OR($O192="",ISTEXT($O192)),"","STRING!"),IF(VLOOKUP($K192,base!$B$2:$D$20,3,0)="","",IF(ISTEXT($O192),"NUMERIC!",""))),"")</f>
        <v/>
      </c>
      <c r="AC192" s="16" t="str">
        <f>IF($AA192="","",IF($B192="I",VLOOKUP($AA192,#REF!,53,0),INDEX(VALUES!$B$1:$GP$1,1,$AA192)))</f>
        <v/>
      </c>
    </row>
    <row r="193" spans="1:29" hidden="1" outlineLevel="1">
      <c r="A193" s="21"/>
      <c r="B193" s="40" t="str">
        <f t="shared" si="11"/>
        <v/>
      </c>
      <c r="C193" s="41">
        <f t="shared" si="13"/>
        <v>192</v>
      </c>
      <c r="D193" s="260"/>
      <c r="E193" s="37"/>
      <c r="F193" s="305" t="s">
        <v>9</v>
      </c>
      <c r="G193" s="188"/>
      <c r="H193" s="37"/>
      <c r="I193" s="37" t="s">
        <v>9</v>
      </c>
      <c r="J193" s="37"/>
      <c r="K193" s="249" t="s">
        <v>33</v>
      </c>
      <c r="L193" s="249" t="s">
        <v>29</v>
      </c>
      <c r="M193" s="214" t="s">
        <v>1937</v>
      </c>
      <c r="N193" s="249" t="s">
        <v>1938</v>
      </c>
      <c r="O193" s="311">
        <v>20</v>
      </c>
      <c r="Q193" s="37" t="s">
        <v>9</v>
      </c>
      <c r="R193" s="37" t="s">
        <v>106</v>
      </c>
      <c r="S193" s="37"/>
      <c r="T193" s="37"/>
      <c r="W193" s="14" t="str">
        <f>IF(IFERROR(VLOOKUP($M193,'IMPORT GS-Tür OL FL 2S2 20'!$H$2:$H$847,1,0),"-")="-","","GS")</f>
        <v>GS</v>
      </c>
      <c r="X193" s="14" t="str">
        <f t="shared" si="12"/>
        <v/>
      </c>
      <c r="Z193" s="58" t="str">
        <f>IF(OR($M193="",NOT($O193="{array}")),"",IFERROR(MATCH(PARAMETERS!$M193,DEFAULT!$B$5:$CI$5,0),""))</f>
        <v/>
      </c>
      <c r="AA193" s="55" t="str">
        <f t="shared" si="14"/>
        <v/>
      </c>
      <c r="AB193" s="62" t="str">
        <f>IF(AND(OR($A193="G",$A193="P"),NOT($O193="{array}")),IF(VLOOKUP($K193,base!$B$2:$D$20,3,0)="S",IF(OR($O193="",ISTEXT($O193)),"","STRING!"),IF(VLOOKUP($K193,base!$B$2:$D$20,3,0)="","",IF(ISTEXT($O193),"NUMERIC!",""))),"")</f>
        <v/>
      </c>
      <c r="AC193" s="16" t="str">
        <f>IF($AA193="","",IF($B193="I",VLOOKUP($AA193,#REF!,53,0),INDEX(VALUES!$B$1:$GP$1,1,$AA193)))</f>
        <v/>
      </c>
    </row>
    <row r="194" spans="1:29" hidden="1" outlineLevel="1">
      <c r="A194" s="21"/>
      <c r="B194" s="40" t="str">
        <f t="shared" si="11"/>
        <v/>
      </c>
      <c r="C194" s="41">
        <f t="shared" si="13"/>
        <v>193</v>
      </c>
      <c r="D194" s="260"/>
      <c r="E194" s="37"/>
      <c r="F194" s="305" t="s">
        <v>9</v>
      </c>
      <c r="G194" s="188"/>
      <c r="H194" s="37"/>
      <c r="I194" s="37" t="s">
        <v>9</v>
      </c>
      <c r="J194" s="37"/>
      <c r="K194" s="249" t="s">
        <v>33</v>
      </c>
      <c r="L194" s="249" t="s">
        <v>29</v>
      </c>
      <c r="M194" s="214" t="s">
        <v>1939</v>
      </c>
      <c r="N194" s="249" t="s">
        <v>1940</v>
      </c>
      <c r="O194" s="311">
        <v>20</v>
      </c>
      <c r="Q194" s="37" t="s">
        <v>9</v>
      </c>
      <c r="R194" s="37" t="s">
        <v>106</v>
      </c>
      <c r="S194" s="37"/>
      <c r="T194" s="37"/>
      <c r="W194" s="14" t="str">
        <f>IF(IFERROR(VLOOKUP($M194,'IMPORT GS-Tür OL FL 2S2 20'!$H$2:$H$847,1,0),"-")="-","","GS")</f>
        <v>GS</v>
      </c>
      <c r="X194" s="14" t="str">
        <f t="shared" si="12"/>
        <v/>
      </c>
      <c r="Z194" s="58" t="str">
        <f>IF(OR($M194="",NOT($O194="{array}")),"",IFERROR(MATCH(PARAMETERS!$M194,DEFAULT!$B$5:$CI$5,0),""))</f>
        <v/>
      </c>
      <c r="AA194" s="55" t="str">
        <f t="shared" si="14"/>
        <v/>
      </c>
      <c r="AB194" s="62" t="str">
        <f>IF(AND(OR($A194="G",$A194="P"),NOT($O194="{array}")),IF(VLOOKUP($K194,base!$B$2:$D$20,3,0)="S",IF(OR($O194="",ISTEXT($O194)),"","STRING!"),IF(VLOOKUP($K194,base!$B$2:$D$20,3,0)="","",IF(ISTEXT($O194),"NUMERIC!",""))),"")</f>
        <v/>
      </c>
      <c r="AC194" s="16" t="str">
        <f>IF($AA194="","",IF($B194="I",VLOOKUP($AA194,#REF!,53,0),INDEX(VALUES!$B$1:$GP$1,1,$AA194)))</f>
        <v/>
      </c>
    </row>
    <row r="195" spans="1:29" hidden="1" outlineLevel="1">
      <c r="A195" s="21"/>
      <c r="B195" s="40" t="str">
        <f t="shared" si="11"/>
        <v/>
      </c>
      <c r="C195" s="41">
        <f t="shared" si="13"/>
        <v>194</v>
      </c>
      <c r="D195" s="260"/>
      <c r="E195" s="37"/>
      <c r="F195" s="305" t="s">
        <v>9</v>
      </c>
      <c r="G195" s="188"/>
      <c r="H195" s="37"/>
      <c r="I195" s="37" t="s">
        <v>9</v>
      </c>
      <c r="J195" s="37"/>
      <c r="K195" s="249" t="s">
        <v>33</v>
      </c>
      <c r="L195" s="249" t="s">
        <v>29</v>
      </c>
      <c r="M195" s="214" t="s">
        <v>1941</v>
      </c>
      <c r="N195" s="249" t="s">
        <v>1942</v>
      </c>
      <c r="O195" s="311">
        <v>20</v>
      </c>
      <c r="Q195" s="37" t="s">
        <v>9</v>
      </c>
      <c r="R195" s="37" t="s">
        <v>106</v>
      </c>
      <c r="S195" s="37"/>
      <c r="T195" s="37"/>
      <c r="W195" s="14" t="str">
        <f>IF(IFERROR(VLOOKUP($M195,'IMPORT GS-Tür OL FL 2S2 20'!$H$2:$H$847,1,0),"-")="-","","GS")</f>
        <v>GS</v>
      </c>
      <c r="X195" s="14" t="str">
        <f t="shared" si="12"/>
        <v/>
      </c>
      <c r="Z195" s="58" t="str">
        <f>IF(OR($M195="",NOT($O195="{array}")),"",IFERROR(MATCH(PARAMETERS!$M195,DEFAULT!$B$5:$CI$5,0),""))</f>
        <v/>
      </c>
      <c r="AA195" s="55" t="str">
        <f t="shared" si="14"/>
        <v/>
      </c>
      <c r="AB195" s="62" t="str">
        <f>IF(AND(OR($A195="G",$A195="P"),NOT($O195="{array}")),IF(VLOOKUP($K195,base!$B$2:$D$20,3,0)="S",IF(OR($O195="",ISTEXT($O195)),"","STRING!"),IF(VLOOKUP($K195,base!$B$2:$D$20,3,0)="","",IF(ISTEXT($O195),"NUMERIC!",""))),"")</f>
        <v/>
      </c>
      <c r="AC195" s="16" t="str">
        <f>IF($AA195="","",IF($B195="I",VLOOKUP($AA195,#REF!,53,0),INDEX(VALUES!$B$1:$GP$1,1,$AA195)))</f>
        <v/>
      </c>
    </row>
    <row r="196" spans="1:29" hidden="1" outlineLevel="1">
      <c r="A196" s="21"/>
      <c r="B196" s="40" t="str">
        <f t="shared" si="11"/>
        <v/>
      </c>
      <c r="C196" s="41">
        <f t="shared" si="13"/>
        <v>195</v>
      </c>
      <c r="D196" s="260"/>
      <c r="E196" s="37"/>
      <c r="F196" s="305" t="s">
        <v>9</v>
      </c>
      <c r="G196" s="188"/>
      <c r="H196" s="37"/>
      <c r="I196" s="37" t="s">
        <v>9</v>
      </c>
      <c r="J196" s="37"/>
      <c r="K196" s="249" t="s">
        <v>33</v>
      </c>
      <c r="L196" s="249" t="s">
        <v>29</v>
      </c>
      <c r="M196" s="214" t="s">
        <v>1943</v>
      </c>
      <c r="N196" s="249" t="s">
        <v>1944</v>
      </c>
      <c r="O196" s="311">
        <v>0</v>
      </c>
      <c r="Q196" s="37" t="s">
        <v>9</v>
      </c>
      <c r="R196" s="37" t="s">
        <v>106</v>
      </c>
      <c r="S196" s="37"/>
      <c r="T196" s="37"/>
      <c r="W196" s="14" t="str">
        <f>IF(IFERROR(VLOOKUP($M196,'IMPORT GS-Tür OL FL 2S2 20'!$H$2:$H$847,1,0),"-")="-","","GS")</f>
        <v>GS</v>
      </c>
      <c r="X196" s="14" t="str">
        <f t="shared" si="12"/>
        <v/>
      </c>
      <c r="Z196" s="58" t="str">
        <f>IF(OR($M196="",NOT($O196="{array}")),"",IFERROR(MATCH(PARAMETERS!$M196,DEFAULT!$B$5:$CI$5,0),""))</f>
        <v/>
      </c>
      <c r="AA196" s="55" t="str">
        <f t="shared" si="14"/>
        <v/>
      </c>
      <c r="AB196" s="62" t="str">
        <f>IF(AND(OR($A196="G",$A196="P"),NOT($O196="{array}")),IF(VLOOKUP($K196,base!$B$2:$D$20,3,0)="S",IF(OR($O196="",ISTEXT($O196)),"","STRING!"),IF(VLOOKUP($K196,base!$B$2:$D$20,3,0)="","",IF(ISTEXT($O196),"NUMERIC!",""))),"")</f>
        <v/>
      </c>
      <c r="AC196" s="16" t="str">
        <f>IF($AA196="","",IF($B196="I",VLOOKUP($AA196,#REF!,53,0),INDEX(VALUES!$B$1:$GP$1,1,$AA196)))</f>
        <v/>
      </c>
    </row>
    <row r="197" spans="1:29" hidden="1" outlineLevel="1">
      <c r="A197" s="21"/>
      <c r="B197" s="40" t="str">
        <f t="shared" si="11"/>
        <v/>
      </c>
      <c r="C197" s="41">
        <f t="shared" si="13"/>
        <v>196</v>
      </c>
      <c r="D197" s="260"/>
      <c r="E197" s="37"/>
      <c r="F197" s="305" t="s">
        <v>9</v>
      </c>
      <c r="G197" s="188" t="s">
        <v>9</v>
      </c>
      <c r="H197" s="37"/>
      <c r="I197" s="37" t="s">
        <v>9</v>
      </c>
      <c r="J197" s="37" t="s">
        <v>9</v>
      </c>
      <c r="K197" s="249" t="s">
        <v>49</v>
      </c>
      <c r="L197" s="249" t="s">
        <v>29</v>
      </c>
      <c r="M197" s="214" t="s">
        <v>1945</v>
      </c>
      <c r="N197" s="249"/>
      <c r="O197" s="311">
        <v>0</v>
      </c>
      <c r="R197" s="37" t="s">
        <v>106</v>
      </c>
      <c r="S197" s="37"/>
      <c r="T197" s="37"/>
      <c r="W197" s="14" t="str">
        <f>IF(IFERROR(VLOOKUP($M197,'IMPORT GS-Tür OL FL 2S2 20'!$H$2:$H$847,1,0),"-")="-","","GS")</f>
        <v>GS</v>
      </c>
      <c r="X197" s="14" t="str">
        <f t="shared" si="12"/>
        <v/>
      </c>
      <c r="Y197" s="52" t="s">
        <v>919</v>
      </c>
      <c r="Z197" s="58" t="str">
        <f>IF(OR($M197="",NOT($O197="{array}")),"",IFERROR(MATCH(PARAMETERS!$M197,DEFAULT!$B$5:$CI$5,0),""))</f>
        <v/>
      </c>
      <c r="AA197" s="55" t="str">
        <f t="shared" si="14"/>
        <v/>
      </c>
      <c r="AB197" s="62" t="str">
        <f>IF(AND(OR($A197="G",$A197="P"),NOT($O197="{array}")),IF(VLOOKUP($K197,base!$B$2:$D$20,3,0)="S",IF(OR($O197="",ISTEXT($O197)),"","STRING!"),IF(VLOOKUP($K197,base!$B$2:$D$20,3,0)="","",IF(ISTEXT($O197),"NUMERIC!",""))),"")</f>
        <v/>
      </c>
      <c r="AC197" s="16" t="str">
        <f>IF($AA197="","",IF($B197="I",VLOOKUP($AA197,#REF!,53,0),INDEX(VALUES!$B$1:$GP$1,1,$AA197)))</f>
        <v/>
      </c>
    </row>
    <row r="198" spans="1:29" hidden="1" outlineLevel="1">
      <c r="A198" s="21"/>
      <c r="B198" s="40" t="str">
        <f t="shared" si="11"/>
        <v/>
      </c>
      <c r="C198" s="41">
        <f t="shared" si="13"/>
        <v>197</v>
      </c>
      <c r="D198" s="260"/>
      <c r="E198" s="37"/>
      <c r="F198" s="305" t="s">
        <v>9</v>
      </c>
      <c r="G198" s="188"/>
      <c r="H198" s="37"/>
      <c r="I198" s="37" t="s">
        <v>9</v>
      </c>
      <c r="J198" s="37"/>
      <c r="K198" s="249" t="s">
        <v>26</v>
      </c>
      <c r="L198" s="249" t="s">
        <v>29</v>
      </c>
      <c r="M198" s="214" t="s">
        <v>1946</v>
      </c>
      <c r="N198" s="249" t="s">
        <v>1947</v>
      </c>
      <c r="O198" s="311">
        <v>-1</v>
      </c>
      <c r="Q198" s="37" t="s">
        <v>9</v>
      </c>
      <c r="R198" s="37" t="s">
        <v>106</v>
      </c>
      <c r="S198" s="37"/>
      <c r="T198" s="37"/>
      <c r="W198" s="14" t="str">
        <f>IF(IFERROR(VLOOKUP($M198,'IMPORT GS-Tür OL FL 2S2 20'!$H$2:$H$847,1,0),"-")="-","","GS")</f>
        <v>GS</v>
      </c>
      <c r="X198" s="14" t="str">
        <f t="shared" si="12"/>
        <v/>
      </c>
      <c r="Z198" s="58" t="str">
        <f>IF(OR($M198="",NOT($O198="{array}")),"",IFERROR(MATCH(PARAMETERS!$M198,DEFAULT!$B$5:$CI$5,0),""))</f>
        <v/>
      </c>
      <c r="AA198" s="55" t="str">
        <f t="shared" si="14"/>
        <v/>
      </c>
      <c r="AB198" s="62" t="str">
        <f>IF(AND(OR($A198="G",$A198="P"),NOT($O198="{array}")),IF(VLOOKUP($K198,base!$B$2:$D$20,3,0)="S",IF(OR($O198="",ISTEXT($O198)),"","STRING!"),IF(VLOOKUP($K198,base!$B$2:$D$20,3,0)="","",IF(ISTEXT($O198),"NUMERIC!",""))),"")</f>
        <v/>
      </c>
      <c r="AC198" s="16" t="str">
        <f>IF($AA198="","",IF($B198="I",VLOOKUP($AA198,#REF!,53,0),INDEX(VALUES!$B$1:$GP$1,1,$AA198)))</f>
        <v/>
      </c>
    </row>
    <row r="199" spans="1:29" hidden="1" outlineLevel="1">
      <c r="A199" s="21"/>
      <c r="B199" s="40" t="str">
        <f t="shared" si="11"/>
        <v/>
      </c>
      <c r="C199" s="41">
        <f t="shared" si="13"/>
        <v>198</v>
      </c>
      <c r="D199" s="260"/>
      <c r="E199" s="37"/>
      <c r="F199" s="305" t="s">
        <v>9</v>
      </c>
      <c r="G199" s="188"/>
      <c r="H199" s="37"/>
      <c r="I199" s="37" t="s">
        <v>9</v>
      </c>
      <c r="J199" s="37"/>
      <c r="K199" s="249" t="s">
        <v>26</v>
      </c>
      <c r="L199" s="249" t="s">
        <v>29</v>
      </c>
      <c r="M199" s="214" t="s">
        <v>1948</v>
      </c>
      <c r="N199" s="249" t="s">
        <v>1949</v>
      </c>
      <c r="O199" s="311">
        <v>-1</v>
      </c>
      <c r="Q199" s="37" t="s">
        <v>9</v>
      </c>
      <c r="R199" s="37" t="s">
        <v>106</v>
      </c>
      <c r="S199" s="37"/>
      <c r="T199" s="37"/>
      <c r="W199" s="14" t="str">
        <f>IF(IFERROR(VLOOKUP($M199,'IMPORT GS-Tür OL FL 2S2 20'!$H$2:$H$847,1,0),"-")="-","","GS")</f>
        <v>GS</v>
      </c>
      <c r="X199" s="14" t="str">
        <f t="shared" si="12"/>
        <v/>
      </c>
      <c r="Z199" s="58" t="str">
        <f>IF(OR($M199="",NOT($O199="{array}")),"",IFERROR(MATCH(PARAMETERS!$M199,DEFAULT!$B$5:$CI$5,0),""))</f>
        <v/>
      </c>
      <c r="AA199" s="55" t="str">
        <f t="shared" si="14"/>
        <v/>
      </c>
      <c r="AB199" s="62" t="str">
        <f>IF(AND(OR($A199="G",$A199="P"),NOT($O199="{array}")),IF(VLOOKUP($K199,base!$B$2:$D$20,3,0)="S",IF(OR($O199="",ISTEXT($O199)),"","STRING!"),IF(VLOOKUP($K199,base!$B$2:$D$20,3,0)="","",IF(ISTEXT($O199),"NUMERIC!",""))),"")</f>
        <v/>
      </c>
      <c r="AC199" s="16" t="str">
        <f>IF($AA199="","",IF($B199="I",VLOOKUP($AA199,#REF!,53,0),INDEX(VALUES!$B$1:$GP$1,1,$AA199)))</f>
        <v/>
      </c>
    </row>
    <row r="200" spans="1:29" hidden="1" outlineLevel="1">
      <c r="A200" s="21"/>
      <c r="B200" s="40" t="str">
        <f t="shared" si="11"/>
        <v/>
      </c>
      <c r="C200" s="41">
        <f t="shared" si="13"/>
        <v>199</v>
      </c>
      <c r="D200" s="260"/>
      <c r="E200" s="37"/>
      <c r="F200" s="305" t="s">
        <v>9</v>
      </c>
      <c r="G200" s="188"/>
      <c r="H200" s="37"/>
      <c r="I200" s="37" t="s">
        <v>9</v>
      </c>
      <c r="J200" s="37"/>
      <c r="K200" s="249" t="s">
        <v>26</v>
      </c>
      <c r="L200" s="249" t="s">
        <v>29</v>
      </c>
      <c r="M200" s="214" t="s">
        <v>1950</v>
      </c>
      <c r="N200" s="249" t="s">
        <v>1951</v>
      </c>
      <c r="O200" s="311">
        <v>-1</v>
      </c>
      <c r="Q200" s="37" t="s">
        <v>9</v>
      </c>
      <c r="R200" s="37" t="s">
        <v>106</v>
      </c>
      <c r="S200" s="37"/>
      <c r="T200" s="37"/>
      <c r="W200" s="14" t="str">
        <f>IF(IFERROR(VLOOKUP($M200,'IMPORT GS-Tür OL FL 2S2 20'!$H$2:$H$847,1,0),"-")="-","","GS")</f>
        <v>GS</v>
      </c>
      <c r="X200" s="14" t="str">
        <f t="shared" si="12"/>
        <v/>
      </c>
      <c r="Z200" s="58" t="str">
        <f>IF(OR($M200="",NOT($O200="{array}")),"",IFERROR(MATCH(PARAMETERS!$M200,DEFAULT!$B$5:$CI$5,0),""))</f>
        <v/>
      </c>
      <c r="AA200" s="55" t="str">
        <f t="shared" si="14"/>
        <v/>
      </c>
      <c r="AB200" s="62" t="str">
        <f>IF(AND(OR($A200="G",$A200="P"),NOT($O200="{array}")),IF(VLOOKUP($K200,base!$B$2:$D$20,3,0)="S",IF(OR($O200="",ISTEXT($O200)),"","STRING!"),IF(VLOOKUP($K200,base!$B$2:$D$20,3,0)="","",IF(ISTEXT($O200),"NUMERIC!",""))),"")</f>
        <v/>
      </c>
      <c r="AC200" s="16" t="str">
        <f>IF($AA200="","",IF($B200="I",VLOOKUP($AA200,#REF!,53,0),INDEX(VALUES!$B$1:$GP$1,1,$AA200)))</f>
        <v/>
      </c>
    </row>
    <row r="201" spans="1:29" hidden="1" outlineLevel="1">
      <c r="A201" s="21"/>
      <c r="B201" s="40" t="str">
        <f t="shared" si="11"/>
        <v/>
      </c>
      <c r="C201" s="41">
        <f t="shared" si="13"/>
        <v>200</v>
      </c>
      <c r="D201" s="260"/>
      <c r="E201" s="37"/>
      <c r="F201" s="305" t="s">
        <v>9</v>
      </c>
      <c r="G201" s="188"/>
      <c r="H201" s="37"/>
      <c r="I201" s="37" t="s">
        <v>9</v>
      </c>
      <c r="J201" s="37"/>
      <c r="K201" s="249" t="s">
        <v>26</v>
      </c>
      <c r="L201" s="249" t="s">
        <v>29</v>
      </c>
      <c r="M201" s="214" t="s">
        <v>1952</v>
      </c>
      <c r="N201" s="249" t="s">
        <v>1953</v>
      </c>
      <c r="O201" s="311">
        <v>-1</v>
      </c>
      <c r="Q201" s="37" t="s">
        <v>9</v>
      </c>
      <c r="R201" s="37" t="s">
        <v>106</v>
      </c>
      <c r="S201" s="37"/>
      <c r="T201" s="37"/>
      <c r="W201" s="14" t="str">
        <f>IF(IFERROR(VLOOKUP($M201,'IMPORT GS-Tür OL FL 2S2 20'!$H$2:$H$847,1,0),"-")="-","","GS")</f>
        <v>GS</v>
      </c>
      <c r="X201" s="14" t="str">
        <f t="shared" si="12"/>
        <v/>
      </c>
      <c r="Z201" s="58" t="str">
        <f>IF(OR($M201="",NOT($O201="{array}")),"",IFERROR(MATCH(PARAMETERS!$M201,DEFAULT!$B$5:$CI$5,0),""))</f>
        <v/>
      </c>
      <c r="AA201" s="55" t="str">
        <f t="shared" si="14"/>
        <v/>
      </c>
      <c r="AB201" s="62" t="str">
        <f>IF(AND(OR($A201="G",$A201="P"),NOT($O201="{array}")),IF(VLOOKUP($K201,base!$B$2:$D$20,3,0)="S",IF(OR($O201="",ISTEXT($O201)),"","STRING!"),IF(VLOOKUP($K201,base!$B$2:$D$20,3,0)="","",IF(ISTEXT($O201),"NUMERIC!",""))),"")</f>
        <v/>
      </c>
      <c r="AC201" s="16" t="str">
        <f>IF($AA201="","",IF($B201="I",VLOOKUP($AA201,#REF!,53,0),INDEX(VALUES!$B$1:$GP$1,1,$AA201)))</f>
        <v/>
      </c>
    </row>
    <row r="202" spans="1:29" collapsed="1">
      <c r="A202" s="21"/>
      <c r="B202" s="40" t="str">
        <f t="shared" ref="B202:B265" si="15">IF($A202="P",IF(NOT($Z202=""),"A",IF(NOT($AA202=""),"I","")),IF(NOT($AA202=""),IF($A202="G","V","X"),IF(NOT($Z202=""),"A","")))</f>
        <v/>
      </c>
      <c r="C202" s="41">
        <f t="shared" si="13"/>
        <v>201</v>
      </c>
      <c r="D202" s="260"/>
      <c r="E202" s="37"/>
      <c r="F202" s="305" t="s">
        <v>9</v>
      </c>
      <c r="G202" s="188"/>
      <c r="H202" s="37"/>
      <c r="I202" s="37"/>
      <c r="J202" s="37"/>
      <c r="K202" s="230" t="s">
        <v>59</v>
      </c>
      <c r="L202" s="230" t="s">
        <v>40</v>
      </c>
      <c r="M202" s="231" t="s">
        <v>1954</v>
      </c>
      <c r="N202" s="232" t="s">
        <v>1955</v>
      </c>
      <c r="O202" s="311"/>
      <c r="R202" s="37" t="s">
        <v>106</v>
      </c>
      <c r="S202" s="37"/>
      <c r="T202" s="37"/>
      <c r="W202" s="14" t="str">
        <f>IF(IFERROR(VLOOKUP($M202,'IMPORT GS-Tür OL FL 2S2 20'!$H$2:$H$847,1,0),"-")="-","","GS")</f>
        <v>GS</v>
      </c>
      <c r="X202" s="14" t="str">
        <f t="shared" si="12"/>
        <v/>
      </c>
      <c r="Z202" s="58" t="str">
        <f>IF(OR($M202="",NOT($O202="{array}")),"",IFERROR(MATCH(PARAMETERS!$M202,DEFAULT!$B$5:$CI$5,0),""))</f>
        <v/>
      </c>
      <c r="AA202" s="55" t="str">
        <f t="shared" si="14"/>
        <v/>
      </c>
      <c r="AB202" s="62" t="str">
        <f>IF(AND(OR($A202="G",$A202="P"),NOT($O202="{array}")),IF(VLOOKUP($K202,base!$B$2:$D$20,3,0)="S",IF(OR($O202="",ISTEXT($O202)),"","STRING!"),IF(VLOOKUP($K202,base!$B$2:$D$20,3,0)="","",IF(ISTEXT($O202),"NUMERIC!",""))),"")</f>
        <v/>
      </c>
      <c r="AC202" s="16" t="str">
        <f>IF($AA202="","",IF($B202="I",VLOOKUP($AA202,#REF!,53,0),INDEX(VALUES!$B$1:$GP$1,1,$AA202)))</f>
        <v/>
      </c>
    </row>
    <row r="203" spans="1:29" hidden="1" outlineLevel="1">
      <c r="A203" s="21"/>
      <c r="B203" s="40" t="str">
        <f t="shared" si="15"/>
        <v/>
      </c>
      <c r="C203" s="41">
        <f t="shared" si="13"/>
        <v>202</v>
      </c>
      <c r="D203" s="260"/>
      <c r="E203" s="37"/>
      <c r="F203" s="305" t="s">
        <v>9</v>
      </c>
      <c r="G203" s="188"/>
      <c r="H203" s="37"/>
      <c r="I203" s="37" t="s">
        <v>9</v>
      </c>
      <c r="J203" s="37"/>
      <c r="K203" s="249" t="s">
        <v>49</v>
      </c>
      <c r="L203" s="249" t="s">
        <v>29</v>
      </c>
      <c r="M203" s="214" t="s">
        <v>1956</v>
      </c>
      <c r="N203" s="249" t="s">
        <v>1957</v>
      </c>
      <c r="O203" s="311">
        <v>0</v>
      </c>
      <c r="R203" s="37" t="s">
        <v>106</v>
      </c>
      <c r="S203" s="37"/>
      <c r="T203" s="37"/>
      <c r="W203" s="14" t="str">
        <f>IF(IFERROR(VLOOKUP($M203,'IMPORT GS-Tür OL FL 2S2 20'!$H$2:$H$847,1,0),"-")="-","","GS")</f>
        <v>GS</v>
      </c>
      <c r="X203" s="14" t="str">
        <f t="shared" ref="X203:X266" si="16">IF($A203="G",IF(IFERROR(VLOOKUP($M203,Reimport,1,0),"-")="-","&gt;&lt;",IF($O203=VLOOKUP($M203,Reimport,2,0),"...",VLOOKUP($M203,Reimport,2,0))),"")</f>
        <v/>
      </c>
      <c r="Z203" s="58" t="str">
        <f>IF(OR($M203="",NOT($O203="{array}")),"",IFERROR(MATCH(PARAMETERS!$M203,DEFAULT!$B$5:$CI$5,0),""))</f>
        <v/>
      </c>
      <c r="AA203" s="55" t="str">
        <f t="shared" si="14"/>
        <v/>
      </c>
      <c r="AB203" s="62" t="str">
        <f>IF(AND(OR($A203="G",$A203="P"),NOT($O203="{array}")),IF(VLOOKUP($K203,base!$B$2:$D$20,3,0)="S",IF(OR($O203="",ISTEXT($O203)),"","STRING!"),IF(VLOOKUP($K203,base!$B$2:$D$20,3,0)="","",IF(ISTEXT($O203),"NUMERIC!",""))),"")</f>
        <v/>
      </c>
      <c r="AC203" s="16" t="str">
        <f>IF($AA203="","",IF($B203="I",VLOOKUP($AA203,#REF!,53,0),INDEX(VALUES!$B$1:$GP$1,1,$AA203)))</f>
        <v/>
      </c>
    </row>
    <row r="204" spans="1:29" hidden="1" outlineLevel="1">
      <c r="A204" s="21"/>
      <c r="B204" s="40" t="str">
        <f t="shared" si="15"/>
        <v/>
      </c>
      <c r="C204" s="41">
        <f t="shared" si="13"/>
        <v>203</v>
      </c>
      <c r="D204" s="260"/>
      <c r="E204" s="37"/>
      <c r="F204" s="305" t="s">
        <v>9</v>
      </c>
      <c r="G204" s="188"/>
      <c r="H204" s="37"/>
      <c r="I204" s="37" t="s">
        <v>9</v>
      </c>
      <c r="J204" s="37"/>
      <c r="K204" s="249" t="s">
        <v>26</v>
      </c>
      <c r="L204" s="249" t="s">
        <v>29</v>
      </c>
      <c r="M204" s="214" t="s">
        <v>1958</v>
      </c>
      <c r="N204" s="249" t="s">
        <v>1959</v>
      </c>
      <c r="O204" s="311">
        <v>0.04</v>
      </c>
      <c r="R204" s="37" t="s">
        <v>106</v>
      </c>
      <c r="S204" s="37"/>
      <c r="T204" s="37"/>
      <c r="W204" s="14" t="str">
        <f>IF(IFERROR(VLOOKUP($M204,'IMPORT GS-Tür OL FL 2S2 20'!$H$2:$H$847,1,0),"-")="-","","GS")</f>
        <v>GS</v>
      </c>
      <c r="X204" s="14" t="str">
        <f t="shared" si="16"/>
        <v/>
      </c>
      <c r="Z204" s="58" t="str">
        <f>IF(OR($M204="",NOT($O204="{array}")),"",IFERROR(MATCH(PARAMETERS!$M204,DEFAULT!$B$5:$CI$5,0),""))</f>
        <v/>
      </c>
      <c r="AA204" s="55" t="str">
        <f t="shared" si="14"/>
        <v/>
      </c>
      <c r="AB204" s="62" t="str">
        <f>IF(AND(OR($A204="G",$A204="P"),NOT($O204="{array}")),IF(VLOOKUP($K204,base!$B$2:$D$20,3,0)="S",IF(OR($O204="",ISTEXT($O204)),"","STRING!"),IF(VLOOKUP($K204,base!$B$2:$D$20,3,0)="","",IF(ISTEXT($O204),"NUMERIC!",""))),"")</f>
        <v/>
      </c>
      <c r="AC204" s="16" t="str">
        <f>IF($AA204="","",IF($B204="I",VLOOKUP($AA204,#REF!,53,0),INDEX(VALUES!$B$1:$GP$1,1,$AA204)))</f>
        <v/>
      </c>
    </row>
    <row r="205" spans="1:29" hidden="1" outlineLevel="1">
      <c r="A205" s="21"/>
      <c r="B205" s="40" t="str">
        <f t="shared" si="15"/>
        <v/>
      </c>
      <c r="C205" s="41">
        <f t="shared" si="13"/>
        <v>204</v>
      </c>
      <c r="D205" s="260"/>
      <c r="E205" s="37"/>
      <c r="F205" s="305" t="s">
        <v>9</v>
      </c>
      <c r="G205" s="188"/>
      <c r="H205" s="37"/>
      <c r="I205" s="37" t="s">
        <v>9</v>
      </c>
      <c r="J205" s="37"/>
      <c r="K205" s="249" t="s">
        <v>49</v>
      </c>
      <c r="L205" s="249" t="s">
        <v>29</v>
      </c>
      <c r="M205" s="214" t="s">
        <v>1960</v>
      </c>
      <c r="N205" s="249" t="s">
        <v>1961</v>
      </c>
      <c r="O205" s="311">
        <v>0</v>
      </c>
      <c r="R205" s="37" t="s">
        <v>106</v>
      </c>
      <c r="S205" s="37"/>
      <c r="T205" s="37"/>
      <c r="W205" s="14" t="str">
        <f>IF(IFERROR(VLOOKUP($M205,'IMPORT GS-Tür OL FL 2S2 20'!$H$2:$H$847,1,0),"-")="-","","GS")</f>
        <v>GS</v>
      </c>
      <c r="X205" s="14" t="str">
        <f t="shared" si="16"/>
        <v/>
      </c>
      <c r="Z205" s="58" t="str">
        <f>IF(OR($M205="",NOT($O205="{array}")),"",IFERROR(MATCH(PARAMETERS!$M205,DEFAULT!$B$5:$CI$5,0),""))</f>
        <v/>
      </c>
      <c r="AA205" s="55" t="str">
        <f t="shared" si="14"/>
        <v/>
      </c>
      <c r="AB205" s="62" t="str">
        <f>IF(AND(OR($A205="G",$A205="P"),NOT($O205="{array}")),IF(VLOOKUP($K205,base!$B$2:$D$20,3,0)="S",IF(OR($O205="",ISTEXT($O205)),"","STRING!"),IF(VLOOKUP($K205,base!$B$2:$D$20,3,0)="","",IF(ISTEXT($O205),"NUMERIC!",""))),"")</f>
        <v/>
      </c>
      <c r="AC205" s="16" t="str">
        <f>IF($AA205="","",IF($B205="I",VLOOKUP($AA205,#REF!,53,0),INDEX(VALUES!$B$1:$GP$1,1,$AA205)))</f>
        <v/>
      </c>
    </row>
    <row r="206" spans="1:29" hidden="1" outlineLevel="1">
      <c r="A206" s="21"/>
      <c r="B206" s="40" t="str">
        <f t="shared" si="15"/>
        <v/>
      </c>
      <c r="C206" s="41">
        <f t="shared" si="13"/>
        <v>205</v>
      </c>
      <c r="D206" s="260"/>
      <c r="E206" s="37"/>
      <c r="F206" s="305" t="s">
        <v>9</v>
      </c>
      <c r="G206" s="188"/>
      <c r="H206" s="37"/>
      <c r="I206" s="37" t="s">
        <v>9</v>
      </c>
      <c r="J206" s="37"/>
      <c r="K206" s="249" t="s">
        <v>46</v>
      </c>
      <c r="L206" s="249" t="s">
        <v>29</v>
      </c>
      <c r="M206" s="214" t="s">
        <v>1962</v>
      </c>
      <c r="N206" s="249" t="s">
        <v>1963</v>
      </c>
      <c r="O206" s="311">
        <v>0</v>
      </c>
      <c r="R206" s="37" t="s">
        <v>106</v>
      </c>
      <c r="S206" s="37"/>
      <c r="T206" s="37"/>
      <c r="W206" s="14" t="str">
        <f>IF(IFERROR(VLOOKUP($M206,'IMPORT GS-Tür OL FL 2S2 20'!$H$2:$H$847,1,0),"-")="-","","GS")</f>
        <v>GS</v>
      </c>
      <c r="X206" s="14" t="str">
        <f t="shared" si="16"/>
        <v/>
      </c>
      <c r="Z206" s="58" t="str">
        <f>IF(OR($M206="",NOT($O206="{array}")),"",IFERROR(MATCH(PARAMETERS!$M206,DEFAULT!$B$5:$CI$5,0),""))</f>
        <v/>
      </c>
      <c r="AA206" s="55" t="str">
        <f t="shared" si="14"/>
        <v/>
      </c>
      <c r="AB206" s="62" t="str">
        <f>IF(AND(OR($A206="G",$A206="P"),NOT($O206="{array}")),IF(VLOOKUP($K206,base!$B$2:$D$20,3,0)="S",IF(OR($O206="",ISTEXT($O206)),"","STRING!"),IF(VLOOKUP($K206,base!$B$2:$D$20,3,0)="","",IF(ISTEXT($O206),"NUMERIC!",""))),"")</f>
        <v/>
      </c>
      <c r="AC206" s="16" t="str">
        <f>IF($AA206="","",IF($B206="I",VLOOKUP($AA206,#REF!,53,0),INDEX(VALUES!$B$1:$GP$1,1,$AA206)))</f>
        <v/>
      </c>
    </row>
    <row r="207" spans="1:29" hidden="1" outlineLevel="1">
      <c r="A207" s="21"/>
      <c r="B207" s="40" t="str">
        <f t="shared" si="15"/>
        <v/>
      </c>
      <c r="C207" s="41">
        <f t="shared" si="13"/>
        <v>206</v>
      </c>
      <c r="D207" s="260"/>
      <c r="E207" s="37"/>
      <c r="F207" s="305" t="s">
        <v>9</v>
      </c>
      <c r="G207" s="188"/>
      <c r="H207" s="37"/>
      <c r="I207" s="37" t="s">
        <v>9</v>
      </c>
      <c r="J207" s="37"/>
      <c r="K207" s="249" t="s">
        <v>49</v>
      </c>
      <c r="L207" s="249" t="s">
        <v>29</v>
      </c>
      <c r="M207" s="214" t="s">
        <v>1964</v>
      </c>
      <c r="N207" s="249" t="s">
        <v>1965</v>
      </c>
      <c r="O207" s="311">
        <v>0</v>
      </c>
      <c r="R207" s="37" t="s">
        <v>106</v>
      </c>
      <c r="S207" s="37"/>
      <c r="T207" s="37"/>
      <c r="W207" s="14" t="str">
        <f>IF(IFERROR(VLOOKUP($M207,'IMPORT GS-Tür OL FL 2S2 20'!$H$2:$H$847,1,0),"-")="-","","GS")</f>
        <v>GS</v>
      </c>
      <c r="X207" s="14" t="str">
        <f t="shared" si="16"/>
        <v/>
      </c>
      <c r="Z207" s="58" t="str">
        <f>IF(OR($M207="",NOT($O207="{array}")),"",IFERROR(MATCH(PARAMETERS!$M207,DEFAULT!$B$5:$CI$5,0),""))</f>
        <v/>
      </c>
      <c r="AA207" s="55" t="str">
        <f t="shared" si="14"/>
        <v/>
      </c>
      <c r="AB207" s="62" t="str">
        <f>IF(AND(OR($A207="G",$A207="P"),NOT($O207="{array}")),IF(VLOOKUP($K207,base!$B$2:$D$20,3,0)="S",IF(OR($O207="",ISTEXT($O207)),"","STRING!"),IF(VLOOKUP($K207,base!$B$2:$D$20,3,0)="","",IF(ISTEXT($O207),"NUMERIC!",""))),"")</f>
        <v/>
      </c>
      <c r="AC207" s="16" t="str">
        <f>IF($AA207="","",IF($B207="I",VLOOKUP($AA207,#REF!,53,0),INDEX(VALUES!$B$1:$GP$1,1,$AA207)))</f>
        <v/>
      </c>
    </row>
    <row r="208" spans="1:29" hidden="1" outlineLevel="1">
      <c r="A208" s="21"/>
      <c r="B208" s="40" t="str">
        <f t="shared" si="15"/>
        <v/>
      </c>
      <c r="C208" s="41">
        <f t="shared" si="13"/>
        <v>207</v>
      </c>
      <c r="D208" s="260"/>
      <c r="E208" s="37"/>
      <c r="F208" s="305" t="s">
        <v>9</v>
      </c>
      <c r="G208" s="188"/>
      <c r="H208" s="37"/>
      <c r="I208" s="37" t="s">
        <v>9</v>
      </c>
      <c r="J208" s="37"/>
      <c r="K208" s="249" t="s">
        <v>46</v>
      </c>
      <c r="L208" s="249" t="s">
        <v>29</v>
      </c>
      <c r="M208" s="214" t="s">
        <v>1966</v>
      </c>
      <c r="N208" s="249" t="s">
        <v>1967</v>
      </c>
      <c r="O208" s="311">
        <v>0</v>
      </c>
      <c r="R208" s="37" t="s">
        <v>106</v>
      </c>
      <c r="S208" s="37"/>
      <c r="T208" s="37"/>
      <c r="W208" s="14" t="str">
        <f>IF(IFERROR(VLOOKUP($M208,'IMPORT GS-Tür OL FL 2S2 20'!$H$2:$H$847,1,0),"-")="-","","GS")</f>
        <v>GS</v>
      </c>
      <c r="X208" s="14" t="str">
        <f t="shared" si="16"/>
        <v/>
      </c>
      <c r="Z208" s="58" t="str">
        <f>IF(OR($M208="",NOT($O208="{array}")),"",IFERROR(MATCH(PARAMETERS!$M208,DEFAULT!$B$5:$CI$5,0),""))</f>
        <v/>
      </c>
      <c r="AA208" s="55" t="str">
        <f t="shared" si="14"/>
        <v/>
      </c>
      <c r="AB208" s="62" t="str">
        <f>IF(AND(OR($A208="G",$A208="P"),NOT($O208="{array}")),IF(VLOOKUP($K208,base!$B$2:$D$20,3,0)="S",IF(OR($O208="",ISTEXT($O208)),"","STRING!"),IF(VLOOKUP($K208,base!$B$2:$D$20,3,0)="","",IF(ISTEXT($O208),"NUMERIC!",""))),"")</f>
        <v/>
      </c>
      <c r="AC208" s="16" t="str">
        <f>IF($AA208="","",IF($B208="I",VLOOKUP($AA208,#REF!,53,0),INDEX(VALUES!$B$1:$GP$1,1,$AA208)))</f>
        <v/>
      </c>
    </row>
    <row r="209" spans="1:29" hidden="1" outlineLevel="1">
      <c r="A209" s="21"/>
      <c r="B209" s="40" t="str">
        <f t="shared" si="15"/>
        <v/>
      </c>
      <c r="C209" s="41">
        <f t="shared" ref="C209:C272" si="17">(ROW()-1)</f>
        <v>208</v>
      </c>
      <c r="D209" s="260"/>
      <c r="E209" s="37"/>
      <c r="F209" s="305" t="s">
        <v>9</v>
      </c>
      <c r="G209" s="188"/>
      <c r="H209" s="37"/>
      <c r="I209" s="37" t="s">
        <v>9</v>
      </c>
      <c r="J209" s="37"/>
      <c r="K209" s="249" t="s">
        <v>49</v>
      </c>
      <c r="L209" s="249" t="s">
        <v>29</v>
      </c>
      <c r="M209" s="214" t="s">
        <v>1968</v>
      </c>
      <c r="N209" s="249" t="s">
        <v>1969</v>
      </c>
      <c r="O209" s="311">
        <v>0</v>
      </c>
      <c r="R209" s="37" t="s">
        <v>106</v>
      </c>
      <c r="S209" s="37"/>
      <c r="T209" s="37"/>
      <c r="W209" s="14" t="str">
        <f>IF(IFERROR(VLOOKUP($M209,'IMPORT GS-Tür OL FL 2S2 20'!$H$2:$H$847,1,0),"-")="-","","GS")</f>
        <v>GS</v>
      </c>
      <c r="X209" s="14" t="str">
        <f t="shared" si="16"/>
        <v/>
      </c>
      <c r="Z209" s="58" t="str">
        <f>IF(OR($M209="",NOT($O209="{array}")),"",IFERROR(MATCH(PARAMETERS!$M209,DEFAULT!$B$5:$CI$5,0),""))</f>
        <v/>
      </c>
      <c r="AA209" s="55" t="str">
        <f t="shared" si="14"/>
        <v/>
      </c>
      <c r="AB209" s="62" t="str">
        <f>IF(AND(OR($A209="G",$A209="P"),NOT($O209="{array}")),IF(VLOOKUP($K209,base!$B$2:$D$20,3,0)="S",IF(OR($O209="",ISTEXT($O209)),"","STRING!"),IF(VLOOKUP($K209,base!$B$2:$D$20,3,0)="","",IF(ISTEXT($O209),"NUMERIC!",""))),"")</f>
        <v/>
      </c>
      <c r="AC209" s="16" t="str">
        <f>IF($AA209="","",IF($B209="I",VLOOKUP($AA209,#REF!,53,0),INDEX(VALUES!$B$1:$GP$1,1,$AA209)))</f>
        <v/>
      </c>
    </row>
    <row r="210" spans="1:29" hidden="1" outlineLevel="1">
      <c r="A210" s="21"/>
      <c r="B210" s="40" t="str">
        <f t="shared" si="15"/>
        <v/>
      </c>
      <c r="C210" s="41">
        <f t="shared" si="17"/>
        <v>209</v>
      </c>
      <c r="D210" s="260"/>
      <c r="E210" s="37"/>
      <c r="F210" s="305" t="s">
        <v>9</v>
      </c>
      <c r="G210" s="188"/>
      <c r="H210" s="37"/>
      <c r="I210" s="37" t="s">
        <v>9</v>
      </c>
      <c r="J210" s="37"/>
      <c r="K210" s="249" t="s">
        <v>49</v>
      </c>
      <c r="L210" s="249" t="s">
        <v>29</v>
      </c>
      <c r="M210" s="214" t="s">
        <v>1970</v>
      </c>
      <c r="N210" s="249" t="s">
        <v>1971</v>
      </c>
      <c r="O210" s="311">
        <v>0</v>
      </c>
      <c r="R210" s="37" t="s">
        <v>106</v>
      </c>
      <c r="S210" s="37"/>
      <c r="T210" s="37"/>
      <c r="W210" s="14" t="str">
        <f>IF(IFERROR(VLOOKUP($M210,'IMPORT GS-Tür OL FL 2S2 20'!$H$2:$H$847,1,0),"-")="-","","GS")</f>
        <v>GS</v>
      </c>
      <c r="X210" s="14" t="str">
        <f t="shared" si="16"/>
        <v/>
      </c>
      <c r="Z210" s="58" t="str">
        <f>IF(OR($M210="",NOT($O210="{array}")),"",IFERROR(MATCH(PARAMETERS!$M210,DEFAULT!$B$5:$CI$5,0),""))</f>
        <v/>
      </c>
      <c r="AA210" s="55" t="str">
        <f t="shared" si="14"/>
        <v/>
      </c>
      <c r="AB210" s="62" t="str">
        <f>IF(AND(OR($A210="G",$A210="P"),NOT($O210="{array}")),IF(VLOOKUP($K210,base!$B$2:$D$20,3,0)="S",IF(OR($O210="",ISTEXT($O210)),"","STRING!"),IF(VLOOKUP($K210,base!$B$2:$D$20,3,0)="","",IF(ISTEXT($O210),"NUMERIC!",""))),"")</f>
        <v/>
      </c>
      <c r="AC210" s="16" t="str">
        <f>IF($AA210="","",IF($B210="I",VLOOKUP($AA210,#REF!,53,0),INDEX(VALUES!$B$1:$GP$1,1,$AA210)))</f>
        <v/>
      </c>
    </row>
    <row r="211" spans="1:29" hidden="1" outlineLevel="1">
      <c r="A211" s="21"/>
      <c r="B211" s="40" t="str">
        <f t="shared" si="15"/>
        <v/>
      </c>
      <c r="C211" s="41">
        <f t="shared" si="17"/>
        <v>210</v>
      </c>
      <c r="D211" s="260"/>
      <c r="E211" s="37"/>
      <c r="F211" s="305" t="s">
        <v>9</v>
      </c>
      <c r="G211" s="188"/>
      <c r="H211" s="37" t="s">
        <v>9</v>
      </c>
      <c r="I211" s="37"/>
      <c r="J211" s="37"/>
      <c r="K211" s="249" t="s">
        <v>20</v>
      </c>
      <c r="L211" s="249" t="s">
        <v>29</v>
      </c>
      <c r="M211" s="214" t="s">
        <v>1972</v>
      </c>
      <c r="N211" s="249" t="s">
        <v>1955</v>
      </c>
      <c r="O211" s="311" t="s">
        <v>1973</v>
      </c>
      <c r="R211" s="37" t="s">
        <v>106</v>
      </c>
      <c r="S211" s="37"/>
      <c r="T211" s="37"/>
      <c r="W211" s="14" t="str">
        <f>IF(IFERROR(VLOOKUP($M211,'IMPORT GS-Tür OL FL 2S2 20'!$H$2:$H$847,1,0),"-")="-","","GS")</f>
        <v>GS</v>
      </c>
      <c r="X211" s="14" t="str">
        <f t="shared" si="16"/>
        <v/>
      </c>
      <c r="Z211" s="58" t="str">
        <f>IF(OR($M211="",NOT($O211="{array}")),"",IFERROR(MATCH(PARAMETERS!$M211,DEFAULT!$B$5:$CI$5,0),""))</f>
        <v/>
      </c>
      <c r="AA211" s="55" t="str">
        <f t="shared" si="14"/>
        <v/>
      </c>
      <c r="AB211" s="62" t="str">
        <f>IF(AND(OR($A211="G",$A211="P"),NOT($O211="{array}")),IF(VLOOKUP($K211,base!$B$2:$D$20,3,0)="S",IF(OR($O211="",ISTEXT($O211)),"","STRING!"),IF(VLOOKUP($K211,base!$B$2:$D$20,3,0)="","",IF(ISTEXT($O211),"NUMERIC!",""))),"")</f>
        <v/>
      </c>
      <c r="AC211" s="16" t="str">
        <f>IF($AA211="","",IF($B211="I",VLOOKUP($AA211,#REF!,53,0),INDEX(VALUES!$B$1:$GP$1,1,$AA211)))</f>
        <v/>
      </c>
    </row>
    <row r="212" spans="1:29" hidden="1" outlineLevel="1">
      <c r="A212" s="21"/>
      <c r="B212" s="40" t="str">
        <f t="shared" si="15"/>
        <v/>
      </c>
      <c r="C212" s="41">
        <f t="shared" si="17"/>
        <v>211</v>
      </c>
      <c r="D212" s="260"/>
      <c r="E212" s="37"/>
      <c r="F212" s="305" t="s">
        <v>9</v>
      </c>
      <c r="G212" s="188" t="s">
        <v>9</v>
      </c>
      <c r="H212" s="37" t="s">
        <v>9</v>
      </c>
      <c r="I212" s="37" t="s">
        <v>9</v>
      </c>
      <c r="J212" s="37"/>
      <c r="K212" s="249" t="s">
        <v>46</v>
      </c>
      <c r="L212" s="249" t="s">
        <v>29</v>
      </c>
      <c r="M212" s="214" t="s">
        <v>1974</v>
      </c>
      <c r="N212" s="249" t="s">
        <v>1955</v>
      </c>
      <c r="O212" s="311">
        <v>1</v>
      </c>
      <c r="R212" s="37" t="s">
        <v>106</v>
      </c>
      <c r="S212" s="37"/>
      <c r="T212" s="37"/>
      <c r="W212" s="14" t="str">
        <f>IF(IFERROR(VLOOKUP($M212,'IMPORT GS-Tür OL FL 2S2 20'!$H$2:$H$847,1,0),"-")="-","","GS")</f>
        <v>GS</v>
      </c>
      <c r="X212" s="14" t="str">
        <f t="shared" si="16"/>
        <v/>
      </c>
      <c r="Z212" s="58" t="str">
        <f>IF(OR($M212="",NOT($O212="{array}")),"",IFERROR(MATCH(PARAMETERS!$M212,DEFAULT!$B$5:$CI$5,0),""))</f>
        <v/>
      </c>
      <c r="AA212" s="55" t="str">
        <f t="shared" si="14"/>
        <v/>
      </c>
      <c r="AB212" s="62" t="str">
        <f>IF(AND(OR($A212="G",$A212="P"),NOT($O212="{array}")),IF(VLOOKUP($K212,base!$B$2:$D$20,3,0)="S",IF(OR($O212="",ISTEXT($O212)),"","STRING!"),IF(VLOOKUP($K212,base!$B$2:$D$20,3,0)="","",IF(ISTEXT($O212),"NUMERIC!",""))),"")</f>
        <v/>
      </c>
      <c r="AC212" s="16" t="str">
        <f>IF($AA212="","",IF($B212="I",VLOOKUP($AA212,#REF!,53,0),INDEX(VALUES!$B$1:$GP$1,1,$AA212)))</f>
        <v/>
      </c>
    </row>
    <row r="213" spans="1:29" hidden="1" outlineLevel="1">
      <c r="A213" s="21"/>
      <c r="B213" s="40" t="str">
        <f t="shared" si="15"/>
        <v/>
      </c>
      <c r="C213" s="41">
        <f t="shared" si="17"/>
        <v>212</v>
      </c>
      <c r="D213" s="260"/>
      <c r="E213" s="37"/>
      <c r="F213" s="305" t="s">
        <v>9</v>
      </c>
      <c r="G213" s="188"/>
      <c r="H213" s="37"/>
      <c r="I213" s="37" t="s">
        <v>9</v>
      </c>
      <c r="J213" s="37"/>
      <c r="K213" s="249" t="s">
        <v>20</v>
      </c>
      <c r="L213" s="249" t="s">
        <v>29</v>
      </c>
      <c r="M213" s="214" t="s">
        <v>1975</v>
      </c>
      <c r="N213" s="249" t="s">
        <v>1976</v>
      </c>
      <c r="O213" s="311" t="s">
        <v>1480</v>
      </c>
      <c r="R213" s="37" t="s">
        <v>106</v>
      </c>
      <c r="S213" s="37"/>
      <c r="T213" s="37"/>
      <c r="W213" s="14" t="str">
        <f>IF(IFERROR(VLOOKUP($M213,'IMPORT GS-Tür OL FL 2S2 20'!$H$2:$H$847,1,0),"-")="-","","GS")</f>
        <v>GS</v>
      </c>
      <c r="X213" s="14" t="str">
        <f t="shared" si="16"/>
        <v/>
      </c>
      <c r="Z213" s="58" t="str">
        <f>IF(OR($M213="",NOT($O213="{array}")),"",IFERROR(MATCH(PARAMETERS!$M213,DEFAULT!$B$5:$CI$5,0),""))</f>
        <v/>
      </c>
      <c r="AA213" s="55" t="str">
        <f t="shared" si="14"/>
        <v/>
      </c>
      <c r="AB213" s="62" t="str">
        <f>IF(AND(OR($A213="G",$A213="P"),NOT($O213="{array}")),IF(VLOOKUP($K213,base!$B$2:$D$20,3,0)="S",IF(OR($O213="",ISTEXT($O213)),"","STRING!"),IF(VLOOKUP($K213,base!$B$2:$D$20,3,0)="","",IF(ISTEXT($O213),"NUMERIC!",""))),"")</f>
        <v/>
      </c>
      <c r="AC213" s="16" t="str">
        <f>IF($AA213="","",IF($B213="I",VLOOKUP($AA213,#REF!,53,0),INDEX(VALUES!$B$1:$GP$1,1,$AA213)))</f>
        <v/>
      </c>
    </row>
    <row r="214" spans="1:29" hidden="1" outlineLevel="1">
      <c r="A214" s="21"/>
      <c r="B214" s="40" t="str">
        <f t="shared" si="15"/>
        <v/>
      </c>
      <c r="C214" s="41">
        <f t="shared" si="17"/>
        <v>213</v>
      </c>
      <c r="D214" s="260"/>
      <c r="E214" s="37"/>
      <c r="F214" s="305" t="s">
        <v>9</v>
      </c>
      <c r="G214" s="188" t="s">
        <v>9</v>
      </c>
      <c r="H214" s="37"/>
      <c r="I214" s="37" t="s">
        <v>9</v>
      </c>
      <c r="J214" s="37"/>
      <c r="K214" s="249" t="s">
        <v>46</v>
      </c>
      <c r="L214" s="249" t="s">
        <v>29</v>
      </c>
      <c r="M214" s="214" t="s">
        <v>1977</v>
      </c>
      <c r="N214" s="249" t="s">
        <v>1976</v>
      </c>
      <c r="O214" s="311">
        <v>1</v>
      </c>
      <c r="R214" s="37" t="s">
        <v>106</v>
      </c>
      <c r="S214" s="37"/>
      <c r="T214" s="37"/>
      <c r="W214" s="14" t="str">
        <f>IF(IFERROR(VLOOKUP($M214,'IMPORT GS-Tür OL FL 2S2 20'!$H$2:$H$847,1,0),"-")="-","","GS")</f>
        <v>GS</v>
      </c>
      <c r="X214" s="14" t="str">
        <f t="shared" si="16"/>
        <v/>
      </c>
      <c r="Z214" s="58" t="str">
        <f>IF(OR($M214="",NOT($O214="{array}")),"",IFERROR(MATCH(PARAMETERS!$M214,DEFAULT!$B$5:$CI$5,0),""))</f>
        <v/>
      </c>
      <c r="AA214" s="55" t="str">
        <f t="shared" si="14"/>
        <v/>
      </c>
      <c r="AB214" s="62" t="str">
        <f>IF(AND(OR($A214="G",$A214="P"),NOT($O214="{array}")),IF(VLOOKUP($K214,base!$B$2:$D$20,3,0)="S",IF(OR($O214="",ISTEXT($O214)),"","STRING!"),IF(VLOOKUP($K214,base!$B$2:$D$20,3,0)="","",IF(ISTEXT($O214),"NUMERIC!",""))),"")</f>
        <v/>
      </c>
      <c r="AC214" s="16" t="str">
        <f>IF($AA214="","",IF($B214="I",VLOOKUP($AA214,#REF!,53,0),INDEX(VALUES!$B$1:$GP$1,1,$AA214)))</f>
        <v/>
      </c>
    </row>
    <row r="215" spans="1:29" hidden="1" outlineLevel="1">
      <c r="A215" s="21"/>
      <c r="B215" s="40" t="str">
        <f t="shared" si="15"/>
        <v/>
      </c>
      <c r="C215" s="41">
        <f t="shared" si="17"/>
        <v>214</v>
      </c>
      <c r="D215" s="260"/>
      <c r="E215" s="37"/>
      <c r="F215" s="305" t="s">
        <v>9</v>
      </c>
      <c r="G215" s="188"/>
      <c r="H215" s="37"/>
      <c r="I215" s="37" t="s">
        <v>9</v>
      </c>
      <c r="J215" s="37"/>
      <c r="K215" s="249" t="s">
        <v>46</v>
      </c>
      <c r="L215" s="249" t="s">
        <v>29</v>
      </c>
      <c r="M215" s="214" t="s">
        <v>1978</v>
      </c>
      <c r="N215" s="249" t="s">
        <v>1979</v>
      </c>
      <c r="O215" s="311">
        <v>1</v>
      </c>
      <c r="R215" s="37" t="s">
        <v>106</v>
      </c>
      <c r="S215" s="37"/>
      <c r="T215" s="37"/>
      <c r="W215" s="14" t="str">
        <f>IF(IFERROR(VLOOKUP($M215,'IMPORT GS-Tür OL FL 2S2 20'!$H$2:$H$847,1,0),"-")="-","","GS")</f>
        <v>GS</v>
      </c>
      <c r="X215" s="14" t="str">
        <f t="shared" si="16"/>
        <v/>
      </c>
      <c r="Z215" s="58" t="str">
        <f>IF(OR($M215="",NOT($O215="{array}")),"",IFERROR(MATCH(PARAMETERS!$M215,DEFAULT!$B$5:$CI$5,0),""))</f>
        <v/>
      </c>
      <c r="AA215" s="55" t="str">
        <f t="shared" si="14"/>
        <v/>
      </c>
      <c r="AB215" s="62" t="str">
        <f>IF(AND(OR($A215="G",$A215="P"),NOT($O215="{array}")),IF(VLOOKUP($K215,base!$B$2:$D$20,3,0)="S",IF(OR($O215="",ISTEXT($O215)),"","STRING!"),IF(VLOOKUP($K215,base!$B$2:$D$20,3,0)="","",IF(ISTEXT($O215),"NUMERIC!",""))),"")</f>
        <v/>
      </c>
      <c r="AC215" s="16" t="str">
        <f>IF($AA215="","",IF($B215="I",VLOOKUP($AA215,#REF!,53,0),INDEX(VALUES!$B$1:$GP$1,1,$AA215)))</f>
        <v/>
      </c>
    </row>
    <row r="216" spans="1:29" hidden="1" outlineLevel="1">
      <c r="A216" s="21"/>
      <c r="B216" s="40" t="str">
        <f t="shared" si="15"/>
        <v/>
      </c>
      <c r="C216" s="41">
        <f t="shared" si="17"/>
        <v>215</v>
      </c>
      <c r="D216" s="260"/>
      <c r="E216" s="37"/>
      <c r="F216" s="305" t="s">
        <v>9</v>
      </c>
      <c r="G216" s="188"/>
      <c r="H216" s="37"/>
      <c r="I216" s="37" t="s">
        <v>9</v>
      </c>
      <c r="J216" s="37"/>
      <c r="K216" s="249" t="s">
        <v>20</v>
      </c>
      <c r="L216" s="249" t="s">
        <v>29</v>
      </c>
      <c r="M216" s="214" t="s">
        <v>1980</v>
      </c>
      <c r="N216" s="249" t="s">
        <v>1981</v>
      </c>
      <c r="O216" s="311" t="s">
        <v>1982</v>
      </c>
      <c r="R216" s="37" t="s">
        <v>106</v>
      </c>
      <c r="S216" s="37"/>
      <c r="T216" s="37"/>
      <c r="W216" s="14" t="str">
        <f>IF(IFERROR(VLOOKUP($M216,'IMPORT GS-Tür OL FL 2S2 20'!$H$2:$H$847,1,0),"-")="-","","GS")</f>
        <v>GS</v>
      </c>
      <c r="X216" s="14" t="str">
        <f t="shared" si="16"/>
        <v/>
      </c>
      <c r="Z216" s="58" t="str">
        <f>IF(OR($M216="",NOT($O216="{array}")),"",IFERROR(MATCH(PARAMETERS!$M216,DEFAULT!$B$5:$CI$5,0),""))</f>
        <v/>
      </c>
      <c r="AA216" s="55" t="str">
        <f t="shared" si="14"/>
        <v/>
      </c>
      <c r="AB216" s="62" t="str">
        <f>IF(AND(OR($A216="G",$A216="P"),NOT($O216="{array}")),IF(VLOOKUP($K216,base!$B$2:$D$20,3,0)="S",IF(OR($O216="",ISTEXT($O216)),"","STRING!"),IF(VLOOKUP($K216,base!$B$2:$D$20,3,0)="","",IF(ISTEXT($O216),"NUMERIC!",""))),"")</f>
        <v/>
      </c>
      <c r="AC216" s="16" t="str">
        <f>IF($AA216="","",IF($B216="I",VLOOKUP($AA216,#REF!,53,0),INDEX(VALUES!$B$1:$GP$1,1,$AA216)))</f>
        <v/>
      </c>
    </row>
    <row r="217" spans="1:29" hidden="1" outlineLevel="1">
      <c r="A217" s="21"/>
      <c r="B217" s="40" t="str">
        <f t="shared" si="15"/>
        <v/>
      </c>
      <c r="C217" s="41">
        <f t="shared" si="17"/>
        <v>216</v>
      </c>
      <c r="D217" s="260"/>
      <c r="E217" s="37"/>
      <c r="F217" s="305" t="s">
        <v>9</v>
      </c>
      <c r="G217" s="188" t="s">
        <v>9</v>
      </c>
      <c r="H217" s="37"/>
      <c r="I217" s="37" t="s">
        <v>9</v>
      </c>
      <c r="J217" s="37"/>
      <c r="K217" s="249" t="s">
        <v>46</v>
      </c>
      <c r="L217" s="249" t="s">
        <v>29</v>
      </c>
      <c r="M217" s="214" t="s">
        <v>1983</v>
      </c>
      <c r="N217" s="249" t="s">
        <v>1981</v>
      </c>
      <c r="O217" s="311">
        <v>1</v>
      </c>
      <c r="R217" s="37" t="s">
        <v>106</v>
      </c>
      <c r="S217" s="37"/>
      <c r="T217" s="37"/>
      <c r="W217" s="14" t="str">
        <f>IF(IFERROR(VLOOKUP($M217,'IMPORT GS-Tür OL FL 2S2 20'!$H$2:$H$847,1,0),"-")="-","","GS")</f>
        <v>GS</v>
      </c>
      <c r="X217" s="14" t="str">
        <f t="shared" si="16"/>
        <v/>
      </c>
      <c r="Z217" s="58" t="str">
        <f>IF(OR($M217="",NOT($O217="{array}")),"",IFERROR(MATCH(PARAMETERS!$M217,DEFAULT!$B$5:$CI$5,0),""))</f>
        <v/>
      </c>
      <c r="AA217" s="55" t="str">
        <f t="shared" si="14"/>
        <v/>
      </c>
      <c r="AB217" s="62" t="str">
        <f>IF(AND(OR($A217="G",$A217="P"),NOT($O217="{array}")),IF(VLOOKUP($K217,base!$B$2:$D$20,3,0)="S",IF(OR($O217="",ISTEXT($O217)),"","STRING!"),IF(VLOOKUP($K217,base!$B$2:$D$20,3,0)="","",IF(ISTEXT($O217),"NUMERIC!",""))),"")</f>
        <v/>
      </c>
      <c r="AC217" s="16" t="str">
        <f>IF($AA217="","",IF($B217="I",VLOOKUP($AA217,#REF!,53,0),INDEX(VALUES!$B$1:$GP$1,1,$AA217)))</f>
        <v/>
      </c>
    </row>
    <row r="218" spans="1:29" hidden="1" outlineLevel="1">
      <c r="A218" s="21"/>
      <c r="B218" s="40" t="str">
        <f t="shared" si="15"/>
        <v/>
      </c>
      <c r="C218" s="41">
        <f t="shared" si="17"/>
        <v>217</v>
      </c>
      <c r="D218" s="260"/>
      <c r="E218" s="37"/>
      <c r="F218" s="305" t="s">
        <v>9</v>
      </c>
      <c r="G218" s="188"/>
      <c r="H218" s="37"/>
      <c r="I218" s="37" t="s">
        <v>9</v>
      </c>
      <c r="J218" s="37"/>
      <c r="K218" s="249" t="s">
        <v>49</v>
      </c>
      <c r="L218" s="249" t="s">
        <v>29</v>
      </c>
      <c r="M218" s="214" t="s">
        <v>1984</v>
      </c>
      <c r="N218" s="249" t="s">
        <v>1985</v>
      </c>
      <c r="O218" s="311">
        <v>1</v>
      </c>
      <c r="R218" s="37" t="s">
        <v>106</v>
      </c>
      <c r="S218" s="37"/>
      <c r="T218" s="37"/>
      <c r="W218" s="14" t="str">
        <f>IF(IFERROR(VLOOKUP($M218,'IMPORT GS-Tür OL FL 2S2 20'!$H$2:$H$847,1,0),"-")="-","","GS")</f>
        <v>GS</v>
      </c>
      <c r="X218" s="14" t="str">
        <f t="shared" si="16"/>
        <v/>
      </c>
      <c r="Z218" s="58" t="str">
        <f>IF(OR($M218="",NOT($O218="{array}")),"",IFERROR(MATCH(PARAMETERS!$M218,DEFAULT!$B$5:$CI$5,0),""))</f>
        <v/>
      </c>
      <c r="AA218" s="55" t="str">
        <f t="shared" si="14"/>
        <v/>
      </c>
      <c r="AB218" s="62" t="str">
        <f>IF(AND(OR($A218="G",$A218="P"),NOT($O218="{array}")),IF(VLOOKUP($K218,base!$B$2:$D$20,3,0)="S",IF(OR($O218="",ISTEXT($O218)),"","STRING!"),IF(VLOOKUP($K218,base!$B$2:$D$20,3,0)="","",IF(ISTEXT($O218),"NUMERIC!",""))),"")</f>
        <v/>
      </c>
      <c r="AC218" s="16" t="str">
        <f>IF($AA218="","",IF($B218="I",VLOOKUP($AA218,#REF!,53,0),INDEX(VALUES!$B$1:$GP$1,1,$AA218)))</f>
        <v/>
      </c>
    </row>
    <row r="219" spans="1:29" hidden="1" outlineLevel="1">
      <c r="A219" s="21"/>
      <c r="B219" s="40" t="str">
        <f t="shared" si="15"/>
        <v/>
      </c>
      <c r="C219" s="41">
        <f t="shared" si="17"/>
        <v>218</v>
      </c>
      <c r="D219" s="260"/>
      <c r="E219" s="37"/>
      <c r="F219" s="305" t="s">
        <v>9</v>
      </c>
      <c r="G219" s="188"/>
      <c r="H219" s="37"/>
      <c r="I219" s="37" t="s">
        <v>9</v>
      </c>
      <c r="J219" s="37"/>
      <c r="K219" s="249" t="s">
        <v>49</v>
      </c>
      <c r="L219" s="249" t="s">
        <v>29</v>
      </c>
      <c r="M219" s="214" t="s">
        <v>1986</v>
      </c>
      <c r="N219" s="249" t="s">
        <v>1987</v>
      </c>
      <c r="O219" s="311">
        <v>1</v>
      </c>
      <c r="R219" s="37" t="s">
        <v>106</v>
      </c>
      <c r="S219" s="37"/>
      <c r="T219" s="37"/>
      <c r="W219" s="14" t="str">
        <f>IF(IFERROR(VLOOKUP($M219,'IMPORT GS-Tür OL FL 2S2 20'!$H$2:$H$847,1,0),"-")="-","","GS")</f>
        <v>GS</v>
      </c>
      <c r="X219" s="14" t="str">
        <f t="shared" si="16"/>
        <v/>
      </c>
      <c r="Z219" s="58" t="str">
        <f>IF(OR($M219="",NOT($O219="{array}")),"",IFERROR(MATCH(PARAMETERS!$M219,DEFAULT!$B$5:$CI$5,0),""))</f>
        <v/>
      </c>
      <c r="AA219" s="55" t="str">
        <f t="shared" si="14"/>
        <v/>
      </c>
      <c r="AB219" s="62" t="str">
        <f>IF(AND(OR($A219="G",$A219="P"),NOT($O219="{array}")),IF(VLOOKUP($K219,base!$B$2:$D$20,3,0)="S",IF(OR($O219="",ISTEXT($O219)),"","STRING!"),IF(VLOOKUP($K219,base!$B$2:$D$20,3,0)="","",IF(ISTEXT($O219),"NUMERIC!",""))),"")</f>
        <v/>
      </c>
      <c r="AC219" s="16" t="str">
        <f>IF($AA219="","",IF($B219="I",VLOOKUP($AA219,#REF!,53,0),INDEX(VALUES!$B$1:$GP$1,1,$AA219)))</f>
        <v/>
      </c>
    </row>
    <row r="220" spans="1:29" hidden="1" outlineLevel="1">
      <c r="A220" s="21"/>
      <c r="B220" s="40" t="str">
        <f t="shared" si="15"/>
        <v/>
      </c>
      <c r="C220" s="41">
        <f t="shared" si="17"/>
        <v>219</v>
      </c>
      <c r="D220" s="260"/>
      <c r="E220" s="37"/>
      <c r="F220" s="305" t="s">
        <v>9</v>
      </c>
      <c r="G220" s="188"/>
      <c r="H220" s="37"/>
      <c r="I220" s="37" t="s">
        <v>9</v>
      </c>
      <c r="J220" s="37"/>
      <c r="K220" s="249" t="s">
        <v>49</v>
      </c>
      <c r="L220" s="249" t="s">
        <v>29</v>
      </c>
      <c r="M220" s="214" t="s">
        <v>1988</v>
      </c>
      <c r="N220" s="249" t="s">
        <v>1989</v>
      </c>
      <c r="O220" s="311">
        <v>0</v>
      </c>
      <c r="R220" s="37" t="s">
        <v>106</v>
      </c>
      <c r="S220" s="37"/>
      <c r="T220" s="37"/>
      <c r="W220" s="14" t="str">
        <f>IF(IFERROR(VLOOKUP($M220,'IMPORT GS-Tür OL FL 2S2 20'!$H$2:$H$847,1,0),"-")="-","","GS")</f>
        <v>GS</v>
      </c>
      <c r="X220" s="14" t="str">
        <f t="shared" si="16"/>
        <v/>
      </c>
      <c r="Z220" s="58" t="str">
        <f>IF(OR($M220="",NOT($O220="{array}")),"",IFERROR(MATCH(PARAMETERS!$M220,DEFAULT!$B$5:$CI$5,0),""))</f>
        <v/>
      </c>
      <c r="AA220" s="55" t="str">
        <f t="shared" si="14"/>
        <v/>
      </c>
      <c r="AB220" s="62" t="str">
        <f>IF(AND(OR($A220="G",$A220="P"),NOT($O220="{array}")),IF(VLOOKUP($K220,base!$B$2:$D$20,3,0)="S",IF(OR($O220="",ISTEXT($O220)),"","STRING!"),IF(VLOOKUP($K220,base!$B$2:$D$20,3,0)="","",IF(ISTEXT($O220),"NUMERIC!",""))),"")</f>
        <v/>
      </c>
      <c r="AC220" s="16" t="str">
        <f>IF($AA220="","",IF($B220="I",VLOOKUP($AA220,#REF!,53,0),INDEX(VALUES!$B$1:$GP$1,1,$AA220)))</f>
        <v/>
      </c>
    </row>
    <row r="221" spans="1:29" hidden="1" outlineLevel="1">
      <c r="A221" s="21"/>
      <c r="B221" s="40" t="str">
        <f t="shared" si="15"/>
        <v/>
      </c>
      <c r="C221" s="41">
        <f t="shared" si="17"/>
        <v>220</v>
      </c>
      <c r="D221" s="260"/>
      <c r="E221" s="37"/>
      <c r="F221" s="305" t="s">
        <v>9</v>
      </c>
      <c r="G221" s="188"/>
      <c r="H221" s="37"/>
      <c r="I221" s="37" t="s">
        <v>9</v>
      </c>
      <c r="J221" s="37"/>
      <c r="K221" s="249" t="s">
        <v>49</v>
      </c>
      <c r="L221" s="249" t="s">
        <v>29</v>
      </c>
      <c r="M221" s="214" t="s">
        <v>1990</v>
      </c>
      <c r="N221" s="249" t="s">
        <v>1991</v>
      </c>
      <c r="O221" s="311">
        <v>0</v>
      </c>
      <c r="R221" s="37" t="s">
        <v>106</v>
      </c>
      <c r="S221" s="37"/>
      <c r="T221" s="37"/>
      <c r="W221" s="14" t="str">
        <f>IF(IFERROR(VLOOKUP($M221,'IMPORT GS-Tür OL FL 2S2 20'!$H$2:$H$847,1,0),"-")="-","","GS")</f>
        <v>GS</v>
      </c>
      <c r="X221" s="14" t="str">
        <f t="shared" si="16"/>
        <v/>
      </c>
      <c r="Z221" s="58" t="str">
        <f>IF(OR($M221="",NOT($O221="{array}")),"",IFERROR(MATCH(PARAMETERS!$M221,DEFAULT!$B$5:$CI$5,0),""))</f>
        <v/>
      </c>
      <c r="AA221" s="55" t="str">
        <f t="shared" si="14"/>
        <v/>
      </c>
      <c r="AB221" s="62" t="str">
        <f>IF(AND(OR($A221="G",$A221="P"),NOT($O221="{array}")),IF(VLOOKUP($K221,base!$B$2:$D$20,3,0)="S",IF(OR($O221="",ISTEXT($O221)),"","STRING!"),IF(VLOOKUP($K221,base!$B$2:$D$20,3,0)="","",IF(ISTEXT($O221),"NUMERIC!",""))),"")</f>
        <v/>
      </c>
      <c r="AC221" s="16" t="str">
        <f>IF($AA221="","",IF($B221="I",VLOOKUP($AA221,#REF!,53,0),INDEX(VALUES!$B$1:$GP$1,1,$AA221)))</f>
        <v/>
      </c>
    </row>
    <row r="222" spans="1:29" hidden="1" outlineLevel="1">
      <c r="A222" s="21"/>
      <c r="B222" s="40" t="str">
        <f t="shared" si="15"/>
        <v/>
      </c>
      <c r="C222" s="41">
        <f t="shared" si="17"/>
        <v>221</v>
      </c>
      <c r="D222" s="260"/>
      <c r="E222" s="37"/>
      <c r="F222" s="305" t="s">
        <v>9</v>
      </c>
      <c r="G222" s="188"/>
      <c r="H222" s="37"/>
      <c r="I222" s="37" t="s">
        <v>9</v>
      </c>
      <c r="J222" s="37"/>
      <c r="K222" s="249" t="s">
        <v>46</v>
      </c>
      <c r="L222" s="249" t="s">
        <v>29</v>
      </c>
      <c r="M222" s="214" t="s">
        <v>1992</v>
      </c>
      <c r="N222" s="249" t="s">
        <v>1993</v>
      </c>
      <c r="O222" s="311">
        <v>1</v>
      </c>
      <c r="R222" s="37" t="s">
        <v>106</v>
      </c>
      <c r="S222" s="37"/>
      <c r="T222" s="37"/>
      <c r="W222" s="14" t="str">
        <f>IF(IFERROR(VLOOKUP($M222,'IMPORT GS-Tür OL FL 2S2 20'!$H$2:$H$847,1,0),"-")="-","","GS")</f>
        <v>GS</v>
      </c>
      <c r="X222" s="14" t="str">
        <f t="shared" si="16"/>
        <v/>
      </c>
      <c r="Z222" s="58" t="str">
        <f>IF(OR($M222="",NOT($O222="{array}")),"",IFERROR(MATCH(PARAMETERS!$M222,DEFAULT!$B$5:$CI$5,0),""))</f>
        <v/>
      </c>
      <c r="AA222" s="55" t="str">
        <f t="shared" si="14"/>
        <v/>
      </c>
      <c r="AB222" s="62" t="str">
        <f>IF(AND(OR($A222="G",$A222="P"),NOT($O222="{array}")),IF(VLOOKUP($K222,base!$B$2:$D$20,3,0)="S",IF(OR($O222="",ISTEXT($O222)),"","STRING!"),IF(VLOOKUP($K222,base!$B$2:$D$20,3,0)="","",IF(ISTEXT($O222),"NUMERIC!",""))),"")</f>
        <v/>
      </c>
      <c r="AC222" s="16" t="str">
        <f>IF($AA222="","",IF($B222="I",VLOOKUP($AA222,#REF!,53,0),INDEX(VALUES!$B$1:$GP$1,1,$AA222)))</f>
        <v/>
      </c>
    </row>
    <row r="223" spans="1:29" hidden="1" outlineLevel="1">
      <c r="A223" s="21"/>
      <c r="B223" s="40" t="str">
        <f t="shared" si="15"/>
        <v/>
      </c>
      <c r="C223" s="41">
        <f t="shared" si="17"/>
        <v>222</v>
      </c>
      <c r="D223" s="260"/>
      <c r="E223" s="37"/>
      <c r="F223" s="305" t="s">
        <v>9</v>
      </c>
      <c r="G223" s="188"/>
      <c r="H223" s="37"/>
      <c r="I223" s="37" t="s">
        <v>9</v>
      </c>
      <c r="J223" s="37"/>
      <c r="K223" s="249" t="s">
        <v>20</v>
      </c>
      <c r="L223" s="249" t="s">
        <v>29</v>
      </c>
      <c r="M223" s="214" t="s">
        <v>1994</v>
      </c>
      <c r="N223" s="249" t="s">
        <v>1995</v>
      </c>
      <c r="O223" s="311"/>
      <c r="R223" s="37" t="s">
        <v>106</v>
      </c>
      <c r="S223" s="37"/>
      <c r="T223" s="37"/>
      <c r="W223" s="14" t="str">
        <f>IF(IFERROR(VLOOKUP($M223,'IMPORT GS-Tür OL FL 2S2 20'!$H$2:$H$847,1,0),"-")="-","","GS")</f>
        <v>GS</v>
      </c>
      <c r="X223" s="14" t="str">
        <f t="shared" si="16"/>
        <v/>
      </c>
      <c r="Z223" s="58" t="str">
        <f>IF(OR($M223="",NOT($O223="{array}")),"",IFERROR(MATCH(PARAMETERS!$M223,DEFAULT!$B$5:$CI$5,0),""))</f>
        <v/>
      </c>
      <c r="AA223" s="55" t="str">
        <f t="shared" si="14"/>
        <v/>
      </c>
      <c r="AB223" s="62" t="str">
        <f>IF(AND(OR($A223="G",$A223="P"),NOT($O223="{array}")),IF(VLOOKUP($K223,base!$B$2:$D$20,3,0)="S",IF(OR($O223="",ISTEXT($O223)),"","STRING!"),IF(VLOOKUP($K223,base!$B$2:$D$20,3,0)="","",IF(ISTEXT($O223),"NUMERIC!",""))),"")</f>
        <v/>
      </c>
      <c r="AC223" s="16" t="str">
        <f>IF($AA223="","",IF($B223="I",VLOOKUP($AA223,#REF!,53,0),INDEX(VALUES!$B$1:$GP$1,1,$AA223)))</f>
        <v/>
      </c>
    </row>
    <row r="224" spans="1:29" hidden="1" outlineLevel="1">
      <c r="A224" s="21"/>
      <c r="B224" s="40" t="str">
        <f t="shared" si="15"/>
        <v/>
      </c>
      <c r="C224" s="41">
        <f t="shared" si="17"/>
        <v>223</v>
      </c>
      <c r="D224" s="260"/>
      <c r="E224" s="37"/>
      <c r="F224" s="305" t="s">
        <v>9</v>
      </c>
      <c r="G224" s="188"/>
      <c r="H224" s="37"/>
      <c r="I224" s="37" t="s">
        <v>9</v>
      </c>
      <c r="J224" s="37"/>
      <c r="K224" s="249" t="s">
        <v>46</v>
      </c>
      <c r="L224" s="249" t="s">
        <v>29</v>
      </c>
      <c r="M224" s="214" t="s">
        <v>1996</v>
      </c>
      <c r="N224" s="249" t="s">
        <v>1995</v>
      </c>
      <c r="O224" s="311">
        <v>1</v>
      </c>
      <c r="R224" s="37" t="s">
        <v>106</v>
      </c>
      <c r="S224" s="37"/>
      <c r="T224" s="37"/>
      <c r="W224" s="14" t="str">
        <f>IF(IFERROR(VLOOKUP($M224,'IMPORT GS-Tür OL FL 2S2 20'!$H$2:$H$847,1,0),"-")="-","","GS")</f>
        <v>GS</v>
      </c>
      <c r="X224" s="14" t="str">
        <f t="shared" si="16"/>
        <v/>
      </c>
      <c r="Z224" s="58" t="str">
        <f>IF(OR($M224="",NOT($O224="{array}")),"",IFERROR(MATCH(PARAMETERS!$M224,DEFAULT!$B$5:$CI$5,0),""))</f>
        <v/>
      </c>
      <c r="AA224" s="55" t="str">
        <f t="shared" si="14"/>
        <v/>
      </c>
      <c r="AB224" s="62" t="str">
        <f>IF(AND(OR($A224="G",$A224="P"),NOT($O224="{array}")),IF(VLOOKUP($K224,base!$B$2:$D$20,3,0)="S",IF(OR($O224="",ISTEXT($O224)),"","STRING!"),IF(VLOOKUP($K224,base!$B$2:$D$20,3,0)="","",IF(ISTEXT($O224),"NUMERIC!",""))),"")</f>
        <v/>
      </c>
      <c r="AC224" s="16" t="str">
        <f>IF($AA224="","",IF($B224="I",VLOOKUP($AA224,#REF!,53,0),INDEX(VALUES!$B$1:$GP$1,1,$AA224)))</f>
        <v/>
      </c>
    </row>
    <row r="225" spans="1:29" hidden="1" outlineLevel="1">
      <c r="A225" s="21"/>
      <c r="B225" s="40" t="str">
        <f t="shared" si="15"/>
        <v/>
      </c>
      <c r="C225" s="41">
        <f t="shared" si="17"/>
        <v>224</v>
      </c>
      <c r="D225" s="260"/>
      <c r="E225" s="37"/>
      <c r="F225" s="305" t="s">
        <v>9</v>
      </c>
      <c r="G225" s="188"/>
      <c r="H225" s="37"/>
      <c r="I225" s="37" t="s">
        <v>9</v>
      </c>
      <c r="J225" s="37"/>
      <c r="K225" s="249" t="s">
        <v>49</v>
      </c>
      <c r="L225" s="249" t="s">
        <v>29</v>
      </c>
      <c r="M225" s="214" t="s">
        <v>1997</v>
      </c>
      <c r="N225" s="249" t="s">
        <v>1998</v>
      </c>
      <c r="O225" s="311">
        <v>0</v>
      </c>
      <c r="R225" s="37" t="s">
        <v>106</v>
      </c>
      <c r="S225" s="37"/>
      <c r="T225" s="37"/>
      <c r="W225" s="14" t="str">
        <f>IF(IFERROR(VLOOKUP($M225,'IMPORT GS-Tür OL FL 2S2 20'!$H$2:$H$847,1,0),"-")="-","","GS")</f>
        <v>GS</v>
      </c>
      <c r="X225" s="14" t="str">
        <f t="shared" si="16"/>
        <v/>
      </c>
      <c r="Z225" s="58" t="str">
        <f>IF(OR($M225="",NOT($O225="{array}")),"",IFERROR(MATCH(PARAMETERS!$M225,DEFAULT!$B$5:$CI$5,0),""))</f>
        <v/>
      </c>
      <c r="AA225" s="55" t="str">
        <f t="shared" si="14"/>
        <v/>
      </c>
      <c r="AB225" s="62" t="str">
        <f>IF(AND(OR($A225="G",$A225="P"),NOT($O225="{array}")),IF(VLOOKUP($K225,base!$B$2:$D$20,3,0)="S",IF(OR($O225="",ISTEXT($O225)),"","STRING!"),IF(VLOOKUP($K225,base!$B$2:$D$20,3,0)="","",IF(ISTEXT($O225),"NUMERIC!",""))),"")</f>
        <v/>
      </c>
      <c r="AC225" s="16" t="str">
        <f>IF($AA225="","",IF($B225="I",VLOOKUP($AA225,#REF!,53,0),INDEX(VALUES!$B$1:$GP$1,1,$AA225)))</f>
        <v/>
      </c>
    </row>
    <row r="226" spans="1:29" hidden="1" outlineLevel="1">
      <c r="A226" s="21"/>
      <c r="B226" s="40" t="str">
        <f t="shared" si="15"/>
        <v/>
      </c>
      <c r="C226" s="41">
        <f t="shared" si="17"/>
        <v>225</v>
      </c>
      <c r="D226" s="260"/>
      <c r="E226" s="37"/>
      <c r="F226" s="305" t="s">
        <v>9</v>
      </c>
      <c r="G226" s="188"/>
      <c r="H226" s="37"/>
      <c r="I226" s="37" t="s">
        <v>9</v>
      </c>
      <c r="J226" s="37"/>
      <c r="K226" s="249" t="s">
        <v>26</v>
      </c>
      <c r="L226" s="249" t="s">
        <v>29</v>
      </c>
      <c r="M226" s="214" t="s">
        <v>1999</v>
      </c>
      <c r="N226" s="249" t="s">
        <v>2000</v>
      </c>
      <c r="O226" s="311">
        <v>0</v>
      </c>
      <c r="Q226" s="37" t="s">
        <v>9</v>
      </c>
      <c r="R226" s="37" t="s">
        <v>106</v>
      </c>
      <c r="S226" s="37"/>
      <c r="T226" s="37"/>
      <c r="W226" s="14" t="str">
        <f>IF(IFERROR(VLOOKUP($M226,'IMPORT GS-Tür OL FL 2S2 20'!$H$2:$H$847,1,0),"-")="-","","GS")</f>
        <v>GS</v>
      </c>
      <c r="X226" s="14" t="str">
        <f t="shared" si="16"/>
        <v/>
      </c>
      <c r="Z226" s="58" t="str">
        <f>IF(OR($M226="",NOT($O226="{array}")),"",IFERROR(MATCH(PARAMETERS!$M226,DEFAULT!$B$5:$CI$5,0),""))</f>
        <v/>
      </c>
      <c r="AA226" s="55" t="str">
        <f t="shared" si="14"/>
        <v/>
      </c>
      <c r="AB226" s="62" t="str">
        <f>IF(AND(OR($A226="G",$A226="P"),NOT($O226="{array}")),IF(VLOOKUP($K226,base!$B$2:$D$20,3,0)="S",IF(OR($O226="",ISTEXT($O226)),"","STRING!"),IF(VLOOKUP($K226,base!$B$2:$D$20,3,0)="","",IF(ISTEXT($O226),"NUMERIC!",""))),"")</f>
        <v/>
      </c>
      <c r="AC226" s="16" t="str">
        <f>IF($AA226="","",IF($B226="I",VLOOKUP($AA226,#REF!,53,0),INDEX(VALUES!$B$1:$GP$1,1,$AA226)))</f>
        <v/>
      </c>
    </row>
    <row r="227" spans="1:29" hidden="1" outlineLevel="1">
      <c r="A227" s="21"/>
      <c r="B227" s="40" t="str">
        <f t="shared" si="15"/>
        <v/>
      </c>
      <c r="C227" s="41">
        <f t="shared" si="17"/>
        <v>226</v>
      </c>
      <c r="D227" s="260"/>
      <c r="E227" s="37"/>
      <c r="F227" s="305" t="s">
        <v>9</v>
      </c>
      <c r="G227" s="188"/>
      <c r="H227" s="37"/>
      <c r="I227" s="37" t="s">
        <v>9</v>
      </c>
      <c r="J227" s="37"/>
      <c r="K227" s="249" t="s">
        <v>26</v>
      </c>
      <c r="L227" s="249" t="s">
        <v>29</v>
      </c>
      <c r="M227" s="214" t="s">
        <v>2001</v>
      </c>
      <c r="N227" s="249" t="s">
        <v>2002</v>
      </c>
      <c r="O227" s="311">
        <v>3.7999999999999999E-2</v>
      </c>
      <c r="Q227" s="37" t="s">
        <v>9</v>
      </c>
      <c r="R227" s="37" t="s">
        <v>106</v>
      </c>
      <c r="S227" s="37"/>
      <c r="T227" s="37"/>
      <c r="W227" s="14" t="str">
        <f>IF(IFERROR(VLOOKUP($M227,'IMPORT GS-Tür OL FL 2S2 20'!$H$2:$H$847,1,0),"-")="-","","GS")</f>
        <v>GS</v>
      </c>
      <c r="X227" s="14" t="str">
        <f t="shared" si="16"/>
        <v/>
      </c>
      <c r="Z227" s="58" t="str">
        <f>IF(OR($M227="",NOT($O227="{array}")),"",IFERROR(MATCH(PARAMETERS!$M227,DEFAULT!$B$5:$CI$5,0),""))</f>
        <v/>
      </c>
      <c r="AA227" s="55" t="str">
        <f t="shared" si="14"/>
        <v/>
      </c>
      <c r="AB227" s="62" t="str">
        <f>IF(AND(OR($A227="G",$A227="P"),NOT($O227="{array}")),IF(VLOOKUP($K227,base!$B$2:$D$20,3,0)="S",IF(OR($O227="",ISTEXT($O227)),"","STRING!"),IF(VLOOKUP($K227,base!$B$2:$D$20,3,0)="","",IF(ISTEXT($O227),"NUMERIC!",""))),"")</f>
        <v/>
      </c>
      <c r="AC227" s="16" t="str">
        <f>IF($AA227="","",IF($B227="I",VLOOKUP($AA227,#REF!,53,0),INDEX(VALUES!$B$1:$GP$1,1,$AA227)))</f>
        <v/>
      </c>
    </row>
    <row r="228" spans="1:29" hidden="1" outlineLevel="1">
      <c r="A228" s="21"/>
      <c r="B228" s="40" t="str">
        <f t="shared" si="15"/>
        <v/>
      </c>
      <c r="C228" s="41">
        <f t="shared" si="17"/>
        <v>227</v>
      </c>
      <c r="D228" s="260"/>
      <c r="E228" s="37"/>
      <c r="F228" s="305" t="s">
        <v>9</v>
      </c>
      <c r="G228" s="188"/>
      <c r="H228" s="37"/>
      <c r="I228" s="37" t="s">
        <v>9</v>
      </c>
      <c r="J228" s="37"/>
      <c r="K228" s="249" t="s">
        <v>26</v>
      </c>
      <c r="L228" s="249" t="s">
        <v>29</v>
      </c>
      <c r="M228" s="214" t="s">
        <v>2003</v>
      </c>
      <c r="N228" s="249" t="s">
        <v>2004</v>
      </c>
      <c r="O228" s="311">
        <v>0.1</v>
      </c>
      <c r="Q228" s="37" t="s">
        <v>9</v>
      </c>
      <c r="R228" s="37" t="s">
        <v>106</v>
      </c>
      <c r="S228" s="37"/>
      <c r="T228" s="37"/>
      <c r="W228" s="14" t="str">
        <f>IF(IFERROR(VLOOKUP($M228,'IMPORT GS-Tür OL FL 2S2 20'!$H$2:$H$847,1,0),"-")="-","","GS")</f>
        <v>GS</v>
      </c>
      <c r="X228" s="14" t="str">
        <f t="shared" si="16"/>
        <v/>
      </c>
      <c r="Z228" s="58" t="str">
        <f>IF(OR($M228="",NOT($O228="{array}")),"",IFERROR(MATCH(PARAMETERS!$M228,DEFAULT!$B$5:$CI$5,0),""))</f>
        <v/>
      </c>
      <c r="AA228" s="55" t="str">
        <f t="shared" si="14"/>
        <v/>
      </c>
      <c r="AB228" s="62" t="str">
        <f>IF(AND(OR($A228="G",$A228="P"),NOT($O228="{array}")),IF(VLOOKUP($K228,base!$B$2:$D$20,3,0)="S",IF(OR($O228="",ISTEXT($O228)),"","STRING!"),IF(VLOOKUP($K228,base!$B$2:$D$20,3,0)="","",IF(ISTEXT($O228),"NUMERIC!",""))),"")</f>
        <v/>
      </c>
      <c r="AC228" s="16" t="str">
        <f>IF($AA228="","",IF($B228="I",VLOOKUP($AA228,#REF!,53,0),INDEX(VALUES!$B$1:$GP$1,1,$AA228)))</f>
        <v/>
      </c>
    </row>
    <row r="229" spans="1:29" hidden="1" outlineLevel="1">
      <c r="A229" s="21"/>
      <c r="B229" s="40" t="str">
        <f t="shared" si="15"/>
        <v/>
      </c>
      <c r="C229" s="41">
        <f t="shared" si="17"/>
        <v>228</v>
      </c>
      <c r="D229" s="260"/>
      <c r="E229" s="37"/>
      <c r="F229" s="305" t="s">
        <v>9</v>
      </c>
      <c r="G229" s="188"/>
      <c r="H229" s="37" t="s">
        <v>9</v>
      </c>
      <c r="I229" s="37" t="s">
        <v>9</v>
      </c>
      <c r="J229" s="37"/>
      <c r="K229" s="249" t="s">
        <v>49</v>
      </c>
      <c r="L229" s="249" t="s">
        <v>29</v>
      </c>
      <c r="M229" s="214" t="s">
        <v>2005</v>
      </c>
      <c r="N229" s="249" t="s">
        <v>2006</v>
      </c>
      <c r="O229" s="311">
        <v>1</v>
      </c>
      <c r="R229" s="37" t="s">
        <v>106</v>
      </c>
      <c r="S229" s="37"/>
      <c r="T229" s="37"/>
      <c r="W229" s="14" t="str">
        <f>IF(IFERROR(VLOOKUP($M229,'IMPORT GS-Tür OL FL 2S2 20'!$H$2:$H$847,1,0),"-")="-","","GS")</f>
        <v>GS</v>
      </c>
      <c r="X229" s="14" t="str">
        <f t="shared" si="16"/>
        <v/>
      </c>
      <c r="Z229" s="58" t="str">
        <f>IF(OR($M229="",NOT($O229="{array}")),"",IFERROR(MATCH(PARAMETERS!$M229,DEFAULT!$B$5:$CI$5,0),""))</f>
        <v/>
      </c>
      <c r="AA229" s="55" t="str">
        <f t="shared" si="14"/>
        <v/>
      </c>
      <c r="AB229" s="62" t="str">
        <f>IF(AND(OR($A229="G",$A229="P"),NOT($O229="{array}")),IF(VLOOKUP($K229,base!$B$2:$D$20,3,0)="S",IF(OR($O229="",ISTEXT($O229)),"","STRING!"),IF(VLOOKUP($K229,base!$B$2:$D$20,3,0)="","",IF(ISTEXT($O229),"NUMERIC!",""))),"")</f>
        <v/>
      </c>
      <c r="AC229" s="16" t="str">
        <f>IF($AA229="","",IF($B229="I",VLOOKUP($AA229,#REF!,53,0),INDEX(VALUES!$B$1:$GP$1,1,$AA229)))</f>
        <v/>
      </c>
    </row>
    <row r="230" spans="1:29" hidden="1" outlineLevel="1">
      <c r="A230" s="21"/>
      <c r="B230" s="40" t="str">
        <f t="shared" si="15"/>
        <v/>
      </c>
      <c r="C230" s="41">
        <f t="shared" si="17"/>
        <v>229</v>
      </c>
      <c r="D230" s="260"/>
      <c r="E230" s="37"/>
      <c r="F230" s="305" t="s">
        <v>9</v>
      </c>
      <c r="G230" s="188"/>
      <c r="H230" s="37"/>
      <c r="I230" s="37" t="s">
        <v>9</v>
      </c>
      <c r="J230" s="37"/>
      <c r="K230" s="249" t="s">
        <v>49</v>
      </c>
      <c r="L230" s="249" t="s">
        <v>29</v>
      </c>
      <c r="M230" s="214" t="s">
        <v>2007</v>
      </c>
      <c r="N230" s="249" t="s">
        <v>2008</v>
      </c>
      <c r="O230" s="311">
        <v>1</v>
      </c>
      <c r="R230" s="37" t="s">
        <v>106</v>
      </c>
      <c r="S230" s="37"/>
      <c r="T230" s="37"/>
      <c r="W230" s="14" t="str">
        <f>IF(IFERROR(VLOOKUP($M230,'IMPORT GS-Tür OL FL 2S2 20'!$H$2:$H$847,1,0),"-")="-","","GS")</f>
        <v>GS</v>
      </c>
      <c r="X230" s="14" t="str">
        <f t="shared" si="16"/>
        <v/>
      </c>
      <c r="Z230" s="58" t="str">
        <f>IF(OR($M230="",NOT($O230="{array}")),"",IFERROR(MATCH(PARAMETERS!$M230,DEFAULT!$B$5:$CI$5,0),""))</f>
        <v/>
      </c>
      <c r="AA230" s="55" t="str">
        <f t="shared" si="14"/>
        <v/>
      </c>
      <c r="AB230" s="62" t="str">
        <f>IF(AND(OR($A230="G",$A230="P"),NOT($O230="{array}")),IF(VLOOKUP($K230,base!$B$2:$D$20,3,0)="S",IF(OR($O230="",ISTEXT($O230)),"","STRING!"),IF(VLOOKUP($K230,base!$B$2:$D$20,3,0)="","",IF(ISTEXT($O230),"NUMERIC!",""))),"")</f>
        <v/>
      </c>
      <c r="AC230" s="16" t="str">
        <f>IF($AA230="","",IF($B230="I",VLOOKUP($AA230,#REF!,53,0),INDEX(VALUES!$B$1:$GP$1,1,$AA230)))</f>
        <v/>
      </c>
    </row>
    <row r="231" spans="1:29" hidden="1" outlineLevel="1">
      <c r="A231" s="21"/>
      <c r="B231" s="40" t="str">
        <f t="shared" si="15"/>
        <v/>
      </c>
      <c r="C231" s="41">
        <f t="shared" si="17"/>
        <v>230</v>
      </c>
      <c r="D231" s="260"/>
      <c r="E231" s="37"/>
      <c r="F231" s="305" t="s">
        <v>9</v>
      </c>
      <c r="G231" s="188"/>
      <c r="H231" s="37"/>
      <c r="I231" s="37" t="s">
        <v>9</v>
      </c>
      <c r="J231" s="37"/>
      <c r="K231" s="249" t="s">
        <v>26</v>
      </c>
      <c r="L231" s="249" t="s">
        <v>29</v>
      </c>
      <c r="M231" s="214" t="s">
        <v>2009</v>
      </c>
      <c r="N231" s="249" t="s">
        <v>2010</v>
      </c>
      <c r="O231" s="311">
        <v>2.5000000000000001E-2</v>
      </c>
      <c r="Q231" s="37" t="s">
        <v>9</v>
      </c>
      <c r="R231" s="37" t="s">
        <v>106</v>
      </c>
      <c r="S231" s="37"/>
      <c r="T231" s="37"/>
      <c r="W231" s="14" t="str">
        <f>IF(IFERROR(VLOOKUP($M231,'IMPORT GS-Tür OL FL 2S2 20'!$H$2:$H$847,1,0),"-")="-","","GS")</f>
        <v>GS</v>
      </c>
      <c r="X231" s="14" t="str">
        <f t="shared" si="16"/>
        <v/>
      </c>
      <c r="Z231" s="58" t="str">
        <f>IF(OR($M231="",NOT($O231="{array}")),"",IFERROR(MATCH(PARAMETERS!$M231,DEFAULT!$B$5:$CI$5,0),""))</f>
        <v/>
      </c>
      <c r="AA231" s="55" t="str">
        <f t="shared" si="14"/>
        <v/>
      </c>
      <c r="AB231" s="62" t="str">
        <f>IF(AND(OR($A231="G",$A231="P"),NOT($O231="{array}")),IF(VLOOKUP($K231,base!$B$2:$D$20,3,0)="S",IF(OR($O231="",ISTEXT($O231)),"","STRING!"),IF(VLOOKUP($K231,base!$B$2:$D$20,3,0)="","",IF(ISTEXT($O231),"NUMERIC!",""))),"")</f>
        <v/>
      </c>
      <c r="AC231" s="16" t="str">
        <f>IF($AA231="","",IF($B231="I",VLOOKUP($AA231,#REF!,53,0),INDEX(VALUES!$B$1:$GP$1,1,$AA231)))</f>
        <v/>
      </c>
    </row>
    <row r="232" spans="1:29" hidden="1" outlineLevel="1">
      <c r="A232" s="21"/>
      <c r="B232" s="40" t="str">
        <f t="shared" si="15"/>
        <v/>
      </c>
      <c r="C232" s="41">
        <f t="shared" si="17"/>
        <v>231</v>
      </c>
      <c r="D232" s="260"/>
      <c r="E232" s="37"/>
      <c r="F232" s="305" t="s">
        <v>9</v>
      </c>
      <c r="G232" s="188"/>
      <c r="H232" s="37"/>
      <c r="I232" s="37" t="s">
        <v>9</v>
      </c>
      <c r="J232" s="37"/>
      <c r="K232" s="249" t="s">
        <v>55</v>
      </c>
      <c r="L232" s="249" t="s">
        <v>29</v>
      </c>
      <c r="M232" s="214" t="s">
        <v>2011</v>
      </c>
      <c r="N232" s="249" t="s">
        <v>2012</v>
      </c>
      <c r="O232" s="311">
        <v>100</v>
      </c>
      <c r="R232" s="37" t="s">
        <v>106</v>
      </c>
      <c r="S232" s="37"/>
      <c r="T232" s="37"/>
      <c r="W232" s="14" t="str">
        <f>IF(IFERROR(VLOOKUP($M232,'IMPORT GS-Tür OL FL 2S2 20'!$H$2:$H$847,1,0),"-")="-","","GS")</f>
        <v>GS</v>
      </c>
      <c r="X232" s="14" t="str">
        <f t="shared" si="16"/>
        <v/>
      </c>
      <c r="Z232" s="58" t="str">
        <f>IF(OR($M232="",NOT($O232="{array}")),"",IFERROR(MATCH(PARAMETERS!$M232,DEFAULT!$B$5:$CI$5,0),""))</f>
        <v/>
      </c>
      <c r="AA232" s="55" t="str">
        <f t="shared" si="14"/>
        <v/>
      </c>
      <c r="AB232" s="62" t="str">
        <f>IF(AND(OR($A232="G",$A232="P"),NOT($O232="{array}")),IF(VLOOKUP($K232,base!$B$2:$D$20,3,0)="S",IF(OR($O232="",ISTEXT($O232)),"","STRING!"),IF(VLOOKUP($K232,base!$B$2:$D$20,3,0)="","",IF(ISTEXT($O232),"NUMERIC!",""))),"")</f>
        <v/>
      </c>
      <c r="AC232" s="16" t="str">
        <f>IF($AA232="","",IF($B232="I",VLOOKUP($AA232,#REF!,53,0),INDEX(VALUES!$B$1:$GP$1,1,$AA232)))</f>
        <v/>
      </c>
    </row>
    <row r="233" spans="1:29" hidden="1" outlineLevel="1">
      <c r="A233" s="21"/>
      <c r="B233" s="40" t="str">
        <f t="shared" si="15"/>
        <v/>
      </c>
      <c r="C233" s="41">
        <f t="shared" si="17"/>
        <v>232</v>
      </c>
      <c r="D233" s="260"/>
      <c r="E233" s="37"/>
      <c r="F233" s="305" t="s">
        <v>9</v>
      </c>
      <c r="G233" s="188"/>
      <c r="H233" s="37"/>
      <c r="I233" s="37" t="s">
        <v>9</v>
      </c>
      <c r="J233" s="37"/>
      <c r="K233" s="249" t="s">
        <v>53</v>
      </c>
      <c r="L233" s="249" t="s">
        <v>29</v>
      </c>
      <c r="M233" s="214" t="s">
        <v>2013</v>
      </c>
      <c r="N233" s="249" t="s">
        <v>2014</v>
      </c>
      <c r="O233" s="311">
        <v>1</v>
      </c>
      <c r="R233" s="37" t="s">
        <v>106</v>
      </c>
      <c r="S233" s="37"/>
      <c r="T233" s="37"/>
      <c r="W233" s="14" t="str">
        <f>IF(IFERROR(VLOOKUP($M233,'IMPORT GS-Tür OL FL 2S2 20'!$H$2:$H$847,1,0),"-")="-","","GS")</f>
        <v>GS</v>
      </c>
      <c r="X233" s="14" t="str">
        <f t="shared" si="16"/>
        <v/>
      </c>
      <c r="Z233" s="58" t="str">
        <f>IF(OR($M233="",NOT($O233="{array}")),"",IFERROR(MATCH(PARAMETERS!$M233,DEFAULT!$B$5:$CI$5,0),""))</f>
        <v/>
      </c>
      <c r="AA233" s="55" t="str">
        <f t="shared" si="14"/>
        <v/>
      </c>
      <c r="AB233" s="62" t="str">
        <f>IF(AND(OR($A233="G",$A233="P"),NOT($O233="{array}")),IF(VLOOKUP($K233,base!$B$2:$D$20,3,0)="S",IF(OR($O233="",ISTEXT($O233)),"","STRING!"),IF(VLOOKUP($K233,base!$B$2:$D$20,3,0)="","",IF(ISTEXT($O233),"NUMERIC!",""))),"")</f>
        <v/>
      </c>
      <c r="AC233" s="16" t="str">
        <f>IF($AA233="","",IF($B233="I",VLOOKUP($AA233,#REF!,53,0),INDEX(VALUES!$B$1:$GP$1,1,$AA233)))</f>
        <v/>
      </c>
    </row>
    <row r="234" spans="1:29" hidden="1" outlineLevel="1">
      <c r="A234" s="21"/>
      <c r="B234" s="40" t="str">
        <f t="shared" si="15"/>
        <v/>
      </c>
      <c r="C234" s="41">
        <f t="shared" si="17"/>
        <v>233</v>
      </c>
      <c r="D234" s="260"/>
      <c r="E234" s="37"/>
      <c r="F234" s="305" t="s">
        <v>9</v>
      </c>
      <c r="G234" s="188"/>
      <c r="H234" s="37"/>
      <c r="I234" s="37" t="s">
        <v>9</v>
      </c>
      <c r="J234" s="37"/>
      <c r="K234" s="249" t="s">
        <v>54</v>
      </c>
      <c r="L234" s="249" t="s">
        <v>29</v>
      </c>
      <c r="M234" s="214" t="s">
        <v>2015</v>
      </c>
      <c r="N234" s="249" t="s">
        <v>2016</v>
      </c>
      <c r="O234" s="311">
        <v>65</v>
      </c>
      <c r="R234" s="37" t="s">
        <v>106</v>
      </c>
      <c r="S234" s="37"/>
      <c r="T234" s="37"/>
      <c r="W234" s="14" t="str">
        <f>IF(IFERROR(VLOOKUP($M234,'IMPORT GS-Tür OL FL 2S2 20'!$H$2:$H$847,1,0),"-")="-","","GS")</f>
        <v>GS</v>
      </c>
      <c r="X234" s="14" t="str">
        <f t="shared" si="16"/>
        <v/>
      </c>
      <c r="Z234" s="58" t="str">
        <f>IF(OR($M234="",NOT($O234="{array}")),"",IFERROR(MATCH(PARAMETERS!$M234,DEFAULT!$B$5:$CI$5,0),""))</f>
        <v/>
      </c>
      <c r="AA234" s="55" t="str">
        <f t="shared" si="14"/>
        <v/>
      </c>
      <c r="AB234" s="62" t="str">
        <f>IF(AND(OR($A234="G",$A234="P"),NOT($O234="{array}")),IF(VLOOKUP($K234,base!$B$2:$D$20,3,0)="S",IF(OR($O234="",ISTEXT($O234)),"","STRING!"),IF(VLOOKUP($K234,base!$B$2:$D$20,3,0)="","",IF(ISTEXT($O234),"NUMERIC!",""))),"")</f>
        <v/>
      </c>
      <c r="AC234" s="16" t="str">
        <f>IF($AA234="","",IF($B234="I",VLOOKUP($AA234,#REF!,53,0),INDEX(VALUES!$B$1:$GP$1,1,$AA234)))</f>
        <v/>
      </c>
    </row>
    <row r="235" spans="1:29" hidden="1" outlineLevel="1">
      <c r="A235" s="21"/>
      <c r="B235" s="40" t="str">
        <f t="shared" si="15"/>
        <v/>
      </c>
      <c r="C235" s="41">
        <f t="shared" si="17"/>
        <v>234</v>
      </c>
      <c r="D235" s="260"/>
      <c r="E235" s="37"/>
      <c r="F235" s="305" t="s">
        <v>9</v>
      </c>
      <c r="G235" s="188"/>
      <c r="H235" s="37"/>
      <c r="I235" s="37" t="s">
        <v>9</v>
      </c>
      <c r="J235" s="37"/>
      <c r="K235" s="249" t="s">
        <v>55</v>
      </c>
      <c r="L235" s="249" t="s">
        <v>29</v>
      </c>
      <c r="M235" s="214" t="s">
        <v>2017</v>
      </c>
      <c r="N235" s="249" t="s">
        <v>2018</v>
      </c>
      <c r="O235" s="311">
        <v>1</v>
      </c>
      <c r="R235" s="37" t="s">
        <v>106</v>
      </c>
      <c r="S235" s="37"/>
      <c r="T235" s="37"/>
      <c r="W235" s="14" t="str">
        <f>IF(IFERROR(VLOOKUP($M235,'IMPORT GS-Tür OL FL 2S2 20'!$H$2:$H$847,1,0),"-")="-","","GS")</f>
        <v>GS</v>
      </c>
      <c r="X235" s="14" t="str">
        <f t="shared" si="16"/>
        <v/>
      </c>
      <c r="Z235" s="58" t="str">
        <f>IF(OR($M235="",NOT($O235="{array}")),"",IFERROR(MATCH(PARAMETERS!$M235,DEFAULT!$B$5:$CI$5,0),""))</f>
        <v/>
      </c>
      <c r="AA235" s="55" t="str">
        <f t="shared" si="14"/>
        <v/>
      </c>
      <c r="AB235" s="62" t="str">
        <f>IF(AND(OR($A235="G",$A235="P"),NOT($O235="{array}")),IF(VLOOKUP($K235,base!$B$2:$D$20,3,0)="S",IF(OR($O235="",ISTEXT($O235)),"","STRING!"),IF(VLOOKUP($K235,base!$B$2:$D$20,3,0)="","",IF(ISTEXT($O235),"NUMERIC!",""))),"")</f>
        <v/>
      </c>
      <c r="AC235" s="16" t="str">
        <f>IF($AA235="","",IF($B235="I",VLOOKUP($AA235,#REF!,53,0),INDEX(VALUES!$B$1:$GP$1,1,$AA235)))</f>
        <v/>
      </c>
    </row>
    <row r="236" spans="1:29" hidden="1" outlineLevel="1">
      <c r="A236" s="21"/>
      <c r="B236" s="40" t="str">
        <f t="shared" si="15"/>
        <v/>
      </c>
      <c r="C236" s="41">
        <f t="shared" si="17"/>
        <v>235</v>
      </c>
      <c r="D236" s="260"/>
      <c r="E236" s="37"/>
      <c r="F236" s="305" t="s">
        <v>9</v>
      </c>
      <c r="G236" s="188"/>
      <c r="H236" s="37"/>
      <c r="I236" s="37" t="s">
        <v>9</v>
      </c>
      <c r="J236" s="37"/>
      <c r="K236" s="249" t="s">
        <v>55</v>
      </c>
      <c r="L236" s="249" t="s">
        <v>29</v>
      </c>
      <c r="M236" s="214" t="s">
        <v>2019</v>
      </c>
      <c r="N236" s="249" t="s">
        <v>1869</v>
      </c>
      <c r="O236" s="311">
        <v>93</v>
      </c>
      <c r="R236" s="37" t="s">
        <v>106</v>
      </c>
      <c r="S236" s="37"/>
      <c r="T236" s="37"/>
      <c r="W236" s="14" t="str">
        <f>IF(IFERROR(VLOOKUP($M236,'IMPORT GS-Tür OL FL 2S2 20'!$H$2:$H$847,1,0),"-")="-","","GS")</f>
        <v>GS</v>
      </c>
      <c r="X236" s="14" t="str">
        <f t="shared" si="16"/>
        <v/>
      </c>
      <c r="Z236" s="58" t="str">
        <f>IF(OR($M236="",NOT($O236="{array}")),"",IFERROR(MATCH(PARAMETERS!$M236,DEFAULT!$B$5:$CI$5,0),""))</f>
        <v/>
      </c>
      <c r="AA236" s="55" t="str">
        <f t="shared" si="14"/>
        <v/>
      </c>
      <c r="AB236" s="62" t="str">
        <f>IF(AND(OR($A236="G",$A236="P"),NOT($O236="{array}")),IF(VLOOKUP($K236,base!$B$2:$D$20,3,0)="S",IF(OR($O236="",ISTEXT($O236)),"","STRING!"),IF(VLOOKUP($K236,base!$B$2:$D$20,3,0)="","",IF(ISTEXT($O236),"NUMERIC!",""))),"")</f>
        <v/>
      </c>
      <c r="AC236" s="16" t="str">
        <f>IF($AA236="","",IF($B236="I",VLOOKUP($AA236,#REF!,53,0),INDEX(VALUES!$B$1:$GP$1,1,$AA236)))</f>
        <v/>
      </c>
    </row>
    <row r="237" spans="1:29" hidden="1" outlineLevel="1">
      <c r="A237" s="21"/>
      <c r="B237" s="40" t="str">
        <f t="shared" si="15"/>
        <v/>
      </c>
      <c r="C237" s="41">
        <f t="shared" si="17"/>
        <v>236</v>
      </c>
      <c r="D237" s="260"/>
      <c r="E237" s="37"/>
      <c r="F237" s="305" t="s">
        <v>9</v>
      </c>
      <c r="G237" s="188"/>
      <c r="H237" s="37"/>
      <c r="I237" s="37" t="s">
        <v>9</v>
      </c>
      <c r="J237" s="37"/>
      <c r="K237" s="249" t="s">
        <v>49</v>
      </c>
      <c r="L237" s="249" t="s">
        <v>29</v>
      </c>
      <c r="M237" s="214" t="s">
        <v>2020</v>
      </c>
      <c r="N237" s="249" t="s">
        <v>2021</v>
      </c>
      <c r="O237" s="311">
        <v>0</v>
      </c>
      <c r="R237" s="37" t="s">
        <v>106</v>
      </c>
      <c r="S237" s="37"/>
      <c r="T237" s="37"/>
      <c r="W237" s="14" t="str">
        <f>IF(IFERROR(VLOOKUP($M237,'IMPORT GS-Tür OL FL 2S2 20'!$H$2:$H$847,1,0),"-")="-","","GS")</f>
        <v>GS</v>
      </c>
      <c r="X237" s="14" t="str">
        <f t="shared" si="16"/>
        <v/>
      </c>
      <c r="Z237" s="58" t="str">
        <f>IF(OR($M237="",NOT($O237="{array}")),"",IFERROR(MATCH(PARAMETERS!$M237,DEFAULT!$B$5:$CI$5,0),""))</f>
        <v/>
      </c>
      <c r="AA237" s="55" t="str">
        <f t="shared" si="14"/>
        <v/>
      </c>
      <c r="AB237" s="62" t="str">
        <f>IF(AND(OR($A237="G",$A237="P"),NOT($O237="{array}")),IF(VLOOKUP($K237,base!$B$2:$D$20,3,0)="S",IF(OR($O237="",ISTEXT($O237)),"","STRING!"),IF(VLOOKUP($K237,base!$B$2:$D$20,3,0)="","",IF(ISTEXT($O237),"NUMERIC!",""))),"")</f>
        <v/>
      </c>
      <c r="AC237" s="16" t="str">
        <f>IF($AA237="","",IF($B237="I",VLOOKUP($AA237,#REF!,53,0),INDEX(VALUES!$B$1:$GP$1,1,$AA237)))</f>
        <v/>
      </c>
    </row>
    <row r="238" spans="1:29" hidden="1" outlineLevel="1">
      <c r="A238" s="21"/>
      <c r="B238" s="40" t="str">
        <f t="shared" si="15"/>
        <v/>
      </c>
      <c r="C238" s="41">
        <f t="shared" si="17"/>
        <v>237</v>
      </c>
      <c r="D238" s="260"/>
      <c r="E238" s="37"/>
      <c r="F238" s="305"/>
      <c r="G238" s="188"/>
      <c r="H238" s="37"/>
      <c r="I238" s="37" t="s">
        <v>9</v>
      </c>
      <c r="J238" s="37"/>
      <c r="K238" s="249" t="s">
        <v>52</v>
      </c>
      <c r="L238" s="249" t="s">
        <v>29</v>
      </c>
      <c r="M238" s="214" t="s">
        <v>2022</v>
      </c>
      <c r="N238" s="249" t="s">
        <v>2023</v>
      </c>
      <c r="O238" s="311">
        <v>15</v>
      </c>
      <c r="R238" s="37" t="s">
        <v>106</v>
      </c>
      <c r="S238" s="37"/>
      <c r="T238" s="37"/>
      <c r="W238" s="14" t="str">
        <f>IF(IFERROR(VLOOKUP($M238,'IMPORT GS-Tür OL FL 2S2 20'!$H$2:$H$847,1,0),"-")="-","","GS")</f>
        <v>GS</v>
      </c>
      <c r="X238" s="14" t="str">
        <f t="shared" si="16"/>
        <v/>
      </c>
      <c r="Z238" s="58" t="str">
        <f>IF(OR($M238="",NOT($O238="{array}")),"",IFERROR(MATCH(PARAMETERS!$M238,DEFAULT!$B$5:$CI$5,0),""))</f>
        <v/>
      </c>
      <c r="AA238" s="55" t="str">
        <f t="shared" si="14"/>
        <v/>
      </c>
      <c r="AB238" s="62" t="str">
        <f>IF(AND(OR($A238="G",$A238="P"),NOT($O238="{array}")),IF(VLOOKUP($K238,base!$B$2:$D$20,3,0)="S",IF(OR($O238="",ISTEXT($O238)),"","STRING!"),IF(VLOOKUP($K238,base!$B$2:$D$20,3,0)="","",IF(ISTEXT($O238),"NUMERIC!",""))),"")</f>
        <v/>
      </c>
      <c r="AC238" s="16" t="str">
        <f>IF($AA238="","",IF($B238="I",VLOOKUP($AA238,#REF!,53,0),INDEX(VALUES!$B$1:$GP$1,1,$AA238)))</f>
        <v/>
      </c>
    </row>
    <row r="239" spans="1:29" hidden="1" outlineLevel="1">
      <c r="A239" s="21"/>
      <c r="B239" s="40" t="str">
        <f t="shared" si="15"/>
        <v/>
      </c>
      <c r="C239" s="41">
        <f t="shared" si="17"/>
        <v>238</v>
      </c>
      <c r="D239" s="260"/>
      <c r="E239" s="37"/>
      <c r="F239" s="305" t="s">
        <v>9</v>
      </c>
      <c r="G239" s="188"/>
      <c r="H239" s="37"/>
      <c r="I239" s="37" t="s">
        <v>9</v>
      </c>
      <c r="J239" s="37"/>
      <c r="K239" s="249" t="s">
        <v>26</v>
      </c>
      <c r="L239" s="249" t="s">
        <v>29</v>
      </c>
      <c r="M239" s="214" t="s">
        <v>2024</v>
      </c>
      <c r="N239" s="249" t="s">
        <v>2025</v>
      </c>
      <c r="O239" s="311">
        <v>0.15</v>
      </c>
      <c r="Q239" s="37" t="s">
        <v>9</v>
      </c>
      <c r="R239" s="37" t="s">
        <v>106</v>
      </c>
      <c r="S239" s="37"/>
      <c r="T239" s="37"/>
      <c r="W239" s="14" t="str">
        <f>IF(IFERROR(VLOOKUP($M239,'IMPORT GS-Tür OL FL 2S2 20'!$H$2:$H$847,1,0),"-")="-","","GS")</f>
        <v>GS</v>
      </c>
      <c r="X239" s="14" t="str">
        <f t="shared" si="16"/>
        <v/>
      </c>
      <c r="Z239" s="58" t="str">
        <f>IF(OR($M239="",NOT($O239="{array}")),"",IFERROR(MATCH(PARAMETERS!$M239,DEFAULT!$B$5:$CI$5,0),""))</f>
        <v/>
      </c>
      <c r="AA239" s="55" t="str">
        <f t="shared" si="14"/>
        <v/>
      </c>
      <c r="AB239" s="62" t="str">
        <f>IF(AND(OR($A239="G",$A239="P"),NOT($O239="{array}")),IF(VLOOKUP($K239,base!$B$2:$D$20,3,0)="S",IF(OR($O239="",ISTEXT($O239)),"","STRING!"),IF(VLOOKUP($K239,base!$B$2:$D$20,3,0)="","",IF(ISTEXT($O239),"NUMERIC!",""))),"")</f>
        <v/>
      </c>
      <c r="AC239" s="16" t="str">
        <f>IF($AA239="","",IF($B239="I",VLOOKUP($AA239,#REF!,53,0),INDEX(VALUES!$B$1:$GP$1,1,$AA239)))</f>
        <v/>
      </c>
    </row>
    <row r="240" spans="1:29" hidden="1" outlineLevel="1">
      <c r="A240" s="21"/>
      <c r="B240" s="40" t="str">
        <f t="shared" si="15"/>
        <v/>
      </c>
      <c r="C240" s="41">
        <f t="shared" si="17"/>
        <v>239</v>
      </c>
      <c r="D240" s="260"/>
      <c r="E240" s="37"/>
      <c r="F240" s="305" t="s">
        <v>9</v>
      </c>
      <c r="G240" s="188"/>
      <c r="H240" s="37"/>
      <c r="I240" s="37" t="s">
        <v>9</v>
      </c>
      <c r="J240" s="37"/>
      <c r="K240" s="249" t="s">
        <v>55</v>
      </c>
      <c r="L240" s="249" t="s">
        <v>29</v>
      </c>
      <c r="M240" s="214" t="s">
        <v>2026</v>
      </c>
      <c r="N240" s="249" t="s">
        <v>2012</v>
      </c>
      <c r="O240" s="311">
        <v>100</v>
      </c>
      <c r="R240" s="37" t="s">
        <v>106</v>
      </c>
      <c r="S240" s="37"/>
      <c r="T240" s="37"/>
      <c r="W240" s="14" t="str">
        <f>IF(IFERROR(VLOOKUP($M240,'IMPORT GS-Tür OL FL 2S2 20'!$H$2:$H$847,1,0),"-")="-","","GS")</f>
        <v>GS</v>
      </c>
      <c r="X240" s="14" t="str">
        <f t="shared" si="16"/>
        <v/>
      </c>
      <c r="Z240" s="58" t="str">
        <f>IF(OR($M240="",NOT($O240="{array}")),"",IFERROR(MATCH(PARAMETERS!$M240,DEFAULT!$B$5:$CI$5,0),""))</f>
        <v/>
      </c>
      <c r="AA240" s="55" t="str">
        <f t="shared" si="14"/>
        <v/>
      </c>
      <c r="AB240" s="62" t="str">
        <f>IF(AND(OR($A240="G",$A240="P"),NOT($O240="{array}")),IF(VLOOKUP($K240,base!$B$2:$D$20,3,0)="S",IF(OR($O240="",ISTEXT($O240)),"","STRING!"),IF(VLOOKUP($K240,base!$B$2:$D$20,3,0)="","",IF(ISTEXT($O240),"NUMERIC!",""))),"")</f>
        <v/>
      </c>
      <c r="AC240" s="16" t="str">
        <f>IF($AA240="","",IF($B240="I",VLOOKUP($AA240,#REF!,53,0),INDEX(VALUES!$B$1:$GP$1,1,$AA240)))</f>
        <v/>
      </c>
    </row>
    <row r="241" spans="1:29" hidden="1" outlineLevel="1">
      <c r="A241" s="21"/>
      <c r="B241" s="40" t="str">
        <f t="shared" si="15"/>
        <v/>
      </c>
      <c r="C241" s="41">
        <f t="shared" si="17"/>
        <v>240</v>
      </c>
      <c r="D241" s="260"/>
      <c r="E241" s="37"/>
      <c r="F241" s="305" t="s">
        <v>9</v>
      </c>
      <c r="G241" s="188"/>
      <c r="H241" s="37"/>
      <c r="I241" s="37" t="s">
        <v>9</v>
      </c>
      <c r="J241" s="37"/>
      <c r="K241" s="249" t="s">
        <v>53</v>
      </c>
      <c r="L241" s="249" t="s">
        <v>29</v>
      </c>
      <c r="M241" s="214" t="s">
        <v>2027</v>
      </c>
      <c r="N241" s="249" t="s">
        <v>2014</v>
      </c>
      <c r="O241" s="311">
        <v>1</v>
      </c>
      <c r="R241" s="37" t="s">
        <v>106</v>
      </c>
      <c r="S241" s="37"/>
      <c r="T241" s="37"/>
      <c r="W241" s="14" t="str">
        <f>IF(IFERROR(VLOOKUP($M241,'IMPORT GS-Tür OL FL 2S2 20'!$H$2:$H$847,1,0),"-")="-","","GS")</f>
        <v>GS</v>
      </c>
      <c r="X241" s="14" t="str">
        <f t="shared" si="16"/>
        <v/>
      </c>
      <c r="Z241" s="58" t="str">
        <f>IF(OR($M241="",NOT($O241="{array}")),"",IFERROR(MATCH(PARAMETERS!$M241,DEFAULT!$B$5:$CI$5,0),""))</f>
        <v/>
      </c>
      <c r="AA241" s="55" t="str">
        <f t="shared" si="14"/>
        <v/>
      </c>
      <c r="AB241" s="62" t="str">
        <f>IF(AND(OR($A241="G",$A241="P"),NOT($O241="{array}")),IF(VLOOKUP($K241,base!$B$2:$D$20,3,0)="S",IF(OR($O241="",ISTEXT($O241)),"","STRING!"),IF(VLOOKUP($K241,base!$B$2:$D$20,3,0)="","",IF(ISTEXT($O241),"NUMERIC!",""))),"")</f>
        <v/>
      </c>
      <c r="AC241" s="16" t="str">
        <f>IF($AA241="","",IF($B241="I",VLOOKUP($AA241,#REF!,53,0),INDEX(VALUES!$B$1:$GP$1,1,$AA241)))</f>
        <v/>
      </c>
    </row>
    <row r="242" spans="1:29" hidden="1" outlineLevel="1">
      <c r="A242" s="21"/>
      <c r="B242" s="40" t="str">
        <f t="shared" si="15"/>
        <v/>
      </c>
      <c r="C242" s="41">
        <f t="shared" si="17"/>
        <v>241</v>
      </c>
      <c r="D242" s="260"/>
      <c r="E242" s="37"/>
      <c r="F242" s="305" t="s">
        <v>9</v>
      </c>
      <c r="G242" s="188"/>
      <c r="H242" s="37"/>
      <c r="I242" s="37" t="s">
        <v>9</v>
      </c>
      <c r="J242" s="37"/>
      <c r="K242" s="249" t="s">
        <v>54</v>
      </c>
      <c r="L242" s="249" t="s">
        <v>29</v>
      </c>
      <c r="M242" s="214" t="s">
        <v>2028</v>
      </c>
      <c r="N242" s="249" t="s">
        <v>2016</v>
      </c>
      <c r="O242" s="311">
        <v>65</v>
      </c>
      <c r="R242" s="37" t="s">
        <v>106</v>
      </c>
      <c r="S242" s="37"/>
      <c r="T242" s="37"/>
      <c r="W242" s="14" t="str">
        <f>IF(IFERROR(VLOOKUP($M242,'IMPORT GS-Tür OL FL 2S2 20'!$H$2:$H$847,1,0),"-")="-","","GS")</f>
        <v>GS</v>
      </c>
      <c r="X242" s="14" t="str">
        <f t="shared" si="16"/>
        <v/>
      </c>
      <c r="Z242" s="58" t="str">
        <f>IF(OR($M242="",NOT($O242="{array}")),"",IFERROR(MATCH(PARAMETERS!$M242,DEFAULT!$B$5:$CI$5,0),""))</f>
        <v/>
      </c>
      <c r="AA242" s="55" t="str">
        <f t="shared" si="14"/>
        <v/>
      </c>
      <c r="AB242" s="62" t="str">
        <f>IF(AND(OR($A242="G",$A242="P"),NOT($O242="{array}")),IF(VLOOKUP($K242,base!$B$2:$D$20,3,0)="S",IF(OR($O242="",ISTEXT($O242)),"","STRING!"),IF(VLOOKUP($K242,base!$B$2:$D$20,3,0)="","",IF(ISTEXT($O242),"NUMERIC!",""))),"")</f>
        <v/>
      </c>
      <c r="AC242" s="16" t="str">
        <f>IF($AA242="","",IF($B242="I",VLOOKUP($AA242,#REF!,53,0),INDEX(VALUES!$B$1:$GP$1,1,$AA242)))</f>
        <v/>
      </c>
    </row>
    <row r="243" spans="1:29" hidden="1" outlineLevel="1">
      <c r="A243" s="21"/>
      <c r="B243" s="40" t="str">
        <f t="shared" si="15"/>
        <v/>
      </c>
      <c r="C243" s="41">
        <f t="shared" si="17"/>
        <v>242</v>
      </c>
      <c r="D243" s="260"/>
      <c r="E243" s="37"/>
      <c r="F243" s="305" t="s">
        <v>9</v>
      </c>
      <c r="G243" s="188"/>
      <c r="H243" s="37"/>
      <c r="I243" s="37" t="s">
        <v>9</v>
      </c>
      <c r="J243" s="37"/>
      <c r="K243" s="249" t="s">
        <v>55</v>
      </c>
      <c r="L243" s="249" t="s">
        <v>29</v>
      </c>
      <c r="M243" s="214" t="s">
        <v>2029</v>
      </c>
      <c r="N243" s="249" t="s">
        <v>2018</v>
      </c>
      <c r="O243" s="311">
        <v>1</v>
      </c>
      <c r="R243" s="37" t="s">
        <v>106</v>
      </c>
      <c r="S243" s="37"/>
      <c r="T243" s="37"/>
      <c r="W243" s="14" t="str">
        <f>IF(IFERROR(VLOOKUP($M243,'IMPORT GS-Tür OL FL 2S2 20'!$H$2:$H$847,1,0),"-")="-","","GS")</f>
        <v>GS</v>
      </c>
      <c r="X243" s="14" t="str">
        <f t="shared" si="16"/>
        <v/>
      </c>
      <c r="Z243" s="58" t="str">
        <f>IF(OR($M243="",NOT($O243="{array}")),"",IFERROR(MATCH(PARAMETERS!$M243,DEFAULT!$B$5:$CI$5,0),""))</f>
        <v/>
      </c>
      <c r="AA243" s="55" t="str">
        <f t="shared" si="14"/>
        <v/>
      </c>
      <c r="AB243" s="62" t="str">
        <f>IF(AND(OR($A243="G",$A243="P"),NOT($O243="{array}")),IF(VLOOKUP($K243,base!$B$2:$D$20,3,0)="S",IF(OR($O243="",ISTEXT($O243)),"","STRING!"),IF(VLOOKUP($K243,base!$B$2:$D$20,3,0)="","",IF(ISTEXT($O243),"NUMERIC!",""))),"")</f>
        <v/>
      </c>
      <c r="AC243" s="16" t="str">
        <f>IF($AA243="","",IF($B243="I",VLOOKUP($AA243,#REF!,53,0),INDEX(VALUES!$B$1:$GP$1,1,$AA243)))</f>
        <v/>
      </c>
    </row>
    <row r="244" spans="1:29" hidden="1" outlineLevel="1">
      <c r="A244" s="21"/>
      <c r="B244" s="40" t="str">
        <f t="shared" si="15"/>
        <v/>
      </c>
      <c r="C244" s="41">
        <f t="shared" si="17"/>
        <v>243</v>
      </c>
      <c r="D244" s="260"/>
      <c r="E244" s="37"/>
      <c r="F244" s="305" t="s">
        <v>9</v>
      </c>
      <c r="G244" s="188"/>
      <c r="H244" s="37"/>
      <c r="I244" s="37" t="s">
        <v>9</v>
      </c>
      <c r="J244" s="37"/>
      <c r="K244" s="249" t="s">
        <v>55</v>
      </c>
      <c r="L244" s="249" t="s">
        <v>29</v>
      </c>
      <c r="M244" s="214" t="s">
        <v>2030</v>
      </c>
      <c r="N244" s="249" t="s">
        <v>1869</v>
      </c>
      <c r="O244" s="311">
        <v>93</v>
      </c>
      <c r="R244" s="37" t="s">
        <v>106</v>
      </c>
      <c r="S244" s="37"/>
      <c r="T244" s="37"/>
      <c r="W244" s="14" t="str">
        <f>IF(IFERROR(VLOOKUP($M244,'IMPORT GS-Tür OL FL 2S2 20'!$H$2:$H$847,1,0),"-")="-","","GS")</f>
        <v>GS</v>
      </c>
      <c r="X244" s="14" t="str">
        <f t="shared" si="16"/>
        <v/>
      </c>
      <c r="Z244" s="58" t="str">
        <f>IF(OR($M244="",NOT($O244="{array}")),"",IFERROR(MATCH(PARAMETERS!$M244,DEFAULT!$B$5:$CI$5,0),""))</f>
        <v/>
      </c>
      <c r="AA244" s="55" t="str">
        <f t="shared" si="14"/>
        <v/>
      </c>
      <c r="AB244" s="62" t="str">
        <f>IF(AND(OR($A244="G",$A244="P"),NOT($O244="{array}")),IF(VLOOKUP($K244,base!$B$2:$D$20,3,0)="S",IF(OR($O244="",ISTEXT($O244)),"","STRING!"),IF(VLOOKUP($K244,base!$B$2:$D$20,3,0)="","",IF(ISTEXT($O244),"NUMERIC!",""))),"")</f>
        <v/>
      </c>
      <c r="AC244" s="16" t="str">
        <f>IF($AA244="","",IF($B244="I",VLOOKUP($AA244,#REF!,53,0),INDEX(VALUES!$B$1:$GP$1,1,$AA244)))</f>
        <v/>
      </c>
    </row>
    <row r="245" spans="1:29" hidden="1" outlineLevel="1">
      <c r="A245" s="21"/>
      <c r="B245" s="40" t="str">
        <f t="shared" si="15"/>
        <v>A</v>
      </c>
      <c r="C245" s="41">
        <f t="shared" si="17"/>
        <v>244</v>
      </c>
      <c r="D245" s="260"/>
      <c r="E245" s="37"/>
      <c r="F245" s="305" t="s">
        <v>9</v>
      </c>
      <c r="G245" s="188" t="s">
        <v>9</v>
      </c>
      <c r="H245" s="37"/>
      <c r="I245" s="37" t="s">
        <v>9</v>
      </c>
      <c r="J245" s="37"/>
      <c r="K245" s="249" t="s">
        <v>26</v>
      </c>
      <c r="L245" s="249" t="s">
        <v>29</v>
      </c>
      <c r="M245" s="214" t="s">
        <v>2031</v>
      </c>
      <c r="N245" s="249" t="s">
        <v>2032</v>
      </c>
      <c r="O245" s="311" t="s">
        <v>35</v>
      </c>
      <c r="R245" s="37" t="s">
        <v>106</v>
      </c>
      <c r="S245" s="37"/>
      <c r="T245" s="37"/>
      <c r="W245" s="14" t="str">
        <f>IF(IFERROR(VLOOKUP($M245,'IMPORT GS-Tür OL FL 2S2 20'!$H$2:$H$847,1,0),"-")="-","","GS")</f>
        <v>GS</v>
      </c>
      <c r="X245" s="14" t="str">
        <f t="shared" si="16"/>
        <v/>
      </c>
      <c r="Z245" s="58">
        <f>IF(OR($M245="",NOT($O245="{array}")),"",IFERROR(MATCH(PARAMETERS!$M245,DEFAULT!$B$5:$CI$5,0),""))</f>
        <v>6</v>
      </c>
      <c r="AA245" s="55" t="str">
        <f t="shared" si="14"/>
        <v/>
      </c>
      <c r="AB245" s="62" t="str">
        <f>IF(AND(OR($A245="G",$A245="P"),NOT($O245="{array}")),IF(VLOOKUP($K245,base!$B$2:$D$20,3,0)="S",IF(OR($O245="",ISTEXT($O245)),"","STRING!"),IF(VLOOKUP($K245,base!$B$2:$D$20,3,0)="","",IF(ISTEXT($O245),"NUMERIC!",""))),"")</f>
        <v/>
      </c>
      <c r="AC245" s="16" t="str">
        <f>IF($AA245="","",IF($B245="I",VLOOKUP($AA245,#REF!,53,0),INDEX(VALUES!$B$1:$GP$1,1,$AA245)))</f>
        <v/>
      </c>
    </row>
    <row r="246" spans="1:29" hidden="1" outlineLevel="1">
      <c r="A246" s="21"/>
      <c r="B246" s="40" t="str">
        <f t="shared" si="15"/>
        <v>A</v>
      </c>
      <c r="C246" s="41">
        <f t="shared" si="17"/>
        <v>245</v>
      </c>
      <c r="D246" s="260"/>
      <c r="E246" s="37"/>
      <c r="F246" s="305" t="s">
        <v>9</v>
      </c>
      <c r="G246" s="188" t="s">
        <v>9</v>
      </c>
      <c r="H246" s="37"/>
      <c r="I246" s="37" t="s">
        <v>9</v>
      </c>
      <c r="J246" s="37"/>
      <c r="K246" s="249" t="s">
        <v>26</v>
      </c>
      <c r="L246" s="249" t="s">
        <v>29</v>
      </c>
      <c r="M246" s="214" t="s">
        <v>2033</v>
      </c>
      <c r="N246" s="249" t="s">
        <v>2034</v>
      </c>
      <c r="O246" s="311" t="s">
        <v>35</v>
      </c>
      <c r="R246" s="37" t="s">
        <v>106</v>
      </c>
      <c r="S246" s="37"/>
      <c r="T246" s="37"/>
      <c r="W246" s="14" t="str">
        <f>IF(IFERROR(VLOOKUP($M246,'IMPORT GS-Tür OL FL 2S2 20'!$H$2:$H$847,1,0),"-")="-","","GS")</f>
        <v>GS</v>
      </c>
      <c r="X246" s="14" t="str">
        <f t="shared" si="16"/>
        <v/>
      </c>
      <c r="Z246" s="58">
        <f>IF(OR($M246="",NOT($O246="{array}")),"",IFERROR(MATCH(PARAMETERS!$M246,DEFAULT!$B$5:$CI$5,0),""))</f>
        <v>10</v>
      </c>
      <c r="AA246" s="55" t="str">
        <f t="shared" si="14"/>
        <v/>
      </c>
      <c r="AB246" s="62" t="str">
        <f>IF(AND(OR($A246="G",$A246="P"),NOT($O246="{array}")),IF(VLOOKUP($K246,base!$B$2:$D$20,3,0)="S",IF(OR($O246="",ISTEXT($O246)),"","STRING!"),IF(VLOOKUP($K246,base!$B$2:$D$20,3,0)="","",IF(ISTEXT($O246),"NUMERIC!",""))),"")</f>
        <v/>
      </c>
      <c r="AC246" s="16" t="str">
        <f>IF($AA246="","",IF($B246="I",VLOOKUP($AA246,#REF!,53,0),INDEX(VALUES!$B$1:$GP$1,1,$AA246)))</f>
        <v/>
      </c>
    </row>
    <row r="247" spans="1:29" hidden="1" outlineLevel="1">
      <c r="A247" s="21"/>
      <c r="B247" s="40" t="str">
        <f t="shared" si="15"/>
        <v/>
      </c>
      <c r="C247" s="41">
        <f t="shared" si="17"/>
        <v>246</v>
      </c>
      <c r="D247" s="260"/>
      <c r="E247" s="37"/>
      <c r="F247" s="305" t="s">
        <v>9</v>
      </c>
      <c r="G247" s="188"/>
      <c r="H247" s="37"/>
      <c r="I247" s="37" t="s">
        <v>9</v>
      </c>
      <c r="J247" s="37"/>
      <c r="K247" s="249" t="s">
        <v>46</v>
      </c>
      <c r="L247" s="249" t="s">
        <v>29</v>
      </c>
      <c r="M247" s="214" t="s">
        <v>2035</v>
      </c>
      <c r="N247" s="249" t="s">
        <v>2036</v>
      </c>
      <c r="O247" s="311">
        <v>1</v>
      </c>
      <c r="R247" s="37" t="s">
        <v>106</v>
      </c>
      <c r="S247" s="37"/>
      <c r="T247" s="37"/>
      <c r="W247" s="14" t="str">
        <f>IF(IFERROR(VLOOKUP($M247,'IMPORT GS-Tür OL FL 2S2 20'!$H$2:$H$847,1,0),"-")="-","","GS")</f>
        <v>GS</v>
      </c>
      <c r="X247" s="14" t="str">
        <f t="shared" si="16"/>
        <v/>
      </c>
      <c r="Z247" s="58" t="str">
        <f>IF(OR($M247="",NOT($O247="{array}")),"",IFERROR(MATCH(PARAMETERS!$M247,DEFAULT!$B$5:$CI$5,0),""))</f>
        <v/>
      </c>
      <c r="AA247" s="55" t="str">
        <f t="shared" si="14"/>
        <v/>
      </c>
      <c r="AB247" s="62" t="str">
        <f>IF(AND(OR($A247="G",$A247="P"),NOT($O247="{array}")),IF(VLOOKUP($K247,base!$B$2:$D$20,3,0)="S",IF(OR($O247="",ISTEXT($O247)),"","STRING!"),IF(VLOOKUP($K247,base!$B$2:$D$20,3,0)="","",IF(ISTEXT($O247),"NUMERIC!",""))),"")</f>
        <v/>
      </c>
      <c r="AC247" s="16" t="str">
        <f>IF($AA247="","",IF($B247="I",VLOOKUP($AA247,#REF!,53,0),INDEX(VALUES!$B$1:$GP$1,1,$AA247)))</f>
        <v/>
      </c>
    </row>
    <row r="248" spans="1:29" hidden="1" outlineLevel="1">
      <c r="A248" s="21"/>
      <c r="B248" s="40" t="str">
        <f t="shared" si="15"/>
        <v/>
      </c>
      <c r="C248" s="41">
        <f t="shared" si="17"/>
        <v>247</v>
      </c>
      <c r="D248" s="260"/>
      <c r="E248" s="37"/>
      <c r="F248" s="305" t="s">
        <v>9</v>
      </c>
      <c r="G248" s="188"/>
      <c r="H248" s="37"/>
      <c r="I248" s="37" t="s">
        <v>9</v>
      </c>
      <c r="J248" s="37"/>
      <c r="K248" s="249" t="s">
        <v>46</v>
      </c>
      <c r="L248" s="249" t="s">
        <v>29</v>
      </c>
      <c r="M248" s="214" t="s">
        <v>2037</v>
      </c>
      <c r="N248" s="249" t="s">
        <v>2038</v>
      </c>
      <c r="O248" s="311">
        <v>1</v>
      </c>
      <c r="R248" s="37" t="s">
        <v>106</v>
      </c>
      <c r="S248" s="37"/>
      <c r="T248" s="37"/>
      <c r="W248" s="14" t="str">
        <f>IF(IFERROR(VLOOKUP($M248,'IMPORT GS-Tür OL FL 2S2 20'!$H$2:$H$847,1,0),"-")="-","","GS")</f>
        <v>GS</v>
      </c>
      <c r="X248" s="14" t="str">
        <f t="shared" si="16"/>
        <v/>
      </c>
      <c r="Z248" s="58" t="str">
        <f>IF(OR($M248="",NOT($O248="{array}")),"",IFERROR(MATCH(PARAMETERS!$M248,DEFAULT!$B$5:$CI$5,0),""))</f>
        <v/>
      </c>
      <c r="AA248" s="55" t="str">
        <f t="shared" si="14"/>
        <v/>
      </c>
      <c r="AB248" s="62" t="str">
        <f>IF(AND(OR($A248="G",$A248="P"),NOT($O248="{array}")),IF(VLOOKUP($K248,base!$B$2:$D$20,3,0)="S",IF(OR($O248="",ISTEXT($O248)),"","STRING!"),IF(VLOOKUP($K248,base!$B$2:$D$20,3,0)="","",IF(ISTEXT($O248),"NUMERIC!",""))),"")</f>
        <v/>
      </c>
      <c r="AC248" s="16" t="str">
        <f>IF($AA248="","",IF($B248="I",VLOOKUP($AA248,#REF!,53,0),INDEX(VALUES!$B$1:$GP$1,1,$AA248)))</f>
        <v/>
      </c>
    </row>
    <row r="249" spans="1:29" hidden="1" outlineLevel="1">
      <c r="A249" s="21"/>
      <c r="B249" s="40" t="str">
        <f t="shared" si="15"/>
        <v/>
      </c>
      <c r="C249" s="41">
        <f t="shared" si="17"/>
        <v>248</v>
      </c>
      <c r="D249" s="260"/>
      <c r="E249" s="37"/>
      <c r="F249" s="305" t="s">
        <v>9</v>
      </c>
      <c r="G249" s="188"/>
      <c r="H249" s="37"/>
      <c r="I249" s="37" t="s">
        <v>9</v>
      </c>
      <c r="J249" s="37"/>
      <c r="K249" s="249" t="s">
        <v>46</v>
      </c>
      <c r="L249" s="249" t="s">
        <v>29</v>
      </c>
      <c r="M249" s="214" t="s">
        <v>2039</v>
      </c>
      <c r="N249" s="249" t="s">
        <v>2040</v>
      </c>
      <c r="O249" s="311">
        <v>1</v>
      </c>
      <c r="R249" s="37" t="s">
        <v>106</v>
      </c>
      <c r="S249" s="37"/>
      <c r="T249" s="37"/>
      <c r="W249" s="14" t="str">
        <f>IF(IFERROR(VLOOKUP($M249,'IMPORT GS-Tür OL FL 2S2 20'!$H$2:$H$847,1,0),"-")="-","","GS")</f>
        <v>GS</v>
      </c>
      <c r="X249" s="14" t="str">
        <f t="shared" si="16"/>
        <v/>
      </c>
      <c r="Z249" s="58" t="str">
        <f>IF(OR($M249="",NOT($O249="{array}")),"",IFERROR(MATCH(PARAMETERS!$M249,DEFAULT!$B$5:$CI$5,0),""))</f>
        <v/>
      </c>
      <c r="AA249" s="55" t="str">
        <f t="shared" si="14"/>
        <v/>
      </c>
      <c r="AB249" s="62" t="str">
        <f>IF(AND(OR($A249="G",$A249="P"),NOT($O249="{array}")),IF(VLOOKUP($K249,base!$B$2:$D$20,3,0)="S",IF(OR($O249="",ISTEXT($O249)),"","STRING!"),IF(VLOOKUP($K249,base!$B$2:$D$20,3,0)="","",IF(ISTEXT($O249),"NUMERIC!",""))),"")</f>
        <v/>
      </c>
      <c r="AC249" s="16" t="str">
        <f>IF($AA249="","",IF($B249="I",VLOOKUP($AA249,#REF!,53,0),INDEX(VALUES!$B$1:$GP$1,1,$AA249)))</f>
        <v/>
      </c>
    </row>
    <row r="250" spans="1:29" hidden="1" outlineLevel="1">
      <c r="A250" s="21"/>
      <c r="B250" s="40" t="str">
        <f t="shared" si="15"/>
        <v/>
      </c>
      <c r="C250" s="41">
        <f t="shared" si="17"/>
        <v>249</v>
      </c>
      <c r="D250" s="260"/>
      <c r="E250" s="37"/>
      <c r="F250" s="305" t="s">
        <v>9</v>
      </c>
      <c r="G250" s="188"/>
      <c r="H250" s="37"/>
      <c r="I250" s="37" t="s">
        <v>9</v>
      </c>
      <c r="J250" s="37"/>
      <c r="K250" s="249" t="s">
        <v>49</v>
      </c>
      <c r="L250" s="249" t="s">
        <v>29</v>
      </c>
      <c r="M250" s="214" t="s">
        <v>2041</v>
      </c>
      <c r="N250" s="249" t="s">
        <v>2042</v>
      </c>
      <c r="O250" s="311">
        <v>1</v>
      </c>
      <c r="R250" s="37" t="s">
        <v>106</v>
      </c>
      <c r="S250" s="37"/>
      <c r="T250" s="37"/>
      <c r="W250" s="14" t="str">
        <f>IF(IFERROR(VLOOKUP($M250,'IMPORT GS-Tür OL FL 2S2 20'!$H$2:$H$847,1,0),"-")="-","","GS")</f>
        <v>GS</v>
      </c>
      <c r="X250" s="14" t="str">
        <f t="shared" si="16"/>
        <v/>
      </c>
      <c r="Z250" s="58" t="str">
        <f>IF(OR($M250="",NOT($O250="{array}")),"",IFERROR(MATCH(PARAMETERS!$M250,DEFAULT!$B$5:$CI$5,0),""))</f>
        <v/>
      </c>
      <c r="AA250" s="55" t="str">
        <f t="shared" si="14"/>
        <v/>
      </c>
      <c r="AB250" s="62" t="str">
        <f>IF(AND(OR($A250="G",$A250="P"),NOT($O250="{array}")),IF(VLOOKUP($K250,base!$B$2:$D$20,3,0)="S",IF(OR($O250="",ISTEXT($O250)),"","STRING!"),IF(VLOOKUP($K250,base!$B$2:$D$20,3,0)="","",IF(ISTEXT($O250),"NUMERIC!",""))),"")</f>
        <v/>
      </c>
      <c r="AC250" s="16" t="str">
        <f>IF($AA250="","",IF($B250="I",VLOOKUP($AA250,#REF!,53,0),INDEX(VALUES!$B$1:$GP$1,1,$AA250)))</f>
        <v/>
      </c>
    </row>
    <row r="251" spans="1:29" hidden="1" outlineLevel="1">
      <c r="A251" s="21"/>
      <c r="B251" s="40" t="str">
        <f t="shared" si="15"/>
        <v/>
      </c>
      <c r="C251" s="41">
        <f t="shared" si="17"/>
        <v>250</v>
      </c>
      <c r="D251" s="260"/>
      <c r="E251" s="37"/>
      <c r="F251" s="305" t="s">
        <v>9</v>
      </c>
      <c r="G251" s="188"/>
      <c r="H251" s="37"/>
      <c r="I251" s="37" t="s">
        <v>9</v>
      </c>
      <c r="J251" s="37"/>
      <c r="K251" s="249" t="s">
        <v>49</v>
      </c>
      <c r="L251" s="249" t="s">
        <v>29</v>
      </c>
      <c r="M251" s="214" t="s">
        <v>2043</v>
      </c>
      <c r="N251" s="249" t="s">
        <v>2044</v>
      </c>
      <c r="O251" s="311">
        <v>1</v>
      </c>
      <c r="R251" s="37" t="s">
        <v>106</v>
      </c>
      <c r="S251" s="37"/>
      <c r="T251" s="37"/>
      <c r="W251" s="14" t="str">
        <f>IF(IFERROR(VLOOKUP($M251,'IMPORT GS-Tür OL FL 2S2 20'!$H$2:$H$847,1,0),"-")="-","","GS")</f>
        <v>GS</v>
      </c>
      <c r="X251" s="14" t="str">
        <f t="shared" si="16"/>
        <v/>
      </c>
      <c r="Z251" s="58" t="str">
        <f>IF(OR($M251="",NOT($O251="{array}")),"",IFERROR(MATCH(PARAMETERS!$M251,DEFAULT!$B$5:$CI$5,0),""))</f>
        <v/>
      </c>
      <c r="AA251" s="55" t="str">
        <f t="shared" si="14"/>
        <v/>
      </c>
      <c r="AB251" s="62" t="str">
        <f>IF(AND(OR($A251="G",$A251="P"),NOT($O251="{array}")),IF(VLOOKUP($K251,base!$B$2:$D$20,3,0)="S",IF(OR($O251="",ISTEXT($O251)),"","STRING!"),IF(VLOOKUP($K251,base!$B$2:$D$20,3,0)="","",IF(ISTEXT($O251),"NUMERIC!",""))),"")</f>
        <v/>
      </c>
      <c r="AC251" s="16" t="str">
        <f>IF($AA251="","",IF($B251="I",VLOOKUP($AA251,#REF!,53,0),INDEX(VALUES!$B$1:$GP$1,1,$AA251)))</f>
        <v/>
      </c>
    </row>
    <row r="252" spans="1:29" hidden="1" outlineLevel="1">
      <c r="A252" s="21"/>
      <c r="B252" s="40" t="str">
        <f t="shared" si="15"/>
        <v/>
      </c>
      <c r="C252" s="41">
        <f t="shared" si="17"/>
        <v>251</v>
      </c>
      <c r="D252" s="260"/>
      <c r="E252" s="37"/>
      <c r="F252" s="305" t="s">
        <v>9</v>
      </c>
      <c r="G252" s="188"/>
      <c r="H252" s="37"/>
      <c r="I252" s="37" t="s">
        <v>9</v>
      </c>
      <c r="J252" s="37"/>
      <c r="K252" s="249" t="s">
        <v>46</v>
      </c>
      <c r="L252" s="249" t="s">
        <v>29</v>
      </c>
      <c r="M252" s="214" t="s">
        <v>2045</v>
      </c>
      <c r="N252" s="249" t="s">
        <v>2046</v>
      </c>
      <c r="O252" s="311">
        <v>1</v>
      </c>
      <c r="Q252" s="37" t="s">
        <v>9</v>
      </c>
      <c r="R252" s="37" t="s">
        <v>106</v>
      </c>
      <c r="S252" s="37"/>
      <c r="T252" s="37"/>
      <c r="W252" s="14" t="str">
        <f>IF(IFERROR(VLOOKUP($M252,'IMPORT GS-Tür OL FL 2S2 20'!$H$2:$H$847,1,0),"-")="-","","GS")</f>
        <v>GS</v>
      </c>
      <c r="X252" s="14" t="str">
        <f t="shared" si="16"/>
        <v/>
      </c>
      <c r="Z252" s="58" t="str">
        <f>IF(OR($M252="",NOT($O252="{array}")),"",IFERROR(MATCH(PARAMETERS!$M252,DEFAULT!$B$5:$CI$5,0),""))</f>
        <v/>
      </c>
      <c r="AA252" s="55" t="str">
        <f t="shared" si="14"/>
        <v/>
      </c>
      <c r="AB252" s="62" t="str">
        <f>IF(AND(OR($A252="G",$A252="P"),NOT($O252="{array}")),IF(VLOOKUP($K252,base!$B$2:$D$20,3,0)="S",IF(OR($O252="",ISTEXT($O252)),"","STRING!"),IF(VLOOKUP($K252,base!$B$2:$D$20,3,0)="","",IF(ISTEXT($O252),"NUMERIC!",""))),"")</f>
        <v/>
      </c>
      <c r="AC252" s="16" t="str">
        <f>IF($AA252="","",IF($B252="I",VLOOKUP($AA252,#REF!,53,0),INDEX(VALUES!$B$1:$GP$1,1,$AA252)))</f>
        <v/>
      </c>
    </row>
    <row r="253" spans="1:29" hidden="1" outlineLevel="1">
      <c r="A253" s="21"/>
      <c r="B253" s="40" t="str">
        <f t="shared" si="15"/>
        <v/>
      </c>
      <c r="C253" s="41">
        <f t="shared" si="17"/>
        <v>252</v>
      </c>
      <c r="D253" s="260"/>
      <c r="E253" s="37"/>
      <c r="F253" s="305" t="s">
        <v>9</v>
      </c>
      <c r="G253" s="188"/>
      <c r="H253" s="37"/>
      <c r="I253" s="37" t="s">
        <v>9</v>
      </c>
      <c r="J253" s="37"/>
      <c r="K253" s="249" t="s">
        <v>26</v>
      </c>
      <c r="L253" s="249" t="s">
        <v>29</v>
      </c>
      <c r="M253" s="214" t="s">
        <v>2047</v>
      </c>
      <c r="N253" s="249" t="s">
        <v>2048</v>
      </c>
      <c r="O253" s="311">
        <v>1.4999999999999999E-2</v>
      </c>
      <c r="Q253" s="37" t="s">
        <v>9</v>
      </c>
      <c r="R253" s="37" t="s">
        <v>106</v>
      </c>
      <c r="S253" s="37"/>
      <c r="T253" s="37"/>
      <c r="W253" s="14" t="str">
        <f>IF(IFERROR(VLOOKUP($M253,'IMPORT GS-Tür OL FL 2S2 20'!$H$2:$H$847,1,0),"-")="-","","GS")</f>
        <v>GS</v>
      </c>
      <c r="X253" s="14" t="str">
        <f t="shared" si="16"/>
        <v/>
      </c>
      <c r="Z253" s="58" t="str">
        <f>IF(OR($M253="",NOT($O253="{array}")),"",IFERROR(MATCH(PARAMETERS!$M253,DEFAULT!$B$5:$CI$5,0),""))</f>
        <v/>
      </c>
      <c r="AA253" s="55" t="str">
        <f t="shared" si="14"/>
        <v/>
      </c>
      <c r="AB253" s="62" t="str">
        <f>IF(AND(OR($A253="G",$A253="P"),NOT($O253="{array}")),IF(VLOOKUP($K253,base!$B$2:$D$20,3,0)="S",IF(OR($O253="",ISTEXT($O253)),"","STRING!"),IF(VLOOKUP($K253,base!$B$2:$D$20,3,0)="","",IF(ISTEXT($O253),"NUMERIC!",""))),"")</f>
        <v/>
      </c>
      <c r="AC253" s="16" t="str">
        <f>IF($AA253="","",IF($B253="I",VLOOKUP($AA253,#REF!,53,0),INDEX(VALUES!$B$1:$GP$1,1,$AA253)))</f>
        <v/>
      </c>
    </row>
    <row r="254" spans="1:29" hidden="1" outlineLevel="1">
      <c r="A254" s="21"/>
      <c r="B254" s="40" t="str">
        <f t="shared" si="15"/>
        <v/>
      </c>
      <c r="C254" s="41">
        <f t="shared" si="17"/>
        <v>253</v>
      </c>
      <c r="D254" s="260"/>
      <c r="E254" s="37"/>
      <c r="F254" s="305" t="s">
        <v>9</v>
      </c>
      <c r="G254" s="188"/>
      <c r="H254" s="37"/>
      <c r="I254" s="37" t="s">
        <v>9</v>
      </c>
      <c r="J254" s="37"/>
      <c r="K254" s="249" t="s">
        <v>46</v>
      </c>
      <c r="L254" s="249" t="s">
        <v>29</v>
      </c>
      <c r="M254" s="214" t="s">
        <v>2049</v>
      </c>
      <c r="N254" s="249" t="s">
        <v>2050</v>
      </c>
      <c r="O254" s="311">
        <v>1</v>
      </c>
      <c r="R254" s="37" t="s">
        <v>106</v>
      </c>
      <c r="S254" s="37"/>
      <c r="T254" s="37"/>
      <c r="W254" s="14" t="str">
        <f>IF(IFERROR(VLOOKUP($M254,'IMPORT GS-Tür OL FL 2S2 20'!$H$2:$H$847,1,0),"-")="-","","GS")</f>
        <v>GS</v>
      </c>
      <c r="X254" s="14" t="str">
        <f t="shared" si="16"/>
        <v/>
      </c>
      <c r="Z254" s="58" t="str">
        <f>IF(OR($M254="",NOT($O254="{array}")),"",IFERROR(MATCH(PARAMETERS!$M254,DEFAULT!$B$5:$CI$5,0),""))</f>
        <v/>
      </c>
      <c r="AA254" s="55" t="str">
        <f t="shared" si="14"/>
        <v/>
      </c>
      <c r="AB254" s="62" t="str">
        <f>IF(AND(OR($A254="G",$A254="P"),NOT($O254="{array}")),IF(VLOOKUP($K254,base!$B$2:$D$20,3,0)="S",IF(OR($O254="",ISTEXT($O254)),"","STRING!"),IF(VLOOKUP($K254,base!$B$2:$D$20,3,0)="","",IF(ISTEXT($O254),"NUMERIC!",""))),"")</f>
        <v/>
      </c>
      <c r="AC254" s="16" t="str">
        <f>IF($AA254="","",IF($B254="I",VLOOKUP($AA254,#REF!,53,0),INDEX(VALUES!$B$1:$GP$1,1,$AA254)))</f>
        <v/>
      </c>
    </row>
    <row r="255" spans="1:29" hidden="1" outlineLevel="1">
      <c r="A255" s="21"/>
      <c r="B255" s="40" t="str">
        <f t="shared" si="15"/>
        <v/>
      </c>
      <c r="C255" s="41">
        <f t="shared" si="17"/>
        <v>254</v>
      </c>
      <c r="D255" s="260"/>
      <c r="E255" s="37"/>
      <c r="F255" s="305" t="s">
        <v>9</v>
      </c>
      <c r="G255" s="188"/>
      <c r="H255" s="37"/>
      <c r="I255" s="37" t="s">
        <v>9</v>
      </c>
      <c r="J255" s="37"/>
      <c r="K255" s="249" t="s">
        <v>49</v>
      </c>
      <c r="L255" s="249" t="s">
        <v>29</v>
      </c>
      <c r="M255" s="214" t="s">
        <v>2051</v>
      </c>
      <c r="N255" s="249" t="s">
        <v>2052</v>
      </c>
      <c r="O255" s="311">
        <v>0</v>
      </c>
      <c r="R255" s="37" t="s">
        <v>106</v>
      </c>
      <c r="S255" s="37"/>
      <c r="T255" s="37"/>
      <c r="W255" s="14" t="str">
        <f>IF(IFERROR(VLOOKUP($M255,'IMPORT GS-Tür OL FL 2S2 20'!$H$2:$H$847,1,0),"-")="-","","GS")</f>
        <v>GS</v>
      </c>
      <c r="X255" s="14" t="str">
        <f t="shared" si="16"/>
        <v/>
      </c>
      <c r="Z255" s="58" t="str">
        <f>IF(OR($M255="",NOT($O255="{array}")),"",IFERROR(MATCH(PARAMETERS!$M255,DEFAULT!$B$5:$CI$5,0),""))</f>
        <v/>
      </c>
      <c r="AA255" s="55" t="str">
        <f t="shared" si="14"/>
        <v/>
      </c>
      <c r="AB255" s="62" t="str">
        <f>IF(AND(OR($A255="G",$A255="P"),NOT($O255="{array}")),IF(VLOOKUP($K255,base!$B$2:$D$20,3,0)="S",IF(OR($O255="",ISTEXT($O255)),"","STRING!"),IF(VLOOKUP($K255,base!$B$2:$D$20,3,0)="","",IF(ISTEXT($O255),"NUMERIC!",""))),"")</f>
        <v/>
      </c>
      <c r="AC255" s="16" t="str">
        <f>IF($AA255="","",IF($B255="I",VLOOKUP($AA255,#REF!,53,0),INDEX(VALUES!$B$1:$GP$1,1,$AA255)))</f>
        <v/>
      </c>
    </row>
    <row r="256" spans="1:29" hidden="1" outlineLevel="1">
      <c r="A256" s="21"/>
      <c r="B256" s="40" t="str">
        <f t="shared" si="15"/>
        <v/>
      </c>
      <c r="C256" s="41">
        <f t="shared" si="17"/>
        <v>255</v>
      </c>
      <c r="D256" s="260"/>
      <c r="E256" s="37"/>
      <c r="F256" s="305" t="s">
        <v>9</v>
      </c>
      <c r="G256" s="188"/>
      <c r="H256" s="37"/>
      <c r="I256" s="37" t="s">
        <v>9</v>
      </c>
      <c r="J256" s="37"/>
      <c r="K256" s="249" t="s">
        <v>55</v>
      </c>
      <c r="L256" s="249" t="s">
        <v>29</v>
      </c>
      <c r="M256" s="214" t="s">
        <v>2053</v>
      </c>
      <c r="N256" s="249" t="s">
        <v>2054</v>
      </c>
      <c r="O256" s="311">
        <v>1</v>
      </c>
      <c r="R256" s="37" t="s">
        <v>106</v>
      </c>
      <c r="S256" s="37"/>
      <c r="T256" s="37"/>
      <c r="W256" s="14" t="str">
        <f>IF(IFERROR(VLOOKUP($M256,'IMPORT GS-Tür OL FL 2S2 20'!$H$2:$H$847,1,0),"-")="-","","GS")</f>
        <v>GS</v>
      </c>
      <c r="X256" s="14" t="str">
        <f t="shared" si="16"/>
        <v/>
      </c>
      <c r="Z256" s="58" t="str">
        <f>IF(OR($M256="",NOT($O256="{array}")),"",IFERROR(MATCH(PARAMETERS!$M256,DEFAULT!$B$5:$CI$5,0),""))</f>
        <v/>
      </c>
      <c r="AA256" s="55" t="str">
        <f t="shared" si="14"/>
        <v/>
      </c>
      <c r="AB256" s="62" t="str">
        <f>IF(AND(OR($A256="G",$A256="P"),NOT($O256="{array}")),IF(VLOOKUP($K256,base!$B$2:$D$20,3,0)="S",IF(OR($O256="",ISTEXT($O256)),"","STRING!"),IF(VLOOKUP($K256,base!$B$2:$D$20,3,0)="","",IF(ISTEXT($O256),"NUMERIC!",""))),"")</f>
        <v/>
      </c>
      <c r="AC256" s="16" t="str">
        <f>IF($AA256="","",IF($B256="I",VLOOKUP($AA256,#REF!,53,0),INDEX(VALUES!$B$1:$GP$1,1,$AA256)))</f>
        <v/>
      </c>
    </row>
    <row r="257" spans="1:29" hidden="1" outlineLevel="1">
      <c r="A257" s="21"/>
      <c r="B257" s="40" t="str">
        <f t="shared" si="15"/>
        <v/>
      </c>
      <c r="C257" s="41">
        <f t="shared" si="17"/>
        <v>256</v>
      </c>
      <c r="D257" s="260"/>
      <c r="E257" s="37"/>
      <c r="F257" s="305" t="s">
        <v>9</v>
      </c>
      <c r="G257" s="188"/>
      <c r="H257" s="37"/>
      <c r="I257" s="37" t="s">
        <v>9</v>
      </c>
      <c r="J257" s="37"/>
      <c r="K257" s="249" t="s">
        <v>26</v>
      </c>
      <c r="L257" s="249" t="s">
        <v>29</v>
      </c>
      <c r="M257" s="214" t="s">
        <v>2055</v>
      </c>
      <c r="N257" s="249" t="s">
        <v>2056</v>
      </c>
      <c r="O257" s="311">
        <v>0</v>
      </c>
      <c r="Q257" s="37" t="s">
        <v>9</v>
      </c>
      <c r="R257" s="37" t="s">
        <v>106</v>
      </c>
      <c r="S257" s="37"/>
      <c r="T257" s="37"/>
      <c r="W257" s="14" t="str">
        <f>IF(IFERROR(VLOOKUP($M257,'IMPORT GS-Tür OL FL 2S2 20'!$H$2:$H$847,1,0),"-")="-","","GS")</f>
        <v>GS</v>
      </c>
      <c r="X257" s="14" t="str">
        <f t="shared" si="16"/>
        <v/>
      </c>
      <c r="Z257" s="58" t="str">
        <f>IF(OR($M257="",NOT($O257="{array}")),"",IFERROR(MATCH(PARAMETERS!$M257,DEFAULT!$B$5:$CI$5,0),""))</f>
        <v/>
      </c>
      <c r="AA257" s="55" t="str">
        <f t="shared" si="14"/>
        <v/>
      </c>
      <c r="AB257" s="62" t="str">
        <f>IF(AND(OR($A257="G",$A257="P"),NOT($O257="{array}")),IF(VLOOKUP($K257,base!$B$2:$D$20,3,0)="S",IF(OR($O257="",ISTEXT($O257)),"","STRING!"),IF(VLOOKUP($K257,base!$B$2:$D$20,3,0)="","",IF(ISTEXT($O257),"NUMERIC!",""))),"")</f>
        <v/>
      </c>
      <c r="AC257" s="16" t="str">
        <f>IF($AA257="","",IF($B257="I",VLOOKUP($AA257,#REF!,53,0),INDEX(VALUES!$B$1:$GP$1,1,$AA257)))</f>
        <v/>
      </c>
    </row>
    <row r="258" spans="1:29" hidden="1" outlineLevel="1">
      <c r="A258" s="21"/>
      <c r="B258" s="40" t="str">
        <f t="shared" si="15"/>
        <v/>
      </c>
      <c r="C258" s="41">
        <f t="shared" si="17"/>
        <v>257</v>
      </c>
      <c r="D258" s="260"/>
      <c r="E258" s="37"/>
      <c r="F258" s="305" t="s">
        <v>9</v>
      </c>
      <c r="G258" s="188" t="s">
        <v>9</v>
      </c>
      <c r="H258" s="37"/>
      <c r="I258" s="37" t="s">
        <v>9</v>
      </c>
      <c r="J258" s="37"/>
      <c r="K258" s="249" t="s">
        <v>49</v>
      </c>
      <c r="L258" s="249" t="s">
        <v>29</v>
      </c>
      <c r="M258" s="214" t="s">
        <v>2057</v>
      </c>
      <c r="N258" s="249" t="s">
        <v>2058</v>
      </c>
      <c r="O258" s="311">
        <v>0</v>
      </c>
      <c r="R258" s="37" t="s">
        <v>106</v>
      </c>
      <c r="S258" s="37"/>
      <c r="T258" s="37"/>
      <c r="W258" s="14" t="str">
        <f>IF(IFERROR(VLOOKUP($M258,'IMPORT GS-Tür OL FL 2S2 20'!$H$2:$H$847,1,0),"-")="-","","GS")</f>
        <v>GS</v>
      </c>
      <c r="X258" s="14" t="str">
        <f t="shared" si="16"/>
        <v/>
      </c>
      <c r="Z258" s="58" t="str">
        <f>IF(OR($M258="",NOT($O258="{array}")),"",IFERROR(MATCH(PARAMETERS!$M258,DEFAULT!$B$5:$CI$5,0),""))</f>
        <v/>
      </c>
      <c r="AA258" s="55" t="str">
        <f t="shared" si="14"/>
        <v/>
      </c>
      <c r="AB258" s="62" t="str">
        <f>IF(AND(OR($A258="G",$A258="P"),NOT($O258="{array}")),IF(VLOOKUP($K258,base!$B$2:$D$20,3,0)="S",IF(OR($O258="",ISTEXT($O258)),"","STRING!"),IF(VLOOKUP($K258,base!$B$2:$D$20,3,0)="","",IF(ISTEXT($O258),"NUMERIC!",""))),"")</f>
        <v/>
      </c>
      <c r="AC258" s="16" t="str">
        <f>IF($AA258="","",IF($B258="I",VLOOKUP($AA258,#REF!,53,0),INDEX(VALUES!$B$1:$GP$1,1,$AA258)))</f>
        <v/>
      </c>
    </row>
    <row r="259" spans="1:29" hidden="1" outlineLevel="1">
      <c r="A259" s="21"/>
      <c r="B259" s="40" t="str">
        <f t="shared" si="15"/>
        <v/>
      </c>
      <c r="C259" s="41">
        <f t="shared" si="17"/>
        <v>258</v>
      </c>
      <c r="D259" s="260"/>
      <c r="E259" s="37"/>
      <c r="F259" s="305" t="s">
        <v>9</v>
      </c>
      <c r="G259" s="188" t="s">
        <v>9</v>
      </c>
      <c r="H259" s="37"/>
      <c r="I259" s="37" t="s">
        <v>9</v>
      </c>
      <c r="J259" s="37"/>
      <c r="K259" s="249" t="s">
        <v>49</v>
      </c>
      <c r="L259" s="249" t="s">
        <v>29</v>
      </c>
      <c r="M259" s="214" t="s">
        <v>2059</v>
      </c>
      <c r="N259" s="249" t="s">
        <v>2060</v>
      </c>
      <c r="O259" s="311">
        <v>0</v>
      </c>
      <c r="R259" s="37" t="s">
        <v>106</v>
      </c>
      <c r="S259" s="37"/>
      <c r="T259" s="37"/>
      <c r="W259" s="14" t="str">
        <f>IF(IFERROR(VLOOKUP($M259,'IMPORT GS-Tür OL FL 2S2 20'!$H$2:$H$847,1,0),"-")="-","","GS")</f>
        <v>GS</v>
      </c>
      <c r="X259" s="14" t="str">
        <f t="shared" si="16"/>
        <v/>
      </c>
      <c r="Z259" s="58" t="str">
        <f>IF(OR($M259="",NOT($O259="{array}")),"",IFERROR(MATCH(PARAMETERS!$M259,DEFAULT!$B$5:$CI$5,0),""))</f>
        <v/>
      </c>
      <c r="AA259" s="55" t="str">
        <f t="shared" si="14"/>
        <v/>
      </c>
      <c r="AB259" s="62" t="str">
        <f>IF(AND(OR($A259="G",$A259="P"),NOT($O259="{array}")),IF(VLOOKUP($K259,base!$B$2:$D$20,3,0)="S",IF(OR($O259="",ISTEXT($O259)),"","STRING!"),IF(VLOOKUP($K259,base!$B$2:$D$20,3,0)="","",IF(ISTEXT($O259),"NUMERIC!",""))),"")</f>
        <v/>
      </c>
      <c r="AC259" s="16" t="str">
        <f>IF($AA259="","",IF($B259="I",VLOOKUP($AA259,#REF!,53,0),INDEX(VALUES!$B$1:$GP$1,1,$AA259)))</f>
        <v/>
      </c>
    </row>
    <row r="260" spans="1:29" collapsed="1">
      <c r="A260" s="21"/>
      <c r="B260" s="40" t="str">
        <f t="shared" si="15"/>
        <v/>
      </c>
      <c r="C260" s="41">
        <f t="shared" si="17"/>
        <v>259</v>
      </c>
      <c r="D260" s="260"/>
      <c r="E260" s="37"/>
      <c r="F260" s="305" t="s">
        <v>9</v>
      </c>
      <c r="G260" s="188"/>
      <c r="H260" s="37"/>
      <c r="I260" s="37"/>
      <c r="J260" s="37"/>
      <c r="K260" s="230" t="s">
        <v>59</v>
      </c>
      <c r="L260" s="230" t="s">
        <v>40</v>
      </c>
      <c r="M260" s="231" t="s">
        <v>2061</v>
      </c>
      <c r="N260" s="232" t="s">
        <v>2062</v>
      </c>
      <c r="O260" s="311"/>
      <c r="R260" s="37" t="s">
        <v>106</v>
      </c>
      <c r="S260" s="37"/>
      <c r="T260" s="37"/>
      <c r="W260" s="14" t="str">
        <f>IF(IFERROR(VLOOKUP($M260,'IMPORT GS-Tür OL FL 2S2 20'!$H$2:$H$847,1,0),"-")="-","","GS")</f>
        <v>GS</v>
      </c>
      <c r="X260" s="14" t="str">
        <f t="shared" si="16"/>
        <v/>
      </c>
      <c r="Y260" s="13" t="s">
        <v>2063</v>
      </c>
      <c r="Z260" s="58" t="str">
        <f>IF(OR($M260="",NOT($O260="{array}")),"",IFERROR(MATCH(PARAMETERS!$M260,DEFAULT!$B$5:$CI$5,0),""))</f>
        <v/>
      </c>
      <c r="AA260" s="55" t="str">
        <f t="shared" si="14"/>
        <v/>
      </c>
      <c r="AB260" s="62" t="str">
        <f>IF(AND(OR($A260="G",$A260="P"),NOT($O260="{array}")),IF(VLOOKUP($K260,base!$B$2:$D$20,3,0)="S",IF(OR($O260="",ISTEXT($O260)),"","STRING!"),IF(VLOOKUP($K260,base!$B$2:$D$20,3,0)="","",IF(ISTEXT($O260),"NUMERIC!",""))),"")</f>
        <v/>
      </c>
      <c r="AC260" s="16" t="str">
        <f>IF($AA260="","",IF($B260="I",VLOOKUP($AA260,#REF!,53,0),INDEX(VALUES!$B$1:$GP$1,1,$AA260)))</f>
        <v/>
      </c>
    </row>
    <row r="261" spans="1:29" hidden="1" outlineLevel="1">
      <c r="A261" s="21"/>
      <c r="B261" s="40" t="str">
        <f t="shared" si="15"/>
        <v/>
      </c>
      <c r="C261" s="41">
        <f t="shared" si="17"/>
        <v>260</v>
      </c>
      <c r="D261" s="260"/>
      <c r="E261" s="37"/>
      <c r="F261" s="305" t="s">
        <v>9</v>
      </c>
      <c r="G261" s="188"/>
      <c r="H261" s="37"/>
      <c r="I261" s="37" t="s">
        <v>9</v>
      </c>
      <c r="J261" s="37"/>
      <c r="K261" s="249" t="s">
        <v>49</v>
      </c>
      <c r="L261" s="249" t="s">
        <v>29</v>
      </c>
      <c r="M261" s="214" t="s">
        <v>2064</v>
      </c>
      <c r="N261" s="249" t="s">
        <v>2065</v>
      </c>
      <c r="O261" s="311">
        <v>0</v>
      </c>
      <c r="R261" s="37" t="s">
        <v>106</v>
      </c>
      <c r="S261" s="37"/>
      <c r="T261" s="37"/>
      <c r="W261" s="14" t="str">
        <f>IF(IFERROR(VLOOKUP($M261,'IMPORT GS-Tür OL FL 2S2 20'!$H$2:$H$847,1,0),"-")="-","","GS")</f>
        <v>GS</v>
      </c>
      <c r="X261" s="14" t="str">
        <f t="shared" si="16"/>
        <v/>
      </c>
      <c r="Z261" s="58" t="str">
        <f>IF(OR($M261="",NOT($O261="{array}")),"",IFERROR(MATCH(PARAMETERS!$M261,DEFAULT!$B$5:$CI$5,0),""))</f>
        <v/>
      </c>
      <c r="AA261" s="55" t="str">
        <f t="shared" si="14"/>
        <v/>
      </c>
      <c r="AB261" s="62" t="str">
        <f>IF(AND(OR($A261="G",$A261="P"),NOT($O261="{array}")),IF(VLOOKUP($K261,base!$B$2:$D$20,3,0)="S",IF(OR($O261="",ISTEXT($O261)),"","STRING!"),IF(VLOOKUP($K261,base!$B$2:$D$20,3,0)="","",IF(ISTEXT($O261),"NUMERIC!",""))),"")</f>
        <v/>
      </c>
      <c r="AC261" s="16" t="str">
        <f>IF($AA261="","",IF($B261="I",VLOOKUP($AA261,#REF!,53,0),INDEX(VALUES!$B$1:$GP$1,1,$AA261)))</f>
        <v/>
      </c>
    </row>
    <row r="262" spans="1:29" hidden="1" outlineLevel="1">
      <c r="A262" s="21"/>
      <c r="B262" s="40" t="str">
        <f t="shared" si="15"/>
        <v/>
      </c>
      <c r="C262" s="41">
        <f t="shared" si="17"/>
        <v>261</v>
      </c>
      <c r="D262" s="260"/>
      <c r="E262" s="37"/>
      <c r="F262" s="305" t="s">
        <v>9</v>
      </c>
      <c r="G262" s="188"/>
      <c r="H262" s="37"/>
      <c r="I262" s="37" t="s">
        <v>9</v>
      </c>
      <c r="J262" s="37"/>
      <c r="K262" s="249" t="s">
        <v>49</v>
      </c>
      <c r="L262" s="249" t="s">
        <v>29</v>
      </c>
      <c r="M262" s="214" t="s">
        <v>2066</v>
      </c>
      <c r="N262" s="249" t="s">
        <v>2067</v>
      </c>
      <c r="O262" s="311">
        <v>0</v>
      </c>
      <c r="R262" s="37" t="s">
        <v>106</v>
      </c>
      <c r="S262" s="37"/>
      <c r="T262" s="37"/>
      <c r="W262" s="14" t="str">
        <f>IF(IFERROR(VLOOKUP($M262,'IMPORT GS-Tür OL FL 2S2 20'!$H$2:$H$847,1,0),"-")="-","","GS")</f>
        <v>GS</v>
      </c>
      <c r="X262" s="14" t="str">
        <f t="shared" si="16"/>
        <v/>
      </c>
      <c r="Z262" s="58" t="str">
        <f>IF(OR($M262="",NOT($O262="{array}")),"",IFERROR(MATCH(PARAMETERS!$M262,DEFAULT!$B$5:$CI$5,0),""))</f>
        <v/>
      </c>
      <c r="AA262" s="55" t="str">
        <f t="shared" si="14"/>
        <v/>
      </c>
      <c r="AB262" s="62" t="str">
        <f>IF(AND(OR($A262="G",$A262="P"),NOT($O262="{array}")),IF(VLOOKUP($K262,base!$B$2:$D$20,3,0)="S",IF(OR($O262="",ISTEXT($O262)),"","STRING!"),IF(VLOOKUP($K262,base!$B$2:$D$20,3,0)="","",IF(ISTEXT($O262),"NUMERIC!",""))),"")</f>
        <v/>
      </c>
      <c r="AC262" s="16" t="str">
        <f>IF($AA262="","",IF($B262="I",VLOOKUP($AA262,#REF!,53,0),INDEX(VALUES!$B$1:$GP$1,1,$AA262)))</f>
        <v/>
      </c>
    </row>
    <row r="263" spans="1:29" hidden="1" outlineLevel="1">
      <c r="A263" s="21"/>
      <c r="B263" s="40" t="str">
        <f t="shared" si="15"/>
        <v/>
      </c>
      <c r="C263" s="41">
        <f t="shared" si="17"/>
        <v>262</v>
      </c>
      <c r="D263" s="260"/>
      <c r="E263" s="37"/>
      <c r="F263" s="305" t="s">
        <v>9</v>
      </c>
      <c r="G263" s="188"/>
      <c r="H263" s="37"/>
      <c r="I263" s="37" t="s">
        <v>9</v>
      </c>
      <c r="J263" s="37"/>
      <c r="K263" s="249" t="s">
        <v>49</v>
      </c>
      <c r="L263" s="249" t="s">
        <v>29</v>
      </c>
      <c r="M263" s="214" t="s">
        <v>2068</v>
      </c>
      <c r="N263" s="249" t="s">
        <v>2069</v>
      </c>
      <c r="O263" s="311">
        <v>0</v>
      </c>
      <c r="R263" s="37" t="s">
        <v>106</v>
      </c>
      <c r="S263" s="37"/>
      <c r="T263" s="37"/>
      <c r="W263" s="14" t="str">
        <f>IF(IFERROR(VLOOKUP($M263,'IMPORT GS-Tür OL FL 2S2 20'!$H$2:$H$847,1,0),"-")="-","","GS")</f>
        <v>GS</v>
      </c>
      <c r="X263" s="14" t="str">
        <f t="shared" si="16"/>
        <v/>
      </c>
      <c r="Z263" s="58" t="str">
        <f>IF(OR($M263="",NOT($O263="{array}")),"",IFERROR(MATCH(PARAMETERS!$M263,DEFAULT!$B$5:$CI$5,0),""))</f>
        <v/>
      </c>
      <c r="AA263" s="55" t="str">
        <f t="shared" si="14"/>
        <v/>
      </c>
      <c r="AB263" s="62" t="str">
        <f>IF(AND(OR($A263="G",$A263="P"),NOT($O263="{array}")),IF(VLOOKUP($K263,base!$B$2:$D$20,3,0)="S",IF(OR($O263="",ISTEXT($O263)),"","STRING!"),IF(VLOOKUP($K263,base!$B$2:$D$20,3,0)="","",IF(ISTEXT($O263),"NUMERIC!",""))),"")</f>
        <v/>
      </c>
      <c r="AC263" s="16" t="str">
        <f>IF($AA263="","",IF($B263="I",VLOOKUP($AA263,#REF!,53,0),INDEX(VALUES!$B$1:$GP$1,1,$AA263)))</f>
        <v/>
      </c>
    </row>
    <row r="264" spans="1:29" collapsed="1">
      <c r="A264" s="21"/>
      <c r="B264" s="40" t="str">
        <f t="shared" si="15"/>
        <v/>
      </c>
      <c r="C264" s="41">
        <f t="shared" si="17"/>
        <v>263</v>
      </c>
      <c r="D264" s="260"/>
      <c r="E264" s="37"/>
      <c r="F264" s="305" t="s">
        <v>9</v>
      </c>
      <c r="G264" s="188"/>
      <c r="H264" s="37"/>
      <c r="I264" s="37"/>
      <c r="J264" s="37"/>
      <c r="K264" s="230" t="s">
        <v>59</v>
      </c>
      <c r="L264" s="230" t="s">
        <v>40</v>
      </c>
      <c r="M264" s="231" t="s">
        <v>2070</v>
      </c>
      <c r="N264" s="232" t="s">
        <v>2071</v>
      </c>
      <c r="O264" s="311"/>
      <c r="R264" s="37" t="s">
        <v>106</v>
      </c>
      <c r="S264" s="37"/>
      <c r="T264" s="37"/>
      <c r="W264" s="14" t="str">
        <f>IF(IFERROR(VLOOKUP($M264,'IMPORT GS-Tür OL FL 2S2 20'!$H$2:$H$847,1,0),"-")="-","","GS")</f>
        <v/>
      </c>
      <c r="X264" s="14" t="str">
        <f t="shared" si="16"/>
        <v/>
      </c>
      <c r="Y264" s="52" t="s">
        <v>1806</v>
      </c>
      <c r="Z264" s="58" t="str">
        <f>IF(OR($M264="",NOT($O264="{array}")),"",IFERROR(MATCH(PARAMETERS!$M264,DEFAULT!$B$5:$CI$5,0),""))</f>
        <v/>
      </c>
      <c r="AA264" s="55" t="str">
        <f t="shared" si="14"/>
        <v/>
      </c>
      <c r="AB264" s="62" t="str">
        <f>IF(AND(OR($A264="G",$A264="P"),NOT($O264="{array}")),IF(VLOOKUP($K264,base!$B$2:$D$20,3,0)="S",IF(OR($O264="",ISTEXT($O264)),"","STRING!"),IF(VLOOKUP($K264,base!$B$2:$D$20,3,0)="","",IF(ISTEXT($O264),"NUMERIC!",""))),"")</f>
        <v/>
      </c>
      <c r="AC264" s="16" t="str">
        <f>IF($AA264="","",IF($B264="I",VLOOKUP($AA264,#REF!,53,0),INDEX(VALUES!$B$1:$GP$1,1,$AA264)))</f>
        <v/>
      </c>
    </row>
    <row r="265" spans="1:29" hidden="1" outlineLevel="1">
      <c r="A265" s="21"/>
      <c r="B265" s="40" t="str">
        <f t="shared" si="15"/>
        <v/>
      </c>
      <c r="C265" s="41">
        <f t="shared" si="17"/>
        <v>264</v>
      </c>
      <c r="D265" s="260"/>
      <c r="E265" s="37"/>
      <c r="F265" s="305" t="s">
        <v>9</v>
      </c>
      <c r="G265" s="188"/>
      <c r="H265" s="37" t="s">
        <v>9</v>
      </c>
      <c r="I265" s="37"/>
      <c r="J265" s="37"/>
      <c r="K265" s="249" t="s">
        <v>49</v>
      </c>
      <c r="L265" s="249" t="s">
        <v>29</v>
      </c>
      <c r="M265" s="214" t="s">
        <v>2072</v>
      </c>
      <c r="N265" s="249" t="s">
        <v>2071</v>
      </c>
      <c r="O265" s="311">
        <v>0</v>
      </c>
      <c r="R265" s="37" t="s">
        <v>106</v>
      </c>
      <c r="S265" s="37"/>
      <c r="T265" s="37"/>
      <c r="W265" s="14" t="str">
        <f>IF(IFERROR(VLOOKUP($M265,'IMPORT GS-Tür OL FL 2S2 20'!$H$2:$H$847,1,0),"-")="-","","GS")</f>
        <v/>
      </c>
      <c r="X265" s="14" t="str">
        <f t="shared" si="16"/>
        <v/>
      </c>
      <c r="Z265" s="58" t="str">
        <f>IF(OR($M265="",NOT($O265="{array}")),"",IFERROR(MATCH(PARAMETERS!$M265,DEFAULT!$B$5:$CI$5,0),""))</f>
        <v/>
      </c>
      <c r="AA265" s="55" t="str">
        <f t="shared" si="14"/>
        <v/>
      </c>
      <c r="AB265" s="62" t="str">
        <f>IF(AND(OR($A265="G",$A265="P"),NOT($O265="{array}")),IF(VLOOKUP($K265,base!$B$2:$D$20,3,0)="S",IF(OR($O265="",ISTEXT($O265)),"","STRING!"),IF(VLOOKUP($K265,base!$B$2:$D$20,3,0)="","",IF(ISTEXT($O265),"NUMERIC!",""))),"")</f>
        <v/>
      </c>
      <c r="AC265" s="16" t="str">
        <f>IF($AA265="","",IF($B265="I",VLOOKUP($AA265,#REF!,53,0),INDEX(VALUES!$B$1:$GP$1,1,$AA265)))</f>
        <v/>
      </c>
    </row>
    <row r="266" spans="1:29" s="276" customFormat="1" hidden="1" outlineLevel="1">
      <c r="A266" s="263"/>
      <c r="B266" s="264" t="str">
        <f t="shared" ref="B266:B329" si="18">IF($A266="P",IF(NOT($Z266=""),"A",IF(NOT($AA266=""),"I","")),IF(NOT($AA266=""),IF($A266="G","V","X"),IF(NOT($Z266=""),"A","")))</f>
        <v/>
      </c>
      <c r="C266" s="265">
        <f t="shared" si="17"/>
        <v>265</v>
      </c>
      <c r="D266" s="266"/>
      <c r="E266" s="266"/>
      <c r="F266" s="305"/>
      <c r="G266" s="188"/>
      <c r="H266" s="266"/>
      <c r="I266" s="266" t="s">
        <v>9</v>
      </c>
      <c r="J266" s="266"/>
      <c r="K266" s="313" t="s">
        <v>26</v>
      </c>
      <c r="L266" s="313" t="s">
        <v>29</v>
      </c>
      <c r="M266" s="291" t="s">
        <v>2073</v>
      </c>
      <c r="N266" s="313" t="s">
        <v>2074</v>
      </c>
      <c r="O266" s="315">
        <v>2.5000000000000001E-2</v>
      </c>
      <c r="Q266" s="266" t="s">
        <v>9</v>
      </c>
      <c r="R266" s="266" t="s">
        <v>106</v>
      </c>
      <c r="S266" s="266"/>
      <c r="T266" s="266"/>
      <c r="W266" s="272" t="str">
        <f>IF(IFERROR(VLOOKUP($M266,'IMPORT GS-Tür OL FL 2S2 20'!$H$2:$H$847,1,0),"-")="-","","GS")</f>
        <v/>
      </c>
      <c r="X266" s="272" t="str">
        <f t="shared" si="16"/>
        <v/>
      </c>
      <c r="Z266" s="273" t="str">
        <f>IF(OR($M266="",NOT($O266="{array}")),"",IFERROR(MATCH(PARAMETERS!$M266,DEFAULT!$B$5:$CI$5,0),""))</f>
        <v/>
      </c>
      <c r="AA266" s="272" t="str">
        <f t="shared" si="14"/>
        <v/>
      </c>
      <c r="AB266" s="274" t="str">
        <f>IF(AND(OR($A266="G",$A266="P"),NOT($O266="{array}")),IF(VLOOKUP($K266,base!$B$2:$D$20,3,0)="S",IF(OR($O266="",ISTEXT($O266)),"","STRING!"),IF(VLOOKUP($K266,base!$B$2:$D$20,3,0)="","",IF(ISTEXT($O266),"NUMERIC!",""))),"")</f>
        <v/>
      </c>
      <c r="AC266" s="275" t="str">
        <f>IF($AA266="","",IF($B266="I",VLOOKUP($AA266,#REF!,53,0),INDEX(VALUES!$B$1:$GP$1,1,$AA266)))</f>
        <v/>
      </c>
    </row>
    <row r="267" spans="1:29" s="276" customFormat="1" hidden="1" outlineLevel="1">
      <c r="A267" s="263"/>
      <c r="B267" s="264" t="str">
        <f t="shared" si="18"/>
        <v/>
      </c>
      <c r="C267" s="265">
        <f t="shared" si="17"/>
        <v>266</v>
      </c>
      <c r="D267" s="266"/>
      <c r="E267" s="266"/>
      <c r="F267" s="305"/>
      <c r="G267" s="188"/>
      <c r="H267" s="266"/>
      <c r="I267" s="266" t="s">
        <v>9</v>
      </c>
      <c r="J267" s="266"/>
      <c r="K267" s="313" t="s">
        <v>26</v>
      </c>
      <c r="L267" s="313" t="s">
        <v>29</v>
      </c>
      <c r="M267" s="291" t="s">
        <v>2075</v>
      </c>
      <c r="N267" s="313" t="s">
        <v>2076</v>
      </c>
      <c r="O267" s="315">
        <v>0.03</v>
      </c>
      <c r="Q267" s="266"/>
      <c r="R267" s="266" t="s">
        <v>106</v>
      </c>
      <c r="S267" s="266"/>
      <c r="T267" s="266"/>
      <c r="W267" s="272" t="str">
        <f>IF(IFERROR(VLOOKUP($M267,'IMPORT GS-Tür OL FL 2S2 20'!$H$2:$H$847,1,0),"-")="-","","GS")</f>
        <v/>
      </c>
      <c r="X267" s="272" t="str">
        <f t="shared" ref="X267:X330" si="19">IF($A267="G",IF(IFERROR(VLOOKUP($M267,Reimport,1,0),"-")="-","&gt;&lt;",IF($O267=VLOOKUP($M267,Reimport,2,0),"...",VLOOKUP($M267,Reimport,2,0))),"")</f>
        <v/>
      </c>
      <c r="Z267" s="273" t="str">
        <f>IF(OR($M267="",NOT($O267="{array}")),"",IFERROR(MATCH(PARAMETERS!$M267,DEFAULT!$B$5:$CI$5,0),""))</f>
        <v/>
      </c>
      <c r="AA267" s="272" t="str">
        <f t="shared" si="14"/>
        <v/>
      </c>
      <c r="AB267" s="274" t="str">
        <f>IF(AND(OR($A267="G",$A267="P"),NOT($O267="{array}")),IF(VLOOKUP($K267,base!$B$2:$D$20,3,0)="S",IF(OR($O267="",ISTEXT($O267)),"","STRING!"),IF(VLOOKUP($K267,base!$B$2:$D$20,3,0)="","",IF(ISTEXT($O267),"NUMERIC!",""))),"")</f>
        <v/>
      </c>
      <c r="AC267" s="275" t="str">
        <f>IF($AA267="","",IF($B267="I",VLOOKUP($AA267,#REF!,53,0),INDEX(VALUES!$B$1:$GP$1,1,$AA267)))</f>
        <v/>
      </c>
    </row>
    <row r="268" spans="1:29" s="276" customFormat="1" hidden="1" outlineLevel="1">
      <c r="A268" s="263"/>
      <c r="B268" s="264" t="str">
        <f t="shared" si="18"/>
        <v/>
      </c>
      <c r="C268" s="265">
        <f t="shared" si="17"/>
        <v>267</v>
      </c>
      <c r="D268" s="266"/>
      <c r="E268" s="266"/>
      <c r="F268" s="305"/>
      <c r="G268" s="188"/>
      <c r="H268" s="266"/>
      <c r="I268" s="266" t="s">
        <v>9</v>
      </c>
      <c r="J268" s="266"/>
      <c r="K268" s="313" t="s">
        <v>26</v>
      </c>
      <c r="L268" s="313" t="s">
        <v>29</v>
      </c>
      <c r="M268" s="291" t="s">
        <v>2077</v>
      </c>
      <c r="N268" s="313" t="s">
        <v>2078</v>
      </c>
      <c r="O268" s="315">
        <v>0</v>
      </c>
      <c r="Q268" s="266"/>
      <c r="R268" s="266" t="s">
        <v>106</v>
      </c>
      <c r="S268" s="266"/>
      <c r="T268" s="266"/>
      <c r="W268" s="272" t="str">
        <f>IF(IFERROR(VLOOKUP($M268,'IMPORT GS-Tür OL FL 2S2 20'!$H$2:$H$847,1,0),"-")="-","","GS")</f>
        <v/>
      </c>
      <c r="X268" s="272" t="str">
        <f t="shared" si="19"/>
        <v/>
      </c>
      <c r="Z268" s="273" t="str">
        <f>IF(OR($M268="",NOT($O268="{array}")),"",IFERROR(MATCH(PARAMETERS!$M268,DEFAULT!$B$5:$CI$5,0),""))</f>
        <v/>
      </c>
      <c r="AA268" s="272" t="str">
        <f t="shared" si="14"/>
        <v/>
      </c>
      <c r="AB268" s="274" t="str">
        <f>IF(AND(OR($A268="G",$A268="P"),NOT($O268="{array}")),IF(VLOOKUP($K268,base!$B$2:$D$20,3,0)="S",IF(OR($O268="",ISTEXT($O268)),"","STRING!"),IF(VLOOKUP($K268,base!$B$2:$D$20,3,0)="","",IF(ISTEXT($O268),"NUMERIC!",""))),"")</f>
        <v/>
      </c>
      <c r="AC268" s="275" t="str">
        <f>IF($AA268="","",IF($B268="I",VLOOKUP($AA268,#REF!,53,0),INDEX(VALUES!$B$1:$GP$1,1,$AA268)))</f>
        <v/>
      </c>
    </row>
    <row r="269" spans="1:29" s="276" customFormat="1" hidden="1" outlineLevel="1">
      <c r="A269" s="263"/>
      <c r="B269" s="264" t="str">
        <f t="shared" si="18"/>
        <v/>
      </c>
      <c r="C269" s="265">
        <f t="shared" si="17"/>
        <v>268</v>
      </c>
      <c r="D269" s="266"/>
      <c r="E269" s="266"/>
      <c r="F269" s="305"/>
      <c r="G269" s="188"/>
      <c r="H269" s="266"/>
      <c r="I269" s="266" t="s">
        <v>9</v>
      </c>
      <c r="J269" s="266"/>
      <c r="K269" s="313" t="s">
        <v>26</v>
      </c>
      <c r="L269" s="313" t="s">
        <v>29</v>
      </c>
      <c r="M269" s="291" t="s">
        <v>2079</v>
      </c>
      <c r="N269" s="313" t="s">
        <v>2080</v>
      </c>
      <c r="O269" s="315">
        <v>0</v>
      </c>
      <c r="Q269" s="266"/>
      <c r="R269" s="266" t="s">
        <v>106</v>
      </c>
      <c r="S269" s="266"/>
      <c r="T269" s="266"/>
      <c r="W269" s="272" t="str">
        <f>IF(IFERROR(VLOOKUP($M269,'IMPORT GS-Tür OL FL 2S2 20'!$H$2:$H$847,1,0),"-")="-","","GS")</f>
        <v/>
      </c>
      <c r="X269" s="272" t="str">
        <f t="shared" si="19"/>
        <v/>
      </c>
      <c r="Z269" s="273" t="str">
        <f>IF(OR($M269="",NOT($O269="{array}")),"",IFERROR(MATCH(PARAMETERS!$M269,DEFAULT!$B$5:$CI$5,0),""))</f>
        <v/>
      </c>
      <c r="AA269" s="272" t="str">
        <f t="shared" si="14"/>
        <v/>
      </c>
      <c r="AB269" s="274" t="str">
        <f>IF(AND(OR($A269="G",$A269="P"),NOT($O269="{array}")),IF(VLOOKUP($K269,base!$B$2:$D$20,3,0)="S",IF(OR($O269="",ISTEXT($O269)),"","STRING!"),IF(VLOOKUP($K269,base!$B$2:$D$20,3,0)="","",IF(ISTEXT($O269),"NUMERIC!",""))),"")</f>
        <v/>
      </c>
      <c r="AC269" s="275" t="str">
        <f>IF($AA269="","",IF($B269="I",VLOOKUP($AA269,#REF!,53,0),INDEX(VALUES!$B$1:$GP$1,1,$AA269)))</f>
        <v/>
      </c>
    </row>
    <row r="270" spans="1:29" s="276" customFormat="1" hidden="1" outlineLevel="1">
      <c r="A270" s="263"/>
      <c r="B270" s="264" t="str">
        <f t="shared" si="18"/>
        <v/>
      </c>
      <c r="C270" s="265">
        <f t="shared" si="17"/>
        <v>269</v>
      </c>
      <c r="D270" s="266"/>
      <c r="E270" s="266"/>
      <c r="F270" s="305"/>
      <c r="G270" s="188"/>
      <c r="H270" s="266"/>
      <c r="I270" s="266" t="s">
        <v>9</v>
      </c>
      <c r="J270" s="266" t="s">
        <v>9</v>
      </c>
      <c r="K270" s="313" t="s">
        <v>26</v>
      </c>
      <c r="L270" s="313" t="s">
        <v>29</v>
      </c>
      <c r="M270" s="291" t="s">
        <v>2081</v>
      </c>
      <c r="N270" s="313" t="s">
        <v>2082</v>
      </c>
      <c r="O270" s="315">
        <v>0.28000000000000003</v>
      </c>
      <c r="Q270" s="266"/>
      <c r="R270" s="266" t="s">
        <v>106</v>
      </c>
      <c r="S270" s="266"/>
      <c r="T270" s="266"/>
      <c r="W270" s="272" t="str">
        <f>IF(IFERROR(VLOOKUP($M270,'IMPORT GS-Tür OL FL 2S2 20'!$H$2:$H$847,1,0),"-")="-","","GS")</f>
        <v/>
      </c>
      <c r="X270" s="272" t="str">
        <f t="shared" si="19"/>
        <v/>
      </c>
      <c r="Z270" s="273" t="str">
        <f>IF(OR($M270="",NOT($O270="{array}")),"",IFERROR(MATCH(PARAMETERS!$M270,DEFAULT!$B$5:$CI$5,0),""))</f>
        <v/>
      </c>
      <c r="AA270" s="272" t="str">
        <f t="shared" si="14"/>
        <v/>
      </c>
      <c r="AB270" s="274" t="str">
        <f>IF(AND(OR($A270="G",$A270="P"),NOT($O270="{array}")),IF(VLOOKUP($K270,base!$B$2:$D$20,3,0)="S",IF(OR($O270="",ISTEXT($O270)),"","STRING!"),IF(VLOOKUP($K270,base!$B$2:$D$20,3,0)="","",IF(ISTEXT($O270),"NUMERIC!",""))),"")</f>
        <v/>
      </c>
      <c r="AC270" s="275" t="str">
        <f>IF($AA270="","",IF($B270="I",VLOOKUP($AA270,#REF!,53,0),INDEX(VALUES!$B$1:$GP$1,1,$AA270)))</f>
        <v/>
      </c>
    </row>
    <row r="271" spans="1:29" s="276" customFormat="1" hidden="1" outlineLevel="1">
      <c r="A271" s="263"/>
      <c r="B271" s="264" t="str">
        <f t="shared" si="18"/>
        <v/>
      </c>
      <c r="C271" s="265">
        <f t="shared" si="17"/>
        <v>270</v>
      </c>
      <c r="D271" s="266"/>
      <c r="E271" s="266"/>
      <c r="F271" s="305"/>
      <c r="G271" s="188"/>
      <c r="H271" s="266"/>
      <c r="I271" s="266" t="s">
        <v>9</v>
      </c>
      <c r="J271" s="266"/>
      <c r="K271" s="313" t="s">
        <v>49</v>
      </c>
      <c r="L271" s="313" t="s">
        <v>29</v>
      </c>
      <c r="M271" s="291" t="s">
        <v>2083</v>
      </c>
      <c r="N271" s="313" t="s">
        <v>2084</v>
      </c>
      <c r="O271" s="315">
        <v>1</v>
      </c>
      <c r="Q271" s="266"/>
      <c r="R271" s="266" t="s">
        <v>106</v>
      </c>
      <c r="S271" s="266"/>
      <c r="T271" s="266"/>
      <c r="W271" s="272" t="str">
        <f>IF(IFERROR(VLOOKUP($M271,'IMPORT GS-Tür OL FL 2S2 20'!$H$2:$H$847,1,0),"-")="-","","GS")</f>
        <v/>
      </c>
      <c r="X271" s="272" t="str">
        <f t="shared" si="19"/>
        <v/>
      </c>
      <c r="Z271" s="273" t="str">
        <f>IF(OR($M271="",NOT($O271="{array}")),"",IFERROR(MATCH(PARAMETERS!$M271,DEFAULT!$B$5:$CI$5,0),""))</f>
        <v/>
      </c>
      <c r="AA271" s="272" t="str">
        <f t="shared" si="14"/>
        <v/>
      </c>
      <c r="AB271" s="274" t="str">
        <f>IF(AND(OR($A271="G",$A271="P"),NOT($O271="{array}")),IF(VLOOKUP($K271,base!$B$2:$D$20,3,0)="S",IF(OR($O271="",ISTEXT($O271)),"","STRING!"),IF(VLOOKUP($K271,base!$B$2:$D$20,3,0)="","",IF(ISTEXT($O271),"NUMERIC!",""))),"")</f>
        <v/>
      </c>
      <c r="AC271" s="275" t="str">
        <f>IF($AA271="","",IF($B271="I",VLOOKUP($AA271,#REF!,53,0),INDEX(VALUES!$B$1:$GP$1,1,$AA271)))</f>
        <v/>
      </c>
    </row>
    <row r="272" spans="1:29" s="276" customFormat="1" hidden="1" outlineLevel="1">
      <c r="A272" s="263"/>
      <c r="B272" s="264" t="str">
        <f t="shared" si="18"/>
        <v/>
      </c>
      <c r="C272" s="265">
        <f t="shared" si="17"/>
        <v>271</v>
      </c>
      <c r="D272" s="266"/>
      <c r="E272" s="266"/>
      <c r="F272" s="305"/>
      <c r="G272" s="188"/>
      <c r="H272" s="266"/>
      <c r="I272" s="266" t="s">
        <v>9</v>
      </c>
      <c r="J272" s="266"/>
      <c r="K272" s="313" t="s">
        <v>46</v>
      </c>
      <c r="L272" s="313" t="s">
        <v>29</v>
      </c>
      <c r="M272" s="291" t="s">
        <v>2085</v>
      </c>
      <c r="N272" s="313" t="s">
        <v>2086</v>
      </c>
      <c r="O272" s="315">
        <v>2</v>
      </c>
      <c r="Q272" s="266"/>
      <c r="R272" s="266" t="s">
        <v>106</v>
      </c>
      <c r="S272" s="266"/>
      <c r="T272" s="266"/>
      <c r="W272" s="272" t="str">
        <f>IF(IFERROR(VLOOKUP($M272,'IMPORT GS-Tür OL FL 2S2 20'!$H$2:$H$847,1,0),"-")="-","","GS")</f>
        <v/>
      </c>
      <c r="X272" s="272" t="str">
        <f t="shared" si="19"/>
        <v/>
      </c>
      <c r="Z272" s="273" t="str">
        <f>IF(OR($M272="",NOT($O272="{array}")),"",IFERROR(MATCH(PARAMETERS!$M272,DEFAULT!$B$5:$CI$5,0),""))</f>
        <v/>
      </c>
      <c r="AA272" s="272" t="str">
        <f t="shared" si="14"/>
        <v/>
      </c>
      <c r="AB272" s="274" t="str">
        <f>IF(AND(OR($A272="G",$A272="P"),NOT($O272="{array}")),IF(VLOOKUP($K272,base!$B$2:$D$20,3,0)="S",IF(OR($O272="",ISTEXT($O272)),"","STRING!"),IF(VLOOKUP($K272,base!$B$2:$D$20,3,0)="","",IF(ISTEXT($O272),"NUMERIC!",""))),"")</f>
        <v/>
      </c>
      <c r="AC272" s="275" t="str">
        <f>IF($AA272="","",IF($B272="I",VLOOKUP($AA272,#REF!,53,0),INDEX(VALUES!$B$1:$GP$1,1,$AA272)))</f>
        <v/>
      </c>
    </row>
    <row r="273" spans="1:29" s="276" customFormat="1" hidden="1" outlineLevel="1">
      <c r="A273" s="263"/>
      <c r="B273" s="264" t="str">
        <f t="shared" si="18"/>
        <v/>
      </c>
      <c r="C273" s="265">
        <f t="shared" ref="C273:C336" si="20">(ROW()-1)</f>
        <v>272</v>
      </c>
      <c r="D273" s="266"/>
      <c r="E273" s="266"/>
      <c r="F273" s="305"/>
      <c r="G273" s="188"/>
      <c r="H273" s="266"/>
      <c r="I273" s="266" t="s">
        <v>9</v>
      </c>
      <c r="J273" s="266"/>
      <c r="K273" s="313" t="s">
        <v>46</v>
      </c>
      <c r="L273" s="313" t="s">
        <v>29</v>
      </c>
      <c r="M273" s="291" t="s">
        <v>2087</v>
      </c>
      <c r="N273" s="313" t="s">
        <v>2088</v>
      </c>
      <c r="O273" s="315">
        <v>2</v>
      </c>
      <c r="Q273" s="266"/>
      <c r="R273" s="266" t="s">
        <v>106</v>
      </c>
      <c r="S273" s="266"/>
      <c r="T273" s="266"/>
      <c r="W273" s="272" t="str">
        <f>IF(IFERROR(VLOOKUP($M273,'IMPORT GS-Tür OL FL 2S2 20'!$H$2:$H$847,1,0),"-")="-","","GS")</f>
        <v/>
      </c>
      <c r="X273" s="272" t="str">
        <f t="shared" si="19"/>
        <v/>
      </c>
      <c r="Z273" s="273" t="str">
        <f>IF(OR($M273="",NOT($O273="{array}")),"",IFERROR(MATCH(PARAMETERS!$M273,DEFAULT!$B$5:$CI$5,0),""))</f>
        <v/>
      </c>
      <c r="AA273" s="272" t="str">
        <f t="shared" si="14"/>
        <v/>
      </c>
      <c r="AB273" s="274" t="str">
        <f>IF(AND(OR($A273="G",$A273="P"),NOT($O273="{array}")),IF(VLOOKUP($K273,base!$B$2:$D$20,3,0)="S",IF(OR($O273="",ISTEXT($O273)),"","STRING!"),IF(VLOOKUP($K273,base!$B$2:$D$20,3,0)="","",IF(ISTEXT($O273),"NUMERIC!",""))),"")</f>
        <v/>
      </c>
      <c r="AC273" s="275" t="str">
        <f>IF($AA273="","",IF($B273="I",VLOOKUP($AA273,#REF!,53,0),INDEX(VALUES!$B$1:$GP$1,1,$AA273)))</f>
        <v/>
      </c>
    </row>
    <row r="274" spans="1:29" s="276" customFormat="1" hidden="1" outlineLevel="1">
      <c r="A274" s="263"/>
      <c r="B274" s="264" t="str">
        <f t="shared" si="18"/>
        <v/>
      </c>
      <c r="C274" s="265">
        <f t="shared" si="20"/>
        <v>273</v>
      </c>
      <c r="D274" s="266"/>
      <c r="E274" s="266"/>
      <c r="F274" s="305"/>
      <c r="G274" s="188"/>
      <c r="H274" s="266"/>
      <c r="I274" s="266" t="s">
        <v>9</v>
      </c>
      <c r="J274" s="266"/>
      <c r="K274" s="313" t="s">
        <v>55</v>
      </c>
      <c r="L274" s="313" t="s">
        <v>29</v>
      </c>
      <c r="M274" s="291" t="s">
        <v>2089</v>
      </c>
      <c r="N274" s="313" t="s">
        <v>2090</v>
      </c>
      <c r="O274" s="315">
        <v>1</v>
      </c>
      <c r="Q274" s="266"/>
      <c r="R274" s="266" t="s">
        <v>106</v>
      </c>
      <c r="S274" s="266"/>
      <c r="T274" s="266"/>
      <c r="W274" s="272" t="str">
        <f>IF(IFERROR(VLOOKUP($M274,'IMPORT GS-Tür OL FL 2S2 20'!$H$2:$H$847,1,0),"-")="-","","GS")</f>
        <v/>
      </c>
      <c r="X274" s="272" t="str">
        <f t="shared" si="19"/>
        <v/>
      </c>
      <c r="Z274" s="273" t="str">
        <f>IF(OR($M274="",NOT($O274="{array}")),"",IFERROR(MATCH(PARAMETERS!$M274,DEFAULT!$B$5:$CI$5,0),""))</f>
        <v/>
      </c>
      <c r="AA274" s="272" t="str">
        <f t="shared" si="14"/>
        <v/>
      </c>
      <c r="AB274" s="274" t="str">
        <f>IF(AND(OR($A274="G",$A274="P"),NOT($O274="{array}")),IF(VLOOKUP($K274,base!$B$2:$D$20,3,0)="S",IF(OR($O274="",ISTEXT($O274)),"","STRING!"),IF(VLOOKUP($K274,base!$B$2:$D$20,3,0)="","",IF(ISTEXT($O274),"NUMERIC!",""))),"")</f>
        <v/>
      </c>
      <c r="AC274" s="275" t="str">
        <f>IF($AA274="","",IF($B274="I",VLOOKUP($AA274,#REF!,53,0),INDEX(VALUES!$B$1:$GP$1,1,$AA274)))</f>
        <v/>
      </c>
    </row>
    <row r="275" spans="1:29" s="276" customFormat="1" hidden="1" outlineLevel="1">
      <c r="A275" s="263"/>
      <c r="B275" s="264" t="str">
        <f t="shared" si="18"/>
        <v/>
      </c>
      <c r="C275" s="265">
        <f t="shared" si="20"/>
        <v>274</v>
      </c>
      <c r="D275" s="266"/>
      <c r="E275" s="266"/>
      <c r="F275" s="305"/>
      <c r="G275" s="188"/>
      <c r="H275" s="266"/>
      <c r="I275" s="266" t="s">
        <v>9</v>
      </c>
      <c r="J275" s="266"/>
      <c r="K275" s="313" t="s">
        <v>53</v>
      </c>
      <c r="L275" s="313" t="s">
        <v>29</v>
      </c>
      <c r="M275" s="291" t="s">
        <v>2091</v>
      </c>
      <c r="N275" s="313" t="s">
        <v>2092</v>
      </c>
      <c r="O275" s="315">
        <v>4</v>
      </c>
      <c r="Q275" s="266"/>
      <c r="R275" s="266" t="s">
        <v>106</v>
      </c>
      <c r="S275" s="266"/>
      <c r="T275" s="266"/>
      <c r="W275" s="272" t="str">
        <f>IF(IFERROR(VLOOKUP($M275,'IMPORT GS-Tür OL FL 2S2 20'!$H$2:$H$847,1,0),"-")="-","","GS")</f>
        <v/>
      </c>
      <c r="X275" s="272" t="str">
        <f t="shared" si="19"/>
        <v/>
      </c>
      <c r="Z275" s="273" t="str">
        <f>IF(OR($M275="",NOT($O275="{array}")),"",IFERROR(MATCH(PARAMETERS!$M275,DEFAULT!$B$5:$CI$5,0),""))</f>
        <v/>
      </c>
      <c r="AA275" s="272" t="str">
        <f t="shared" si="14"/>
        <v/>
      </c>
      <c r="AB275" s="274" t="str">
        <f>IF(AND(OR($A275="G",$A275="P"),NOT($O275="{array}")),IF(VLOOKUP($K275,base!$B$2:$D$20,3,0)="S",IF(OR($O275="",ISTEXT($O275)),"","STRING!"),IF(VLOOKUP($K275,base!$B$2:$D$20,3,0)="","",IF(ISTEXT($O275),"NUMERIC!",""))),"")</f>
        <v/>
      </c>
      <c r="AC275" s="275" t="str">
        <f>IF($AA275="","",IF($B275="I",VLOOKUP($AA275,#REF!,53,0),INDEX(VALUES!$B$1:$GP$1,1,$AA275)))</f>
        <v/>
      </c>
    </row>
    <row r="276" spans="1:29" s="276" customFormat="1" hidden="1" outlineLevel="1">
      <c r="A276" s="263"/>
      <c r="B276" s="264" t="str">
        <f t="shared" si="18"/>
        <v/>
      </c>
      <c r="C276" s="265">
        <f t="shared" si="20"/>
        <v>275</v>
      </c>
      <c r="D276" s="266"/>
      <c r="E276" s="266"/>
      <c r="F276" s="305"/>
      <c r="G276" s="188"/>
      <c r="H276" s="266"/>
      <c r="I276" s="266" t="s">
        <v>9</v>
      </c>
      <c r="J276" s="266"/>
      <c r="K276" s="313" t="s">
        <v>55</v>
      </c>
      <c r="L276" s="313" t="s">
        <v>29</v>
      </c>
      <c r="M276" s="291" t="s">
        <v>2093</v>
      </c>
      <c r="N276" s="313" t="s">
        <v>2094</v>
      </c>
      <c r="O276" s="315">
        <v>1</v>
      </c>
      <c r="Q276" s="266"/>
      <c r="R276" s="266" t="s">
        <v>106</v>
      </c>
      <c r="S276" s="266"/>
      <c r="T276" s="266"/>
      <c r="W276" s="272" t="str">
        <f>IF(IFERROR(VLOOKUP($M276,'IMPORT GS-Tür OL FL 2S2 20'!$H$2:$H$847,1,0),"-")="-","","GS")</f>
        <v/>
      </c>
      <c r="X276" s="272" t="str">
        <f t="shared" si="19"/>
        <v/>
      </c>
      <c r="Z276" s="273" t="str">
        <f>IF(OR($M276="",NOT($O276="{array}")),"",IFERROR(MATCH(PARAMETERS!$M276,DEFAULT!$B$5:$CI$5,0),""))</f>
        <v/>
      </c>
      <c r="AA276" s="272" t="str">
        <f t="shared" si="14"/>
        <v/>
      </c>
      <c r="AB276" s="274" t="str">
        <f>IF(AND(OR($A276="G",$A276="P"),NOT($O276="{array}")),IF(VLOOKUP($K276,base!$B$2:$D$20,3,0)="S",IF(OR($O276="",ISTEXT($O276)),"","STRING!"),IF(VLOOKUP($K276,base!$B$2:$D$20,3,0)="","",IF(ISTEXT($O276),"NUMERIC!",""))),"")</f>
        <v/>
      </c>
      <c r="AC276" s="275" t="str">
        <f>IF($AA276="","",IF($B276="I",VLOOKUP($AA276,#REF!,53,0),INDEX(VALUES!$B$1:$GP$1,1,$AA276)))</f>
        <v/>
      </c>
    </row>
    <row r="277" spans="1:29" s="276" customFormat="1" hidden="1" outlineLevel="1">
      <c r="A277" s="263"/>
      <c r="B277" s="264" t="str">
        <f t="shared" si="18"/>
        <v/>
      </c>
      <c r="C277" s="265">
        <f t="shared" si="20"/>
        <v>276</v>
      </c>
      <c r="D277" s="266"/>
      <c r="E277" s="266"/>
      <c r="F277" s="305"/>
      <c r="G277" s="188"/>
      <c r="H277" s="266"/>
      <c r="I277" s="266" t="s">
        <v>9</v>
      </c>
      <c r="J277" s="266"/>
      <c r="K277" s="313" t="s">
        <v>55</v>
      </c>
      <c r="L277" s="313" t="s">
        <v>29</v>
      </c>
      <c r="M277" s="291" t="s">
        <v>2095</v>
      </c>
      <c r="N277" s="313" t="s">
        <v>2096</v>
      </c>
      <c r="O277" s="315">
        <v>1</v>
      </c>
      <c r="Q277" s="266"/>
      <c r="R277" s="266" t="s">
        <v>106</v>
      </c>
      <c r="S277" s="266"/>
      <c r="T277" s="266"/>
      <c r="W277" s="272" t="str">
        <f>IF(IFERROR(VLOOKUP($M277,'IMPORT GS-Tür OL FL 2S2 20'!$H$2:$H$847,1,0),"-")="-","","GS")</f>
        <v/>
      </c>
      <c r="X277" s="272" t="str">
        <f t="shared" si="19"/>
        <v/>
      </c>
      <c r="Z277" s="273" t="str">
        <f>IF(OR($M277="",NOT($O277="{array}")),"",IFERROR(MATCH(PARAMETERS!$M277,DEFAULT!$B$5:$CI$5,0),""))</f>
        <v/>
      </c>
      <c r="AA277" s="272" t="str">
        <f t="shared" si="14"/>
        <v/>
      </c>
      <c r="AB277" s="274" t="str">
        <f>IF(AND(OR($A277="G",$A277="P"),NOT($O277="{array}")),IF(VLOOKUP($K277,base!$B$2:$D$20,3,0)="S",IF(OR($O277="",ISTEXT($O277)),"","STRING!"),IF(VLOOKUP($K277,base!$B$2:$D$20,3,0)="","",IF(ISTEXT($O277),"NUMERIC!",""))),"")</f>
        <v/>
      </c>
      <c r="AC277" s="275" t="str">
        <f>IF($AA277="","",IF($B277="I",VLOOKUP($AA277,#REF!,53,0),INDEX(VALUES!$B$1:$GP$1,1,$AA277)))</f>
        <v/>
      </c>
    </row>
    <row r="278" spans="1:29" s="276" customFormat="1" hidden="1" outlineLevel="1">
      <c r="A278" s="263"/>
      <c r="B278" s="264" t="str">
        <f t="shared" si="18"/>
        <v/>
      </c>
      <c r="C278" s="265">
        <f t="shared" si="20"/>
        <v>277</v>
      </c>
      <c r="D278" s="266"/>
      <c r="E278" s="266"/>
      <c r="F278" s="305"/>
      <c r="G278" s="188"/>
      <c r="H278" s="266"/>
      <c r="I278" s="266" t="s">
        <v>9</v>
      </c>
      <c r="J278" s="266"/>
      <c r="K278" s="313" t="s">
        <v>54</v>
      </c>
      <c r="L278" s="313" t="s">
        <v>29</v>
      </c>
      <c r="M278" s="291" t="s">
        <v>2097</v>
      </c>
      <c r="N278" s="313" t="s">
        <v>2098</v>
      </c>
      <c r="O278" s="315">
        <v>23</v>
      </c>
      <c r="Q278" s="266"/>
      <c r="R278" s="266" t="s">
        <v>106</v>
      </c>
      <c r="S278" s="266"/>
      <c r="T278" s="266"/>
      <c r="W278" s="272" t="str">
        <f>IF(IFERROR(VLOOKUP($M278,'IMPORT GS-Tür OL FL 2S2 20'!$H$2:$H$847,1,0),"-")="-","","GS")</f>
        <v/>
      </c>
      <c r="X278" s="272" t="str">
        <f t="shared" si="19"/>
        <v/>
      </c>
      <c r="Z278" s="273" t="str">
        <f>IF(OR($M278="",NOT($O278="{array}")),"",IFERROR(MATCH(PARAMETERS!$M278,DEFAULT!$B$5:$CI$5,0),""))</f>
        <v/>
      </c>
      <c r="AA278" s="272" t="str">
        <f t="shared" si="14"/>
        <v/>
      </c>
      <c r="AB278" s="274" t="str">
        <f>IF(AND(OR($A278="G",$A278="P"),NOT($O278="{array}")),IF(VLOOKUP($K278,base!$B$2:$D$20,3,0)="S",IF(OR($O278="",ISTEXT($O278)),"","STRING!"),IF(VLOOKUP($K278,base!$B$2:$D$20,3,0)="","",IF(ISTEXT($O278),"NUMERIC!",""))),"")</f>
        <v/>
      </c>
      <c r="AC278" s="275" t="str">
        <f>IF($AA278="","",IF($B278="I",VLOOKUP($AA278,#REF!,53,0),INDEX(VALUES!$B$1:$GP$1,1,$AA278)))</f>
        <v/>
      </c>
    </row>
    <row r="279" spans="1:29" s="276" customFormat="1" hidden="1" outlineLevel="1">
      <c r="A279" s="263"/>
      <c r="B279" s="264" t="str">
        <f t="shared" si="18"/>
        <v/>
      </c>
      <c r="C279" s="265">
        <f t="shared" si="20"/>
        <v>278</v>
      </c>
      <c r="D279" s="266"/>
      <c r="E279" s="266"/>
      <c r="F279" s="305"/>
      <c r="G279" s="188"/>
      <c r="H279" s="266"/>
      <c r="I279" s="266" t="s">
        <v>9</v>
      </c>
      <c r="J279" s="266"/>
      <c r="K279" s="313" t="s">
        <v>55</v>
      </c>
      <c r="L279" s="313" t="s">
        <v>29</v>
      </c>
      <c r="M279" s="291" t="s">
        <v>2099</v>
      </c>
      <c r="N279" s="313" t="s">
        <v>2100</v>
      </c>
      <c r="O279" s="315">
        <v>1</v>
      </c>
      <c r="Q279" s="266"/>
      <c r="R279" s="266" t="s">
        <v>106</v>
      </c>
      <c r="S279" s="266"/>
      <c r="T279" s="266"/>
      <c r="W279" s="272" t="str">
        <f>IF(IFERROR(VLOOKUP($M279,'IMPORT GS-Tür OL FL 2S2 20'!$H$2:$H$847,1,0),"-")="-","","GS")</f>
        <v/>
      </c>
      <c r="X279" s="272" t="str">
        <f t="shared" si="19"/>
        <v/>
      </c>
      <c r="Z279" s="273" t="str">
        <f>IF(OR($M279="",NOT($O279="{array}")),"",IFERROR(MATCH(PARAMETERS!$M279,DEFAULT!$B$5:$CI$5,0),""))</f>
        <v/>
      </c>
      <c r="AA279" s="272" t="str">
        <f t="shared" si="14"/>
        <v/>
      </c>
      <c r="AB279" s="274" t="str">
        <f>IF(AND(OR($A279="G",$A279="P"),NOT($O279="{array}")),IF(VLOOKUP($K279,base!$B$2:$D$20,3,0)="S",IF(OR($O279="",ISTEXT($O279)),"","STRING!"),IF(VLOOKUP($K279,base!$B$2:$D$20,3,0)="","",IF(ISTEXT($O279),"NUMERIC!",""))),"")</f>
        <v/>
      </c>
      <c r="AC279" s="275" t="str">
        <f>IF($AA279="","",IF($B279="I",VLOOKUP($AA279,#REF!,53,0),INDEX(VALUES!$B$1:$GP$1,1,$AA279)))</f>
        <v/>
      </c>
    </row>
    <row r="280" spans="1:29" s="276" customFormat="1" hidden="1" outlineLevel="1">
      <c r="A280" s="263"/>
      <c r="B280" s="264" t="str">
        <f t="shared" si="18"/>
        <v/>
      </c>
      <c r="C280" s="265">
        <f t="shared" si="20"/>
        <v>279</v>
      </c>
      <c r="D280" s="266"/>
      <c r="E280" s="266"/>
      <c r="F280" s="305"/>
      <c r="G280" s="188"/>
      <c r="H280" s="266"/>
      <c r="I280" s="266" t="s">
        <v>9</v>
      </c>
      <c r="J280" s="266"/>
      <c r="K280" s="313" t="s">
        <v>55</v>
      </c>
      <c r="L280" s="313" t="s">
        <v>29</v>
      </c>
      <c r="M280" s="291" t="s">
        <v>2101</v>
      </c>
      <c r="N280" s="313" t="s">
        <v>2102</v>
      </c>
      <c r="O280" s="315">
        <v>19</v>
      </c>
      <c r="Q280" s="266"/>
      <c r="R280" s="266" t="s">
        <v>106</v>
      </c>
      <c r="S280" s="266"/>
      <c r="T280" s="266"/>
      <c r="W280" s="272" t="str">
        <f>IF(IFERROR(VLOOKUP($M280,'IMPORT GS-Tür OL FL 2S2 20'!$H$2:$H$847,1,0),"-")="-","","GS")</f>
        <v/>
      </c>
      <c r="X280" s="272" t="str">
        <f t="shared" si="19"/>
        <v/>
      </c>
      <c r="Z280" s="273" t="str">
        <f>IF(OR($M280="",NOT($O280="{array}")),"",IFERROR(MATCH(PARAMETERS!$M280,DEFAULT!$B$5:$CI$5,0),""))</f>
        <v/>
      </c>
      <c r="AA280" s="272" t="str">
        <f t="shared" si="14"/>
        <v/>
      </c>
      <c r="AB280" s="274" t="str">
        <f>IF(AND(OR($A280="G",$A280="P"),NOT($O280="{array}")),IF(VLOOKUP($K280,base!$B$2:$D$20,3,0)="S",IF(OR($O280="",ISTEXT($O280)),"","STRING!"),IF(VLOOKUP($K280,base!$B$2:$D$20,3,0)="","",IF(ISTEXT($O280),"NUMERIC!",""))),"")</f>
        <v/>
      </c>
      <c r="AC280" s="275" t="str">
        <f>IF($AA280="","",IF($B280="I",VLOOKUP($AA280,#REF!,53,0),INDEX(VALUES!$B$1:$GP$1,1,$AA280)))</f>
        <v/>
      </c>
    </row>
    <row r="281" spans="1:29" s="276" customFormat="1" hidden="1" outlineLevel="1">
      <c r="A281" s="263"/>
      <c r="B281" s="264" t="str">
        <f t="shared" si="18"/>
        <v/>
      </c>
      <c r="C281" s="265">
        <f t="shared" si="20"/>
        <v>280</v>
      </c>
      <c r="D281" s="266"/>
      <c r="E281" s="266"/>
      <c r="F281" s="305"/>
      <c r="G281" s="188"/>
      <c r="H281" s="266"/>
      <c r="I281" s="266" t="s">
        <v>9</v>
      </c>
      <c r="J281" s="266"/>
      <c r="K281" s="313" t="s">
        <v>52</v>
      </c>
      <c r="L281" s="313" t="s">
        <v>29</v>
      </c>
      <c r="M281" s="291" t="s">
        <v>2103</v>
      </c>
      <c r="N281" s="313" t="s">
        <v>2104</v>
      </c>
      <c r="O281" s="315">
        <v>57</v>
      </c>
      <c r="Q281" s="266"/>
      <c r="R281" s="266" t="s">
        <v>106</v>
      </c>
      <c r="S281" s="266"/>
      <c r="T281" s="266"/>
      <c r="W281" s="272" t="str">
        <f>IF(IFERROR(VLOOKUP($M281,'IMPORT GS-Tür OL FL 2S2 20'!$H$2:$H$847,1,0),"-")="-","","GS")</f>
        <v/>
      </c>
      <c r="X281" s="272" t="str">
        <f t="shared" si="19"/>
        <v/>
      </c>
      <c r="Z281" s="273" t="str">
        <f>IF(OR($M281="",NOT($O281="{array}")),"",IFERROR(MATCH(PARAMETERS!$M281,DEFAULT!$B$5:$CI$5,0),""))</f>
        <v/>
      </c>
      <c r="AA281" s="272" t="str">
        <f t="shared" si="14"/>
        <v/>
      </c>
      <c r="AB281" s="274" t="str">
        <f>IF(AND(OR($A281="G",$A281="P"),NOT($O281="{array}")),IF(VLOOKUP($K281,base!$B$2:$D$20,3,0)="S",IF(OR($O281="",ISTEXT($O281)),"","STRING!"),IF(VLOOKUP($K281,base!$B$2:$D$20,3,0)="","",IF(ISTEXT($O281),"NUMERIC!",""))),"")</f>
        <v/>
      </c>
      <c r="AC281" s="275" t="str">
        <f>IF($AA281="","",IF($B281="I",VLOOKUP($AA281,#REF!,53,0),INDEX(VALUES!$B$1:$GP$1,1,$AA281)))</f>
        <v/>
      </c>
    </row>
    <row r="282" spans="1:29" collapsed="1">
      <c r="A282" s="21"/>
      <c r="B282" s="40" t="str">
        <f t="shared" si="18"/>
        <v/>
      </c>
      <c r="C282" s="41">
        <f t="shared" si="20"/>
        <v>281</v>
      </c>
      <c r="D282" s="260"/>
      <c r="E282" s="37"/>
      <c r="F282" s="305"/>
      <c r="G282" s="188"/>
      <c r="H282" s="37"/>
      <c r="I282" s="37"/>
      <c r="J282" s="37"/>
      <c r="K282" s="230" t="s">
        <v>59</v>
      </c>
      <c r="L282" s="230" t="s">
        <v>40</v>
      </c>
      <c r="M282" s="231" t="s">
        <v>2105</v>
      </c>
      <c r="N282" s="232" t="s">
        <v>2106</v>
      </c>
      <c r="O282" s="311"/>
      <c r="R282" s="37" t="s">
        <v>106</v>
      </c>
      <c r="S282" s="37"/>
      <c r="T282" s="37"/>
      <c r="W282" s="14" t="str">
        <f>IF(IFERROR(VLOOKUP($M282,'IMPORT GS-Tür OL FL 2S2 20'!$H$2:$H$847,1,0),"-")="-","","GS")</f>
        <v/>
      </c>
      <c r="X282" s="14" t="str">
        <f t="shared" si="19"/>
        <v/>
      </c>
      <c r="Y282" s="13" t="s">
        <v>2107</v>
      </c>
      <c r="Z282" s="58" t="str">
        <f>IF(OR($M282="",NOT($O282="{array}")),"",IFERROR(MATCH(PARAMETERS!$M282,DEFAULT!$B$5:$CI$5,0),""))</f>
        <v/>
      </c>
      <c r="AA282" s="55" t="str">
        <f t="shared" si="14"/>
        <v/>
      </c>
      <c r="AB282" s="62" t="str">
        <f>IF(AND(OR($A282="G",$A282="P"),NOT($O282="{array}")),IF(VLOOKUP($K282,base!$B$2:$D$20,3,0)="S",IF(OR($O282="",ISTEXT($O282)),"","STRING!"),IF(VLOOKUP($K282,base!$B$2:$D$20,3,0)="","",IF(ISTEXT($O282),"NUMERIC!",""))),"")</f>
        <v/>
      </c>
      <c r="AC282" s="16" t="str">
        <f>IF($AA282="","",IF($B282="I",VLOOKUP($AA282,#REF!,53,0),INDEX(VALUES!$B$1:$GP$1,1,$AA282)))</f>
        <v/>
      </c>
    </row>
    <row r="283" spans="1:29" hidden="1" outlineLevel="1">
      <c r="A283" s="21"/>
      <c r="B283" s="40" t="str">
        <f t="shared" si="18"/>
        <v/>
      </c>
      <c r="C283" s="41">
        <f t="shared" si="20"/>
        <v>282</v>
      </c>
      <c r="D283" s="260"/>
      <c r="E283" s="37"/>
      <c r="F283" s="305"/>
      <c r="G283" s="188"/>
      <c r="H283" s="37" t="s">
        <v>9</v>
      </c>
      <c r="I283" s="37" t="s">
        <v>9</v>
      </c>
      <c r="J283" s="37"/>
      <c r="K283" s="249" t="s">
        <v>49</v>
      </c>
      <c r="L283" s="249" t="s">
        <v>29</v>
      </c>
      <c r="M283" s="214" t="s">
        <v>2108</v>
      </c>
      <c r="N283" s="249" t="s">
        <v>2106</v>
      </c>
      <c r="O283" s="311">
        <v>0</v>
      </c>
      <c r="R283" s="37" t="s">
        <v>106</v>
      </c>
      <c r="S283" s="37"/>
      <c r="T283" s="37"/>
      <c r="W283" s="14" t="str">
        <f>IF(IFERROR(VLOOKUP($M283,'IMPORT GS-Tür OL FL 2S2 20'!$H$2:$H$847,1,0),"-")="-","","GS")</f>
        <v/>
      </c>
      <c r="X283" s="14" t="str">
        <f t="shared" si="19"/>
        <v/>
      </c>
      <c r="Z283" s="58" t="str">
        <f>IF(OR($M283="",NOT($O283="{array}")),"",IFERROR(MATCH(PARAMETERS!$M283,DEFAULT!$B$5:$CI$5,0),""))</f>
        <v/>
      </c>
      <c r="AA283" s="55" t="str">
        <f t="shared" si="14"/>
        <v/>
      </c>
      <c r="AB283" s="62" t="str">
        <f>IF(AND(OR($A283="G",$A283="P"),NOT($O283="{array}")),IF(VLOOKUP($K283,base!$B$2:$D$20,3,0)="S",IF(OR($O283="",ISTEXT($O283)),"","STRING!"),IF(VLOOKUP($K283,base!$B$2:$D$20,3,0)="","",IF(ISTEXT($O283),"NUMERIC!",""))),"")</f>
        <v/>
      </c>
      <c r="AC283" s="16" t="str">
        <f>IF($AA283="","",IF($B283="I",VLOOKUP($AA283,#REF!,53,0),INDEX(VALUES!$B$1:$GP$1,1,$AA283)))</f>
        <v/>
      </c>
    </row>
    <row r="284" spans="1:29" hidden="1" outlineLevel="1">
      <c r="A284" s="21"/>
      <c r="B284" s="40" t="str">
        <f t="shared" si="18"/>
        <v/>
      </c>
      <c r="C284" s="41">
        <f t="shared" si="20"/>
        <v>283</v>
      </c>
      <c r="D284" s="260"/>
      <c r="E284" s="37"/>
      <c r="F284" s="305"/>
      <c r="G284" s="188"/>
      <c r="H284" s="37"/>
      <c r="I284" s="37" t="s">
        <v>9</v>
      </c>
      <c r="J284" s="37"/>
      <c r="K284" s="249" t="s">
        <v>49</v>
      </c>
      <c r="L284" s="249" t="s">
        <v>29</v>
      </c>
      <c r="M284" s="214" t="s">
        <v>2109</v>
      </c>
      <c r="N284" s="249" t="s">
        <v>199</v>
      </c>
      <c r="O284" s="311">
        <v>1</v>
      </c>
      <c r="R284" s="37" t="s">
        <v>106</v>
      </c>
      <c r="S284" s="37"/>
      <c r="T284" s="37"/>
      <c r="W284" s="14" t="str">
        <f>IF(IFERROR(VLOOKUP($M284,'IMPORT GS-Tür OL FL 2S2 20'!$H$2:$H$847,1,0),"-")="-","","GS")</f>
        <v/>
      </c>
      <c r="X284" s="14" t="str">
        <f t="shared" si="19"/>
        <v/>
      </c>
      <c r="Z284" s="58" t="str">
        <f>IF(OR($M284="",NOT($O284="{array}")),"",IFERROR(MATCH(PARAMETERS!$M284,DEFAULT!$B$5:$CI$5,0),""))</f>
        <v/>
      </c>
      <c r="AA284" s="55" t="str">
        <f t="shared" si="14"/>
        <v/>
      </c>
      <c r="AB284" s="62" t="str">
        <f>IF(AND(OR($A284="G",$A284="P"),NOT($O284="{array}")),IF(VLOOKUP($K284,base!$B$2:$D$20,3,0)="S",IF(OR($O284="",ISTEXT($O284)),"","STRING!"),IF(VLOOKUP($K284,base!$B$2:$D$20,3,0)="","",IF(ISTEXT($O284),"NUMERIC!",""))),"")</f>
        <v/>
      </c>
      <c r="AC284" s="16" t="str">
        <f>IF($AA284="","",IF($B284="I",VLOOKUP($AA284,#REF!,53,0),INDEX(VALUES!$B$1:$GP$1,1,$AA284)))</f>
        <v/>
      </c>
    </row>
    <row r="285" spans="1:29" hidden="1" outlineLevel="1">
      <c r="A285" s="21"/>
      <c r="B285" s="40" t="str">
        <f t="shared" si="18"/>
        <v/>
      </c>
      <c r="C285" s="41">
        <f t="shared" si="20"/>
        <v>284</v>
      </c>
      <c r="D285" s="260"/>
      <c r="E285" s="37"/>
      <c r="F285" s="305"/>
      <c r="G285" s="188"/>
      <c r="H285" s="37"/>
      <c r="I285" s="37" t="s">
        <v>9</v>
      </c>
      <c r="J285" s="37"/>
      <c r="K285" s="249" t="s">
        <v>46</v>
      </c>
      <c r="L285" s="249" t="s">
        <v>29</v>
      </c>
      <c r="M285" s="214" t="s">
        <v>2110</v>
      </c>
      <c r="N285" s="249" t="s">
        <v>2111</v>
      </c>
      <c r="O285" s="311">
        <v>2</v>
      </c>
      <c r="R285" s="37" t="s">
        <v>106</v>
      </c>
      <c r="S285" s="37"/>
      <c r="T285" s="37"/>
      <c r="W285" s="14" t="str">
        <f>IF(IFERROR(VLOOKUP($M285,'IMPORT GS-Tür OL FL 2S2 20'!$H$2:$H$847,1,0),"-")="-","","GS")</f>
        <v/>
      </c>
      <c r="X285" s="14" t="str">
        <f t="shared" si="19"/>
        <v/>
      </c>
      <c r="Z285" s="58" t="str">
        <f>IF(OR($M285="",NOT($O285="{array}")),"",IFERROR(MATCH(PARAMETERS!$M285,DEFAULT!$B$5:$CI$5,0),""))</f>
        <v/>
      </c>
      <c r="AA285" s="55" t="str">
        <f t="shared" si="14"/>
        <v/>
      </c>
      <c r="AB285" s="62" t="str">
        <f>IF(AND(OR($A285="G",$A285="P"),NOT($O285="{array}")),IF(VLOOKUP($K285,base!$B$2:$D$20,3,0)="S",IF(OR($O285="",ISTEXT($O285)),"","STRING!"),IF(VLOOKUP($K285,base!$B$2:$D$20,3,0)="","",IF(ISTEXT($O285),"NUMERIC!",""))),"")</f>
        <v/>
      </c>
      <c r="AC285" s="16" t="str">
        <f>IF($AA285="","",IF($B285="I",VLOOKUP($AA285,#REF!,53,0),INDEX(VALUES!$B$1:$GP$1,1,$AA285)))</f>
        <v/>
      </c>
    </row>
    <row r="286" spans="1:29" hidden="1" outlineLevel="1">
      <c r="A286" s="21"/>
      <c r="B286" s="40" t="str">
        <f t="shared" si="18"/>
        <v/>
      </c>
      <c r="C286" s="41">
        <f t="shared" si="20"/>
        <v>285</v>
      </c>
      <c r="D286" s="260" t="s">
        <v>9</v>
      </c>
      <c r="E286" s="37"/>
      <c r="F286" s="305"/>
      <c r="G286" s="188"/>
      <c r="H286" s="37"/>
      <c r="I286" s="37" t="s">
        <v>9</v>
      </c>
      <c r="J286" s="37"/>
      <c r="K286" s="249" t="s">
        <v>49</v>
      </c>
      <c r="L286" s="249" t="s">
        <v>29</v>
      </c>
      <c r="M286" s="214" t="s">
        <v>2112</v>
      </c>
      <c r="N286" s="249" t="s">
        <v>2113</v>
      </c>
      <c r="O286" s="311">
        <v>0</v>
      </c>
      <c r="R286" s="37" t="s">
        <v>106</v>
      </c>
      <c r="S286" s="37"/>
      <c r="T286" s="37"/>
      <c r="W286" s="14" t="str">
        <f>IF(IFERROR(VLOOKUP($M286,'IMPORT GS-Tür OL FL 2S2 20'!$H$2:$H$847,1,0),"-")="-","","GS")</f>
        <v/>
      </c>
      <c r="X286" s="14" t="str">
        <f t="shared" si="19"/>
        <v/>
      </c>
      <c r="Z286" s="58" t="str">
        <f>IF(OR($M286="",NOT($O286="{array}")),"",IFERROR(MATCH(PARAMETERS!$M286,DEFAULT!$B$5:$CI$5,0),""))</f>
        <v/>
      </c>
      <c r="AA286" s="55" t="str">
        <f t="shared" si="14"/>
        <v/>
      </c>
      <c r="AB286" s="62" t="str">
        <f>IF(AND(OR($A286="G",$A286="P"),NOT($O286="{array}")),IF(VLOOKUP($K286,base!$B$2:$D$20,3,0)="S",IF(OR($O286="",ISTEXT($O286)),"","STRING!"),IF(VLOOKUP($K286,base!$B$2:$D$20,3,0)="","",IF(ISTEXT($O286),"NUMERIC!",""))),"")</f>
        <v/>
      </c>
      <c r="AC286" s="16" t="str">
        <f>IF($AA286="","",IF($B286="I",VLOOKUP($AA286,#REF!,53,0),INDEX(VALUES!$B$1:$GP$1,1,$AA286)))</f>
        <v/>
      </c>
    </row>
    <row r="287" spans="1:29" hidden="1" outlineLevel="1">
      <c r="A287" s="21"/>
      <c r="B287" s="40" t="str">
        <f t="shared" si="18"/>
        <v/>
      </c>
      <c r="C287" s="41">
        <f t="shared" si="20"/>
        <v>286</v>
      </c>
      <c r="D287" s="260"/>
      <c r="E287" s="37"/>
      <c r="F287" s="305"/>
      <c r="G287" s="188" t="s">
        <v>9</v>
      </c>
      <c r="H287" s="37"/>
      <c r="I287" s="37" t="s">
        <v>9</v>
      </c>
      <c r="J287" s="37"/>
      <c r="K287" s="249" t="s">
        <v>49</v>
      </c>
      <c r="L287" s="249" t="s">
        <v>29</v>
      </c>
      <c r="M287" s="214" t="s">
        <v>2114</v>
      </c>
      <c r="N287" s="249" t="s">
        <v>2115</v>
      </c>
      <c r="O287" s="311">
        <v>0</v>
      </c>
      <c r="R287" s="37" t="s">
        <v>106</v>
      </c>
      <c r="S287" s="37"/>
      <c r="T287" s="37"/>
      <c r="W287" s="14" t="str">
        <f>IF(IFERROR(VLOOKUP($M287,'IMPORT GS-Tür OL FL 2S2 20'!$H$2:$H$847,1,0),"-")="-","","GS")</f>
        <v/>
      </c>
      <c r="X287" s="14" t="str">
        <f t="shared" si="19"/>
        <v/>
      </c>
      <c r="Z287" s="58" t="str">
        <f>IF(OR($M287="",NOT($O287="{array}")),"",IFERROR(MATCH(PARAMETERS!$M287,DEFAULT!$B$5:$CI$5,0),""))</f>
        <v/>
      </c>
      <c r="AA287" s="55" t="str">
        <f t="shared" si="14"/>
        <v/>
      </c>
      <c r="AB287" s="62" t="str">
        <f>IF(AND(OR($A287="G",$A287="P"),NOT($O287="{array}")),IF(VLOOKUP($K287,base!$B$2:$D$20,3,0)="S",IF(OR($O287="",ISTEXT($O287)),"","STRING!"),IF(VLOOKUP($K287,base!$B$2:$D$20,3,0)="","",IF(ISTEXT($O287),"NUMERIC!",""))),"")</f>
        <v/>
      </c>
      <c r="AC287" s="16" t="str">
        <f>IF($AA287="","",IF($B287="I",VLOOKUP($AA287,#REF!,53,0),INDEX(VALUES!$B$1:$GP$1,1,$AA287)))</f>
        <v/>
      </c>
    </row>
    <row r="288" spans="1:29" hidden="1" outlineLevel="1">
      <c r="A288" s="21"/>
      <c r="B288" s="40" t="str">
        <f t="shared" si="18"/>
        <v/>
      </c>
      <c r="C288" s="41">
        <f t="shared" si="20"/>
        <v>287</v>
      </c>
      <c r="D288" s="260"/>
      <c r="E288" s="37"/>
      <c r="F288" s="305"/>
      <c r="G288" s="188"/>
      <c r="H288" s="37"/>
      <c r="I288" s="37" t="s">
        <v>9</v>
      </c>
      <c r="J288" s="37"/>
      <c r="K288" s="249" t="s">
        <v>26</v>
      </c>
      <c r="L288" s="249" t="s">
        <v>29</v>
      </c>
      <c r="M288" s="214" t="s">
        <v>2116</v>
      </c>
      <c r="N288" s="249" t="s">
        <v>145</v>
      </c>
      <c r="O288" s="311">
        <v>7.0000000000000007E-2</v>
      </c>
      <c r="Q288" s="37" t="s">
        <v>9</v>
      </c>
      <c r="R288" s="37" t="s">
        <v>106</v>
      </c>
      <c r="S288" s="37"/>
      <c r="T288" s="37"/>
      <c r="W288" s="14" t="str">
        <f>IF(IFERROR(VLOOKUP($M288,'IMPORT GS-Tür OL FL 2S2 20'!$H$2:$H$847,1,0),"-")="-","","GS")</f>
        <v/>
      </c>
      <c r="X288" s="14" t="str">
        <f t="shared" si="19"/>
        <v/>
      </c>
      <c r="Z288" s="58" t="str">
        <f>IF(OR($M288="",NOT($O288="{array}")),"",IFERROR(MATCH(PARAMETERS!$M288,DEFAULT!$B$5:$CI$5,0),""))</f>
        <v/>
      </c>
      <c r="AA288" s="55" t="str">
        <f t="shared" si="14"/>
        <v/>
      </c>
      <c r="AB288" s="62" t="str">
        <f>IF(AND(OR($A288="G",$A288="P"),NOT($O288="{array}")),IF(VLOOKUP($K288,base!$B$2:$D$20,3,0)="S",IF(OR($O288="",ISTEXT($O288)),"","STRING!"),IF(VLOOKUP($K288,base!$B$2:$D$20,3,0)="","",IF(ISTEXT($O288),"NUMERIC!",""))),"")</f>
        <v/>
      </c>
      <c r="AC288" s="16" t="str">
        <f>IF($AA288="","",IF($B288="I",VLOOKUP($AA288,#REF!,53,0),INDEX(VALUES!$B$1:$GP$1,1,$AA288)))</f>
        <v/>
      </c>
    </row>
    <row r="289" spans="1:29" hidden="1" outlineLevel="1">
      <c r="A289" s="21"/>
      <c r="B289" s="40" t="str">
        <f t="shared" si="18"/>
        <v/>
      </c>
      <c r="C289" s="41">
        <f t="shared" si="20"/>
        <v>288</v>
      </c>
      <c r="D289" s="260"/>
      <c r="E289" s="37"/>
      <c r="F289" s="305"/>
      <c r="G289" s="188" t="s">
        <v>9</v>
      </c>
      <c r="H289" s="37"/>
      <c r="I289" s="37" t="s">
        <v>9</v>
      </c>
      <c r="J289" s="37"/>
      <c r="K289" s="249" t="s">
        <v>26</v>
      </c>
      <c r="L289" s="249" t="s">
        <v>29</v>
      </c>
      <c r="M289" s="214" t="s">
        <v>2117</v>
      </c>
      <c r="N289" s="249" t="s">
        <v>2118</v>
      </c>
      <c r="O289" s="311">
        <v>0.30000000000000004</v>
      </c>
      <c r="Q289" s="37" t="s">
        <v>9</v>
      </c>
      <c r="R289" s="37" t="s">
        <v>106</v>
      </c>
      <c r="S289" s="37"/>
      <c r="T289" s="37"/>
      <c r="W289" s="14" t="str">
        <f>IF(IFERROR(VLOOKUP($M289,'IMPORT GS-Tür OL FL 2S2 20'!$H$2:$H$847,1,0),"-")="-","","GS")</f>
        <v/>
      </c>
      <c r="X289" s="14" t="str">
        <f t="shared" si="19"/>
        <v/>
      </c>
      <c r="Z289" s="58" t="str">
        <f>IF(OR($M289="",NOT($O289="{array}")),"",IFERROR(MATCH(PARAMETERS!$M289,DEFAULT!$B$5:$CI$5,0),""))</f>
        <v/>
      </c>
      <c r="AA289" s="55" t="str">
        <f t="shared" si="14"/>
        <v/>
      </c>
      <c r="AB289" s="62" t="str">
        <f>IF(AND(OR($A289="G",$A289="P"),NOT($O289="{array}")),IF(VLOOKUP($K289,base!$B$2:$D$20,3,0)="S",IF(OR($O289="",ISTEXT($O289)),"","STRING!"),IF(VLOOKUP($K289,base!$B$2:$D$20,3,0)="","",IF(ISTEXT($O289),"NUMERIC!",""))),"")</f>
        <v/>
      </c>
      <c r="AC289" s="16" t="str">
        <f>IF($AA289="","",IF($B289="I",VLOOKUP($AA289,#REF!,53,0),INDEX(VALUES!$B$1:$GP$1,1,$AA289)))</f>
        <v/>
      </c>
    </row>
    <row r="290" spans="1:29" hidden="1" outlineLevel="1">
      <c r="A290" s="21"/>
      <c r="B290" s="40" t="str">
        <f t="shared" si="18"/>
        <v/>
      </c>
      <c r="C290" s="41">
        <f t="shared" si="20"/>
        <v>289</v>
      </c>
      <c r="D290" s="260"/>
      <c r="E290" s="37"/>
      <c r="F290" s="305"/>
      <c r="G290" s="188"/>
      <c r="H290" s="37"/>
      <c r="I290" s="37" t="s">
        <v>9</v>
      </c>
      <c r="J290" s="37"/>
      <c r="K290" s="249" t="s">
        <v>26</v>
      </c>
      <c r="L290" s="249" t="s">
        <v>29</v>
      </c>
      <c r="M290" s="214" t="s">
        <v>2119</v>
      </c>
      <c r="N290" s="249" t="s">
        <v>2120</v>
      </c>
      <c r="O290" s="311">
        <v>0.06</v>
      </c>
      <c r="Q290" s="37" t="s">
        <v>9</v>
      </c>
      <c r="R290" s="37" t="s">
        <v>106</v>
      </c>
      <c r="S290" s="37"/>
      <c r="T290" s="37"/>
      <c r="W290" s="14" t="str">
        <f>IF(IFERROR(VLOOKUP($M290,'IMPORT GS-Tür OL FL 2S2 20'!$H$2:$H$847,1,0),"-")="-","","GS")</f>
        <v/>
      </c>
      <c r="X290" s="14" t="str">
        <f t="shared" si="19"/>
        <v/>
      </c>
      <c r="Z290" s="58" t="str">
        <f>IF(OR($M290="",NOT($O290="{array}")),"",IFERROR(MATCH(PARAMETERS!$M290,DEFAULT!$B$5:$CI$5,0),""))</f>
        <v/>
      </c>
      <c r="AA290" s="55" t="str">
        <f t="shared" si="14"/>
        <v/>
      </c>
      <c r="AB290" s="62" t="str">
        <f>IF(AND(OR($A290="G",$A290="P"),NOT($O290="{array}")),IF(VLOOKUP($K290,base!$B$2:$D$20,3,0)="S",IF(OR($O290="",ISTEXT($O290)),"","STRING!"),IF(VLOOKUP($K290,base!$B$2:$D$20,3,0)="","",IF(ISTEXT($O290),"NUMERIC!",""))),"")</f>
        <v/>
      </c>
      <c r="AC290" s="16" t="str">
        <f>IF($AA290="","",IF($B290="I",VLOOKUP($AA290,#REF!,53,0),INDEX(VALUES!$B$1:$GP$1,1,$AA290)))</f>
        <v/>
      </c>
    </row>
    <row r="291" spans="1:29" hidden="1" outlineLevel="1">
      <c r="A291" s="21"/>
      <c r="B291" s="40" t="str">
        <f t="shared" si="18"/>
        <v/>
      </c>
      <c r="C291" s="41">
        <f t="shared" si="20"/>
        <v>290</v>
      </c>
      <c r="D291" s="260"/>
      <c r="E291" s="37"/>
      <c r="F291" s="305"/>
      <c r="G291" s="188" t="s">
        <v>9</v>
      </c>
      <c r="H291" s="37"/>
      <c r="I291" s="37" t="s">
        <v>9</v>
      </c>
      <c r="J291" s="37"/>
      <c r="K291" s="249" t="s">
        <v>26</v>
      </c>
      <c r="L291" s="249" t="s">
        <v>29</v>
      </c>
      <c r="M291" s="214" t="s">
        <v>2121</v>
      </c>
      <c r="N291" s="249" t="s">
        <v>2122</v>
      </c>
      <c r="O291" s="311">
        <v>0.06</v>
      </c>
      <c r="Q291" s="37" t="s">
        <v>9</v>
      </c>
      <c r="R291" s="37" t="s">
        <v>106</v>
      </c>
      <c r="S291" s="37"/>
      <c r="T291" s="37"/>
      <c r="W291" s="14" t="str">
        <f>IF(IFERROR(VLOOKUP($M291,'IMPORT GS-Tür OL FL 2S2 20'!$H$2:$H$847,1,0),"-")="-","","GS")</f>
        <v/>
      </c>
      <c r="X291" s="14" t="str">
        <f t="shared" si="19"/>
        <v/>
      </c>
      <c r="Z291" s="58" t="str">
        <f>IF(OR($M291="",NOT($O291="{array}")),"",IFERROR(MATCH(PARAMETERS!$M291,DEFAULT!$B$5:$CI$5,0),""))</f>
        <v/>
      </c>
      <c r="AA291" s="55" t="str">
        <f t="shared" si="14"/>
        <v/>
      </c>
      <c r="AB291" s="62" t="str">
        <f>IF(AND(OR($A291="G",$A291="P"),NOT($O291="{array}")),IF(VLOOKUP($K291,base!$B$2:$D$20,3,0)="S",IF(OR($O291="",ISTEXT($O291)),"","STRING!"),IF(VLOOKUP($K291,base!$B$2:$D$20,3,0)="","",IF(ISTEXT($O291),"NUMERIC!",""))),"")</f>
        <v/>
      </c>
      <c r="AC291" s="16" t="str">
        <f>IF($AA291="","",IF($B291="I",VLOOKUP($AA291,#REF!,53,0),INDEX(VALUES!$B$1:$GP$1,1,$AA291)))</f>
        <v/>
      </c>
    </row>
    <row r="292" spans="1:29" hidden="1" outlineLevel="1">
      <c r="A292" s="21"/>
      <c r="B292" s="40" t="str">
        <f t="shared" si="18"/>
        <v/>
      </c>
      <c r="C292" s="41">
        <f t="shared" si="20"/>
        <v>291</v>
      </c>
      <c r="D292" s="260"/>
      <c r="E292" s="37"/>
      <c r="F292" s="305"/>
      <c r="G292" s="188" t="s">
        <v>9</v>
      </c>
      <c r="H292" s="37"/>
      <c r="I292" s="37" t="s">
        <v>9</v>
      </c>
      <c r="J292" s="37"/>
      <c r="K292" s="249" t="s">
        <v>26</v>
      </c>
      <c r="L292" s="249" t="s">
        <v>29</v>
      </c>
      <c r="M292" s="214" t="s">
        <v>2123</v>
      </c>
      <c r="N292" s="249" t="s">
        <v>2124</v>
      </c>
      <c r="O292" s="311">
        <v>7.0000000000000007E-2</v>
      </c>
      <c r="Q292" s="37" t="s">
        <v>9</v>
      </c>
      <c r="R292" s="37" t="s">
        <v>106</v>
      </c>
      <c r="S292" s="37"/>
      <c r="T292" s="37"/>
      <c r="W292" s="14" t="str">
        <f>IF(IFERROR(VLOOKUP($M292,'IMPORT GS-Tür OL FL 2S2 20'!$H$2:$H$847,1,0),"-")="-","","GS")</f>
        <v/>
      </c>
      <c r="X292" s="14" t="str">
        <f t="shared" si="19"/>
        <v/>
      </c>
      <c r="Z292" s="58" t="str">
        <f>IF(OR($M292="",NOT($O292="{array}")),"",IFERROR(MATCH(PARAMETERS!$M292,DEFAULT!$B$5:$CI$5,0),""))</f>
        <v/>
      </c>
      <c r="AA292" s="55" t="str">
        <f t="shared" si="14"/>
        <v/>
      </c>
      <c r="AB292" s="62" t="str">
        <f>IF(AND(OR($A292="G",$A292="P"),NOT($O292="{array}")),IF(VLOOKUP($K292,base!$B$2:$D$20,3,0)="S",IF(OR($O292="",ISTEXT($O292)),"","STRING!"),IF(VLOOKUP($K292,base!$B$2:$D$20,3,0)="","",IF(ISTEXT($O292),"NUMERIC!",""))),"")</f>
        <v/>
      </c>
      <c r="AC292" s="16" t="str">
        <f>IF($AA292="","",IF($B292="I",VLOOKUP($AA292,#REF!,53,0),INDEX(VALUES!$B$1:$GP$1,1,$AA292)))</f>
        <v/>
      </c>
    </row>
    <row r="293" spans="1:29" hidden="1" outlineLevel="1">
      <c r="A293" s="21"/>
      <c r="B293" s="40" t="str">
        <f t="shared" si="18"/>
        <v/>
      </c>
      <c r="C293" s="41">
        <f t="shared" si="20"/>
        <v>292</v>
      </c>
      <c r="D293" s="260"/>
      <c r="E293" s="37"/>
      <c r="F293" s="305"/>
      <c r="G293" s="188" t="s">
        <v>9</v>
      </c>
      <c r="H293" s="37"/>
      <c r="I293" s="37" t="s">
        <v>9</v>
      </c>
      <c r="J293" s="37"/>
      <c r="K293" s="249" t="s">
        <v>26</v>
      </c>
      <c r="L293" s="249" t="s">
        <v>29</v>
      </c>
      <c r="M293" s="214" t="s">
        <v>2125</v>
      </c>
      <c r="N293" s="249" t="s">
        <v>2126</v>
      </c>
      <c r="O293" s="311">
        <v>7.0000000000000007E-2</v>
      </c>
      <c r="Q293" s="37" t="s">
        <v>9</v>
      </c>
      <c r="R293" s="37" t="s">
        <v>106</v>
      </c>
      <c r="S293" s="37"/>
      <c r="T293" s="37"/>
      <c r="W293" s="14" t="str">
        <f>IF(IFERROR(VLOOKUP($M293,'IMPORT GS-Tür OL FL 2S2 20'!$H$2:$H$847,1,0),"-")="-","","GS")</f>
        <v/>
      </c>
      <c r="X293" s="14" t="str">
        <f t="shared" si="19"/>
        <v/>
      </c>
      <c r="Z293" s="58" t="str">
        <f>IF(OR($M293="",NOT($O293="{array}")),"",IFERROR(MATCH(PARAMETERS!$M293,DEFAULT!$B$5:$CI$5,0),""))</f>
        <v/>
      </c>
      <c r="AA293" s="55" t="str">
        <f t="shared" si="14"/>
        <v/>
      </c>
      <c r="AB293" s="62" t="str">
        <f>IF(AND(OR($A293="G",$A293="P"),NOT($O293="{array}")),IF(VLOOKUP($K293,base!$B$2:$D$20,3,0)="S",IF(OR($O293="",ISTEXT($O293)),"","STRING!"),IF(VLOOKUP($K293,base!$B$2:$D$20,3,0)="","",IF(ISTEXT($O293),"NUMERIC!",""))),"")</f>
        <v/>
      </c>
      <c r="AC293" s="16" t="str">
        <f>IF($AA293="","",IF($B293="I",VLOOKUP($AA293,#REF!,53,0),INDEX(VALUES!$B$1:$GP$1,1,$AA293)))</f>
        <v/>
      </c>
    </row>
    <row r="294" spans="1:29" hidden="1" outlineLevel="1">
      <c r="A294" s="21"/>
      <c r="B294" s="40" t="str">
        <f t="shared" si="18"/>
        <v/>
      </c>
      <c r="C294" s="41">
        <f t="shared" si="20"/>
        <v>293</v>
      </c>
      <c r="D294" s="260"/>
      <c r="E294" s="37"/>
      <c r="F294" s="305"/>
      <c r="G294" s="188"/>
      <c r="H294" s="37"/>
      <c r="I294" s="37" t="s">
        <v>9</v>
      </c>
      <c r="J294" s="37"/>
      <c r="K294" s="249" t="s">
        <v>26</v>
      </c>
      <c r="L294" s="249" t="s">
        <v>29</v>
      </c>
      <c r="M294" s="214" t="s">
        <v>2127</v>
      </c>
      <c r="N294" s="249" t="s">
        <v>2128</v>
      </c>
      <c r="O294" s="311">
        <v>2.5000000000000001E-2</v>
      </c>
      <c r="Q294" s="37" t="s">
        <v>9</v>
      </c>
      <c r="R294" s="37" t="s">
        <v>106</v>
      </c>
      <c r="S294" s="37"/>
      <c r="T294" s="37"/>
      <c r="W294" s="14" t="str">
        <f>IF(IFERROR(VLOOKUP($M294,'IMPORT GS-Tür OL FL 2S2 20'!$H$2:$H$847,1,0),"-")="-","","GS")</f>
        <v/>
      </c>
      <c r="X294" s="14" t="str">
        <f t="shared" si="19"/>
        <v/>
      </c>
      <c r="Z294" s="58" t="str">
        <f>IF(OR($M294="",NOT($O294="{array}")),"",IFERROR(MATCH(PARAMETERS!$M294,DEFAULT!$B$5:$CI$5,0),""))</f>
        <v/>
      </c>
      <c r="AA294" s="55" t="str">
        <f t="shared" si="14"/>
        <v/>
      </c>
      <c r="AB294" s="62" t="str">
        <f>IF(AND(OR($A294="G",$A294="P"),NOT($O294="{array}")),IF(VLOOKUP($K294,base!$B$2:$D$20,3,0)="S",IF(OR($O294="",ISTEXT($O294)),"","STRING!"),IF(VLOOKUP($K294,base!$B$2:$D$20,3,0)="","",IF(ISTEXT($O294),"NUMERIC!",""))),"")</f>
        <v/>
      </c>
      <c r="AC294" s="16" t="str">
        <f>IF($AA294="","",IF($B294="I",VLOOKUP($AA294,#REF!,53,0),INDEX(VALUES!$B$1:$GP$1,1,$AA294)))</f>
        <v/>
      </c>
    </row>
    <row r="295" spans="1:29" hidden="1" outlineLevel="1">
      <c r="A295" s="21"/>
      <c r="B295" s="40" t="str">
        <f t="shared" si="18"/>
        <v/>
      </c>
      <c r="C295" s="41">
        <f t="shared" si="20"/>
        <v>294</v>
      </c>
      <c r="D295" s="260"/>
      <c r="E295" s="37"/>
      <c r="F295" s="305"/>
      <c r="G295" s="188"/>
      <c r="H295" s="37"/>
      <c r="I295" s="37" t="s">
        <v>9</v>
      </c>
      <c r="J295" s="37"/>
      <c r="K295" s="249" t="s">
        <v>26</v>
      </c>
      <c r="L295" s="249" t="s">
        <v>29</v>
      </c>
      <c r="M295" s="214" t="s">
        <v>2129</v>
      </c>
      <c r="N295" s="249" t="s">
        <v>2130</v>
      </c>
      <c r="O295" s="311">
        <v>0.05</v>
      </c>
      <c r="Q295" s="37" t="s">
        <v>9</v>
      </c>
      <c r="R295" s="37" t="s">
        <v>106</v>
      </c>
      <c r="S295" s="37"/>
      <c r="T295" s="37"/>
      <c r="W295" s="14" t="str">
        <f>IF(IFERROR(VLOOKUP($M295,'IMPORT GS-Tür OL FL 2S2 20'!$H$2:$H$847,1,0),"-")="-","","GS")</f>
        <v/>
      </c>
      <c r="X295" s="14" t="str">
        <f t="shared" si="19"/>
        <v/>
      </c>
      <c r="Z295" s="58" t="str">
        <f>IF(OR($M295="",NOT($O295="{array}")),"",IFERROR(MATCH(PARAMETERS!$M295,DEFAULT!$B$5:$CI$5,0),""))</f>
        <v/>
      </c>
      <c r="AA295" s="55" t="str">
        <f t="shared" si="14"/>
        <v/>
      </c>
      <c r="AB295" s="62" t="str">
        <f>IF(AND(OR($A295="G",$A295="P"),NOT($O295="{array}")),IF(VLOOKUP($K295,base!$B$2:$D$20,3,0)="S",IF(OR($O295="",ISTEXT($O295)),"","STRING!"),IF(VLOOKUP($K295,base!$B$2:$D$20,3,0)="","",IF(ISTEXT($O295),"NUMERIC!",""))),"")</f>
        <v/>
      </c>
      <c r="AC295" s="16" t="str">
        <f>IF($AA295="","",IF($B295="I",VLOOKUP($AA295,#REF!,53,0),INDEX(VALUES!$B$1:$GP$1,1,$AA295)))</f>
        <v/>
      </c>
    </row>
    <row r="296" spans="1:29" hidden="1" outlineLevel="1">
      <c r="A296" s="21"/>
      <c r="B296" s="40" t="str">
        <f t="shared" si="18"/>
        <v/>
      </c>
      <c r="C296" s="41">
        <f t="shared" si="20"/>
        <v>295</v>
      </c>
      <c r="D296" s="260"/>
      <c r="E296" s="37"/>
      <c r="F296" s="305"/>
      <c r="G296" s="188"/>
      <c r="H296" s="37"/>
      <c r="I296" s="37" t="s">
        <v>9</v>
      </c>
      <c r="J296" s="37"/>
      <c r="K296" s="249" t="s">
        <v>52</v>
      </c>
      <c r="L296" s="249" t="s">
        <v>29</v>
      </c>
      <c r="M296" s="214" t="s">
        <v>2131</v>
      </c>
      <c r="N296" s="249" t="s">
        <v>2132</v>
      </c>
      <c r="O296" s="311">
        <v>133</v>
      </c>
      <c r="R296" s="37" t="s">
        <v>106</v>
      </c>
      <c r="S296" s="37"/>
      <c r="T296" s="37"/>
      <c r="W296" s="14" t="str">
        <f>IF(IFERROR(VLOOKUP($M296,'IMPORT GS-Tür OL FL 2S2 20'!$H$2:$H$847,1,0),"-")="-","","GS")</f>
        <v/>
      </c>
      <c r="X296" s="14" t="str">
        <f t="shared" si="19"/>
        <v/>
      </c>
      <c r="Z296" s="58" t="str">
        <f>IF(OR($M296="",NOT($O296="{array}")),"",IFERROR(MATCH(PARAMETERS!$M296,DEFAULT!$B$5:$CI$5,0),""))</f>
        <v/>
      </c>
      <c r="AA296" s="55" t="str">
        <f t="shared" si="14"/>
        <v/>
      </c>
      <c r="AB296" s="62" t="str">
        <f>IF(AND(OR($A296="G",$A296="P"),NOT($O296="{array}")),IF(VLOOKUP($K296,base!$B$2:$D$20,3,0)="S",IF(OR($O296="",ISTEXT($O296)),"","STRING!"),IF(VLOOKUP($K296,base!$B$2:$D$20,3,0)="","",IF(ISTEXT($O296),"NUMERIC!",""))),"")</f>
        <v/>
      </c>
      <c r="AC296" s="16" t="str">
        <f>IF($AA296="","",IF($B296="I",VLOOKUP($AA296,#REF!,53,0),INDEX(VALUES!$B$1:$GP$1,1,$AA296)))</f>
        <v/>
      </c>
    </row>
    <row r="297" spans="1:29" hidden="1" outlineLevel="1">
      <c r="A297" s="21"/>
      <c r="B297" s="40" t="str">
        <f t="shared" si="18"/>
        <v/>
      </c>
      <c r="C297" s="41">
        <f t="shared" si="20"/>
        <v>296</v>
      </c>
      <c r="D297" s="260"/>
      <c r="E297" s="37"/>
      <c r="F297" s="305"/>
      <c r="G297" s="188"/>
      <c r="H297" s="37"/>
      <c r="I297" s="37" t="s">
        <v>9</v>
      </c>
      <c r="J297" s="37"/>
      <c r="K297" s="249" t="s">
        <v>55</v>
      </c>
      <c r="L297" s="249" t="s">
        <v>29</v>
      </c>
      <c r="M297" s="214" t="s">
        <v>2133</v>
      </c>
      <c r="N297" s="249" t="s">
        <v>2134</v>
      </c>
      <c r="O297" s="311">
        <v>1</v>
      </c>
      <c r="R297" s="37" t="s">
        <v>106</v>
      </c>
      <c r="S297" s="37"/>
      <c r="T297" s="37"/>
      <c r="W297" s="14" t="str">
        <f>IF(IFERROR(VLOOKUP($M297,'IMPORT GS-Tür OL FL 2S2 20'!$H$2:$H$847,1,0),"-")="-","","GS")</f>
        <v/>
      </c>
      <c r="X297" s="14" t="str">
        <f t="shared" si="19"/>
        <v/>
      </c>
      <c r="Z297" s="58" t="str">
        <f>IF(OR($M297="",NOT($O297="{array}")),"",IFERROR(MATCH(PARAMETERS!$M297,DEFAULT!$B$5:$CI$5,0),""))</f>
        <v/>
      </c>
      <c r="AA297" s="55" t="str">
        <f t="shared" si="14"/>
        <v/>
      </c>
      <c r="AB297" s="62" t="str">
        <f>IF(AND(OR($A297="G",$A297="P"),NOT($O297="{array}")),IF(VLOOKUP($K297,base!$B$2:$D$20,3,0)="S",IF(OR($O297="",ISTEXT($O297)),"","STRING!"),IF(VLOOKUP($K297,base!$B$2:$D$20,3,0)="","",IF(ISTEXT($O297),"NUMERIC!",""))),"")</f>
        <v/>
      </c>
      <c r="AC297" s="16" t="str">
        <f>IF($AA297="","",IF($B297="I",VLOOKUP($AA297,#REF!,53,0),INDEX(VALUES!$B$1:$GP$1,1,$AA297)))</f>
        <v/>
      </c>
    </row>
    <row r="298" spans="1:29" hidden="1" outlineLevel="1">
      <c r="A298" s="21"/>
      <c r="B298" s="40" t="str">
        <f t="shared" si="18"/>
        <v/>
      </c>
      <c r="C298" s="41">
        <f t="shared" si="20"/>
        <v>297</v>
      </c>
      <c r="D298" s="260"/>
      <c r="E298" s="37"/>
      <c r="F298" s="305"/>
      <c r="G298" s="188"/>
      <c r="H298" s="37"/>
      <c r="I298" s="37" t="s">
        <v>9</v>
      </c>
      <c r="J298" s="37"/>
      <c r="K298" s="249" t="s">
        <v>55</v>
      </c>
      <c r="L298" s="249" t="s">
        <v>29</v>
      </c>
      <c r="M298" s="214" t="s">
        <v>2135</v>
      </c>
      <c r="N298" s="249" t="s">
        <v>2136</v>
      </c>
      <c r="O298" s="311">
        <v>1</v>
      </c>
      <c r="R298" s="37" t="s">
        <v>106</v>
      </c>
      <c r="S298" s="37"/>
      <c r="T298" s="37"/>
      <c r="W298" s="14" t="str">
        <f>IF(IFERROR(VLOOKUP($M298,'IMPORT GS-Tür OL FL 2S2 20'!$H$2:$H$847,1,0),"-")="-","","GS")</f>
        <v/>
      </c>
      <c r="X298" s="14" t="str">
        <f t="shared" si="19"/>
        <v/>
      </c>
      <c r="Z298" s="58" t="str">
        <f>IF(OR($M298="",NOT($O298="{array}")),"",IFERROR(MATCH(PARAMETERS!$M298,DEFAULT!$B$5:$CI$5,0),""))</f>
        <v/>
      </c>
      <c r="AA298" s="55" t="str">
        <f t="shared" si="14"/>
        <v/>
      </c>
      <c r="AB298" s="62" t="str">
        <f>IF(AND(OR($A298="G",$A298="P"),NOT($O298="{array}")),IF(VLOOKUP($K298,base!$B$2:$D$20,3,0)="S",IF(OR($O298="",ISTEXT($O298)),"","STRING!"),IF(VLOOKUP($K298,base!$B$2:$D$20,3,0)="","",IF(ISTEXT($O298),"NUMERIC!",""))),"")</f>
        <v/>
      </c>
      <c r="AC298" s="16" t="str">
        <f>IF($AA298="","",IF($B298="I",VLOOKUP($AA298,#REF!,53,0),INDEX(VALUES!$B$1:$GP$1,1,$AA298)))</f>
        <v/>
      </c>
    </row>
    <row r="299" spans="1:29" hidden="1" outlineLevel="1">
      <c r="A299" s="21"/>
      <c r="B299" s="40" t="str">
        <f t="shared" si="18"/>
        <v/>
      </c>
      <c r="C299" s="41">
        <f t="shared" si="20"/>
        <v>298</v>
      </c>
      <c r="D299" s="260"/>
      <c r="E299" s="37"/>
      <c r="F299" s="305"/>
      <c r="G299" s="188"/>
      <c r="H299" s="37"/>
      <c r="I299" s="37" t="s">
        <v>9</v>
      </c>
      <c r="J299" s="37"/>
      <c r="K299" s="249" t="s">
        <v>55</v>
      </c>
      <c r="L299" s="249" t="s">
        <v>29</v>
      </c>
      <c r="M299" s="214" t="s">
        <v>2137</v>
      </c>
      <c r="N299" s="249" t="s">
        <v>2138</v>
      </c>
      <c r="O299" s="311">
        <v>1</v>
      </c>
      <c r="R299" s="37" t="s">
        <v>106</v>
      </c>
      <c r="S299" s="37"/>
      <c r="T299" s="37"/>
      <c r="W299" s="14" t="str">
        <f>IF(IFERROR(VLOOKUP($M299,'IMPORT GS-Tür OL FL 2S2 20'!$H$2:$H$847,1,0),"-")="-","","GS")</f>
        <v/>
      </c>
      <c r="X299" s="14" t="str">
        <f t="shared" si="19"/>
        <v/>
      </c>
      <c r="Z299" s="58" t="str">
        <f>IF(OR($M299="",NOT($O299="{array}")),"",IFERROR(MATCH(PARAMETERS!$M299,DEFAULT!$B$5:$CI$5,0),""))</f>
        <v/>
      </c>
      <c r="AA299" s="55" t="str">
        <f t="shared" si="14"/>
        <v/>
      </c>
      <c r="AB299" s="62" t="str">
        <f>IF(AND(OR($A299="G",$A299="P"),NOT($O299="{array}")),IF(VLOOKUP($K299,base!$B$2:$D$20,3,0)="S",IF(OR($O299="",ISTEXT($O299)),"","STRING!"),IF(VLOOKUP($K299,base!$B$2:$D$20,3,0)="","",IF(ISTEXT($O299),"NUMERIC!",""))),"")</f>
        <v/>
      </c>
      <c r="AC299" s="16" t="str">
        <f>IF($AA299="","",IF($B299="I",VLOOKUP($AA299,#REF!,53,0),INDEX(VALUES!$B$1:$GP$1,1,$AA299)))</f>
        <v/>
      </c>
    </row>
    <row r="300" spans="1:29" hidden="1" outlineLevel="1">
      <c r="A300" s="21"/>
      <c r="B300" s="40" t="str">
        <f t="shared" si="18"/>
        <v/>
      </c>
      <c r="C300" s="41">
        <f t="shared" si="20"/>
        <v>299</v>
      </c>
      <c r="D300" s="260"/>
      <c r="E300" s="37"/>
      <c r="F300" s="305"/>
      <c r="G300" s="188"/>
      <c r="H300" s="37"/>
      <c r="I300" s="37" t="s">
        <v>9</v>
      </c>
      <c r="J300" s="37"/>
      <c r="K300" s="249" t="s">
        <v>55</v>
      </c>
      <c r="L300" s="249" t="s">
        <v>29</v>
      </c>
      <c r="M300" s="214" t="s">
        <v>2139</v>
      </c>
      <c r="N300" s="249" t="s">
        <v>2018</v>
      </c>
      <c r="O300" s="311">
        <v>1</v>
      </c>
      <c r="R300" s="37" t="s">
        <v>106</v>
      </c>
      <c r="S300" s="37"/>
      <c r="T300" s="37"/>
      <c r="W300" s="14" t="str">
        <f>IF(IFERROR(VLOOKUP($M300,'IMPORT GS-Tür OL FL 2S2 20'!$H$2:$H$847,1,0),"-")="-","","GS")</f>
        <v/>
      </c>
      <c r="X300" s="14" t="str">
        <f t="shared" si="19"/>
        <v/>
      </c>
      <c r="Z300" s="58" t="str">
        <f>IF(OR($M300="",NOT($O300="{array}")),"",IFERROR(MATCH(PARAMETERS!$M300,DEFAULT!$B$5:$CI$5,0),""))</f>
        <v/>
      </c>
      <c r="AA300" s="55" t="str">
        <f t="shared" si="14"/>
        <v/>
      </c>
      <c r="AB300" s="62" t="str">
        <f>IF(AND(OR($A300="G",$A300="P"),NOT($O300="{array}")),IF(VLOOKUP($K300,base!$B$2:$D$20,3,0)="S",IF(OR($O300="",ISTEXT($O300)),"","STRING!"),IF(VLOOKUP($K300,base!$B$2:$D$20,3,0)="","",IF(ISTEXT($O300),"NUMERIC!",""))),"")</f>
        <v/>
      </c>
      <c r="AC300" s="16" t="str">
        <f>IF($AA300="","",IF($B300="I",VLOOKUP($AA300,#REF!,53,0),INDEX(VALUES!$B$1:$GP$1,1,$AA300)))</f>
        <v/>
      </c>
    </row>
    <row r="301" spans="1:29" hidden="1" outlineLevel="1">
      <c r="A301" s="21"/>
      <c r="B301" s="40" t="str">
        <f t="shared" si="18"/>
        <v/>
      </c>
      <c r="C301" s="41">
        <f t="shared" si="20"/>
        <v>300</v>
      </c>
      <c r="D301" s="260"/>
      <c r="E301" s="37"/>
      <c r="F301" s="305"/>
      <c r="G301" s="188"/>
      <c r="H301" s="37"/>
      <c r="I301" s="37" t="s">
        <v>9</v>
      </c>
      <c r="J301" s="37"/>
      <c r="K301" s="249" t="s">
        <v>55</v>
      </c>
      <c r="L301" s="249" t="s">
        <v>29</v>
      </c>
      <c r="M301" s="214" t="s">
        <v>2140</v>
      </c>
      <c r="N301" s="249" t="s">
        <v>1869</v>
      </c>
      <c r="O301" s="311">
        <v>1</v>
      </c>
      <c r="R301" s="37" t="s">
        <v>106</v>
      </c>
      <c r="S301" s="37"/>
      <c r="T301" s="37"/>
      <c r="W301" s="14" t="str">
        <f>IF(IFERROR(VLOOKUP($M301,'IMPORT GS-Tür OL FL 2S2 20'!$H$2:$H$847,1,0),"-")="-","","GS")</f>
        <v/>
      </c>
      <c r="X301" s="14" t="str">
        <f t="shared" si="19"/>
        <v/>
      </c>
      <c r="Z301" s="58" t="str">
        <f>IF(OR($M301="",NOT($O301="{array}")),"",IFERROR(MATCH(PARAMETERS!$M301,DEFAULT!$B$5:$CI$5,0),""))</f>
        <v/>
      </c>
      <c r="AA301" s="55" t="str">
        <f t="shared" si="14"/>
        <v/>
      </c>
      <c r="AB301" s="62" t="str">
        <f>IF(AND(OR($A301="G",$A301="P"),NOT($O301="{array}")),IF(VLOOKUP($K301,base!$B$2:$D$20,3,0)="S",IF(OR($O301="",ISTEXT($O301)),"","STRING!"),IF(VLOOKUP($K301,base!$B$2:$D$20,3,0)="","",IF(ISTEXT($O301),"NUMERIC!",""))),"")</f>
        <v/>
      </c>
      <c r="AC301" s="16" t="str">
        <f>IF($AA301="","",IF($B301="I",VLOOKUP($AA301,#REF!,53,0),INDEX(VALUES!$B$1:$GP$1,1,$AA301)))</f>
        <v/>
      </c>
    </row>
    <row r="302" spans="1:29" hidden="1" outlineLevel="1">
      <c r="A302" s="21"/>
      <c r="B302" s="40" t="str">
        <f t="shared" si="18"/>
        <v/>
      </c>
      <c r="C302" s="41">
        <f t="shared" si="20"/>
        <v>301</v>
      </c>
      <c r="D302" s="260"/>
      <c r="E302" s="37"/>
      <c r="F302" s="305"/>
      <c r="G302" s="188"/>
      <c r="H302" s="37"/>
      <c r="I302" s="37" t="s">
        <v>9</v>
      </c>
      <c r="J302" s="37"/>
      <c r="K302" s="249" t="s">
        <v>54</v>
      </c>
      <c r="L302" s="249" t="s">
        <v>29</v>
      </c>
      <c r="M302" s="214" t="s">
        <v>2141</v>
      </c>
      <c r="N302" s="249" t="s">
        <v>2142</v>
      </c>
      <c r="O302" s="311">
        <v>64</v>
      </c>
      <c r="R302" s="37" t="s">
        <v>106</v>
      </c>
      <c r="S302" s="37"/>
      <c r="T302" s="37"/>
      <c r="W302" s="14" t="str">
        <f>IF(IFERROR(VLOOKUP($M302,'IMPORT GS-Tür OL FL 2S2 20'!$H$2:$H$847,1,0),"-")="-","","GS")</f>
        <v/>
      </c>
      <c r="X302" s="14" t="str">
        <f t="shared" si="19"/>
        <v/>
      </c>
      <c r="Z302" s="58" t="str">
        <f>IF(OR($M302="",NOT($O302="{array}")),"",IFERROR(MATCH(PARAMETERS!$M302,DEFAULT!$B$5:$CI$5,0),""))</f>
        <v/>
      </c>
      <c r="AA302" s="55" t="str">
        <f t="shared" si="14"/>
        <v/>
      </c>
      <c r="AB302" s="62" t="str">
        <f>IF(AND(OR($A302="G",$A302="P"),NOT($O302="{array}")),IF(VLOOKUP($K302,base!$B$2:$D$20,3,0)="S",IF(OR($O302="",ISTEXT($O302)),"","STRING!"),IF(VLOOKUP($K302,base!$B$2:$D$20,3,0)="","",IF(ISTEXT($O302),"NUMERIC!",""))),"")</f>
        <v/>
      </c>
      <c r="AC302" s="16" t="str">
        <f>IF($AA302="","",IF($B302="I",VLOOKUP($AA302,#REF!,53,0),INDEX(VALUES!$B$1:$GP$1,1,$AA302)))</f>
        <v/>
      </c>
    </row>
    <row r="303" spans="1:29" hidden="1" outlineLevel="1">
      <c r="A303" s="21"/>
      <c r="B303" s="40" t="str">
        <f t="shared" si="18"/>
        <v/>
      </c>
      <c r="C303" s="41">
        <f t="shared" si="20"/>
        <v>302</v>
      </c>
      <c r="D303" s="260"/>
      <c r="E303" s="37"/>
      <c r="F303" s="305"/>
      <c r="G303" s="188"/>
      <c r="H303" s="37"/>
      <c r="I303" s="37" t="s">
        <v>9</v>
      </c>
      <c r="J303" s="37"/>
      <c r="K303" s="249" t="s">
        <v>54</v>
      </c>
      <c r="L303" s="249" t="s">
        <v>29</v>
      </c>
      <c r="M303" s="214" t="s">
        <v>2143</v>
      </c>
      <c r="N303" s="249" t="s">
        <v>2144</v>
      </c>
      <c r="O303" s="311">
        <v>65</v>
      </c>
      <c r="R303" s="37" t="s">
        <v>106</v>
      </c>
      <c r="S303" s="37"/>
      <c r="T303" s="37"/>
      <c r="W303" s="14" t="str">
        <f>IF(IFERROR(VLOOKUP($M303,'IMPORT GS-Tür OL FL 2S2 20'!$H$2:$H$847,1,0),"-")="-","","GS")</f>
        <v/>
      </c>
      <c r="X303" s="14" t="str">
        <f t="shared" si="19"/>
        <v/>
      </c>
      <c r="Z303" s="58" t="str">
        <f>IF(OR($M303="",NOT($O303="{array}")),"",IFERROR(MATCH(PARAMETERS!$M303,DEFAULT!$B$5:$CI$5,0),""))</f>
        <v/>
      </c>
      <c r="AA303" s="55" t="str">
        <f t="shared" si="14"/>
        <v/>
      </c>
      <c r="AB303" s="62" t="str">
        <f>IF(AND(OR($A303="G",$A303="P"),NOT($O303="{array}")),IF(VLOOKUP($K303,base!$B$2:$D$20,3,0)="S",IF(OR($O303="",ISTEXT($O303)),"","STRING!"),IF(VLOOKUP($K303,base!$B$2:$D$20,3,0)="","",IF(ISTEXT($O303),"NUMERIC!",""))),"")</f>
        <v/>
      </c>
      <c r="AC303" s="16" t="str">
        <f>IF($AA303="","",IF($B303="I",VLOOKUP($AA303,#REF!,53,0),INDEX(VALUES!$B$1:$GP$1,1,$AA303)))</f>
        <v/>
      </c>
    </row>
    <row r="304" spans="1:29" hidden="1" outlineLevel="1">
      <c r="A304" s="21"/>
      <c r="B304" s="40" t="str">
        <f t="shared" si="18"/>
        <v/>
      </c>
      <c r="C304" s="41">
        <f t="shared" si="20"/>
        <v>303</v>
      </c>
      <c r="D304" s="260"/>
      <c r="E304" s="37"/>
      <c r="F304" s="305"/>
      <c r="G304" s="188"/>
      <c r="H304" s="37"/>
      <c r="I304" s="37" t="s">
        <v>9</v>
      </c>
      <c r="J304" s="37"/>
      <c r="K304" s="249" t="s">
        <v>54</v>
      </c>
      <c r="L304" s="249" t="s">
        <v>29</v>
      </c>
      <c r="M304" s="214" t="s">
        <v>2145</v>
      </c>
      <c r="N304" s="249" t="s">
        <v>2016</v>
      </c>
      <c r="O304" s="311">
        <v>16</v>
      </c>
      <c r="R304" s="37" t="s">
        <v>106</v>
      </c>
      <c r="S304" s="37"/>
      <c r="T304" s="37"/>
      <c r="W304" s="14" t="str">
        <f>IF(IFERROR(VLOOKUP($M304,'IMPORT GS-Tür OL FL 2S2 20'!$H$2:$H$847,1,0),"-")="-","","GS")</f>
        <v/>
      </c>
      <c r="X304" s="14" t="str">
        <f t="shared" si="19"/>
        <v/>
      </c>
      <c r="Z304" s="58" t="str">
        <f>IF(OR($M304="",NOT($O304="{array}")),"",IFERROR(MATCH(PARAMETERS!$M304,DEFAULT!$B$5:$CI$5,0),""))</f>
        <v/>
      </c>
      <c r="AA304" s="55" t="str">
        <f t="shared" si="14"/>
        <v/>
      </c>
      <c r="AB304" s="62" t="str">
        <f>IF(AND(OR($A304="G",$A304="P"),NOT($O304="{array}")),IF(VLOOKUP($K304,base!$B$2:$D$20,3,0)="S",IF(OR($O304="",ISTEXT($O304)),"","STRING!"),IF(VLOOKUP($K304,base!$B$2:$D$20,3,0)="","",IF(ISTEXT($O304),"NUMERIC!",""))),"")</f>
        <v/>
      </c>
      <c r="AC304" s="16" t="str">
        <f>IF($AA304="","",IF($B304="I",VLOOKUP($AA304,#REF!,53,0),INDEX(VALUES!$B$1:$GP$1,1,$AA304)))</f>
        <v/>
      </c>
    </row>
    <row r="305" spans="1:29" hidden="1" outlineLevel="1">
      <c r="A305" s="21"/>
      <c r="B305" s="40" t="str">
        <f t="shared" si="18"/>
        <v/>
      </c>
      <c r="C305" s="41">
        <f t="shared" si="20"/>
        <v>304</v>
      </c>
      <c r="D305" s="260"/>
      <c r="E305" s="37"/>
      <c r="F305" s="305"/>
      <c r="G305" s="188"/>
      <c r="H305" s="37"/>
      <c r="I305" s="37" t="s">
        <v>9</v>
      </c>
      <c r="J305" s="37"/>
      <c r="K305" s="249" t="s">
        <v>54</v>
      </c>
      <c r="L305" s="249" t="s">
        <v>29</v>
      </c>
      <c r="M305" s="214" t="s">
        <v>2146</v>
      </c>
      <c r="N305" s="249" t="s">
        <v>2147</v>
      </c>
      <c r="O305" s="311">
        <v>65</v>
      </c>
      <c r="R305" s="37" t="s">
        <v>106</v>
      </c>
      <c r="S305" s="37"/>
      <c r="T305" s="37"/>
      <c r="W305" s="14" t="str">
        <f>IF(IFERROR(VLOOKUP($M305,'IMPORT GS-Tür OL FL 2S2 20'!$H$2:$H$847,1,0),"-")="-","","GS")</f>
        <v/>
      </c>
      <c r="X305" s="14" t="str">
        <f t="shared" si="19"/>
        <v/>
      </c>
      <c r="Z305" s="58" t="str">
        <f>IF(OR($M305="",NOT($O305="{array}")),"",IFERROR(MATCH(PARAMETERS!$M305,DEFAULT!$B$5:$CI$5,0),""))</f>
        <v/>
      </c>
      <c r="AA305" s="55" t="str">
        <f t="shared" si="14"/>
        <v/>
      </c>
      <c r="AB305" s="62" t="str">
        <f>IF(AND(OR($A305="G",$A305="P"),NOT($O305="{array}")),IF(VLOOKUP($K305,base!$B$2:$D$20,3,0)="S",IF(OR($O305="",ISTEXT($O305)),"","STRING!"),IF(VLOOKUP($K305,base!$B$2:$D$20,3,0)="","",IF(ISTEXT($O305),"NUMERIC!",""))),"")</f>
        <v/>
      </c>
      <c r="AC305" s="16" t="str">
        <f>IF($AA305="","",IF($B305="I",VLOOKUP($AA305,#REF!,53,0),INDEX(VALUES!$B$1:$GP$1,1,$AA305)))</f>
        <v/>
      </c>
    </row>
    <row r="306" spans="1:29" hidden="1" outlineLevel="1">
      <c r="A306" s="21"/>
      <c r="B306" s="40" t="str">
        <f t="shared" si="18"/>
        <v/>
      </c>
      <c r="C306" s="41">
        <f t="shared" si="20"/>
        <v>305</v>
      </c>
      <c r="D306" s="260"/>
      <c r="E306" s="37"/>
      <c r="F306" s="305"/>
      <c r="G306" s="188"/>
      <c r="H306" s="37"/>
      <c r="I306" s="37" t="s">
        <v>9</v>
      </c>
      <c r="J306" s="37"/>
      <c r="K306" s="249" t="s">
        <v>54</v>
      </c>
      <c r="L306" s="249" t="s">
        <v>29</v>
      </c>
      <c r="M306" s="214" t="s">
        <v>2148</v>
      </c>
      <c r="N306" s="249" t="s">
        <v>2149</v>
      </c>
      <c r="O306" s="311">
        <v>65</v>
      </c>
      <c r="R306" s="37" t="s">
        <v>106</v>
      </c>
      <c r="S306" s="37"/>
      <c r="T306" s="37"/>
      <c r="W306" s="14" t="str">
        <f>IF(IFERROR(VLOOKUP($M306,'IMPORT GS-Tür OL FL 2S2 20'!$H$2:$H$847,1,0),"-")="-","","GS")</f>
        <v/>
      </c>
      <c r="X306" s="14" t="str">
        <f t="shared" si="19"/>
        <v/>
      </c>
      <c r="Z306" s="58" t="str">
        <f>IF(OR($M306="",NOT($O306="{array}")),"",IFERROR(MATCH(PARAMETERS!$M306,DEFAULT!$B$5:$CI$5,0),""))</f>
        <v/>
      </c>
      <c r="AA306" s="55" t="str">
        <f t="shared" si="14"/>
        <v/>
      </c>
      <c r="AB306" s="62" t="str">
        <f>IF(AND(OR($A306="G",$A306="P"),NOT($O306="{array}")),IF(VLOOKUP($K306,base!$B$2:$D$20,3,0)="S",IF(OR($O306="",ISTEXT($O306)),"","STRING!"),IF(VLOOKUP($K306,base!$B$2:$D$20,3,0)="","",IF(ISTEXT($O306),"NUMERIC!",""))),"")</f>
        <v/>
      </c>
      <c r="AC306" s="16" t="str">
        <f>IF($AA306="","",IF($B306="I",VLOOKUP($AA306,#REF!,53,0),INDEX(VALUES!$B$1:$GP$1,1,$AA306)))</f>
        <v/>
      </c>
    </row>
    <row r="307" spans="1:29" hidden="1" outlineLevel="1">
      <c r="A307" s="21"/>
      <c r="B307" s="40" t="str">
        <f t="shared" si="18"/>
        <v/>
      </c>
      <c r="C307" s="41">
        <f t="shared" si="20"/>
        <v>306</v>
      </c>
      <c r="D307" s="260"/>
      <c r="E307" s="37"/>
      <c r="F307" s="305"/>
      <c r="G307" s="188"/>
      <c r="H307" s="37"/>
      <c r="I307" s="37" t="s">
        <v>9</v>
      </c>
      <c r="J307" s="37"/>
      <c r="K307" s="249" t="s">
        <v>54</v>
      </c>
      <c r="L307" s="249" t="s">
        <v>29</v>
      </c>
      <c r="M307" s="214" t="s">
        <v>2150</v>
      </c>
      <c r="N307" s="249" t="s">
        <v>2151</v>
      </c>
      <c r="O307" s="311">
        <v>65</v>
      </c>
      <c r="R307" s="37" t="s">
        <v>106</v>
      </c>
      <c r="S307" s="37"/>
      <c r="T307" s="37"/>
      <c r="W307" s="14" t="str">
        <f>IF(IFERROR(VLOOKUP($M307,'IMPORT GS-Tür OL FL 2S2 20'!$H$2:$H$847,1,0),"-")="-","","GS")</f>
        <v/>
      </c>
      <c r="X307" s="14" t="str">
        <f t="shared" si="19"/>
        <v/>
      </c>
      <c r="Z307" s="58" t="str">
        <f>IF(OR($M307="",NOT($O307="{array}")),"",IFERROR(MATCH(PARAMETERS!$M307,DEFAULT!$B$5:$CI$5,0),""))</f>
        <v/>
      </c>
      <c r="AA307" s="55" t="str">
        <f t="shared" si="14"/>
        <v/>
      </c>
      <c r="AB307" s="62" t="str">
        <f>IF(AND(OR($A307="G",$A307="P"),NOT($O307="{array}")),IF(VLOOKUP($K307,base!$B$2:$D$20,3,0)="S",IF(OR($O307="",ISTEXT($O307)),"","STRING!"),IF(VLOOKUP($K307,base!$B$2:$D$20,3,0)="","",IF(ISTEXT($O307),"NUMERIC!",""))),"")</f>
        <v/>
      </c>
      <c r="AC307" s="16" t="str">
        <f>IF($AA307="","",IF($B307="I",VLOOKUP($AA307,#REF!,53,0),INDEX(VALUES!$B$1:$GP$1,1,$AA307)))</f>
        <v/>
      </c>
    </row>
    <row r="308" spans="1:29" hidden="1" outlineLevel="1">
      <c r="A308" s="21"/>
      <c r="B308" s="40" t="str">
        <f t="shared" si="18"/>
        <v/>
      </c>
      <c r="C308" s="41">
        <f t="shared" si="20"/>
        <v>307</v>
      </c>
      <c r="D308" s="260"/>
      <c r="E308" s="37"/>
      <c r="F308" s="305"/>
      <c r="G308" s="188"/>
      <c r="H308" s="37"/>
      <c r="I308" s="37" t="s">
        <v>9</v>
      </c>
      <c r="J308" s="37"/>
      <c r="K308" s="249" t="s">
        <v>53</v>
      </c>
      <c r="L308" s="249" t="s">
        <v>29</v>
      </c>
      <c r="M308" s="214" t="s">
        <v>2152</v>
      </c>
      <c r="N308" s="249" t="s">
        <v>2153</v>
      </c>
      <c r="O308" s="311">
        <v>1</v>
      </c>
      <c r="R308" s="37" t="s">
        <v>106</v>
      </c>
      <c r="S308" s="37"/>
      <c r="T308" s="37"/>
      <c r="W308" s="14" t="str">
        <f>IF(IFERROR(VLOOKUP($M308,'IMPORT GS-Tür OL FL 2S2 20'!$H$2:$H$847,1,0),"-")="-","","GS")</f>
        <v/>
      </c>
      <c r="X308" s="14" t="str">
        <f t="shared" si="19"/>
        <v/>
      </c>
      <c r="Z308" s="58" t="str">
        <f>IF(OR($M308="",NOT($O308="{array}")),"",IFERROR(MATCH(PARAMETERS!$M308,DEFAULT!$B$5:$CI$5,0),""))</f>
        <v/>
      </c>
      <c r="AA308" s="55" t="str">
        <f t="shared" si="14"/>
        <v/>
      </c>
      <c r="AB308" s="62" t="str">
        <f>IF(AND(OR($A308="G",$A308="P"),NOT($O308="{array}")),IF(VLOOKUP($K308,base!$B$2:$D$20,3,0)="S",IF(OR($O308="",ISTEXT($O308)),"","STRING!"),IF(VLOOKUP($K308,base!$B$2:$D$20,3,0)="","",IF(ISTEXT($O308),"NUMERIC!",""))),"")</f>
        <v/>
      </c>
      <c r="AC308" s="16" t="str">
        <f>IF($AA308="","",IF($B308="I",VLOOKUP($AA308,#REF!,53,0),INDEX(VALUES!$B$1:$GP$1,1,$AA308)))</f>
        <v/>
      </c>
    </row>
    <row r="309" spans="1:29" collapsed="1">
      <c r="A309" s="21"/>
      <c r="B309" s="40" t="str">
        <f t="shared" si="18"/>
        <v/>
      </c>
      <c r="C309" s="41">
        <f t="shared" si="20"/>
        <v>308</v>
      </c>
      <c r="D309" s="260"/>
      <c r="E309" s="37"/>
      <c r="F309" s="305"/>
      <c r="G309" s="188"/>
      <c r="H309" s="37"/>
      <c r="I309" s="37"/>
      <c r="J309" s="37"/>
      <c r="K309" s="230" t="s">
        <v>59</v>
      </c>
      <c r="L309" s="230" t="s">
        <v>40</v>
      </c>
      <c r="M309" s="231" t="s">
        <v>2154</v>
      </c>
      <c r="N309" s="232" t="s">
        <v>2155</v>
      </c>
      <c r="O309" s="311"/>
      <c r="R309" s="37" t="s">
        <v>106</v>
      </c>
      <c r="S309" s="37"/>
      <c r="T309" s="37"/>
      <c r="W309" s="14" t="str">
        <f>IF(IFERROR(VLOOKUP($M309,'IMPORT GS-Tür OL FL 2S2 20'!$H$2:$H$847,1,0),"-")="-","","GS")</f>
        <v/>
      </c>
      <c r="X309" s="14" t="str">
        <f t="shared" si="19"/>
        <v/>
      </c>
      <c r="Y309" s="52" t="s">
        <v>2156</v>
      </c>
      <c r="Z309" s="58" t="str">
        <f>IF(OR($M309="",NOT($O309="{array}")),"",IFERROR(MATCH(PARAMETERS!$M309,DEFAULT!$B$5:$CI$5,0),""))</f>
        <v/>
      </c>
      <c r="AA309" s="55" t="str">
        <f t="shared" si="14"/>
        <v/>
      </c>
      <c r="AB309" s="62" t="str">
        <f>IF(AND(OR($A309="G",$A309="P"),NOT($O309="{array}")),IF(VLOOKUP($K309,base!$B$2:$D$20,3,0)="S",IF(OR($O309="",ISTEXT($O309)),"","STRING!"),IF(VLOOKUP($K309,base!$B$2:$D$20,3,0)="","",IF(ISTEXT($O309),"NUMERIC!",""))),"")</f>
        <v/>
      </c>
      <c r="AC309" s="16" t="str">
        <f>IF($AA309="","",IF($B309="I",VLOOKUP($AA309,#REF!,53,0),INDEX(VALUES!$B$1:$GP$1,1,$AA309)))</f>
        <v/>
      </c>
    </row>
    <row r="310" spans="1:29" hidden="1" outlineLevel="1">
      <c r="A310" s="21"/>
      <c r="B310" s="40" t="str">
        <f t="shared" si="18"/>
        <v/>
      </c>
      <c r="C310" s="41">
        <f t="shared" si="20"/>
        <v>309</v>
      </c>
      <c r="D310" s="260"/>
      <c r="E310" s="37"/>
      <c r="F310" s="305"/>
      <c r="G310" s="188"/>
      <c r="H310" s="37" t="s">
        <v>9</v>
      </c>
      <c r="I310" s="37" t="s">
        <v>9</v>
      </c>
      <c r="J310" s="37"/>
      <c r="K310" s="13" t="s">
        <v>49</v>
      </c>
      <c r="L310" s="13" t="s">
        <v>29</v>
      </c>
      <c r="M310" s="19" t="s">
        <v>2157</v>
      </c>
      <c r="N310" s="13" t="s">
        <v>2155</v>
      </c>
      <c r="O310" s="42">
        <v>0</v>
      </c>
      <c r="R310" s="37" t="s">
        <v>106</v>
      </c>
      <c r="S310" s="37"/>
      <c r="T310" s="37"/>
      <c r="W310" s="14" t="str">
        <f>IF(IFERROR(VLOOKUP($M310,'IMPORT GS-Tür OL FL 2S2 20'!$H$2:$H$847,1,0),"-")="-","","GS")</f>
        <v/>
      </c>
      <c r="X310" s="14" t="str">
        <f t="shared" si="19"/>
        <v/>
      </c>
      <c r="Z310" s="58" t="str">
        <f>IF(OR($M310="",NOT($O310="{array}")),"",IFERROR(MATCH(PARAMETERS!$M310,DEFAULT!$B$5:$CI$5,0),""))</f>
        <v/>
      </c>
      <c r="AA310" s="55" t="str">
        <f t="shared" si="14"/>
        <v/>
      </c>
      <c r="AB310" s="62" t="str">
        <f>IF(AND(OR($A310="G",$A310="P"),NOT($O310="{array}")),IF(VLOOKUP($K310,base!$B$2:$D$20,3,0)="S",IF(OR($O310="",ISTEXT($O310)),"","STRING!"),IF(VLOOKUP($K310,base!$B$2:$D$20,3,0)="","",IF(ISTEXT($O310),"NUMERIC!",""))),"")</f>
        <v/>
      </c>
      <c r="AC310" s="16" t="str">
        <f>IF($AA310="","",IF($B310="I",VLOOKUP($AA310,#REF!,53,0),INDEX(VALUES!$B$1:$GP$1,1,$AA310)))</f>
        <v/>
      </c>
    </row>
    <row r="311" spans="1:29" hidden="1" outlineLevel="1">
      <c r="A311" s="21"/>
      <c r="B311" s="40" t="str">
        <f t="shared" si="18"/>
        <v/>
      </c>
      <c r="C311" s="41">
        <f t="shared" si="20"/>
        <v>310</v>
      </c>
      <c r="D311" s="260"/>
      <c r="E311" s="37"/>
      <c r="F311" s="305"/>
      <c r="G311" s="188"/>
      <c r="H311" s="37"/>
      <c r="I311" s="37" t="s">
        <v>9</v>
      </c>
      <c r="J311" s="37"/>
      <c r="K311" s="13" t="s">
        <v>46</v>
      </c>
      <c r="L311" s="13" t="s">
        <v>29</v>
      </c>
      <c r="M311" s="19" t="s">
        <v>2158</v>
      </c>
      <c r="N311" s="13" t="s">
        <v>2159</v>
      </c>
      <c r="O311" s="42">
        <v>1</v>
      </c>
      <c r="R311" s="37" t="s">
        <v>106</v>
      </c>
      <c r="S311" s="37"/>
      <c r="T311" s="37"/>
      <c r="W311" s="14" t="str">
        <f>IF(IFERROR(VLOOKUP($M311,'IMPORT GS-Tür OL FL 2S2 20'!$H$2:$H$847,1,0),"-")="-","","GS")</f>
        <v/>
      </c>
      <c r="X311" s="14" t="str">
        <f t="shared" si="19"/>
        <v/>
      </c>
      <c r="Z311" s="58" t="str">
        <f>IF(OR($M311="",NOT($O311="{array}")),"",IFERROR(MATCH(PARAMETERS!$M311,DEFAULT!$B$5:$CI$5,0),""))</f>
        <v/>
      </c>
      <c r="AA311" s="55" t="str">
        <f t="shared" si="14"/>
        <v/>
      </c>
      <c r="AB311" s="62" t="str">
        <f>IF(AND(OR($A311="G",$A311="P"),NOT($O311="{array}")),IF(VLOOKUP($K311,base!$B$2:$D$20,3,0)="S",IF(OR($O311="",ISTEXT($O311)),"","STRING!"),IF(VLOOKUP($K311,base!$B$2:$D$20,3,0)="","",IF(ISTEXT($O311),"NUMERIC!",""))),"")</f>
        <v/>
      </c>
      <c r="AC311" s="16" t="str">
        <f>IF($AA311="","",IF($B311="I",VLOOKUP($AA311,#REF!,53,0),INDEX(VALUES!$B$1:$GP$1,1,$AA311)))</f>
        <v/>
      </c>
    </row>
    <row r="312" spans="1:29" hidden="1" outlineLevel="1">
      <c r="A312" s="21"/>
      <c r="B312" s="40" t="str">
        <f t="shared" si="18"/>
        <v/>
      </c>
      <c r="C312" s="41">
        <f t="shared" si="20"/>
        <v>311</v>
      </c>
      <c r="D312" s="260"/>
      <c r="E312" s="37"/>
      <c r="F312" s="305"/>
      <c r="G312" s="188" t="s">
        <v>9</v>
      </c>
      <c r="H312" s="37"/>
      <c r="I312" s="37" t="s">
        <v>9</v>
      </c>
      <c r="J312" s="37"/>
      <c r="K312" s="13" t="s">
        <v>46</v>
      </c>
      <c r="L312" s="13" t="s">
        <v>29</v>
      </c>
      <c r="M312" s="19" t="s">
        <v>2160</v>
      </c>
      <c r="N312" s="13" t="s">
        <v>2161</v>
      </c>
      <c r="O312" s="42">
        <v>254</v>
      </c>
      <c r="R312" s="37" t="s">
        <v>106</v>
      </c>
      <c r="S312" s="37"/>
      <c r="T312" s="37"/>
      <c r="W312" s="14" t="str">
        <f>IF(IFERROR(VLOOKUP($M312,'IMPORT GS-Tür OL FL 2S2 20'!$H$2:$H$847,1,0),"-")="-","","GS")</f>
        <v/>
      </c>
      <c r="X312" s="14" t="str">
        <f t="shared" si="19"/>
        <v/>
      </c>
      <c r="Z312" s="58" t="str">
        <f>IF(OR($M312="",NOT($O312="{array}")),"",IFERROR(MATCH(PARAMETERS!$M312,DEFAULT!$B$5:$CI$5,0),""))</f>
        <v/>
      </c>
      <c r="AA312" s="55" t="str">
        <f t="shared" si="14"/>
        <v/>
      </c>
      <c r="AB312" s="62" t="str">
        <f>IF(AND(OR($A312="G",$A312="P"),NOT($O312="{array}")),IF(VLOOKUP($K312,base!$B$2:$D$20,3,0)="S",IF(OR($O312="",ISTEXT($O312)),"","STRING!"),IF(VLOOKUP($K312,base!$B$2:$D$20,3,0)="","",IF(ISTEXT($O312),"NUMERIC!",""))),"")</f>
        <v/>
      </c>
      <c r="AC312" s="16" t="str">
        <f>IF($AA312="","",IF($B312="I",VLOOKUP($AA312,#REF!,53,0),INDEX(VALUES!$B$1:$GP$1,1,$AA312)))</f>
        <v/>
      </c>
    </row>
    <row r="313" spans="1:29" s="276" customFormat="1" hidden="1" outlineLevel="1">
      <c r="A313" s="263"/>
      <c r="B313" s="264" t="str">
        <f t="shared" si="18"/>
        <v>A</v>
      </c>
      <c r="C313" s="265">
        <f t="shared" si="20"/>
        <v>312</v>
      </c>
      <c r="D313" s="266"/>
      <c r="E313" s="266"/>
      <c r="F313" s="305"/>
      <c r="G313" s="188" t="s">
        <v>9</v>
      </c>
      <c r="H313" s="266"/>
      <c r="I313" s="266" t="s">
        <v>9</v>
      </c>
      <c r="J313" s="266"/>
      <c r="K313" s="276" t="s">
        <v>46</v>
      </c>
      <c r="L313" s="276" t="s">
        <v>29</v>
      </c>
      <c r="M313" s="285" t="s">
        <v>2162</v>
      </c>
      <c r="O313" s="286" t="s">
        <v>35</v>
      </c>
      <c r="Q313" s="266"/>
      <c r="R313" s="266" t="s">
        <v>106</v>
      </c>
      <c r="S313" s="266"/>
      <c r="T313" s="266"/>
      <c r="W313" s="272" t="str">
        <f>IF(IFERROR(VLOOKUP($M313,'IMPORT GS-Tür OL FL 2S2 20'!$H$2:$H$847,1,0),"-")="-","","GS")</f>
        <v/>
      </c>
      <c r="X313" s="272" t="str">
        <f t="shared" si="19"/>
        <v/>
      </c>
      <c r="Z313" s="273">
        <f>IF(OR($M313="",NOT($O313="{array}")),"",IFERROR(MATCH(PARAMETERS!$M313,DEFAULT!$B$5:$CI$5,0),""))</f>
        <v>14</v>
      </c>
      <c r="AA313" s="272" t="str">
        <f t="shared" si="14"/>
        <v/>
      </c>
      <c r="AB313" s="274" t="str">
        <f>IF(AND(OR($A313="G",$A313="P"),NOT($O313="{array}")),IF(VLOOKUP($K313,base!$B$2:$D$20,3,0)="S",IF(OR($O313="",ISTEXT($O313)),"","STRING!"),IF(VLOOKUP($K313,base!$B$2:$D$20,3,0)="","",IF(ISTEXT($O313),"NUMERIC!",""))),"")</f>
        <v/>
      </c>
      <c r="AC313" s="275" t="str">
        <f>IF($AA313="","",IF($B313="I",VLOOKUP($AA313,#REF!,53,0),INDEX(VALUES!$B$1:$GP$1,1,$AA313)))</f>
        <v/>
      </c>
    </row>
    <row r="314" spans="1:29" s="276" customFormat="1" hidden="1" outlineLevel="1">
      <c r="A314" s="263"/>
      <c r="B314" s="264" t="str">
        <f t="shared" si="18"/>
        <v/>
      </c>
      <c r="C314" s="265">
        <f t="shared" si="20"/>
        <v>313</v>
      </c>
      <c r="D314" s="266"/>
      <c r="E314" s="266"/>
      <c r="F314" s="305"/>
      <c r="G314" s="188"/>
      <c r="H314" s="266"/>
      <c r="I314" s="266" t="s">
        <v>9</v>
      </c>
      <c r="J314" s="266"/>
      <c r="K314" s="276" t="s">
        <v>46</v>
      </c>
      <c r="L314" s="276" t="s">
        <v>29</v>
      </c>
      <c r="M314" s="285" t="s">
        <v>2163</v>
      </c>
      <c r="N314" s="276" t="s">
        <v>2164</v>
      </c>
      <c r="O314" s="286">
        <v>2</v>
      </c>
      <c r="Q314" s="266" t="s">
        <v>9</v>
      </c>
      <c r="R314" s="266" t="s">
        <v>106</v>
      </c>
      <c r="S314" s="266"/>
      <c r="T314" s="266"/>
      <c r="W314" s="272" t="str">
        <f>IF(IFERROR(VLOOKUP($M314,'IMPORT GS-Tür OL FL 2S2 20'!$H$2:$H$847,1,0),"-")="-","","GS")</f>
        <v/>
      </c>
      <c r="X314" s="272" t="str">
        <f t="shared" si="19"/>
        <v/>
      </c>
      <c r="Z314" s="273" t="str">
        <f>IF(OR($M314="",NOT($O314="{array}")),"",IFERROR(MATCH(PARAMETERS!$M314,DEFAULT!$B$5:$CI$5,0),""))</f>
        <v/>
      </c>
      <c r="AA314" s="272" t="str">
        <f t="shared" si="14"/>
        <v/>
      </c>
      <c r="AB314" s="274" t="str">
        <f>IF(AND(OR($A314="G",$A314="P"),NOT($O314="{array}")),IF(VLOOKUP($K314,base!$B$2:$D$20,3,0)="S",IF(OR($O314="",ISTEXT($O314)),"","STRING!"),IF(VLOOKUP($K314,base!$B$2:$D$20,3,0)="","",IF(ISTEXT($O314),"NUMERIC!",""))),"")</f>
        <v/>
      </c>
      <c r="AC314" s="275" t="str">
        <f>IF($AA314="","",IF($B314="I",VLOOKUP($AA314,#REF!,53,0),INDEX(VALUES!$B$1:$GP$1,1,$AA314)))</f>
        <v/>
      </c>
    </row>
    <row r="315" spans="1:29" s="276" customFormat="1" hidden="1" outlineLevel="1">
      <c r="A315" s="263"/>
      <c r="B315" s="264" t="str">
        <f t="shared" si="18"/>
        <v/>
      </c>
      <c r="C315" s="265">
        <f t="shared" si="20"/>
        <v>314</v>
      </c>
      <c r="D315" s="266"/>
      <c r="E315" s="266"/>
      <c r="F315" s="305"/>
      <c r="G315" s="188"/>
      <c r="H315" s="266"/>
      <c r="I315" s="266" t="s">
        <v>9</v>
      </c>
      <c r="J315" s="266"/>
      <c r="K315" s="276" t="s">
        <v>46</v>
      </c>
      <c r="L315" s="276" t="s">
        <v>29</v>
      </c>
      <c r="M315" s="285" t="s">
        <v>2165</v>
      </c>
      <c r="N315" s="276" t="s">
        <v>2166</v>
      </c>
      <c r="O315" s="286">
        <v>1</v>
      </c>
      <c r="Q315" s="266" t="s">
        <v>9</v>
      </c>
      <c r="R315" s="266" t="s">
        <v>106</v>
      </c>
      <c r="S315" s="266"/>
      <c r="T315" s="266"/>
      <c r="W315" s="272" t="str">
        <f>IF(IFERROR(VLOOKUP($M315,'IMPORT GS-Tür OL FL 2S2 20'!$H$2:$H$847,1,0),"-")="-","","GS")</f>
        <v/>
      </c>
      <c r="X315" s="272" t="str">
        <f t="shared" si="19"/>
        <v/>
      </c>
      <c r="Z315" s="273" t="str">
        <f>IF(OR($M315="",NOT($O315="{array}")),"",IFERROR(MATCH(PARAMETERS!$M315,DEFAULT!$B$5:$CI$5,0),""))</f>
        <v/>
      </c>
      <c r="AA315" s="272" t="str">
        <f t="shared" si="14"/>
        <v/>
      </c>
      <c r="AB315" s="274" t="str">
        <f>IF(AND(OR($A315="G",$A315="P"),NOT($O315="{array}")),IF(VLOOKUP($K315,base!$B$2:$D$20,3,0)="S",IF(OR($O315="",ISTEXT($O315)),"","STRING!"),IF(VLOOKUP($K315,base!$B$2:$D$20,3,0)="","",IF(ISTEXT($O315),"NUMERIC!",""))),"")</f>
        <v/>
      </c>
      <c r="AC315" s="275" t="str">
        <f>IF($AA315="","",IF($B315="I",VLOOKUP($AA315,#REF!,53,0),INDEX(VALUES!$B$1:$GP$1,1,$AA315)))</f>
        <v/>
      </c>
    </row>
    <row r="316" spans="1:29" s="276" customFormat="1" hidden="1" outlineLevel="1">
      <c r="A316" s="263"/>
      <c r="B316" s="264" t="str">
        <f t="shared" si="18"/>
        <v/>
      </c>
      <c r="C316" s="265">
        <f t="shared" si="20"/>
        <v>315</v>
      </c>
      <c r="D316" s="266"/>
      <c r="E316" s="266"/>
      <c r="F316" s="305"/>
      <c r="G316" s="188"/>
      <c r="H316" s="266"/>
      <c r="I316" s="266" t="s">
        <v>9</v>
      </c>
      <c r="J316" s="266"/>
      <c r="K316" s="276" t="s">
        <v>20</v>
      </c>
      <c r="L316" s="276" t="s">
        <v>29</v>
      </c>
      <c r="M316" s="285" t="s">
        <v>2167</v>
      </c>
      <c r="N316" s="276" t="s">
        <v>2168</v>
      </c>
      <c r="O316" s="286" t="s">
        <v>2169</v>
      </c>
      <c r="Q316" s="266"/>
      <c r="R316" s="266" t="s">
        <v>106</v>
      </c>
      <c r="S316" s="266"/>
      <c r="T316" s="266"/>
      <c r="W316" s="272" t="str">
        <f>IF(IFERROR(VLOOKUP($M316,'IMPORT GS-Tür OL FL 2S2 20'!$H$2:$H$847,1,0),"-")="-","","GS")</f>
        <v/>
      </c>
      <c r="X316" s="272" t="str">
        <f t="shared" si="19"/>
        <v/>
      </c>
      <c r="Z316" s="273" t="str">
        <f>IF(OR($M316="",NOT($O316="{array}")),"",IFERROR(MATCH(PARAMETERS!$M316,DEFAULT!$B$5:$CI$5,0),""))</f>
        <v/>
      </c>
      <c r="AA316" s="272" t="str">
        <f t="shared" si="14"/>
        <v/>
      </c>
      <c r="AB316" s="274" t="str">
        <f>IF(AND(OR($A316="G",$A316="P"),NOT($O316="{array}")),IF(VLOOKUP($K316,base!$B$2:$D$20,3,0)="S",IF(OR($O316="",ISTEXT($O316)),"","STRING!"),IF(VLOOKUP($K316,base!$B$2:$D$20,3,0)="","",IF(ISTEXT($O316),"NUMERIC!",""))),"")</f>
        <v/>
      </c>
      <c r="AC316" s="275" t="str">
        <f>IF($AA316="","",IF($B316="I",VLOOKUP($AA316,#REF!,53,0),INDEX(VALUES!$B$1:$GP$1,1,$AA316)))</f>
        <v/>
      </c>
    </row>
    <row r="317" spans="1:29" s="276" customFormat="1" hidden="1" outlineLevel="1">
      <c r="A317" s="263"/>
      <c r="B317" s="264" t="str">
        <f t="shared" si="18"/>
        <v/>
      </c>
      <c r="C317" s="265">
        <f t="shared" si="20"/>
        <v>316</v>
      </c>
      <c r="D317" s="266"/>
      <c r="E317" s="266"/>
      <c r="F317" s="305"/>
      <c r="G317" s="188" t="s">
        <v>9</v>
      </c>
      <c r="H317" s="266"/>
      <c r="I317" s="266" t="s">
        <v>9</v>
      </c>
      <c r="J317" s="266"/>
      <c r="K317" s="276" t="s">
        <v>46</v>
      </c>
      <c r="L317" s="276" t="s">
        <v>29</v>
      </c>
      <c r="M317" s="285" t="s">
        <v>2170</v>
      </c>
      <c r="N317" s="276" t="s">
        <v>2168</v>
      </c>
      <c r="O317" s="286">
        <v>1</v>
      </c>
      <c r="Q317" s="266"/>
      <c r="R317" s="266" t="s">
        <v>106</v>
      </c>
      <c r="S317" s="266"/>
      <c r="T317" s="266"/>
      <c r="W317" s="272" t="str">
        <f>IF(IFERROR(VLOOKUP($M317,'IMPORT GS-Tür OL FL 2S2 20'!$H$2:$H$847,1,0),"-")="-","","GS")</f>
        <v/>
      </c>
      <c r="X317" s="272" t="str">
        <f t="shared" si="19"/>
        <v/>
      </c>
      <c r="Z317" s="273" t="str">
        <f>IF(OR($M317="",NOT($O317="{array}")),"",IFERROR(MATCH(PARAMETERS!$M317,DEFAULT!$B$5:$CI$5,0),""))</f>
        <v/>
      </c>
      <c r="AA317" s="272" t="str">
        <f t="shared" si="14"/>
        <v/>
      </c>
      <c r="AB317" s="274" t="str">
        <f>IF(AND(OR($A317="G",$A317="P"),NOT($O317="{array}")),IF(VLOOKUP($K317,base!$B$2:$D$20,3,0)="S",IF(OR($O317="",ISTEXT($O317)),"","STRING!"),IF(VLOOKUP($K317,base!$B$2:$D$20,3,0)="","",IF(ISTEXT($O317),"NUMERIC!",""))),"")</f>
        <v/>
      </c>
      <c r="AC317" s="275" t="str">
        <f>IF($AA317="","",IF($B317="I",VLOOKUP($AA317,#REF!,53,0),INDEX(VALUES!$B$1:$GP$1,1,$AA317)))</f>
        <v/>
      </c>
    </row>
    <row r="318" spans="1:29" s="276" customFormat="1" hidden="1" outlineLevel="1">
      <c r="A318" s="263"/>
      <c r="B318" s="264" t="str">
        <f t="shared" si="18"/>
        <v/>
      </c>
      <c r="C318" s="265">
        <f t="shared" si="20"/>
        <v>317</v>
      </c>
      <c r="D318" s="266"/>
      <c r="E318" s="266"/>
      <c r="F318" s="305"/>
      <c r="G318" s="188"/>
      <c r="H318" s="266"/>
      <c r="I318" s="266" t="s">
        <v>9</v>
      </c>
      <c r="J318" s="266"/>
      <c r="K318" s="276" t="s">
        <v>49</v>
      </c>
      <c r="L318" s="276" t="s">
        <v>29</v>
      </c>
      <c r="M318" s="285" t="s">
        <v>2171</v>
      </c>
      <c r="N318" s="276" t="s">
        <v>2172</v>
      </c>
      <c r="O318" s="286">
        <v>1</v>
      </c>
      <c r="Q318" s="266"/>
      <c r="R318" s="266" t="s">
        <v>106</v>
      </c>
      <c r="S318" s="266"/>
      <c r="T318" s="266"/>
      <c r="W318" s="272" t="str">
        <f>IF(IFERROR(VLOOKUP($M318,'IMPORT GS-Tür OL FL 2S2 20'!$H$2:$H$847,1,0),"-")="-","","GS")</f>
        <v/>
      </c>
      <c r="X318" s="272" t="str">
        <f t="shared" si="19"/>
        <v/>
      </c>
      <c r="Z318" s="273" t="str">
        <f>IF(OR($M318="",NOT($O318="{array}")),"",IFERROR(MATCH(PARAMETERS!$M318,DEFAULT!$B$5:$CI$5,0),""))</f>
        <v/>
      </c>
      <c r="AA318" s="272" t="str">
        <f t="shared" si="14"/>
        <v/>
      </c>
      <c r="AB318" s="274" t="str">
        <f>IF(AND(OR($A318="G",$A318="P"),NOT($O318="{array}")),IF(VLOOKUP($K318,base!$B$2:$D$20,3,0)="S",IF(OR($O318="",ISTEXT($O318)),"","STRING!"),IF(VLOOKUP($K318,base!$B$2:$D$20,3,0)="","",IF(ISTEXT($O318),"NUMERIC!",""))),"")</f>
        <v/>
      </c>
      <c r="AC318" s="275" t="str">
        <f>IF($AA318="","",IF($B318="I",VLOOKUP($AA318,#REF!,53,0),INDEX(VALUES!$B$1:$GP$1,1,$AA318)))</f>
        <v/>
      </c>
    </row>
    <row r="319" spans="1:29" s="276" customFormat="1" hidden="1" outlineLevel="1">
      <c r="A319" s="263"/>
      <c r="B319" s="264" t="str">
        <f t="shared" si="18"/>
        <v/>
      </c>
      <c r="C319" s="265">
        <f t="shared" si="20"/>
        <v>318</v>
      </c>
      <c r="D319" s="266"/>
      <c r="E319" s="266"/>
      <c r="F319" s="305"/>
      <c r="G319" s="188"/>
      <c r="H319" s="266"/>
      <c r="I319" s="266" t="s">
        <v>9</v>
      </c>
      <c r="J319" s="266"/>
      <c r="K319" s="276" t="s">
        <v>26</v>
      </c>
      <c r="L319" s="276" t="s">
        <v>29</v>
      </c>
      <c r="M319" s="285" t="s">
        <v>2173</v>
      </c>
      <c r="N319" s="276" t="s">
        <v>2174</v>
      </c>
      <c r="O319" s="286">
        <v>1.5</v>
      </c>
      <c r="Q319" s="266" t="s">
        <v>9</v>
      </c>
      <c r="R319" s="266" t="s">
        <v>106</v>
      </c>
      <c r="S319" s="266"/>
      <c r="T319" s="266"/>
      <c r="W319" s="272" t="str">
        <f>IF(IFERROR(VLOOKUP($M319,'IMPORT GS-Tür OL FL 2S2 20'!$H$2:$H$847,1,0),"-")="-","","GS")</f>
        <v/>
      </c>
      <c r="X319" s="272" t="str">
        <f t="shared" si="19"/>
        <v/>
      </c>
      <c r="Z319" s="273" t="str">
        <f>IF(OR($M319="",NOT($O319="{array}")),"",IFERROR(MATCH(PARAMETERS!$M319,DEFAULT!$B$5:$CI$5,0),""))</f>
        <v/>
      </c>
      <c r="AA319" s="272" t="str">
        <f t="shared" si="14"/>
        <v/>
      </c>
      <c r="AB319" s="274" t="str">
        <f>IF(AND(OR($A319="G",$A319="P"),NOT($O319="{array}")),IF(VLOOKUP($K319,base!$B$2:$D$20,3,0)="S",IF(OR($O319="",ISTEXT($O319)),"","STRING!"),IF(VLOOKUP($K319,base!$B$2:$D$20,3,0)="","",IF(ISTEXT($O319),"NUMERIC!",""))),"")</f>
        <v/>
      </c>
      <c r="AC319" s="275" t="str">
        <f>IF($AA319="","",IF($B319="I",VLOOKUP($AA319,#REF!,53,0),INDEX(VALUES!$B$1:$GP$1,1,$AA319)))</f>
        <v/>
      </c>
    </row>
    <row r="320" spans="1:29" s="276" customFormat="1" hidden="1" outlineLevel="1">
      <c r="A320" s="263"/>
      <c r="B320" s="264" t="str">
        <f t="shared" si="18"/>
        <v/>
      </c>
      <c r="C320" s="265">
        <f t="shared" si="20"/>
        <v>319</v>
      </c>
      <c r="D320" s="266"/>
      <c r="E320" s="266"/>
      <c r="F320" s="305"/>
      <c r="G320" s="188"/>
      <c r="H320" s="266"/>
      <c r="I320" s="266" t="s">
        <v>9</v>
      </c>
      <c r="J320" s="266"/>
      <c r="K320" s="276" t="s">
        <v>26</v>
      </c>
      <c r="L320" s="276" t="s">
        <v>29</v>
      </c>
      <c r="M320" s="285" t="s">
        <v>2175</v>
      </c>
      <c r="N320" s="276" t="s">
        <v>2176</v>
      </c>
      <c r="O320" s="286">
        <v>0.02</v>
      </c>
      <c r="Q320" s="266" t="s">
        <v>9</v>
      </c>
      <c r="R320" s="266" t="s">
        <v>106</v>
      </c>
      <c r="S320" s="266"/>
      <c r="T320" s="266"/>
      <c r="W320" s="272" t="str">
        <f>IF(IFERROR(VLOOKUP($M320,'IMPORT GS-Tür OL FL 2S2 20'!$H$2:$H$847,1,0),"-")="-","","GS")</f>
        <v/>
      </c>
      <c r="X320" s="272" t="str">
        <f t="shared" si="19"/>
        <v/>
      </c>
      <c r="Z320" s="273" t="str">
        <f>IF(OR($M320="",NOT($O320="{array}")),"",IFERROR(MATCH(PARAMETERS!$M320,DEFAULT!$B$5:$CI$5,0),""))</f>
        <v/>
      </c>
      <c r="AA320" s="272" t="str">
        <f t="shared" si="14"/>
        <v/>
      </c>
      <c r="AB320" s="274" t="str">
        <f>IF(AND(OR($A320="G",$A320="P"),NOT($O320="{array}")),IF(VLOOKUP($K320,base!$B$2:$D$20,3,0)="S",IF(OR($O320="",ISTEXT($O320)),"","STRING!"),IF(VLOOKUP($K320,base!$B$2:$D$20,3,0)="","",IF(ISTEXT($O320),"NUMERIC!",""))),"")</f>
        <v/>
      </c>
      <c r="AC320" s="275" t="str">
        <f>IF($AA320="","",IF($B320="I",VLOOKUP($AA320,#REF!,53,0),INDEX(VALUES!$B$1:$GP$1,1,$AA320)))</f>
        <v/>
      </c>
    </row>
    <row r="321" spans="1:29" s="276" customFormat="1" hidden="1" outlineLevel="1">
      <c r="A321" s="263"/>
      <c r="B321" s="264" t="str">
        <f t="shared" si="18"/>
        <v/>
      </c>
      <c r="C321" s="265">
        <f t="shared" si="20"/>
        <v>320</v>
      </c>
      <c r="D321" s="266"/>
      <c r="E321" s="266"/>
      <c r="F321" s="305"/>
      <c r="G321" s="188"/>
      <c r="H321" s="266"/>
      <c r="I321" s="266" t="s">
        <v>9</v>
      </c>
      <c r="J321" s="266"/>
      <c r="K321" s="276" t="s">
        <v>26</v>
      </c>
      <c r="L321" s="276" t="s">
        <v>29</v>
      </c>
      <c r="M321" s="285" t="s">
        <v>2177</v>
      </c>
      <c r="N321" s="276" t="s">
        <v>2178</v>
      </c>
      <c r="O321" s="286">
        <v>0</v>
      </c>
      <c r="Q321" s="266" t="s">
        <v>9</v>
      </c>
      <c r="R321" s="266" t="s">
        <v>106</v>
      </c>
      <c r="S321" s="266"/>
      <c r="T321" s="266"/>
      <c r="W321" s="272" t="str">
        <f>IF(IFERROR(VLOOKUP($M321,'IMPORT GS-Tür OL FL 2S2 20'!$H$2:$H$847,1,0),"-")="-","","GS")</f>
        <v/>
      </c>
      <c r="X321" s="272" t="str">
        <f t="shared" si="19"/>
        <v/>
      </c>
      <c r="Z321" s="273" t="str">
        <f>IF(OR($M321="",NOT($O321="{array}")),"",IFERROR(MATCH(PARAMETERS!$M321,DEFAULT!$B$5:$CI$5,0),""))</f>
        <v/>
      </c>
      <c r="AA321" s="272" t="str">
        <f t="shared" si="14"/>
        <v/>
      </c>
      <c r="AB321" s="274" t="str">
        <f>IF(AND(OR($A321="G",$A321="P"),NOT($O321="{array}")),IF(VLOOKUP($K321,base!$B$2:$D$20,3,0)="S",IF(OR($O321="",ISTEXT($O321)),"","STRING!"),IF(VLOOKUP($K321,base!$B$2:$D$20,3,0)="","",IF(ISTEXT($O321),"NUMERIC!",""))),"")</f>
        <v/>
      </c>
      <c r="AC321" s="275" t="str">
        <f>IF($AA321="","",IF($B321="I",VLOOKUP($AA321,#REF!,53,0),INDEX(VALUES!$B$1:$GP$1,1,$AA321)))</f>
        <v/>
      </c>
    </row>
    <row r="322" spans="1:29" s="276" customFormat="1" hidden="1" outlineLevel="1">
      <c r="A322" s="263"/>
      <c r="B322" s="264" t="str">
        <f t="shared" si="18"/>
        <v/>
      </c>
      <c r="C322" s="265">
        <f t="shared" si="20"/>
        <v>321</v>
      </c>
      <c r="D322" s="266"/>
      <c r="E322" s="266"/>
      <c r="F322" s="305"/>
      <c r="G322" s="188"/>
      <c r="H322" s="266"/>
      <c r="I322" s="266" t="s">
        <v>9</v>
      </c>
      <c r="J322" s="266"/>
      <c r="K322" s="276" t="s">
        <v>49</v>
      </c>
      <c r="L322" s="276" t="s">
        <v>29</v>
      </c>
      <c r="M322" s="285" t="s">
        <v>2179</v>
      </c>
      <c r="N322" s="276" t="s">
        <v>2180</v>
      </c>
      <c r="O322" s="286">
        <v>0</v>
      </c>
      <c r="Q322" s="266"/>
      <c r="R322" s="266" t="s">
        <v>106</v>
      </c>
      <c r="S322" s="266"/>
      <c r="T322" s="266"/>
      <c r="W322" s="272" t="str">
        <f>IF(IFERROR(VLOOKUP($M322,'IMPORT GS-Tür OL FL 2S2 20'!$H$2:$H$847,1,0),"-")="-","","GS")</f>
        <v/>
      </c>
      <c r="X322" s="272" t="str">
        <f t="shared" si="19"/>
        <v/>
      </c>
      <c r="Z322" s="273" t="str">
        <f>IF(OR($M322="",NOT($O322="{array}")),"",IFERROR(MATCH(PARAMETERS!$M322,DEFAULT!$B$5:$CI$5,0),""))</f>
        <v/>
      </c>
      <c r="AA322" s="272" t="str">
        <f t="shared" si="14"/>
        <v/>
      </c>
      <c r="AB322" s="274" t="str">
        <f>IF(AND(OR($A322="G",$A322="P"),NOT($O322="{array}")),IF(VLOOKUP($K322,base!$B$2:$D$20,3,0)="S",IF(OR($O322="",ISTEXT($O322)),"","STRING!"),IF(VLOOKUP($K322,base!$B$2:$D$20,3,0)="","",IF(ISTEXT($O322),"NUMERIC!",""))),"")</f>
        <v/>
      </c>
      <c r="AC322" s="275" t="str">
        <f>IF($AA322="","",IF($B322="I",VLOOKUP($AA322,#REF!,53,0),INDEX(VALUES!$B$1:$GP$1,1,$AA322)))</f>
        <v/>
      </c>
    </row>
    <row r="323" spans="1:29" s="276" customFormat="1" hidden="1" outlineLevel="1">
      <c r="A323" s="263"/>
      <c r="B323" s="264" t="str">
        <f t="shared" si="18"/>
        <v/>
      </c>
      <c r="C323" s="265">
        <f t="shared" si="20"/>
        <v>322</v>
      </c>
      <c r="D323" s="266"/>
      <c r="E323" s="266"/>
      <c r="F323" s="305"/>
      <c r="G323" s="188"/>
      <c r="H323" s="266"/>
      <c r="I323" s="266" t="s">
        <v>9</v>
      </c>
      <c r="J323" s="266"/>
      <c r="K323" s="276" t="s">
        <v>26</v>
      </c>
      <c r="L323" s="276" t="s">
        <v>29</v>
      </c>
      <c r="M323" s="285" t="s">
        <v>2181</v>
      </c>
      <c r="N323" s="276" t="s">
        <v>2182</v>
      </c>
      <c r="O323" s="286">
        <v>0.04</v>
      </c>
      <c r="Q323" s="266" t="s">
        <v>9</v>
      </c>
      <c r="R323" s="266" t="s">
        <v>106</v>
      </c>
      <c r="S323" s="266"/>
      <c r="T323" s="266"/>
      <c r="W323" s="272" t="str">
        <f>IF(IFERROR(VLOOKUP($M323,'IMPORT GS-Tür OL FL 2S2 20'!$H$2:$H$847,1,0),"-")="-","","GS")</f>
        <v/>
      </c>
      <c r="X323" s="272" t="str">
        <f t="shared" si="19"/>
        <v/>
      </c>
      <c r="Z323" s="273" t="str">
        <f>IF(OR($M323="",NOT($O323="{array}")),"",IFERROR(MATCH(PARAMETERS!$M323,DEFAULT!$B$5:$CI$5,0),""))</f>
        <v/>
      </c>
      <c r="AA323" s="272" t="str">
        <f t="shared" si="14"/>
        <v/>
      </c>
      <c r="AB323" s="274" t="str">
        <f>IF(AND(OR($A323="G",$A323="P"),NOT($O323="{array}")),IF(VLOOKUP($K323,base!$B$2:$D$20,3,0)="S",IF(OR($O323="",ISTEXT($O323)),"","STRING!"),IF(VLOOKUP($K323,base!$B$2:$D$20,3,0)="","",IF(ISTEXT($O323),"NUMERIC!",""))),"")</f>
        <v/>
      </c>
      <c r="AC323" s="275" t="str">
        <f>IF($AA323="","",IF($B323="I",VLOOKUP($AA323,#REF!,53,0),INDEX(VALUES!$B$1:$GP$1,1,$AA323)))</f>
        <v/>
      </c>
    </row>
    <row r="324" spans="1:29" s="276" customFormat="1" hidden="1" outlineLevel="1">
      <c r="A324" s="263"/>
      <c r="B324" s="264" t="str">
        <f t="shared" si="18"/>
        <v/>
      </c>
      <c r="C324" s="265">
        <f t="shared" si="20"/>
        <v>323</v>
      </c>
      <c r="D324" s="266"/>
      <c r="E324" s="266"/>
      <c r="F324" s="305"/>
      <c r="G324" s="188"/>
      <c r="H324" s="266"/>
      <c r="I324" s="266" t="s">
        <v>9</v>
      </c>
      <c r="J324" s="266"/>
      <c r="K324" s="276" t="s">
        <v>26</v>
      </c>
      <c r="L324" s="276" t="s">
        <v>29</v>
      </c>
      <c r="M324" s="285" t="s">
        <v>2183</v>
      </c>
      <c r="N324" s="276" t="s">
        <v>2184</v>
      </c>
      <c r="O324" s="286">
        <v>0.03</v>
      </c>
      <c r="Q324" s="266" t="s">
        <v>9</v>
      </c>
      <c r="R324" s="266" t="s">
        <v>106</v>
      </c>
      <c r="S324" s="266"/>
      <c r="T324" s="266"/>
      <c r="W324" s="272" t="str">
        <f>IF(IFERROR(VLOOKUP($M324,'IMPORT GS-Tür OL FL 2S2 20'!$H$2:$H$847,1,0),"-")="-","","GS")</f>
        <v/>
      </c>
      <c r="X324" s="272" t="str">
        <f t="shared" si="19"/>
        <v/>
      </c>
      <c r="Z324" s="273" t="str">
        <f>IF(OR($M324="",NOT($O324="{array}")),"",IFERROR(MATCH(PARAMETERS!$M324,DEFAULT!$B$5:$CI$5,0),""))</f>
        <v/>
      </c>
      <c r="AA324" s="272" t="str">
        <f t="shared" si="14"/>
        <v/>
      </c>
      <c r="AB324" s="274" t="str">
        <f>IF(AND(OR($A324="G",$A324="P"),NOT($O324="{array}")),IF(VLOOKUP($K324,base!$B$2:$D$20,3,0)="S",IF(OR($O324="",ISTEXT($O324)),"","STRING!"),IF(VLOOKUP($K324,base!$B$2:$D$20,3,0)="","",IF(ISTEXT($O324),"NUMERIC!",""))),"")</f>
        <v/>
      </c>
      <c r="AC324" s="275" t="str">
        <f>IF($AA324="","",IF($B324="I",VLOOKUP($AA324,#REF!,53,0),INDEX(VALUES!$B$1:$GP$1,1,$AA324)))</f>
        <v/>
      </c>
    </row>
    <row r="325" spans="1:29" s="276" customFormat="1" hidden="1" outlineLevel="1">
      <c r="A325" s="263"/>
      <c r="B325" s="264" t="str">
        <f t="shared" si="18"/>
        <v/>
      </c>
      <c r="C325" s="265">
        <f t="shared" si="20"/>
        <v>324</v>
      </c>
      <c r="D325" s="266"/>
      <c r="E325" s="266"/>
      <c r="F325" s="305"/>
      <c r="G325" s="188"/>
      <c r="H325" s="266"/>
      <c r="I325" s="266" t="s">
        <v>9</v>
      </c>
      <c r="J325" s="266"/>
      <c r="K325" s="276" t="s">
        <v>20</v>
      </c>
      <c r="L325" s="276" t="s">
        <v>29</v>
      </c>
      <c r="M325" s="285" t="s">
        <v>2185</v>
      </c>
      <c r="N325" s="276" t="s">
        <v>2186</v>
      </c>
      <c r="O325" s="286" t="s">
        <v>2187</v>
      </c>
      <c r="Q325" s="266"/>
      <c r="R325" s="266" t="s">
        <v>106</v>
      </c>
      <c r="S325" s="266"/>
      <c r="T325" s="266"/>
      <c r="W325" s="272" t="str">
        <f>IF(IFERROR(VLOOKUP($M325,'IMPORT GS-Tür OL FL 2S2 20'!$H$2:$H$847,1,0),"-")="-","","GS")</f>
        <v/>
      </c>
      <c r="X325" s="272" t="str">
        <f t="shared" si="19"/>
        <v/>
      </c>
      <c r="Z325" s="273" t="str">
        <f>IF(OR($M325="",NOT($O325="{array}")),"",IFERROR(MATCH(PARAMETERS!$M325,DEFAULT!$B$5:$CI$5,0),""))</f>
        <v/>
      </c>
      <c r="AA325" s="272" t="str">
        <f t="shared" si="14"/>
        <v/>
      </c>
      <c r="AB325" s="274" t="str">
        <f>IF(AND(OR($A325="G",$A325="P"),NOT($O325="{array}")),IF(VLOOKUP($K325,base!$B$2:$D$20,3,0)="S",IF(OR($O325="",ISTEXT($O325)),"","STRING!"),IF(VLOOKUP($K325,base!$B$2:$D$20,3,0)="","",IF(ISTEXT($O325),"NUMERIC!",""))),"")</f>
        <v/>
      </c>
      <c r="AC325" s="275" t="str">
        <f>IF($AA325="","",IF($B325="I",VLOOKUP($AA325,#REF!,53,0),INDEX(VALUES!$B$1:$GP$1,1,$AA325)))</f>
        <v/>
      </c>
    </row>
    <row r="326" spans="1:29" s="276" customFormat="1" hidden="1" outlineLevel="1">
      <c r="A326" s="263"/>
      <c r="B326" s="264" t="str">
        <f t="shared" si="18"/>
        <v/>
      </c>
      <c r="C326" s="265">
        <f t="shared" si="20"/>
        <v>325</v>
      </c>
      <c r="D326" s="266"/>
      <c r="E326" s="266"/>
      <c r="F326" s="305"/>
      <c r="G326" s="188" t="s">
        <v>9</v>
      </c>
      <c r="H326" s="266"/>
      <c r="I326" s="266" t="s">
        <v>9</v>
      </c>
      <c r="J326" s="266"/>
      <c r="K326" s="276" t="s">
        <v>46</v>
      </c>
      <c r="L326" s="276" t="s">
        <v>29</v>
      </c>
      <c r="M326" s="285" t="s">
        <v>2188</v>
      </c>
      <c r="N326" s="276" t="s">
        <v>2186</v>
      </c>
      <c r="O326" s="286">
        <v>1</v>
      </c>
      <c r="Q326" s="266"/>
      <c r="R326" s="266" t="s">
        <v>106</v>
      </c>
      <c r="S326" s="266"/>
      <c r="T326" s="266"/>
      <c r="W326" s="272" t="str">
        <f>IF(IFERROR(VLOOKUP($M326,'IMPORT GS-Tür OL FL 2S2 20'!$H$2:$H$847,1,0),"-")="-","","GS")</f>
        <v/>
      </c>
      <c r="X326" s="272" t="str">
        <f t="shared" si="19"/>
        <v/>
      </c>
      <c r="Z326" s="273" t="str">
        <f>IF(OR($M326="",NOT($O326="{array}")),"",IFERROR(MATCH(PARAMETERS!$M326,DEFAULT!$B$5:$CI$5,0),""))</f>
        <v/>
      </c>
      <c r="AA326" s="272" t="str">
        <f t="shared" si="14"/>
        <v/>
      </c>
      <c r="AB326" s="274" t="str">
        <f>IF(AND(OR($A326="G",$A326="P"),NOT($O326="{array}")),IF(VLOOKUP($K326,base!$B$2:$D$20,3,0)="S",IF(OR($O326="",ISTEXT($O326)),"","STRING!"),IF(VLOOKUP($K326,base!$B$2:$D$20,3,0)="","",IF(ISTEXT($O326),"NUMERIC!",""))),"")</f>
        <v/>
      </c>
      <c r="AC326" s="275" t="str">
        <f>IF($AA326="","",IF($B326="I",VLOOKUP($AA326,#REF!,53,0),INDEX(VALUES!$B$1:$GP$1,1,$AA326)))</f>
        <v/>
      </c>
    </row>
    <row r="327" spans="1:29" s="276" customFormat="1" hidden="1" outlineLevel="1">
      <c r="A327" s="263"/>
      <c r="B327" s="264" t="str">
        <f t="shared" si="18"/>
        <v/>
      </c>
      <c r="C327" s="265">
        <f t="shared" si="20"/>
        <v>326</v>
      </c>
      <c r="D327" s="266"/>
      <c r="E327" s="266"/>
      <c r="F327" s="305"/>
      <c r="G327" s="188"/>
      <c r="H327" s="266"/>
      <c r="I327" s="266" t="s">
        <v>9</v>
      </c>
      <c r="J327" s="266"/>
      <c r="K327" s="276" t="s">
        <v>26</v>
      </c>
      <c r="L327" s="276" t="s">
        <v>29</v>
      </c>
      <c r="M327" s="285" t="s">
        <v>2189</v>
      </c>
      <c r="N327" s="276" t="s">
        <v>2190</v>
      </c>
      <c r="O327" s="286">
        <v>0.03</v>
      </c>
      <c r="Q327" s="266" t="s">
        <v>9</v>
      </c>
      <c r="R327" s="266" t="s">
        <v>106</v>
      </c>
      <c r="S327" s="266"/>
      <c r="T327" s="266"/>
      <c r="W327" s="272" t="str">
        <f>IF(IFERROR(VLOOKUP($M327,'IMPORT GS-Tür OL FL 2S2 20'!$H$2:$H$847,1,0),"-")="-","","GS")</f>
        <v/>
      </c>
      <c r="X327" s="272" t="str">
        <f t="shared" si="19"/>
        <v/>
      </c>
      <c r="Z327" s="273" t="str">
        <f>IF(OR($M327="",NOT($O327="{array}")),"",IFERROR(MATCH(PARAMETERS!$M327,DEFAULT!$B$5:$CI$5,0),""))</f>
        <v/>
      </c>
      <c r="AA327" s="272" t="str">
        <f t="shared" si="14"/>
        <v/>
      </c>
      <c r="AB327" s="274" t="str">
        <f>IF(AND(OR($A327="G",$A327="P"),NOT($O327="{array}")),IF(VLOOKUP($K327,base!$B$2:$D$20,3,0)="S",IF(OR($O327="",ISTEXT($O327)),"","STRING!"),IF(VLOOKUP($K327,base!$B$2:$D$20,3,0)="","",IF(ISTEXT($O327),"NUMERIC!",""))),"")</f>
        <v/>
      </c>
      <c r="AC327" s="275" t="str">
        <f>IF($AA327="","",IF($B327="I",VLOOKUP($AA327,#REF!,53,0),INDEX(VALUES!$B$1:$GP$1,1,$AA327)))</f>
        <v/>
      </c>
    </row>
    <row r="328" spans="1:29" s="276" customFormat="1" hidden="1" outlineLevel="1">
      <c r="A328" s="263"/>
      <c r="B328" s="264" t="str">
        <f t="shared" si="18"/>
        <v/>
      </c>
      <c r="C328" s="265">
        <f t="shared" si="20"/>
        <v>327</v>
      </c>
      <c r="D328" s="266"/>
      <c r="E328" s="266"/>
      <c r="F328" s="305"/>
      <c r="G328" s="188"/>
      <c r="H328" s="266"/>
      <c r="I328" s="266" t="s">
        <v>9</v>
      </c>
      <c r="J328" s="266"/>
      <c r="K328" s="276" t="s">
        <v>26</v>
      </c>
      <c r="L328" s="276" t="s">
        <v>29</v>
      </c>
      <c r="M328" s="285" t="s">
        <v>2191</v>
      </c>
      <c r="N328" s="276" t="s">
        <v>2192</v>
      </c>
      <c r="O328" s="286">
        <v>0.02</v>
      </c>
      <c r="Q328" s="266" t="s">
        <v>9</v>
      </c>
      <c r="R328" s="266" t="s">
        <v>106</v>
      </c>
      <c r="S328" s="266"/>
      <c r="T328" s="266"/>
      <c r="W328" s="272" t="str">
        <f>IF(IFERROR(VLOOKUP($M328,'IMPORT GS-Tür OL FL 2S2 20'!$H$2:$H$847,1,0),"-")="-","","GS")</f>
        <v/>
      </c>
      <c r="X328" s="272" t="str">
        <f t="shared" si="19"/>
        <v/>
      </c>
      <c r="Z328" s="273" t="str">
        <f>IF(OR($M328="",NOT($O328="{array}")),"",IFERROR(MATCH(PARAMETERS!$M328,DEFAULT!$B$5:$CI$5,0),""))</f>
        <v/>
      </c>
      <c r="AA328" s="272" t="str">
        <f t="shared" si="14"/>
        <v/>
      </c>
      <c r="AB328" s="274" t="str">
        <f>IF(AND(OR($A328="G",$A328="P"),NOT($O328="{array}")),IF(VLOOKUP($K328,base!$B$2:$D$20,3,0)="S",IF(OR($O328="",ISTEXT($O328)),"","STRING!"),IF(VLOOKUP($K328,base!$B$2:$D$20,3,0)="","",IF(ISTEXT($O328),"NUMERIC!",""))),"")</f>
        <v/>
      </c>
      <c r="AC328" s="275" t="str">
        <f>IF($AA328="","",IF($B328="I",VLOOKUP($AA328,#REF!,53,0),INDEX(VALUES!$B$1:$GP$1,1,$AA328)))</f>
        <v/>
      </c>
    </row>
    <row r="329" spans="1:29" s="276" customFormat="1" hidden="1" outlineLevel="1">
      <c r="A329" s="263"/>
      <c r="B329" s="264" t="str">
        <f t="shared" si="18"/>
        <v/>
      </c>
      <c r="C329" s="265">
        <f t="shared" si="20"/>
        <v>328</v>
      </c>
      <c r="D329" s="266"/>
      <c r="E329" s="266"/>
      <c r="F329" s="305"/>
      <c r="G329" s="188"/>
      <c r="H329" s="266"/>
      <c r="I329" s="266" t="s">
        <v>9</v>
      </c>
      <c r="J329" s="266"/>
      <c r="K329" s="276" t="s">
        <v>26</v>
      </c>
      <c r="L329" s="276" t="s">
        <v>29</v>
      </c>
      <c r="M329" s="285" t="s">
        <v>2193</v>
      </c>
      <c r="N329" s="276" t="s">
        <v>2194</v>
      </c>
      <c r="O329" s="286">
        <v>5.0000000000000001E-3</v>
      </c>
      <c r="Q329" s="266" t="s">
        <v>9</v>
      </c>
      <c r="R329" s="266" t="s">
        <v>106</v>
      </c>
      <c r="S329" s="266"/>
      <c r="T329" s="266"/>
      <c r="W329" s="272" t="str">
        <f>IF(IFERROR(VLOOKUP($M329,'IMPORT GS-Tür OL FL 2S2 20'!$H$2:$H$847,1,0),"-")="-","","GS")</f>
        <v/>
      </c>
      <c r="X329" s="272" t="str">
        <f t="shared" si="19"/>
        <v/>
      </c>
      <c r="Z329" s="273" t="str">
        <f>IF(OR($M329="",NOT($O329="{array}")),"",IFERROR(MATCH(PARAMETERS!$M329,DEFAULT!$B$5:$CI$5,0),""))</f>
        <v/>
      </c>
      <c r="AA329" s="272" t="str">
        <f t="shared" si="14"/>
        <v/>
      </c>
      <c r="AB329" s="274" t="str">
        <f>IF(AND(OR($A329="G",$A329="P"),NOT($O329="{array}")),IF(VLOOKUP($K329,base!$B$2:$D$20,3,0)="S",IF(OR($O329="",ISTEXT($O329)),"","STRING!"),IF(VLOOKUP($K329,base!$B$2:$D$20,3,0)="","",IF(ISTEXT($O329),"NUMERIC!",""))),"")</f>
        <v/>
      </c>
      <c r="AC329" s="275" t="str">
        <f>IF($AA329="","",IF($B329="I",VLOOKUP($AA329,#REF!,53,0),INDEX(VALUES!$B$1:$GP$1,1,$AA329)))</f>
        <v/>
      </c>
    </row>
    <row r="330" spans="1:29" s="276" customFormat="1" hidden="1" outlineLevel="1">
      <c r="A330" s="263"/>
      <c r="B330" s="264" t="str">
        <f t="shared" ref="B330:B393" si="21">IF($A330="P",IF(NOT($Z330=""),"A",IF(NOT($AA330=""),"I","")),IF(NOT($AA330=""),IF($A330="G","V","X"),IF(NOT($Z330=""),"A","")))</f>
        <v/>
      </c>
      <c r="C330" s="265">
        <f t="shared" si="20"/>
        <v>329</v>
      </c>
      <c r="D330" s="266"/>
      <c r="E330" s="266"/>
      <c r="F330" s="305"/>
      <c r="G330" s="188"/>
      <c r="H330" s="266"/>
      <c r="I330" s="266" t="s">
        <v>9</v>
      </c>
      <c r="J330" s="266"/>
      <c r="K330" s="276" t="s">
        <v>26</v>
      </c>
      <c r="L330" s="276" t="s">
        <v>29</v>
      </c>
      <c r="M330" s="285" t="s">
        <v>2195</v>
      </c>
      <c r="N330" s="276" t="s">
        <v>2196</v>
      </c>
      <c r="O330" s="286">
        <v>6.0000000000000001E-3</v>
      </c>
      <c r="Q330" s="266" t="s">
        <v>9</v>
      </c>
      <c r="R330" s="266" t="s">
        <v>106</v>
      </c>
      <c r="S330" s="266"/>
      <c r="T330" s="266"/>
      <c r="W330" s="272" t="str">
        <f>IF(IFERROR(VLOOKUP($M330,'IMPORT GS-Tür OL FL 2S2 20'!$H$2:$H$847,1,0),"-")="-","","GS")</f>
        <v/>
      </c>
      <c r="X330" s="272" t="str">
        <f t="shared" si="19"/>
        <v/>
      </c>
      <c r="Z330" s="273" t="str">
        <f>IF(OR($M330="",NOT($O330="{array}")),"",IFERROR(MATCH(PARAMETERS!$M330,DEFAULT!$B$5:$CI$5,0),""))</f>
        <v/>
      </c>
      <c r="AA330" s="272" t="str">
        <f t="shared" si="14"/>
        <v/>
      </c>
      <c r="AB330" s="274" t="str">
        <f>IF(AND(OR($A330="G",$A330="P"),NOT($O330="{array}")),IF(VLOOKUP($K330,base!$B$2:$D$20,3,0)="S",IF(OR($O330="",ISTEXT($O330)),"","STRING!"),IF(VLOOKUP($K330,base!$B$2:$D$20,3,0)="","",IF(ISTEXT($O330),"NUMERIC!",""))),"")</f>
        <v/>
      </c>
      <c r="AC330" s="275" t="str">
        <f>IF($AA330="","",IF($B330="I",VLOOKUP($AA330,#REF!,53,0),INDEX(VALUES!$B$1:$GP$1,1,$AA330)))</f>
        <v/>
      </c>
    </row>
    <row r="331" spans="1:29" s="276" customFormat="1" hidden="1" outlineLevel="1">
      <c r="A331" s="263"/>
      <c r="B331" s="264" t="str">
        <f t="shared" si="21"/>
        <v/>
      </c>
      <c r="C331" s="265">
        <f t="shared" si="20"/>
        <v>330</v>
      </c>
      <c r="D331" s="266"/>
      <c r="E331" s="266"/>
      <c r="F331" s="305"/>
      <c r="G331" s="188"/>
      <c r="H331" s="266"/>
      <c r="I331" s="266" t="s">
        <v>9</v>
      </c>
      <c r="J331" s="266"/>
      <c r="K331" s="276" t="s">
        <v>20</v>
      </c>
      <c r="L331" s="276" t="s">
        <v>29</v>
      </c>
      <c r="M331" s="285" t="s">
        <v>2197</v>
      </c>
      <c r="N331" s="276" t="s">
        <v>2198</v>
      </c>
      <c r="O331" s="286" t="s">
        <v>2199</v>
      </c>
      <c r="Q331" s="266"/>
      <c r="R331" s="266" t="s">
        <v>106</v>
      </c>
      <c r="S331" s="266"/>
      <c r="T331" s="266"/>
      <c r="W331" s="272" t="str">
        <f>IF(IFERROR(VLOOKUP($M331,'IMPORT GS-Tür OL FL 2S2 20'!$H$2:$H$847,1,0),"-")="-","","GS")</f>
        <v/>
      </c>
      <c r="X331" s="272" t="str">
        <f t="shared" ref="X331:X394" si="22">IF($A331="G",IF(IFERROR(VLOOKUP($M331,Reimport,1,0),"-")="-","&gt;&lt;",IF($O331=VLOOKUP($M331,Reimport,2,0),"...",VLOOKUP($M331,Reimport,2,0))),"")</f>
        <v/>
      </c>
      <c r="Z331" s="273" t="str">
        <f>IF(OR($M331="",NOT($O331="{array}")),"",IFERROR(MATCH(PARAMETERS!$M331,DEFAULT!$B$5:$CI$5,0),""))</f>
        <v/>
      </c>
      <c r="AA331" s="272" t="str">
        <f t="shared" si="14"/>
        <v/>
      </c>
      <c r="AB331" s="274" t="str">
        <f>IF(AND(OR($A331="G",$A331="P"),NOT($O331="{array}")),IF(VLOOKUP($K331,base!$B$2:$D$20,3,0)="S",IF(OR($O331="",ISTEXT($O331)),"","STRING!"),IF(VLOOKUP($K331,base!$B$2:$D$20,3,0)="","",IF(ISTEXT($O331),"NUMERIC!",""))),"")</f>
        <v/>
      </c>
      <c r="AC331" s="275" t="str">
        <f>IF($AA331="","",IF($B331="I",VLOOKUP($AA331,#REF!,53,0),INDEX(VALUES!$B$1:$GP$1,1,$AA331)))</f>
        <v/>
      </c>
    </row>
    <row r="332" spans="1:29" s="276" customFormat="1" hidden="1" outlineLevel="1">
      <c r="A332" s="263"/>
      <c r="B332" s="264" t="str">
        <f t="shared" si="21"/>
        <v/>
      </c>
      <c r="C332" s="265">
        <f t="shared" si="20"/>
        <v>331</v>
      </c>
      <c r="D332" s="266"/>
      <c r="E332" s="266"/>
      <c r="F332" s="305"/>
      <c r="G332" s="188" t="s">
        <v>9</v>
      </c>
      <c r="H332" s="266"/>
      <c r="I332" s="266" t="s">
        <v>9</v>
      </c>
      <c r="J332" s="266"/>
      <c r="K332" s="276" t="s">
        <v>46</v>
      </c>
      <c r="L332" s="276" t="s">
        <v>29</v>
      </c>
      <c r="M332" s="285" t="s">
        <v>2200</v>
      </c>
      <c r="N332" s="276" t="s">
        <v>2198</v>
      </c>
      <c r="O332" s="286">
        <v>1</v>
      </c>
      <c r="Q332" s="266"/>
      <c r="R332" s="266" t="s">
        <v>106</v>
      </c>
      <c r="S332" s="266"/>
      <c r="T332" s="266"/>
      <c r="W332" s="272" t="str">
        <f>IF(IFERROR(VLOOKUP($M332,'IMPORT GS-Tür OL FL 2S2 20'!$H$2:$H$847,1,0),"-")="-","","GS")</f>
        <v/>
      </c>
      <c r="X332" s="272" t="str">
        <f t="shared" si="22"/>
        <v/>
      </c>
      <c r="Z332" s="273" t="str">
        <f>IF(OR($M332="",NOT($O332="{array}")),"",IFERROR(MATCH(PARAMETERS!$M332,DEFAULT!$B$5:$CI$5,0),""))</f>
        <v/>
      </c>
      <c r="AA332" s="272" t="str">
        <f t="shared" si="14"/>
        <v/>
      </c>
      <c r="AB332" s="274" t="str">
        <f>IF(AND(OR($A332="G",$A332="P"),NOT($O332="{array}")),IF(VLOOKUP($K332,base!$B$2:$D$20,3,0)="S",IF(OR($O332="",ISTEXT($O332)),"","STRING!"),IF(VLOOKUP($K332,base!$B$2:$D$20,3,0)="","",IF(ISTEXT($O332),"NUMERIC!",""))),"")</f>
        <v/>
      </c>
      <c r="AC332" s="275" t="str">
        <f>IF($AA332="","",IF($B332="I",VLOOKUP($AA332,#REF!,53,0),INDEX(VALUES!$B$1:$GP$1,1,$AA332)))</f>
        <v/>
      </c>
    </row>
    <row r="333" spans="1:29" s="276" customFormat="1" hidden="1" outlineLevel="1">
      <c r="A333" s="263"/>
      <c r="B333" s="264" t="str">
        <f t="shared" si="21"/>
        <v/>
      </c>
      <c r="C333" s="265">
        <f t="shared" si="20"/>
        <v>332</v>
      </c>
      <c r="D333" s="266"/>
      <c r="E333" s="266"/>
      <c r="F333" s="305"/>
      <c r="G333" s="188"/>
      <c r="H333" s="266"/>
      <c r="I333" s="266" t="s">
        <v>9</v>
      </c>
      <c r="J333" s="266"/>
      <c r="K333" s="276" t="s">
        <v>26</v>
      </c>
      <c r="L333" s="276" t="s">
        <v>29</v>
      </c>
      <c r="M333" s="285" t="s">
        <v>2201</v>
      </c>
      <c r="N333" s="276" t="s">
        <v>2202</v>
      </c>
      <c r="O333" s="286">
        <v>0</v>
      </c>
      <c r="Q333" s="266" t="s">
        <v>9</v>
      </c>
      <c r="R333" s="266" t="s">
        <v>106</v>
      </c>
      <c r="S333" s="266"/>
      <c r="T333" s="266"/>
      <c r="W333" s="272" t="str">
        <f>IF(IFERROR(VLOOKUP($M333,'IMPORT GS-Tür OL FL 2S2 20'!$H$2:$H$847,1,0),"-")="-","","GS")</f>
        <v/>
      </c>
      <c r="X333" s="272" t="str">
        <f t="shared" si="22"/>
        <v/>
      </c>
      <c r="Z333" s="273" t="str">
        <f>IF(OR($M333="",NOT($O333="{array}")),"",IFERROR(MATCH(PARAMETERS!$M333,DEFAULT!$B$5:$CI$5,0),""))</f>
        <v/>
      </c>
      <c r="AA333" s="272" t="str">
        <f t="shared" si="14"/>
        <v/>
      </c>
      <c r="AB333" s="274" t="str">
        <f>IF(AND(OR($A333="G",$A333="P"),NOT($O333="{array}")),IF(VLOOKUP($K333,base!$B$2:$D$20,3,0)="S",IF(OR($O333="",ISTEXT($O333)),"","STRING!"),IF(VLOOKUP($K333,base!$B$2:$D$20,3,0)="","",IF(ISTEXT($O333),"NUMERIC!",""))),"")</f>
        <v/>
      </c>
      <c r="AC333" s="275" t="str">
        <f>IF($AA333="","",IF($B333="I",VLOOKUP($AA333,#REF!,53,0),INDEX(VALUES!$B$1:$GP$1,1,$AA333)))</f>
        <v/>
      </c>
    </row>
    <row r="334" spans="1:29" s="276" customFormat="1" hidden="1" outlineLevel="1">
      <c r="A334" s="263"/>
      <c r="B334" s="264" t="str">
        <f t="shared" si="21"/>
        <v/>
      </c>
      <c r="C334" s="265">
        <f t="shared" si="20"/>
        <v>333</v>
      </c>
      <c r="D334" s="266"/>
      <c r="E334" s="266"/>
      <c r="F334" s="305"/>
      <c r="G334" s="188"/>
      <c r="H334" s="266"/>
      <c r="I334" s="266" t="s">
        <v>9</v>
      </c>
      <c r="J334" s="266"/>
      <c r="K334" s="276" t="s">
        <v>26</v>
      </c>
      <c r="L334" s="276" t="s">
        <v>29</v>
      </c>
      <c r="M334" s="285" t="s">
        <v>2203</v>
      </c>
      <c r="N334" s="276" t="s">
        <v>2204</v>
      </c>
      <c r="O334" s="286">
        <v>0.12</v>
      </c>
      <c r="Q334" s="266" t="s">
        <v>9</v>
      </c>
      <c r="R334" s="266" t="s">
        <v>106</v>
      </c>
      <c r="S334" s="266"/>
      <c r="T334" s="266"/>
      <c r="W334" s="272" t="str">
        <f>IF(IFERROR(VLOOKUP($M334,'IMPORT GS-Tür OL FL 2S2 20'!$H$2:$H$847,1,0),"-")="-","","GS")</f>
        <v/>
      </c>
      <c r="X334" s="272" t="str">
        <f t="shared" si="22"/>
        <v/>
      </c>
      <c r="Z334" s="273" t="str">
        <f>IF(OR($M334="",NOT($O334="{array}")),"",IFERROR(MATCH(PARAMETERS!$M334,DEFAULT!$B$5:$CI$5,0),""))</f>
        <v/>
      </c>
      <c r="AA334" s="272" t="str">
        <f t="shared" si="14"/>
        <v/>
      </c>
      <c r="AB334" s="274" t="str">
        <f>IF(AND(OR($A334="G",$A334="P"),NOT($O334="{array}")),IF(VLOOKUP($K334,base!$B$2:$D$20,3,0)="S",IF(OR($O334="",ISTEXT($O334)),"","STRING!"),IF(VLOOKUP($K334,base!$B$2:$D$20,3,0)="","",IF(ISTEXT($O334),"NUMERIC!",""))),"")</f>
        <v/>
      </c>
      <c r="AC334" s="275" t="str">
        <f>IF($AA334="","",IF($B334="I",VLOOKUP($AA334,#REF!,53,0),INDEX(VALUES!$B$1:$GP$1,1,$AA334)))</f>
        <v/>
      </c>
    </row>
    <row r="335" spans="1:29" s="276" customFormat="1" hidden="1" outlineLevel="1">
      <c r="A335" s="263"/>
      <c r="B335" s="264" t="str">
        <f t="shared" si="21"/>
        <v/>
      </c>
      <c r="C335" s="265">
        <f t="shared" si="20"/>
        <v>334</v>
      </c>
      <c r="D335" s="266"/>
      <c r="E335" s="266"/>
      <c r="F335" s="305"/>
      <c r="G335" s="188"/>
      <c r="H335" s="266"/>
      <c r="I335" s="266" t="s">
        <v>9</v>
      </c>
      <c r="J335" s="266"/>
      <c r="K335" s="276" t="s">
        <v>49</v>
      </c>
      <c r="L335" s="276" t="s">
        <v>29</v>
      </c>
      <c r="M335" s="285" t="s">
        <v>2205</v>
      </c>
      <c r="N335" s="276" t="s">
        <v>2206</v>
      </c>
      <c r="O335" s="286">
        <v>1</v>
      </c>
      <c r="Q335" s="266"/>
      <c r="R335" s="266" t="s">
        <v>106</v>
      </c>
      <c r="S335" s="266"/>
      <c r="T335" s="266"/>
      <c r="W335" s="272" t="str">
        <f>IF(IFERROR(VLOOKUP($M335,'IMPORT GS-Tür OL FL 2S2 20'!$H$2:$H$847,1,0),"-")="-","","GS")</f>
        <v/>
      </c>
      <c r="X335" s="272" t="str">
        <f t="shared" si="22"/>
        <v/>
      </c>
      <c r="Z335" s="273" t="str">
        <f>IF(OR($M335="",NOT($O335="{array}")),"",IFERROR(MATCH(PARAMETERS!$M335,DEFAULT!$B$5:$CI$5,0),""))</f>
        <v/>
      </c>
      <c r="AA335" s="272" t="str">
        <f t="shared" si="14"/>
        <v/>
      </c>
      <c r="AB335" s="274" t="str">
        <f>IF(AND(OR($A335="G",$A335="P"),NOT($O335="{array}")),IF(VLOOKUP($K335,base!$B$2:$D$20,3,0)="S",IF(OR($O335="",ISTEXT($O335)),"","STRING!"),IF(VLOOKUP($K335,base!$B$2:$D$20,3,0)="","",IF(ISTEXT($O335),"NUMERIC!",""))),"")</f>
        <v/>
      </c>
      <c r="AC335" s="275" t="str">
        <f>IF($AA335="","",IF($B335="I",VLOOKUP($AA335,#REF!,53,0),INDEX(VALUES!$B$1:$GP$1,1,$AA335)))</f>
        <v/>
      </c>
    </row>
    <row r="336" spans="1:29" s="276" customFormat="1" hidden="1" outlineLevel="1">
      <c r="A336" s="263"/>
      <c r="B336" s="264" t="str">
        <f t="shared" si="21"/>
        <v/>
      </c>
      <c r="C336" s="265">
        <f t="shared" si="20"/>
        <v>335</v>
      </c>
      <c r="D336" s="266"/>
      <c r="E336" s="266"/>
      <c r="F336" s="305"/>
      <c r="G336" s="188"/>
      <c r="H336" s="266"/>
      <c r="I336" s="266" t="s">
        <v>9</v>
      </c>
      <c r="J336" s="266"/>
      <c r="K336" s="276" t="s">
        <v>33</v>
      </c>
      <c r="L336" s="276" t="s">
        <v>29</v>
      </c>
      <c r="M336" s="285" t="s">
        <v>2207</v>
      </c>
      <c r="N336" s="276" t="s">
        <v>2208</v>
      </c>
      <c r="O336" s="286">
        <v>180</v>
      </c>
      <c r="Q336" s="266" t="s">
        <v>9</v>
      </c>
      <c r="R336" s="266" t="s">
        <v>106</v>
      </c>
      <c r="S336" s="266"/>
      <c r="T336" s="266"/>
      <c r="W336" s="272" t="str">
        <f>IF(IFERROR(VLOOKUP($M336,'IMPORT GS-Tür OL FL 2S2 20'!$H$2:$H$847,1,0),"-")="-","","GS")</f>
        <v/>
      </c>
      <c r="X336" s="272" t="str">
        <f t="shared" si="22"/>
        <v/>
      </c>
      <c r="Z336" s="273" t="str">
        <f>IF(OR($M336="",NOT($O336="{array}")),"",IFERROR(MATCH(PARAMETERS!$M336,DEFAULT!$B$5:$CI$5,0),""))</f>
        <v/>
      </c>
      <c r="AA336" s="272" t="str">
        <f t="shared" si="14"/>
        <v/>
      </c>
      <c r="AB336" s="274" t="str">
        <f>IF(AND(OR($A336="G",$A336="P"),NOT($O336="{array}")),IF(VLOOKUP($K336,base!$B$2:$D$20,3,0)="S",IF(OR($O336="",ISTEXT($O336)),"","STRING!"),IF(VLOOKUP($K336,base!$B$2:$D$20,3,0)="","",IF(ISTEXT($O336),"NUMERIC!",""))),"")</f>
        <v/>
      </c>
      <c r="AC336" s="275" t="str">
        <f>IF($AA336="","",IF($B336="I",VLOOKUP($AA336,#REF!,53,0),INDEX(VALUES!$B$1:$GP$1,1,$AA336)))</f>
        <v/>
      </c>
    </row>
    <row r="337" spans="1:29" s="276" customFormat="1" hidden="1" outlineLevel="1">
      <c r="A337" s="263"/>
      <c r="B337" s="264" t="str">
        <f t="shared" si="21"/>
        <v/>
      </c>
      <c r="C337" s="265">
        <f t="shared" ref="C337:C401" si="23">(ROW()-1)</f>
        <v>336</v>
      </c>
      <c r="D337" s="266"/>
      <c r="E337" s="266"/>
      <c r="F337" s="305"/>
      <c r="G337" s="188"/>
      <c r="H337" s="266"/>
      <c r="I337" s="266" t="s">
        <v>9</v>
      </c>
      <c r="J337" s="266"/>
      <c r="K337" s="276" t="s">
        <v>26</v>
      </c>
      <c r="L337" s="276" t="s">
        <v>29</v>
      </c>
      <c r="M337" s="285" t="s">
        <v>2209</v>
      </c>
      <c r="N337" s="276" t="s">
        <v>2210</v>
      </c>
      <c r="O337" s="286">
        <v>1.5</v>
      </c>
      <c r="Q337" s="266" t="s">
        <v>9</v>
      </c>
      <c r="R337" s="266" t="s">
        <v>106</v>
      </c>
      <c r="S337" s="266"/>
      <c r="T337" s="266"/>
      <c r="W337" s="272" t="str">
        <f>IF(IFERROR(VLOOKUP($M337,'IMPORT GS-Tür OL FL 2S2 20'!$H$2:$H$847,1,0),"-")="-","","GS")</f>
        <v/>
      </c>
      <c r="X337" s="272" t="str">
        <f t="shared" si="22"/>
        <v/>
      </c>
      <c r="Z337" s="273" t="str">
        <f>IF(OR($M337="",NOT($O337="{array}")),"",IFERROR(MATCH(PARAMETERS!$M337,DEFAULT!$B$5:$CI$5,0),""))</f>
        <v/>
      </c>
      <c r="AA337" s="272" t="str">
        <f t="shared" si="14"/>
        <v/>
      </c>
      <c r="AB337" s="274" t="str">
        <f>IF(AND(OR($A337="G",$A337="P"),NOT($O337="{array}")),IF(VLOOKUP($K337,base!$B$2:$D$20,3,0)="S",IF(OR($O337="",ISTEXT($O337)),"","STRING!"),IF(VLOOKUP($K337,base!$B$2:$D$20,3,0)="","",IF(ISTEXT($O337),"NUMERIC!",""))),"")</f>
        <v/>
      </c>
      <c r="AC337" s="275" t="str">
        <f>IF($AA337="","",IF($B337="I",VLOOKUP($AA337,#REF!,53,0),INDEX(VALUES!$B$1:$GP$1,1,$AA337)))</f>
        <v/>
      </c>
    </row>
    <row r="338" spans="1:29" s="276" customFormat="1" hidden="1" outlineLevel="1">
      <c r="A338" s="263"/>
      <c r="B338" s="264" t="str">
        <f t="shared" si="21"/>
        <v/>
      </c>
      <c r="C338" s="265">
        <f t="shared" si="23"/>
        <v>337</v>
      </c>
      <c r="D338" s="266"/>
      <c r="E338" s="266"/>
      <c r="F338" s="305"/>
      <c r="G338" s="188" t="s">
        <v>9</v>
      </c>
      <c r="H338" s="266"/>
      <c r="I338" s="266" t="s">
        <v>9</v>
      </c>
      <c r="J338" s="266"/>
      <c r="K338" s="276" t="s">
        <v>26</v>
      </c>
      <c r="L338" s="276" t="s">
        <v>29</v>
      </c>
      <c r="M338" s="285" t="s">
        <v>2211</v>
      </c>
      <c r="N338" s="276" t="s">
        <v>2212</v>
      </c>
      <c r="O338" s="286">
        <v>0</v>
      </c>
      <c r="Q338" s="266" t="s">
        <v>9</v>
      </c>
      <c r="R338" s="266" t="s">
        <v>106</v>
      </c>
      <c r="S338" s="266"/>
      <c r="T338" s="266"/>
      <c r="W338" s="272" t="str">
        <f>IF(IFERROR(VLOOKUP($M338,'IMPORT GS-Tür OL FL 2S2 20'!$H$2:$H$847,1,0),"-")="-","","GS")</f>
        <v/>
      </c>
      <c r="X338" s="272" t="str">
        <f t="shared" si="22"/>
        <v/>
      </c>
      <c r="Z338" s="273" t="str">
        <f>IF(OR($M338="",NOT($O338="{array}")),"",IFERROR(MATCH(PARAMETERS!$M338,DEFAULT!$B$5:$CI$5,0),""))</f>
        <v/>
      </c>
      <c r="AA338" s="272" t="str">
        <f t="shared" si="14"/>
        <v/>
      </c>
      <c r="AB338" s="274" t="str">
        <f>IF(AND(OR($A338="G",$A338="P"),NOT($O338="{array}")),IF(VLOOKUP($K338,base!$B$2:$D$20,3,0)="S",IF(OR($O338="",ISTEXT($O338)),"","STRING!"),IF(VLOOKUP($K338,base!$B$2:$D$20,3,0)="","",IF(ISTEXT($O338),"NUMERIC!",""))),"")</f>
        <v/>
      </c>
      <c r="AC338" s="275" t="str">
        <f>IF($AA338="","",IF($B338="I",VLOOKUP($AA338,#REF!,53,0),INDEX(VALUES!$B$1:$GP$1,1,$AA338)))</f>
        <v/>
      </c>
    </row>
    <row r="339" spans="1:29" s="276" customFormat="1" hidden="1" outlineLevel="1">
      <c r="A339" s="263"/>
      <c r="B339" s="264" t="str">
        <f t="shared" si="21"/>
        <v/>
      </c>
      <c r="C339" s="265">
        <f t="shared" si="23"/>
        <v>338</v>
      </c>
      <c r="D339" s="266"/>
      <c r="E339" s="266"/>
      <c r="F339" s="305"/>
      <c r="G339" s="188" t="s">
        <v>9</v>
      </c>
      <c r="H339" s="266"/>
      <c r="I339" s="266" t="s">
        <v>9</v>
      </c>
      <c r="J339" s="266"/>
      <c r="K339" s="276" t="s">
        <v>26</v>
      </c>
      <c r="L339" s="276" t="s">
        <v>29</v>
      </c>
      <c r="M339" s="285" t="s">
        <v>2213</v>
      </c>
      <c r="N339" s="276" t="s">
        <v>2214</v>
      </c>
      <c r="O339" s="286">
        <v>0.56000000000000005</v>
      </c>
      <c r="Q339" s="266" t="s">
        <v>9</v>
      </c>
      <c r="R339" s="266" t="s">
        <v>106</v>
      </c>
      <c r="S339" s="266"/>
      <c r="T339" s="266"/>
      <c r="W339" s="272" t="str">
        <f>IF(IFERROR(VLOOKUP($M339,'IMPORT GS-Tür OL FL 2S2 20'!$H$2:$H$847,1,0),"-")="-","","GS")</f>
        <v/>
      </c>
      <c r="X339" s="272" t="str">
        <f t="shared" si="22"/>
        <v/>
      </c>
      <c r="Z339" s="273" t="str">
        <f>IF(OR($M339="",NOT($O339="{array}")),"",IFERROR(MATCH(PARAMETERS!$M339,DEFAULT!$B$5:$CI$5,0),""))</f>
        <v/>
      </c>
      <c r="AA339" s="272" t="str">
        <f t="shared" si="14"/>
        <v/>
      </c>
      <c r="AB339" s="274" t="str">
        <f>IF(AND(OR($A339="G",$A339="P"),NOT($O339="{array}")),IF(VLOOKUP($K339,base!$B$2:$D$20,3,0)="S",IF(OR($O339="",ISTEXT($O339)),"","STRING!"),IF(VLOOKUP($K339,base!$B$2:$D$20,3,0)="","",IF(ISTEXT($O339),"NUMERIC!",""))),"")</f>
        <v/>
      </c>
      <c r="AC339" s="275" t="str">
        <f>IF($AA339="","",IF($B339="I",VLOOKUP($AA339,#REF!,53,0),INDEX(VALUES!$B$1:$GP$1,1,$AA339)))</f>
        <v/>
      </c>
    </row>
    <row r="340" spans="1:29" s="276" customFormat="1" hidden="1" outlineLevel="1">
      <c r="A340" s="263"/>
      <c r="B340" s="264" t="str">
        <f t="shared" si="21"/>
        <v/>
      </c>
      <c r="C340" s="265">
        <f t="shared" si="23"/>
        <v>339</v>
      </c>
      <c r="D340" s="266"/>
      <c r="E340" s="266"/>
      <c r="F340" s="305"/>
      <c r="G340" s="188" t="s">
        <v>9</v>
      </c>
      <c r="H340" s="266"/>
      <c r="I340" s="266" t="s">
        <v>9</v>
      </c>
      <c r="J340" s="266"/>
      <c r="K340" s="276" t="s">
        <v>26</v>
      </c>
      <c r="L340" s="276" t="s">
        <v>29</v>
      </c>
      <c r="M340" s="285" t="s">
        <v>2215</v>
      </c>
      <c r="N340" s="276" t="s">
        <v>2214</v>
      </c>
      <c r="O340" s="286">
        <v>0.14000000000000001</v>
      </c>
      <c r="Q340" s="266" t="s">
        <v>9</v>
      </c>
      <c r="R340" s="266" t="s">
        <v>106</v>
      </c>
      <c r="S340" s="266"/>
      <c r="T340" s="266"/>
      <c r="W340" s="272" t="str">
        <f>IF(IFERROR(VLOOKUP($M340,'IMPORT GS-Tür OL FL 2S2 20'!$H$2:$H$847,1,0),"-")="-","","GS")</f>
        <v/>
      </c>
      <c r="X340" s="272" t="str">
        <f t="shared" si="22"/>
        <v/>
      </c>
      <c r="Z340" s="273" t="str">
        <f>IF(OR($M340="",NOT($O340="{array}")),"",IFERROR(MATCH(PARAMETERS!$M340,DEFAULT!$B$5:$CI$5,0),""))</f>
        <v/>
      </c>
      <c r="AA340" s="272" t="str">
        <f t="shared" si="14"/>
        <v/>
      </c>
      <c r="AB340" s="274" t="str">
        <f>IF(AND(OR($A340="G",$A340="P"),NOT($O340="{array}")),IF(VLOOKUP($K340,base!$B$2:$D$20,3,0)="S",IF(OR($O340="",ISTEXT($O340)),"","STRING!"),IF(VLOOKUP($K340,base!$B$2:$D$20,3,0)="","",IF(ISTEXT($O340),"NUMERIC!",""))),"")</f>
        <v/>
      </c>
      <c r="AC340" s="275" t="str">
        <f>IF($AA340="","",IF($B340="I",VLOOKUP($AA340,#REF!,53,0),INDEX(VALUES!$B$1:$GP$1,1,$AA340)))</f>
        <v/>
      </c>
    </row>
    <row r="341" spans="1:29" s="276" customFormat="1" hidden="1" outlineLevel="1">
      <c r="A341" s="263"/>
      <c r="B341" s="264" t="str">
        <f t="shared" si="21"/>
        <v/>
      </c>
      <c r="C341" s="265">
        <f t="shared" si="23"/>
        <v>340</v>
      </c>
      <c r="D341" s="266"/>
      <c r="E341" s="266"/>
      <c r="F341" s="305"/>
      <c r="G341" s="188"/>
      <c r="H341" s="266"/>
      <c r="I341" s="266" t="s">
        <v>9</v>
      </c>
      <c r="J341" s="266"/>
      <c r="K341" s="276" t="s">
        <v>26</v>
      </c>
      <c r="L341" s="276" t="s">
        <v>29</v>
      </c>
      <c r="M341" s="285" t="s">
        <v>2216</v>
      </c>
      <c r="N341" s="276" t="s">
        <v>2217</v>
      </c>
      <c r="O341" s="286">
        <v>1.5</v>
      </c>
      <c r="Q341" s="266" t="s">
        <v>9</v>
      </c>
      <c r="R341" s="266" t="s">
        <v>106</v>
      </c>
      <c r="S341" s="266"/>
      <c r="T341" s="266"/>
      <c r="W341" s="272" t="str">
        <f>IF(IFERROR(VLOOKUP($M341,'IMPORT GS-Tür OL FL 2S2 20'!$H$2:$H$847,1,0),"-")="-","","GS")</f>
        <v/>
      </c>
      <c r="X341" s="272" t="str">
        <f t="shared" si="22"/>
        <v/>
      </c>
      <c r="Z341" s="273" t="str">
        <f>IF(OR($M341="",NOT($O341="{array}")),"",IFERROR(MATCH(PARAMETERS!$M341,DEFAULT!$B$5:$CI$5,0),""))</f>
        <v/>
      </c>
      <c r="AA341" s="272" t="str">
        <f t="shared" si="14"/>
        <v/>
      </c>
      <c r="AB341" s="274" t="str">
        <f>IF(AND(OR($A341="G",$A341="P"),NOT($O341="{array}")),IF(VLOOKUP($K341,base!$B$2:$D$20,3,0)="S",IF(OR($O341="",ISTEXT($O341)),"","STRING!"),IF(VLOOKUP($K341,base!$B$2:$D$20,3,0)="","",IF(ISTEXT($O341),"NUMERIC!",""))),"")</f>
        <v/>
      </c>
      <c r="AC341" s="275" t="str">
        <f>IF($AA341="","",IF($B341="I",VLOOKUP($AA341,#REF!,53,0),INDEX(VALUES!$B$1:$GP$1,1,$AA341)))</f>
        <v/>
      </c>
    </row>
    <row r="342" spans="1:29" s="276" customFormat="1" hidden="1" outlineLevel="1">
      <c r="A342" s="263"/>
      <c r="B342" s="264" t="str">
        <f t="shared" si="21"/>
        <v/>
      </c>
      <c r="C342" s="265">
        <f t="shared" si="23"/>
        <v>341</v>
      </c>
      <c r="D342" s="266"/>
      <c r="E342" s="266"/>
      <c r="F342" s="305"/>
      <c r="G342" s="188" t="s">
        <v>9</v>
      </c>
      <c r="H342" s="266"/>
      <c r="I342" s="266" t="s">
        <v>9</v>
      </c>
      <c r="J342" s="266"/>
      <c r="K342" s="276" t="s">
        <v>26</v>
      </c>
      <c r="L342" s="276" t="s">
        <v>29</v>
      </c>
      <c r="M342" s="285" t="s">
        <v>2218</v>
      </c>
      <c r="N342" s="276" t="s">
        <v>2219</v>
      </c>
      <c r="O342" s="286">
        <v>0</v>
      </c>
      <c r="Q342" s="266" t="s">
        <v>9</v>
      </c>
      <c r="R342" s="266" t="s">
        <v>106</v>
      </c>
      <c r="S342" s="266"/>
      <c r="T342" s="266"/>
      <c r="W342" s="272" t="str">
        <f>IF(IFERROR(VLOOKUP($M342,'IMPORT GS-Tür OL FL 2S2 20'!$H$2:$H$847,1,0),"-")="-","","GS")</f>
        <v/>
      </c>
      <c r="X342" s="272" t="str">
        <f t="shared" si="22"/>
        <v/>
      </c>
      <c r="Z342" s="273" t="str">
        <f>IF(OR($M342="",NOT($O342="{array}")),"",IFERROR(MATCH(PARAMETERS!$M342,DEFAULT!$B$5:$CI$5,0),""))</f>
        <v/>
      </c>
      <c r="AA342" s="272" t="str">
        <f t="shared" si="14"/>
        <v/>
      </c>
      <c r="AB342" s="274" t="str">
        <f>IF(AND(OR($A342="G",$A342="P"),NOT($O342="{array}")),IF(VLOOKUP($K342,base!$B$2:$D$20,3,0)="S",IF(OR($O342="",ISTEXT($O342)),"","STRING!"),IF(VLOOKUP($K342,base!$B$2:$D$20,3,0)="","",IF(ISTEXT($O342),"NUMERIC!",""))),"")</f>
        <v/>
      </c>
      <c r="AC342" s="275" t="str">
        <f>IF($AA342="","",IF($B342="I",VLOOKUP($AA342,#REF!,53,0),INDEX(VALUES!$B$1:$GP$1,1,$AA342)))</f>
        <v/>
      </c>
    </row>
    <row r="343" spans="1:29" s="276" customFormat="1" hidden="1" outlineLevel="1">
      <c r="A343" s="263"/>
      <c r="B343" s="264" t="str">
        <f t="shared" si="21"/>
        <v/>
      </c>
      <c r="C343" s="265">
        <f t="shared" si="23"/>
        <v>342</v>
      </c>
      <c r="D343" s="266"/>
      <c r="E343" s="266"/>
      <c r="F343" s="305"/>
      <c r="G343" s="188"/>
      <c r="H343" s="266"/>
      <c r="I343" s="266" t="s">
        <v>9</v>
      </c>
      <c r="J343" s="266"/>
      <c r="K343" s="276" t="s">
        <v>49</v>
      </c>
      <c r="L343" s="276" t="s">
        <v>29</v>
      </c>
      <c r="M343" s="285" t="s">
        <v>2220</v>
      </c>
      <c r="N343" s="276" t="s">
        <v>2221</v>
      </c>
      <c r="O343" s="286">
        <v>1</v>
      </c>
      <c r="Q343" s="266"/>
      <c r="R343" s="266" t="s">
        <v>106</v>
      </c>
      <c r="S343" s="266"/>
      <c r="T343" s="266"/>
      <c r="W343" s="272" t="str">
        <f>IF(IFERROR(VLOOKUP($M343,'IMPORT GS-Tür OL FL 2S2 20'!$H$2:$H$847,1,0),"-")="-","","GS")</f>
        <v/>
      </c>
      <c r="X343" s="272" t="str">
        <f t="shared" si="22"/>
        <v/>
      </c>
      <c r="Z343" s="273" t="str">
        <f>IF(OR($M343="",NOT($O343="{array}")),"",IFERROR(MATCH(PARAMETERS!$M343,DEFAULT!$B$5:$CI$5,0),""))</f>
        <v/>
      </c>
      <c r="AA343" s="272" t="str">
        <f t="shared" si="14"/>
        <v/>
      </c>
      <c r="AB343" s="274" t="str">
        <f>IF(AND(OR($A343="G",$A343="P"),NOT($O343="{array}")),IF(VLOOKUP($K343,base!$B$2:$D$20,3,0)="S",IF(OR($O343="",ISTEXT($O343)),"","STRING!"),IF(VLOOKUP($K343,base!$B$2:$D$20,3,0)="","",IF(ISTEXT($O343),"NUMERIC!",""))),"")</f>
        <v/>
      </c>
      <c r="AC343" s="275" t="str">
        <f>IF($AA343="","",IF($B343="I",VLOOKUP($AA343,#REF!,53,0),INDEX(VALUES!$B$1:$GP$1,1,$AA343)))</f>
        <v/>
      </c>
    </row>
    <row r="344" spans="1:29" s="276" customFormat="1" hidden="1" outlineLevel="1">
      <c r="A344" s="263"/>
      <c r="B344" s="264" t="str">
        <f t="shared" si="21"/>
        <v/>
      </c>
      <c r="C344" s="265">
        <f t="shared" si="23"/>
        <v>343</v>
      </c>
      <c r="D344" s="266"/>
      <c r="E344" s="266"/>
      <c r="F344" s="305"/>
      <c r="G344" s="188"/>
      <c r="H344" s="266"/>
      <c r="I344" s="266" t="s">
        <v>9</v>
      </c>
      <c r="J344" s="266"/>
      <c r="K344" s="276" t="s">
        <v>49</v>
      </c>
      <c r="L344" s="276" t="s">
        <v>29</v>
      </c>
      <c r="M344" s="285" t="s">
        <v>2222</v>
      </c>
      <c r="N344" s="276" t="s">
        <v>2223</v>
      </c>
      <c r="O344" s="286">
        <v>1</v>
      </c>
      <c r="Q344" s="266"/>
      <c r="R344" s="266" t="s">
        <v>106</v>
      </c>
      <c r="S344" s="266"/>
      <c r="T344" s="266"/>
      <c r="W344" s="272" t="str">
        <f>IF(IFERROR(VLOOKUP($M344,'IMPORT GS-Tür OL FL 2S2 20'!$H$2:$H$847,1,0),"-")="-","","GS")</f>
        <v/>
      </c>
      <c r="X344" s="272" t="str">
        <f t="shared" si="22"/>
        <v/>
      </c>
      <c r="Z344" s="273" t="str">
        <f>IF(OR($M344="",NOT($O344="{array}")),"",IFERROR(MATCH(PARAMETERS!$M344,DEFAULT!$B$5:$CI$5,0),""))</f>
        <v/>
      </c>
      <c r="AA344" s="272" t="str">
        <f t="shared" si="14"/>
        <v/>
      </c>
      <c r="AB344" s="274" t="str">
        <f>IF(AND(OR($A344="G",$A344="P"),NOT($O344="{array}")),IF(VLOOKUP($K344,base!$B$2:$D$20,3,0)="S",IF(OR($O344="",ISTEXT($O344)),"","STRING!"),IF(VLOOKUP($K344,base!$B$2:$D$20,3,0)="","",IF(ISTEXT($O344),"NUMERIC!",""))),"")</f>
        <v/>
      </c>
      <c r="AC344" s="275" t="str">
        <f>IF($AA344="","",IF($B344="I",VLOOKUP($AA344,#REF!,53,0),INDEX(VALUES!$B$1:$GP$1,1,$AA344)))</f>
        <v/>
      </c>
    </row>
    <row r="345" spans="1:29" s="276" customFormat="1" hidden="1" outlineLevel="1">
      <c r="A345" s="263"/>
      <c r="B345" s="264" t="str">
        <f t="shared" si="21"/>
        <v/>
      </c>
      <c r="C345" s="265">
        <f t="shared" si="23"/>
        <v>344</v>
      </c>
      <c r="D345" s="266"/>
      <c r="E345" s="266"/>
      <c r="F345" s="305"/>
      <c r="G345" s="188"/>
      <c r="H345" s="266"/>
      <c r="I345" s="266" t="s">
        <v>9</v>
      </c>
      <c r="J345" s="266"/>
      <c r="K345" s="276" t="s">
        <v>53</v>
      </c>
      <c r="L345" s="276" t="s">
        <v>29</v>
      </c>
      <c r="M345" s="285" t="s">
        <v>2224</v>
      </c>
      <c r="N345" s="276" t="s">
        <v>2225</v>
      </c>
      <c r="O345" s="286">
        <v>1</v>
      </c>
      <c r="Q345" s="266"/>
      <c r="R345" s="266" t="s">
        <v>106</v>
      </c>
      <c r="S345" s="266"/>
      <c r="T345" s="266"/>
      <c r="W345" s="272" t="str">
        <f>IF(IFERROR(VLOOKUP($M345,'IMPORT GS-Tür OL FL 2S2 20'!$H$2:$H$847,1,0),"-")="-","","GS")</f>
        <v/>
      </c>
      <c r="X345" s="272" t="str">
        <f t="shared" si="22"/>
        <v/>
      </c>
      <c r="Z345" s="273" t="str">
        <f>IF(OR($M345="",NOT($O345="{array}")),"",IFERROR(MATCH(PARAMETERS!$M345,DEFAULT!$B$5:$CI$5,0),""))</f>
        <v/>
      </c>
      <c r="AA345" s="272" t="str">
        <f t="shared" si="14"/>
        <v/>
      </c>
      <c r="AB345" s="274" t="str">
        <f>IF(AND(OR($A345="G",$A345="P"),NOT($O345="{array}")),IF(VLOOKUP($K345,base!$B$2:$D$20,3,0)="S",IF(OR($O345="",ISTEXT($O345)),"","STRING!"),IF(VLOOKUP($K345,base!$B$2:$D$20,3,0)="","",IF(ISTEXT($O345),"NUMERIC!",""))),"")</f>
        <v/>
      </c>
      <c r="AC345" s="275" t="str">
        <f>IF($AA345="","",IF($B345="I",VLOOKUP($AA345,#REF!,53,0),INDEX(VALUES!$B$1:$GP$1,1,$AA345)))</f>
        <v/>
      </c>
    </row>
    <row r="346" spans="1:29" s="276" customFormat="1" hidden="1" outlineLevel="1">
      <c r="A346" s="263"/>
      <c r="B346" s="264" t="str">
        <f t="shared" si="21"/>
        <v/>
      </c>
      <c r="C346" s="265">
        <f t="shared" si="23"/>
        <v>345</v>
      </c>
      <c r="D346" s="266"/>
      <c r="E346" s="266"/>
      <c r="F346" s="305"/>
      <c r="G346" s="188"/>
      <c r="H346" s="266"/>
      <c r="I346" s="266" t="s">
        <v>9</v>
      </c>
      <c r="J346" s="266"/>
      <c r="K346" s="276" t="s">
        <v>55</v>
      </c>
      <c r="L346" s="276" t="s">
        <v>29</v>
      </c>
      <c r="M346" s="285" t="s">
        <v>2226</v>
      </c>
      <c r="N346" s="276" t="s">
        <v>2227</v>
      </c>
      <c r="O346" s="286">
        <v>1</v>
      </c>
      <c r="Q346" s="266"/>
      <c r="R346" s="266" t="s">
        <v>106</v>
      </c>
      <c r="S346" s="266"/>
      <c r="T346" s="266"/>
      <c r="W346" s="272" t="str">
        <f>IF(IFERROR(VLOOKUP($M346,'IMPORT GS-Tür OL FL 2S2 20'!$H$2:$H$847,1,0),"-")="-","","GS")</f>
        <v/>
      </c>
      <c r="X346" s="272" t="str">
        <f t="shared" si="22"/>
        <v/>
      </c>
      <c r="Z346" s="273" t="str">
        <f>IF(OR($M346="",NOT($O346="{array}")),"",IFERROR(MATCH(PARAMETERS!$M346,DEFAULT!$B$5:$CI$5,0),""))</f>
        <v/>
      </c>
      <c r="AA346" s="272" t="str">
        <f t="shared" si="14"/>
        <v/>
      </c>
      <c r="AB346" s="274" t="str">
        <f>IF(AND(OR($A346="G",$A346="P"),NOT($O346="{array}")),IF(VLOOKUP($K346,base!$B$2:$D$20,3,0)="S",IF(OR($O346="",ISTEXT($O346)),"","STRING!"),IF(VLOOKUP($K346,base!$B$2:$D$20,3,0)="","",IF(ISTEXT($O346),"NUMERIC!",""))),"")</f>
        <v/>
      </c>
      <c r="AC346" s="275" t="str">
        <f>IF($AA346="","",IF($B346="I",VLOOKUP($AA346,#REF!,53,0),INDEX(VALUES!$B$1:$GP$1,1,$AA346)))</f>
        <v/>
      </c>
    </row>
    <row r="347" spans="1:29" s="276" customFormat="1" hidden="1" outlineLevel="1">
      <c r="A347" s="263"/>
      <c r="B347" s="264" t="str">
        <f t="shared" si="21"/>
        <v/>
      </c>
      <c r="C347" s="265">
        <f t="shared" si="23"/>
        <v>346</v>
      </c>
      <c r="D347" s="266"/>
      <c r="E347" s="266"/>
      <c r="F347" s="305"/>
      <c r="G347" s="188"/>
      <c r="H347" s="266"/>
      <c r="I347" s="266" t="s">
        <v>9</v>
      </c>
      <c r="J347" s="266"/>
      <c r="K347" s="276" t="s">
        <v>55</v>
      </c>
      <c r="L347" s="276" t="s">
        <v>29</v>
      </c>
      <c r="M347" s="285" t="s">
        <v>2228</v>
      </c>
      <c r="N347" s="276" t="s">
        <v>2229</v>
      </c>
      <c r="O347" s="286">
        <v>1</v>
      </c>
      <c r="Q347" s="266"/>
      <c r="R347" s="266" t="s">
        <v>106</v>
      </c>
      <c r="S347" s="266"/>
      <c r="T347" s="266"/>
      <c r="W347" s="272" t="str">
        <f>IF(IFERROR(VLOOKUP($M347,'IMPORT GS-Tür OL FL 2S2 20'!$H$2:$H$847,1,0),"-")="-","","GS")</f>
        <v/>
      </c>
      <c r="X347" s="272" t="str">
        <f t="shared" si="22"/>
        <v/>
      </c>
      <c r="Z347" s="273" t="str">
        <f>IF(OR($M347="",NOT($O347="{array}")),"",IFERROR(MATCH(PARAMETERS!$M347,DEFAULT!$B$5:$CI$5,0),""))</f>
        <v/>
      </c>
      <c r="AA347" s="272" t="str">
        <f t="shared" si="14"/>
        <v/>
      </c>
      <c r="AB347" s="274" t="str">
        <f>IF(AND(OR($A347="G",$A347="P"),NOT($O347="{array}")),IF(VLOOKUP($K347,base!$B$2:$D$20,3,0)="S",IF(OR($O347="",ISTEXT($O347)),"","STRING!"),IF(VLOOKUP($K347,base!$B$2:$D$20,3,0)="","",IF(ISTEXT($O347),"NUMERIC!",""))),"")</f>
        <v/>
      </c>
      <c r="AC347" s="275" t="str">
        <f>IF($AA347="","",IF($B347="I",VLOOKUP($AA347,#REF!,53,0),INDEX(VALUES!$B$1:$GP$1,1,$AA347)))</f>
        <v/>
      </c>
    </row>
    <row r="348" spans="1:29" s="276" customFormat="1" hidden="1" outlineLevel="1">
      <c r="A348" s="263"/>
      <c r="B348" s="264" t="str">
        <f t="shared" si="21"/>
        <v/>
      </c>
      <c r="C348" s="265">
        <f t="shared" si="23"/>
        <v>347</v>
      </c>
      <c r="D348" s="266"/>
      <c r="E348" s="266"/>
      <c r="F348" s="305"/>
      <c r="G348" s="188"/>
      <c r="H348" s="266"/>
      <c r="I348" s="266" t="s">
        <v>9</v>
      </c>
      <c r="J348" s="266"/>
      <c r="K348" s="276" t="s">
        <v>54</v>
      </c>
      <c r="L348" s="276" t="s">
        <v>29</v>
      </c>
      <c r="M348" s="285" t="s">
        <v>2230</v>
      </c>
      <c r="N348" s="276" t="s">
        <v>2231</v>
      </c>
      <c r="O348" s="286">
        <v>65</v>
      </c>
      <c r="Q348" s="266"/>
      <c r="R348" s="266" t="s">
        <v>106</v>
      </c>
      <c r="S348" s="266"/>
      <c r="T348" s="266"/>
      <c r="W348" s="272" t="str">
        <f>IF(IFERROR(VLOOKUP($M348,'IMPORT GS-Tür OL FL 2S2 20'!$H$2:$H$847,1,0),"-")="-","","GS")</f>
        <v/>
      </c>
      <c r="X348" s="272" t="str">
        <f t="shared" si="22"/>
        <v/>
      </c>
      <c r="Z348" s="273" t="str">
        <f>IF(OR($M348="",NOT($O348="{array}")),"",IFERROR(MATCH(PARAMETERS!$M348,DEFAULT!$B$5:$CI$5,0),""))</f>
        <v/>
      </c>
      <c r="AA348" s="272" t="str">
        <f t="shared" si="14"/>
        <v/>
      </c>
      <c r="AB348" s="274" t="str">
        <f>IF(AND(OR($A348="G",$A348="P"),NOT($O348="{array}")),IF(VLOOKUP($K348,base!$B$2:$D$20,3,0)="S",IF(OR($O348="",ISTEXT($O348)),"","STRING!"),IF(VLOOKUP($K348,base!$B$2:$D$20,3,0)="","",IF(ISTEXT($O348),"NUMERIC!",""))),"")</f>
        <v/>
      </c>
      <c r="AC348" s="275" t="str">
        <f>IF($AA348="","",IF($B348="I",VLOOKUP($AA348,#REF!,53,0),INDEX(VALUES!$B$1:$GP$1,1,$AA348)))</f>
        <v/>
      </c>
    </row>
    <row r="349" spans="1:29" s="276" customFormat="1" hidden="1" outlineLevel="1">
      <c r="A349" s="263"/>
      <c r="B349" s="264" t="str">
        <f t="shared" si="21"/>
        <v/>
      </c>
      <c r="C349" s="265">
        <f t="shared" si="23"/>
        <v>348</v>
      </c>
      <c r="D349" s="266"/>
      <c r="E349" s="266"/>
      <c r="F349" s="305"/>
      <c r="G349" s="188"/>
      <c r="H349" s="266"/>
      <c r="I349" s="266" t="s">
        <v>9</v>
      </c>
      <c r="J349" s="266"/>
      <c r="K349" s="276" t="s">
        <v>55</v>
      </c>
      <c r="L349" s="276" t="s">
        <v>29</v>
      </c>
      <c r="M349" s="285" t="s">
        <v>2232</v>
      </c>
      <c r="N349" s="276" t="s">
        <v>2233</v>
      </c>
      <c r="O349" s="286">
        <v>1</v>
      </c>
      <c r="Q349" s="266"/>
      <c r="R349" s="266" t="s">
        <v>106</v>
      </c>
      <c r="S349" s="266"/>
      <c r="T349" s="266"/>
      <c r="W349" s="272" t="str">
        <f>IF(IFERROR(VLOOKUP($M349,'IMPORT GS-Tür OL FL 2S2 20'!$H$2:$H$847,1,0),"-")="-","","GS")</f>
        <v/>
      </c>
      <c r="X349" s="272" t="str">
        <f t="shared" si="22"/>
        <v/>
      </c>
      <c r="Z349" s="273" t="str">
        <f>IF(OR($M349="",NOT($O349="{array}")),"",IFERROR(MATCH(PARAMETERS!$M349,DEFAULT!$B$5:$CI$5,0),""))</f>
        <v/>
      </c>
      <c r="AA349" s="272" t="str">
        <f t="shared" si="14"/>
        <v/>
      </c>
      <c r="AB349" s="274" t="str">
        <f>IF(AND(OR($A349="G",$A349="P"),NOT($O349="{array}")),IF(VLOOKUP($K349,base!$B$2:$D$20,3,0)="S",IF(OR($O349="",ISTEXT($O349)),"","STRING!"),IF(VLOOKUP($K349,base!$B$2:$D$20,3,0)="","",IF(ISTEXT($O349),"NUMERIC!",""))),"")</f>
        <v/>
      </c>
      <c r="AC349" s="275" t="str">
        <f>IF($AA349="","",IF($B349="I",VLOOKUP($AA349,#REF!,53,0),INDEX(VALUES!$B$1:$GP$1,1,$AA349)))</f>
        <v/>
      </c>
    </row>
    <row r="350" spans="1:29" s="276" customFormat="1" hidden="1" outlineLevel="1">
      <c r="A350" s="263"/>
      <c r="B350" s="264" t="str">
        <f t="shared" si="21"/>
        <v/>
      </c>
      <c r="C350" s="265">
        <f t="shared" si="23"/>
        <v>349</v>
      </c>
      <c r="D350" s="266"/>
      <c r="E350" s="266"/>
      <c r="F350" s="305"/>
      <c r="G350" s="188"/>
      <c r="H350" s="266"/>
      <c r="I350" s="266" t="s">
        <v>9</v>
      </c>
      <c r="J350" s="266"/>
      <c r="K350" s="276" t="s">
        <v>55</v>
      </c>
      <c r="L350" s="276" t="s">
        <v>29</v>
      </c>
      <c r="M350" s="285" t="s">
        <v>2234</v>
      </c>
      <c r="N350" s="276" t="s">
        <v>2235</v>
      </c>
      <c r="O350" s="286">
        <v>19</v>
      </c>
      <c r="Q350" s="266"/>
      <c r="R350" s="266" t="s">
        <v>106</v>
      </c>
      <c r="S350" s="266"/>
      <c r="T350" s="266"/>
      <c r="W350" s="272" t="str">
        <f>IF(IFERROR(VLOOKUP($M350,'IMPORT GS-Tür OL FL 2S2 20'!$H$2:$H$847,1,0),"-")="-","","GS")</f>
        <v/>
      </c>
      <c r="X350" s="272" t="str">
        <f t="shared" si="22"/>
        <v/>
      </c>
      <c r="Z350" s="273" t="str">
        <f>IF(OR($M350="",NOT($O350="{array}")),"",IFERROR(MATCH(PARAMETERS!$M350,DEFAULT!$B$5:$CI$5,0),""))</f>
        <v/>
      </c>
      <c r="AA350" s="272" t="str">
        <f t="shared" si="14"/>
        <v/>
      </c>
      <c r="AB350" s="274" t="str">
        <f>IF(AND(OR($A350="G",$A350="P"),NOT($O350="{array}")),IF(VLOOKUP($K350,base!$B$2:$D$20,3,0)="S",IF(OR($O350="",ISTEXT($O350)),"","STRING!"),IF(VLOOKUP($K350,base!$B$2:$D$20,3,0)="","",IF(ISTEXT($O350),"NUMERIC!",""))),"")</f>
        <v/>
      </c>
      <c r="AC350" s="275" t="str">
        <f>IF($AA350="","",IF($B350="I",VLOOKUP($AA350,#REF!,53,0),INDEX(VALUES!$B$1:$GP$1,1,$AA350)))</f>
        <v/>
      </c>
    </row>
    <row r="351" spans="1:29" s="276" customFormat="1" hidden="1" outlineLevel="1">
      <c r="A351" s="263"/>
      <c r="B351" s="264" t="str">
        <f t="shared" si="21"/>
        <v/>
      </c>
      <c r="C351" s="265">
        <f t="shared" si="23"/>
        <v>350</v>
      </c>
      <c r="D351" s="266"/>
      <c r="E351" s="266"/>
      <c r="F351" s="305"/>
      <c r="G351" s="188"/>
      <c r="H351" s="266"/>
      <c r="I351" s="266" t="s">
        <v>9</v>
      </c>
      <c r="J351" s="266"/>
      <c r="K351" s="276" t="s">
        <v>54</v>
      </c>
      <c r="L351" s="276" t="s">
        <v>29</v>
      </c>
      <c r="M351" s="285" t="s">
        <v>2236</v>
      </c>
      <c r="N351" s="276" t="s">
        <v>2237</v>
      </c>
      <c r="O351" s="286">
        <v>18</v>
      </c>
      <c r="Q351" s="266"/>
      <c r="R351" s="266" t="s">
        <v>106</v>
      </c>
      <c r="S351" s="266"/>
      <c r="T351" s="266"/>
      <c r="W351" s="272" t="str">
        <f>IF(IFERROR(VLOOKUP($M351,'IMPORT GS-Tür OL FL 2S2 20'!$H$2:$H$847,1,0),"-")="-","","GS")</f>
        <v/>
      </c>
      <c r="X351" s="272" t="str">
        <f t="shared" si="22"/>
        <v/>
      </c>
      <c r="Z351" s="273" t="str">
        <f>IF(OR($M351="",NOT($O351="{array}")),"",IFERROR(MATCH(PARAMETERS!$M351,DEFAULT!$B$5:$CI$5,0),""))</f>
        <v/>
      </c>
      <c r="AA351" s="272" t="str">
        <f t="shared" si="14"/>
        <v/>
      </c>
      <c r="AB351" s="274" t="str">
        <f>IF(AND(OR($A351="G",$A351="P"),NOT($O351="{array}")),IF(VLOOKUP($K351,base!$B$2:$D$20,3,0)="S",IF(OR($O351="",ISTEXT($O351)),"","STRING!"),IF(VLOOKUP($K351,base!$B$2:$D$20,3,0)="","",IF(ISTEXT($O351),"NUMERIC!",""))),"")</f>
        <v/>
      </c>
      <c r="AC351" s="275" t="str">
        <f>IF($AA351="","",IF($B351="I",VLOOKUP($AA351,#REF!,53,0),INDEX(VALUES!$B$1:$GP$1,1,$AA351)))</f>
        <v/>
      </c>
    </row>
    <row r="352" spans="1:29" s="276" customFormat="1" hidden="1" outlineLevel="1">
      <c r="A352" s="263"/>
      <c r="B352" s="264" t="str">
        <f t="shared" si="21"/>
        <v/>
      </c>
      <c r="C352" s="265">
        <f t="shared" si="23"/>
        <v>351</v>
      </c>
      <c r="D352" s="266"/>
      <c r="E352" s="266"/>
      <c r="F352" s="305"/>
      <c r="G352" s="188"/>
      <c r="H352" s="266"/>
      <c r="I352" s="266" t="s">
        <v>9</v>
      </c>
      <c r="J352" s="266"/>
      <c r="K352" s="276" t="s">
        <v>55</v>
      </c>
      <c r="L352" s="276" t="s">
        <v>29</v>
      </c>
      <c r="M352" s="285" t="s">
        <v>2238</v>
      </c>
      <c r="N352" s="276" t="s">
        <v>2239</v>
      </c>
      <c r="O352" s="286">
        <v>1</v>
      </c>
      <c r="Q352" s="266"/>
      <c r="R352" s="266" t="s">
        <v>106</v>
      </c>
      <c r="S352" s="266"/>
      <c r="T352" s="266"/>
      <c r="W352" s="272" t="str">
        <f>IF(IFERROR(VLOOKUP($M352,'IMPORT GS-Tür OL FL 2S2 20'!$H$2:$H$847,1,0),"-")="-","","GS")</f>
        <v/>
      </c>
      <c r="X352" s="272" t="str">
        <f t="shared" si="22"/>
        <v/>
      </c>
      <c r="Z352" s="273" t="str">
        <f>IF(OR($M352="",NOT($O352="{array}")),"",IFERROR(MATCH(PARAMETERS!$M352,DEFAULT!$B$5:$CI$5,0),""))</f>
        <v/>
      </c>
      <c r="AA352" s="272" t="str">
        <f t="shared" si="14"/>
        <v/>
      </c>
      <c r="AB352" s="274" t="str">
        <f>IF(AND(OR($A352="G",$A352="P"),NOT($O352="{array}")),IF(VLOOKUP($K352,base!$B$2:$D$20,3,0)="S",IF(OR($O352="",ISTEXT($O352)),"","STRING!"),IF(VLOOKUP($K352,base!$B$2:$D$20,3,0)="","",IF(ISTEXT($O352),"NUMERIC!",""))),"")</f>
        <v/>
      </c>
      <c r="AC352" s="275" t="str">
        <f>IF($AA352="","",IF($B352="I",VLOOKUP($AA352,#REF!,53,0),INDEX(VALUES!$B$1:$GP$1,1,$AA352)))</f>
        <v/>
      </c>
    </row>
    <row r="353" spans="1:29" s="276" customFormat="1" hidden="1" outlineLevel="1">
      <c r="A353" s="263"/>
      <c r="B353" s="264" t="str">
        <f t="shared" si="21"/>
        <v/>
      </c>
      <c r="C353" s="265">
        <f t="shared" si="23"/>
        <v>352</v>
      </c>
      <c r="D353" s="266"/>
      <c r="E353" s="266"/>
      <c r="F353" s="305"/>
      <c r="G353" s="188"/>
      <c r="H353" s="266"/>
      <c r="I353" s="266" t="s">
        <v>9</v>
      </c>
      <c r="J353" s="266"/>
      <c r="K353" s="276" t="s">
        <v>55</v>
      </c>
      <c r="L353" s="276" t="s">
        <v>29</v>
      </c>
      <c r="M353" s="285" t="s">
        <v>2240</v>
      </c>
      <c r="N353" s="276" t="s">
        <v>2241</v>
      </c>
      <c r="O353" s="286">
        <v>1</v>
      </c>
      <c r="Q353" s="266"/>
      <c r="R353" s="266" t="s">
        <v>106</v>
      </c>
      <c r="S353" s="266"/>
      <c r="T353" s="266"/>
      <c r="W353" s="272" t="str">
        <f>IF(IFERROR(VLOOKUP($M353,'IMPORT GS-Tür OL FL 2S2 20'!$H$2:$H$847,1,0),"-")="-","","GS")</f>
        <v/>
      </c>
      <c r="X353" s="272" t="str">
        <f t="shared" si="22"/>
        <v/>
      </c>
      <c r="Z353" s="273" t="str">
        <f>IF(OR($M353="",NOT($O353="{array}")),"",IFERROR(MATCH(PARAMETERS!$M353,DEFAULT!$B$5:$CI$5,0),""))</f>
        <v/>
      </c>
      <c r="AA353" s="272" t="str">
        <f t="shared" si="14"/>
        <v/>
      </c>
      <c r="AB353" s="274" t="str">
        <f>IF(AND(OR($A353="G",$A353="P"),NOT($O353="{array}")),IF(VLOOKUP($K353,base!$B$2:$D$20,3,0)="S",IF(OR($O353="",ISTEXT($O353)),"","STRING!"),IF(VLOOKUP($K353,base!$B$2:$D$20,3,0)="","",IF(ISTEXT($O353),"NUMERIC!",""))),"")</f>
        <v/>
      </c>
      <c r="AC353" s="275" t="str">
        <f>IF($AA353="","",IF($B353="I",VLOOKUP($AA353,#REF!,53,0),INDEX(VALUES!$B$1:$GP$1,1,$AA353)))</f>
        <v/>
      </c>
    </row>
    <row r="354" spans="1:29" s="276" customFormat="1" hidden="1" outlineLevel="1">
      <c r="A354" s="263"/>
      <c r="B354" s="264" t="str">
        <f t="shared" si="21"/>
        <v/>
      </c>
      <c r="C354" s="265">
        <f t="shared" si="23"/>
        <v>353</v>
      </c>
      <c r="D354" s="266"/>
      <c r="E354" s="266"/>
      <c r="F354" s="305"/>
      <c r="G354" s="188"/>
      <c r="H354" s="266"/>
      <c r="I354" s="266" t="s">
        <v>9</v>
      </c>
      <c r="J354" s="266"/>
      <c r="K354" s="276" t="s">
        <v>52</v>
      </c>
      <c r="L354" s="276" t="s">
        <v>29</v>
      </c>
      <c r="M354" s="285" t="s">
        <v>2242</v>
      </c>
      <c r="N354" s="276" t="s">
        <v>2243</v>
      </c>
      <c r="O354" s="286">
        <v>15</v>
      </c>
      <c r="Q354" s="266"/>
      <c r="R354" s="266" t="s">
        <v>106</v>
      </c>
      <c r="S354" s="266"/>
      <c r="T354" s="266"/>
      <c r="W354" s="272" t="str">
        <f>IF(IFERROR(VLOOKUP($M354,'IMPORT GS-Tür OL FL 2S2 20'!$H$2:$H$847,1,0),"-")="-","","GS")</f>
        <v/>
      </c>
      <c r="X354" s="272" t="str">
        <f t="shared" si="22"/>
        <v/>
      </c>
      <c r="Z354" s="273" t="str">
        <f>IF(OR($M354="",NOT($O354="{array}")),"",IFERROR(MATCH(PARAMETERS!$M354,DEFAULT!$B$5:$CI$5,0),""))</f>
        <v/>
      </c>
      <c r="AA354" s="272" t="str">
        <f t="shared" si="14"/>
        <v/>
      </c>
      <c r="AB354" s="274" t="str">
        <f>IF(AND(OR($A354="G",$A354="P"),NOT($O354="{array}")),IF(VLOOKUP($K354,base!$B$2:$D$20,3,0)="S",IF(OR($O354="",ISTEXT($O354)),"","STRING!"),IF(VLOOKUP($K354,base!$B$2:$D$20,3,0)="","",IF(ISTEXT($O354),"NUMERIC!",""))),"")</f>
        <v/>
      </c>
      <c r="AC354" s="275" t="str">
        <f>IF($AA354="","",IF($B354="I",VLOOKUP($AA354,#REF!,53,0),INDEX(VALUES!$B$1:$GP$1,1,$AA354)))</f>
        <v/>
      </c>
    </row>
    <row r="355" spans="1:29" s="276" customFormat="1" hidden="1" outlineLevel="1">
      <c r="A355" s="263"/>
      <c r="B355" s="264" t="str">
        <f t="shared" si="21"/>
        <v/>
      </c>
      <c r="C355" s="265">
        <f t="shared" si="23"/>
        <v>354</v>
      </c>
      <c r="D355" s="266"/>
      <c r="E355" s="266"/>
      <c r="F355" s="305"/>
      <c r="G355" s="188"/>
      <c r="H355" s="266"/>
      <c r="I355" s="266" t="s">
        <v>9</v>
      </c>
      <c r="J355" s="266"/>
      <c r="K355" s="276" t="s">
        <v>52</v>
      </c>
      <c r="L355" s="276" t="s">
        <v>29</v>
      </c>
      <c r="M355" s="285" t="s">
        <v>2244</v>
      </c>
      <c r="N355" s="276" t="s">
        <v>2245</v>
      </c>
      <c r="O355" s="286">
        <v>15</v>
      </c>
      <c r="Q355" s="266"/>
      <c r="R355" s="266" t="s">
        <v>106</v>
      </c>
      <c r="S355" s="266"/>
      <c r="T355" s="266"/>
      <c r="W355" s="272" t="str">
        <f>IF(IFERROR(VLOOKUP($M355,'IMPORT GS-Tür OL FL 2S2 20'!$H$2:$H$847,1,0),"-")="-","","GS")</f>
        <v/>
      </c>
      <c r="X355" s="272" t="str">
        <f t="shared" si="22"/>
        <v/>
      </c>
      <c r="Z355" s="273" t="str">
        <f>IF(OR($M355="",NOT($O355="{array}")),"",IFERROR(MATCH(PARAMETERS!$M355,DEFAULT!$B$5:$CI$5,0),""))</f>
        <v/>
      </c>
      <c r="AA355" s="272" t="str">
        <f t="shared" si="14"/>
        <v/>
      </c>
      <c r="AB355" s="274" t="str">
        <f>IF(AND(OR($A355="G",$A355="P"),NOT($O355="{array}")),IF(VLOOKUP($K355,base!$B$2:$D$20,3,0)="S",IF(OR($O355="",ISTEXT($O355)),"","STRING!"),IF(VLOOKUP($K355,base!$B$2:$D$20,3,0)="","",IF(ISTEXT($O355),"NUMERIC!",""))),"")</f>
        <v/>
      </c>
      <c r="AC355" s="275" t="str">
        <f>IF($AA355="","",IF($B355="I",VLOOKUP($AA355,#REF!,53,0),INDEX(VALUES!$B$1:$GP$1,1,$AA355)))</f>
        <v/>
      </c>
    </row>
    <row r="356" spans="1:29" s="276" customFormat="1" hidden="1" outlineLevel="1">
      <c r="A356" s="263"/>
      <c r="B356" s="264" t="str">
        <f t="shared" si="21"/>
        <v/>
      </c>
      <c r="C356" s="265">
        <f t="shared" si="23"/>
        <v>355</v>
      </c>
      <c r="D356" s="266"/>
      <c r="E356" s="266"/>
      <c r="F356" s="305"/>
      <c r="G356" s="188"/>
      <c r="H356" s="266"/>
      <c r="I356" s="266" t="s">
        <v>9</v>
      </c>
      <c r="J356" s="266"/>
      <c r="K356" s="276" t="s">
        <v>52</v>
      </c>
      <c r="L356" s="276" t="s">
        <v>29</v>
      </c>
      <c r="M356" s="285" t="s">
        <v>2246</v>
      </c>
      <c r="N356" s="276" t="s">
        <v>2247</v>
      </c>
      <c r="O356" s="286">
        <v>13</v>
      </c>
      <c r="Q356" s="266"/>
      <c r="R356" s="266" t="s">
        <v>106</v>
      </c>
      <c r="S356" s="266"/>
      <c r="T356" s="266"/>
      <c r="W356" s="272" t="str">
        <f>IF(IFERROR(VLOOKUP($M356,'IMPORT GS-Tür OL FL 2S2 20'!$H$2:$H$847,1,0),"-")="-","","GS")</f>
        <v/>
      </c>
      <c r="X356" s="272" t="str">
        <f t="shared" si="22"/>
        <v/>
      </c>
      <c r="Z356" s="273" t="str">
        <f>IF(OR($M356="",NOT($O356="{array}")),"",IFERROR(MATCH(PARAMETERS!$M356,DEFAULT!$B$5:$CI$5,0),""))</f>
        <v/>
      </c>
      <c r="AA356" s="272" t="str">
        <f t="shared" si="14"/>
        <v/>
      </c>
      <c r="AB356" s="274" t="str">
        <f>IF(AND(OR($A356="G",$A356="P"),NOT($O356="{array}")),IF(VLOOKUP($K356,base!$B$2:$D$20,3,0)="S",IF(OR($O356="",ISTEXT($O356)),"","STRING!"),IF(VLOOKUP($K356,base!$B$2:$D$20,3,0)="","",IF(ISTEXT($O356),"NUMERIC!",""))),"")</f>
        <v/>
      </c>
      <c r="AC356" s="275" t="str">
        <f>IF($AA356="","",IF($B356="I",VLOOKUP($AA356,#REF!,53,0),INDEX(VALUES!$B$1:$GP$1,1,$AA356)))</f>
        <v/>
      </c>
    </row>
    <row r="357" spans="1:29" s="276" customFormat="1" hidden="1" outlineLevel="1">
      <c r="A357" s="263"/>
      <c r="B357" s="264" t="str">
        <f t="shared" si="21"/>
        <v/>
      </c>
      <c r="C357" s="265">
        <f t="shared" si="23"/>
        <v>356</v>
      </c>
      <c r="D357" s="266"/>
      <c r="E357" s="266"/>
      <c r="F357" s="305"/>
      <c r="G357" s="188"/>
      <c r="H357" s="266"/>
      <c r="I357" s="266" t="s">
        <v>9</v>
      </c>
      <c r="J357" s="266"/>
      <c r="K357" s="276" t="s">
        <v>52</v>
      </c>
      <c r="L357" s="276" t="s">
        <v>29</v>
      </c>
      <c r="M357" s="285" t="s">
        <v>2248</v>
      </c>
      <c r="N357" s="276" t="s">
        <v>2249</v>
      </c>
      <c r="O357" s="286">
        <v>159</v>
      </c>
      <c r="Q357" s="266"/>
      <c r="R357" s="266" t="s">
        <v>106</v>
      </c>
      <c r="S357" s="266"/>
      <c r="T357" s="266"/>
      <c r="W357" s="272" t="str">
        <f>IF(IFERROR(VLOOKUP($M357,'IMPORT GS-Tür OL FL 2S2 20'!$H$2:$H$847,1,0),"-")="-","","GS")</f>
        <v/>
      </c>
      <c r="X357" s="272" t="str">
        <f t="shared" si="22"/>
        <v/>
      </c>
      <c r="Z357" s="273" t="str">
        <f>IF(OR($M357="",NOT($O357="{array}")),"",IFERROR(MATCH(PARAMETERS!$M357,DEFAULT!$B$5:$CI$5,0),""))</f>
        <v/>
      </c>
      <c r="AA357" s="272" t="str">
        <f t="shared" si="14"/>
        <v/>
      </c>
      <c r="AB357" s="274" t="str">
        <f>IF(AND(OR($A357="G",$A357="P"),NOT($O357="{array}")),IF(VLOOKUP($K357,base!$B$2:$D$20,3,0)="S",IF(OR($O357="",ISTEXT($O357)),"","STRING!"),IF(VLOOKUP($K357,base!$B$2:$D$20,3,0)="","",IF(ISTEXT($O357),"NUMERIC!",""))),"")</f>
        <v/>
      </c>
      <c r="AC357" s="275" t="str">
        <f>IF($AA357="","",IF($B357="I",VLOOKUP($AA357,#REF!,53,0),INDEX(VALUES!$B$1:$GP$1,1,$AA357)))</f>
        <v/>
      </c>
    </row>
    <row r="358" spans="1:29" s="276" customFormat="1" hidden="1" outlineLevel="1">
      <c r="A358" s="263"/>
      <c r="B358" s="264" t="str">
        <f t="shared" si="21"/>
        <v/>
      </c>
      <c r="C358" s="265">
        <f t="shared" si="23"/>
        <v>357</v>
      </c>
      <c r="D358" s="266"/>
      <c r="E358" s="266"/>
      <c r="F358" s="305"/>
      <c r="G358" s="188"/>
      <c r="H358" s="266"/>
      <c r="I358" s="266" t="s">
        <v>9</v>
      </c>
      <c r="J358" s="266"/>
      <c r="K358" s="276" t="s">
        <v>52</v>
      </c>
      <c r="L358" s="276" t="s">
        <v>29</v>
      </c>
      <c r="M358" s="285" t="s">
        <v>2250</v>
      </c>
      <c r="N358" s="276" t="s">
        <v>2251</v>
      </c>
      <c r="O358" s="286">
        <v>60</v>
      </c>
      <c r="Q358" s="266"/>
      <c r="R358" s="266" t="s">
        <v>106</v>
      </c>
      <c r="S358" s="266"/>
      <c r="T358" s="266"/>
      <c r="W358" s="272" t="str">
        <f>IF(IFERROR(VLOOKUP($M358,'IMPORT GS-Tür OL FL 2S2 20'!$H$2:$H$847,1,0),"-")="-","","GS")</f>
        <v/>
      </c>
      <c r="X358" s="272" t="str">
        <f t="shared" si="22"/>
        <v/>
      </c>
      <c r="Z358" s="273" t="str">
        <f>IF(OR($M358="",NOT($O358="{array}")),"",IFERROR(MATCH(PARAMETERS!$M358,DEFAULT!$B$5:$CI$5,0),""))</f>
        <v/>
      </c>
      <c r="AA358" s="272" t="str">
        <f t="shared" si="14"/>
        <v/>
      </c>
      <c r="AB358" s="274" t="str">
        <f>IF(AND(OR($A358="G",$A358="P"),NOT($O358="{array}")),IF(VLOOKUP($K358,base!$B$2:$D$20,3,0)="S",IF(OR($O358="",ISTEXT($O358)),"","STRING!"),IF(VLOOKUP($K358,base!$B$2:$D$20,3,0)="","",IF(ISTEXT($O358),"NUMERIC!",""))),"")</f>
        <v/>
      </c>
      <c r="AC358" s="275" t="str">
        <f>IF($AA358="","",IF($B358="I",VLOOKUP($AA358,#REF!,53,0),INDEX(VALUES!$B$1:$GP$1,1,$AA358)))</f>
        <v/>
      </c>
    </row>
    <row r="359" spans="1:29" s="276" customFormat="1" hidden="1" outlineLevel="1">
      <c r="A359" s="263"/>
      <c r="B359" s="264" t="str">
        <f t="shared" si="21"/>
        <v/>
      </c>
      <c r="C359" s="265">
        <f t="shared" si="23"/>
        <v>358</v>
      </c>
      <c r="D359" s="266"/>
      <c r="E359" s="266"/>
      <c r="F359" s="305"/>
      <c r="G359" s="188"/>
      <c r="H359" s="266"/>
      <c r="I359" s="266" t="s">
        <v>9</v>
      </c>
      <c r="J359" s="266"/>
      <c r="K359" s="276" t="s">
        <v>52</v>
      </c>
      <c r="L359" s="276" t="s">
        <v>29</v>
      </c>
      <c r="M359" s="285" t="s">
        <v>2252</v>
      </c>
      <c r="N359" s="276" t="s">
        <v>2253</v>
      </c>
      <c r="O359" s="286">
        <v>159</v>
      </c>
      <c r="Q359" s="266"/>
      <c r="R359" s="266" t="s">
        <v>106</v>
      </c>
      <c r="S359" s="266"/>
      <c r="T359" s="266"/>
      <c r="W359" s="272" t="str">
        <f>IF(IFERROR(VLOOKUP($M359,'IMPORT GS-Tür OL FL 2S2 20'!$H$2:$H$847,1,0),"-")="-","","GS")</f>
        <v/>
      </c>
      <c r="X359" s="272" t="str">
        <f t="shared" si="22"/>
        <v/>
      </c>
      <c r="Z359" s="273" t="str">
        <f>IF(OR($M359="",NOT($O359="{array}")),"",IFERROR(MATCH(PARAMETERS!$M359,DEFAULT!$B$5:$CI$5,0),""))</f>
        <v/>
      </c>
      <c r="AA359" s="272" t="str">
        <f t="shared" si="14"/>
        <v/>
      </c>
      <c r="AB359" s="274" t="str">
        <f>IF(AND(OR($A359="G",$A359="P"),NOT($O359="{array}")),IF(VLOOKUP($K359,base!$B$2:$D$20,3,0)="S",IF(OR($O359="",ISTEXT($O359)),"","STRING!"),IF(VLOOKUP($K359,base!$B$2:$D$20,3,0)="","",IF(ISTEXT($O359),"NUMERIC!",""))),"")</f>
        <v/>
      </c>
      <c r="AC359" s="275" t="str">
        <f>IF($AA359="","",IF($B359="I",VLOOKUP($AA359,#REF!,53,0),INDEX(VALUES!$B$1:$GP$1,1,$AA359)))</f>
        <v/>
      </c>
    </row>
    <row r="360" spans="1:29" s="276" customFormat="1" hidden="1" outlineLevel="1">
      <c r="A360" s="263"/>
      <c r="B360" s="264" t="str">
        <f t="shared" si="21"/>
        <v/>
      </c>
      <c r="C360" s="265">
        <f t="shared" si="23"/>
        <v>359</v>
      </c>
      <c r="D360" s="266"/>
      <c r="E360" s="266"/>
      <c r="F360" s="305"/>
      <c r="G360" s="188"/>
      <c r="H360" s="266"/>
      <c r="I360" s="266" t="s">
        <v>9</v>
      </c>
      <c r="J360" s="266"/>
      <c r="K360" s="276" t="s">
        <v>52</v>
      </c>
      <c r="L360" s="276" t="s">
        <v>29</v>
      </c>
      <c r="M360" s="285" t="s">
        <v>2254</v>
      </c>
      <c r="N360" s="276" t="s">
        <v>2255</v>
      </c>
      <c r="O360" s="286">
        <v>159</v>
      </c>
      <c r="Q360" s="266"/>
      <c r="R360" s="266" t="s">
        <v>106</v>
      </c>
      <c r="S360" s="266"/>
      <c r="T360" s="266"/>
      <c r="W360" s="272" t="str">
        <f>IF(IFERROR(VLOOKUP($M360,'IMPORT GS-Tür OL FL 2S2 20'!$H$2:$H$847,1,0),"-")="-","","GS")</f>
        <v/>
      </c>
      <c r="X360" s="272" t="str">
        <f t="shared" si="22"/>
        <v/>
      </c>
      <c r="Z360" s="273" t="str">
        <f>IF(OR($M360="",NOT($O360="{array}")),"",IFERROR(MATCH(PARAMETERS!$M360,DEFAULT!$B$5:$CI$5,0),""))</f>
        <v/>
      </c>
      <c r="AA360" s="272" t="str">
        <f t="shared" si="14"/>
        <v/>
      </c>
      <c r="AB360" s="274" t="str">
        <f>IF(AND(OR($A360="G",$A360="P"),NOT($O360="{array}")),IF(VLOOKUP($K360,base!$B$2:$D$20,3,0)="S",IF(OR($O360="",ISTEXT($O360)),"","STRING!"),IF(VLOOKUP($K360,base!$B$2:$D$20,3,0)="","",IF(ISTEXT($O360),"NUMERIC!",""))),"")</f>
        <v/>
      </c>
      <c r="AC360" s="275" t="str">
        <f>IF($AA360="","",IF($B360="I",VLOOKUP($AA360,#REF!,53,0),INDEX(VALUES!$B$1:$GP$1,1,$AA360)))</f>
        <v/>
      </c>
    </row>
    <row r="361" spans="1:29" s="276" customFormat="1" hidden="1" outlineLevel="1">
      <c r="A361" s="263"/>
      <c r="B361" s="264" t="str">
        <f t="shared" si="21"/>
        <v/>
      </c>
      <c r="C361" s="265">
        <f t="shared" si="23"/>
        <v>360</v>
      </c>
      <c r="D361" s="266"/>
      <c r="E361" s="266"/>
      <c r="F361" s="305"/>
      <c r="G361" s="188"/>
      <c r="H361" s="266"/>
      <c r="I361" s="266" t="s">
        <v>9</v>
      </c>
      <c r="J361" s="266"/>
      <c r="K361" s="276" t="s">
        <v>52</v>
      </c>
      <c r="L361" s="276" t="s">
        <v>29</v>
      </c>
      <c r="M361" s="285" t="s">
        <v>2256</v>
      </c>
      <c r="N361" s="276" t="s">
        <v>2257</v>
      </c>
      <c r="O361" s="286">
        <v>13</v>
      </c>
      <c r="Q361" s="266"/>
      <c r="R361" s="266" t="s">
        <v>106</v>
      </c>
      <c r="S361" s="266"/>
      <c r="T361" s="266"/>
      <c r="W361" s="272" t="str">
        <f>IF(IFERROR(VLOOKUP($M361,'IMPORT GS-Tür OL FL 2S2 20'!$H$2:$H$847,1,0),"-")="-","","GS")</f>
        <v/>
      </c>
      <c r="X361" s="272" t="str">
        <f t="shared" si="22"/>
        <v/>
      </c>
      <c r="Z361" s="273" t="str">
        <f>IF(OR($M361="",NOT($O361="{array}")),"",IFERROR(MATCH(PARAMETERS!$M361,DEFAULT!$B$5:$CI$5,0),""))</f>
        <v/>
      </c>
      <c r="AA361" s="272" t="str">
        <f t="shared" si="14"/>
        <v/>
      </c>
      <c r="AB361" s="274" t="str">
        <f>IF(AND(OR($A361="G",$A361="P"),NOT($O361="{array}")),IF(VLOOKUP($K361,base!$B$2:$D$20,3,0)="S",IF(OR($O361="",ISTEXT($O361)),"","STRING!"),IF(VLOOKUP($K361,base!$B$2:$D$20,3,0)="","",IF(ISTEXT($O361),"NUMERIC!",""))),"")</f>
        <v/>
      </c>
      <c r="AC361" s="275" t="str">
        <f>IF($AA361="","",IF($B361="I",VLOOKUP($AA361,#REF!,53,0),INDEX(VALUES!$B$1:$GP$1,1,$AA361)))</f>
        <v/>
      </c>
    </row>
    <row r="362" spans="1:29" s="276" customFormat="1" hidden="1" outlineLevel="1">
      <c r="A362" s="263"/>
      <c r="B362" s="264" t="str">
        <f t="shared" si="21"/>
        <v/>
      </c>
      <c r="C362" s="265">
        <f t="shared" si="23"/>
        <v>361</v>
      </c>
      <c r="D362" s="266"/>
      <c r="E362" s="266"/>
      <c r="F362" s="305"/>
      <c r="G362" s="188"/>
      <c r="H362" s="266" t="s">
        <v>9</v>
      </c>
      <c r="I362" s="266" t="s">
        <v>9</v>
      </c>
      <c r="J362" s="266"/>
      <c r="K362" s="276" t="s">
        <v>20</v>
      </c>
      <c r="L362" s="276" t="s">
        <v>29</v>
      </c>
      <c r="M362" s="285" t="s">
        <v>2258</v>
      </c>
      <c r="N362" s="276" t="s">
        <v>2259</v>
      </c>
      <c r="O362" s="286" t="s">
        <v>651</v>
      </c>
      <c r="Q362" s="266"/>
      <c r="R362" s="266" t="s">
        <v>106</v>
      </c>
      <c r="S362" s="266"/>
      <c r="T362" s="266"/>
      <c r="W362" s="272" t="str">
        <f>IF(IFERROR(VLOOKUP($M362,'IMPORT GS-Tür OL FL 2S2 20'!$H$2:$H$847,1,0),"-")="-","","GS")</f>
        <v/>
      </c>
      <c r="X362" s="272" t="str">
        <f t="shared" si="22"/>
        <v/>
      </c>
      <c r="Z362" s="273" t="str">
        <f>IF(OR($M362="",NOT($O362="{array}")),"",IFERROR(MATCH(PARAMETERS!$M362,DEFAULT!$B$5:$CI$5,0),""))</f>
        <v/>
      </c>
      <c r="AA362" s="272" t="str">
        <f t="shared" si="14"/>
        <v/>
      </c>
      <c r="AB362" s="274" t="str">
        <f>IF(AND(OR($A362="G",$A362="P"),NOT($O362="{array}")),IF(VLOOKUP($K362,base!$B$2:$D$20,3,0)="S",IF(OR($O362="",ISTEXT($O362)),"","STRING!"),IF(VLOOKUP($K362,base!$B$2:$D$20,3,0)="","",IF(ISTEXT($O362),"NUMERIC!",""))),"")</f>
        <v/>
      </c>
      <c r="AC362" s="275" t="str">
        <f>IF($AA362="","",IF($B362="I",VLOOKUP($AA362,#REF!,53,0),INDEX(VALUES!$B$1:$GP$1,1,$AA362)))</f>
        <v/>
      </c>
    </row>
    <row r="363" spans="1:29" s="276" customFormat="1" hidden="1" outlineLevel="1">
      <c r="A363" s="263"/>
      <c r="B363" s="264" t="str">
        <f t="shared" si="21"/>
        <v/>
      </c>
      <c r="C363" s="265">
        <f t="shared" si="23"/>
        <v>362</v>
      </c>
      <c r="D363" s="266"/>
      <c r="E363" s="266"/>
      <c r="F363" s="305"/>
      <c r="G363" s="188" t="s">
        <v>9</v>
      </c>
      <c r="H363" s="266"/>
      <c r="I363" s="266" t="s">
        <v>9</v>
      </c>
      <c r="J363" s="266"/>
      <c r="K363" s="276" t="s">
        <v>46</v>
      </c>
      <c r="L363" s="276" t="s">
        <v>29</v>
      </c>
      <c r="M363" s="285" t="s">
        <v>2260</v>
      </c>
      <c r="N363" s="276" t="s">
        <v>2259</v>
      </c>
      <c r="O363" s="286">
        <v>1</v>
      </c>
      <c r="Q363" s="266"/>
      <c r="R363" s="266" t="s">
        <v>106</v>
      </c>
      <c r="S363" s="266"/>
      <c r="T363" s="266"/>
      <c r="W363" s="272" t="str">
        <f>IF(IFERROR(VLOOKUP($M363,'IMPORT GS-Tür OL FL 2S2 20'!$H$2:$H$847,1,0),"-")="-","","GS")</f>
        <v/>
      </c>
      <c r="X363" s="272" t="str">
        <f t="shared" si="22"/>
        <v/>
      </c>
      <c r="Z363" s="273" t="str">
        <f>IF(OR($M363="",NOT($O363="{array}")),"",IFERROR(MATCH(PARAMETERS!$M363,DEFAULT!$B$5:$CI$5,0),""))</f>
        <v/>
      </c>
      <c r="AA363" s="272" t="str">
        <f t="shared" si="14"/>
        <v/>
      </c>
      <c r="AB363" s="274" t="str">
        <f>IF(AND(OR($A363="G",$A363="P"),NOT($O363="{array}")),IF(VLOOKUP($K363,base!$B$2:$D$20,3,0)="S",IF(OR($O363="",ISTEXT($O363)),"","STRING!"),IF(VLOOKUP($K363,base!$B$2:$D$20,3,0)="","",IF(ISTEXT($O363),"NUMERIC!",""))),"")</f>
        <v/>
      </c>
      <c r="AC363" s="275" t="str">
        <f>IF($AA363="","",IF($B363="I",VLOOKUP($AA363,#REF!,53,0),INDEX(VALUES!$B$1:$GP$1,1,$AA363)))</f>
        <v/>
      </c>
    </row>
    <row r="364" spans="1:29" s="276" customFormat="1" hidden="1" outlineLevel="1">
      <c r="A364" s="263"/>
      <c r="B364" s="264" t="str">
        <f t="shared" si="21"/>
        <v/>
      </c>
      <c r="C364" s="265">
        <f t="shared" si="23"/>
        <v>363</v>
      </c>
      <c r="D364" s="266"/>
      <c r="E364" s="266"/>
      <c r="F364" s="305"/>
      <c r="G364" s="188"/>
      <c r="H364" s="266"/>
      <c r="I364" s="266" t="s">
        <v>9</v>
      </c>
      <c r="J364" s="266"/>
      <c r="K364" s="276" t="s">
        <v>20</v>
      </c>
      <c r="L364" s="276" t="s">
        <v>29</v>
      </c>
      <c r="M364" s="285" t="s">
        <v>2261</v>
      </c>
      <c r="N364" s="276" t="s">
        <v>2262</v>
      </c>
      <c r="O364" s="286"/>
      <c r="Q364" s="266" t="s">
        <v>9</v>
      </c>
      <c r="R364" s="266" t="s">
        <v>106</v>
      </c>
      <c r="S364" s="266"/>
      <c r="T364" s="266"/>
      <c r="W364" s="272" t="str">
        <f>IF(IFERROR(VLOOKUP($M364,'IMPORT GS-Tür OL FL 2S2 20'!$H$2:$H$847,1,0),"-")="-","","GS")</f>
        <v/>
      </c>
      <c r="X364" s="272" t="str">
        <f t="shared" si="22"/>
        <v/>
      </c>
      <c r="Z364" s="273" t="str">
        <f>IF(OR($M364="",NOT($O364="{array}")),"",IFERROR(MATCH(PARAMETERS!$M364,DEFAULT!$B$5:$CI$5,0),""))</f>
        <v/>
      </c>
      <c r="AA364" s="272" t="str">
        <f t="shared" si="14"/>
        <v/>
      </c>
      <c r="AB364" s="274" t="str">
        <f>IF(AND(OR($A364="G",$A364="P"),NOT($O364="{array}")),IF(VLOOKUP($K364,base!$B$2:$D$20,3,0)="S",IF(OR($O364="",ISTEXT($O364)),"","STRING!"),IF(VLOOKUP($K364,base!$B$2:$D$20,3,0)="","",IF(ISTEXT($O364),"NUMERIC!",""))),"")</f>
        <v/>
      </c>
      <c r="AC364" s="275" t="str">
        <f>IF($AA364="","",IF($B364="I",VLOOKUP($AA364,#REF!,53,0),INDEX(VALUES!$B$1:$GP$1,1,$AA364)))</f>
        <v/>
      </c>
    </row>
    <row r="365" spans="1:29" s="276" customFormat="1" hidden="1" outlineLevel="1">
      <c r="A365" s="263"/>
      <c r="B365" s="264" t="str">
        <f t="shared" si="21"/>
        <v/>
      </c>
      <c r="C365" s="265">
        <f t="shared" si="23"/>
        <v>364</v>
      </c>
      <c r="D365" s="266"/>
      <c r="E365" s="266"/>
      <c r="F365" s="305"/>
      <c r="G365" s="188"/>
      <c r="H365" s="266"/>
      <c r="I365" s="266" t="s">
        <v>9</v>
      </c>
      <c r="J365" s="266"/>
      <c r="K365" s="276" t="s">
        <v>26</v>
      </c>
      <c r="L365" s="276" t="s">
        <v>29</v>
      </c>
      <c r="M365" s="285" t="s">
        <v>2263</v>
      </c>
      <c r="N365" s="276" t="s">
        <v>2264</v>
      </c>
      <c r="O365" s="286">
        <v>0.05</v>
      </c>
      <c r="Q365" s="266" t="s">
        <v>9</v>
      </c>
      <c r="R365" s="266" t="s">
        <v>106</v>
      </c>
      <c r="S365" s="266"/>
      <c r="T365" s="266"/>
      <c r="W365" s="272" t="str">
        <f>IF(IFERROR(VLOOKUP($M365,'IMPORT GS-Tür OL FL 2S2 20'!$H$2:$H$847,1,0),"-")="-","","GS")</f>
        <v/>
      </c>
      <c r="X365" s="272" t="str">
        <f t="shared" si="22"/>
        <v/>
      </c>
      <c r="Z365" s="273" t="str">
        <f>IF(OR($M365="",NOT($O365="{array}")),"",IFERROR(MATCH(PARAMETERS!$M365,DEFAULT!$B$5:$CI$5,0),""))</f>
        <v/>
      </c>
      <c r="AA365" s="272" t="str">
        <f t="shared" si="14"/>
        <v/>
      </c>
      <c r="AB365" s="274" t="str">
        <f>IF(AND(OR($A365="G",$A365="P"),NOT($O365="{array}")),IF(VLOOKUP($K365,base!$B$2:$D$20,3,0)="S",IF(OR($O365="",ISTEXT($O365)),"","STRING!"),IF(VLOOKUP($K365,base!$B$2:$D$20,3,0)="","",IF(ISTEXT($O365),"NUMERIC!",""))),"")</f>
        <v/>
      </c>
      <c r="AC365" s="275" t="str">
        <f>IF($AA365="","",IF($B365="I",VLOOKUP($AA365,#REF!,53,0),INDEX(VALUES!$B$1:$GP$1,1,$AA365)))</f>
        <v/>
      </c>
    </row>
    <row r="366" spans="1:29" s="276" customFormat="1" hidden="1" outlineLevel="1">
      <c r="A366" s="263"/>
      <c r="B366" s="264" t="str">
        <f t="shared" si="21"/>
        <v/>
      </c>
      <c r="C366" s="265">
        <f t="shared" si="23"/>
        <v>365</v>
      </c>
      <c r="D366" s="266"/>
      <c r="E366" s="266"/>
      <c r="F366" s="305"/>
      <c r="G366" s="188"/>
      <c r="H366" s="266"/>
      <c r="I366" s="266" t="s">
        <v>9</v>
      </c>
      <c r="J366" s="266"/>
      <c r="K366" s="276" t="s">
        <v>26</v>
      </c>
      <c r="L366" s="276" t="s">
        <v>29</v>
      </c>
      <c r="M366" s="285" t="s">
        <v>2265</v>
      </c>
      <c r="N366" s="276" t="s">
        <v>2266</v>
      </c>
      <c r="O366" s="286">
        <v>0.05</v>
      </c>
      <c r="Q366" s="266" t="s">
        <v>9</v>
      </c>
      <c r="R366" s="266" t="s">
        <v>106</v>
      </c>
      <c r="S366" s="266"/>
      <c r="T366" s="266"/>
      <c r="W366" s="272" t="str">
        <f>IF(IFERROR(VLOOKUP($M366,'IMPORT GS-Tür OL FL 2S2 20'!$H$2:$H$847,1,0),"-")="-","","GS")</f>
        <v/>
      </c>
      <c r="X366" s="272" t="str">
        <f t="shared" si="22"/>
        <v/>
      </c>
      <c r="Z366" s="273" t="str">
        <f>IF(OR($M366="",NOT($O366="{array}")),"",IFERROR(MATCH(PARAMETERS!$M366,DEFAULT!$B$5:$CI$5,0),""))</f>
        <v/>
      </c>
      <c r="AA366" s="272" t="str">
        <f t="shared" si="14"/>
        <v/>
      </c>
      <c r="AB366" s="274" t="str">
        <f>IF(AND(OR($A366="G",$A366="P"),NOT($O366="{array}")),IF(VLOOKUP($K366,base!$B$2:$D$20,3,0)="S",IF(OR($O366="",ISTEXT($O366)),"","STRING!"),IF(VLOOKUP($K366,base!$B$2:$D$20,3,0)="","",IF(ISTEXT($O366),"NUMERIC!",""))),"")</f>
        <v/>
      </c>
      <c r="AC366" s="275" t="str">
        <f>IF($AA366="","",IF($B366="I",VLOOKUP($AA366,#REF!,53,0),INDEX(VALUES!$B$1:$GP$1,1,$AA366)))</f>
        <v/>
      </c>
    </row>
    <row r="367" spans="1:29" s="276" customFormat="1" hidden="1" outlineLevel="1">
      <c r="A367" s="263"/>
      <c r="B367" s="264" t="str">
        <f t="shared" si="21"/>
        <v/>
      </c>
      <c r="C367" s="265">
        <f t="shared" si="23"/>
        <v>366</v>
      </c>
      <c r="D367" s="266"/>
      <c r="E367" s="266"/>
      <c r="F367" s="305"/>
      <c r="G367" s="188"/>
      <c r="H367" s="266"/>
      <c r="I367" s="266" t="s">
        <v>9</v>
      </c>
      <c r="J367" s="266"/>
      <c r="K367" s="276" t="s">
        <v>49</v>
      </c>
      <c r="L367" s="276" t="s">
        <v>29</v>
      </c>
      <c r="M367" s="285" t="s">
        <v>2267</v>
      </c>
      <c r="N367" s="276" t="s">
        <v>2268</v>
      </c>
      <c r="O367" s="286">
        <v>0</v>
      </c>
      <c r="Q367" s="266"/>
      <c r="R367" s="266" t="s">
        <v>106</v>
      </c>
      <c r="S367" s="266"/>
      <c r="T367" s="266"/>
      <c r="W367" s="272" t="str">
        <f>IF(IFERROR(VLOOKUP($M367,'IMPORT GS-Tür OL FL 2S2 20'!$H$2:$H$847,1,0),"-")="-","","GS")</f>
        <v/>
      </c>
      <c r="X367" s="272" t="str">
        <f t="shared" si="22"/>
        <v/>
      </c>
      <c r="Z367" s="273" t="str">
        <f>IF(OR($M367="",NOT($O367="{array}")),"",IFERROR(MATCH(PARAMETERS!$M367,DEFAULT!$B$5:$CI$5,0),""))</f>
        <v/>
      </c>
      <c r="AA367" s="272" t="str">
        <f t="shared" si="14"/>
        <v/>
      </c>
      <c r="AB367" s="274" t="str">
        <f>IF(AND(OR($A367="G",$A367="P"),NOT($O367="{array}")),IF(VLOOKUP($K367,base!$B$2:$D$20,3,0)="S",IF(OR($O367="",ISTEXT($O367)),"","STRING!"),IF(VLOOKUP($K367,base!$B$2:$D$20,3,0)="","",IF(ISTEXT($O367),"NUMERIC!",""))),"")</f>
        <v/>
      </c>
      <c r="AC367" s="275" t="str">
        <f>IF($AA367="","",IF($B367="I",VLOOKUP($AA367,#REF!,53,0),INDEX(VALUES!$B$1:$GP$1,1,$AA367)))</f>
        <v/>
      </c>
    </row>
    <row r="368" spans="1:29" s="276" customFormat="1" hidden="1" outlineLevel="1">
      <c r="A368" s="263"/>
      <c r="B368" s="264" t="str">
        <f t="shared" si="21"/>
        <v/>
      </c>
      <c r="C368" s="265">
        <f t="shared" si="23"/>
        <v>367</v>
      </c>
      <c r="D368" s="266"/>
      <c r="E368" s="266"/>
      <c r="F368" s="305"/>
      <c r="G368" s="188"/>
      <c r="H368" s="266"/>
      <c r="I368" s="266" t="s">
        <v>9</v>
      </c>
      <c r="J368" s="266"/>
      <c r="K368" s="276" t="s">
        <v>26</v>
      </c>
      <c r="L368" s="276" t="s">
        <v>29</v>
      </c>
      <c r="M368" s="285" t="s">
        <v>2269</v>
      </c>
      <c r="N368" s="276" t="s">
        <v>2270</v>
      </c>
      <c r="O368" s="286">
        <v>0.05</v>
      </c>
      <c r="Q368" s="266" t="s">
        <v>9</v>
      </c>
      <c r="R368" s="266" t="s">
        <v>106</v>
      </c>
      <c r="S368" s="266"/>
      <c r="T368" s="266"/>
      <c r="W368" s="272" t="str">
        <f>IF(IFERROR(VLOOKUP($M368,'IMPORT GS-Tür OL FL 2S2 20'!$H$2:$H$847,1,0),"-")="-","","GS")</f>
        <v/>
      </c>
      <c r="X368" s="272" t="str">
        <f t="shared" si="22"/>
        <v/>
      </c>
      <c r="Z368" s="273" t="str">
        <f>IF(OR($M368="",NOT($O368="{array}")),"",IFERROR(MATCH(PARAMETERS!$M368,DEFAULT!$B$5:$CI$5,0),""))</f>
        <v/>
      </c>
      <c r="AA368" s="272" t="str">
        <f t="shared" si="14"/>
        <v/>
      </c>
      <c r="AB368" s="274" t="str">
        <f>IF(AND(OR($A368="G",$A368="P"),NOT($O368="{array}")),IF(VLOOKUP($K368,base!$B$2:$D$20,3,0)="S",IF(OR($O368="",ISTEXT($O368)),"","STRING!"),IF(VLOOKUP($K368,base!$B$2:$D$20,3,0)="","",IF(ISTEXT($O368),"NUMERIC!",""))),"")</f>
        <v/>
      </c>
      <c r="AC368" s="275" t="str">
        <f>IF($AA368="","",IF($B368="I",VLOOKUP($AA368,#REF!,53,0),INDEX(VALUES!$B$1:$GP$1,1,$AA368)))</f>
        <v/>
      </c>
    </row>
    <row r="369" spans="1:29" s="276" customFormat="1" hidden="1" outlineLevel="1">
      <c r="A369" s="263"/>
      <c r="B369" s="264" t="str">
        <f t="shared" si="21"/>
        <v/>
      </c>
      <c r="C369" s="265">
        <f t="shared" si="23"/>
        <v>368</v>
      </c>
      <c r="D369" s="266"/>
      <c r="E369" s="266"/>
      <c r="F369" s="305"/>
      <c r="G369" s="188"/>
      <c r="H369" s="266"/>
      <c r="I369" s="266" t="s">
        <v>9</v>
      </c>
      <c r="J369" s="266"/>
      <c r="K369" s="276" t="s">
        <v>49</v>
      </c>
      <c r="L369" s="276" t="s">
        <v>29</v>
      </c>
      <c r="M369" s="285" t="s">
        <v>2271</v>
      </c>
      <c r="N369" s="276" t="s">
        <v>2272</v>
      </c>
      <c r="O369" s="286">
        <v>1</v>
      </c>
      <c r="Q369" s="266"/>
      <c r="R369" s="266" t="s">
        <v>106</v>
      </c>
      <c r="S369" s="266"/>
      <c r="T369" s="266"/>
      <c r="W369" s="272" t="str">
        <f>IF(IFERROR(VLOOKUP($M369,'IMPORT GS-Tür OL FL 2S2 20'!$H$2:$H$847,1,0),"-")="-","","GS")</f>
        <v/>
      </c>
      <c r="X369" s="272" t="str">
        <f t="shared" si="22"/>
        <v/>
      </c>
      <c r="Z369" s="273" t="str">
        <f>IF(OR($M369="",NOT($O369="{array}")),"",IFERROR(MATCH(PARAMETERS!$M369,DEFAULT!$B$5:$CI$5,0),""))</f>
        <v/>
      </c>
      <c r="AA369" s="272" t="str">
        <f t="shared" si="14"/>
        <v/>
      </c>
      <c r="AB369" s="274" t="str">
        <f>IF(AND(OR($A369="G",$A369="P"),NOT($O369="{array}")),IF(VLOOKUP($K369,base!$B$2:$D$20,3,0)="S",IF(OR($O369="",ISTEXT($O369)),"","STRING!"),IF(VLOOKUP($K369,base!$B$2:$D$20,3,0)="","",IF(ISTEXT($O369),"NUMERIC!",""))),"")</f>
        <v/>
      </c>
      <c r="AC369" s="275" t="str">
        <f>IF($AA369="","",IF($B369="I",VLOOKUP($AA369,#REF!,53,0),INDEX(VALUES!$B$1:$GP$1,1,$AA369)))</f>
        <v/>
      </c>
    </row>
    <row r="370" spans="1:29" s="276" customFormat="1" hidden="1" outlineLevel="1">
      <c r="A370" s="263"/>
      <c r="B370" s="264" t="str">
        <f t="shared" si="21"/>
        <v/>
      </c>
      <c r="C370" s="265">
        <f t="shared" si="23"/>
        <v>369</v>
      </c>
      <c r="D370" s="266"/>
      <c r="E370" s="266"/>
      <c r="F370" s="305"/>
      <c r="G370" s="188"/>
      <c r="H370" s="266"/>
      <c r="I370" s="266" t="s">
        <v>9</v>
      </c>
      <c r="J370" s="266" t="s">
        <v>9</v>
      </c>
      <c r="K370" s="276" t="s">
        <v>26</v>
      </c>
      <c r="L370" s="276" t="s">
        <v>29</v>
      </c>
      <c r="M370" s="285" t="s">
        <v>2273</v>
      </c>
      <c r="N370" s="276" t="s">
        <v>2274</v>
      </c>
      <c r="O370" s="286">
        <v>0</v>
      </c>
      <c r="Q370" s="266" t="s">
        <v>9</v>
      </c>
      <c r="R370" s="266" t="s">
        <v>106</v>
      </c>
      <c r="S370" s="266"/>
      <c r="T370" s="266"/>
      <c r="W370" s="272" t="str">
        <f>IF(IFERROR(VLOOKUP($M370,'IMPORT GS-Tür OL FL 2S2 20'!$H$2:$H$847,1,0),"-")="-","","GS")</f>
        <v/>
      </c>
      <c r="X370" s="272" t="str">
        <f t="shared" si="22"/>
        <v/>
      </c>
      <c r="Z370" s="273" t="str">
        <f>IF(OR($M370="",NOT($O370="{array}")),"",IFERROR(MATCH(PARAMETERS!$M370,DEFAULT!$B$5:$CI$5,0),""))</f>
        <v/>
      </c>
      <c r="AA370" s="272" t="str">
        <f t="shared" si="14"/>
        <v/>
      </c>
      <c r="AB370" s="274" t="str">
        <f>IF(AND(OR($A370="G",$A370="P"),NOT($O370="{array}")),IF(VLOOKUP($K370,base!$B$2:$D$20,3,0)="S",IF(OR($O370="",ISTEXT($O370)),"","STRING!"),IF(VLOOKUP($K370,base!$B$2:$D$20,3,0)="","",IF(ISTEXT($O370),"NUMERIC!",""))),"")</f>
        <v/>
      </c>
      <c r="AC370" s="275" t="str">
        <f>IF($AA370="","",IF($B370="I",VLOOKUP($AA370,#REF!,53,0),INDEX(VALUES!$B$1:$GP$1,1,$AA370)))</f>
        <v/>
      </c>
    </row>
    <row r="371" spans="1:29" s="276" customFormat="1" hidden="1" outlineLevel="1">
      <c r="A371" s="263"/>
      <c r="B371" s="264" t="str">
        <f t="shared" si="21"/>
        <v/>
      </c>
      <c r="C371" s="265">
        <f t="shared" si="23"/>
        <v>370</v>
      </c>
      <c r="D371" s="266"/>
      <c r="E371" s="266"/>
      <c r="F371" s="305"/>
      <c r="G371" s="188"/>
      <c r="H371" s="266"/>
      <c r="I371" s="266" t="s">
        <v>9</v>
      </c>
      <c r="J371" s="266"/>
      <c r="K371" s="276" t="s">
        <v>26</v>
      </c>
      <c r="L371" s="276" t="s">
        <v>29</v>
      </c>
      <c r="M371" s="285" t="s">
        <v>2275</v>
      </c>
      <c r="N371" s="276" t="s">
        <v>2276</v>
      </c>
      <c r="O371" s="286">
        <v>0.01</v>
      </c>
      <c r="Q371" s="266" t="s">
        <v>9</v>
      </c>
      <c r="R371" s="266" t="s">
        <v>106</v>
      </c>
      <c r="S371" s="266"/>
      <c r="T371" s="266"/>
      <c r="W371" s="272" t="str">
        <f>IF(IFERROR(VLOOKUP($M371,'IMPORT GS-Tür OL FL 2S2 20'!$H$2:$H$847,1,0),"-")="-","","GS")</f>
        <v/>
      </c>
      <c r="X371" s="272" t="str">
        <f t="shared" si="22"/>
        <v/>
      </c>
      <c r="Z371" s="273" t="str">
        <f>IF(OR($M371="",NOT($O371="{array}")),"",IFERROR(MATCH(PARAMETERS!$M371,DEFAULT!$B$5:$CI$5,0),""))</f>
        <v/>
      </c>
      <c r="AA371" s="272" t="str">
        <f t="shared" si="14"/>
        <v/>
      </c>
      <c r="AB371" s="274" t="str">
        <f>IF(AND(OR($A371="G",$A371="P"),NOT($O371="{array}")),IF(VLOOKUP($K371,base!$B$2:$D$20,3,0)="S",IF(OR($O371="",ISTEXT($O371)),"","STRING!"),IF(VLOOKUP($K371,base!$B$2:$D$20,3,0)="","",IF(ISTEXT($O371),"NUMERIC!",""))),"")</f>
        <v/>
      </c>
      <c r="AC371" s="275" t="str">
        <f>IF($AA371="","",IF($B371="I",VLOOKUP($AA371,#REF!,53,0),INDEX(VALUES!$B$1:$GP$1,1,$AA371)))</f>
        <v/>
      </c>
    </row>
    <row r="372" spans="1:29" s="276" customFormat="1" hidden="1" outlineLevel="1">
      <c r="A372" s="263"/>
      <c r="B372" s="264" t="str">
        <f t="shared" si="21"/>
        <v/>
      </c>
      <c r="C372" s="265">
        <f t="shared" si="23"/>
        <v>371</v>
      </c>
      <c r="D372" s="266"/>
      <c r="E372" s="266"/>
      <c r="F372" s="305"/>
      <c r="G372" s="188"/>
      <c r="H372" s="266"/>
      <c r="I372" s="266" t="s">
        <v>9</v>
      </c>
      <c r="J372" s="266"/>
      <c r="K372" s="276" t="s">
        <v>26</v>
      </c>
      <c r="L372" s="276" t="s">
        <v>29</v>
      </c>
      <c r="M372" s="285" t="s">
        <v>2277</v>
      </c>
      <c r="N372" s="276" t="s">
        <v>2278</v>
      </c>
      <c r="O372" s="286">
        <v>0.01</v>
      </c>
      <c r="Q372" s="266" t="s">
        <v>9</v>
      </c>
      <c r="R372" s="266" t="s">
        <v>106</v>
      </c>
      <c r="S372" s="266"/>
      <c r="T372" s="266"/>
      <c r="W372" s="272" t="str">
        <f>IF(IFERROR(VLOOKUP($M372,'IMPORT GS-Tür OL FL 2S2 20'!$H$2:$H$847,1,0),"-")="-","","GS")</f>
        <v/>
      </c>
      <c r="X372" s="272" t="str">
        <f t="shared" si="22"/>
        <v/>
      </c>
      <c r="Z372" s="273" t="str">
        <f>IF(OR($M372="",NOT($O372="{array}")),"",IFERROR(MATCH(PARAMETERS!$M372,DEFAULT!$B$5:$CI$5,0),""))</f>
        <v/>
      </c>
      <c r="AA372" s="272" t="str">
        <f t="shared" si="14"/>
        <v/>
      </c>
      <c r="AB372" s="274" t="str">
        <f>IF(AND(OR($A372="G",$A372="P"),NOT($O372="{array}")),IF(VLOOKUP($K372,base!$B$2:$D$20,3,0)="S",IF(OR($O372="",ISTEXT($O372)),"","STRING!"),IF(VLOOKUP($K372,base!$B$2:$D$20,3,0)="","",IF(ISTEXT($O372),"NUMERIC!",""))),"")</f>
        <v/>
      </c>
      <c r="AC372" s="275" t="str">
        <f>IF($AA372="","",IF($B372="I",VLOOKUP($AA372,#REF!,53,0),INDEX(VALUES!$B$1:$GP$1,1,$AA372)))</f>
        <v/>
      </c>
    </row>
    <row r="373" spans="1:29" s="276" customFormat="1" hidden="1" outlineLevel="1">
      <c r="A373" s="263"/>
      <c r="B373" s="264" t="str">
        <f t="shared" si="21"/>
        <v/>
      </c>
      <c r="C373" s="265">
        <f t="shared" si="23"/>
        <v>372</v>
      </c>
      <c r="D373" s="266"/>
      <c r="E373" s="266"/>
      <c r="F373" s="305"/>
      <c r="G373" s="188"/>
      <c r="H373" s="266"/>
      <c r="I373" s="266" t="s">
        <v>9</v>
      </c>
      <c r="J373" s="266"/>
      <c r="K373" s="276" t="s">
        <v>26</v>
      </c>
      <c r="L373" s="276" t="s">
        <v>29</v>
      </c>
      <c r="M373" s="285" t="s">
        <v>2279</v>
      </c>
      <c r="N373" s="276" t="s">
        <v>2280</v>
      </c>
      <c r="O373" s="286">
        <v>0.04</v>
      </c>
      <c r="Q373" s="266" t="s">
        <v>9</v>
      </c>
      <c r="R373" s="266" t="s">
        <v>106</v>
      </c>
      <c r="S373" s="266"/>
      <c r="T373" s="266"/>
      <c r="W373" s="272" t="str">
        <f>IF(IFERROR(VLOOKUP($M373,'IMPORT GS-Tür OL FL 2S2 20'!$H$2:$H$847,1,0),"-")="-","","GS")</f>
        <v/>
      </c>
      <c r="X373" s="272" t="str">
        <f t="shared" si="22"/>
        <v/>
      </c>
      <c r="Z373" s="273" t="str">
        <f>IF(OR($M373="",NOT($O373="{array}")),"",IFERROR(MATCH(PARAMETERS!$M373,DEFAULT!$B$5:$CI$5,0),""))</f>
        <v/>
      </c>
      <c r="AA373" s="272" t="str">
        <f t="shared" si="14"/>
        <v/>
      </c>
      <c r="AB373" s="274" t="str">
        <f>IF(AND(OR($A373="G",$A373="P"),NOT($O373="{array}")),IF(VLOOKUP($K373,base!$B$2:$D$20,3,0)="S",IF(OR($O373="",ISTEXT($O373)),"","STRING!"),IF(VLOOKUP($K373,base!$B$2:$D$20,3,0)="","",IF(ISTEXT($O373),"NUMERIC!",""))),"")</f>
        <v/>
      </c>
      <c r="AC373" s="275" t="str">
        <f>IF($AA373="","",IF($B373="I",VLOOKUP($AA373,#REF!,53,0),INDEX(VALUES!$B$1:$GP$1,1,$AA373)))</f>
        <v/>
      </c>
    </row>
    <row r="374" spans="1:29" s="276" customFormat="1" hidden="1" outlineLevel="1">
      <c r="A374" s="263"/>
      <c r="B374" s="264" t="str">
        <f t="shared" si="21"/>
        <v/>
      </c>
      <c r="C374" s="265">
        <f t="shared" si="23"/>
        <v>373</v>
      </c>
      <c r="D374" s="266"/>
      <c r="E374" s="266"/>
      <c r="F374" s="305"/>
      <c r="G374" s="188"/>
      <c r="H374" s="266"/>
      <c r="I374" s="266" t="s">
        <v>9</v>
      </c>
      <c r="J374" s="266"/>
      <c r="K374" s="276" t="s">
        <v>33</v>
      </c>
      <c r="L374" s="276" t="s">
        <v>29</v>
      </c>
      <c r="M374" s="285" t="s">
        <v>2281</v>
      </c>
      <c r="N374" s="276" t="s">
        <v>2282</v>
      </c>
      <c r="O374" s="286">
        <v>30</v>
      </c>
      <c r="Q374" s="266" t="s">
        <v>9</v>
      </c>
      <c r="R374" s="266" t="s">
        <v>106</v>
      </c>
      <c r="S374" s="266"/>
      <c r="T374" s="266"/>
      <c r="W374" s="272" t="str">
        <f>IF(IFERROR(VLOOKUP($M374,'IMPORT GS-Tür OL FL 2S2 20'!$H$2:$H$847,1,0),"-")="-","","GS")</f>
        <v/>
      </c>
      <c r="X374" s="272" t="str">
        <f t="shared" si="22"/>
        <v/>
      </c>
      <c r="Z374" s="273" t="str">
        <f>IF(OR($M374="",NOT($O374="{array}")),"",IFERROR(MATCH(PARAMETERS!$M374,DEFAULT!$B$5:$CI$5,0),""))</f>
        <v/>
      </c>
      <c r="AA374" s="272" t="str">
        <f t="shared" si="14"/>
        <v/>
      </c>
      <c r="AB374" s="274" t="str">
        <f>IF(AND(OR($A374="G",$A374="P"),NOT($O374="{array}")),IF(VLOOKUP($K374,base!$B$2:$D$20,3,0)="S",IF(OR($O374="",ISTEXT($O374)),"","STRING!"),IF(VLOOKUP($K374,base!$B$2:$D$20,3,0)="","",IF(ISTEXT($O374),"NUMERIC!",""))),"")</f>
        <v/>
      </c>
      <c r="AC374" s="275" t="str">
        <f>IF($AA374="","",IF($B374="I",VLOOKUP($AA374,#REF!,53,0),INDEX(VALUES!$B$1:$GP$1,1,$AA374)))</f>
        <v/>
      </c>
    </row>
    <row r="375" spans="1:29" s="276" customFormat="1" hidden="1" outlineLevel="1">
      <c r="A375" s="263"/>
      <c r="B375" s="264" t="str">
        <f t="shared" si="21"/>
        <v/>
      </c>
      <c r="C375" s="265">
        <f t="shared" si="23"/>
        <v>374</v>
      </c>
      <c r="D375" s="266"/>
      <c r="E375" s="266"/>
      <c r="F375" s="305"/>
      <c r="G375" s="188"/>
      <c r="H375" s="266"/>
      <c r="I375" s="266" t="s">
        <v>9</v>
      </c>
      <c r="J375" s="266"/>
      <c r="K375" s="276" t="s">
        <v>26</v>
      </c>
      <c r="L375" s="276" t="s">
        <v>29</v>
      </c>
      <c r="M375" s="285" t="s">
        <v>2283</v>
      </c>
      <c r="N375" s="276" t="s">
        <v>2284</v>
      </c>
      <c r="O375" s="286">
        <v>0.05</v>
      </c>
      <c r="Q375" s="266" t="s">
        <v>9</v>
      </c>
      <c r="R375" s="266" t="s">
        <v>106</v>
      </c>
      <c r="S375" s="266"/>
      <c r="T375" s="266"/>
      <c r="W375" s="272" t="str">
        <f>IF(IFERROR(VLOOKUP($M375,'IMPORT GS-Tür OL FL 2S2 20'!$H$2:$H$847,1,0),"-")="-","","GS")</f>
        <v/>
      </c>
      <c r="X375" s="272" t="str">
        <f t="shared" si="22"/>
        <v/>
      </c>
      <c r="Z375" s="273" t="str">
        <f>IF(OR($M375="",NOT($O375="{array}")),"",IFERROR(MATCH(PARAMETERS!$M375,DEFAULT!$B$5:$CI$5,0),""))</f>
        <v/>
      </c>
      <c r="AA375" s="272" t="str">
        <f t="shared" si="14"/>
        <v/>
      </c>
      <c r="AB375" s="274" t="str">
        <f>IF(AND(OR($A375="G",$A375="P"),NOT($O375="{array}")),IF(VLOOKUP($K375,base!$B$2:$D$20,3,0)="S",IF(OR($O375="",ISTEXT($O375)),"","STRING!"),IF(VLOOKUP($K375,base!$B$2:$D$20,3,0)="","",IF(ISTEXT($O375),"NUMERIC!",""))),"")</f>
        <v/>
      </c>
      <c r="AC375" s="275" t="str">
        <f>IF($AA375="","",IF($B375="I",VLOOKUP($AA375,#REF!,53,0),INDEX(VALUES!$B$1:$GP$1,1,$AA375)))</f>
        <v/>
      </c>
    </row>
    <row r="376" spans="1:29" s="276" customFormat="1" hidden="1" outlineLevel="1">
      <c r="A376" s="263"/>
      <c r="B376" s="264" t="str">
        <f t="shared" si="21"/>
        <v/>
      </c>
      <c r="C376" s="265">
        <f t="shared" si="23"/>
        <v>375</v>
      </c>
      <c r="D376" s="266"/>
      <c r="E376" s="266"/>
      <c r="F376" s="305"/>
      <c r="G376" s="188"/>
      <c r="H376" s="266"/>
      <c r="I376" s="266" t="s">
        <v>9</v>
      </c>
      <c r="J376" s="266"/>
      <c r="K376" s="276" t="s">
        <v>26</v>
      </c>
      <c r="L376" s="276" t="s">
        <v>29</v>
      </c>
      <c r="M376" s="285" t="s">
        <v>2285</v>
      </c>
      <c r="N376" s="276" t="s">
        <v>2286</v>
      </c>
      <c r="O376" s="286">
        <v>0.05</v>
      </c>
      <c r="Q376" s="266" t="s">
        <v>9</v>
      </c>
      <c r="R376" s="266" t="s">
        <v>106</v>
      </c>
      <c r="S376" s="266"/>
      <c r="T376" s="266"/>
      <c r="W376" s="272" t="str">
        <f>IF(IFERROR(VLOOKUP($M376,'IMPORT GS-Tür OL FL 2S2 20'!$H$2:$H$847,1,0),"-")="-","","GS")</f>
        <v/>
      </c>
      <c r="X376" s="272" t="str">
        <f t="shared" si="22"/>
        <v/>
      </c>
      <c r="Z376" s="273" t="str">
        <f>IF(OR($M376="",NOT($O376="{array}")),"",IFERROR(MATCH(PARAMETERS!$M376,DEFAULT!$B$5:$CI$5,0),""))</f>
        <v/>
      </c>
      <c r="AA376" s="272" t="str">
        <f t="shared" si="14"/>
        <v/>
      </c>
      <c r="AB376" s="274" t="str">
        <f>IF(AND(OR($A376="G",$A376="P"),NOT($O376="{array}")),IF(VLOOKUP($K376,base!$B$2:$D$20,3,0)="S",IF(OR($O376="",ISTEXT($O376)),"","STRING!"),IF(VLOOKUP($K376,base!$B$2:$D$20,3,0)="","",IF(ISTEXT($O376),"NUMERIC!",""))),"")</f>
        <v/>
      </c>
      <c r="AC376" s="275" t="str">
        <f>IF($AA376="","",IF($B376="I",VLOOKUP($AA376,#REF!,53,0),INDEX(VALUES!$B$1:$GP$1,1,$AA376)))</f>
        <v/>
      </c>
    </row>
    <row r="377" spans="1:29" s="276" customFormat="1" hidden="1" outlineLevel="1">
      <c r="A377" s="263"/>
      <c r="B377" s="264" t="str">
        <f t="shared" si="21"/>
        <v/>
      </c>
      <c r="C377" s="265">
        <f t="shared" si="23"/>
        <v>376</v>
      </c>
      <c r="D377" s="266"/>
      <c r="E377" s="266"/>
      <c r="F377" s="305"/>
      <c r="G377" s="188"/>
      <c r="H377" s="266"/>
      <c r="I377" s="266" t="s">
        <v>9</v>
      </c>
      <c r="J377" s="266"/>
      <c r="K377" s="276" t="s">
        <v>46</v>
      </c>
      <c r="L377" s="276" t="s">
        <v>29</v>
      </c>
      <c r="M377" s="285" t="s">
        <v>2287</v>
      </c>
      <c r="N377" s="276" t="s">
        <v>2288</v>
      </c>
      <c r="O377" s="286">
        <v>5</v>
      </c>
      <c r="Q377" s="266" t="s">
        <v>9</v>
      </c>
      <c r="R377" s="266" t="s">
        <v>106</v>
      </c>
      <c r="S377" s="266"/>
      <c r="T377" s="266"/>
      <c r="W377" s="272" t="str">
        <f>IF(IFERROR(VLOOKUP($M377,'IMPORT GS-Tür OL FL 2S2 20'!$H$2:$H$847,1,0),"-")="-","","GS")</f>
        <v/>
      </c>
      <c r="X377" s="272" t="str">
        <f t="shared" si="22"/>
        <v/>
      </c>
      <c r="Z377" s="273" t="str">
        <f>IF(OR($M377="",NOT($O377="{array}")),"",IFERROR(MATCH(PARAMETERS!$M377,DEFAULT!$B$5:$CI$5,0),""))</f>
        <v/>
      </c>
      <c r="AA377" s="272" t="str">
        <f t="shared" si="14"/>
        <v/>
      </c>
      <c r="AB377" s="274" t="str">
        <f>IF(AND(OR($A377="G",$A377="P"),NOT($O377="{array}")),IF(VLOOKUP($K377,base!$B$2:$D$20,3,0)="S",IF(OR($O377="",ISTEXT($O377)),"","STRING!"),IF(VLOOKUP($K377,base!$B$2:$D$20,3,0)="","",IF(ISTEXT($O377),"NUMERIC!",""))),"")</f>
        <v/>
      </c>
      <c r="AC377" s="275" t="str">
        <f>IF($AA377="","",IF($B377="I",VLOOKUP($AA377,#REF!,53,0),INDEX(VALUES!$B$1:$GP$1,1,$AA377)))</f>
        <v/>
      </c>
    </row>
    <row r="378" spans="1:29" s="276" customFormat="1" hidden="1" outlineLevel="1">
      <c r="A378" s="263"/>
      <c r="B378" s="264" t="str">
        <f t="shared" si="21"/>
        <v/>
      </c>
      <c r="C378" s="265">
        <f t="shared" si="23"/>
        <v>377</v>
      </c>
      <c r="D378" s="266"/>
      <c r="E378" s="266"/>
      <c r="F378" s="305"/>
      <c r="G378" s="188"/>
      <c r="H378" s="266"/>
      <c r="I378" s="266" t="s">
        <v>9</v>
      </c>
      <c r="J378" s="266"/>
      <c r="K378" s="276" t="s">
        <v>46</v>
      </c>
      <c r="L378" s="276" t="s">
        <v>29</v>
      </c>
      <c r="M378" s="285" t="s">
        <v>2289</v>
      </c>
      <c r="N378" s="276" t="s">
        <v>2290</v>
      </c>
      <c r="O378" s="286">
        <v>8</v>
      </c>
      <c r="Q378" s="266" t="s">
        <v>9</v>
      </c>
      <c r="R378" s="266" t="s">
        <v>106</v>
      </c>
      <c r="S378" s="266"/>
      <c r="T378" s="266"/>
      <c r="W378" s="272" t="str">
        <f>IF(IFERROR(VLOOKUP($M378,'IMPORT GS-Tür OL FL 2S2 20'!$H$2:$H$847,1,0),"-")="-","","GS")</f>
        <v/>
      </c>
      <c r="X378" s="272" t="str">
        <f t="shared" si="22"/>
        <v/>
      </c>
      <c r="Z378" s="273" t="str">
        <f>IF(OR($M378="",NOT($O378="{array}")),"",IFERROR(MATCH(PARAMETERS!$M378,DEFAULT!$B$5:$CI$5,0),""))</f>
        <v/>
      </c>
      <c r="AA378" s="272" t="str">
        <f t="shared" si="14"/>
        <v/>
      </c>
      <c r="AB378" s="274" t="str">
        <f>IF(AND(OR($A378="G",$A378="P"),NOT($O378="{array}")),IF(VLOOKUP($K378,base!$B$2:$D$20,3,0)="S",IF(OR($O378="",ISTEXT($O378)),"","STRING!"),IF(VLOOKUP($K378,base!$B$2:$D$20,3,0)="","",IF(ISTEXT($O378),"NUMERIC!",""))),"")</f>
        <v/>
      </c>
      <c r="AC378" s="275" t="str">
        <f>IF($AA378="","",IF($B378="I",VLOOKUP($AA378,#REF!,53,0),INDEX(VALUES!$B$1:$GP$1,1,$AA378)))</f>
        <v/>
      </c>
    </row>
    <row r="379" spans="1:29" s="276" customFormat="1" hidden="1" outlineLevel="1">
      <c r="A379" s="263"/>
      <c r="B379" s="264" t="str">
        <f t="shared" si="21"/>
        <v/>
      </c>
      <c r="C379" s="265">
        <f t="shared" si="23"/>
        <v>378</v>
      </c>
      <c r="D379" s="266"/>
      <c r="E379" s="266"/>
      <c r="F379" s="305"/>
      <c r="G379" s="188"/>
      <c r="H379" s="266"/>
      <c r="I379" s="266" t="s">
        <v>9</v>
      </c>
      <c r="J379" s="266"/>
      <c r="K379" s="276" t="s">
        <v>26</v>
      </c>
      <c r="L379" s="276" t="s">
        <v>29</v>
      </c>
      <c r="M379" s="285" t="s">
        <v>2291</v>
      </c>
      <c r="N379" s="276" t="s">
        <v>2292</v>
      </c>
      <c r="O379" s="286">
        <v>0.01</v>
      </c>
      <c r="Q379" s="266" t="s">
        <v>9</v>
      </c>
      <c r="R379" s="266" t="s">
        <v>106</v>
      </c>
      <c r="S379" s="266"/>
      <c r="T379" s="266"/>
      <c r="W379" s="272" t="str">
        <f>IF(IFERROR(VLOOKUP($M379,'IMPORT GS-Tür OL FL 2S2 20'!$H$2:$H$847,1,0),"-")="-","","GS")</f>
        <v/>
      </c>
      <c r="X379" s="272" t="str">
        <f t="shared" si="22"/>
        <v/>
      </c>
      <c r="Z379" s="273" t="str">
        <f>IF(OR($M379="",NOT($O379="{array}")),"",IFERROR(MATCH(PARAMETERS!$M379,DEFAULT!$B$5:$CI$5,0),""))</f>
        <v/>
      </c>
      <c r="AA379" s="272" t="str">
        <f t="shared" si="14"/>
        <v/>
      </c>
      <c r="AB379" s="274" t="str">
        <f>IF(AND(OR($A379="G",$A379="P"),NOT($O379="{array}")),IF(VLOOKUP($K379,base!$B$2:$D$20,3,0)="S",IF(OR($O379="",ISTEXT($O379)),"","STRING!"),IF(VLOOKUP($K379,base!$B$2:$D$20,3,0)="","",IF(ISTEXT($O379),"NUMERIC!",""))),"")</f>
        <v/>
      </c>
      <c r="AC379" s="275" t="str">
        <f>IF($AA379="","",IF($B379="I",VLOOKUP($AA379,#REF!,53,0),INDEX(VALUES!$B$1:$GP$1,1,$AA379)))</f>
        <v/>
      </c>
    </row>
    <row r="380" spans="1:29" s="276" customFormat="1" hidden="1" outlineLevel="1">
      <c r="A380" s="263"/>
      <c r="B380" s="264" t="str">
        <f t="shared" si="21"/>
        <v/>
      </c>
      <c r="C380" s="265">
        <f t="shared" si="23"/>
        <v>379</v>
      </c>
      <c r="D380" s="266"/>
      <c r="E380" s="266"/>
      <c r="F380" s="305"/>
      <c r="G380" s="188"/>
      <c r="H380" s="266"/>
      <c r="I380" s="266" t="s">
        <v>9</v>
      </c>
      <c r="J380" s="266"/>
      <c r="K380" s="276" t="s">
        <v>26</v>
      </c>
      <c r="L380" s="276" t="s">
        <v>29</v>
      </c>
      <c r="M380" s="285" t="s">
        <v>2293</v>
      </c>
      <c r="N380" s="276" t="s">
        <v>2294</v>
      </c>
      <c r="O380" s="286">
        <v>0.1</v>
      </c>
      <c r="Q380" s="266" t="s">
        <v>9</v>
      </c>
      <c r="R380" s="266" t="s">
        <v>106</v>
      </c>
      <c r="S380" s="266"/>
      <c r="T380" s="266"/>
      <c r="W380" s="272" t="str">
        <f>IF(IFERROR(VLOOKUP($M380,'IMPORT GS-Tür OL FL 2S2 20'!$H$2:$H$847,1,0),"-")="-","","GS")</f>
        <v/>
      </c>
      <c r="X380" s="272" t="str">
        <f t="shared" si="22"/>
        <v/>
      </c>
      <c r="Z380" s="273" t="str">
        <f>IF(OR($M380="",NOT($O380="{array}")),"",IFERROR(MATCH(PARAMETERS!$M380,DEFAULT!$B$5:$CI$5,0),""))</f>
        <v/>
      </c>
      <c r="AA380" s="272" t="str">
        <f t="shared" si="14"/>
        <v/>
      </c>
      <c r="AB380" s="274" t="str">
        <f>IF(AND(OR($A380="G",$A380="P"),NOT($O380="{array}")),IF(VLOOKUP($K380,base!$B$2:$D$20,3,0)="S",IF(OR($O380="",ISTEXT($O380)),"","STRING!"),IF(VLOOKUP($K380,base!$B$2:$D$20,3,0)="","",IF(ISTEXT($O380),"NUMERIC!",""))),"")</f>
        <v/>
      </c>
      <c r="AC380" s="275" t="str">
        <f>IF($AA380="","",IF($B380="I",VLOOKUP($AA380,#REF!,53,0),INDEX(VALUES!$B$1:$GP$1,1,$AA380)))</f>
        <v/>
      </c>
    </row>
    <row r="381" spans="1:29" s="276" customFormat="1" hidden="1" outlineLevel="1">
      <c r="A381" s="263"/>
      <c r="B381" s="264" t="str">
        <f t="shared" si="21"/>
        <v/>
      </c>
      <c r="C381" s="265">
        <f t="shared" si="23"/>
        <v>380</v>
      </c>
      <c r="D381" s="266"/>
      <c r="E381" s="266"/>
      <c r="F381" s="305"/>
      <c r="G381" s="188"/>
      <c r="H381" s="266"/>
      <c r="I381" s="266" t="s">
        <v>9</v>
      </c>
      <c r="J381" s="266"/>
      <c r="K381" s="276" t="s">
        <v>26</v>
      </c>
      <c r="L381" s="276" t="s">
        <v>29</v>
      </c>
      <c r="M381" s="285" t="s">
        <v>2295</v>
      </c>
      <c r="N381" s="276" t="s">
        <v>2296</v>
      </c>
      <c r="O381" s="286">
        <v>0.05</v>
      </c>
      <c r="Q381" s="266" t="s">
        <v>9</v>
      </c>
      <c r="R381" s="266" t="s">
        <v>106</v>
      </c>
      <c r="S381" s="266"/>
      <c r="T381" s="266"/>
      <c r="W381" s="272" t="str">
        <f>IF(IFERROR(VLOOKUP($M381,'IMPORT GS-Tür OL FL 2S2 20'!$H$2:$H$847,1,0),"-")="-","","GS")</f>
        <v/>
      </c>
      <c r="X381" s="272" t="str">
        <f t="shared" si="22"/>
        <v/>
      </c>
      <c r="Z381" s="273" t="str">
        <f>IF(OR($M381="",NOT($O381="{array}")),"",IFERROR(MATCH(PARAMETERS!$M381,DEFAULT!$B$5:$CI$5,0),""))</f>
        <v/>
      </c>
      <c r="AA381" s="272" t="str">
        <f t="shared" si="14"/>
        <v/>
      </c>
      <c r="AB381" s="274" t="str">
        <f>IF(AND(OR($A381="G",$A381="P"),NOT($O381="{array}")),IF(VLOOKUP($K381,base!$B$2:$D$20,3,0)="S",IF(OR($O381="",ISTEXT($O381)),"","STRING!"),IF(VLOOKUP($K381,base!$B$2:$D$20,3,0)="","",IF(ISTEXT($O381),"NUMERIC!",""))),"")</f>
        <v/>
      </c>
      <c r="AC381" s="275" t="str">
        <f>IF($AA381="","",IF($B381="I",VLOOKUP($AA381,#REF!,53,0),INDEX(VALUES!$B$1:$GP$1,1,$AA381)))</f>
        <v/>
      </c>
    </row>
    <row r="382" spans="1:29" s="276" customFormat="1" hidden="1" outlineLevel="1">
      <c r="A382" s="263"/>
      <c r="B382" s="264" t="str">
        <f t="shared" si="21"/>
        <v/>
      </c>
      <c r="C382" s="265">
        <f t="shared" si="23"/>
        <v>381</v>
      </c>
      <c r="D382" s="266"/>
      <c r="E382" s="266"/>
      <c r="F382" s="305"/>
      <c r="G382" s="188"/>
      <c r="H382" s="266"/>
      <c r="I382" s="266" t="s">
        <v>9</v>
      </c>
      <c r="J382" s="266"/>
      <c r="K382" s="276" t="s">
        <v>26</v>
      </c>
      <c r="L382" s="276" t="s">
        <v>29</v>
      </c>
      <c r="M382" s="285" t="s">
        <v>2297</v>
      </c>
      <c r="N382" s="276" t="s">
        <v>2298</v>
      </c>
      <c r="O382" s="286">
        <v>2.5000000000000001E-2</v>
      </c>
      <c r="Q382" s="266" t="s">
        <v>9</v>
      </c>
      <c r="R382" s="266" t="s">
        <v>106</v>
      </c>
      <c r="S382" s="266"/>
      <c r="T382" s="266"/>
      <c r="W382" s="272" t="str">
        <f>IF(IFERROR(VLOOKUP($M382,'IMPORT GS-Tür OL FL 2S2 20'!$H$2:$H$847,1,0),"-")="-","","GS")</f>
        <v/>
      </c>
      <c r="X382" s="272" t="str">
        <f t="shared" si="22"/>
        <v/>
      </c>
      <c r="Z382" s="273" t="str">
        <f>IF(OR($M382="",NOT($O382="{array}")),"",IFERROR(MATCH(PARAMETERS!$M382,DEFAULT!$B$5:$CI$5,0),""))</f>
        <v/>
      </c>
      <c r="AA382" s="272" t="str">
        <f t="shared" si="14"/>
        <v/>
      </c>
      <c r="AB382" s="274" t="str">
        <f>IF(AND(OR($A382="G",$A382="P"),NOT($O382="{array}")),IF(VLOOKUP($K382,base!$B$2:$D$20,3,0)="S",IF(OR($O382="",ISTEXT($O382)),"","STRING!"),IF(VLOOKUP($K382,base!$B$2:$D$20,3,0)="","",IF(ISTEXT($O382),"NUMERIC!",""))),"")</f>
        <v/>
      </c>
      <c r="AC382" s="275" t="str">
        <f>IF($AA382="","",IF($B382="I",VLOOKUP($AA382,#REF!,53,0),INDEX(VALUES!$B$1:$GP$1,1,$AA382)))</f>
        <v/>
      </c>
    </row>
    <row r="383" spans="1:29" s="276" customFormat="1" hidden="1" outlineLevel="1">
      <c r="A383" s="263"/>
      <c r="B383" s="264" t="str">
        <f t="shared" si="21"/>
        <v/>
      </c>
      <c r="C383" s="265">
        <f t="shared" si="23"/>
        <v>382</v>
      </c>
      <c r="D383" s="266"/>
      <c r="E383" s="266"/>
      <c r="F383" s="305"/>
      <c r="G383" s="188"/>
      <c r="H383" s="266"/>
      <c r="I383" s="266" t="s">
        <v>9</v>
      </c>
      <c r="J383" s="266"/>
      <c r="K383" s="276" t="s">
        <v>26</v>
      </c>
      <c r="L383" s="276" t="s">
        <v>29</v>
      </c>
      <c r="M383" s="285" t="s">
        <v>2299</v>
      </c>
      <c r="N383" s="276" t="s">
        <v>2300</v>
      </c>
      <c r="O383" s="286">
        <v>2.5000000000000001E-2</v>
      </c>
      <c r="Q383" s="266" t="s">
        <v>9</v>
      </c>
      <c r="R383" s="266" t="s">
        <v>106</v>
      </c>
      <c r="S383" s="266"/>
      <c r="T383" s="266"/>
      <c r="W383" s="272" t="str">
        <f>IF(IFERROR(VLOOKUP($M383,'IMPORT GS-Tür OL FL 2S2 20'!$H$2:$H$847,1,0),"-")="-","","GS")</f>
        <v/>
      </c>
      <c r="X383" s="272" t="str">
        <f t="shared" si="22"/>
        <v/>
      </c>
      <c r="Z383" s="273" t="str">
        <f>IF(OR($M383="",NOT($O383="{array}")),"",IFERROR(MATCH(PARAMETERS!$M383,DEFAULT!$B$5:$CI$5,0),""))</f>
        <v/>
      </c>
      <c r="AA383" s="272" t="str">
        <f t="shared" si="14"/>
        <v/>
      </c>
      <c r="AB383" s="274" t="str">
        <f>IF(AND(OR($A383="G",$A383="P"),NOT($O383="{array}")),IF(VLOOKUP($K383,base!$B$2:$D$20,3,0)="S",IF(OR($O383="",ISTEXT($O383)),"","STRING!"),IF(VLOOKUP($K383,base!$B$2:$D$20,3,0)="","",IF(ISTEXT($O383),"NUMERIC!",""))),"")</f>
        <v/>
      </c>
      <c r="AC383" s="275" t="str">
        <f>IF($AA383="","",IF($B383="I",VLOOKUP($AA383,#REF!,53,0),INDEX(VALUES!$B$1:$GP$1,1,$AA383)))</f>
        <v/>
      </c>
    </row>
    <row r="384" spans="1:29" s="276" customFormat="1" hidden="1" outlineLevel="1">
      <c r="A384" s="263"/>
      <c r="B384" s="264" t="str">
        <f t="shared" si="21"/>
        <v/>
      </c>
      <c r="C384" s="265">
        <f t="shared" si="23"/>
        <v>383</v>
      </c>
      <c r="D384" s="266"/>
      <c r="E384" s="266"/>
      <c r="F384" s="305"/>
      <c r="G384" s="188"/>
      <c r="H384" s="266"/>
      <c r="I384" s="266" t="s">
        <v>9</v>
      </c>
      <c r="J384" s="266"/>
      <c r="K384" s="276" t="s">
        <v>26</v>
      </c>
      <c r="L384" s="276" t="s">
        <v>29</v>
      </c>
      <c r="M384" s="285" t="s">
        <v>2301</v>
      </c>
      <c r="N384" s="276" t="s">
        <v>2302</v>
      </c>
      <c r="O384" s="286">
        <v>2.5000000000000001E-2</v>
      </c>
      <c r="Q384" s="266" t="s">
        <v>9</v>
      </c>
      <c r="R384" s="266" t="s">
        <v>106</v>
      </c>
      <c r="S384" s="266"/>
      <c r="T384" s="266"/>
      <c r="W384" s="272" t="str">
        <f>IF(IFERROR(VLOOKUP($M384,'IMPORT GS-Tür OL FL 2S2 20'!$H$2:$H$847,1,0),"-")="-","","GS")</f>
        <v/>
      </c>
      <c r="X384" s="272" t="str">
        <f t="shared" si="22"/>
        <v/>
      </c>
      <c r="Z384" s="273" t="str">
        <f>IF(OR($M384="",NOT($O384="{array}")),"",IFERROR(MATCH(PARAMETERS!$M384,DEFAULT!$B$5:$CI$5,0),""))</f>
        <v/>
      </c>
      <c r="AA384" s="272" t="str">
        <f t="shared" si="14"/>
        <v/>
      </c>
      <c r="AB384" s="274" t="str">
        <f>IF(AND(OR($A384="G",$A384="P"),NOT($O384="{array}")),IF(VLOOKUP($K384,base!$B$2:$D$20,3,0)="S",IF(OR($O384="",ISTEXT($O384)),"","STRING!"),IF(VLOOKUP($K384,base!$B$2:$D$20,3,0)="","",IF(ISTEXT($O384),"NUMERIC!",""))),"")</f>
        <v/>
      </c>
      <c r="AC384" s="275" t="str">
        <f>IF($AA384="","",IF($B384="I",VLOOKUP($AA384,#REF!,53,0),INDEX(VALUES!$B$1:$GP$1,1,$AA384)))</f>
        <v/>
      </c>
    </row>
    <row r="385" spans="1:29" s="276" customFormat="1" hidden="1" outlineLevel="1">
      <c r="A385" s="263"/>
      <c r="B385" s="264" t="str">
        <f t="shared" si="21"/>
        <v/>
      </c>
      <c r="C385" s="265">
        <f t="shared" si="23"/>
        <v>384</v>
      </c>
      <c r="D385" s="266"/>
      <c r="E385" s="266"/>
      <c r="F385" s="305"/>
      <c r="G385" s="188"/>
      <c r="H385" s="266"/>
      <c r="I385" s="266" t="s">
        <v>9</v>
      </c>
      <c r="J385" s="266"/>
      <c r="K385" s="276" t="s">
        <v>26</v>
      </c>
      <c r="L385" s="276" t="s">
        <v>29</v>
      </c>
      <c r="M385" s="285" t="s">
        <v>2303</v>
      </c>
      <c r="N385" s="276" t="s">
        <v>2304</v>
      </c>
      <c r="O385" s="286">
        <v>0.08</v>
      </c>
      <c r="Q385" s="266" t="s">
        <v>9</v>
      </c>
      <c r="R385" s="266" t="s">
        <v>106</v>
      </c>
      <c r="S385" s="266"/>
      <c r="T385" s="266"/>
      <c r="W385" s="272" t="str">
        <f>IF(IFERROR(VLOOKUP($M385,'IMPORT GS-Tür OL FL 2S2 20'!$H$2:$H$847,1,0),"-")="-","","GS")</f>
        <v/>
      </c>
      <c r="X385" s="272" t="str">
        <f t="shared" si="22"/>
        <v/>
      </c>
      <c r="Z385" s="273" t="str">
        <f>IF(OR($M385="",NOT($O385="{array}")),"",IFERROR(MATCH(PARAMETERS!$M385,DEFAULT!$B$5:$CI$5,0),""))</f>
        <v/>
      </c>
      <c r="AA385" s="272" t="str">
        <f t="shared" si="14"/>
        <v/>
      </c>
      <c r="AB385" s="274" t="str">
        <f>IF(AND(OR($A385="G",$A385="P"),NOT($O385="{array}")),IF(VLOOKUP($K385,base!$B$2:$D$20,3,0)="S",IF(OR($O385="",ISTEXT($O385)),"","STRING!"),IF(VLOOKUP($K385,base!$B$2:$D$20,3,0)="","",IF(ISTEXT($O385),"NUMERIC!",""))),"")</f>
        <v/>
      </c>
      <c r="AC385" s="275" t="str">
        <f>IF($AA385="","",IF($B385="I",VLOOKUP($AA385,#REF!,53,0),INDEX(VALUES!$B$1:$GP$1,1,$AA385)))</f>
        <v/>
      </c>
    </row>
    <row r="386" spans="1:29" s="276" customFormat="1" hidden="1" outlineLevel="1">
      <c r="A386" s="263"/>
      <c r="B386" s="264" t="str">
        <f t="shared" si="21"/>
        <v/>
      </c>
      <c r="C386" s="265">
        <f t="shared" si="23"/>
        <v>385</v>
      </c>
      <c r="D386" s="266"/>
      <c r="E386" s="266"/>
      <c r="F386" s="305"/>
      <c r="G386" s="188"/>
      <c r="H386" s="266"/>
      <c r="I386" s="266" t="s">
        <v>9</v>
      </c>
      <c r="J386" s="266"/>
      <c r="K386" s="276" t="s">
        <v>26</v>
      </c>
      <c r="L386" s="276" t="s">
        <v>29</v>
      </c>
      <c r="M386" s="285" t="s">
        <v>2305</v>
      </c>
      <c r="N386" s="276" t="s">
        <v>2304</v>
      </c>
      <c r="O386" s="286">
        <v>0.115</v>
      </c>
      <c r="Q386" s="266" t="s">
        <v>9</v>
      </c>
      <c r="R386" s="266" t="s">
        <v>106</v>
      </c>
      <c r="S386" s="266"/>
      <c r="T386" s="266"/>
      <c r="W386" s="272" t="str">
        <f>IF(IFERROR(VLOOKUP($M386,'IMPORT GS-Tür OL FL 2S2 20'!$H$2:$H$847,1,0),"-")="-","","GS")</f>
        <v/>
      </c>
      <c r="X386" s="272" t="str">
        <f t="shared" si="22"/>
        <v/>
      </c>
      <c r="Z386" s="273" t="str">
        <f>IF(OR($M386="",NOT($O386="{array}")),"",IFERROR(MATCH(PARAMETERS!$M386,DEFAULT!$B$5:$CI$5,0),""))</f>
        <v/>
      </c>
      <c r="AA386" s="272" t="str">
        <f t="shared" si="14"/>
        <v/>
      </c>
      <c r="AB386" s="274" t="str">
        <f>IF(AND(OR($A386="G",$A386="P"),NOT($O386="{array}")),IF(VLOOKUP($K386,base!$B$2:$D$20,3,0)="S",IF(OR($O386="",ISTEXT($O386)),"","STRING!"),IF(VLOOKUP($K386,base!$B$2:$D$20,3,0)="","",IF(ISTEXT($O386),"NUMERIC!",""))),"")</f>
        <v/>
      </c>
      <c r="AC386" s="275" t="str">
        <f>IF($AA386="","",IF($B386="I",VLOOKUP($AA386,#REF!,53,0),INDEX(VALUES!$B$1:$GP$1,1,$AA386)))</f>
        <v/>
      </c>
    </row>
    <row r="387" spans="1:29" s="276" customFormat="1" hidden="1" outlineLevel="1">
      <c r="A387" s="263"/>
      <c r="B387" s="264" t="str">
        <f t="shared" si="21"/>
        <v/>
      </c>
      <c r="C387" s="265">
        <f t="shared" si="23"/>
        <v>386</v>
      </c>
      <c r="D387" s="266"/>
      <c r="E387" s="266"/>
      <c r="F387" s="305"/>
      <c r="G387" s="188"/>
      <c r="H387" s="266"/>
      <c r="I387" s="266" t="s">
        <v>9</v>
      </c>
      <c r="J387" s="266"/>
      <c r="K387" s="276" t="s">
        <v>20</v>
      </c>
      <c r="L387" s="276" t="s">
        <v>29</v>
      </c>
      <c r="M387" s="285" t="s">
        <v>2306</v>
      </c>
      <c r="N387" s="276" t="s">
        <v>2307</v>
      </c>
      <c r="O387" s="286" t="s">
        <v>2308</v>
      </c>
      <c r="Q387" s="266"/>
      <c r="R387" s="266" t="s">
        <v>106</v>
      </c>
      <c r="S387" s="266"/>
      <c r="T387" s="266"/>
      <c r="W387" s="272" t="str">
        <f>IF(IFERROR(VLOOKUP($M387,'IMPORT GS-Tür OL FL 2S2 20'!$H$2:$H$847,1,0),"-")="-","","GS")</f>
        <v/>
      </c>
      <c r="X387" s="272" t="str">
        <f t="shared" si="22"/>
        <v/>
      </c>
      <c r="Z387" s="273" t="str">
        <f>IF(OR($M387="",NOT($O387="{array}")),"",IFERROR(MATCH(PARAMETERS!$M387,DEFAULT!$B$5:$CI$5,0),""))</f>
        <v/>
      </c>
      <c r="AA387" s="272" t="str">
        <f t="shared" si="14"/>
        <v/>
      </c>
      <c r="AB387" s="274" t="str">
        <f>IF(AND(OR($A387="G",$A387="P"),NOT($O387="{array}")),IF(VLOOKUP($K387,base!$B$2:$D$20,3,0)="S",IF(OR($O387="",ISTEXT($O387)),"","STRING!"),IF(VLOOKUP($K387,base!$B$2:$D$20,3,0)="","",IF(ISTEXT($O387),"NUMERIC!",""))),"")</f>
        <v/>
      </c>
      <c r="AC387" s="275" t="str">
        <f>IF($AA387="","",IF($B387="I",VLOOKUP($AA387,#REF!,53,0),INDEX(VALUES!$B$1:$GP$1,1,$AA387)))</f>
        <v/>
      </c>
    </row>
    <row r="388" spans="1:29" s="276" customFormat="1" hidden="1" outlineLevel="1">
      <c r="A388" s="263"/>
      <c r="B388" s="264" t="str">
        <f t="shared" si="21"/>
        <v/>
      </c>
      <c r="C388" s="265">
        <f t="shared" si="23"/>
        <v>387</v>
      </c>
      <c r="D388" s="266"/>
      <c r="E388" s="266"/>
      <c r="F388" s="305"/>
      <c r="G388" s="188" t="s">
        <v>9</v>
      </c>
      <c r="H388" s="266"/>
      <c r="I388" s="266" t="s">
        <v>9</v>
      </c>
      <c r="J388" s="266"/>
      <c r="K388" s="276" t="s">
        <v>46</v>
      </c>
      <c r="L388" s="276" t="s">
        <v>29</v>
      </c>
      <c r="M388" s="285" t="s">
        <v>2309</v>
      </c>
      <c r="N388" s="276" t="s">
        <v>2307</v>
      </c>
      <c r="O388" s="286">
        <v>1</v>
      </c>
      <c r="Q388" s="266"/>
      <c r="R388" s="266" t="s">
        <v>106</v>
      </c>
      <c r="S388" s="266"/>
      <c r="T388" s="266"/>
      <c r="W388" s="272" t="str">
        <f>IF(IFERROR(VLOOKUP($M388,'IMPORT GS-Tür OL FL 2S2 20'!$H$2:$H$847,1,0),"-")="-","","GS")</f>
        <v/>
      </c>
      <c r="X388" s="272" t="str">
        <f t="shared" si="22"/>
        <v/>
      </c>
      <c r="Z388" s="273" t="str">
        <f>IF(OR($M388="",NOT($O388="{array}")),"",IFERROR(MATCH(PARAMETERS!$M388,DEFAULT!$B$5:$CI$5,0),""))</f>
        <v/>
      </c>
      <c r="AA388" s="272" t="str">
        <f t="shared" si="14"/>
        <v/>
      </c>
      <c r="AB388" s="274" t="str">
        <f>IF(AND(OR($A388="G",$A388="P"),NOT($O388="{array}")),IF(VLOOKUP($K388,base!$B$2:$D$20,3,0)="S",IF(OR($O388="",ISTEXT($O388)),"","STRING!"),IF(VLOOKUP($K388,base!$B$2:$D$20,3,0)="","",IF(ISTEXT($O388),"NUMERIC!",""))),"")</f>
        <v/>
      </c>
      <c r="AC388" s="275" t="str">
        <f>IF($AA388="","",IF($B388="I",VLOOKUP($AA388,#REF!,53,0),INDEX(VALUES!$B$1:$GP$1,1,$AA388)))</f>
        <v/>
      </c>
    </row>
    <row r="389" spans="1:29" s="276" customFormat="1" hidden="1" outlineLevel="1">
      <c r="A389" s="263"/>
      <c r="B389" s="264" t="str">
        <f t="shared" si="21"/>
        <v/>
      </c>
      <c r="C389" s="265">
        <f t="shared" si="23"/>
        <v>388</v>
      </c>
      <c r="D389" s="266"/>
      <c r="E389" s="266"/>
      <c r="F389" s="305"/>
      <c r="G389" s="188"/>
      <c r="H389" s="266"/>
      <c r="I389" s="266" t="s">
        <v>9</v>
      </c>
      <c r="J389" s="266"/>
      <c r="K389" s="276" t="s">
        <v>20</v>
      </c>
      <c r="L389" s="276" t="s">
        <v>29</v>
      </c>
      <c r="M389" s="285" t="s">
        <v>2310</v>
      </c>
      <c r="N389" s="276" t="s">
        <v>273</v>
      </c>
      <c r="O389" s="286" t="s">
        <v>2311</v>
      </c>
      <c r="Q389" s="266"/>
      <c r="R389" s="266" t="s">
        <v>106</v>
      </c>
      <c r="S389" s="266"/>
      <c r="T389" s="266"/>
      <c r="W389" s="272" t="str">
        <f>IF(IFERROR(VLOOKUP($M389,'IMPORT GS-Tür OL FL 2S2 20'!$H$2:$H$847,1,0),"-")="-","","GS")</f>
        <v/>
      </c>
      <c r="X389" s="272" t="str">
        <f t="shared" si="22"/>
        <v/>
      </c>
      <c r="Z389" s="273" t="str">
        <f>IF(OR($M389="",NOT($O389="{array}")),"",IFERROR(MATCH(PARAMETERS!$M389,DEFAULT!$B$5:$CI$5,0),""))</f>
        <v/>
      </c>
      <c r="AA389" s="272" t="str">
        <f t="shared" si="14"/>
        <v/>
      </c>
      <c r="AB389" s="274" t="str">
        <f>IF(AND(OR($A389="G",$A389="P"),NOT($O389="{array}")),IF(VLOOKUP($K389,base!$B$2:$D$20,3,0)="S",IF(OR($O389="",ISTEXT($O389)),"","STRING!"),IF(VLOOKUP($K389,base!$B$2:$D$20,3,0)="","",IF(ISTEXT($O389),"NUMERIC!",""))),"")</f>
        <v/>
      </c>
      <c r="AC389" s="275" t="str">
        <f>IF($AA389="","",IF($B389="I",VLOOKUP($AA389,#REF!,53,0),INDEX(VALUES!$B$1:$GP$1,1,$AA389)))</f>
        <v/>
      </c>
    </row>
    <row r="390" spans="1:29" s="276" customFormat="1" hidden="1" outlineLevel="1">
      <c r="A390" s="263"/>
      <c r="B390" s="264" t="str">
        <f t="shared" si="21"/>
        <v/>
      </c>
      <c r="C390" s="265">
        <f t="shared" si="23"/>
        <v>389</v>
      </c>
      <c r="D390" s="266"/>
      <c r="E390" s="266"/>
      <c r="F390" s="305"/>
      <c r="G390" s="188" t="s">
        <v>9</v>
      </c>
      <c r="H390" s="266"/>
      <c r="I390" s="266" t="s">
        <v>9</v>
      </c>
      <c r="J390" s="266"/>
      <c r="K390" s="276" t="s">
        <v>46</v>
      </c>
      <c r="L390" s="276" t="s">
        <v>29</v>
      </c>
      <c r="M390" s="285" t="s">
        <v>2312</v>
      </c>
      <c r="N390" s="276" t="s">
        <v>273</v>
      </c>
      <c r="O390" s="286">
        <v>1</v>
      </c>
      <c r="Q390" s="266"/>
      <c r="R390" s="266" t="s">
        <v>106</v>
      </c>
      <c r="S390" s="266"/>
      <c r="T390" s="266"/>
      <c r="W390" s="272" t="str">
        <f>IF(IFERROR(VLOOKUP($M390,'IMPORT GS-Tür OL FL 2S2 20'!$H$2:$H$847,1,0),"-")="-","","GS")</f>
        <v/>
      </c>
      <c r="X390" s="272" t="str">
        <f t="shared" si="22"/>
        <v/>
      </c>
      <c r="Z390" s="273" t="str">
        <f>IF(OR($M390="",NOT($O390="{array}")),"",IFERROR(MATCH(PARAMETERS!$M390,DEFAULT!$B$5:$CI$5,0),""))</f>
        <v/>
      </c>
      <c r="AA390" s="272" t="str">
        <f t="shared" si="14"/>
        <v/>
      </c>
      <c r="AB390" s="274" t="str">
        <f>IF(AND(OR($A390="G",$A390="P"),NOT($O390="{array}")),IF(VLOOKUP($K390,base!$B$2:$D$20,3,0)="S",IF(OR($O390="",ISTEXT($O390)),"","STRING!"),IF(VLOOKUP($K390,base!$B$2:$D$20,3,0)="","",IF(ISTEXT($O390),"NUMERIC!",""))),"")</f>
        <v/>
      </c>
      <c r="AC390" s="275" t="str">
        <f>IF($AA390="","",IF($B390="I",VLOOKUP($AA390,#REF!,53,0),INDEX(VALUES!$B$1:$GP$1,1,$AA390)))</f>
        <v/>
      </c>
    </row>
    <row r="391" spans="1:29" s="276" customFormat="1" hidden="1" outlineLevel="1">
      <c r="A391" s="263"/>
      <c r="B391" s="264" t="str">
        <f t="shared" si="21"/>
        <v/>
      </c>
      <c r="C391" s="265">
        <f t="shared" si="23"/>
        <v>390</v>
      </c>
      <c r="D391" s="266"/>
      <c r="E391" s="266"/>
      <c r="F391" s="305"/>
      <c r="G391" s="188"/>
      <c r="H391" s="266"/>
      <c r="I391" s="266" t="s">
        <v>9</v>
      </c>
      <c r="J391" s="266"/>
      <c r="K391" s="276" t="s">
        <v>20</v>
      </c>
      <c r="L391" s="276" t="s">
        <v>29</v>
      </c>
      <c r="M391" s="285" t="s">
        <v>2313</v>
      </c>
      <c r="N391" s="276" t="s">
        <v>2314</v>
      </c>
      <c r="O391" s="286" t="s">
        <v>2315</v>
      </c>
      <c r="Q391" s="266"/>
      <c r="R391" s="266" t="s">
        <v>106</v>
      </c>
      <c r="S391" s="266"/>
      <c r="T391" s="266"/>
      <c r="W391" s="272" t="str">
        <f>IF(IFERROR(VLOOKUP($M391,'IMPORT GS-Tür OL FL 2S2 20'!$H$2:$H$847,1,0),"-")="-","","GS")</f>
        <v/>
      </c>
      <c r="X391" s="272" t="str">
        <f t="shared" si="22"/>
        <v/>
      </c>
      <c r="Z391" s="273" t="str">
        <f>IF(OR($M391="",NOT($O391="{array}")),"",IFERROR(MATCH(PARAMETERS!$M391,DEFAULT!$B$5:$CI$5,0),""))</f>
        <v/>
      </c>
      <c r="AA391" s="272" t="str">
        <f t="shared" si="14"/>
        <v/>
      </c>
      <c r="AB391" s="274" t="str">
        <f>IF(AND(OR($A391="G",$A391="P"),NOT($O391="{array}")),IF(VLOOKUP($K391,base!$B$2:$D$20,3,0)="S",IF(OR($O391="",ISTEXT($O391)),"","STRING!"),IF(VLOOKUP($K391,base!$B$2:$D$20,3,0)="","",IF(ISTEXT($O391),"NUMERIC!",""))),"")</f>
        <v/>
      </c>
      <c r="AC391" s="275" t="str">
        <f>IF($AA391="","",IF($B391="I",VLOOKUP($AA391,#REF!,53,0),INDEX(VALUES!$B$1:$GP$1,1,$AA391)))</f>
        <v/>
      </c>
    </row>
    <row r="392" spans="1:29" s="276" customFormat="1" hidden="1" outlineLevel="1">
      <c r="A392" s="263"/>
      <c r="B392" s="264" t="str">
        <f t="shared" si="21"/>
        <v/>
      </c>
      <c r="C392" s="265">
        <f t="shared" si="23"/>
        <v>391</v>
      </c>
      <c r="D392" s="266"/>
      <c r="E392" s="266"/>
      <c r="F392" s="305"/>
      <c r="G392" s="188" t="s">
        <v>9</v>
      </c>
      <c r="H392" s="266"/>
      <c r="I392" s="266" t="s">
        <v>9</v>
      </c>
      <c r="J392" s="266"/>
      <c r="K392" s="276" t="s">
        <v>46</v>
      </c>
      <c r="L392" s="276" t="s">
        <v>29</v>
      </c>
      <c r="M392" s="285" t="s">
        <v>2316</v>
      </c>
      <c r="N392" s="276" t="s">
        <v>2314</v>
      </c>
      <c r="O392" s="286">
        <v>1</v>
      </c>
      <c r="Q392" s="266"/>
      <c r="R392" s="266" t="s">
        <v>106</v>
      </c>
      <c r="S392" s="266"/>
      <c r="T392" s="266"/>
      <c r="W392" s="272" t="str">
        <f>IF(IFERROR(VLOOKUP($M392,'IMPORT GS-Tür OL FL 2S2 20'!$H$2:$H$847,1,0),"-")="-","","GS")</f>
        <v/>
      </c>
      <c r="X392" s="272" t="str">
        <f t="shared" si="22"/>
        <v/>
      </c>
      <c r="Z392" s="273" t="str">
        <f>IF(OR($M392="",NOT($O392="{array}")),"",IFERROR(MATCH(PARAMETERS!$M392,DEFAULT!$B$5:$CI$5,0),""))</f>
        <v/>
      </c>
      <c r="AA392" s="272" t="str">
        <f t="shared" si="14"/>
        <v/>
      </c>
      <c r="AB392" s="274" t="str">
        <f>IF(AND(OR($A392="G",$A392="P"),NOT($O392="{array}")),IF(VLOOKUP($K392,base!$B$2:$D$20,3,0)="S",IF(OR($O392="",ISTEXT($O392)),"","STRING!"),IF(VLOOKUP($K392,base!$B$2:$D$20,3,0)="","",IF(ISTEXT($O392),"NUMERIC!",""))),"")</f>
        <v/>
      </c>
      <c r="AC392" s="275" t="str">
        <f>IF($AA392="","",IF($B392="I",VLOOKUP($AA392,#REF!,53,0),INDEX(VALUES!$B$1:$GP$1,1,$AA392)))</f>
        <v/>
      </c>
    </row>
    <row r="393" spans="1:29" s="276" customFormat="1" hidden="1" outlineLevel="1">
      <c r="A393" s="263"/>
      <c r="B393" s="264" t="str">
        <f t="shared" si="21"/>
        <v/>
      </c>
      <c r="C393" s="265">
        <f t="shared" si="23"/>
        <v>392</v>
      </c>
      <c r="D393" s="266"/>
      <c r="E393" s="266"/>
      <c r="F393" s="305"/>
      <c r="G393" s="188"/>
      <c r="H393" s="266"/>
      <c r="I393" s="266" t="s">
        <v>9</v>
      </c>
      <c r="J393" s="266"/>
      <c r="K393" s="276" t="s">
        <v>49</v>
      </c>
      <c r="L393" s="276" t="s">
        <v>29</v>
      </c>
      <c r="M393" s="285" t="s">
        <v>2317</v>
      </c>
      <c r="N393" s="276" t="s">
        <v>2318</v>
      </c>
      <c r="O393" s="286">
        <v>1</v>
      </c>
      <c r="Q393" s="266"/>
      <c r="R393" s="266" t="s">
        <v>106</v>
      </c>
      <c r="S393" s="266"/>
      <c r="T393" s="266"/>
      <c r="W393" s="272" t="str">
        <f>IF(IFERROR(VLOOKUP($M393,'IMPORT GS-Tür OL FL 2S2 20'!$H$2:$H$847,1,0),"-")="-","","GS")</f>
        <v/>
      </c>
      <c r="X393" s="272" t="str">
        <f t="shared" si="22"/>
        <v/>
      </c>
      <c r="Z393" s="273" t="str">
        <f>IF(OR($M393="",NOT($O393="{array}")),"",IFERROR(MATCH(PARAMETERS!$M393,DEFAULT!$B$5:$CI$5,0),""))</f>
        <v/>
      </c>
      <c r="AA393" s="272" t="str">
        <f t="shared" si="14"/>
        <v/>
      </c>
      <c r="AB393" s="274" t="str">
        <f>IF(AND(OR($A393="G",$A393="P"),NOT($O393="{array}")),IF(VLOOKUP($K393,base!$B$2:$D$20,3,0)="S",IF(OR($O393="",ISTEXT($O393)),"","STRING!"),IF(VLOOKUP($K393,base!$B$2:$D$20,3,0)="","",IF(ISTEXT($O393),"NUMERIC!",""))),"")</f>
        <v/>
      </c>
      <c r="AC393" s="275" t="str">
        <f>IF($AA393="","",IF($B393="I",VLOOKUP($AA393,#REF!,53,0),INDEX(VALUES!$B$1:$GP$1,1,$AA393)))</f>
        <v/>
      </c>
    </row>
    <row r="394" spans="1:29" s="276" customFormat="1" hidden="1" outlineLevel="1">
      <c r="A394" s="263"/>
      <c r="B394" s="264" t="str">
        <f t="shared" ref="B394:B458" si="24">IF($A394="P",IF(NOT($Z394=""),"A",IF(NOT($AA394=""),"I","")),IF(NOT($AA394=""),IF($A394="G","V","X"),IF(NOT($Z394=""),"A","")))</f>
        <v/>
      </c>
      <c r="C394" s="265">
        <f t="shared" si="23"/>
        <v>393</v>
      </c>
      <c r="D394" s="266"/>
      <c r="E394" s="266"/>
      <c r="F394" s="305"/>
      <c r="G394" s="188"/>
      <c r="H394" s="266"/>
      <c r="I394" s="266" t="s">
        <v>9</v>
      </c>
      <c r="J394" s="266"/>
      <c r="K394" s="276" t="s">
        <v>49</v>
      </c>
      <c r="L394" s="276" t="s">
        <v>29</v>
      </c>
      <c r="M394" s="285" t="s">
        <v>2319</v>
      </c>
      <c r="N394" s="276" t="s">
        <v>2320</v>
      </c>
      <c r="O394" s="286">
        <v>1</v>
      </c>
      <c r="Q394" s="266"/>
      <c r="R394" s="266" t="s">
        <v>106</v>
      </c>
      <c r="S394" s="266"/>
      <c r="T394" s="266"/>
      <c r="W394" s="272" t="str">
        <f>IF(IFERROR(VLOOKUP($M394,'IMPORT GS-Tür OL FL 2S2 20'!$H$2:$H$847,1,0),"-")="-","","GS")</f>
        <v/>
      </c>
      <c r="X394" s="272" t="str">
        <f t="shared" si="22"/>
        <v/>
      </c>
      <c r="Z394" s="273" t="str">
        <f>IF(OR($M394="",NOT($O394="{array}")),"",IFERROR(MATCH(PARAMETERS!$M394,DEFAULT!$B$5:$CI$5,0),""))</f>
        <v/>
      </c>
      <c r="AA394" s="272" t="str">
        <f t="shared" si="14"/>
        <v/>
      </c>
      <c r="AB394" s="274" t="str">
        <f>IF(AND(OR($A394="G",$A394="P"),NOT($O394="{array}")),IF(VLOOKUP($K394,base!$B$2:$D$20,3,0)="S",IF(OR($O394="",ISTEXT($O394)),"","STRING!"),IF(VLOOKUP($K394,base!$B$2:$D$20,3,0)="","",IF(ISTEXT($O394),"NUMERIC!",""))),"")</f>
        <v/>
      </c>
      <c r="AC394" s="275" t="str">
        <f>IF($AA394="","",IF($B394="I",VLOOKUP($AA394,#REF!,53,0),INDEX(VALUES!$B$1:$GP$1,1,$AA394)))</f>
        <v/>
      </c>
    </row>
    <row r="395" spans="1:29" s="276" customFormat="1" hidden="1" outlineLevel="1">
      <c r="A395" s="263"/>
      <c r="B395" s="264" t="str">
        <f t="shared" si="24"/>
        <v/>
      </c>
      <c r="C395" s="265">
        <f t="shared" si="23"/>
        <v>394</v>
      </c>
      <c r="D395" s="266"/>
      <c r="E395" s="266"/>
      <c r="F395" s="305"/>
      <c r="G395" s="188"/>
      <c r="H395" s="266"/>
      <c r="I395" s="266" t="s">
        <v>9</v>
      </c>
      <c r="J395" s="266"/>
      <c r="K395" s="276" t="s">
        <v>49</v>
      </c>
      <c r="L395" s="276" t="s">
        <v>29</v>
      </c>
      <c r="M395" s="285" t="s">
        <v>2321</v>
      </c>
      <c r="N395" s="276" t="s">
        <v>2322</v>
      </c>
      <c r="O395" s="286">
        <v>0</v>
      </c>
      <c r="Q395" s="266"/>
      <c r="R395" s="266" t="s">
        <v>106</v>
      </c>
      <c r="S395" s="266"/>
      <c r="T395" s="266"/>
      <c r="W395" s="272" t="str">
        <f>IF(IFERROR(VLOOKUP($M395,'IMPORT GS-Tür OL FL 2S2 20'!$H$2:$H$847,1,0),"-")="-","","GS")</f>
        <v/>
      </c>
      <c r="X395" s="272" t="str">
        <f t="shared" ref="X395:X459" si="25">IF($A395="G",IF(IFERROR(VLOOKUP($M395,Reimport,1,0),"-")="-","&gt;&lt;",IF($O395=VLOOKUP($M395,Reimport,2,0),"...",VLOOKUP($M395,Reimport,2,0))),"")</f>
        <v/>
      </c>
      <c r="Z395" s="273" t="str">
        <f>IF(OR($M395="",NOT($O395="{array}")),"",IFERROR(MATCH(PARAMETERS!$M395,DEFAULT!$B$5:$CI$5,0),""))</f>
        <v/>
      </c>
      <c r="AA395" s="272" t="str">
        <f t="shared" si="14"/>
        <v/>
      </c>
      <c r="AB395" s="274" t="str">
        <f>IF(AND(OR($A395="G",$A395="P"),NOT($O395="{array}")),IF(VLOOKUP($K395,base!$B$2:$D$20,3,0)="S",IF(OR($O395="",ISTEXT($O395)),"","STRING!"),IF(VLOOKUP($K395,base!$B$2:$D$20,3,0)="","",IF(ISTEXT($O395),"NUMERIC!",""))),"")</f>
        <v/>
      </c>
      <c r="AC395" s="275" t="str">
        <f>IF($AA395="","",IF($B395="I",VLOOKUP($AA395,#REF!,53,0),INDEX(VALUES!$B$1:$GP$1,1,$AA395)))</f>
        <v/>
      </c>
    </row>
    <row r="396" spans="1:29" s="276" customFormat="1" hidden="1" outlineLevel="1">
      <c r="A396" s="263"/>
      <c r="B396" s="264" t="str">
        <f t="shared" si="24"/>
        <v/>
      </c>
      <c r="C396" s="265">
        <f t="shared" si="23"/>
        <v>395</v>
      </c>
      <c r="D396" s="266"/>
      <c r="E396" s="266"/>
      <c r="F396" s="305"/>
      <c r="G396" s="188"/>
      <c r="H396" s="266"/>
      <c r="I396" s="266" t="s">
        <v>9</v>
      </c>
      <c r="J396" s="266"/>
      <c r="K396" s="276" t="s">
        <v>26</v>
      </c>
      <c r="L396" s="276" t="s">
        <v>29</v>
      </c>
      <c r="M396" s="285" t="s">
        <v>2323</v>
      </c>
      <c r="N396" s="276" t="s">
        <v>2324</v>
      </c>
      <c r="O396" s="286">
        <v>0.2</v>
      </c>
      <c r="Q396" s="266" t="s">
        <v>9</v>
      </c>
      <c r="R396" s="266" t="s">
        <v>106</v>
      </c>
      <c r="S396" s="266"/>
      <c r="T396" s="266"/>
      <c r="W396" s="272" t="str">
        <f>IF(IFERROR(VLOOKUP($M396,'IMPORT GS-Tür OL FL 2S2 20'!$H$2:$H$847,1,0),"-")="-","","GS")</f>
        <v/>
      </c>
      <c r="X396" s="272" t="str">
        <f t="shared" si="25"/>
        <v/>
      </c>
      <c r="Z396" s="273" t="str">
        <f>IF(OR($M396="",NOT($O396="{array}")),"",IFERROR(MATCH(PARAMETERS!$M396,DEFAULT!$B$5:$CI$5,0),""))</f>
        <v/>
      </c>
      <c r="AA396" s="272" t="str">
        <f t="shared" si="14"/>
        <v/>
      </c>
      <c r="AB396" s="274" t="str">
        <f>IF(AND(OR($A396="G",$A396="P"),NOT($O396="{array}")),IF(VLOOKUP($K396,base!$B$2:$D$20,3,0)="S",IF(OR($O396="",ISTEXT($O396)),"","STRING!"),IF(VLOOKUP($K396,base!$B$2:$D$20,3,0)="","",IF(ISTEXT($O396),"NUMERIC!",""))),"")</f>
        <v/>
      </c>
      <c r="AC396" s="275" t="str">
        <f>IF($AA396="","",IF($B396="I",VLOOKUP($AA396,#REF!,53,0),INDEX(VALUES!$B$1:$GP$1,1,$AA396)))</f>
        <v/>
      </c>
    </row>
    <row r="397" spans="1:29" s="276" customFormat="1" hidden="1" outlineLevel="1">
      <c r="A397" s="263"/>
      <c r="B397" s="264" t="str">
        <f t="shared" si="24"/>
        <v/>
      </c>
      <c r="C397" s="265">
        <f t="shared" si="23"/>
        <v>396</v>
      </c>
      <c r="D397" s="266"/>
      <c r="E397" s="266"/>
      <c r="F397" s="305"/>
      <c r="G397" s="188"/>
      <c r="H397" s="266"/>
      <c r="I397" s="266" t="s">
        <v>9</v>
      </c>
      <c r="J397" s="266"/>
      <c r="K397" s="276" t="s">
        <v>26</v>
      </c>
      <c r="L397" s="276" t="s">
        <v>29</v>
      </c>
      <c r="M397" s="285" t="s">
        <v>2325</v>
      </c>
      <c r="N397" s="276" t="s">
        <v>2326</v>
      </c>
      <c r="O397" s="286">
        <v>0.15</v>
      </c>
      <c r="Q397" s="266" t="s">
        <v>9</v>
      </c>
      <c r="R397" s="266" t="s">
        <v>106</v>
      </c>
      <c r="S397" s="266"/>
      <c r="T397" s="266"/>
      <c r="W397" s="272" t="str">
        <f>IF(IFERROR(VLOOKUP($M397,'IMPORT GS-Tür OL FL 2S2 20'!$H$2:$H$847,1,0),"-")="-","","GS")</f>
        <v/>
      </c>
      <c r="X397" s="272" t="str">
        <f t="shared" si="25"/>
        <v/>
      </c>
      <c r="Z397" s="273" t="str">
        <f>IF(OR($M397="",NOT($O397="{array}")),"",IFERROR(MATCH(PARAMETERS!$M397,DEFAULT!$B$5:$CI$5,0),""))</f>
        <v/>
      </c>
      <c r="AA397" s="272" t="str">
        <f t="shared" si="14"/>
        <v/>
      </c>
      <c r="AB397" s="274" t="str">
        <f>IF(AND(OR($A397="G",$A397="P"),NOT($O397="{array}")),IF(VLOOKUP($K397,base!$B$2:$D$20,3,0)="S",IF(OR($O397="",ISTEXT($O397)),"","STRING!"),IF(VLOOKUP($K397,base!$B$2:$D$20,3,0)="","",IF(ISTEXT($O397),"NUMERIC!",""))),"")</f>
        <v/>
      </c>
      <c r="AC397" s="275" t="str">
        <f>IF($AA397="","",IF($B397="I",VLOOKUP($AA397,#REF!,53,0),INDEX(VALUES!$B$1:$GP$1,1,$AA397)))</f>
        <v/>
      </c>
    </row>
    <row r="398" spans="1:29" s="276" customFormat="1" hidden="1" outlineLevel="1">
      <c r="A398" s="263"/>
      <c r="B398" s="264" t="str">
        <f t="shared" si="24"/>
        <v/>
      </c>
      <c r="C398" s="265">
        <f t="shared" si="23"/>
        <v>397</v>
      </c>
      <c r="D398" s="266"/>
      <c r="E398" s="266"/>
      <c r="F398" s="305"/>
      <c r="G398" s="188"/>
      <c r="H398" s="266"/>
      <c r="I398" s="266" t="s">
        <v>9</v>
      </c>
      <c r="J398" s="266"/>
      <c r="K398" s="276" t="s">
        <v>33</v>
      </c>
      <c r="L398" s="276" t="s">
        <v>29</v>
      </c>
      <c r="M398" s="285" t="s">
        <v>2327</v>
      </c>
      <c r="N398" s="276" t="s">
        <v>2328</v>
      </c>
      <c r="O398" s="286">
        <v>10</v>
      </c>
      <c r="Q398" s="266" t="s">
        <v>9</v>
      </c>
      <c r="R398" s="266" t="s">
        <v>106</v>
      </c>
      <c r="S398" s="266"/>
      <c r="T398" s="266"/>
      <c r="W398" s="272" t="str">
        <f>IF(IFERROR(VLOOKUP($M398,'IMPORT GS-Tür OL FL 2S2 20'!$H$2:$H$847,1,0),"-")="-","","GS")</f>
        <v/>
      </c>
      <c r="X398" s="272" t="str">
        <f t="shared" si="25"/>
        <v/>
      </c>
      <c r="Z398" s="273" t="str">
        <f>IF(OR($M398="",NOT($O398="{array}")),"",IFERROR(MATCH(PARAMETERS!$M398,DEFAULT!$B$5:$CI$5,0),""))</f>
        <v/>
      </c>
      <c r="AA398" s="272" t="str">
        <f t="shared" si="14"/>
        <v/>
      </c>
      <c r="AB398" s="274" t="str">
        <f>IF(AND(OR($A398="G",$A398="P"),NOT($O398="{array}")),IF(VLOOKUP($K398,base!$B$2:$D$20,3,0)="S",IF(OR($O398="",ISTEXT($O398)),"","STRING!"),IF(VLOOKUP($K398,base!$B$2:$D$20,3,0)="","",IF(ISTEXT($O398),"NUMERIC!",""))),"")</f>
        <v/>
      </c>
      <c r="AC398" s="275" t="str">
        <f>IF($AA398="","",IF($B398="I",VLOOKUP($AA398,#REF!,53,0),INDEX(VALUES!$B$1:$GP$1,1,$AA398)))</f>
        <v/>
      </c>
    </row>
    <row r="399" spans="1:29" s="276" customFormat="1" hidden="1" outlineLevel="1">
      <c r="A399" s="263"/>
      <c r="B399" s="264" t="str">
        <f t="shared" si="24"/>
        <v/>
      </c>
      <c r="C399" s="265">
        <f t="shared" si="23"/>
        <v>398</v>
      </c>
      <c r="D399" s="266"/>
      <c r="E399" s="266"/>
      <c r="F399" s="305"/>
      <c r="G399" s="188"/>
      <c r="H399" s="266"/>
      <c r="I399" s="266" t="s">
        <v>9</v>
      </c>
      <c r="J399" s="266"/>
      <c r="K399" s="276" t="s">
        <v>20</v>
      </c>
      <c r="L399" s="276" t="s">
        <v>29</v>
      </c>
      <c r="M399" s="285" t="s">
        <v>2329</v>
      </c>
      <c r="N399" s="276" t="s">
        <v>2330</v>
      </c>
      <c r="O399" s="286" t="s">
        <v>564</v>
      </c>
      <c r="Q399" s="266"/>
      <c r="R399" s="266" t="s">
        <v>106</v>
      </c>
      <c r="S399" s="266"/>
      <c r="T399" s="266"/>
      <c r="W399" s="272" t="str">
        <f>IF(IFERROR(VLOOKUP($M399,'IMPORT GS-Tür OL FL 2S2 20'!$H$2:$H$847,1,0),"-")="-","","GS")</f>
        <v/>
      </c>
      <c r="X399" s="272" t="str">
        <f t="shared" si="25"/>
        <v/>
      </c>
      <c r="Z399" s="273" t="str">
        <f>IF(OR($M399="",NOT($O399="{array}")),"",IFERROR(MATCH(PARAMETERS!$M399,DEFAULT!$B$5:$CI$5,0),""))</f>
        <v/>
      </c>
      <c r="AA399" s="272" t="str">
        <f t="shared" si="14"/>
        <v/>
      </c>
      <c r="AB399" s="274" t="str">
        <f>IF(AND(OR($A399="G",$A399="P"),NOT($O399="{array}")),IF(VLOOKUP($K399,base!$B$2:$D$20,3,0)="S",IF(OR($O399="",ISTEXT($O399)),"","STRING!"),IF(VLOOKUP($K399,base!$B$2:$D$20,3,0)="","",IF(ISTEXT($O399),"NUMERIC!",""))),"")</f>
        <v/>
      </c>
      <c r="AC399" s="275" t="str">
        <f>IF($AA399="","",IF($B399="I",VLOOKUP($AA399,#REF!,53,0),INDEX(VALUES!$B$1:$GP$1,1,$AA399)))</f>
        <v/>
      </c>
    </row>
    <row r="400" spans="1:29" s="276" customFormat="1" hidden="1" outlineLevel="1">
      <c r="A400" s="263"/>
      <c r="B400" s="264" t="str">
        <f t="shared" si="24"/>
        <v/>
      </c>
      <c r="C400" s="265">
        <f t="shared" si="23"/>
        <v>399</v>
      </c>
      <c r="D400" s="266"/>
      <c r="E400" s="266"/>
      <c r="F400" s="305"/>
      <c r="G400" s="188" t="s">
        <v>9</v>
      </c>
      <c r="H400" s="266"/>
      <c r="I400" s="266" t="s">
        <v>9</v>
      </c>
      <c r="J400" s="266"/>
      <c r="K400" s="276" t="s">
        <v>46</v>
      </c>
      <c r="L400" s="276" t="s">
        <v>29</v>
      </c>
      <c r="M400" s="285" t="s">
        <v>2331</v>
      </c>
      <c r="N400" s="276" t="s">
        <v>2330</v>
      </c>
      <c r="O400" s="286">
        <v>1</v>
      </c>
      <c r="Q400" s="266"/>
      <c r="R400" s="266" t="s">
        <v>106</v>
      </c>
      <c r="S400" s="266"/>
      <c r="T400" s="266"/>
      <c r="W400" s="272" t="str">
        <f>IF(IFERROR(VLOOKUP($M400,'IMPORT GS-Tür OL FL 2S2 20'!$H$2:$H$847,1,0),"-")="-","","GS")</f>
        <v/>
      </c>
      <c r="X400" s="272" t="str">
        <f t="shared" si="25"/>
        <v/>
      </c>
      <c r="Z400" s="273" t="str">
        <f>IF(OR($M400="",NOT($O400="{array}")),"",IFERROR(MATCH(PARAMETERS!$M400,DEFAULT!$B$5:$CI$5,0),""))</f>
        <v/>
      </c>
      <c r="AA400" s="272" t="str">
        <f t="shared" si="14"/>
        <v/>
      </c>
      <c r="AB400" s="274" t="str">
        <f>IF(AND(OR($A400="G",$A400="P"),NOT($O400="{array}")),IF(VLOOKUP($K400,base!$B$2:$D$20,3,0)="S",IF(OR($O400="",ISTEXT($O400)),"","STRING!"),IF(VLOOKUP($K400,base!$B$2:$D$20,3,0)="","",IF(ISTEXT($O400),"NUMERIC!",""))),"")</f>
        <v/>
      </c>
      <c r="AC400" s="275" t="str">
        <f>IF($AA400="","",IF($B400="I",VLOOKUP($AA400,#REF!,53,0),INDEX(VALUES!$B$1:$GP$1,1,$AA400)))</f>
        <v/>
      </c>
    </row>
    <row r="401" spans="1:29" s="276" customFormat="1" hidden="1" outlineLevel="1">
      <c r="A401" s="263"/>
      <c r="B401" s="264" t="str">
        <f t="shared" si="24"/>
        <v/>
      </c>
      <c r="C401" s="265">
        <f t="shared" si="23"/>
        <v>400</v>
      </c>
      <c r="D401" s="266"/>
      <c r="E401" s="266"/>
      <c r="F401" s="305"/>
      <c r="G401" s="188"/>
      <c r="H401" s="266"/>
      <c r="I401" s="266" t="s">
        <v>9</v>
      </c>
      <c r="J401" s="266"/>
      <c r="K401" s="276" t="s">
        <v>26</v>
      </c>
      <c r="L401" s="276" t="s">
        <v>29</v>
      </c>
      <c r="M401" s="285" t="s">
        <v>2332</v>
      </c>
      <c r="N401" s="276" t="s">
        <v>2333</v>
      </c>
      <c r="O401" s="286">
        <v>0</v>
      </c>
      <c r="Q401" s="266" t="s">
        <v>9</v>
      </c>
      <c r="R401" s="266" t="s">
        <v>106</v>
      </c>
      <c r="S401" s="266"/>
      <c r="T401" s="266"/>
      <c r="W401" s="272" t="str">
        <f>IF(IFERROR(VLOOKUP($M401,'IMPORT GS-Tür OL FL 2S2 20'!$H$2:$H$847,1,0),"-")="-","","GS")</f>
        <v/>
      </c>
      <c r="X401" s="272" t="str">
        <f t="shared" si="25"/>
        <v/>
      </c>
      <c r="Z401" s="273" t="str">
        <f>IF(OR($M401="",NOT($O401="{array}")),"",IFERROR(MATCH(PARAMETERS!$M401,DEFAULT!$B$5:$CI$5,0),""))</f>
        <v/>
      </c>
      <c r="AA401" s="272" t="str">
        <f t="shared" si="14"/>
        <v/>
      </c>
      <c r="AB401" s="274" t="str">
        <f>IF(AND(OR($A401="G",$A401="P"),NOT($O401="{array}")),IF(VLOOKUP($K401,base!$B$2:$D$20,3,0)="S",IF(OR($O401="",ISTEXT($O401)),"","STRING!"),IF(VLOOKUP($K401,base!$B$2:$D$20,3,0)="","",IF(ISTEXT($O401),"NUMERIC!",""))),"")</f>
        <v/>
      </c>
      <c r="AC401" s="275" t="str">
        <f>IF($AA401="","",IF($B401="I",VLOOKUP($AA401,#REF!,53,0),INDEX(VALUES!$B$1:$GP$1,1,$AA401)))</f>
        <v/>
      </c>
    </row>
    <row r="402" spans="1:29" s="276" customFormat="1" hidden="1" outlineLevel="1">
      <c r="A402" s="263"/>
      <c r="B402" s="264" t="str">
        <f t="shared" si="24"/>
        <v/>
      </c>
      <c r="C402" s="265">
        <f t="shared" ref="C402:C428" si="26">(ROW()-1)</f>
        <v>401</v>
      </c>
      <c r="D402" s="266"/>
      <c r="E402" s="266"/>
      <c r="F402" s="305"/>
      <c r="G402" s="188"/>
      <c r="H402" s="266"/>
      <c r="I402" s="266" t="s">
        <v>9</v>
      </c>
      <c r="J402" s="266"/>
      <c r="K402" s="276" t="s">
        <v>26</v>
      </c>
      <c r="L402" s="276" t="s">
        <v>29</v>
      </c>
      <c r="M402" s="285" t="s">
        <v>2334</v>
      </c>
      <c r="N402" s="276" t="s">
        <v>2335</v>
      </c>
      <c r="O402" s="286">
        <v>0</v>
      </c>
      <c r="Q402" s="266" t="s">
        <v>9</v>
      </c>
      <c r="R402" s="266" t="s">
        <v>106</v>
      </c>
      <c r="S402" s="266"/>
      <c r="T402" s="266"/>
      <c r="W402" s="272" t="str">
        <f>IF(IFERROR(VLOOKUP($M402,'IMPORT GS-Tür OL FL 2S2 20'!$H$2:$H$847,1,0),"-")="-","","GS")</f>
        <v/>
      </c>
      <c r="X402" s="272" t="str">
        <f t="shared" si="25"/>
        <v/>
      </c>
      <c r="Z402" s="273" t="str">
        <f>IF(OR($M402="",NOT($O402="{array}")),"",IFERROR(MATCH(PARAMETERS!$M402,DEFAULT!$B$5:$CI$5,0),""))</f>
        <v/>
      </c>
      <c r="AA402" s="272" t="str">
        <f t="shared" si="14"/>
        <v/>
      </c>
      <c r="AB402" s="274" t="str">
        <f>IF(AND(OR($A402="G",$A402="P"),NOT($O402="{array}")),IF(VLOOKUP($K402,base!$B$2:$D$20,3,0)="S",IF(OR($O402="",ISTEXT($O402)),"","STRING!"),IF(VLOOKUP($K402,base!$B$2:$D$20,3,0)="","",IF(ISTEXT($O402),"NUMERIC!",""))),"")</f>
        <v/>
      </c>
      <c r="AC402" s="275" t="str">
        <f>IF($AA402="","",IF($B402="I",VLOOKUP($AA402,#REF!,53,0),INDEX(VALUES!$B$1:$GP$1,1,$AA402)))</f>
        <v/>
      </c>
    </row>
    <row r="403" spans="1:29" s="276" customFormat="1" hidden="1" outlineLevel="1">
      <c r="A403" s="263"/>
      <c r="B403" s="264" t="str">
        <f t="shared" si="24"/>
        <v/>
      </c>
      <c r="C403" s="265">
        <f t="shared" si="26"/>
        <v>402</v>
      </c>
      <c r="D403" s="266"/>
      <c r="E403" s="266"/>
      <c r="F403" s="305"/>
      <c r="G403" s="188"/>
      <c r="H403" s="266"/>
      <c r="I403" s="266" t="s">
        <v>9</v>
      </c>
      <c r="J403" s="266"/>
      <c r="K403" s="276" t="s">
        <v>26</v>
      </c>
      <c r="L403" s="276" t="s">
        <v>29</v>
      </c>
      <c r="M403" s="285" t="s">
        <v>2336</v>
      </c>
      <c r="N403" s="276" t="s">
        <v>2337</v>
      </c>
      <c r="O403" s="286">
        <v>7.2500000000000009E-2</v>
      </c>
      <c r="Q403" s="266" t="s">
        <v>9</v>
      </c>
      <c r="R403" s="266" t="s">
        <v>106</v>
      </c>
      <c r="S403" s="266"/>
      <c r="T403" s="266"/>
      <c r="W403" s="272" t="str">
        <f>IF(IFERROR(VLOOKUP($M403,'IMPORT GS-Tür OL FL 2S2 20'!$H$2:$H$847,1,0),"-")="-","","GS")</f>
        <v/>
      </c>
      <c r="X403" s="272" t="str">
        <f t="shared" si="25"/>
        <v/>
      </c>
      <c r="Z403" s="273" t="str">
        <f>IF(OR($M403="",NOT($O403="{array}")),"",IFERROR(MATCH(PARAMETERS!$M403,DEFAULT!$B$5:$CI$5,0),""))</f>
        <v/>
      </c>
      <c r="AA403" s="272" t="str">
        <f t="shared" si="14"/>
        <v/>
      </c>
      <c r="AB403" s="274" t="str">
        <f>IF(AND(OR($A403="G",$A403="P"),NOT($O403="{array}")),IF(VLOOKUP($K403,base!$B$2:$D$20,3,0)="S",IF(OR($O403="",ISTEXT($O403)),"","STRING!"),IF(VLOOKUP($K403,base!$B$2:$D$20,3,0)="","",IF(ISTEXT($O403),"NUMERIC!",""))),"")</f>
        <v/>
      </c>
      <c r="AC403" s="275" t="str">
        <f>IF($AA403="","",IF($B403="I",VLOOKUP($AA403,#REF!,53,0),INDEX(VALUES!$B$1:$GP$1,1,$AA403)))</f>
        <v/>
      </c>
    </row>
    <row r="404" spans="1:29" s="276" customFormat="1" hidden="1" outlineLevel="1">
      <c r="A404" s="263"/>
      <c r="B404" s="264" t="str">
        <f t="shared" si="24"/>
        <v/>
      </c>
      <c r="C404" s="265">
        <f t="shared" si="26"/>
        <v>403</v>
      </c>
      <c r="D404" s="266"/>
      <c r="E404" s="266"/>
      <c r="F404" s="305"/>
      <c r="G404" s="188"/>
      <c r="H404" s="266"/>
      <c r="I404" s="266" t="s">
        <v>9</v>
      </c>
      <c r="J404" s="266"/>
      <c r="K404" s="276" t="s">
        <v>26</v>
      </c>
      <c r="L404" s="276" t="s">
        <v>29</v>
      </c>
      <c r="M404" s="285" t="s">
        <v>2338</v>
      </c>
      <c r="N404" s="276" t="s">
        <v>2339</v>
      </c>
      <c r="O404" s="286">
        <v>0</v>
      </c>
      <c r="Q404" s="266" t="s">
        <v>9</v>
      </c>
      <c r="R404" s="266" t="s">
        <v>106</v>
      </c>
      <c r="S404" s="266"/>
      <c r="T404" s="266"/>
      <c r="W404" s="272" t="str">
        <f>IF(IFERROR(VLOOKUP($M404,'IMPORT GS-Tür OL FL 2S2 20'!$H$2:$H$847,1,0),"-")="-","","GS")</f>
        <v/>
      </c>
      <c r="X404" s="272" t="str">
        <f t="shared" si="25"/>
        <v/>
      </c>
      <c r="Z404" s="273" t="str">
        <f>IF(OR($M404="",NOT($O404="{array}")),"",IFERROR(MATCH(PARAMETERS!$M404,DEFAULT!$B$5:$CI$5,0),""))</f>
        <v/>
      </c>
      <c r="AA404" s="272" t="str">
        <f t="shared" si="14"/>
        <v/>
      </c>
      <c r="AB404" s="274" t="str">
        <f>IF(AND(OR($A404="G",$A404="P"),NOT($O404="{array}")),IF(VLOOKUP($K404,base!$B$2:$D$20,3,0)="S",IF(OR($O404="",ISTEXT($O404)),"","STRING!"),IF(VLOOKUP($K404,base!$B$2:$D$20,3,0)="","",IF(ISTEXT($O404),"NUMERIC!",""))),"")</f>
        <v/>
      </c>
      <c r="AC404" s="275" t="str">
        <f>IF($AA404="","",IF($B404="I",VLOOKUP($AA404,#REF!,53,0),INDEX(VALUES!$B$1:$GP$1,1,$AA404)))</f>
        <v/>
      </c>
    </row>
    <row r="405" spans="1:29" s="276" customFormat="1" hidden="1" outlineLevel="1">
      <c r="A405" s="263"/>
      <c r="B405" s="264" t="str">
        <f t="shared" si="24"/>
        <v/>
      </c>
      <c r="C405" s="265">
        <f t="shared" si="26"/>
        <v>404</v>
      </c>
      <c r="D405" s="266"/>
      <c r="E405" s="266"/>
      <c r="F405" s="305"/>
      <c r="G405" s="188"/>
      <c r="H405" s="266"/>
      <c r="I405" s="266" t="s">
        <v>9</v>
      </c>
      <c r="J405" s="266"/>
      <c r="K405" s="276" t="s">
        <v>26</v>
      </c>
      <c r="L405" s="276" t="s">
        <v>29</v>
      </c>
      <c r="M405" s="285" t="s">
        <v>2340</v>
      </c>
      <c r="N405" s="276" t="s">
        <v>2341</v>
      </c>
      <c r="O405" s="286">
        <v>0</v>
      </c>
      <c r="Q405" s="266" t="s">
        <v>9</v>
      </c>
      <c r="R405" s="266" t="s">
        <v>106</v>
      </c>
      <c r="S405" s="266"/>
      <c r="T405" s="266"/>
      <c r="W405" s="272" t="str">
        <f>IF(IFERROR(VLOOKUP($M405,'IMPORT GS-Tür OL FL 2S2 20'!$H$2:$H$847,1,0),"-")="-","","GS")</f>
        <v/>
      </c>
      <c r="X405" s="272" t="str">
        <f t="shared" si="25"/>
        <v/>
      </c>
      <c r="Z405" s="273" t="str">
        <f>IF(OR($M405="",NOT($O405="{array}")),"",IFERROR(MATCH(PARAMETERS!$M405,DEFAULT!$B$5:$CI$5,0),""))</f>
        <v/>
      </c>
      <c r="AA405" s="272" t="str">
        <f t="shared" si="14"/>
        <v/>
      </c>
      <c r="AB405" s="274" t="str">
        <f>IF(AND(OR($A405="G",$A405="P"),NOT($O405="{array}")),IF(VLOOKUP($K405,base!$B$2:$D$20,3,0)="S",IF(OR($O405="",ISTEXT($O405)),"","STRING!"),IF(VLOOKUP($K405,base!$B$2:$D$20,3,0)="","",IF(ISTEXT($O405),"NUMERIC!",""))),"")</f>
        <v/>
      </c>
      <c r="AC405" s="275" t="str">
        <f>IF($AA405="","",IF($B405="I",VLOOKUP($AA405,#REF!,53,0),INDEX(VALUES!$B$1:$GP$1,1,$AA405)))</f>
        <v/>
      </c>
    </row>
    <row r="406" spans="1:29" s="276" customFormat="1" hidden="1" outlineLevel="1">
      <c r="A406" s="263"/>
      <c r="B406" s="264" t="str">
        <f t="shared" si="24"/>
        <v/>
      </c>
      <c r="C406" s="265">
        <f t="shared" si="26"/>
        <v>405</v>
      </c>
      <c r="D406" s="266"/>
      <c r="E406" s="266"/>
      <c r="F406" s="305"/>
      <c r="G406" s="188"/>
      <c r="H406" s="266"/>
      <c r="I406" s="266" t="s">
        <v>9</v>
      </c>
      <c r="J406" s="266"/>
      <c r="K406" s="276" t="s">
        <v>26</v>
      </c>
      <c r="L406" s="276" t="s">
        <v>29</v>
      </c>
      <c r="M406" s="285" t="s">
        <v>2342</v>
      </c>
      <c r="N406" s="276" t="s">
        <v>2343</v>
      </c>
      <c r="O406" s="286">
        <v>0.05</v>
      </c>
      <c r="Q406" s="266" t="s">
        <v>9</v>
      </c>
      <c r="R406" s="266" t="s">
        <v>106</v>
      </c>
      <c r="S406" s="266"/>
      <c r="T406" s="266"/>
      <c r="W406" s="272" t="str">
        <f>IF(IFERROR(VLOOKUP($M406,'IMPORT GS-Tür OL FL 2S2 20'!$H$2:$H$847,1,0),"-")="-","","GS")</f>
        <v/>
      </c>
      <c r="X406" s="272" t="str">
        <f t="shared" si="25"/>
        <v/>
      </c>
      <c r="Z406" s="273" t="str">
        <f>IF(OR($M406="",NOT($O406="{array}")),"",IFERROR(MATCH(PARAMETERS!$M406,DEFAULT!$B$5:$CI$5,0),""))</f>
        <v/>
      </c>
      <c r="AA406" s="272" t="str">
        <f t="shared" si="14"/>
        <v/>
      </c>
      <c r="AB406" s="274" t="str">
        <f>IF(AND(OR($A406="G",$A406="P"),NOT($O406="{array}")),IF(VLOOKUP($K406,base!$B$2:$D$20,3,0)="S",IF(OR($O406="",ISTEXT($O406)),"","STRING!"),IF(VLOOKUP($K406,base!$B$2:$D$20,3,0)="","",IF(ISTEXT($O406),"NUMERIC!",""))),"")</f>
        <v/>
      </c>
      <c r="AC406" s="275" t="str">
        <f>IF($AA406="","",IF($B406="I",VLOOKUP($AA406,#REF!,53,0),INDEX(VALUES!$B$1:$GP$1,1,$AA406)))</f>
        <v/>
      </c>
    </row>
    <row r="407" spans="1:29" s="276" customFormat="1" hidden="1" outlineLevel="1">
      <c r="A407" s="263"/>
      <c r="B407" s="264" t="str">
        <f t="shared" si="24"/>
        <v/>
      </c>
      <c r="C407" s="265">
        <f t="shared" si="26"/>
        <v>406</v>
      </c>
      <c r="D407" s="266"/>
      <c r="E407" s="266"/>
      <c r="F407" s="305"/>
      <c r="G407" s="188"/>
      <c r="H407" s="266"/>
      <c r="I407" s="266" t="s">
        <v>9</v>
      </c>
      <c r="J407" s="266"/>
      <c r="K407" s="276" t="s">
        <v>20</v>
      </c>
      <c r="L407" s="276" t="s">
        <v>29</v>
      </c>
      <c r="M407" s="285" t="s">
        <v>2344</v>
      </c>
      <c r="N407" s="276" t="s">
        <v>2345</v>
      </c>
      <c r="O407" s="286" t="s">
        <v>2308</v>
      </c>
      <c r="Q407" s="266"/>
      <c r="R407" s="266" t="s">
        <v>106</v>
      </c>
      <c r="S407" s="266"/>
      <c r="T407" s="266"/>
      <c r="W407" s="272" t="str">
        <f>IF(IFERROR(VLOOKUP($M407,'IMPORT GS-Tür OL FL 2S2 20'!$H$2:$H$847,1,0),"-")="-","","GS")</f>
        <v/>
      </c>
      <c r="X407" s="272" t="str">
        <f t="shared" si="25"/>
        <v/>
      </c>
      <c r="Z407" s="273" t="str">
        <f>IF(OR($M407="",NOT($O407="{array}")),"",IFERROR(MATCH(PARAMETERS!$M407,DEFAULT!$B$5:$CI$5,0),""))</f>
        <v/>
      </c>
      <c r="AA407" s="272" t="str">
        <f t="shared" si="14"/>
        <v/>
      </c>
      <c r="AB407" s="274" t="str">
        <f>IF(AND(OR($A407="G",$A407="P"),NOT($O407="{array}")),IF(VLOOKUP($K407,base!$B$2:$D$20,3,0)="S",IF(OR($O407="",ISTEXT($O407)),"","STRING!"),IF(VLOOKUP($K407,base!$B$2:$D$20,3,0)="","",IF(ISTEXT($O407),"NUMERIC!",""))),"")</f>
        <v/>
      </c>
      <c r="AC407" s="275" t="str">
        <f>IF($AA407="","",IF($B407="I",VLOOKUP($AA407,#REF!,53,0),INDEX(VALUES!$B$1:$GP$1,1,$AA407)))</f>
        <v/>
      </c>
    </row>
    <row r="408" spans="1:29" s="276" customFormat="1" hidden="1" outlineLevel="1">
      <c r="A408" s="263"/>
      <c r="B408" s="264" t="str">
        <f t="shared" si="24"/>
        <v/>
      </c>
      <c r="C408" s="265">
        <f t="shared" si="26"/>
        <v>407</v>
      </c>
      <c r="D408" s="266"/>
      <c r="E408" s="266"/>
      <c r="F408" s="305"/>
      <c r="G408" s="188" t="s">
        <v>9</v>
      </c>
      <c r="H408" s="266"/>
      <c r="I408" s="266" t="s">
        <v>9</v>
      </c>
      <c r="J408" s="266"/>
      <c r="K408" s="276" t="s">
        <v>46</v>
      </c>
      <c r="L408" s="276" t="s">
        <v>29</v>
      </c>
      <c r="M408" s="285" t="s">
        <v>2346</v>
      </c>
      <c r="N408" s="276" t="s">
        <v>2345</v>
      </c>
      <c r="O408" s="286">
        <v>1</v>
      </c>
      <c r="Q408" s="266"/>
      <c r="R408" s="266" t="s">
        <v>106</v>
      </c>
      <c r="S408" s="266"/>
      <c r="T408" s="266"/>
      <c r="W408" s="272" t="str">
        <f>IF(IFERROR(VLOOKUP($M408,'IMPORT GS-Tür OL FL 2S2 20'!$H$2:$H$847,1,0),"-")="-","","GS")</f>
        <v/>
      </c>
      <c r="X408" s="272" t="str">
        <f t="shared" si="25"/>
        <v/>
      </c>
      <c r="Z408" s="273" t="str">
        <f>IF(OR($M408="",NOT($O408="{array}")),"",IFERROR(MATCH(PARAMETERS!$M408,DEFAULT!$B$5:$CI$5,0),""))</f>
        <v/>
      </c>
      <c r="AA408" s="272" t="str">
        <f t="shared" si="14"/>
        <v/>
      </c>
      <c r="AB408" s="274" t="str">
        <f>IF(AND(OR($A408="G",$A408="P"),NOT($O408="{array}")),IF(VLOOKUP($K408,base!$B$2:$D$20,3,0)="S",IF(OR($O408="",ISTEXT($O408)),"","STRING!"),IF(VLOOKUP($K408,base!$B$2:$D$20,3,0)="","",IF(ISTEXT($O408),"NUMERIC!",""))),"")</f>
        <v/>
      </c>
      <c r="AC408" s="275" t="str">
        <f>IF($AA408="","",IF($B408="I",VLOOKUP($AA408,#REF!,53,0),INDEX(VALUES!$B$1:$GP$1,1,$AA408)))</f>
        <v/>
      </c>
    </row>
    <row r="409" spans="1:29" s="276" customFormat="1" hidden="1" outlineLevel="1">
      <c r="A409" s="263"/>
      <c r="B409" s="264" t="str">
        <f t="shared" si="24"/>
        <v/>
      </c>
      <c r="C409" s="265">
        <f t="shared" si="26"/>
        <v>408</v>
      </c>
      <c r="D409" s="266"/>
      <c r="E409" s="266"/>
      <c r="F409" s="305"/>
      <c r="G409" s="188"/>
      <c r="H409" s="266"/>
      <c r="I409" s="266" t="s">
        <v>9</v>
      </c>
      <c r="J409" s="266"/>
      <c r="K409" s="276" t="s">
        <v>49</v>
      </c>
      <c r="L409" s="276" t="s">
        <v>29</v>
      </c>
      <c r="M409" s="285" t="s">
        <v>2347</v>
      </c>
      <c r="N409" s="276" t="s">
        <v>2348</v>
      </c>
      <c r="O409" s="286">
        <v>0</v>
      </c>
      <c r="Q409" s="266" t="s">
        <v>9</v>
      </c>
      <c r="R409" s="266" t="s">
        <v>106</v>
      </c>
      <c r="S409" s="266"/>
      <c r="T409" s="266"/>
      <c r="W409" s="272" t="str">
        <f>IF(IFERROR(VLOOKUP($M409,'IMPORT GS-Tür OL FL 2S2 20'!$H$2:$H$847,1,0),"-")="-","","GS")</f>
        <v/>
      </c>
      <c r="X409" s="272" t="str">
        <f t="shared" si="25"/>
        <v/>
      </c>
      <c r="Z409" s="273" t="str">
        <f>IF(OR($M409="",NOT($O409="{array}")),"",IFERROR(MATCH(PARAMETERS!$M409,DEFAULT!$B$5:$CI$5,0),""))</f>
        <v/>
      </c>
      <c r="AA409" s="272" t="str">
        <f t="shared" ref="AA409:AA562" si="27">IF($M409="","",IFERROR(MATCH($M409,VALUESnames,0),""))</f>
        <v/>
      </c>
      <c r="AB409" s="274" t="str">
        <f>IF(AND(OR($A409="G",$A409="P"),NOT($O409="{array}")),IF(VLOOKUP($K409,base!$B$2:$D$20,3,0)="S",IF(OR($O409="",ISTEXT($O409)),"","STRING!"),IF(VLOOKUP($K409,base!$B$2:$D$20,3,0)="","",IF(ISTEXT($O409),"NUMERIC!",""))),"")</f>
        <v/>
      </c>
      <c r="AC409" s="275" t="str">
        <f>IF($AA409="","",IF($B409="I",VLOOKUP($AA409,#REF!,53,0),INDEX(VALUES!$B$1:$GP$1,1,$AA409)))</f>
        <v/>
      </c>
    </row>
    <row r="410" spans="1:29" s="276" customFormat="1" hidden="1" outlineLevel="1">
      <c r="A410" s="263"/>
      <c r="B410" s="264" t="str">
        <f t="shared" si="24"/>
        <v/>
      </c>
      <c r="C410" s="265">
        <f t="shared" si="26"/>
        <v>409</v>
      </c>
      <c r="D410" s="266"/>
      <c r="E410" s="266"/>
      <c r="F410" s="305"/>
      <c r="G410" s="188"/>
      <c r="H410" s="266"/>
      <c r="I410" s="266" t="s">
        <v>9</v>
      </c>
      <c r="J410" s="266"/>
      <c r="K410" s="276" t="s">
        <v>26</v>
      </c>
      <c r="L410" s="276" t="s">
        <v>29</v>
      </c>
      <c r="M410" s="285" t="s">
        <v>2349</v>
      </c>
      <c r="N410" s="276" t="s">
        <v>2324</v>
      </c>
      <c r="O410" s="286">
        <v>0.2</v>
      </c>
      <c r="Q410" s="266" t="s">
        <v>9</v>
      </c>
      <c r="R410" s="266" t="s">
        <v>106</v>
      </c>
      <c r="S410" s="266"/>
      <c r="T410" s="266"/>
      <c r="W410" s="272" t="str">
        <f>IF(IFERROR(VLOOKUP($M410,'IMPORT GS-Tür OL FL 2S2 20'!$H$2:$H$847,1,0),"-")="-","","GS")</f>
        <v/>
      </c>
      <c r="X410" s="272" t="str">
        <f t="shared" si="25"/>
        <v/>
      </c>
      <c r="Z410" s="273" t="str">
        <f>IF(OR($M410="",NOT($O410="{array}")),"",IFERROR(MATCH(PARAMETERS!$M410,DEFAULT!$B$5:$CI$5,0),""))</f>
        <v/>
      </c>
      <c r="AA410" s="272" t="str">
        <f t="shared" si="27"/>
        <v/>
      </c>
      <c r="AB410" s="274" t="str">
        <f>IF(AND(OR($A410="G",$A410="P"),NOT($O410="{array}")),IF(VLOOKUP($K410,base!$B$2:$D$20,3,0)="S",IF(OR($O410="",ISTEXT($O410)),"","STRING!"),IF(VLOOKUP($K410,base!$B$2:$D$20,3,0)="","",IF(ISTEXT($O410),"NUMERIC!",""))),"")</f>
        <v/>
      </c>
      <c r="AC410" s="275" t="str">
        <f>IF($AA410="","",IF($B410="I",VLOOKUP($AA410,#REF!,53,0),INDEX(VALUES!$B$1:$GP$1,1,$AA410)))</f>
        <v/>
      </c>
    </row>
    <row r="411" spans="1:29" s="276" customFormat="1" hidden="1" outlineLevel="1">
      <c r="A411" s="263"/>
      <c r="B411" s="264" t="str">
        <f t="shared" si="24"/>
        <v/>
      </c>
      <c r="C411" s="265">
        <f t="shared" si="26"/>
        <v>410</v>
      </c>
      <c r="D411" s="266"/>
      <c r="E411" s="266"/>
      <c r="F411" s="305"/>
      <c r="G411" s="188"/>
      <c r="H411" s="266"/>
      <c r="I411" s="266" t="s">
        <v>9</v>
      </c>
      <c r="J411" s="266"/>
      <c r="K411" s="276" t="s">
        <v>26</v>
      </c>
      <c r="L411" s="276" t="s">
        <v>29</v>
      </c>
      <c r="M411" s="285" t="s">
        <v>2350</v>
      </c>
      <c r="N411" s="276" t="s">
        <v>2351</v>
      </c>
      <c r="O411" s="286">
        <v>0.15</v>
      </c>
      <c r="Q411" s="266" t="s">
        <v>9</v>
      </c>
      <c r="R411" s="266" t="s">
        <v>106</v>
      </c>
      <c r="S411" s="266"/>
      <c r="T411" s="266"/>
      <c r="W411" s="272" t="str">
        <f>IF(IFERROR(VLOOKUP($M411,'IMPORT GS-Tür OL FL 2S2 20'!$H$2:$H$847,1,0),"-")="-","","GS")</f>
        <v/>
      </c>
      <c r="X411" s="272" t="str">
        <f t="shared" si="25"/>
        <v/>
      </c>
      <c r="Z411" s="273" t="str">
        <f>IF(OR($M411="",NOT($O411="{array}")),"",IFERROR(MATCH(PARAMETERS!$M411,DEFAULT!$B$5:$CI$5,0),""))</f>
        <v/>
      </c>
      <c r="AA411" s="272" t="str">
        <f t="shared" si="27"/>
        <v/>
      </c>
      <c r="AB411" s="274" t="str">
        <f>IF(AND(OR($A411="G",$A411="P"),NOT($O411="{array}")),IF(VLOOKUP($K411,base!$B$2:$D$20,3,0)="S",IF(OR($O411="",ISTEXT($O411)),"","STRING!"),IF(VLOOKUP($K411,base!$B$2:$D$20,3,0)="","",IF(ISTEXT($O411),"NUMERIC!",""))),"")</f>
        <v/>
      </c>
      <c r="AC411" s="275" t="str">
        <f>IF($AA411="","",IF($B411="I",VLOOKUP($AA411,#REF!,53,0),INDEX(VALUES!$B$1:$GP$1,1,$AA411)))</f>
        <v/>
      </c>
    </row>
    <row r="412" spans="1:29" s="276" customFormat="1" hidden="1" outlineLevel="1">
      <c r="A412" s="263"/>
      <c r="B412" s="264" t="str">
        <f t="shared" si="24"/>
        <v/>
      </c>
      <c r="C412" s="265">
        <f t="shared" si="26"/>
        <v>411</v>
      </c>
      <c r="D412" s="266"/>
      <c r="E412" s="266"/>
      <c r="F412" s="305"/>
      <c r="G412" s="188"/>
      <c r="H412" s="266"/>
      <c r="I412" s="266" t="s">
        <v>9</v>
      </c>
      <c r="J412" s="266"/>
      <c r="K412" s="276" t="s">
        <v>49</v>
      </c>
      <c r="L412" s="276" t="s">
        <v>29</v>
      </c>
      <c r="M412" s="285" t="s">
        <v>2352</v>
      </c>
      <c r="N412" s="276" t="s">
        <v>2353</v>
      </c>
      <c r="O412" s="286">
        <v>1</v>
      </c>
      <c r="Q412" s="266"/>
      <c r="R412" s="266" t="s">
        <v>106</v>
      </c>
      <c r="S412" s="266"/>
      <c r="T412" s="266"/>
      <c r="W412" s="272" t="str">
        <f>IF(IFERROR(VLOOKUP($M412,'IMPORT GS-Tür OL FL 2S2 20'!$H$2:$H$847,1,0),"-")="-","","GS")</f>
        <v/>
      </c>
      <c r="X412" s="272" t="str">
        <f t="shared" si="25"/>
        <v/>
      </c>
      <c r="Z412" s="273" t="str">
        <f>IF(OR($M412="",NOT($O412="{array}")),"",IFERROR(MATCH(PARAMETERS!$M412,DEFAULT!$B$5:$CI$5,0),""))</f>
        <v/>
      </c>
      <c r="AA412" s="272" t="str">
        <f t="shared" si="27"/>
        <v/>
      </c>
      <c r="AB412" s="274" t="str">
        <f>IF(AND(OR($A412="G",$A412="P"),NOT($O412="{array}")),IF(VLOOKUP($K412,base!$B$2:$D$20,3,0)="S",IF(OR($O412="",ISTEXT($O412)),"","STRING!"),IF(VLOOKUP($K412,base!$B$2:$D$20,3,0)="","",IF(ISTEXT($O412),"NUMERIC!",""))),"")</f>
        <v/>
      </c>
      <c r="AC412" s="275" t="str">
        <f>IF($AA412="","",IF($B412="I",VLOOKUP($AA412,#REF!,53,0),INDEX(VALUES!$B$1:$GP$1,1,$AA412)))</f>
        <v/>
      </c>
    </row>
    <row r="413" spans="1:29" s="276" customFormat="1" hidden="1" outlineLevel="1">
      <c r="A413" s="263"/>
      <c r="B413" s="264" t="str">
        <f t="shared" si="24"/>
        <v/>
      </c>
      <c r="C413" s="265">
        <f t="shared" si="26"/>
        <v>412</v>
      </c>
      <c r="D413" s="266"/>
      <c r="E413" s="266"/>
      <c r="F413" s="305"/>
      <c r="G413" s="188"/>
      <c r="H413" s="266"/>
      <c r="I413" s="266" t="s">
        <v>9</v>
      </c>
      <c r="J413" s="266"/>
      <c r="K413" s="276" t="s">
        <v>49</v>
      </c>
      <c r="L413" s="276" t="s">
        <v>29</v>
      </c>
      <c r="M413" s="285" t="s">
        <v>2354</v>
      </c>
      <c r="N413" s="276" t="s">
        <v>2355</v>
      </c>
      <c r="O413" s="286">
        <v>1</v>
      </c>
      <c r="Q413" s="266"/>
      <c r="R413" s="266" t="s">
        <v>106</v>
      </c>
      <c r="S413" s="266"/>
      <c r="T413" s="266"/>
      <c r="W413" s="272" t="str">
        <f>IF(IFERROR(VLOOKUP($M413,'IMPORT GS-Tür OL FL 2S2 20'!$H$2:$H$847,1,0),"-")="-","","GS")</f>
        <v/>
      </c>
      <c r="X413" s="272" t="str">
        <f t="shared" si="25"/>
        <v/>
      </c>
      <c r="Z413" s="273" t="str">
        <f>IF(OR($M413="",NOT($O413="{array}")),"",IFERROR(MATCH(PARAMETERS!$M413,DEFAULT!$B$5:$CI$5,0),""))</f>
        <v/>
      </c>
      <c r="AA413" s="272" t="str">
        <f t="shared" si="27"/>
        <v/>
      </c>
      <c r="AB413" s="274" t="str">
        <f>IF(AND(OR($A413="G",$A413="P"),NOT($O413="{array}")),IF(VLOOKUP($K413,base!$B$2:$D$20,3,0)="S",IF(OR($O413="",ISTEXT($O413)),"","STRING!"),IF(VLOOKUP($K413,base!$B$2:$D$20,3,0)="","",IF(ISTEXT($O413),"NUMERIC!",""))),"")</f>
        <v/>
      </c>
      <c r="AC413" s="275" t="str">
        <f>IF($AA413="","",IF($B413="I",VLOOKUP($AA413,#REF!,53,0),INDEX(VALUES!$B$1:$GP$1,1,$AA413)))</f>
        <v/>
      </c>
    </row>
    <row r="414" spans="1:29" s="276" customFormat="1" hidden="1" outlineLevel="1">
      <c r="A414" s="263"/>
      <c r="B414" s="264" t="str">
        <f t="shared" si="24"/>
        <v/>
      </c>
      <c r="C414" s="265">
        <f t="shared" si="26"/>
        <v>413</v>
      </c>
      <c r="D414" s="266"/>
      <c r="E414" s="266"/>
      <c r="F414" s="305"/>
      <c r="G414" s="188"/>
      <c r="H414" s="266"/>
      <c r="I414" s="266" t="s">
        <v>9</v>
      </c>
      <c r="J414" s="266"/>
      <c r="K414" s="276" t="s">
        <v>20</v>
      </c>
      <c r="L414" s="276" t="s">
        <v>29</v>
      </c>
      <c r="M414" s="285" t="s">
        <v>2356</v>
      </c>
      <c r="N414" s="276" t="s">
        <v>2314</v>
      </c>
      <c r="O414" s="286" t="s">
        <v>2315</v>
      </c>
      <c r="Q414" s="266"/>
      <c r="R414" s="266" t="s">
        <v>106</v>
      </c>
      <c r="S414" s="266"/>
      <c r="T414" s="266"/>
      <c r="W414" s="272" t="str">
        <f>IF(IFERROR(VLOOKUP($M414,'IMPORT GS-Tür OL FL 2S2 20'!$H$2:$H$847,1,0),"-")="-","","GS")</f>
        <v/>
      </c>
      <c r="X414" s="272" t="str">
        <f t="shared" si="25"/>
        <v/>
      </c>
      <c r="Z414" s="273" t="str">
        <f>IF(OR($M414="",NOT($O414="{array}")),"",IFERROR(MATCH(PARAMETERS!$M414,DEFAULT!$B$5:$CI$5,0),""))</f>
        <v/>
      </c>
      <c r="AA414" s="272" t="str">
        <f t="shared" si="27"/>
        <v/>
      </c>
      <c r="AB414" s="274" t="str">
        <f>IF(AND(OR($A414="G",$A414="P"),NOT($O414="{array}")),IF(VLOOKUP($K414,base!$B$2:$D$20,3,0)="S",IF(OR($O414="",ISTEXT($O414)),"","STRING!"),IF(VLOOKUP($K414,base!$B$2:$D$20,3,0)="","",IF(ISTEXT($O414),"NUMERIC!",""))),"")</f>
        <v/>
      </c>
      <c r="AC414" s="275" t="str">
        <f>IF($AA414="","",IF($B414="I",VLOOKUP($AA414,#REF!,53,0),INDEX(VALUES!$B$1:$GP$1,1,$AA414)))</f>
        <v/>
      </c>
    </row>
    <row r="415" spans="1:29" s="276" customFormat="1" hidden="1" outlineLevel="1">
      <c r="A415" s="263"/>
      <c r="B415" s="264" t="str">
        <f t="shared" si="24"/>
        <v/>
      </c>
      <c r="C415" s="265">
        <f t="shared" si="26"/>
        <v>414</v>
      </c>
      <c r="D415" s="266"/>
      <c r="E415" s="266"/>
      <c r="F415" s="305"/>
      <c r="G415" s="188" t="s">
        <v>9</v>
      </c>
      <c r="H415" s="266"/>
      <c r="I415" s="266" t="s">
        <v>9</v>
      </c>
      <c r="J415" s="266"/>
      <c r="K415" s="276" t="s">
        <v>46</v>
      </c>
      <c r="L415" s="276" t="s">
        <v>29</v>
      </c>
      <c r="M415" s="285" t="s">
        <v>2357</v>
      </c>
      <c r="N415" s="276" t="s">
        <v>2314</v>
      </c>
      <c r="O415" s="286">
        <v>1</v>
      </c>
      <c r="Q415" s="266"/>
      <c r="R415" s="266" t="s">
        <v>106</v>
      </c>
      <c r="S415" s="266"/>
      <c r="T415" s="266"/>
      <c r="W415" s="272" t="str">
        <f>IF(IFERROR(VLOOKUP($M415,'IMPORT GS-Tür OL FL 2S2 20'!$H$2:$H$847,1,0),"-")="-","","GS")</f>
        <v/>
      </c>
      <c r="X415" s="272" t="str">
        <f t="shared" si="25"/>
        <v/>
      </c>
      <c r="Z415" s="273" t="str">
        <f>IF(OR($M415="",NOT($O415="{array}")),"",IFERROR(MATCH(PARAMETERS!$M415,DEFAULT!$B$5:$CI$5,0),""))</f>
        <v/>
      </c>
      <c r="AA415" s="272" t="str">
        <f t="shared" si="27"/>
        <v/>
      </c>
      <c r="AB415" s="274" t="str">
        <f>IF(AND(OR($A415="G",$A415="P"),NOT($O415="{array}")),IF(VLOOKUP($K415,base!$B$2:$D$20,3,0)="S",IF(OR($O415="",ISTEXT($O415)),"","STRING!"),IF(VLOOKUP($K415,base!$B$2:$D$20,3,0)="","",IF(ISTEXT($O415),"NUMERIC!",""))),"")</f>
        <v/>
      </c>
      <c r="AC415" s="275" t="str">
        <f>IF($AA415="","",IF($B415="I",VLOOKUP($AA415,#REF!,53,0),INDEX(VALUES!$B$1:$GP$1,1,$AA415)))</f>
        <v/>
      </c>
    </row>
    <row r="416" spans="1:29" s="276" customFormat="1" hidden="1" outlineLevel="1">
      <c r="A416" s="263"/>
      <c r="B416" s="264" t="str">
        <f t="shared" si="24"/>
        <v/>
      </c>
      <c r="C416" s="265">
        <f t="shared" si="26"/>
        <v>415</v>
      </c>
      <c r="D416" s="266"/>
      <c r="E416" s="266"/>
      <c r="F416" s="305"/>
      <c r="G416" s="188"/>
      <c r="H416" s="266"/>
      <c r="I416" s="266" t="s">
        <v>9</v>
      </c>
      <c r="J416" s="266"/>
      <c r="K416" s="276" t="s">
        <v>49</v>
      </c>
      <c r="L416" s="276" t="s">
        <v>29</v>
      </c>
      <c r="M416" s="285" t="s">
        <v>2358</v>
      </c>
      <c r="N416" s="276" t="s">
        <v>2318</v>
      </c>
      <c r="O416" s="286">
        <v>1</v>
      </c>
      <c r="Q416" s="266"/>
      <c r="R416" s="266" t="s">
        <v>106</v>
      </c>
      <c r="S416" s="266"/>
      <c r="T416" s="266"/>
      <c r="W416" s="272" t="str">
        <f>IF(IFERROR(VLOOKUP($M416,'IMPORT GS-Tür OL FL 2S2 20'!$H$2:$H$847,1,0),"-")="-","","GS")</f>
        <v/>
      </c>
      <c r="X416" s="272" t="str">
        <f t="shared" si="25"/>
        <v/>
      </c>
      <c r="Z416" s="273" t="str">
        <f>IF(OR($M416="",NOT($O416="{array}")),"",IFERROR(MATCH(PARAMETERS!$M416,DEFAULT!$B$5:$CI$5,0),""))</f>
        <v/>
      </c>
      <c r="AA416" s="272" t="str">
        <f t="shared" si="27"/>
        <v/>
      </c>
      <c r="AB416" s="274" t="str">
        <f>IF(AND(OR($A416="G",$A416="P"),NOT($O416="{array}")),IF(VLOOKUP($K416,base!$B$2:$D$20,3,0)="S",IF(OR($O416="",ISTEXT($O416)),"","STRING!"),IF(VLOOKUP($K416,base!$B$2:$D$20,3,0)="","",IF(ISTEXT($O416),"NUMERIC!",""))),"")</f>
        <v/>
      </c>
      <c r="AC416" s="275" t="str">
        <f>IF($AA416="","",IF($B416="I",VLOOKUP($AA416,#REF!,53,0),INDEX(VALUES!$B$1:$GP$1,1,$AA416)))</f>
        <v/>
      </c>
    </row>
    <row r="417" spans="1:29" s="276" customFormat="1" hidden="1" outlineLevel="1">
      <c r="A417" s="263"/>
      <c r="B417" s="264" t="str">
        <f t="shared" si="24"/>
        <v/>
      </c>
      <c r="C417" s="265">
        <f t="shared" si="26"/>
        <v>416</v>
      </c>
      <c r="D417" s="266"/>
      <c r="E417" s="266"/>
      <c r="F417" s="305"/>
      <c r="G417" s="188"/>
      <c r="H417" s="266"/>
      <c r="I417" s="266" t="s">
        <v>9</v>
      </c>
      <c r="J417" s="266"/>
      <c r="K417" s="276" t="s">
        <v>26</v>
      </c>
      <c r="L417" s="276" t="s">
        <v>29</v>
      </c>
      <c r="M417" s="285" t="s">
        <v>2359</v>
      </c>
      <c r="N417" s="276" t="s">
        <v>2360</v>
      </c>
      <c r="O417" s="286">
        <v>0.04</v>
      </c>
      <c r="Q417" s="266" t="s">
        <v>9</v>
      </c>
      <c r="R417" s="266" t="s">
        <v>106</v>
      </c>
      <c r="S417" s="266"/>
      <c r="T417" s="266"/>
      <c r="W417" s="272" t="str">
        <f>IF(IFERROR(VLOOKUP($M417,'IMPORT GS-Tür OL FL 2S2 20'!$H$2:$H$847,1,0),"-")="-","","GS")</f>
        <v/>
      </c>
      <c r="X417" s="272" t="str">
        <f t="shared" si="25"/>
        <v/>
      </c>
      <c r="Z417" s="273" t="str">
        <f>IF(OR($M417="",NOT($O417="{array}")),"",IFERROR(MATCH(PARAMETERS!$M417,DEFAULT!$B$5:$CI$5,0),""))</f>
        <v/>
      </c>
      <c r="AA417" s="272" t="str">
        <f t="shared" si="27"/>
        <v/>
      </c>
      <c r="AB417" s="274" t="str">
        <f>IF(AND(OR($A417="G",$A417="P"),NOT($O417="{array}")),IF(VLOOKUP($K417,base!$B$2:$D$20,3,0)="S",IF(OR($O417="",ISTEXT($O417)),"","STRING!"),IF(VLOOKUP($K417,base!$B$2:$D$20,3,0)="","",IF(ISTEXT($O417),"NUMERIC!",""))),"")</f>
        <v/>
      </c>
      <c r="AC417" s="275" t="str">
        <f>IF($AA417="","",IF($B417="I",VLOOKUP($AA417,#REF!,53,0),INDEX(VALUES!$B$1:$GP$1,1,$AA417)))</f>
        <v/>
      </c>
    </row>
    <row r="418" spans="1:29" s="276" customFormat="1" hidden="1" outlineLevel="1">
      <c r="A418" s="263"/>
      <c r="B418" s="264" t="str">
        <f t="shared" si="24"/>
        <v/>
      </c>
      <c r="C418" s="265">
        <f t="shared" si="26"/>
        <v>417</v>
      </c>
      <c r="D418" s="266"/>
      <c r="E418" s="266"/>
      <c r="F418" s="305"/>
      <c r="G418" s="188"/>
      <c r="H418" s="266"/>
      <c r="I418" s="266" t="s">
        <v>9</v>
      </c>
      <c r="J418" s="266"/>
      <c r="K418" s="276" t="s">
        <v>26</v>
      </c>
      <c r="L418" s="276" t="s">
        <v>29</v>
      </c>
      <c r="M418" s="285" t="s">
        <v>2361</v>
      </c>
      <c r="N418" s="276" t="s">
        <v>2362</v>
      </c>
      <c r="O418" s="286">
        <v>0</v>
      </c>
      <c r="Q418" s="266" t="s">
        <v>9</v>
      </c>
      <c r="R418" s="266" t="s">
        <v>106</v>
      </c>
      <c r="S418" s="266"/>
      <c r="T418" s="266"/>
      <c r="W418" s="272" t="str">
        <f>IF(IFERROR(VLOOKUP($M418,'IMPORT GS-Tür OL FL 2S2 20'!$H$2:$H$847,1,0),"-")="-","","GS")</f>
        <v/>
      </c>
      <c r="X418" s="272" t="str">
        <f t="shared" si="25"/>
        <v/>
      </c>
      <c r="Z418" s="273" t="str">
        <f>IF(OR($M418="",NOT($O418="{array}")),"",IFERROR(MATCH(PARAMETERS!$M418,DEFAULT!$B$5:$CI$5,0),""))</f>
        <v/>
      </c>
      <c r="AA418" s="272" t="str">
        <f t="shared" si="27"/>
        <v/>
      </c>
      <c r="AB418" s="274" t="str">
        <f>IF(AND(OR($A418="G",$A418="P"),NOT($O418="{array}")),IF(VLOOKUP($K418,base!$B$2:$D$20,3,0)="S",IF(OR($O418="",ISTEXT($O418)),"","STRING!"),IF(VLOOKUP($K418,base!$B$2:$D$20,3,0)="","",IF(ISTEXT($O418),"NUMERIC!",""))),"")</f>
        <v/>
      </c>
      <c r="AC418" s="275" t="str">
        <f>IF($AA418="","",IF($B418="I",VLOOKUP($AA418,#REF!,53,0),INDEX(VALUES!$B$1:$GP$1,1,$AA418)))</f>
        <v/>
      </c>
    </row>
    <row r="419" spans="1:29" s="276" customFormat="1" hidden="1" outlineLevel="1">
      <c r="A419" s="263"/>
      <c r="B419" s="264" t="str">
        <f t="shared" si="24"/>
        <v/>
      </c>
      <c r="C419" s="265">
        <f t="shared" si="26"/>
        <v>418</v>
      </c>
      <c r="D419" s="266"/>
      <c r="E419" s="266"/>
      <c r="F419" s="305"/>
      <c r="G419" s="188"/>
      <c r="H419" s="266"/>
      <c r="I419" s="266" t="s">
        <v>9</v>
      </c>
      <c r="J419" s="266"/>
      <c r="K419" s="276" t="s">
        <v>26</v>
      </c>
      <c r="L419" s="276" t="s">
        <v>29</v>
      </c>
      <c r="M419" s="285" t="s">
        <v>2363</v>
      </c>
      <c r="N419" s="276" t="s">
        <v>2341</v>
      </c>
      <c r="O419" s="286">
        <v>-0.2</v>
      </c>
      <c r="Q419" s="266" t="s">
        <v>9</v>
      </c>
      <c r="R419" s="266" t="s">
        <v>106</v>
      </c>
      <c r="S419" s="266"/>
      <c r="T419" s="266"/>
      <c r="W419" s="272" t="str">
        <f>IF(IFERROR(VLOOKUP($M419,'IMPORT GS-Tür OL FL 2S2 20'!$H$2:$H$847,1,0),"-")="-","","GS")</f>
        <v/>
      </c>
      <c r="X419" s="272" t="str">
        <f t="shared" si="25"/>
        <v/>
      </c>
      <c r="Z419" s="273" t="str">
        <f>IF(OR($M419="",NOT($O419="{array}")),"",IFERROR(MATCH(PARAMETERS!$M419,DEFAULT!$B$5:$CI$5,0),""))</f>
        <v/>
      </c>
      <c r="AA419" s="272" t="str">
        <f t="shared" si="27"/>
        <v/>
      </c>
      <c r="AB419" s="274" t="str">
        <f>IF(AND(OR($A419="G",$A419="P"),NOT($O419="{array}")),IF(VLOOKUP($K419,base!$B$2:$D$20,3,0)="S",IF(OR($O419="",ISTEXT($O419)),"","STRING!"),IF(VLOOKUP($K419,base!$B$2:$D$20,3,0)="","",IF(ISTEXT($O419),"NUMERIC!",""))),"")</f>
        <v/>
      </c>
      <c r="AC419" s="275" t="str">
        <f>IF($AA419="","",IF($B419="I",VLOOKUP($AA419,#REF!,53,0),INDEX(VALUES!$B$1:$GP$1,1,$AA419)))</f>
        <v/>
      </c>
    </row>
    <row r="420" spans="1:29" s="276" customFormat="1" hidden="1" outlineLevel="1">
      <c r="A420" s="263"/>
      <c r="B420" s="264" t="str">
        <f t="shared" si="24"/>
        <v/>
      </c>
      <c r="C420" s="265">
        <f t="shared" si="26"/>
        <v>419</v>
      </c>
      <c r="D420" s="266"/>
      <c r="E420" s="266"/>
      <c r="F420" s="305"/>
      <c r="G420" s="188"/>
      <c r="H420" s="266"/>
      <c r="I420" s="266" t="s">
        <v>9</v>
      </c>
      <c r="J420" s="266"/>
      <c r="K420" s="276" t="s">
        <v>26</v>
      </c>
      <c r="L420" s="276" t="s">
        <v>29</v>
      </c>
      <c r="M420" s="285" t="s">
        <v>2364</v>
      </c>
      <c r="N420" s="276" t="s">
        <v>2365</v>
      </c>
      <c r="O420" s="286">
        <v>0.06</v>
      </c>
      <c r="Q420" s="266" t="s">
        <v>9</v>
      </c>
      <c r="R420" s="266" t="s">
        <v>106</v>
      </c>
      <c r="S420" s="266"/>
      <c r="T420" s="266"/>
      <c r="W420" s="272" t="str">
        <f>IF(IFERROR(VLOOKUP($M420,'IMPORT GS-Tür OL FL 2S2 20'!$H$2:$H$847,1,0),"-")="-","","GS")</f>
        <v/>
      </c>
      <c r="X420" s="272" t="str">
        <f t="shared" si="25"/>
        <v/>
      </c>
      <c r="Z420" s="273" t="str">
        <f>IF(OR($M420="",NOT($O420="{array}")),"",IFERROR(MATCH(PARAMETERS!$M420,DEFAULT!$B$5:$CI$5,0),""))</f>
        <v/>
      </c>
      <c r="AA420" s="272" t="str">
        <f t="shared" si="27"/>
        <v/>
      </c>
      <c r="AB420" s="274" t="str">
        <f>IF(AND(OR($A420="G",$A420="P"),NOT($O420="{array}")),IF(VLOOKUP($K420,base!$B$2:$D$20,3,0)="S",IF(OR($O420="",ISTEXT($O420)),"","STRING!"),IF(VLOOKUP($K420,base!$B$2:$D$20,3,0)="","",IF(ISTEXT($O420),"NUMERIC!",""))),"")</f>
        <v/>
      </c>
      <c r="AC420" s="275" t="str">
        <f>IF($AA420="","",IF($B420="I",VLOOKUP($AA420,#REF!,53,0),INDEX(VALUES!$B$1:$GP$1,1,$AA420)))</f>
        <v/>
      </c>
    </row>
    <row r="421" spans="1:29" s="276" customFormat="1" hidden="1" outlineLevel="1">
      <c r="A421" s="263"/>
      <c r="B421" s="264" t="str">
        <f t="shared" si="24"/>
        <v/>
      </c>
      <c r="C421" s="265">
        <f t="shared" si="26"/>
        <v>420</v>
      </c>
      <c r="D421" s="266"/>
      <c r="E421" s="266"/>
      <c r="F421" s="305"/>
      <c r="G421" s="188"/>
      <c r="H421" s="266"/>
      <c r="I421" s="266" t="s">
        <v>9</v>
      </c>
      <c r="J421" s="266"/>
      <c r="K421" s="276" t="s">
        <v>33</v>
      </c>
      <c r="L421" s="276" t="s">
        <v>29</v>
      </c>
      <c r="M421" s="285" t="s">
        <v>2366</v>
      </c>
      <c r="N421" s="276" t="s">
        <v>2367</v>
      </c>
      <c r="O421" s="286">
        <v>45</v>
      </c>
      <c r="Q421" s="266" t="s">
        <v>9</v>
      </c>
      <c r="R421" s="266" t="s">
        <v>106</v>
      </c>
      <c r="S421" s="266"/>
      <c r="T421" s="266"/>
      <c r="W421" s="272" t="str">
        <f>IF(IFERROR(VLOOKUP($M421,'IMPORT GS-Tür OL FL 2S2 20'!$H$2:$H$847,1,0),"-")="-","","GS")</f>
        <v/>
      </c>
      <c r="X421" s="272" t="str">
        <f t="shared" si="25"/>
        <v/>
      </c>
      <c r="Z421" s="273" t="str">
        <f>IF(OR($M421="",NOT($O421="{array}")),"",IFERROR(MATCH(PARAMETERS!$M421,DEFAULT!$B$5:$CI$5,0),""))</f>
        <v/>
      </c>
      <c r="AA421" s="272" t="str">
        <f t="shared" si="27"/>
        <v/>
      </c>
      <c r="AB421" s="274" t="str">
        <f>IF(AND(OR($A421="G",$A421="P"),NOT($O421="{array}")),IF(VLOOKUP($K421,base!$B$2:$D$20,3,0)="S",IF(OR($O421="",ISTEXT($O421)),"","STRING!"),IF(VLOOKUP($K421,base!$B$2:$D$20,3,0)="","",IF(ISTEXT($O421),"NUMERIC!",""))),"")</f>
        <v/>
      </c>
      <c r="AC421" s="275" t="str">
        <f>IF($AA421="","",IF($B421="I",VLOOKUP($AA421,#REF!,53,0),INDEX(VALUES!$B$1:$GP$1,1,$AA421)))</f>
        <v/>
      </c>
    </row>
    <row r="422" spans="1:29" s="276" customFormat="1" hidden="1" outlineLevel="1">
      <c r="A422" s="263"/>
      <c r="B422" s="264" t="str">
        <f t="shared" si="24"/>
        <v/>
      </c>
      <c r="C422" s="265">
        <f t="shared" si="26"/>
        <v>421</v>
      </c>
      <c r="D422" s="266"/>
      <c r="E422" s="266"/>
      <c r="F422" s="305"/>
      <c r="G422" s="188"/>
      <c r="H422" s="266"/>
      <c r="I422" s="266" t="s">
        <v>9</v>
      </c>
      <c r="J422" s="266"/>
      <c r="K422" s="276" t="s">
        <v>26</v>
      </c>
      <c r="L422" s="276" t="s">
        <v>29</v>
      </c>
      <c r="M422" s="285" t="s">
        <v>2368</v>
      </c>
      <c r="N422" s="276" t="s">
        <v>2324</v>
      </c>
      <c r="O422" s="286">
        <v>0.06</v>
      </c>
      <c r="Q422" s="266" t="s">
        <v>9</v>
      </c>
      <c r="R422" s="266" t="s">
        <v>106</v>
      </c>
      <c r="S422" s="266"/>
      <c r="T422" s="266"/>
      <c r="W422" s="272" t="str">
        <f>IF(IFERROR(VLOOKUP($M422,'IMPORT GS-Tür OL FL 2S2 20'!$H$2:$H$847,1,0),"-")="-","","GS")</f>
        <v/>
      </c>
      <c r="X422" s="272" t="str">
        <f t="shared" si="25"/>
        <v/>
      </c>
      <c r="Z422" s="273" t="str">
        <f>IF(OR($M422="",NOT($O422="{array}")),"",IFERROR(MATCH(PARAMETERS!$M422,DEFAULT!$B$5:$CI$5,0),""))</f>
        <v/>
      </c>
      <c r="AA422" s="272" t="str">
        <f t="shared" si="27"/>
        <v/>
      </c>
      <c r="AB422" s="274" t="str">
        <f>IF(AND(OR($A422="G",$A422="P"),NOT($O422="{array}")),IF(VLOOKUP($K422,base!$B$2:$D$20,3,0)="S",IF(OR($O422="",ISTEXT($O422)),"","STRING!"),IF(VLOOKUP($K422,base!$B$2:$D$20,3,0)="","",IF(ISTEXT($O422),"NUMERIC!",""))),"")</f>
        <v/>
      </c>
      <c r="AC422" s="275" t="str">
        <f>IF($AA422="","",IF($B422="I",VLOOKUP($AA422,#REF!,53,0),INDEX(VALUES!$B$1:$GP$1,1,$AA422)))</f>
        <v/>
      </c>
    </row>
    <row r="423" spans="1:29" s="276" customFormat="1" hidden="1" outlineLevel="1">
      <c r="A423" s="263"/>
      <c r="B423" s="264" t="str">
        <f t="shared" si="24"/>
        <v/>
      </c>
      <c r="C423" s="265">
        <f t="shared" si="26"/>
        <v>422</v>
      </c>
      <c r="D423" s="266"/>
      <c r="E423" s="266"/>
      <c r="F423" s="305"/>
      <c r="G423" s="188"/>
      <c r="H423" s="266"/>
      <c r="I423" s="266" t="s">
        <v>9</v>
      </c>
      <c r="J423" s="266"/>
      <c r="K423" s="276" t="s">
        <v>26</v>
      </c>
      <c r="L423" s="276" t="s">
        <v>29</v>
      </c>
      <c r="M423" s="285" t="s">
        <v>2369</v>
      </c>
      <c r="N423" s="276" t="s">
        <v>2351</v>
      </c>
      <c r="O423" s="286">
        <v>0.06</v>
      </c>
      <c r="Q423" s="266" t="s">
        <v>9</v>
      </c>
      <c r="R423" s="266" t="s">
        <v>106</v>
      </c>
      <c r="S423" s="266"/>
      <c r="T423" s="266"/>
      <c r="W423" s="272" t="str">
        <f>IF(IFERROR(VLOOKUP($M423,'IMPORT GS-Tür OL FL 2S2 20'!$H$2:$H$847,1,0),"-")="-","","GS")</f>
        <v/>
      </c>
      <c r="X423" s="272" t="str">
        <f t="shared" si="25"/>
        <v/>
      </c>
      <c r="Z423" s="273" t="str">
        <f>IF(OR($M423="",NOT($O423="{array}")),"",IFERROR(MATCH(PARAMETERS!$M423,DEFAULT!$B$5:$CI$5,0),""))</f>
        <v/>
      </c>
      <c r="AA423" s="272" t="str">
        <f t="shared" si="27"/>
        <v/>
      </c>
      <c r="AB423" s="274" t="str">
        <f>IF(AND(OR($A423="G",$A423="P"),NOT($O423="{array}")),IF(VLOOKUP($K423,base!$B$2:$D$20,3,0)="S",IF(OR($O423="",ISTEXT($O423)),"","STRING!"),IF(VLOOKUP($K423,base!$B$2:$D$20,3,0)="","",IF(ISTEXT($O423),"NUMERIC!",""))),"")</f>
        <v/>
      </c>
      <c r="AC423" s="275" t="str">
        <f>IF($AA423="","",IF($B423="I",VLOOKUP($AA423,#REF!,53,0),INDEX(VALUES!$B$1:$GP$1,1,$AA423)))</f>
        <v/>
      </c>
    </row>
    <row r="424" spans="1:29" s="276" customFormat="1" hidden="1" outlineLevel="1">
      <c r="A424" s="263"/>
      <c r="B424" s="264" t="str">
        <f t="shared" si="24"/>
        <v/>
      </c>
      <c r="C424" s="265">
        <f t="shared" si="26"/>
        <v>423</v>
      </c>
      <c r="D424" s="266"/>
      <c r="E424" s="266"/>
      <c r="F424" s="305"/>
      <c r="G424" s="188"/>
      <c r="H424" s="266"/>
      <c r="I424" s="266" t="s">
        <v>9</v>
      </c>
      <c r="J424" s="266"/>
      <c r="K424" s="276" t="s">
        <v>26</v>
      </c>
      <c r="L424" s="276" t="s">
        <v>29</v>
      </c>
      <c r="M424" s="285" t="s">
        <v>2370</v>
      </c>
      <c r="N424" s="276" t="s">
        <v>2371</v>
      </c>
      <c r="O424" s="286">
        <v>0.06</v>
      </c>
      <c r="Q424" s="266" t="s">
        <v>9</v>
      </c>
      <c r="R424" s="266" t="s">
        <v>106</v>
      </c>
      <c r="S424" s="266"/>
      <c r="T424" s="266"/>
      <c r="W424" s="272" t="str">
        <f>IF(IFERROR(VLOOKUP($M424,'IMPORT GS-Tür OL FL 2S2 20'!$H$2:$H$847,1,0),"-")="-","","GS")</f>
        <v/>
      </c>
      <c r="X424" s="272" t="str">
        <f t="shared" si="25"/>
        <v/>
      </c>
      <c r="Z424" s="273" t="str">
        <f>IF(OR($M424="",NOT($O424="{array}")),"",IFERROR(MATCH(PARAMETERS!$M424,DEFAULT!$B$5:$CI$5,0),""))</f>
        <v/>
      </c>
      <c r="AA424" s="272" t="str">
        <f t="shared" si="27"/>
        <v/>
      </c>
      <c r="AB424" s="274" t="str">
        <f>IF(AND(OR($A424="G",$A424="P"),NOT($O424="{array}")),IF(VLOOKUP($K424,base!$B$2:$D$20,3,0)="S",IF(OR($O424="",ISTEXT($O424)),"","STRING!"),IF(VLOOKUP($K424,base!$B$2:$D$20,3,0)="","",IF(ISTEXT($O424),"NUMERIC!",""))),"")</f>
        <v/>
      </c>
      <c r="AC424" s="275" t="str">
        <f>IF($AA424="","",IF($B424="I",VLOOKUP($AA424,#REF!,53,0),INDEX(VALUES!$B$1:$GP$1,1,$AA424)))</f>
        <v/>
      </c>
    </row>
    <row r="425" spans="1:29" s="276" customFormat="1" hidden="1" outlineLevel="1">
      <c r="A425" s="263"/>
      <c r="B425" s="264" t="str">
        <f t="shared" si="24"/>
        <v/>
      </c>
      <c r="C425" s="265">
        <f t="shared" si="26"/>
        <v>424</v>
      </c>
      <c r="D425" s="266"/>
      <c r="E425" s="266"/>
      <c r="F425" s="305"/>
      <c r="G425" s="188"/>
      <c r="H425" s="266"/>
      <c r="I425" s="266" t="s">
        <v>9</v>
      </c>
      <c r="J425" s="266"/>
      <c r="K425" s="276" t="s">
        <v>26</v>
      </c>
      <c r="L425" s="276" t="s">
        <v>29</v>
      </c>
      <c r="M425" s="285" t="s">
        <v>2372</v>
      </c>
      <c r="N425" s="276" t="s">
        <v>2341</v>
      </c>
      <c r="O425" s="286">
        <v>0.06</v>
      </c>
      <c r="Q425" s="266" t="s">
        <v>9</v>
      </c>
      <c r="R425" s="266" t="s">
        <v>106</v>
      </c>
      <c r="S425" s="266"/>
      <c r="T425" s="266"/>
      <c r="W425" s="272" t="str">
        <f>IF(IFERROR(VLOOKUP($M425,'IMPORT GS-Tür OL FL 2S2 20'!$H$2:$H$847,1,0),"-")="-","","GS")</f>
        <v/>
      </c>
      <c r="X425" s="272" t="str">
        <f t="shared" si="25"/>
        <v/>
      </c>
      <c r="Z425" s="273" t="str">
        <f>IF(OR($M425="",NOT($O425="{array}")),"",IFERROR(MATCH(PARAMETERS!$M425,DEFAULT!$B$5:$CI$5,0),""))</f>
        <v/>
      </c>
      <c r="AA425" s="272" t="str">
        <f t="shared" si="27"/>
        <v/>
      </c>
      <c r="AB425" s="274" t="str">
        <f>IF(AND(OR($A425="G",$A425="P"),NOT($O425="{array}")),IF(VLOOKUP($K425,base!$B$2:$D$20,3,0)="S",IF(OR($O425="",ISTEXT($O425)),"","STRING!"),IF(VLOOKUP($K425,base!$B$2:$D$20,3,0)="","",IF(ISTEXT($O425),"NUMERIC!",""))),"")</f>
        <v/>
      </c>
      <c r="AC425" s="275" t="str">
        <f>IF($AA425="","",IF($B425="I",VLOOKUP($AA425,#REF!,53,0),INDEX(VALUES!$B$1:$GP$1,1,$AA425)))</f>
        <v/>
      </c>
    </row>
    <row r="426" spans="1:29" s="276" customFormat="1" hidden="1" outlineLevel="1">
      <c r="A426" s="263"/>
      <c r="B426" s="264" t="str">
        <f t="shared" si="24"/>
        <v/>
      </c>
      <c r="C426" s="265">
        <f t="shared" si="26"/>
        <v>425</v>
      </c>
      <c r="D426" s="266"/>
      <c r="E426" s="266"/>
      <c r="F426" s="305"/>
      <c r="G426" s="188"/>
      <c r="H426" s="266"/>
      <c r="I426" s="266" t="s">
        <v>9</v>
      </c>
      <c r="J426" s="266"/>
      <c r="K426" s="276" t="s">
        <v>26</v>
      </c>
      <c r="L426" s="276" t="s">
        <v>29</v>
      </c>
      <c r="M426" s="285" t="s">
        <v>2373</v>
      </c>
      <c r="N426" s="276" t="s">
        <v>2374</v>
      </c>
      <c r="O426" s="286">
        <v>0</v>
      </c>
      <c r="Q426" s="266" t="s">
        <v>9</v>
      </c>
      <c r="R426" s="266" t="s">
        <v>106</v>
      </c>
      <c r="S426" s="266"/>
      <c r="T426" s="266"/>
      <c r="W426" s="272" t="str">
        <f>IF(IFERROR(VLOOKUP($M426,'IMPORT GS-Tür OL FL 2S2 20'!$H$2:$H$847,1,0),"-")="-","","GS")</f>
        <v/>
      </c>
      <c r="X426" s="272" t="str">
        <f t="shared" si="25"/>
        <v/>
      </c>
      <c r="Z426" s="273" t="str">
        <f>IF(OR($M426="",NOT($O426="{array}")),"",IFERROR(MATCH(PARAMETERS!$M426,DEFAULT!$B$5:$CI$5,0),""))</f>
        <v/>
      </c>
      <c r="AA426" s="272" t="str">
        <f t="shared" si="27"/>
        <v/>
      </c>
      <c r="AB426" s="274" t="str">
        <f>IF(AND(OR($A426="G",$A426="P"),NOT($O426="{array}")),IF(VLOOKUP($K426,base!$B$2:$D$20,3,0)="S",IF(OR($O426="",ISTEXT($O426)),"","STRING!"),IF(VLOOKUP($K426,base!$B$2:$D$20,3,0)="","",IF(ISTEXT($O426),"NUMERIC!",""))),"")</f>
        <v/>
      </c>
      <c r="AC426" s="275" t="str">
        <f>IF($AA426="","",IF($B426="I",VLOOKUP($AA426,#REF!,53,0),INDEX(VALUES!$B$1:$GP$1,1,$AA426)))</f>
        <v/>
      </c>
    </row>
    <row r="427" spans="1:29" s="276" customFormat="1" hidden="1" outlineLevel="1">
      <c r="A427" s="263"/>
      <c r="B427" s="264" t="str">
        <f t="shared" si="24"/>
        <v/>
      </c>
      <c r="C427" s="265">
        <f t="shared" si="26"/>
        <v>426</v>
      </c>
      <c r="D427" s="266"/>
      <c r="E427" s="266"/>
      <c r="F427" s="305"/>
      <c r="G427" s="188"/>
      <c r="H427" s="266"/>
      <c r="I427" s="266" t="s">
        <v>9</v>
      </c>
      <c r="J427" s="266"/>
      <c r="K427" s="276" t="s">
        <v>26</v>
      </c>
      <c r="L427" s="276" t="s">
        <v>29</v>
      </c>
      <c r="M427" s="285" t="s">
        <v>2375</v>
      </c>
      <c r="N427" s="276" t="s">
        <v>2365</v>
      </c>
      <c r="O427" s="286">
        <v>0.06</v>
      </c>
      <c r="Q427" s="266" t="s">
        <v>9</v>
      </c>
      <c r="R427" s="266" t="s">
        <v>106</v>
      </c>
      <c r="S427" s="266"/>
      <c r="T427" s="266"/>
      <c r="W427" s="272" t="str">
        <f>IF(IFERROR(VLOOKUP($M427,'IMPORT GS-Tür OL FL 2S2 20'!$H$2:$H$847,1,0),"-")="-","","GS")</f>
        <v/>
      </c>
      <c r="X427" s="272" t="str">
        <f t="shared" si="25"/>
        <v/>
      </c>
      <c r="Z427" s="273" t="str">
        <f>IF(OR($M427="",NOT($O427="{array}")),"",IFERROR(MATCH(PARAMETERS!$M427,DEFAULT!$B$5:$CI$5,0),""))</f>
        <v/>
      </c>
      <c r="AA427" s="272" t="str">
        <f t="shared" si="27"/>
        <v/>
      </c>
      <c r="AB427" s="274" t="str">
        <f>IF(AND(OR($A427="G",$A427="P"),NOT($O427="{array}")),IF(VLOOKUP($K427,base!$B$2:$D$20,3,0)="S",IF(OR($O427="",ISTEXT($O427)),"","STRING!"),IF(VLOOKUP($K427,base!$B$2:$D$20,3,0)="","",IF(ISTEXT($O427),"NUMERIC!",""))),"")</f>
        <v/>
      </c>
      <c r="AC427" s="275" t="str">
        <f>IF($AA427="","",IF($B427="I",VLOOKUP($AA427,#REF!,53,0),INDEX(VALUES!$B$1:$GP$1,1,$AA427)))</f>
        <v/>
      </c>
    </row>
    <row r="428" spans="1:29" s="276" customFormat="1" hidden="1" outlineLevel="1">
      <c r="A428" s="263"/>
      <c r="B428" s="264" t="str">
        <f t="shared" si="24"/>
        <v/>
      </c>
      <c r="C428" s="265">
        <f t="shared" si="26"/>
        <v>427</v>
      </c>
      <c r="D428" s="266"/>
      <c r="E428" s="266"/>
      <c r="F428" s="305"/>
      <c r="G428" s="188"/>
      <c r="H428" s="266"/>
      <c r="I428" s="266" t="s">
        <v>9</v>
      </c>
      <c r="J428" s="266"/>
      <c r="K428" s="276" t="s">
        <v>33</v>
      </c>
      <c r="L428" s="276" t="s">
        <v>29</v>
      </c>
      <c r="M428" s="285" t="s">
        <v>2376</v>
      </c>
      <c r="N428" s="276" t="s">
        <v>2367</v>
      </c>
      <c r="O428" s="286">
        <v>45</v>
      </c>
      <c r="Q428" s="266" t="s">
        <v>9</v>
      </c>
      <c r="R428" s="266" t="s">
        <v>106</v>
      </c>
      <c r="S428" s="266"/>
      <c r="T428" s="266"/>
      <c r="W428" s="272" t="str">
        <f>IF(IFERROR(VLOOKUP($M428,'IMPORT GS-Tür OL FL 2S2 20'!$H$2:$H$847,1,0),"-")="-","","GS")</f>
        <v/>
      </c>
      <c r="X428" s="272" t="str">
        <f t="shared" si="25"/>
        <v/>
      </c>
      <c r="Z428" s="273" t="str">
        <f>IF(OR($M428="",NOT($O428="{array}")),"",IFERROR(MATCH(PARAMETERS!$M428,DEFAULT!$B$5:$CI$5,0),""))</f>
        <v/>
      </c>
      <c r="AA428" s="272" t="str">
        <f t="shared" si="27"/>
        <v/>
      </c>
      <c r="AB428" s="274" t="str">
        <f>IF(AND(OR($A428="G",$A428="P"),NOT($O428="{array}")),IF(VLOOKUP($K428,base!$B$2:$D$20,3,0)="S",IF(OR($O428="",ISTEXT($O428)),"","STRING!"),IF(VLOOKUP($K428,base!$B$2:$D$20,3,0)="","",IF(ISTEXT($O428),"NUMERIC!",""))),"")</f>
        <v/>
      </c>
      <c r="AC428" s="275" t="str">
        <f>IF($AA428="","",IF($B428="I",VLOOKUP($AA428,#REF!,53,0),INDEX(VALUES!$B$1:$GP$1,1,$AA428)))</f>
        <v/>
      </c>
    </row>
    <row r="429" spans="1:29" collapsed="1">
      <c r="A429" s="21" t="s">
        <v>274</v>
      </c>
      <c r="B429" s="40"/>
      <c r="C429" s="41"/>
      <c r="D429" s="260"/>
      <c r="E429" s="37"/>
      <c r="F429" s="305"/>
      <c r="G429" s="188"/>
      <c r="H429" s="37"/>
      <c r="I429" s="37"/>
      <c r="J429" s="37"/>
      <c r="R429" s="37"/>
      <c r="S429" s="37"/>
      <c r="T429" s="37"/>
      <c r="W429" s="14" t="str">
        <f>IF(IFERROR(VLOOKUP($M429,'IMPORT GS-Tür OL FL 2S2 20'!$H$2:$H$847,1,0),"-")="-","","GS")</f>
        <v/>
      </c>
      <c r="X429" s="14" t="str">
        <f t="shared" si="25"/>
        <v/>
      </c>
      <c r="Z429" s="58" t="str">
        <f>IF(OR($M429="",NOT($O429="{array}")),"",IFERROR(MATCH(PARAMETERS!$M429,DEFAULT!$B$5:$CI$5,0),""))</f>
        <v/>
      </c>
      <c r="AA429" s="55" t="str">
        <f t="shared" si="27"/>
        <v/>
      </c>
      <c r="AB429" s="62" t="str">
        <f>IF(AND(OR($A429="G",$A429="P"),NOT($O429="{array}")),IF(VLOOKUP($K429,base!$B$2:$D$20,3,0)="S",IF(OR($O429="",ISTEXT($O429)),"","STRING!"),IF(VLOOKUP($K429,base!$B$2:$D$20,3,0)="","",IF(ISTEXT($O429),"NUMERIC!",""))),"")</f>
        <v/>
      </c>
      <c r="AC429" s="16" t="str">
        <f>IF($AA429="","",IF($B429="I",VLOOKUP($AA429,#REF!,53,0),INDEX(VALUES!$B$1:$GP$1,1,$AA429)))</f>
        <v/>
      </c>
    </row>
    <row r="430" spans="1:29">
      <c r="A430" s="21" t="s">
        <v>86</v>
      </c>
      <c r="B430" s="40" t="str">
        <f t="shared" si="24"/>
        <v/>
      </c>
      <c r="C430" s="41">
        <f t="shared" ref="C430:C494" si="28">(ROW()-1)</f>
        <v>429</v>
      </c>
      <c r="D430" s="260"/>
      <c r="E430" s="37"/>
      <c r="F430" s="305"/>
      <c r="G430" s="188"/>
      <c r="H430" s="37"/>
      <c r="I430" s="37"/>
      <c r="J430" s="37"/>
      <c r="K430" s="230" t="s">
        <v>59</v>
      </c>
      <c r="L430" s="230" t="s">
        <v>40</v>
      </c>
      <c r="M430" s="231" t="s">
        <v>275</v>
      </c>
      <c r="N430" s="232" t="s">
        <v>276</v>
      </c>
      <c r="R430" s="37" t="s">
        <v>204</v>
      </c>
      <c r="S430" s="37"/>
      <c r="T430" s="37"/>
      <c r="W430" s="14" t="str">
        <f>IF(IFERROR(VLOOKUP($M430,'IMPORT GS-Tür OL FL 2S2 20'!$H$2:$H$847,1,0),"-")="-","","GS")</f>
        <v/>
      </c>
      <c r="X430" s="14" t="str">
        <f t="shared" si="25"/>
        <v>&gt;&lt;</v>
      </c>
      <c r="Y430" s="52"/>
      <c r="Z430" s="58" t="str">
        <f>IF(OR($M430="",NOT($O430="{array}")),"",IFERROR(MATCH(PARAMETERS!$M430,DEFAULT!$B$5:$CI$5,0),""))</f>
        <v/>
      </c>
      <c r="AA430" s="55" t="str">
        <f t="shared" si="27"/>
        <v/>
      </c>
      <c r="AB430" s="62" t="str">
        <f>IF(AND(OR($A430="G",$A430="P"),NOT($O430="{array}")),IF(VLOOKUP($K430,base!$B$2:$D$20,3,0)="S",IF(OR($O430="",ISTEXT($O430)),"","STRING!"),IF(VLOOKUP($K430,base!$B$2:$D$20,3,0)="","",IF(ISTEXT($O430),"NUMERIC!",""))),"")</f>
        <v/>
      </c>
      <c r="AC430" s="16" t="str">
        <f>IF($AA430="","",IF($B430="I",VLOOKUP($AA430,#REF!,53,0),INDEX(VALUES!$B$1:$GP$1,1,$AA430)))</f>
        <v/>
      </c>
    </row>
    <row r="431" spans="1:29" hidden="1" outlineLevel="1">
      <c r="A431" s="21" t="s">
        <v>86</v>
      </c>
      <c r="B431" s="40" t="str">
        <f t="shared" si="24"/>
        <v>V</v>
      </c>
      <c r="C431" s="41">
        <f t="shared" si="28"/>
        <v>430</v>
      </c>
      <c r="D431" s="260" t="s">
        <v>9</v>
      </c>
      <c r="E431" s="37"/>
      <c r="F431" s="305"/>
      <c r="G431" s="188"/>
      <c r="H431" s="37"/>
      <c r="I431" s="37" t="s">
        <v>9</v>
      </c>
      <c r="J431" s="37"/>
      <c r="K431" s="13" t="s">
        <v>46</v>
      </c>
      <c r="L431" s="13" t="s">
        <v>34</v>
      </c>
      <c r="M431" s="178" t="s">
        <v>277</v>
      </c>
      <c r="N431" s="13" t="s">
        <v>278</v>
      </c>
      <c r="O431" s="42">
        <v>2</v>
      </c>
      <c r="R431" s="37" t="s">
        <v>204</v>
      </c>
      <c r="S431" s="37" t="s">
        <v>114</v>
      </c>
      <c r="T431" s="37"/>
      <c r="V431" s="13" t="s">
        <v>278</v>
      </c>
      <c r="W431" s="14" t="str">
        <f>IF(IFERROR(VLOOKUP($M431,'IMPORT GS-Tür OL FL 2S2 20'!$H$2:$H$847,1,0),"-")="-","","GS")</f>
        <v/>
      </c>
      <c r="X431" s="14">
        <f t="shared" si="25"/>
        <v>0</v>
      </c>
      <c r="Y431" s="52" t="s">
        <v>279</v>
      </c>
      <c r="Z431" s="58" t="str">
        <f>IF(OR($M431="",NOT($O431="{array}")),"",IFERROR(MATCH(PARAMETERS!$M431,DEFAULT!$B$5:$CI$5,0),""))</f>
        <v/>
      </c>
      <c r="AA431" s="55">
        <f t="shared" si="27"/>
        <v>72</v>
      </c>
      <c r="AB431" s="62" t="str">
        <f>IF(AND(OR($A431="G",$A431="P"),NOT($O431="{array}")),IF(VLOOKUP($K431,base!$B$2:$D$20,3,0)="S",IF(OR($O431="",ISTEXT($O431)),"","STRING!"),IF(VLOOKUP($K431,base!$B$2:$D$20,3,0)="","",IF(ISTEXT($O431),"NUMERIC!",""))),"")</f>
        <v/>
      </c>
      <c r="AC431" s="16" t="str">
        <f>IF($AA431="","",IF($B431="I",VLOOKUP($AA431,#REF!,53,0),INDEX(VALUES!$B$1:$GP$1,1,$AA431)))</f>
        <v>2 | 1 | 0</v>
      </c>
    </row>
    <row r="432" spans="1:29" hidden="1" outlineLevel="1">
      <c r="A432" s="21" t="s">
        <v>86</v>
      </c>
      <c r="B432" s="40" t="str">
        <f t="shared" si="24"/>
        <v>V</v>
      </c>
      <c r="C432" s="41">
        <f t="shared" si="28"/>
        <v>431</v>
      </c>
      <c r="D432" s="260" t="s">
        <v>9</v>
      </c>
      <c r="E432" s="37"/>
      <c r="F432" s="305"/>
      <c r="G432" s="188"/>
      <c r="H432" s="37"/>
      <c r="I432" s="37" t="s">
        <v>9</v>
      </c>
      <c r="J432" s="37"/>
      <c r="K432" s="13" t="s">
        <v>46</v>
      </c>
      <c r="L432" s="13" t="s">
        <v>34</v>
      </c>
      <c r="M432" s="178" t="s">
        <v>280</v>
      </c>
      <c r="N432" s="13" t="s">
        <v>281</v>
      </c>
      <c r="O432" s="42">
        <v>2</v>
      </c>
      <c r="R432" s="37" t="s">
        <v>204</v>
      </c>
      <c r="S432" s="37" t="s">
        <v>114</v>
      </c>
      <c r="T432" s="37"/>
      <c r="V432" s="13" t="s">
        <v>281</v>
      </c>
      <c r="W432" s="14" t="str">
        <f>IF(IFERROR(VLOOKUP($M432,'IMPORT GS-Tür OL FL 2S2 20'!$H$2:$H$847,1,0),"-")="-","","GS")</f>
        <v/>
      </c>
      <c r="X432" s="14">
        <f t="shared" si="25"/>
        <v>0</v>
      </c>
      <c r="Y432" s="52" t="s">
        <v>279</v>
      </c>
      <c r="Z432" s="58" t="str">
        <f>IF(OR($M432="",NOT($O432="{array}")),"",IFERROR(MATCH(PARAMETERS!$M432,DEFAULT!$B$5:$CI$5,0),""))</f>
        <v/>
      </c>
      <c r="AA432" s="55">
        <f t="shared" si="27"/>
        <v>74</v>
      </c>
      <c r="AB432" s="62" t="str">
        <f>IF(AND(OR($A432="G",$A432="P"),NOT($O432="{array}")),IF(VLOOKUP($K432,base!$B$2:$D$20,3,0)="S",IF(OR($O432="",ISTEXT($O432)),"","STRING!"),IF(VLOOKUP($K432,base!$B$2:$D$20,3,0)="","",IF(ISTEXT($O432),"NUMERIC!",""))),"")</f>
        <v/>
      </c>
      <c r="AC432" s="16" t="str">
        <f>IF($AA432="","",IF($B432="I",VLOOKUP($AA432,#REF!,53,0),INDEX(VALUES!$B$1:$GP$1,1,$AA432)))</f>
        <v>2 | 1 | 0</v>
      </c>
    </row>
    <row r="433" spans="1:29" hidden="1" outlineLevel="1">
      <c r="A433" s="21" t="s">
        <v>86</v>
      </c>
      <c r="B433" s="40" t="str">
        <f t="shared" si="24"/>
        <v>V</v>
      </c>
      <c r="C433" s="41">
        <f t="shared" si="28"/>
        <v>432</v>
      </c>
      <c r="D433" s="260" t="s">
        <v>9</v>
      </c>
      <c r="E433" s="37"/>
      <c r="F433" s="305"/>
      <c r="G433" s="188"/>
      <c r="H433" s="37"/>
      <c r="I433" s="37" t="s">
        <v>9</v>
      </c>
      <c r="J433" s="37"/>
      <c r="K433" s="13" t="s">
        <v>46</v>
      </c>
      <c r="L433" s="13" t="s">
        <v>34</v>
      </c>
      <c r="M433" s="178" t="s">
        <v>282</v>
      </c>
      <c r="N433" s="13" t="s">
        <v>283</v>
      </c>
      <c r="O433" s="42">
        <v>2</v>
      </c>
      <c r="R433" s="37" t="s">
        <v>204</v>
      </c>
      <c r="S433" s="37" t="s">
        <v>114</v>
      </c>
      <c r="T433" s="37"/>
      <c r="V433" s="13" t="s">
        <v>283</v>
      </c>
      <c r="W433" s="14" t="str">
        <f>IF(IFERROR(VLOOKUP($M433,'IMPORT GS-Tür OL FL 2S2 20'!$H$2:$H$847,1,0),"-")="-","","GS")</f>
        <v/>
      </c>
      <c r="X433" s="14">
        <f t="shared" si="25"/>
        <v>0</v>
      </c>
      <c r="Y433" s="52" t="s">
        <v>279</v>
      </c>
      <c r="Z433" s="58" t="str">
        <f>IF(OR($M433="",NOT($O433="{array}")),"",IFERROR(MATCH(PARAMETERS!$M433,DEFAULT!$B$5:$CI$5,0),""))</f>
        <v/>
      </c>
      <c r="AA433" s="55">
        <f t="shared" si="27"/>
        <v>76</v>
      </c>
      <c r="AB433" s="62" t="str">
        <f>IF(AND(OR($A433="G",$A433="P"),NOT($O433="{array}")),IF(VLOOKUP($K433,base!$B$2:$D$20,3,0)="S",IF(OR($O433="",ISTEXT($O433)),"","STRING!"),IF(VLOOKUP($K433,base!$B$2:$D$20,3,0)="","",IF(ISTEXT($O433),"NUMERIC!",""))),"")</f>
        <v/>
      </c>
      <c r="AC433" s="16" t="str">
        <f>IF($AA433="","",IF($B433="I",VLOOKUP($AA433,#REF!,53,0),INDEX(VALUES!$B$1:$GP$1,1,$AA433)))</f>
        <v>2 | 1 | 0</v>
      </c>
    </row>
    <row r="434" spans="1:29" hidden="1" outlineLevel="1">
      <c r="A434" s="21" t="s">
        <v>86</v>
      </c>
      <c r="B434" s="40" t="str">
        <f t="shared" si="24"/>
        <v>V</v>
      </c>
      <c r="C434" s="41">
        <f t="shared" si="28"/>
        <v>433</v>
      </c>
      <c r="D434" s="260" t="s">
        <v>9</v>
      </c>
      <c r="E434" s="37"/>
      <c r="F434" s="305"/>
      <c r="G434" s="188"/>
      <c r="H434" s="37"/>
      <c r="I434" s="37" t="s">
        <v>9</v>
      </c>
      <c r="J434" s="37"/>
      <c r="K434" s="13" t="s">
        <v>46</v>
      </c>
      <c r="L434" s="13" t="s">
        <v>34</v>
      </c>
      <c r="M434" s="178" t="s">
        <v>284</v>
      </c>
      <c r="N434" s="13" t="s">
        <v>285</v>
      </c>
      <c r="O434" s="42">
        <v>2</v>
      </c>
      <c r="R434" s="37" t="s">
        <v>204</v>
      </c>
      <c r="S434" s="37" t="s">
        <v>114</v>
      </c>
      <c r="T434" s="37"/>
      <c r="V434" s="13" t="s">
        <v>286</v>
      </c>
      <c r="W434" s="14" t="str">
        <f>IF(IFERROR(VLOOKUP($M434,'IMPORT GS-Tür OL FL 2S2 20'!$H$2:$H$847,1,0),"-")="-","","GS")</f>
        <v/>
      </c>
      <c r="X434" s="14">
        <f t="shared" si="25"/>
        <v>0</v>
      </c>
      <c r="Y434" s="52" t="s">
        <v>279</v>
      </c>
      <c r="Z434" s="58" t="str">
        <f>IF(OR($M434="",NOT($O434="{array}")),"",IFERROR(MATCH(PARAMETERS!$M434,DEFAULT!$B$5:$CI$5,0),""))</f>
        <v/>
      </c>
      <c r="AA434" s="55">
        <f t="shared" si="27"/>
        <v>78</v>
      </c>
      <c r="AB434" s="62" t="str">
        <f>IF(AND(OR($A434="G",$A434="P"),NOT($O434="{array}")),IF(VLOOKUP($K434,base!$B$2:$D$20,3,0)="S",IF(OR($O434="",ISTEXT($O434)),"","STRING!"),IF(VLOOKUP($K434,base!$B$2:$D$20,3,0)="","",IF(ISTEXT($O434),"NUMERIC!",""))),"")</f>
        <v/>
      </c>
      <c r="AC434" s="16" t="str">
        <f>IF($AA434="","",IF($B434="I",VLOOKUP($AA434,#REF!,53,0),INDEX(VALUES!$B$1:$GP$1,1,$AA434)))</f>
        <v>2 | 1 | 0</v>
      </c>
    </row>
    <row r="435" spans="1:29" hidden="1" outlineLevel="1">
      <c r="A435" s="21" t="s">
        <v>86</v>
      </c>
      <c r="B435" s="40" t="str">
        <f t="shared" si="24"/>
        <v>V</v>
      </c>
      <c r="C435" s="41">
        <f t="shared" si="28"/>
        <v>434</v>
      </c>
      <c r="D435" s="260" t="s">
        <v>9</v>
      </c>
      <c r="E435" s="37"/>
      <c r="F435" s="305"/>
      <c r="G435" s="188"/>
      <c r="H435" s="37"/>
      <c r="I435" s="37" t="s">
        <v>9</v>
      </c>
      <c r="J435" s="37"/>
      <c r="K435" s="13" t="s">
        <v>46</v>
      </c>
      <c r="L435" s="13" t="s">
        <v>34</v>
      </c>
      <c r="M435" s="178" t="s">
        <v>287</v>
      </c>
      <c r="N435" s="13" t="s">
        <v>288</v>
      </c>
      <c r="O435" s="42">
        <v>2</v>
      </c>
      <c r="R435" s="37" t="s">
        <v>204</v>
      </c>
      <c r="S435" s="37" t="s">
        <v>114</v>
      </c>
      <c r="T435" s="37"/>
      <c r="V435" s="13" t="s">
        <v>288</v>
      </c>
      <c r="W435" s="14" t="str">
        <f>IF(IFERROR(VLOOKUP($M435,'IMPORT GS-Tür OL FL 2S2 20'!$H$2:$H$847,1,0),"-")="-","","GS")</f>
        <v/>
      </c>
      <c r="X435" s="14">
        <f t="shared" si="25"/>
        <v>0</v>
      </c>
      <c r="Y435" s="52" t="s">
        <v>279</v>
      </c>
      <c r="Z435" s="58" t="str">
        <f>IF(OR($M435="",NOT($O435="{array}")),"",IFERROR(MATCH(PARAMETERS!$M435,DEFAULT!$B$5:$CI$5,0),""))</f>
        <v/>
      </c>
      <c r="AA435" s="55">
        <f t="shared" si="27"/>
        <v>80</v>
      </c>
      <c r="AB435" s="62" t="str">
        <f>IF(AND(OR($A435="G",$A435="P"),NOT($O435="{array}")),IF(VLOOKUP($K435,base!$B$2:$D$20,3,0)="S",IF(OR($O435="",ISTEXT($O435)),"","STRING!"),IF(VLOOKUP($K435,base!$B$2:$D$20,3,0)="","",IF(ISTEXT($O435),"NUMERIC!",""))),"")</f>
        <v/>
      </c>
      <c r="AC435" s="16" t="str">
        <f>IF($AA435="","",IF($B435="I",VLOOKUP($AA435,#REF!,53,0),INDEX(VALUES!$B$1:$GP$1,1,$AA435)))</f>
        <v>2 | 1 | 0</v>
      </c>
    </row>
    <row r="436" spans="1:29" hidden="1" outlineLevel="1">
      <c r="A436" s="21" t="s">
        <v>86</v>
      </c>
      <c r="B436" s="40" t="str">
        <f t="shared" si="24"/>
        <v>V</v>
      </c>
      <c r="C436" s="41">
        <f t="shared" si="28"/>
        <v>435</v>
      </c>
      <c r="D436" s="260" t="s">
        <v>9</v>
      </c>
      <c r="E436" s="37"/>
      <c r="F436" s="305"/>
      <c r="G436" s="188"/>
      <c r="H436" s="37"/>
      <c r="I436" s="37" t="s">
        <v>9</v>
      </c>
      <c r="J436" s="37"/>
      <c r="K436" s="13" t="s">
        <v>46</v>
      </c>
      <c r="L436" s="13" t="s">
        <v>34</v>
      </c>
      <c r="M436" s="178" t="s">
        <v>289</v>
      </c>
      <c r="N436" s="13" t="s">
        <v>290</v>
      </c>
      <c r="O436" s="42">
        <v>2</v>
      </c>
      <c r="R436" s="37" t="s">
        <v>204</v>
      </c>
      <c r="S436" s="37" t="s">
        <v>114</v>
      </c>
      <c r="T436" s="37"/>
      <c r="V436" s="13" t="s">
        <v>291</v>
      </c>
      <c r="W436" s="14" t="str">
        <f>IF(IFERROR(VLOOKUP($M436,'IMPORT GS-Tür OL FL 2S2 20'!$H$2:$H$847,1,0),"-")="-","","GS")</f>
        <v/>
      </c>
      <c r="X436" s="14">
        <f t="shared" si="25"/>
        <v>0</v>
      </c>
      <c r="Y436" s="52" t="s">
        <v>279</v>
      </c>
      <c r="Z436" s="58" t="str">
        <f>IF(OR($M436="",NOT($O436="{array}")),"",IFERROR(MATCH(PARAMETERS!$M436,DEFAULT!$B$5:$CI$5,0),""))</f>
        <v/>
      </c>
      <c r="AA436" s="55">
        <f t="shared" si="27"/>
        <v>82</v>
      </c>
      <c r="AB436" s="62" t="str">
        <f>IF(AND(OR($A436="G",$A436="P"),NOT($O436="{array}")),IF(VLOOKUP($K436,base!$B$2:$D$20,3,0)="S",IF(OR($O436="",ISTEXT($O436)),"","STRING!"),IF(VLOOKUP($K436,base!$B$2:$D$20,3,0)="","",IF(ISTEXT($O436),"NUMERIC!",""))),"")</f>
        <v/>
      </c>
      <c r="AC436" s="16" t="str">
        <f>IF($AA436="","",IF($B436="I",VLOOKUP($AA436,#REF!,53,0),INDEX(VALUES!$B$1:$GP$1,1,$AA436)))</f>
        <v>2 | 1 | 0</v>
      </c>
    </row>
    <row r="437" spans="1:29" hidden="1" outlineLevel="1">
      <c r="A437" s="21" t="s">
        <v>86</v>
      </c>
      <c r="B437" s="40" t="str">
        <f t="shared" si="24"/>
        <v>V</v>
      </c>
      <c r="C437" s="41">
        <f t="shared" si="28"/>
        <v>436</v>
      </c>
      <c r="D437" s="260" t="s">
        <v>9</v>
      </c>
      <c r="E437" s="37"/>
      <c r="F437" s="305"/>
      <c r="G437" s="188"/>
      <c r="H437" s="37"/>
      <c r="I437" s="37" t="s">
        <v>9</v>
      </c>
      <c r="J437" s="37"/>
      <c r="K437" s="13" t="s">
        <v>46</v>
      </c>
      <c r="L437" s="13" t="s">
        <v>34</v>
      </c>
      <c r="M437" s="178" t="s">
        <v>292</v>
      </c>
      <c r="N437" s="13" t="s">
        <v>293</v>
      </c>
      <c r="O437" s="42">
        <v>2</v>
      </c>
      <c r="R437" s="37" t="s">
        <v>204</v>
      </c>
      <c r="S437" s="37" t="s">
        <v>114</v>
      </c>
      <c r="T437" s="37"/>
      <c r="V437" s="13" t="s">
        <v>294</v>
      </c>
      <c r="W437" s="14" t="str">
        <f>IF(IFERROR(VLOOKUP($M437,'IMPORT GS-Tür OL FL 2S2 20'!$H$2:$H$847,1,0),"-")="-","","GS")</f>
        <v/>
      </c>
      <c r="X437" s="14">
        <f t="shared" si="25"/>
        <v>0</v>
      </c>
      <c r="Y437" s="52" t="s">
        <v>279</v>
      </c>
      <c r="Z437" s="58" t="str">
        <f>IF(OR($M437="",NOT($O437="{array}")),"",IFERROR(MATCH(PARAMETERS!$M437,DEFAULT!$B$5:$CI$5,0),""))</f>
        <v/>
      </c>
      <c r="AA437" s="55">
        <f t="shared" si="27"/>
        <v>84</v>
      </c>
      <c r="AB437" s="62" t="str">
        <f>IF(AND(OR($A437="G",$A437="P"),NOT($O437="{array}")),IF(VLOOKUP($K437,base!$B$2:$D$20,3,0)="S",IF(OR($O437="",ISTEXT($O437)),"","STRING!"),IF(VLOOKUP($K437,base!$B$2:$D$20,3,0)="","",IF(ISTEXT($O437),"NUMERIC!",""))),"")</f>
        <v/>
      </c>
      <c r="AC437" s="16" t="str">
        <f>IF($AA437="","",IF($B437="I",VLOOKUP($AA437,#REF!,53,0),INDEX(VALUES!$B$1:$GP$1,1,$AA437)))</f>
        <v>2 | 1 | 0</v>
      </c>
    </row>
    <row r="438" spans="1:29" collapsed="1">
      <c r="A438" s="21" t="s">
        <v>86</v>
      </c>
      <c r="B438" s="40" t="str">
        <f t="shared" si="24"/>
        <v/>
      </c>
      <c r="C438" s="41">
        <f t="shared" si="28"/>
        <v>437</v>
      </c>
      <c r="D438" s="260"/>
      <c r="E438" s="37"/>
      <c r="F438" s="305"/>
      <c r="G438" s="188"/>
      <c r="H438" s="37"/>
      <c r="I438" s="37"/>
      <c r="J438" s="37"/>
      <c r="K438" s="230" t="s">
        <v>59</v>
      </c>
      <c r="L438" s="230" t="s">
        <v>40</v>
      </c>
      <c r="M438" s="231" t="s">
        <v>295</v>
      </c>
      <c r="N438" s="232" t="s">
        <v>296</v>
      </c>
      <c r="R438" s="37" t="s">
        <v>204</v>
      </c>
      <c r="S438" s="37"/>
      <c r="T438" s="14"/>
      <c r="W438" s="14" t="str">
        <f>IF(IFERROR(VLOOKUP($M438,'IMPORT GS-Tür OL FL 2S2 20'!$H$2:$H$847,1,0),"-")="-","","GS")</f>
        <v/>
      </c>
      <c r="X438" s="14" t="str">
        <f t="shared" si="25"/>
        <v>&gt;&lt;</v>
      </c>
      <c r="Z438" s="58" t="str">
        <f>IF(OR($M438="",NOT($O438="{array}")),"",IFERROR(MATCH(PARAMETERS!$M438,DEFAULT!$B$5:$CI$5,0),""))</f>
        <v/>
      </c>
      <c r="AA438" s="55" t="str">
        <f t="shared" si="27"/>
        <v/>
      </c>
      <c r="AB438" s="62" t="str">
        <f>IF(AND(OR($A438="G",$A438="P"),NOT($O438="{array}")),IF(VLOOKUP($K438,base!$B$2:$D$20,3,0)="S",IF(OR($O438="",ISTEXT($O438)),"","STRING!"),IF(VLOOKUP($K438,base!$B$2:$D$20,3,0)="","",IF(ISTEXT($O438),"NUMERIC!",""))),"")</f>
        <v/>
      </c>
      <c r="AC438" s="16" t="str">
        <f>IF($AA438="","",IF($B438="I",VLOOKUP($AA438,#REF!,53,0),INDEX(VALUES!$B$1:$GP$1,1,$AA438)))</f>
        <v/>
      </c>
    </row>
    <row r="439" spans="1:29" hidden="1" outlineLevel="1">
      <c r="A439" s="21" t="s">
        <v>86</v>
      </c>
      <c r="B439" s="40" t="str">
        <f t="shared" si="24"/>
        <v>V</v>
      </c>
      <c r="C439" s="41">
        <f t="shared" si="28"/>
        <v>438</v>
      </c>
      <c r="D439" s="260" t="s">
        <v>9</v>
      </c>
      <c r="E439" s="37"/>
      <c r="F439" s="305" t="s">
        <v>9</v>
      </c>
      <c r="G439" s="188"/>
      <c r="H439" s="37"/>
      <c r="I439" s="37" t="s">
        <v>9</v>
      </c>
      <c r="J439" s="37"/>
      <c r="K439" s="13" t="s">
        <v>20</v>
      </c>
      <c r="L439" s="13" t="s">
        <v>23</v>
      </c>
      <c r="M439" s="178" t="s">
        <v>297</v>
      </c>
      <c r="N439" s="155" t="s">
        <v>97</v>
      </c>
      <c r="O439" s="224" t="str">
        <f t="shared" ref="O439:O450" si="29">undefiniert</f>
        <v>[-]</v>
      </c>
      <c r="P439" s="157" t="s">
        <v>298</v>
      </c>
      <c r="Q439" s="158" t="s">
        <v>9</v>
      </c>
      <c r="R439" s="159" t="s">
        <v>105</v>
      </c>
      <c r="S439" s="159" t="s">
        <v>114</v>
      </c>
      <c r="T439" s="160" t="s">
        <v>299</v>
      </c>
      <c r="U439" s="160" t="s">
        <v>116</v>
      </c>
      <c r="V439" s="160" t="s">
        <v>115</v>
      </c>
      <c r="W439" s="161" t="str">
        <f>IF(IFERROR(VLOOKUP($M439,'IMPORT GS-Tür OL FL 2S2 20'!$H$2:$H$847,1,0),"-")="-","","GS")</f>
        <v/>
      </c>
      <c r="X439" s="14" t="str">
        <f t="shared" si="25"/>
        <v>undefiniert</v>
      </c>
      <c r="Y439" s="160" t="s">
        <v>300</v>
      </c>
      <c r="Z439" s="58" t="str">
        <f>IF(OR($M439="",NOT($O439="{array}")),"",IFERROR(MATCH(PARAMETERS!$M439,DEFAULT!$B$5:$CI$5,0),""))</f>
        <v/>
      </c>
      <c r="AA439" s="55">
        <f t="shared" si="27"/>
        <v>87</v>
      </c>
      <c r="AB439" s="62" t="str">
        <f>IF(AND(OR($A439="G",$A439="P"),NOT($O439="{array}")),IF(VLOOKUP($K439,base!$B$2:$D$20,3,0)="S",IF(OR($O439="",ISTEXT($O439)),"","STRING!"),IF(VLOOKUP($K439,base!$B$2:$D$20,3,0)="","",IF(ISTEXT($O439),"NUMERIC!",""))),"")</f>
        <v/>
      </c>
      <c r="AC439" s="16" t="str">
        <f>IF($AA439="","",IF($B439="I",VLOOKUP($AA439,#REF!,53,0),INDEX(VALUES!$B$1:$GP$1,1,$AA439)))</f>
        <v>[-] | nein | T30 | T60 | T90 | EI30 | EI60 | EI90 | ...</v>
      </c>
    </row>
    <row r="440" spans="1:29" hidden="1" outlineLevel="1">
      <c r="A440" s="21" t="s">
        <v>86</v>
      </c>
      <c r="B440" s="40" t="str">
        <f t="shared" si="24"/>
        <v>V</v>
      </c>
      <c r="C440" s="41">
        <f t="shared" si="28"/>
        <v>439</v>
      </c>
      <c r="D440" s="260" t="s">
        <v>9</v>
      </c>
      <c r="E440" s="37"/>
      <c r="F440" s="305"/>
      <c r="G440" s="188"/>
      <c r="H440" s="37"/>
      <c r="I440" s="37" t="s">
        <v>9</v>
      </c>
      <c r="J440" s="37"/>
      <c r="K440" s="163" t="s">
        <v>20</v>
      </c>
      <c r="L440" s="164" t="s">
        <v>34</v>
      </c>
      <c r="M440" s="178" t="s">
        <v>301</v>
      </c>
      <c r="N440" s="165" t="s">
        <v>302</v>
      </c>
      <c r="O440" s="224" t="str">
        <f t="shared" si="29"/>
        <v>[-]</v>
      </c>
      <c r="P440" s="157" t="s">
        <v>298</v>
      </c>
      <c r="Q440" s="158" t="s">
        <v>9</v>
      </c>
      <c r="R440" s="159" t="s">
        <v>105</v>
      </c>
      <c r="S440" s="159" t="s">
        <v>114</v>
      </c>
      <c r="T440" s="160" t="s">
        <v>299</v>
      </c>
      <c r="U440" s="160" t="s">
        <v>116</v>
      </c>
      <c r="V440" s="160" t="s">
        <v>302</v>
      </c>
      <c r="W440" s="161" t="str">
        <f>IF(IFERROR(VLOOKUP($M440,'IMPORT GS-Tür OL FL 2S2 20'!$H$2:$H$847,1,0),"-")="-","","GS")</f>
        <v/>
      </c>
      <c r="X440" s="14" t="str">
        <f t="shared" si="25"/>
        <v>undefiniert</v>
      </c>
      <c r="Y440" s="160" t="s">
        <v>303</v>
      </c>
      <c r="Z440" s="58" t="str">
        <f>IF(OR($M440="",NOT($O440="{array}")),"",IFERROR(MATCH(PARAMETERS!$M440,DEFAULT!$B$5:$CI$5,0),""))</f>
        <v/>
      </c>
      <c r="AA440" s="55">
        <f t="shared" si="27"/>
        <v>88</v>
      </c>
      <c r="AB440" s="62" t="str">
        <f>IF(AND(OR($A440="G",$A440="P"),NOT($O440="{array}")),IF(VLOOKUP($K440,base!$B$2:$D$20,3,0)="S",IF(OR($O440="",ISTEXT($O440)),"","STRING!"),IF(VLOOKUP($K440,base!$B$2:$D$20,3,0)="","",IF(ISTEXT($O440),"NUMERIC!",""))),"")</f>
        <v/>
      </c>
      <c r="AC440" s="16" t="str">
        <f>IF($AA440="","",IF($B440="I",VLOOKUP($AA440,#REF!,53,0),INDEX(VALUES!$B$1:$GP$1,1,$AA440)))</f>
        <v>[-] | nein | Sm | Sa | E</v>
      </c>
    </row>
    <row r="441" spans="1:29" hidden="1" outlineLevel="1">
      <c r="A441" s="21" t="s">
        <v>86</v>
      </c>
      <c r="B441" s="40" t="str">
        <f t="shared" si="24"/>
        <v>V</v>
      </c>
      <c r="C441" s="41">
        <f t="shared" si="28"/>
        <v>440</v>
      </c>
      <c r="D441" s="260" t="s">
        <v>9</v>
      </c>
      <c r="E441" s="37"/>
      <c r="F441" s="305" t="s">
        <v>9</v>
      </c>
      <c r="G441" s="188"/>
      <c r="H441" s="37"/>
      <c r="I441" s="37" t="s">
        <v>9</v>
      </c>
      <c r="J441" s="37"/>
      <c r="K441" s="13" t="s">
        <v>20</v>
      </c>
      <c r="L441" s="13" t="s">
        <v>23</v>
      </c>
      <c r="M441" s="178" t="s">
        <v>304</v>
      </c>
      <c r="N441" s="155" t="s">
        <v>305</v>
      </c>
      <c r="O441" s="224" t="str">
        <f t="shared" si="29"/>
        <v>[-]</v>
      </c>
      <c r="P441" s="157" t="s">
        <v>298</v>
      </c>
      <c r="Q441" s="158" t="s">
        <v>9</v>
      </c>
      <c r="R441" s="159" t="s">
        <v>105</v>
      </c>
      <c r="S441" s="159" t="s">
        <v>114</v>
      </c>
      <c r="T441" s="160" t="s">
        <v>104</v>
      </c>
      <c r="U441" s="160" t="s">
        <v>116</v>
      </c>
      <c r="V441" s="160" t="s">
        <v>305</v>
      </c>
      <c r="W441" s="161" t="str">
        <f>IF(IFERROR(VLOOKUP($M441,'IMPORT GS-Tür OL FL 2S2 20'!$H$2:$H$847,1,0),"-")="-","","GS")</f>
        <v/>
      </c>
      <c r="X441" s="14" t="str">
        <f t="shared" si="25"/>
        <v>undefiniert</v>
      </c>
      <c r="Y441" s="160" t="s">
        <v>306</v>
      </c>
      <c r="Z441" s="58" t="str">
        <f>IF(OR($M441="",NOT($O441="{array}")),"",IFERROR(MATCH(PARAMETERS!$M441,DEFAULT!$B$5:$CI$5,0),""))</f>
        <v/>
      </c>
      <c r="AA441" s="55">
        <f t="shared" si="27"/>
        <v>89</v>
      </c>
      <c r="AB441" s="62" t="str">
        <f>IF(AND(OR($A441="G",$A441="P"),NOT($O441="{array}")),IF(VLOOKUP($K441,base!$B$2:$D$20,3,0)="S",IF(OR($O441="",ISTEXT($O441)),"","STRING!"),IF(VLOOKUP($K441,base!$B$2:$D$20,3,0)="","",IF(ISTEXT($O441),"NUMERIC!",""))),"")</f>
        <v/>
      </c>
      <c r="AC441" s="16" t="str">
        <f>IF($AA441="","",IF($B441="I",VLOOKUP($AA441,#REF!,53,0),INDEX(VALUES!$B$1:$GP$1,1,$AA441)))</f>
        <v>[-] | nein | SK1 | SK2 | SK3</v>
      </c>
    </row>
    <row r="442" spans="1:29" hidden="1" outlineLevel="1">
      <c r="A442" s="21" t="s">
        <v>86</v>
      </c>
      <c r="B442" s="40" t="str">
        <f t="shared" si="24"/>
        <v>V</v>
      </c>
      <c r="C442" s="41">
        <f t="shared" si="28"/>
        <v>441</v>
      </c>
      <c r="D442" s="260" t="s">
        <v>9</v>
      </c>
      <c r="E442" s="37"/>
      <c r="F442" s="305" t="s">
        <v>9</v>
      </c>
      <c r="G442" s="188"/>
      <c r="H442" s="37"/>
      <c r="I442" s="37" t="s">
        <v>9</v>
      </c>
      <c r="J442" s="37"/>
      <c r="K442" s="13" t="s">
        <v>20</v>
      </c>
      <c r="L442" s="13" t="s">
        <v>23</v>
      </c>
      <c r="M442" s="178" t="s">
        <v>307</v>
      </c>
      <c r="N442" s="155" t="s">
        <v>308</v>
      </c>
      <c r="O442" s="224" t="str">
        <f t="shared" si="29"/>
        <v>[-]</v>
      </c>
      <c r="P442" s="157" t="s">
        <v>298</v>
      </c>
      <c r="Q442" s="158" t="s">
        <v>9</v>
      </c>
      <c r="R442" s="159" t="s">
        <v>105</v>
      </c>
      <c r="S442" s="159" t="s">
        <v>114</v>
      </c>
      <c r="T442" s="160" t="s">
        <v>298</v>
      </c>
      <c r="U442" s="160" t="s">
        <v>116</v>
      </c>
      <c r="V442" s="160" t="s">
        <v>309</v>
      </c>
      <c r="W442" s="161" t="str">
        <f>IF(IFERROR(VLOOKUP($M442,'IMPORT GS-Tür OL FL 2S2 20'!$H$2:$H$847,1,0),"-")="-","","GS")</f>
        <v/>
      </c>
      <c r="X442" s="14" t="str">
        <f t="shared" si="25"/>
        <v>undefiniert</v>
      </c>
      <c r="Y442" s="160" t="s">
        <v>310</v>
      </c>
      <c r="Z442" s="58" t="str">
        <f>IF(OR($M442="",NOT($O442="{array}")),"",IFERROR(MATCH(PARAMETERS!$M442,DEFAULT!$B$5:$CI$5,0),""))</f>
        <v/>
      </c>
      <c r="AA442" s="55">
        <f t="shared" si="27"/>
        <v>90</v>
      </c>
      <c r="AB442" s="62" t="str">
        <f>IF(AND(OR($A442="G",$A442="P"),NOT($O442="{array}")),IF(VLOOKUP($K442,base!$B$2:$D$20,3,0)="S",IF(OR($O442="",ISTEXT($O442)),"","STRING!"),IF(VLOOKUP($K442,base!$B$2:$D$20,3,0)="","",IF(ISTEXT($O442),"NUMERIC!",""))),"")</f>
        <v/>
      </c>
      <c r="AC442" s="16" t="str">
        <f>IF($AA442="","",IF($B442="I",VLOOKUP($AA442,#REF!,53,0),INDEX(VALUES!$B$1:$GP$1,1,$AA442)))</f>
        <v>[-] | nein | 0,8 | 0,9 | 1,0 | 1,1 | 1,2 | 1,5 | ...</v>
      </c>
    </row>
    <row r="443" spans="1:29" hidden="1" outlineLevel="1">
      <c r="A443" s="21" t="s">
        <v>86</v>
      </c>
      <c r="B443" s="40" t="str">
        <f t="shared" si="24"/>
        <v>V</v>
      </c>
      <c r="C443" s="41">
        <f t="shared" si="28"/>
        <v>442</v>
      </c>
      <c r="D443" s="260" t="s">
        <v>9</v>
      </c>
      <c r="E443" s="37"/>
      <c r="F443" s="305"/>
      <c r="G443" s="188"/>
      <c r="H443" s="37"/>
      <c r="I443" s="37" t="s">
        <v>9</v>
      </c>
      <c r="J443" s="37"/>
      <c r="K443" s="163" t="s">
        <v>20</v>
      </c>
      <c r="L443" s="164" t="s">
        <v>34</v>
      </c>
      <c r="M443" s="178" t="s">
        <v>311</v>
      </c>
      <c r="N443" s="165" t="s">
        <v>312</v>
      </c>
      <c r="O443" s="224" t="str">
        <f t="shared" si="29"/>
        <v>[-]</v>
      </c>
      <c r="P443" s="157" t="s">
        <v>298</v>
      </c>
      <c r="Q443" s="158" t="s">
        <v>9</v>
      </c>
      <c r="R443" s="159" t="s">
        <v>105</v>
      </c>
      <c r="S443" s="159" t="s">
        <v>114</v>
      </c>
      <c r="T443" s="160" t="s">
        <v>298</v>
      </c>
      <c r="U443" s="160" t="s">
        <v>116</v>
      </c>
      <c r="V443" s="160" t="s">
        <v>312</v>
      </c>
      <c r="W443" s="161" t="str">
        <f>IF(IFERROR(VLOOKUP($M443,'IMPORT GS-Tür OL FL 2S2 20'!$H$2:$H$847,1,0),"-")="-","","GS")</f>
        <v/>
      </c>
      <c r="X443" s="14" t="str">
        <f t="shared" si="25"/>
        <v>undefiniert</v>
      </c>
      <c r="Y443" s="160" t="s">
        <v>313</v>
      </c>
      <c r="Z443" s="58" t="str">
        <f>IF(OR($M443="",NOT($O443="{array}")),"",IFERROR(MATCH(PARAMETERS!$M443,DEFAULT!$B$5:$CI$5,0),""))</f>
        <v/>
      </c>
      <c r="AA443" s="55">
        <f t="shared" si="27"/>
        <v>92</v>
      </c>
      <c r="AB443" s="62" t="str">
        <f>IF(AND(OR($A443="G",$A443="P"),NOT($O443="{array}")),IF(VLOOKUP($K443,base!$B$2:$D$20,3,0)="S",IF(OR($O443="",ISTEXT($O443)),"","STRING!"),IF(VLOOKUP($K443,base!$B$2:$D$20,3,0)="","",IF(ISTEXT($O443),"NUMERIC!",""))),"")</f>
        <v/>
      </c>
      <c r="AC443" s="16" t="str">
        <f>IF($AA443="","",IF($B443="I",VLOOKUP($AA443,#REF!,53,0),INDEX(VALUES!$B$1:$GP$1,1,$AA443)))</f>
        <v>[-] | nein | RC1N | RC2N | RC2N | RC3 | RC4 | RC5 | ...</v>
      </c>
    </row>
    <row r="444" spans="1:29" hidden="1" outlineLevel="1">
      <c r="A444" s="21" t="s">
        <v>86</v>
      </c>
      <c r="B444" s="40" t="str">
        <f t="shared" si="24"/>
        <v>V</v>
      </c>
      <c r="C444" s="41">
        <f t="shared" si="28"/>
        <v>443</v>
      </c>
      <c r="D444" s="260" t="s">
        <v>9</v>
      </c>
      <c r="E444" s="37"/>
      <c r="F444" s="305"/>
      <c r="G444" s="188"/>
      <c r="H444" s="37"/>
      <c r="I444" s="37" t="s">
        <v>9</v>
      </c>
      <c r="J444" s="37"/>
      <c r="K444" s="163" t="s">
        <v>20</v>
      </c>
      <c r="L444" s="164" t="s">
        <v>34</v>
      </c>
      <c r="M444" s="178" t="s">
        <v>314</v>
      </c>
      <c r="N444" s="165" t="s">
        <v>315</v>
      </c>
      <c r="O444" s="224" t="str">
        <f t="shared" si="29"/>
        <v>[-]</v>
      </c>
      <c r="P444" s="157" t="s">
        <v>298</v>
      </c>
      <c r="Q444" s="158" t="s">
        <v>9</v>
      </c>
      <c r="R444" s="159" t="s">
        <v>105</v>
      </c>
      <c r="S444" s="159" t="s">
        <v>114</v>
      </c>
      <c r="T444" s="160" t="s">
        <v>298</v>
      </c>
      <c r="U444" s="160" t="s">
        <v>116</v>
      </c>
      <c r="V444" s="160" t="s">
        <v>315</v>
      </c>
      <c r="W444" s="161" t="str">
        <f>IF(IFERROR(VLOOKUP($M444,'IMPORT GS-Tür OL FL 2S2 20'!$H$2:$H$847,1,0),"-")="-","","GS")</f>
        <v/>
      </c>
      <c r="X444" s="14" t="str">
        <f t="shared" si="25"/>
        <v>undefiniert</v>
      </c>
      <c r="Y444" s="160" t="s">
        <v>316</v>
      </c>
      <c r="Z444" s="58" t="str">
        <f>IF(OR($M444="",NOT($O444="{array}")),"",IFERROR(MATCH(PARAMETERS!$M444,DEFAULT!$B$5:$CI$5,0),""))</f>
        <v/>
      </c>
      <c r="AA444" s="55">
        <f t="shared" si="27"/>
        <v>93</v>
      </c>
      <c r="AB444" s="62" t="str">
        <f>IF(AND(OR($A444="G",$A444="P"),NOT($O444="{array}")),IF(VLOOKUP($K444,base!$B$2:$D$20,3,0)="S",IF(OR($O444="",ISTEXT($O444)),"","STRING!"),IF(VLOOKUP($K444,base!$B$2:$D$20,3,0)="","",IF(ISTEXT($O444),"NUMERIC!",""))),"")</f>
        <v/>
      </c>
      <c r="AC444" s="16" t="str">
        <f>IF($AA444="","",IF($B444="I",VLOOKUP($AA444,#REF!,53,0),INDEX(VALUES!$B$1:$GP$1,1,$AA444)))</f>
        <v>[-] | nein | BR1 | BR1-S | BR1-NS | BR2 | BR2-S | BR2-NS | ...</v>
      </c>
    </row>
    <row r="445" spans="1:29" hidden="1" outlineLevel="1">
      <c r="A445" s="21" t="s">
        <v>86</v>
      </c>
      <c r="B445" s="40" t="str">
        <f t="shared" si="24"/>
        <v>V</v>
      </c>
      <c r="C445" s="41">
        <f t="shared" si="28"/>
        <v>444</v>
      </c>
      <c r="D445" s="260" t="s">
        <v>9</v>
      </c>
      <c r="E445" s="37"/>
      <c r="F445" s="305"/>
      <c r="G445" s="188"/>
      <c r="H445" s="37"/>
      <c r="I445" s="37" t="s">
        <v>9</v>
      </c>
      <c r="J445" s="37"/>
      <c r="K445" s="163" t="s">
        <v>20</v>
      </c>
      <c r="L445" s="164" t="s">
        <v>34</v>
      </c>
      <c r="M445" s="178" t="s">
        <v>317</v>
      </c>
      <c r="N445" s="165" t="s">
        <v>318</v>
      </c>
      <c r="O445" s="224" t="str">
        <f t="shared" si="29"/>
        <v>[-]</v>
      </c>
      <c r="P445" s="157" t="s">
        <v>298</v>
      </c>
      <c r="Q445" s="158" t="s">
        <v>9</v>
      </c>
      <c r="R445" s="159" t="s">
        <v>105</v>
      </c>
      <c r="S445" s="159" t="s">
        <v>114</v>
      </c>
      <c r="T445" s="160" t="s">
        <v>298</v>
      </c>
      <c r="U445" s="160" t="s">
        <v>116</v>
      </c>
      <c r="V445" s="160" t="s">
        <v>318</v>
      </c>
      <c r="W445" s="161" t="str">
        <f>IF(IFERROR(VLOOKUP($M445,'IMPORT GS-Tür OL FL 2S2 20'!$H$2:$H$847,1,0),"-")="-","","GS")</f>
        <v/>
      </c>
      <c r="X445" s="14" t="str">
        <f t="shared" si="25"/>
        <v>undefiniert</v>
      </c>
      <c r="Y445" s="160" t="s">
        <v>319</v>
      </c>
      <c r="Z445" s="58" t="str">
        <f>IF(OR($M445="",NOT($O445="{array}")),"",IFERROR(MATCH(PARAMETERS!$M445,DEFAULT!$B$5:$CI$5,0),""))</f>
        <v/>
      </c>
      <c r="AA445" s="55">
        <f t="shared" si="27"/>
        <v>94</v>
      </c>
      <c r="AB445" s="62" t="str">
        <f>IF(AND(OR($A445="G",$A445="P"),NOT($O445="{array}")),IF(VLOOKUP($K445,base!$B$2:$D$20,3,0)="S",IF(OR($O445="",ISTEXT($O445)),"","STRING!"),IF(VLOOKUP($K445,base!$B$2:$D$20,3,0)="","",IF(ISTEXT($O445),"NUMERIC!",""))),"")</f>
        <v/>
      </c>
      <c r="AC445" s="16" t="str">
        <f>IF($AA445="","",IF($B445="I",VLOOKUP($AA445,#REF!,53,0),INDEX(VALUES!$B$1:$GP$1,1,$AA445)))</f>
        <v>[-] | nein | ER1 | ER2 | ER3 | ER4</v>
      </c>
    </row>
    <row r="446" spans="1:29" hidden="1" outlineLevel="1">
      <c r="A446" s="21" t="s">
        <v>86</v>
      </c>
      <c r="B446" s="40" t="str">
        <f t="shared" si="24"/>
        <v>V</v>
      </c>
      <c r="C446" s="41">
        <f t="shared" si="28"/>
        <v>445</v>
      </c>
      <c r="D446" s="260" t="s">
        <v>9</v>
      </c>
      <c r="E446" s="37"/>
      <c r="F446" s="305"/>
      <c r="G446" s="188"/>
      <c r="H446" s="37"/>
      <c r="I446" s="37" t="s">
        <v>9</v>
      </c>
      <c r="J446" s="37"/>
      <c r="K446" s="163" t="s">
        <v>20</v>
      </c>
      <c r="L446" s="164" t="s">
        <v>34</v>
      </c>
      <c r="M446" s="178" t="s">
        <v>320</v>
      </c>
      <c r="N446" s="165" t="s">
        <v>321</v>
      </c>
      <c r="O446" s="224" t="str">
        <f t="shared" si="29"/>
        <v>[-]</v>
      </c>
      <c r="P446" s="157" t="s">
        <v>298</v>
      </c>
      <c r="Q446" s="158" t="s">
        <v>9</v>
      </c>
      <c r="R446" s="159" t="s">
        <v>105</v>
      </c>
      <c r="S446" s="159" t="s">
        <v>114</v>
      </c>
      <c r="T446" s="160" t="s">
        <v>298</v>
      </c>
      <c r="U446" s="160" t="s">
        <v>116</v>
      </c>
      <c r="V446" s="160" t="s">
        <v>321</v>
      </c>
      <c r="W446" s="161" t="str">
        <f>IF(IFERROR(VLOOKUP($M446,'IMPORT GS-Tür OL FL 2S2 20'!$H$2:$H$847,1,0),"-")="-","","GS")</f>
        <v/>
      </c>
      <c r="X446" s="14" t="str">
        <f t="shared" si="25"/>
        <v>undefiniert</v>
      </c>
      <c r="Y446" s="160" t="s">
        <v>322</v>
      </c>
      <c r="Z446" s="58" t="str">
        <f>IF(OR($M446="",NOT($O446="{array}")),"",IFERROR(MATCH(PARAMETERS!$M446,DEFAULT!$B$5:$CI$5,0),""))</f>
        <v/>
      </c>
      <c r="AA446" s="55">
        <f t="shared" si="27"/>
        <v>91</v>
      </c>
      <c r="AB446" s="62" t="str">
        <f>IF(AND(OR($A446="G",$A446="P"),NOT($O446="{array}")),IF(VLOOKUP($K446,base!$B$2:$D$20,3,0)="S",IF(OR($O446="",ISTEXT($O446)),"","STRING!"),IF(VLOOKUP($K446,base!$B$2:$D$20,3,0)="","",IF(ISTEXT($O446),"NUMERIC!",""))),"")</f>
        <v/>
      </c>
      <c r="AC446" s="16" t="str">
        <f>IF($AA446="","",IF($B446="I",VLOOKUP($AA446,#REF!,53,0),INDEX(VALUES!$B$1:$GP$1,1,$AA446)))</f>
        <v>[-] | ja | nein</v>
      </c>
    </row>
    <row r="447" spans="1:29" hidden="1" outlineLevel="1">
      <c r="A447" s="21" t="s">
        <v>86</v>
      </c>
      <c r="B447" s="40" t="str">
        <f t="shared" si="24"/>
        <v>V</v>
      </c>
      <c r="C447" s="41">
        <f t="shared" si="28"/>
        <v>446</v>
      </c>
      <c r="D447" s="260" t="s">
        <v>9</v>
      </c>
      <c r="E447" s="37"/>
      <c r="F447" s="305"/>
      <c r="G447" s="188"/>
      <c r="H447" s="37"/>
      <c r="I447" s="37" t="s">
        <v>9</v>
      </c>
      <c r="J447" s="37"/>
      <c r="K447" s="163" t="s">
        <v>20</v>
      </c>
      <c r="L447" s="164" t="s">
        <v>34</v>
      </c>
      <c r="M447" s="178" t="s">
        <v>323</v>
      </c>
      <c r="N447" s="165" t="s">
        <v>324</v>
      </c>
      <c r="O447" s="224" t="str">
        <f t="shared" si="29"/>
        <v>[-]</v>
      </c>
      <c r="P447" s="157" t="s">
        <v>298</v>
      </c>
      <c r="Q447" s="158" t="s">
        <v>9</v>
      </c>
      <c r="R447" s="159" t="s">
        <v>105</v>
      </c>
      <c r="S447" s="159" t="s">
        <v>114</v>
      </c>
      <c r="T447" s="160" t="s">
        <v>298</v>
      </c>
      <c r="U447" s="160" t="s">
        <v>116</v>
      </c>
      <c r="V447" s="160" t="s">
        <v>324</v>
      </c>
      <c r="W447" s="161" t="str">
        <f>IF(IFERROR(VLOOKUP($M447,'IMPORT GS-Tür OL FL 2S2 20'!$H$2:$H$847,1,0),"-")="-","","GS")</f>
        <v/>
      </c>
      <c r="X447" s="14" t="str">
        <f t="shared" si="25"/>
        <v>undefiniert</v>
      </c>
      <c r="Y447" s="160" t="s">
        <v>325</v>
      </c>
      <c r="Z447" s="58" t="str">
        <f>IF(OR($M447="",NOT($O447="{array}")),"",IFERROR(MATCH(PARAMETERS!$M447,DEFAULT!$B$5:$CI$5,0),""))</f>
        <v/>
      </c>
      <c r="AA447" s="55">
        <f t="shared" si="27"/>
        <v>95</v>
      </c>
      <c r="AB447" s="62" t="str">
        <f>IF(AND(OR($A447="G",$A447="P"),NOT($O447="{array}")),IF(VLOOKUP($K447,base!$B$2:$D$20,3,0)="S",IF(OR($O447="",ISTEXT($O447)),"","STRING!"),IF(VLOOKUP($K447,base!$B$2:$D$20,3,0)="","",IF(ISTEXT($O447),"NUMERIC!",""))),"")</f>
        <v/>
      </c>
      <c r="AC447" s="16" t="str">
        <f>IF($AA447="","",IF($B447="I",VLOOKUP($AA447,#REF!,53,0),INDEX(VALUES!$B$1:$GP$1,1,$AA447)))</f>
        <v>[-] | ja | nein</v>
      </c>
    </row>
    <row r="448" spans="1:29" hidden="1" outlineLevel="1">
      <c r="A448" s="21" t="s">
        <v>86</v>
      </c>
      <c r="B448" s="40" t="str">
        <f t="shared" si="24"/>
        <v>V</v>
      </c>
      <c r="C448" s="41">
        <f t="shared" si="28"/>
        <v>447</v>
      </c>
      <c r="D448" s="260" t="s">
        <v>9</v>
      </c>
      <c r="E448" s="37"/>
      <c r="F448" s="305"/>
      <c r="G448" s="188"/>
      <c r="H448" s="37"/>
      <c r="I448" s="37" t="s">
        <v>9</v>
      </c>
      <c r="J448" s="37"/>
      <c r="K448" s="163" t="s">
        <v>20</v>
      </c>
      <c r="L448" s="164" t="s">
        <v>34</v>
      </c>
      <c r="M448" s="178" t="s">
        <v>326</v>
      </c>
      <c r="N448" s="165" t="s">
        <v>327</v>
      </c>
      <c r="O448" s="224" t="str">
        <f t="shared" si="29"/>
        <v>[-]</v>
      </c>
      <c r="P448" s="157" t="s">
        <v>298</v>
      </c>
      <c r="Q448" s="158" t="s">
        <v>9</v>
      </c>
      <c r="R448" s="159" t="s">
        <v>105</v>
      </c>
      <c r="S448" s="159" t="s">
        <v>114</v>
      </c>
      <c r="T448" s="160" t="s">
        <v>298</v>
      </c>
      <c r="U448" s="160" t="s">
        <v>116</v>
      </c>
      <c r="V448" s="160" t="s">
        <v>327</v>
      </c>
      <c r="W448" s="161" t="str">
        <f>IF(IFERROR(VLOOKUP($M448,'IMPORT GS-Tür OL FL 2S2 20'!$H$2:$H$847,1,0),"-")="-","","GS")</f>
        <v/>
      </c>
      <c r="X448" s="14" t="str">
        <f t="shared" si="25"/>
        <v>undefiniert</v>
      </c>
      <c r="Y448" s="160" t="s">
        <v>328</v>
      </c>
      <c r="Z448" s="58" t="str">
        <f>IF(OR($M448="",NOT($O448="{array}")),"",IFERROR(MATCH(PARAMETERS!$M448,DEFAULT!$B$5:$CI$5,0),""))</f>
        <v/>
      </c>
      <c r="AA448" s="55">
        <f t="shared" si="27"/>
        <v>96</v>
      </c>
      <c r="AB448" s="62" t="str">
        <f>IF(AND(OR($A448="G",$A448="P"),NOT($O448="{array}")),IF(VLOOKUP($K448,base!$B$2:$D$20,3,0)="S",IF(OR($O448="",ISTEXT($O448)),"","STRING!"),IF(VLOOKUP($K448,base!$B$2:$D$20,3,0)="","",IF(ISTEXT($O448),"NUMERIC!",""))),"")</f>
        <v/>
      </c>
      <c r="AC448" s="16" t="str">
        <f>IF($AA448="","",IF($B448="I",VLOOKUP($AA448,#REF!,53,0),INDEX(VALUES!$B$1:$GP$1,1,$AA448)))</f>
        <v>[-] | ja | nein</v>
      </c>
    </row>
    <row r="449" spans="1:29" hidden="1" outlineLevel="1">
      <c r="A449" s="21" t="s">
        <v>86</v>
      </c>
      <c r="B449" s="40" t="str">
        <f t="shared" si="24"/>
        <v>V</v>
      </c>
      <c r="C449" s="41">
        <f t="shared" si="28"/>
        <v>448</v>
      </c>
      <c r="D449" s="260" t="s">
        <v>9</v>
      </c>
      <c r="E449" s="37"/>
      <c r="F449" s="305"/>
      <c r="G449" s="188"/>
      <c r="H449" s="37"/>
      <c r="I449" s="37" t="s">
        <v>9</v>
      </c>
      <c r="J449" s="37"/>
      <c r="K449" s="163" t="s">
        <v>20</v>
      </c>
      <c r="L449" s="164" t="s">
        <v>34</v>
      </c>
      <c r="M449" s="178" t="s">
        <v>329</v>
      </c>
      <c r="N449" s="166" t="s">
        <v>330</v>
      </c>
      <c r="O449" s="224" t="str">
        <f t="shared" si="29"/>
        <v>[-]</v>
      </c>
      <c r="P449" s="157" t="s">
        <v>298</v>
      </c>
      <c r="Q449" s="167" t="s">
        <v>9</v>
      </c>
      <c r="R449" s="168" t="s">
        <v>105</v>
      </c>
      <c r="S449" s="168" t="s">
        <v>114</v>
      </c>
      <c r="T449" s="163" t="s">
        <v>298</v>
      </c>
      <c r="U449" s="163" t="s">
        <v>116</v>
      </c>
      <c r="V449" s="163" t="s">
        <v>330</v>
      </c>
      <c r="W449" s="169" t="str">
        <f>IF(IFERROR(VLOOKUP($M449,'IMPORT GS-Tür OL FL 2S2 20'!$H$2:$H$847,1,0),"-")="-","","GS")</f>
        <v/>
      </c>
      <c r="X449" s="14" t="str">
        <f t="shared" si="25"/>
        <v>undefiniert</v>
      </c>
      <c r="Y449" s="163" t="s">
        <v>331</v>
      </c>
      <c r="Z449" s="58" t="str">
        <f>IF(OR($M449="",NOT($O449="{array}")),"",IFERROR(MATCH(PARAMETERS!$M449,DEFAULT!$B$5:$CI$5,0),""))</f>
        <v/>
      </c>
      <c r="AA449" s="55">
        <f t="shared" si="27"/>
        <v>100</v>
      </c>
      <c r="AB449" s="62" t="str">
        <f>IF(AND(OR($A449="G",$A449="P"),NOT($O449="{array}")),IF(VLOOKUP($K449,base!$B$2:$D$20,3,0)="S",IF(OR($O449="",ISTEXT($O449)),"","STRING!"),IF(VLOOKUP($K449,base!$B$2:$D$20,3,0)="","",IF(ISTEXT($O449),"NUMERIC!",""))),"")</f>
        <v/>
      </c>
      <c r="AC449" s="16" t="str">
        <f>IF($AA449="","",IF($B449="I",VLOOKUP($AA449,#REF!,53,0),INDEX(VALUES!$B$1:$GP$1,1,$AA449)))</f>
        <v>[-] | ja | nein</v>
      </c>
    </row>
    <row r="450" spans="1:29" hidden="1" outlineLevel="1">
      <c r="A450" s="21" t="s">
        <v>86</v>
      </c>
      <c r="B450" s="40" t="str">
        <f t="shared" si="24"/>
        <v>V</v>
      </c>
      <c r="C450" s="41">
        <f t="shared" si="28"/>
        <v>449</v>
      </c>
      <c r="D450" s="260" t="s">
        <v>9</v>
      </c>
      <c r="E450" s="37"/>
      <c r="F450" s="305"/>
      <c r="G450" s="188"/>
      <c r="H450" s="37"/>
      <c r="I450" s="37" t="s">
        <v>9</v>
      </c>
      <c r="J450" s="37"/>
      <c r="K450" s="160" t="s">
        <v>20</v>
      </c>
      <c r="L450" s="160" t="s">
        <v>34</v>
      </c>
      <c r="M450" s="178" t="s">
        <v>332</v>
      </c>
      <c r="N450" s="165" t="s">
        <v>333</v>
      </c>
      <c r="O450" s="224" t="str">
        <f t="shared" si="29"/>
        <v>[-]</v>
      </c>
      <c r="P450" s="170" t="s">
        <v>298</v>
      </c>
      <c r="Q450" s="158" t="s">
        <v>9</v>
      </c>
      <c r="R450" s="159" t="s">
        <v>105</v>
      </c>
      <c r="S450" s="159" t="s">
        <v>114</v>
      </c>
      <c r="T450" s="160" t="s">
        <v>298</v>
      </c>
      <c r="U450" s="160" t="s">
        <v>116</v>
      </c>
      <c r="V450" s="160" t="s">
        <v>334</v>
      </c>
      <c r="W450" s="161" t="str">
        <f>IF(IFERROR(VLOOKUP($M450,'IMPORT GS-Tür OL FL 2S2 20'!$H$2:$H$847,1,0),"-")="-","","GS")</f>
        <v/>
      </c>
      <c r="X450" s="14" t="str">
        <f t="shared" si="25"/>
        <v>undefiniert</v>
      </c>
      <c r="Y450" s="160" t="s">
        <v>335</v>
      </c>
      <c r="Z450" s="58" t="str">
        <f>IF(OR($M450="",NOT($O450="{array}")),"",IFERROR(MATCH(PARAMETERS!$M450,DEFAULT!$B$5:$CI$5,0),""))</f>
        <v/>
      </c>
      <c r="AA450" s="55">
        <f t="shared" si="27"/>
        <v>104</v>
      </c>
      <c r="AB450" s="62" t="str">
        <f>IF(AND(OR($A450="G",$A450="P"),NOT($O450="{array}")),IF(VLOOKUP($K450,base!$B$2:$D$20,3,0)="S",IF(OR($O450="",ISTEXT($O450)),"","STRING!"),IF(VLOOKUP($K450,base!$B$2:$D$20,3,0)="","",IF(ISTEXT($O450),"NUMERIC!",""))),"")</f>
        <v/>
      </c>
      <c r="AC450" s="16" t="str">
        <f>IF($AA450="","",IF($B450="I",VLOOKUP($AA450,#REF!,53,0),INDEX(VALUES!$B$1:$GP$1,1,$AA450)))</f>
        <v>[-] | nein | Unterdruck | Überdruck</v>
      </c>
    </row>
    <row r="451" spans="1:29" collapsed="1">
      <c r="A451" s="21" t="s">
        <v>86</v>
      </c>
      <c r="B451" s="40" t="str">
        <f t="shared" si="24"/>
        <v/>
      </c>
      <c r="C451" s="41">
        <f t="shared" si="28"/>
        <v>450</v>
      </c>
      <c r="D451" s="260"/>
      <c r="E451" s="37"/>
      <c r="F451" s="305"/>
      <c r="G451" s="188"/>
      <c r="H451" s="37"/>
      <c r="I451" s="37"/>
      <c r="J451" s="37"/>
      <c r="K451" s="230" t="s">
        <v>59</v>
      </c>
      <c r="L451" s="230" t="s">
        <v>40</v>
      </c>
      <c r="M451" s="231" t="s">
        <v>336</v>
      </c>
      <c r="N451" s="232" t="s">
        <v>337</v>
      </c>
      <c r="R451" s="37" t="s">
        <v>204</v>
      </c>
      <c r="S451" s="37"/>
      <c r="T451" s="14"/>
      <c r="W451" s="14" t="str">
        <f>IF(IFERROR(VLOOKUP($M451,'IMPORT GS-Tür OL FL 2S2 20'!$H$2:$H$847,1,0),"-")="-","","GS")</f>
        <v/>
      </c>
      <c r="X451" s="14" t="str">
        <f t="shared" si="25"/>
        <v>&gt;&lt;</v>
      </c>
      <c r="Z451" s="58" t="str">
        <f>IF(OR($M451="",NOT($O451="{array}")),"",IFERROR(MATCH(PARAMETERS!$M451,DEFAULT!$B$5:$CI$5,0),""))</f>
        <v/>
      </c>
      <c r="AA451" s="55" t="str">
        <f t="shared" si="27"/>
        <v/>
      </c>
      <c r="AB451" s="62" t="str">
        <f>IF(AND(OR($A451="G",$A451="P"),NOT($O451="{array}")),IF(VLOOKUP($K451,base!$B$2:$D$20,3,0)="S",IF(OR($O451="",ISTEXT($O451)),"","STRING!"),IF(VLOOKUP($K451,base!$B$2:$D$20,3,0)="","",IF(ISTEXT($O451),"NUMERIC!",""))),"")</f>
        <v/>
      </c>
      <c r="AC451" s="16" t="str">
        <f>IF($AA451="","",IF($B451="I",VLOOKUP($AA451,#REF!,53,0),INDEX(VALUES!$B$1:$GP$1,1,$AA451)))</f>
        <v/>
      </c>
    </row>
    <row r="452" spans="1:29" hidden="1" outlineLevel="1">
      <c r="A452" s="21" t="s">
        <v>86</v>
      </c>
      <c r="B452" s="40" t="str">
        <f t="shared" si="24"/>
        <v>V</v>
      </c>
      <c r="C452" s="41">
        <f t="shared" si="28"/>
        <v>451</v>
      </c>
      <c r="D452" s="260" t="s">
        <v>9</v>
      </c>
      <c r="E452" s="37"/>
      <c r="F452" s="305"/>
      <c r="G452" s="188"/>
      <c r="H452" s="37"/>
      <c r="I452" s="37" t="s">
        <v>9</v>
      </c>
      <c r="J452" s="37"/>
      <c r="K452" s="13" t="s">
        <v>20</v>
      </c>
      <c r="L452" s="13" t="s">
        <v>23</v>
      </c>
      <c r="M452" s="178" t="s">
        <v>338</v>
      </c>
      <c r="N452" s="52" t="s">
        <v>339</v>
      </c>
      <c r="O452" s="224" t="str">
        <f>undefiniert</f>
        <v>[-]</v>
      </c>
      <c r="P452" s="157" t="s">
        <v>298</v>
      </c>
      <c r="Q452" s="167"/>
      <c r="R452" s="168" t="s">
        <v>105</v>
      </c>
      <c r="S452" s="168" t="s">
        <v>114</v>
      </c>
      <c r="T452" s="163" t="s">
        <v>104</v>
      </c>
      <c r="U452" s="163" t="s">
        <v>298</v>
      </c>
      <c r="V452" s="163" t="s">
        <v>340</v>
      </c>
      <c r="W452" s="14" t="str">
        <f>IF(IFERROR(VLOOKUP($M452,'IMPORT GS-Tür OL FL 2S2 20'!$H$2:$H$847,1,0),"-")="-","","GS")</f>
        <v/>
      </c>
      <c r="X452" s="14" t="str">
        <f t="shared" si="25"/>
        <v>undefiniert</v>
      </c>
      <c r="Y452" s="163" t="s">
        <v>341</v>
      </c>
      <c r="Z452" s="58" t="str">
        <f>IF(OR($M452="",NOT($O452="{array}")),"",IFERROR(MATCH(PARAMETERS!$M452,DEFAULT!$B$5:$CI$5,0),""))</f>
        <v/>
      </c>
      <c r="AA452" s="55">
        <f t="shared" si="27"/>
        <v>107</v>
      </c>
      <c r="AB452" s="62" t="str">
        <f>IF(AND(OR($A452="G",$A452="P"),NOT($O452="{array}")),IF(VLOOKUP($K452,base!$B$2:$D$20,3,0)="S",IF(OR($O452="",ISTEXT($O452)),"","STRING!"),IF(VLOOKUP($K452,base!$B$2:$D$20,3,0)="","",IF(ISTEXT($O452),"NUMERIC!",""))),"")</f>
        <v/>
      </c>
      <c r="AC452" s="16" t="str">
        <f>IF($AA452="","",IF($B452="I",VLOOKUP($AA452,#REF!,53,0),INDEX(VALUES!$B$1:$GP$1,1,$AA452)))</f>
        <v>[-] | - | FW | RW | FW+RW</v>
      </c>
    </row>
    <row r="453" spans="1:29" hidden="1" outlineLevel="1">
      <c r="A453" s="21" t="s">
        <v>86</v>
      </c>
      <c r="B453" s="40" t="str">
        <f t="shared" si="24"/>
        <v/>
      </c>
      <c r="C453" s="41">
        <f t="shared" si="28"/>
        <v>452</v>
      </c>
      <c r="D453" s="260" t="s">
        <v>9</v>
      </c>
      <c r="E453" s="37"/>
      <c r="F453" s="305"/>
      <c r="G453" s="188"/>
      <c r="H453" s="37"/>
      <c r="I453" s="37" t="s">
        <v>9</v>
      </c>
      <c r="J453" s="37"/>
      <c r="K453" s="156" t="s">
        <v>26</v>
      </c>
      <c r="L453" s="156" t="s">
        <v>29</v>
      </c>
      <c r="M453" s="189" t="s">
        <v>342</v>
      </c>
      <c r="N453" s="156" t="s">
        <v>343</v>
      </c>
      <c r="O453" s="156">
        <v>0.5</v>
      </c>
      <c r="P453" s="172" t="s">
        <v>298</v>
      </c>
      <c r="Q453" s="173" t="s">
        <v>9</v>
      </c>
      <c r="R453" s="174" t="s">
        <v>105</v>
      </c>
      <c r="S453" s="174" t="s">
        <v>114</v>
      </c>
      <c r="T453" s="156" t="s">
        <v>298</v>
      </c>
      <c r="U453" s="156" t="s">
        <v>298</v>
      </c>
      <c r="V453" s="175"/>
      <c r="W453" s="14"/>
      <c r="X453" s="14">
        <f t="shared" si="25"/>
        <v>0.8</v>
      </c>
      <c r="Y453" s="156" t="s">
        <v>343</v>
      </c>
      <c r="Z453" s="58" t="str">
        <f>IF(OR($M453="",NOT($O453="{array}")),"",IFERROR(MATCH(PARAMETERS!$M453,DEFAULT!$B$5:$CI$5,0),""))</f>
        <v/>
      </c>
      <c r="AA453" s="55" t="str">
        <f t="shared" si="27"/>
        <v/>
      </c>
      <c r="AB453" s="62" t="str">
        <f>IF(AND(OR($A453="G",$A453="P"),NOT($O453="{array}")),IF(VLOOKUP($K453,base!$B$2:$D$20,3,0)="S",IF(OR($O453="",ISTEXT($O453)),"","STRING!"),IF(VLOOKUP($K453,base!$B$2:$D$20,3,0)="","",IF(ISTEXT($O453),"NUMERIC!",""))),"")</f>
        <v/>
      </c>
      <c r="AC453" s="16" t="str">
        <f>IF($AA453="","",IF($B453="I",VLOOKUP($AA453,#REF!,53,0),INDEX(VALUES!$B$1:$GP$1,1,$AA453)))</f>
        <v/>
      </c>
    </row>
    <row r="454" spans="1:29" hidden="1" outlineLevel="1">
      <c r="A454" s="21" t="s">
        <v>86</v>
      </c>
      <c r="B454" s="40" t="str">
        <f>IF($A454="P",IF(NOT($Z454=""),"A",IF(NOT($AA454=""),"I","")),IF(NOT($AA454=""),IF($A454="G","V","X"),IF(NOT($Z454=""),"A","")))</f>
        <v/>
      </c>
      <c r="C454" s="41">
        <f>(ROW()-1)</f>
        <v>453</v>
      </c>
      <c r="D454" s="260" t="s">
        <v>9</v>
      </c>
      <c r="E454" s="37"/>
      <c r="F454" s="305"/>
      <c r="G454" s="188"/>
      <c r="H454" s="37"/>
      <c r="I454" s="37" t="s">
        <v>9</v>
      </c>
      <c r="J454" s="37"/>
      <c r="K454" s="156" t="s">
        <v>26</v>
      </c>
      <c r="L454" s="156" t="s">
        <v>34</v>
      </c>
      <c r="M454" s="189" t="s">
        <v>3926</v>
      </c>
      <c r="N454" s="156" t="s">
        <v>3927</v>
      </c>
      <c r="O454" s="156">
        <v>1</v>
      </c>
      <c r="P454" s="172" t="s">
        <v>298</v>
      </c>
      <c r="Q454" s="173"/>
      <c r="R454" s="174" t="s">
        <v>105</v>
      </c>
      <c r="S454" s="174" t="s">
        <v>114</v>
      </c>
      <c r="T454" s="156" t="s">
        <v>298</v>
      </c>
      <c r="U454" s="156"/>
      <c r="V454" s="175"/>
      <c r="W454" s="14"/>
      <c r="Y454" s="156"/>
      <c r="Z454" s="58" t="str">
        <f>IF(OR($M454="",NOT($O454="{array}")),"",IFERROR(MATCH(PARAMETERS!$M454,DEFAULT!$B$5:$CI$5,0),""))</f>
        <v/>
      </c>
      <c r="AA454" s="55" t="str">
        <f>IF($M454="","",IFERROR(MATCH($M454,VALUESnames,0),""))</f>
        <v/>
      </c>
      <c r="AB454" s="62" t="str">
        <f>IF(AND(OR($A454="G",$A454="P"),NOT($O454="{array}")),IF(VLOOKUP($K454,base!$B$2:$D$20,3,0)="S",IF(OR($O454="",ISTEXT($O454)),"","STRING!"),IF(VLOOKUP($K454,base!$B$2:$D$20,3,0)="","",IF(ISTEXT($O454),"NUMERIC!",""))),"")</f>
        <v/>
      </c>
      <c r="AC454" s="16" t="str">
        <f>IF($AA454="","",IF($B454="I",VLOOKUP($AA454,#REF!,53,0),INDEX(VALUES!$B$1:$GP$1,1,$AA454)))</f>
        <v/>
      </c>
    </row>
    <row r="455" spans="1:29" hidden="1" outlineLevel="1">
      <c r="A455" s="21" t="s">
        <v>86</v>
      </c>
      <c r="B455" s="40" t="str">
        <f t="shared" si="24"/>
        <v/>
      </c>
      <c r="C455" s="41">
        <f t="shared" si="28"/>
        <v>454</v>
      </c>
      <c r="D455" s="260" t="s">
        <v>9</v>
      </c>
      <c r="E455" s="37"/>
      <c r="F455" s="305"/>
      <c r="G455" s="188"/>
      <c r="H455" s="37"/>
      <c r="I455" s="37" t="s">
        <v>9</v>
      </c>
      <c r="J455" s="37"/>
      <c r="K455" s="156" t="s">
        <v>26</v>
      </c>
      <c r="L455" s="156" t="s">
        <v>29</v>
      </c>
      <c r="M455" s="189" t="s">
        <v>344</v>
      </c>
      <c r="N455" s="156" t="s">
        <v>345</v>
      </c>
      <c r="O455" s="156">
        <v>1.9</v>
      </c>
      <c r="P455" s="172" t="s">
        <v>298</v>
      </c>
      <c r="Q455" s="173" t="s">
        <v>9</v>
      </c>
      <c r="R455" s="174" t="s">
        <v>105</v>
      </c>
      <c r="S455" s="174" t="s">
        <v>114</v>
      </c>
      <c r="T455" s="156" t="s">
        <v>298</v>
      </c>
      <c r="U455" s="156" t="s">
        <v>298</v>
      </c>
      <c r="V455" s="175"/>
      <c r="W455" s="14"/>
      <c r="X455" s="14">
        <f t="shared" si="25"/>
        <v>2</v>
      </c>
      <c r="Y455" s="156" t="s">
        <v>345</v>
      </c>
      <c r="Z455" s="58" t="str">
        <f>IF(OR($M455="",NOT($O455="{array}")),"",IFERROR(MATCH(PARAMETERS!$M455,DEFAULT!$B$5:$CI$5,0),""))</f>
        <v/>
      </c>
      <c r="AA455" s="55" t="str">
        <f t="shared" si="27"/>
        <v/>
      </c>
      <c r="AB455" s="62" t="str">
        <f>IF(AND(OR($A455="G",$A455="P"),NOT($O455="{array}")),IF(VLOOKUP($K455,base!$B$2:$D$20,3,0)="S",IF(OR($O455="",ISTEXT($O455)),"","STRING!"),IF(VLOOKUP($K455,base!$B$2:$D$20,3,0)="","",IF(ISTEXT($O455),"NUMERIC!",""))),"")</f>
        <v/>
      </c>
      <c r="AC455" s="16" t="str">
        <f>IF($AA455="","",IF($B455="I",VLOOKUP($AA455,#REF!,53,0),INDEX(VALUES!$B$1:$GP$1,1,$AA455)))</f>
        <v/>
      </c>
    </row>
    <row r="456" spans="1:29" hidden="1" outlineLevel="1">
      <c r="A456" s="21" t="s">
        <v>86</v>
      </c>
      <c r="B456" s="40" t="str">
        <f t="shared" si="24"/>
        <v/>
      </c>
      <c r="C456" s="41">
        <f t="shared" si="28"/>
        <v>455</v>
      </c>
      <c r="D456" s="260" t="s">
        <v>9</v>
      </c>
      <c r="E456" s="37"/>
      <c r="F456" s="305"/>
      <c r="G456" s="188"/>
      <c r="H456" s="37"/>
      <c r="I456" s="37" t="s">
        <v>9</v>
      </c>
      <c r="J456" s="37"/>
      <c r="K456" s="156" t="s">
        <v>33</v>
      </c>
      <c r="L456" s="156" t="s">
        <v>29</v>
      </c>
      <c r="M456" s="189" t="s">
        <v>346</v>
      </c>
      <c r="N456" s="156" t="s">
        <v>347</v>
      </c>
      <c r="O456" s="156">
        <v>90</v>
      </c>
      <c r="P456" s="172" t="s">
        <v>298</v>
      </c>
      <c r="Q456" s="173" t="s">
        <v>9</v>
      </c>
      <c r="R456" s="174" t="s">
        <v>105</v>
      </c>
      <c r="S456" s="174" t="s">
        <v>114</v>
      </c>
      <c r="T456" s="156" t="s">
        <v>298</v>
      </c>
      <c r="U456" s="156" t="s">
        <v>298</v>
      </c>
      <c r="V456" s="156" t="s">
        <v>347</v>
      </c>
      <c r="W456" s="14" t="str">
        <f>IF(IFERROR(VLOOKUP($M456,'IMPORT GS-Tür OL FL 2S2 20'!$H$2:$H$847,1,0),"-")="-","","GS")</f>
        <v/>
      </c>
      <c r="X456" s="14" t="str">
        <f t="shared" si="25"/>
        <v>...</v>
      </c>
      <c r="Y456" s="156" t="s">
        <v>347</v>
      </c>
      <c r="Z456" s="58" t="str">
        <f>IF(OR($M456="",NOT($O456="{array}")),"",IFERROR(MATCH(PARAMETERS!$M456,DEFAULT!$B$5:$CI$5,0),""))</f>
        <v/>
      </c>
      <c r="AA456" s="55" t="str">
        <f t="shared" si="27"/>
        <v/>
      </c>
      <c r="AB456" s="62" t="str">
        <f>IF(AND(OR($A456="G",$A456="P"),NOT($O456="{array}")),IF(VLOOKUP($K456,base!$B$2:$D$20,3,0)="S",IF(OR($O456="",ISTEXT($O456)),"","STRING!"),IF(VLOOKUP($K456,base!$B$2:$D$20,3,0)="","",IF(ISTEXT($O456),"NUMERIC!",""))),"")</f>
        <v/>
      </c>
      <c r="AC456" s="16" t="str">
        <f>IF($AA456="","",IF($B456="I",VLOOKUP($AA456,#REF!,53,0),INDEX(VALUES!$B$1:$GP$1,1,$AA456)))</f>
        <v/>
      </c>
    </row>
    <row r="457" spans="1:29" hidden="1" outlineLevel="1">
      <c r="A457" s="21" t="s">
        <v>86</v>
      </c>
      <c r="B457" s="40" t="str">
        <f t="shared" si="24"/>
        <v/>
      </c>
      <c r="C457" s="41">
        <f t="shared" si="28"/>
        <v>456</v>
      </c>
      <c r="D457" s="260" t="s">
        <v>9</v>
      </c>
      <c r="E457" s="37"/>
      <c r="F457" s="305"/>
      <c r="G457" s="188"/>
      <c r="H457" s="37"/>
      <c r="I457" s="37" t="s">
        <v>9</v>
      </c>
      <c r="J457" s="37"/>
      <c r="K457" s="156" t="s">
        <v>26</v>
      </c>
      <c r="L457" s="164" t="s">
        <v>29</v>
      </c>
      <c r="M457" s="189" t="s">
        <v>348</v>
      </c>
      <c r="N457" s="163" t="s">
        <v>349</v>
      </c>
      <c r="O457" s="156">
        <v>0</v>
      </c>
      <c r="P457" s="157" t="s">
        <v>298</v>
      </c>
      <c r="Q457" s="167" t="s">
        <v>9</v>
      </c>
      <c r="R457" s="168" t="s">
        <v>105</v>
      </c>
      <c r="S457" s="168" t="s">
        <v>114</v>
      </c>
      <c r="T457" s="163" t="s">
        <v>298</v>
      </c>
      <c r="U457" s="163" t="s">
        <v>298</v>
      </c>
      <c r="V457" s="163" t="s">
        <v>349</v>
      </c>
      <c r="W457" s="14" t="str">
        <f>IF(IFERROR(VLOOKUP($M457,'IMPORT GS-Tür OL FL 2S2 20'!$H$2:$H$847,1,0),"-")="-","","GS")</f>
        <v/>
      </c>
      <c r="X457" s="14" t="str">
        <f t="shared" si="25"/>
        <v>...</v>
      </c>
      <c r="Y457" s="163" t="s">
        <v>350</v>
      </c>
      <c r="Z457" s="58" t="str">
        <f>IF(OR($M457="",NOT($O457="{array}")),"",IFERROR(MATCH(PARAMETERS!$M457,DEFAULT!$B$5:$CI$5,0),""))</f>
        <v/>
      </c>
      <c r="AA457" s="55" t="str">
        <f t="shared" si="27"/>
        <v/>
      </c>
      <c r="AB457" s="62" t="str">
        <f>IF(AND(OR($A457="G",$A457="P"),NOT($O457="{array}")),IF(VLOOKUP($K457,base!$B$2:$D$20,3,0)="S",IF(OR($O457="",ISTEXT($O457)),"","STRING!"),IF(VLOOKUP($K457,base!$B$2:$D$20,3,0)="","",IF(ISTEXT($O457),"NUMERIC!",""))),"")</f>
        <v/>
      </c>
      <c r="AC457" s="16" t="str">
        <f>IF($AA457="","",IF($B457="I",VLOOKUP($AA457,#REF!,53,0),INDEX(VALUES!$B$1:$GP$1,1,$AA457)))</f>
        <v/>
      </c>
    </row>
    <row r="458" spans="1:29" hidden="1" outlineLevel="1">
      <c r="A458" s="21" t="s">
        <v>86</v>
      </c>
      <c r="B458" s="40" t="str">
        <f t="shared" si="24"/>
        <v>V</v>
      </c>
      <c r="C458" s="41">
        <f t="shared" si="28"/>
        <v>457</v>
      </c>
      <c r="D458" s="260" t="s">
        <v>9</v>
      </c>
      <c r="E458" s="37"/>
      <c r="F458" s="305"/>
      <c r="G458" s="188"/>
      <c r="H458" s="37"/>
      <c r="I458" s="37" t="s">
        <v>9</v>
      </c>
      <c r="J458" s="37"/>
      <c r="K458" s="156" t="s">
        <v>20</v>
      </c>
      <c r="L458" s="164" t="s">
        <v>34</v>
      </c>
      <c r="M458" s="189" t="s">
        <v>351</v>
      </c>
      <c r="N458" s="163" t="s">
        <v>352</v>
      </c>
      <c r="O458" s="224" t="str">
        <f t="shared" ref="O458:O473" si="30">undefiniert</f>
        <v>[-]</v>
      </c>
      <c r="P458" s="157" t="s">
        <v>298</v>
      </c>
      <c r="Q458" s="167" t="s">
        <v>9</v>
      </c>
      <c r="R458" s="168" t="s">
        <v>105</v>
      </c>
      <c r="S458" s="168" t="s">
        <v>114</v>
      </c>
      <c r="T458" s="163" t="s">
        <v>104</v>
      </c>
      <c r="U458" s="163" t="s">
        <v>298</v>
      </c>
      <c r="V458" s="163" t="s">
        <v>352</v>
      </c>
      <c r="W458" s="14" t="str">
        <f>IF(IFERROR(VLOOKUP($M458,'IMPORT GS-Tür OL FL 2S2 20'!$H$2:$H$847,1,0),"-")="-","","GS")</f>
        <v/>
      </c>
      <c r="X458" s="14" t="str">
        <f t="shared" si="25"/>
        <v>undefiniert</v>
      </c>
      <c r="Y458" s="163" t="s">
        <v>353</v>
      </c>
      <c r="Z458" s="58" t="str">
        <f>IF(OR($M458="",NOT($O458="{array}")),"",IFERROR(MATCH(PARAMETERS!$M458,DEFAULT!$B$5:$CI$5,0),""))</f>
        <v/>
      </c>
      <c r="AA458" s="55">
        <f t="shared" si="27"/>
        <v>86</v>
      </c>
      <c r="AB458" s="62" t="str">
        <f>IF(AND(OR($A458="G",$A458="P"),NOT($O458="{array}")),IF(VLOOKUP($K458,base!$B$2:$D$20,3,0)="S",IF(OR($O458="",ISTEXT($O458)),"","STRING!"),IF(VLOOKUP($K458,base!$B$2:$D$20,3,0)="","",IF(ISTEXT($O458),"NUMERIC!",""))),"")</f>
        <v/>
      </c>
      <c r="AC458" s="16" t="str">
        <f>IF($AA458="","",IF($B458="I",VLOOKUP($AA458,#REF!,53,0),INDEX(VALUES!$B$1:$GP$1,1,$AA458)))</f>
        <v>[-] | nein | Nachströmen | Abströmen</v>
      </c>
    </row>
    <row r="459" spans="1:29" hidden="1" outlineLevel="1">
      <c r="A459" s="21" t="s">
        <v>86</v>
      </c>
      <c r="B459" s="40" t="str">
        <f t="shared" ref="B459:B539" si="31">IF($A459="P",IF(NOT($Z459=""),"A",IF(NOT($AA459=""),"I","")),IF(NOT($AA459=""),IF($A459="G","V","X"),IF(NOT($Z459=""),"A","")))</f>
        <v>V</v>
      </c>
      <c r="C459" s="41">
        <f t="shared" si="28"/>
        <v>458</v>
      </c>
      <c r="D459" s="260" t="s">
        <v>9</v>
      </c>
      <c r="E459" s="37"/>
      <c r="F459" s="305"/>
      <c r="G459" s="188"/>
      <c r="H459" s="37"/>
      <c r="I459" s="37" t="s">
        <v>9</v>
      </c>
      <c r="J459" s="37"/>
      <c r="K459" s="163" t="s">
        <v>20</v>
      </c>
      <c r="L459" s="164" t="s">
        <v>29</v>
      </c>
      <c r="M459" s="189" t="s">
        <v>354</v>
      </c>
      <c r="N459" s="163" t="s">
        <v>355</v>
      </c>
      <c r="O459" s="224" t="str">
        <f t="shared" si="30"/>
        <v>[-]</v>
      </c>
      <c r="P459" s="157" t="s">
        <v>298</v>
      </c>
      <c r="Q459" s="167" t="s">
        <v>9</v>
      </c>
      <c r="R459" s="168" t="s">
        <v>105</v>
      </c>
      <c r="S459" s="168" t="s">
        <v>114</v>
      </c>
      <c r="T459" s="163" t="s">
        <v>104</v>
      </c>
      <c r="U459" s="163" t="s">
        <v>298</v>
      </c>
      <c r="V459" s="163" t="s">
        <v>355</v>
      </c>
      <c r="W459" s="14" t="str">
        <f>IF(IFERROR(VLOOKUP($M459,'IMPORT GS-Tür OL FL 2S2 20'!$H$2:$H$847,1,0),"-")="-","","GS")</f>
        <v/>
      </c>
      <c r="X459" s="14" t="str">
        <f t="shared" si="25"/>
        <v>undefiniert</v>
      </c>
      <c r="Y459" s="163" t="s">
        <v>356</v>
      </c>
      <c r="Z459" s="58" t="str">
        <f>IF(OR($M459="",NOT($O459="{array}")),"",IFERROR(MATCH(PARAMETERS!$M459,DEFAULT!$B$5:$CI$5,0),""))</f>
        <v/>
      </c>
      <c r="AA459" s="55">
        <f t="shared" si="27"/>
        <v>109</v>
      </c>
      <c r="AB459" s="62" t="str">
        <f>IF(AND(OR($A459="G",$A459="P"),NOT($O459="{array}")),IF(VLOOKUP($K459,base!$B$2:$D$20,3,0)="S",IF(OR($O459="",ISTEXT($O459)),"","STRING!"),IF(VLOOKUP($K459,base!$B$2:$D$20,3,0)="","",IF(ISTEXT($O459),"NUMERIC!",""))),"")</f>
        <v/>
      </c>
      <c r="AC459" s="16" t="str">
        <f>IF($AA459="","",IF($B459="I",VLOOKUP($AA459,#REF!,53,0),INDEX(VALUES!$B$1:$GP$1,1,$AA459)))</f>
        <v>[-] | ja | nein</v>
      </c>
    </row>
    <row r="460" spans="1:29" hidden="1" outlineLevel="1">
      <c r="A460" s="21" t="s">
        <v>86</v>
      </c>
      <c r="B460" s="40" t="str">
        <f t="shared" si="31"/>
        <v>V</v>
      </c>
      <c r="C460" s="41">
        <f t="shared" si="28"/>
        <v>459</v>
      </c>
      <c r="D460" s="260" t="s">
        <v>9</v>
      </c>
      <c r="E460" s="37"/>
      <c r="F460" s="305"/>
      <c r="G460" s="188"/>
      <c r="H460" s="37"/>
      <c r="I460" s="37" t="s">
        <v>9</v>
      </c>
      <c r="J460" s="37"/>
      <c r="K460" s="163" t="s">
        <v>20</v>
      </c>
      <c r="L460" s="164" t="s">
        <v>29</v>
      </c>
      <c r="M460" s="189" t="s">
        <v>357</v>
      </c>
      <c r="N460" s="163" t="s">
        <v>358</v>
      </c>
      <c r="O460" s="224" t="str">
        <f t="shared" si="30"/>
        <v>[-]</v>
      </c>
      <c r="P460" s="157" t="s">
        <v>298</v>
      </c>
      <c r="Q460" s="167" t="s">
        <v>9</v>
      </c>
      <c r="R460" s="168" t="s">
        <v>105</v>
      </c>
      <c r="S460" s="168" t="s">
        <v>114</v>
      </c>
      <c r="T460" s="163" t="s">
        <v>104</v>
      </c>
      <c r="U460" s="163" t="s">
        <v>298</v>
      </c>
      <c r="V460" s="163" t="s">
        <v>358</v>
      </c>
      <c r="W460" s="14" t="str">
        <f>IF(IFERROR(VLOOKUP($M460,'IMPORT GS-Tür OL FL 2S2 20'!$H$2:$H$847,1,0),"-")="-","","GS")</f>
        <v/>
      </c>
      <c r="X460" s="14" t="str">
        <f t="shared" ref="X460:X538" si="32">IF($A460="G",IF(IFERROR(VLOOKUP($M460,Reimport,1,0),"-")="-","&gt;&lt;",IF($O460=VLOOKUP($M460,Reimport,2,0),"...",VLOOKUP($M460,Reimport,2,0))),"")</f>
        <v>undefiniert</v>
      </c>
      <c r="Y460" s="163" t="s">
        <v>359</v>
      </c>
      <c r="Z460" s="58" t="str">
        <f>IF(OR($M460="",NOT($O460="{array}")),"",IFERROR(MATCH(PARAMETERS!$M460,DEFAULT!$B$5:$CI$5,0),""))</f>
        <v/>
      </c>
      <c r="AA460" s="55">
        <f t="shared" si="27"/>
        <v>110</v>
      </c>
      <c r="AB460" s="62" t="str">
        <f>IF(AND(OR($A460="G",$A460="P"),NOT($O460="{array}")),IF(VLOOKUP($K460,base!$B$2:$D$20,3,0)="S",IF(OR($O460="",ISTEXT($O460)),"","STRING!"),IF(VLOOKUP($K460,base!$B$2:$D$20,3,0)="","",IF(ISTEXT($O460),"NUMERIC!",""))),"")</f>
        <v/>
      </c>
      <c r="AC460" s="16" t="str">
        <f>IF($AA460="","",IF($B460="I",VLOOKUP($AA460,#REF!,53,0),INDEX(VALUES!$B$1:$GP$1,1,$AA460)))</f>
        <v>[-] | ja | nein</v>
      </c>
    </row>
    <row r="461" spans="1:29" hidden="1" outlineLevel="1">
      <c r="A461" s="21" t="s">
        <v>86</v>
      </c>
      <c r="B461" s="40" t="str">
        <f t="shared" si="31"/>
        <v>V</v>
      </c>
      <c r="C461" s="41">
        <f t="shared" si="28"/>
        <v>460</v>
      </c>
      <c r="D461" s="260" t="s">
        <v>9</v>
      </c>
      <c r="E461" s="37"/>
      <c r="F461" s="305"/>
      <c r="G461" s="188"/>
      <c r="H461" s="37"/>
      <c r="I461" s="37" t="s">
        <v>9</v>
      </c>
      <c r="J461" s="37"/>
      <c r="K461" s="163" t="s">
        <v>20</v>
      </c>
      <c r="L461" s="164" t="s">
        <v>34</v>
      </c>
      <c r="M461" s="189" t="s">
        <v>360</v>
      </c>
      <c r="N461" s="163" t="s">
        <v>361</v>
      </c>
      <c r="O461" s="224" t="str">
        <f t="shared" si="30"/>
        <v>[-]</v>
      </c>
      <c r="P461" s="157" t="s">
        <v>298</v>
      </c>
      <c r="Q461" s="167" t="s">
        <v>9</v>
      </c>
      <c r="R461" s="168" t="s">
        <v>105</v>
      </c>
      <c r="S461" s="168" t="s">
        <v>114</v>
      </c>
      <c r="T461" s="163" t="s">
        <v>104</v>
      </c>
      <c r="U461" s="163" t="s">
        <v>298</v>
      </c>
      <c r="V461" s="163" t="s">
        <v>361</v>
      </c>
      <c r="W461" s="14" t="str">
        <f>IF(IFERROR(VLOOKUP($M461,'IMPORT GS-Tür OL FL 2S2 20'!$H$2:$H$847,1,0),"-")="-","","GS")</f>
        <v/>
      </c>
      <c r="X461" s="14" t="str">
        <f t="shared" si="32"/>
        <v>undefiniert</v>
      </c>
      <c r="Y461" s="163" t="s">
        <v>362</v>
      </c>
      <c r="Z461" s="58" t="str">
        <f>IF(OR($M461="",NOT($O461="{array}")),"",IFERROR(MATCH(PARAMETERS!$M461,DEFAULT!$B$5:$CI$5,0),""))</f>
        <v/>
      </c>
      <c r="AA461" s="55">
        <f t="shared" si="27"/>
        <v>111</v>
      </c>
      <c r="AB461" s="62" t="str">
        <f>IF(AND(OR($A461="G",$A461="P"),NOT($O461="{array}")),IF(VLOOKUP($K461,base!$B$2:$D$20,3,0)="S",IF(OR($O461="",ISTEXT($O461)),"","STRING!"),IF(VLOOKUP($K461,base!$B$2:$D$20,3,0)="","",IF(ISTEXT($O461),"NUMERIC!",""))),"")</f>
        <v/>
      </c>
      <c r="AC461" s="16" t="str">
        <f>IF($AA461="","",IF($B461="I",VLOOKUP($AA461,#REF!,53,0),INDEX(VALUES!$B$1:$GP$1,1,$AA461)))</f>
        <v>[-] | ja | nein</v>
      </c>
    </row>
    <row r="462" spans="1:29" hidden="1" outlineLevel="1">
      <c r="A462" s="21" t="s">
        <v>86</v>
      </c>
      <c r="B462" s="40" t="str">
        <f t="shared" si="31"/>
        <v>V</v>
      </c>
      <c r="C462" s="41">
        <f t="shared" si="28"/>
        <v>461</v>
      </c>
      <c r="D462" s="260" t="s">
        <v>9</v>
      </c>
      <c r="E462" s="37"/>
      <c r="F462" s="305"/>
      <c r="G462" s="188"/>
      <c r="H462" s="37"/>
      <c r="I462" s="37" t="s">
        <v>9</v>
      </c>
      <c r="J462" s="37"/>
      <c r="K462" s="163" t="s">
        <v>20</v>
      </c>
      <c r="L462" s="164" t="s">
        <v>34</v>
      </c>
      <c r="M462" s="178" t="s">
        <v>363</v>
      </c>
      <c r="N462" s="160" t="s">
        <v>364</v>
      </c>
      <c r="O462" s="224" t="str">
        <f t="shared" si="30"/>
        <v>[-]</v>
      </c>
      <c r="P462" s="157" t="s">
        <v>298</v>
      </c>
      <c r="Q462" s="158" t="s">
        <v>9</v>
      </c>
      <c r="R462" s="159" t="s">
        <v>105</v>
      </c>
      <c r="S462" s="159" t="s">
        <v>114</v>
      </c>
      <c r="T462" s="160" t="s">
        <v>298</v>
      </c>
      <c r="U462" s="160" t="s">
        <v>116</v>
      </c>
      <c r="V462" s="160" t="s">
        <v>364</v>
      </c>
      <c r="W462" s="161" t="str">
        <f>IF(IFERROR(VLOOKUP($M462,'IMPORT GS-Tür OL FL 2S2 20'!$H$2:$H$847,1,0),"-")="-","","GS")</f>
        <v/>
      </c>
      <c r="X462" s="14" t="str">
        <f t="shared" si="32"/>
        <v>undefiniert</v>
      </c>
      <c r="Y462" s="160" t="s">
        <v>365</v>
      </c>
      <c r="Z462" s="58" t="str">
        <f>IF(OR($M462="",NOT($O462="{array}")),"",IFERROR(MATCH(PARAMETERS!$M462,DEFAULT!$B$5:$CI$5,0),""))</f>
        <v/>
      </c>
      <c r="AA462" s="55">
        <f t="shared" si="27"/>
        <v>97</v>
      </c>
      <c r="AB462" s="62" t="str">
        <f>IF(AND(OR($A462="G",$A462="P"),NOT($O462="{array}")),IF(VLOOKUP($K462,base!$B$2:$D$20,3,0)="S",IF(OR($O462="",ISTEXT($O462)),"","STRING!"),IF(VLOOKUP($K462,base!$B$2:$D$20,3,0)="","",IF(ISTEXT($O462),"NUMERIC!",""))),"")</f>
        <v/>
      </c>
      <c r="AC462" s="16" t="str">
        <f>IF($AA462="","",IF($B462="I",VLOOKUP($AA462,#REF!,53,0),INDEX(VALUES!$B$1:$GP$1,1,$AA462)))</f>
        <v>[-] | nein | I | II | III</v>
      </c>
    </row>
    <row r="463" spans="1:29" hidden="1" outlineLevel="1">
      <c r="A463" s="21" t="s">
        <v>86</v>
      </c>
      <c r="B463" s="40" t="str">
        <f t="shared" si="31"/>
        <v>V</v>
      </c>
      <c r="C463" s="41">
        <f t="shared" si="28"/>
        <v>462</v>
      </c>
      <c r="D463" s="260" t="s">
        <v>9</v>
      </c>
      <c r="E463" s="37"/>
      <c r="F463" s="305"/>
      <c r="G463" s="188"/>
      <c r="H463" s="37"/>
      <c r="I463" s="37" t="s">
        <v>9</v>
      </c>
      <c r="J463" s="37"/>
      <c r="K463" s="163" t="s">
        <v>20</v>
      </c>
      <c r="L463" s="164" t="s">
        <v>34</v>
      </c>
      <c r="M463" s="178" t="s">
        <v>366</v>
      </c>
      <c r="N463" s="160" t="s">
        <v>367</v>
      </c>
      <c r="O463" s="224" t="str">
        <f t="shared" si="30"/>
        <v>[-]</v>
      </c>
      <c r="P463" s="157" t="s">
        <v>298</v>
      </c>
      <c r="Q463" s="158" t="s">
        <v>9</v>
      </c>
      <c r="R463" s="159" t="s">
        <v>105</v>
      </c>
      <c r="S463" s="159" t="s">
        <v>114</v>
      </c>
      <c r="T463" s="160" t="s">
        <v>298</v>
      </c>
      <c r="U463" s="160" t="s">
        <v>116</v>
      </c>
      <c r="V463" s="160" t="s">
        <v>367</v>
      </c>
      <c r="W463" s="161" t="str">
        <f>IF(IFERROR(VLOOKUP($M463,'IMPORT GS-Tür OL FL 2S2 20'!$H$2:$H$847,1,0),"-")="-","","GS")</f>
        <v/>
      </c>
      <c r="X463" s="14" t="str">
        <f t="shared" si="32"/>
        <v>undefiniert</v>
      </c>
      <c r="Y463" s="160" t="s">
        <v>368</v>
      </c>
      <c r="Z463" s="58" t="str">
        <f>IF(OR($M463="",NOT($O463="{array}")),"",IFERROR(MATCH(PARAMETERS!$M463,DEFAULT!$B$5:$CI$5,0),""))</f>
        <v/>
      </c>
      <c r="AA463" s="55">
        <f t="shared" si="27"/>
        <v>102</v>
      </c>
      <c r="AB463" s="62" t="str">
        <f>IF(AND(OR($A463="G",$A463="P"),NOT($O463="{array}")),IF(VLOOKUP($K463,base!$B$2:$D$20,3,0)="S",IF(OR($O463="",ISTEXT($O463)),"","STRING!"),IF(VLOOKUP($K463,base!$B$2:$D$20,3,0)="","",IF(ISTEXT($O463),"NUMERIC!",""))),"")</f>
        <v/>
      </c>
      <c r="AC463" s="16" t="str">
        <f>IF($AA463="","",IF($B463="I",VLOOKUP($AA463,#REF!,53,0),INDEX(VALUES!$B$1:$GP$1,1,$AA463)))</f>
        <v>[-] | ja | nein</v>
      </c>
    </row>
    <row r="464" spans="1:29" hidden="1" outlineLevel="1">
      <c r="A464" s="21" t="s">
        <v>86</v>
      </c>
      <c r="B464" s="40" t="str">
        <f t="shared" si="31"/>
        <v>V</v>
      </c>
      <c r="C464" s="41">
        <f t="shared" si="28"/>
        <v>463</v>
      </c>
      <c r="D464" s="260" t="s">
        <v>9</v>
      </c>
      <c r="E464" s="37"/>
      <c r="F464" s="305"/>
      <c r="G464" s="188"/>
      <c r="H464" s="37"/>
      <c r="I464" s="37" t="s">
        <v>9</v>
      </c>
      <c r="J464" s="37"/>
      <c r="K464" s="13" t="s">
        <v>20</v>
      </c>
      <c r="L464" s="13" t="s">
        <v>23</v>
      </c>
      <c r="M464" s="178" t="s">
        <v>369</v>
      </c>
      <c r="N464" s="160" t="s">
        <v>370</v>
      </c>
      <c r="O464" s="224" t="str">
        <f t="shared" si="30"/>
        <v>[-]</v>
      </c>
      <c r="P464" s="157" t="s">
        <v>298</v>
      </c>
      <c r="Q464" s="158" t="s">
        <v>9</v>
      </c>
      <c r="R464" s="159" t="s">
        <v>105</v>
      </c>
      <c r="S464" s="159" t="s">
        <v>114</v>
      </c>
      <c r="T464" s="160" t="s">
        <v>298</v>
      </c>
      <c r="U464" s="160" t="s">
        <v>116</v>
      </c>
      <c r="V464" s="160" t="s">
        <v>370</v>
      </c>
      <c r="W464" s="161" t="str">
        <f>IF(IFERROR(VLOOKUP($M464,'IMPORT GS-Tür OL FL 2S2 20'!$H$2:$H$847,1,0),"-")="-","","GS")</f>
        <v/>
      </c>
      <c r="X464" s="14" t="str">
        <f t="shared" si="32"/>
        <v>undefiniert</v>
      </c>
      <c r="Y464" s="160" t="s">
        <v>371</v>
      </c>
      <c r="Z464" s="58" t="str">
        <f>IF(OR($M464="",NOT($O464="{array}")),"",IFERROR(MATCH(PARAMETERS!$M464,DEFAULT!$B$5:$CI$5,0),""))</f>
        <v/>
      </c>
      <c r="AA464" s="55">
        <f t="shared" si="27"/>
        <v>103</v>
      </c>
      <c r="AB464" s="62" t="str">
        <f>IF(AND(OR($A464="G",$A464="P"),NOT($O464="{array}")),IF(VLOOKUP($K464,base!$B$2:$D$20,3,0)="S",IF(OR($O464="",ISTEXT($O464)),"","STRING!"),IF(VLOOKUP($K464,base!$B$2:$D$20,3,0)="","",IF(ISTEXT($O464),"NUMERIC!",""))),"")</f>
        <v/>
      </c>
      <c r="AC464" s="16" t="str">
        <f>IF($AA464="","",IF($B464="I",VLOOKUP($AA464,#REF!,53,0),INDEX(VALUES!$B$1:$GP$1,1,$AA464)))</f>
        <v>[-] | ja | nein</v>
      </c>
    </row>
    <row r="465" spans="1:29" hidden="1" outlineLevel="1">
      <c r="A465" s="21" t="s">
        <v>86</v>
      </c>
      <c r="B465" s="40" t="str">
        <f t="shared" si="31"/>
        <v>V</v>
      </c>
      <c r="C465" s="41">
        <f t="shared" si="28"/>
        <v>464</v>
      </c>
      <c r="D465" s="260" t="s">
        <v>9</v>
      </c>
      <c r="E465" s="37"/>
      <c r="F465" s="305"/>
      <c r="G465" s="188"/>
      <c r="H465" s="37"/>
      <c r="I465" s="37" t="s">
        <v>9</v>
      </c>
      <c r="J465" s="37"/>
      <c r="K465" s="160" t="s">
        <v>20</v>
      </c>
      <c r="L465" s="160" t="s">
        <v>34</v>
      </c>
      <c r="M465" s="178" t="s">
        <v>372</v>
      </c>
      <c r="N465" s="160" t="s">
        <v>334</v>
      </c>
      <c r="O465" s="224" t="str">
        <f t="shared" si="30"/>
        <v>[-]</v>
      </c>
      <c r="P465" s="170" t="s">
        <v>298</v>
      </c>
      <c r="Q465" s="158" t="s">
        <v>9</v>
      </c>
      <c r="R465" s="159" t="s">
        <v>105</v>
      </c>
      <c r="S465" s="159" t="s">
        <v>114</v>
      </c>
      <c r="T465" s="160" t="s">
        <v>298</v>
      </c>
      <c r="U465" s="160" t="s">
        <v>116</v>
      </c>
      <c r="V465" s="160" t="s">
        <v>334</v>
      </c>
      <c r="W465" s="161" t="str">
        <f>IF(IFERROR(VLOOKUP($M465,'IMPORT GS-Tür OL FL 2S2 20'!$H$2:$H$847,1,0),"-")="-","","GS")</f>
        <v/>
      </c>
      <c r="X465" s="14" t="str">
        <f t="shared" si="32"/>
        <v>undefiniert</v>
      </c>
      <c r="Y465" s="160" t="s">
        <v>335</v>
      </c>
      <c r="Z465" s="58" t="str">
        <f>IF(OR($M465="",NOT($O465="{array}")),"",IFERROR(MATCH(PARAMETERS!$M465,DEFAULT!$B$5:$CI$5,0),""))</f>
        <v/>
      </c>
      <c r="AA465" s="55">
        <f t="shared" si="27"/>
        <v>105</v>
      </c>
      <c r="AB465" s="62" t="str">
        <f>IF(AND(OR($A465="G",$A465="P"),NOT($O465="{array}")),IF(VLOOKUP($K465,base!$B$2:$D$20,3,0)="S",IF(OR($O465="",ISTEXT($O465)),"","STRING!"),IF(VLOOKUP($K465,base!$B$2:$D$20,3,0)="","",IF(ISTEXT($O465),"NUMERIC!",""))),"")</f>
        <v/>
      </c>
      <c r="AC465" s="16" t="str">
        <f>IF($AA465="","",IF($B465="I",VLOOKUP($AA465,#REF!,53,0),INDEX(VALUES!$B$1:$GP$1,1,$AA465)))</f>
        <v>[-] | nein | luftdicht | dampfdicht | schlagregendicht</v>
      </c>
    </row>
    <row r="466" spans="1:29" hidden="1" outlineLevel="1">
      <c r="A466" s="21" t="s">
        <v>86</v>
      </c>
      <c r="B466" s="40" t="str">
        <f t="shared" si="31"/>
        <v>V</v>
      </c>
      <c r="C466" s="41">
        <f t="shared" si="28"/>
        <v>465</v>
      </c>
      <c r="D466" s="260" t="s">
        <v>9</v>
      </c>
      <c r="E466" s="37"/>
      <c r="F466" s="305"/>
      <c r="G466" s="188"/>
      <c r="H466" s="37"/>
      <c r="I466" s="37" t="s">
        <v>9</v>
      </c>
      <c r="J466" s="37"/>
      <c r="K466" s="160" t="s">
        <v>20</v>
      </c>
      <c r="L466" s="164" t="s">
        <v>34</v>
      </c>
      <c r="M466" s="189" t="s">
        <v>373</v>
      </c>
      <c r="N466" s="160" t="s">
        <v>374</v>
      </c>
      <c r="O466" s="224" t="str">
        <f t="shared" si="30"/>
        <v>[-]</v>
      </c>
      <c r="P466" s="162" t="s">
        <v>298</v>
      </c>
      <c r="Q466" s="158" t="s">
        <v>9</v>
      </c>
      <c r="R466" s="159" t="s">
        <v>105</v>
      </c>
      <c r="S466" s="159" t="s">
        <v>114</v>
      </c>
      <c r="T466" s="160" t="s">
        <v>298</v>
      </c>
      <c r="U466" s="160" t="s">
        <v>298</v>
      </c>
      <c r="V466" s="160" t="s">
        <v>374</v>
      </c>
      <c r="W466" s="161" t="str">
        <f>IF(IFERROR(VLOOKUP($M466,'IMPORT GS-Tür OL FL 2S2 20'!$H$2:$H$847,1,0),"-")="-","","GS")</f>
        <v/>
      </c>
      <c r="X466" s="14" t="str">
        <f t="shared" si="32"/>
        <v>undefiniert</v>
      </c>
      <c r="Y466" s="160" t="s">
        <v>375</v>
      </c>
      <c r="Z466" s="58" t="str">
        <f>IF(OR($M466="",NOT($O466="{array}")),"",IFERROR(MATCH(PARAMETERS!$M466,DEFAULT!$B$5:$CI$5,0),""))</f>
        <v/>
      </c>
      <c r="AA466" s="55">
        <f t="shared" si="27"/>
        <v>112</v>
      </c>
      <c r="AB466" s="62" t="str">
        <f>IF(AND(OR($A466="G",$A466="P"),NOT($O466="{array}")),IF(VLOOKUP($K466,base!$B$2:$D$20,3,0)="S",IF(OR($O466="",ISTEXT($O466)),"","STRING!"),IF(VLOOKUP($K466,base!$B$2:$D$20,3,0)="","",IF(ISTEXT($O466),"NUMERIC!",""))),"")</f>
        <v/>
      </c>
      <c r="AC466" s="16" t="str">
        <f>IF($AA466="","",IF($B466="I",VLOOKUP($AA466,#REF!,53,0),INDEX(VALUES!$B$1:$GP$1,1,$AA466)))</f>
        <v>[-] | nein | desinfektionsmittelfest | Hochdruckreinigung</v>
      </c>
    </row>
    <row r="467" spans="1:29" hidden="1" outlineLevel="1">
      <c r="A467" s="21" t="s">
        <v>86</v>
      </c>
      <c r="B467" s="40" t="str">
        <f t="shared" si="31"/>
        <v>V</v>
      </c>
      <c r="C467" s="41">
        <f t="shared" si="28"/>
        <v>466</v>
      </c>
      <c r="D467" s="260" t="s">
        <v>9</v>
      </c>
      <c r="E467" s="37"/>
      <c r="F467" s="305"/>
      <c r="G467" s="188"/>
      <c r="H467" s="37"/>
      <c r="I467" s="37" t="s">
        <v>9</v>
      </c>
      <c r="J467" s="37"/>
      <c r="K467" s="163" t="s">
        <v>20</v>
      </c>
      <c r="L467" s="164" t="s">
        <v>34</v>
      </c>
      <c r="M467" s="189" t="s">
        <v>376</v>
      </c>
      <c r="N467" s="163" t="s">
        <v>377</v>
      </c>
      <c r="O467" s="224" t="str">
        <f t="shared" si="30"/>
        <v>[-]</v>
      </c>
      <c r="P467" s="157" t="s">
        <v>298</v>
      </c>
      <c r="Q467" s="167" t="s">
        <v>9</v>
      </c>
      <c r="R467" s="168" t="s">
        <v>105</v>
      </c>
      <c r="S467" s="168" t="s">
        <v>114</v>
      </c>
      <c r="T467" s="163" t="s">
        <v>298</v>
      </c>
      <c r="U467" s="163" t="s">
        <v>298</v>
      </c>
      <c r="V467" s="163" t="s">
        <v>377</v>
      </c>
      <c r="W467" s="14" t="str">
        <f>IF(IFERROR(VLOOKUP($M467,'IMPORT GS-Tür OL FL 2S2 20'!$H$2:$H$847,1,0),"-")="-","","GS")</f>
        <v/>
      </c>
      <c r="X467" s="14" t="str">
        <f t="shared" si="32"/>
        <v>undefiniert</v>
      </c>
      <c r="Y467" s="163" t="s">
        <v>378</v>
      </c>
      <c r="Z467" s="58" t="str">
        <f>IF(OR($M467="",NOT($O467="{array}")),"",IFERROR(MATCH(PARAMETERS!$M467,DEFAULT!$B$5:$CI$5,0),""))</f>
        <v/>
      </c>
      <c r="AA467" s="55">
        <f t="shared" si="27"/>
        <v>113</v>
      </c>
      <c r="AB467" s="62" t="str">
        <f>IF(AND(OR($A467="G",$A467="P"),NOT($O467="{array}")),IF(VLOOKUP($K467,base!$B$2:$D$20,3,0)="S",IF(OR($O467="",ISTEXT($O467)),"","STRING!"),IF(VLOOKUP($K467,base!$B$2:$D$20,3,0)="","",IF(ISTEXT($O467),"NUMERIC!",""))),"")</f>
        <v/>
      </c>
      <c r="AC467" s="16" t="str">
        <f>IF($AA467="","",IF($B467="I",VLOOKUP($AA467,#REF!,53,0),INDEX(VALUES!$B$1:$GP$1,1,$AA467)))</f>
        <v>[-] | ja | nein</v>
      </c>
    </row>
    <row r="468" spans="1:29" hidden="1" outlineLevel="1">
      <c r="A468" s="21" t="s">
        <v>86</v>
      </c>
      <c r="B468" s="40" t="str">
        <f t="shared" si="31"/>
        <v/>
      </c>
      <c r="C468" s="41">
        <f t="shared" si="28"/>
        <v>467</v>
      </c>
      <c r="D468" s="261" t="s">
        <v>9</v>
      </c>
      <c r="E468" s="176"/>
      <c r="F468" s="306"/>
      <c r="G468" s="309"/>
      <c r="H468" s="176"/>
      <c r="I468" s="37" t="s">
        <v>9</v>
      </c>
      <c r="J468" s="177"/>
      <c r="K468" s="160" t="s">
        <v>20</v>
      </c>
      <c r="L468" s="160" t="s">
        <v>34</v>
      </c>
      <c r="M468" s="178" t="s">
        <v>379</v>
      </c>
      <c r="N468" s="160" t="s">
        <v>380</v>
      </c>
      <c r="O468" s="224" t="str">
        <f t="shared" si="30"/>
        <v>[-]</v>
      </c>
      <c r="P468" s="170" t="s">
        <v>298</v>
      </c>
      <c r="Q468" s="158" t="s">
        <v>9</v>
      </c>
      <c r="R468" s="159" t="s">
        <v>105</v>
      </c>
      <c r="S468" s="159" t="s">
        <v>114</v>
      </c>
      <c r="T468" s="160" t="s">
        <v>298</v>
      </c>
      <c r="U468" s="160" t="s">
        <v>116</v>
      </c>
      <c r="V468" s="160" t="s">
        <v>380</v>
      </c>
      <c r="W468" s="161" t="str">
        <f>IF(IFERROR(VLOOKUP($M468,'IMPORT GS-Tür OL FL 2S2 20'!$H$2:$H$847,1,0),"-")="-","","GS")</f>
        <v/>
      </c>
      <c r="X468" s="14" t="str">
        <f t="shared" si="32"/>
        <v>undefiniert</v>
      </c>
      <c r="Y468" s="160" t="s">
        <v>381</v>
      </c>
      <c r="Z468" s="58" t="str">
        <f>IF(OR($M468="",NOT($O468="{array}")),"",IFERROR(MATCH(PARAMETERS!$M468,DEFAULT!$B$5:$CI$5,0),""))</f>
        <v/>
      </c>
      <c r="AA468" s="55" t="str">
        <f t="shared" si="27"/>
        <v/>
      </c>
      <c r="AB468" s="62" t="str">
        <f>IF(AND(OR($A468="G",$A468="P"),NOT($O468="{array}")),IF(VLOOKUP($K468,base!$B$2:$D$20,3,0)="S",IF(OR($O468="",ISTEXT($O468)),"","STRING!"),IF(VLOOKUP($K468,base!$B$2:$D$20,3,0)="","",IF(ISTEXT($O468),"NUMERIC!",""))),"")</f>
        <v/>
      </c>
      <c r="AC468" s="16" t="str">
        <f>IF($AA468="","",IF($B468="I",VLOOKUP($AA468,#REF!,53,0),INDEX(VALUES!$B$1:$GP$1,1,$AA468)))</f>
        <v/>
      </c>
    </row>
    <row r="469" spans="1:29" hidden="1" outlineLevel="1">
      <c r="A469" s="21" t="s">
        <v>86</v>
      </c>
      <c r="B469" s="40" t="str">
        <f t="shared" si="31"/>
        <v>V</v>
      </c>
      <c r="C469" s="41">
        <f t="shared" si="28"/>
        <v>468</v>
      </c>
      <c r="D469" s="260" t="s">
        <v>9</v>
      </c>
      <c r="E469" s="37"/>
      <c r="F469" s="305"/>
      <c r="G469" s="188"/>
      <c r="H469" s="37"/>
      <c r="I469" s="37" t="s">
        <v>9</v>
      </c>
      <c r="J469" s="37"/>
      <c r="K469" s="160" t="s">
        <v>20</v>
      </c>
      <c r="L469" s="164" t="s">
        <v>34</v>
      </c>
      <c r="M469" s="178" t="s">
        <v>382</v>
      </c>
      <c r="N469" s="160" t="s">
        <v>383</v>
      </c>
      <c r="O469" s="224" t="str">
        <f t="shared" si="30"/>
        <v>[-]</v>
      </c>
      <c r="P469" s="157" t="s">
        <v>298</v>
      </c>
      <c r="Q469" s="158" t="s">
        <v>9</v>
      </c>
      <c r="R469" s="159" t="s">
        <v>105</v>
      </c>
      <c r="S469" s="159" t="s">
        <v>114</v>
      </c>
      <c r="T469" s="160" t="s">
        <v>298</v>
      </c>
      <c r="U469" s="160" t="s">
        <v>116</v>
      </c>
      <c r="V469" s="160" t="s">
        <v>383</v>
      </c>
      <c r="W469" s="161" t="str">
        <f>IF(IFERROR(VLOOKUP($M469,'IMPORT GS-Tür OL FL 2S2 20'!$H$2:$H$847,1,0),"-")="-","","GS")</f>
        <v/>
      </c>
      <c r="X469" s="14" t="str">
        <f t="shared" si="32"/>
        <v>undefiniert</v>
      </c>
      <c r="Y469" s="160" t="s">
        <v>384</v>
      </c>
      <c r="Z469" s="58" t="str">
        <f>IF(OR($M469="",NOT($O469="{array}")),"",IFERROR(MATCH(PARAMETERS!$M469,DEFAULT!$B$5:$CI$5,0),""))</f>
        <v/>
      </c>
      <c r="AA469" s="55">
        <f t="shared" si="27"/>
        <v>98</v>
      </c>
      <c r="AB469" s="62" t="str">
        <f>IF(AND(OR($A469="G",$A469="P"),NOT($O469="{array}")),IF(VLOOKUP($K469,base!$B$2:$D$20,3,0)="S",IF(OR($O469="",ISTEXT($O469)),"","STRING!"),IF(VLOOKUP($K469,base!$B$2:$D$20,3,0)="","",IF(ISTEXT($O469),"NUMERIC!",""))),"")</f>
        <v/>
      </c>
      <c r="AC469" s="16" t="str">
        <f>IF($AA469="","",IF($B469="I",VLOOKUP($AA469,#REF!,53,0),INDEX(VALUES!$B$1:$GP$1,1,$AA469)))</f>
        <v>[-] | ja | nein</v>
      </c>
    </row>
    <row r="470" spans="1:29" hidden="1" outlineLevel="1">
      <c r="A470" s="21" t="s">
        <v>86</v>
      </c>
      <c r="B470" s="40" t="str">
        <f t="shared" si="31"/>
        <v>V</v>
      </c>
      <c r="C470" s="41">
        <f t="shared" si="28"/>
        <v>469</v>
      </c>
      <c r="D470" s="260" t="s">
        <v>9</v>
      </c>
      <c r="E470" s="37"/>
      <c r="F470" s="305"/>
      <c r="G470" s="188"/>
      <c r="H470" s="37"/>
      <c r="I470" s="37" t="s">
        <v>9</v>
      </c>
      <c r="J470" s="37"/>
      <c r="K470" s="160" t="s">
        <v>20</v>
      </c>
      <c r="L470" s="164" t="s">
        <v>34</v>
      </c>
      <c r="M470" s="189" t="s">
        <v>385</v>
      </c>
      <c r="N470" s="160" t="s">
        <v>386</v>
      </c>
      <c r="O470" s="224" t="str">
        <f t="shared" si="30"/>
        <v>[-]</v>
      </c>
      <c r="P470" s="162" t="s">
        <v>298</v>
      </c>
      <c r="Q470" s="158" t="s">
        <v>9</v>
      </c>
      <c r="R470" s="159" t="s">
        <v>105</v>
      </c>
      <c r="S470" s="159" t="s">
        <v>114</v>
      </c>
      <c r="T470" s="160" t="s">
        <v>298</v>
      </c>
      <c r="U470" s="160" t="s">
        <v>298</v>
      </c>
      <c r="V470" s="160" t="s">
        <v>386</v>
      </c>
      <c r="W470" s="161" t="str">
        <f>IF(IFERROR(VLOOKUP($M470,'IMPORT GS-Tür OL FL 2S2 20'!$H$2:$H$847,1,0),"-")="-","","GS")</f>
        <v/>
      </c>
      <c r="X470" s="14" t="str">
        <f t="shared" si="32"/>
        <v>undefiniert</v>
      </c>
      <c r="Y470" s="160" t="s">
        <v>387</v>
      </c>
      <c r="Z470" s="58" t="str">
        <f>IF(OR($M470="",NOT($O470="{array}")),"",IFERROR(MATCH(PARAMETERS!$M470,DEFAULT!$B$5:$CI$5,0),""))</f>
        <v/>
      </c>
      <c r="AA470" s="55">
        <f t="shared" si="27"/>
        <v>116</v>
      </c>
      <c r="AB470" s="62" t="str">
        <f>IF(AND(OR($A470="G",$A470="P"),NOT($O470="{array}")),IF(VLOOKUP($K470,base!$B$2:$D$20,3,0)="S",IF(OR($O470="",ISTEXT($O470)),"","STRING!"),IF(VLOOKUP($K470,base!$B$2:$D$20,3,0)="","",IF(ISTEXT($O470),"NUMERIC!",""))),"")</f>
        <v/>
      </c>
      <c r="AC470" s="16" t="str">
        <f>IF($AA470="","",IF($B470="I",VLOOKUP($AA470,#REF!,53,0),INDEX(VALUES!$B$1:$GP$1,1,$AA470)))</f>
        <v>[-] | ja | nein</v>
      </c>
    </row>
    <row r="471" spans="1:29" hidden="1" outlineLevel="1">
      <c r="A471" s="21" t="s">
        <v>86</v>
      </c>
      <c r="B471" s="40" t="str">
        <f t="shared" si="31"/>
        <v>V</v>
      </c>
      <c r="C471" s="41">
        <f t="shared" si="28"/>
        <v>470</v>
      </c>
      <c r="D471" s="260" t="s">
        <v>9</v>
      </c>
      <c r="E471" s="37"/>
      <c r="F471" s="305"/>
      <c r="G471" s="188"/>
      <c r="H471" s="37"/>
      <c r="I471" s="37" t="s">
        <v>9</v>
      </c>
      <c r="J471" s="37"/>
      <c r="K471" s="160" t="s">
        <v>20</v>
      </c>
      <c r="L471" s="164" t="s">
        <v>34</v>
      </c>
      <c r="M471" s="189" t="s">
        <v>388</v>
      </c>
      <c r="N471" s="160" t="s">
        <v>389</v>
      </c>
      <c r="O471" s="224" t="str">
        <f t="shared" si="30"/>
        <v>[-]</v>
      </c>
      <c r="P471" s="162" t="s">
        <v>298</v>
      </c>
      <c r="Q471" s="158" t="s">
        <v>9</v>
      </c>
      <c r="R471" s="159" t="s">
        <v>105</v>
      </c>
      <c r="S471" s="159" t="s">
        <v>114</v>
      </c>
      <c r="T471" s="160" t="s">
        <v>298</v>
      </c>
      <c r="U471" s="160" t="s">
        <v>298</v>
      </c>
      <c r="V471" s="160" t="s">
        <v>389</v>
      </c>
      <c r="W471" s="161" t="str">
        <f>IF(IFERROR(VLOOKUP($M471,'IMPORT GS-Tür OL FL 2S2 20'!$H$2:$H$847,1,0),"-")="-","","GS")</f>
        <v/>
      </c>
      <c r="X471" s="14" t="str">
        <f t="shared" si="32"/>
        <v>undefiniert</v>
      </c>
      <c r="Y471" s="160" t="s">
        <v>390</v>
      </c>
      <c r="Z471" s="58" t="str">
        <f>IF(OR($M471="",NOT($O471="{array}")),"",IFERROR(MATCH(PARAMETERS!$M471,DEFAULT!$B$5:$CI$5,0),""))</f>
        <v/>
      </c>
      <c r="AA471" s="55">
        <f t="shared" si="27"/>
        <v>114</v>
      </c>
      <c r="AB471" s="62" t="str">
        <f>IF(AND(OR($A471="G",$A471="P"),NOT($O471="{array}")),IF(VLOOKUP($K471,base!$B$2:$D$20,3,0)="S",IF(OR($O471="",ISTEXT($O471)),"","STRING!"),IF(VLOOKUP($K471,base!$B$2:$D$20,3,0)="","",IF(ISTEXT($O471),"NUMERIC!",""))),"")</f>
        <v/>
      </c>
      <c r="AC471" s="16" t="str">
        <f>IF($AA471="","",IF($B471="I",VLOOKUP($AA471,#REF!,53,0),INDEX(VALUES!$B$1:$GP$1,1,$AA471)))</f>
        <v>[-] | ja | nein</v>
      </c>
    </row>
    <row r="472" spans="1:29" hidden="1" outlineLevel="1">
      <c r="A472" s="21" t="s">
        <v>86</v>
      </c>
      <c r="B472" s="40" t="str">
        <f t="shared" si="31"/>
        <v>V</v>
      </c>
      <c r="C472" s="41">
        <f t="shared" si="28"/>
        <v>471</v>
      </c>
      <c r="D472" s="260" t="s">
        <v>9</v>
      </c>
      <c r="E472" s="37"/>
      <c r="F472" s="305"/>
      <c r="G472" s="188"/>
      <c r="H472" s="37"/>
      <c r="I472" s="37" t="s">
        <v>9</v>
      </c>
      <c r="J472" s="37"/>
      <c r="K472" s="160" t="s">
        <v>20</v>
      </c>
      <c r="L472" s="164" t="s">
        <v>34</v>
      </c>
      <c r="M472" s="189" t="s">
        <v>391</v>
      </c>
      <c r="N472" s="160" t="s">
        <v>392</v>
      </c>
      <c r="O472" s="224" t="str">
        <f t="shared" si="30"/>
        <v>[-]</v>
      </c>
      <c r="P472" s="162" t="s">
        <v>298</v>
      </c>
      <c r="Q472" s="158" t="s">
        <v>9</v>
      </c>
      <c r="R472" s="159" t="s">
        <v>105</v>
      </c>
      <c r="S472" s="159" t="s">
        <v>114</v>
      </c>
      <c r="T472" s="160" t="s">
        <v>298</v>
      </c>
      <c r="U472" s="160" t="s">
        <v>298</v>
      </c>
      <c r="V472" s="160" t="s">
        <v>392</v>
      </c>
      <c r="W472" s="161" t="str">
        <f>IF(IFERROR(VLOOKUP($M472,'IMPORT GS-Tür OL FL 2S2 20'!$H$2:$H$847,1,0),"-")="-","","GS")</f>
        <v/>
      </c>
      <c r="X472" s="14" t="str">
        <f t="shared" si="32"/>
        <v>undefiniert</v>
      </c>
      <c r="Y472" s="160" t="s">
        <v>390</v>
      </c>
      <c r="Z472" s="58" t="str">
        <f>IF(OR($M472="",NOT($O472="{array}")),"",IFERROR(MATCH(PARAMETERS!$M472,DEFAULT!$B$5:$CI$5,0),""))</f>
        <v/>
      </c>
      <c r="AA472" s="55">
        <f t="shared" si="27"/>
        <v>115</v>
      </c>
      <c r="AB472" s="62" t="str">
        <f>IF(AND(OR($A472="G",$A472="P"),NOT($O472="{array}")),IF(VLOOKUP($K472,base!$B$2:$D$20,3,0)="S",IF(OR($O472="",ISTEXT($O472)),"","STRING!"),IF(VLOOKUP($K472,base!$B$2:$D$20,3,0)="","",IF(ISTEXT($O472),"NUMERIC!",""))),"")</f>
        <v/>
      </c>
      <c r="AC472" s="16" t="str">
        <f>IF($AA472="","",IF($B472="I",VLOOKUP($AA472,#REF!,53,0),INDEX(VALUES!$B$1:$GP$1,1,$AA472)))</f>
        <v>[-] | ja | nein</v>
      </c>
    </row>
    <row r="473" spans="1:29" hidden="1" outlineLevel="1">
      <c r="A473" s="21" t="s">
        <v>86</v>
      </c>
      <c r="B473" s="40" t="str">
        <f t="shared" si="31"/>
        <v>V</v>
      </c>
      <c r="C473" s="41">
        <f t="shared" si="28"/>
        <v>472</v>
      </c>
      <c r="D473" s="260" t="s">
        <v>9</v>
      </c>
      <c r="E473" s="37"/>
      <c r="F473" s="305"/>
      <c r="G473" s="188"/>
      <c r="H473" s="37"/>
      <c r="I473" s="37" t="s">
        <v>9</v>
      </c>
      <c r="J473" s="37"/>
      <c r="K473" s="160" t="s">
        <v>20</v>
      </c>
      <c r="L473" s="164" t="s">
        <v>34</v>
      </c>
      <c r="M473" s="189" t="s">
        <v>393</v>
      </c>
      <c r="N473" s="160" t="s">
        <v>394</v>
      </c>
      <c r="O473" s="224" t="str">
        <f t="shared" si="30"/>
        <v>[-]</v>
      </c>
      <c r="P473" s="162" t="s">
        <v>298</v>
      </c>
      <c r="Q473" s="158" t="s">
        <v>9</v>
      </c>
      <c r="R473" s="159" t="s">
        <v>105</v>
      </c>
      <c r="S473" s="159" t="s">
        <v>114</v>
      </c>
      <c r="T473" s="160" t="s">
        <v>298</v>
      </c>
      <c r="U473" s="160" t="s">
        <v>298</v>
      </c>
      <c r="V473" s="160" t="s">
        <v>394</v>
      </c>
      <c r="W473" s="161" t="str">
        <f>IF(IFERROR(VLOOKUP($M473,'IMPORT GS-Tür OL FL 2S2 20'!$H$2:$H$847,1,0),"-")="-","","GS")</f>
        <v/>
      </c>
      <c r="X473" s="14" t="str">
        <f t="shared" si="32"/>
        <v>undefiniert</v>
      </c>
      <c r="Y473" s="160" t="s">
        <v>395</v>
      </c>
      <c r="Z473" s="58" t="str">
        <f>IF(OR($M473="",NOT($O473="{array}")),"",IFERROR(MATCH(PARAMETERS!$M473,DEFAULT!$B$5:$CI$5,0),""))</f>
        <v/>
      </c>
      <c r="AA473" s="55">
        <f t="shared" si="27"/>
        <v>117</v>
      </c>
      <c r="AB473" s="62" t="str">
        <f>IF(AND(OR($A473="G",$A473="P"),NOT($O473="{array}")),IF(VLOOKUP($K473,base!$B$2:$D$20,3,0)="S",IF(OR($O473="",ISTEXT($O473)),"","STRING!"),IF(VLOOKUP($K473,base!$B$2:$D$20,3,0)="","",IF(ISTEXT($O473),"NUMERIC!",""))),"")</f>
        <v/>
      </c>
      <c r="AC473" s="16" t="str">
        <f>IF($AA473="","",IF($B473="I",VLOOKUP($AA473,#REF!,53,0),INDEX(VALUES!$B$1:$GP$1,1,$AA473)))</f>
        <v>[-] | ja | nein</v>
      </c>
    </row>
    <row r="474" spans="1:29" s="276" customFormat="1" hidden="1" outlineLevel="1">
      <c r="A474" s="263"/>
      <c r="B474" s="264" t="str">
        <f t="shared" si="31"/>
        <v/>
      </c>
      <c r="C474" s="265">
        <f t="shared" si="28"/>
        <v>473</v>
      </c>
      <c r="D474" s="266"/>
      <c r="E474" s="266"/>
      <c r="F474" s="305"/>
      <c r="G474" s="188"/>
      <c r="H474" s="266"/>
      <c r="I474" s="266" t="s">
        <v>9</v>
      </c>
      <c r="J474" s="266"/>
      <c r="K474" s="277" t="s">
        <v>20</v>
      </c>
      <c r="L474" s="277" t="s">
        <v>34</v>
      </c>
      <c r="M474" s="288" t="s">
        <v>396</v>
      </c>
      <c r="N474" s="277" t="s">
        <v>397</v>
      </c>
      <c r="O474" s="278" t="s">
        <v>136</v>
      </c>
      <c r="P474" s="287" t="s">
        <v>298</v>
      </c>
      <c r="Q474" s="281" t="s">
        <v>9</v>
      </c>
      <c r="R474" s="280" t="s">
        <v>105</v>
      </c>
      <c r="S474" s="280" t="s">
        <v>114</v>
      </c>
      <c r="T474" s="277" t="s">
        <v>298</v>
      </c>
      <c r="U474" s="277" t="s">
        <v>298</v>
      </c>
      <c r="V474" s="277" t="s">
        <v>397</v>
      </c>
      <c r="W474" s="271" t="str">
        <f>IF(IFERROR(VLOOKUP($M474,'IMPORT GS-Tür OL FL 2S2 20'!$H$2:$H$847,1,0),"-")="-","","GS")</f>
        <v/>
      </c>
      <c r="X474" s="272" t="str">
        <f t="shared" si="32"/>
        <v/>
      </c>
      <c r="Y474" s="277" t="s">
        <v>398</v>
      </c>
      <c r="Z474" s="273" t="str">
        <f>IF(OR($M474="",NOT($O474="{array}")),"",IFERROR(MATCH(PARAMETERS!$M474,DEFAULT!$B$5:$CI$5,0),""))</f>
        <v/>
      </c>
      <c r="AA474" s="272" t="str">
        <f t="shared" si="27"/>
        <v/>
      </c>
      <c r="AB474" s="274" t="str">
        <f>IF(AND(OR($A474="G",$A474="P"),NOT($O474="{array}")),IF(VLOOKUP($K474,base!$B$2:$D$20,3,0)="S",IF(OR($O474="",ISTEXT($O474)),"","STRING!"),IF(VLOOKUP($K474,base!$B$2:$D$20,3,0)="","",IF(ISTEXT($O474),"NUMERIC!",""))),"")</f>
        <v/>
      </c>
      <c r="AC474" s="275" t="str">
        <f>IF($AA474="","",IF($B474="I",VLOOKUP($AA474,#REF!,53,0),INDEX(VALUES!$B$1:$GP$1,1,$AA474)))</f>
        <v/>
      </c>
    </row>
    <row r="475" spans="1:29" hidden="1" outlineLevel="1">
      <c r="A475" s="21" t="s">
        <v>86</v>
      </c>
      <c r="B475" s="40" t="str">
        <f t="shared" si="31"/>
        <v>V</v>
      </c>
      <c r="C475" s="41">
        <f t="shared" si="28"/>
        <v>474</v>
      </c>
      <c r="D475" s="260" t="s">
        <v>9</v>
      </c>
      <c r="E475" s="37"/>
      <c r="F475" s="305"/>
      <c r="G475" s="188"/>
      <c r="H475" s="37"/>
      <c r="I475" s="37" t="s">
        <v>9</v>
      </c>
      <c r="J475" s="37"/>
      <c r="K475" s="160" t="s">
        <v>20</v>
      </c>
      <c r="L475" s="164" t="s">
        <v>34</v>
      </c>
      <c r="M475" s="178" t="s">
        <v>399</v>
      </c>
      <c r="N475" s="156" t="s">
        <v>400</v>
      </c>
      <c r="O475" s="224" t="str">
        <f>undefiniert</f>
        <v>[-]</v>
      </c>
      <c r="P475" s="168" t="s">
        <v>298</v>
      </c>
      <c r="Q475" s="158"/>
      <c r="R475" s="159" t="s">
        <v>105</v>
      </c>
      <c r="S475" s="159" t="s">
        <v>114</v>
      </c>
      <c r="T475" s="160" t="s">
        <v>298</v>
      </c>
      <c r="U475" s="160" t="s">
        <v>116</v>
      </c>
      <c r="V475" s="160" t="s">
        <v>401</v>
      </c>
      <c r="W475" s="161" t="str">
        <f>IF(IFERROR(VLOOKUP($M475,'IMPORT GS-Tür OL FL 2S2 20'!$H$2:$H$847,1,0),"-")="-","","GS")</f>
        <v/>
      </c>
      <c r="X475" s="14" t="str">
        <f t="shared" si="32"/>
        <v>undefiniert</v>
      </c>
      <c r="Y475" s="160" t="s">
        <v>402</v>
      </c>
      <c r="Z475" s="58" t="str">
        <f>IF(OR($M475="",NOT($O475="{array}")),"",IFERROR(MATCH(PARAMETERS!$M475,DEFAULT!$B$5:$CI$5,0),""))</f>
        <v/>
      </c>
      <c r="AA475" s="55">
        <f t="shared" si="27"/>
        <v>106</v>
      </c>
      <c r="AB475" s="62" t="str">
        <f>IF(AND(OR($A475="G",$A475="P"),NOT($O475="{array}")),IF(VLOOKUP($K475,base!$B$2:$D$20,3,0)="S",IF(OR($O475="",ISTEXT($O475)),"","STRING!"),IF(VLOOKUP($K475,base!$B$2:$D$20,3,0)="","",IF(ISTEXT($O475),"NUMERIC!",""))),"")</f>
        <v/>
      </c>
      <c r="AC475" s="16" t="str">
        <f>IF($AA475="","",IF($B475="I",VLOOKUP($AA475,#REF!,53,0),INDEX(VALUES!$B$1:$GP$1,1,$AA475)))</f>
        <v>[-] | nein | A | B | C</v>
      </c>
    </row>
    <row r="476" spans="1:29" hidden="1" outlineLevel="1">
      <c r="A476" s="21" t="s">
        <v>86</v>
      </c>
      <c r="B476" s="40" t="str">
        <f t="shared" si="31"/>
        <v>V</v>
      </c>
      <c r="C476" s="41">
        <f t="shared" si="28"/>
        <v>475</v>
      </c>
      <c r="D476" s="260" t="s">
        <v>9</v>
      </c>
      <c r="E476" s="37"/>
      <c r="F476" s="305"/>
      <c r="G476" s="188"/>
      <c r="H476" s="37"/>
      <c r="I476" s="37" t="s">
        <v>9</v>
      </c>
      <c r="J476" s="37"/>
      <c r="K476" s="163" t="s">
        <v>20</v>
      </c>
      <c r="L476" s="164" t="s">
        <v>34</v>
      </c>
      <c r="M476" s="178" t="s">
        <v>403</v>
      </c>
      <c r="N476" s="160" t="s">
        <v>404</v>
      </c>
      <c r="O476" s="224" t="str">
        <f>undefiniert</f>
        <v>[-]</v>
      </c>
      <c r="P476" s="157" t="s">
        <v>298</v>
      </c>
      <c r="Q476" s="158" t="s">
        <v>9</v>
      </c>
      <c r="R476" s="159" t="s">
        <v>105</v>
      </c>
      <c r="S476" s="159" t="s">
        <v>114</v>
      </c>
      <c r="T476" s="160" t="s">
        <v>298</v>
      </c>
      <c r="U476" s="160" t="s">
        <v>116</v>
      </c>
      <c r="V476" s="160" t="s">
        <v>404</v>
      </c>
      <c r="W476" s="161" t="str">
        <f>IF(IFERROR(VLOOKUP($M476,'IMPORT GS-Tür OL FL 2S2 20'!$H$2:$H$847,1,0),"-")="-","","GS")</f>
        <v/>
      </c>
      <c r="X476" s="14" t="str">
        <f t="shared" si="32"/>
        <v>undefiniert</v>
      </c>
      <c r="Y476" s="160" t="s">
        <v>405</v>
      </c>
      <c r="Z476" s="58" t="str">
        <f>IF(OR($M476="",NOT($O476="{array}")),"",IFERROR(MATCH(PARAMETERS!$M476,DEFAULT!$B$5:$CI$5,0),""))</f>
        <v/>
      </c>
      <c r="AA476" s="55">
        <f t="shared" si="27"/>
        <v>101</v>
      </c>
      <c r="AB476" s="62" t="str">
        <f>IF(AND(OR($A476="G",$A476="P"),NOT($O476="{array}")),IF(VLOOKUP($K476,base!$B$2:$D$20,3,0)="S",IF(OR($O476="",ISTEXT($O476)),"","STRING!"),IF(VLOOKUP($K476,base!$B$2:$D$20,3,0)="","",IF(ISTEXT($O476),"NUMERIC!",""))),"")</f>
        <v/>
      </c>
      <c r="AC476" s="16" t="str">
        <f>IF($AA476="","",IF($B476="I",VLOOKUP($AA476,#REF!,53,0),INDEX(VALUES!$B$1:$GP$1,1,$AA476)))</f>
        <v>[-] | nein | nach DGVU</v>
      </c>
    </row>
    <row r="477" spans="1:29" hidden="1" outlineLevel="1">
      <c r="A477" s="21" t="s">
        <v>86</v>
      </c>
      <c r="B477" s="40" t="str">
        <f t="shared" si="31"/>
        <v>V</v>
      </c>
      <c r="C477" s="41">
        <f t="shared" si="28"/>
        <v>476</v>
      </c>
      <c r="D477" s="260" t="s">
        <v>9</v>
      </c>
      <c r="E477" s="37"/>
      <c r="F477" s="305"/>
      <c r="G477" s="188"/>
      <c r="H477" s="37"/>
      <c r="I477" s="37" t="s">
        <v>9</v>
      </c>
      <c r="J477" s="37"/>
      <c r="K477" s="163" t="s">
        <v>20</v>
      </c>
      <c r="L477" s="164" t="s">
        <v>34</v>
      </c>
      <c r="M477" s="178" t="s">
        <v>406</v>
      </c>
      <c r="N477" s="163" t="s">
        <v>407</v>
      </c>
      <c r="O477" s="224" t="str">
        <f>undefiniert</f>
        <v>[-]</v>
      </c>
      <c r="P477" s="157" t="s">
        <v>298</v>
      </c>
      <c r="Q477" s="167" t="s">
        <v>9</v>
      </c>
      <c r="R477" s="168" t="s">
        <v>105</v>
      </c>
      <c r="S477" s="168" t="s">
        <v>114</v>
      </c>
      <c r="T477" s="163" t="s">
        <v>104</v>
      </c>
      <c r="U477" s="163" t="s">
        <v>298</v>
      </c>
      <c r="V477" s="163" t="s">
        <v>407</v>
      </c>
      <c r="W477" s="14" t="str">
        <f>IF(IFERROR(VLOOKUP($M477,'IMPORT GS-Tür OL FL 2S2 20'!$H$2:$H$847,1,0),"-")="-","","GS")</f>
        <v/>
      </c>
      <c r="X477" s="14" t="str">
        <f t="shared" si="32"/>
        <v>undefiniert</v>
      </c>
      <c r="Y477" s="163" t="s">
        <v>408</v>
      </c>
      <c r="Z477" s="58" t="str">
        <f>IF(OR($M477="",NOT($O477="{array}")),"",IFERROR(MATCH(PARAMETERS!$M477,DEFAULT!$B$5:$CI$5,0),""))</f>
        <v/>
      </c>
      <c r="AA477" s="55">
        <f t="shared" si="27"/>
        <v>118</v>
      </c>
      <c r="AB477" s="62" t="str">
        <f>IF(AND(OR($A477="G",$A477="P"),NOT($O477="{array}")),IF(VLOOKUP($K477,base!$B$2:$D$20,3,0)="S",IF(OR($O477="",ISTEXT($O477)),"","STRING!"),IF(VLOOKUP($K477,base!$B$2:$D$20,3,0)="","",IF(ISTEXT($O477),"NUMERIC!",""))),"")</f>
        <v/>
      </c>
      <c r="AC477" s="16" t="str">
        <f>IF($AA477="","",IF($B477="I",VLOOKUP($AA477,#REF!,53,0),INDEX(VALUES!$B$1:$GP$1,1,$AA477)))</f>
        <v>[-] | nein | DIN 18040 | DIN 18040 (R)</v>
      </c>
    </row>
    <row r="478" spans="1:29" hidden="1" outlineLevel="1">
      <c r="A478" s="21" t="s">
        <v>86</v>
      </c>
      <c r="B478" s="40" t="str">
        <f t="shared" si="31"/>
        <v>V</v>
      </c>
      <c r="C478" s="41">
        <f t="shared" si="28"/>
        <v>477</v>
      </c>
      <c r="D478" s="260" t="s">
        <v>9</v>
      </c>
      <c r="E478" s="37"/>
      <c r="F478" s="305"/>
      <c r="G478" s="188"/>
      <c r="H478" s="37"/>
      <c r="I478" s="37" t="s">
        <v>9</v>
      </c>
      <c r="J478" s="37"/>
      <c r="K478" s="160" t="s">
        <v>20</v>
      </c>
      <c r="L478" s="164" t="s">
        <v>34</v>
      </c>
      <c r="M478" s="189" t="s">
        <v>409</v>
      </c>
      <c r="N478" s="160" t="s">
        <v>410</v>
      </c>
      <c r="O478" s="224" t="str">
        <f>undefiniert</f>
        <v>[-]</v>
      </c>
      <c r="P478" s="162" t="s">
        <v>298</v>
      </c>
      <c r="Q478" s="158" t="s">
        <v>9</v>
      </c>
      <c r="R478" s="159" t="s">
        <v>105</v>
      </c>
      <c r="S478" s="159" t="s">
        <v>114</v>
      </c>
      <c r="T478" s="160" t="s">
        <v>298</v>
      </c>
      <c r="U478" s="160" t="s">
        <v>298</v>
      </c>
      <c r="V478" s="160" t="s">
        <v>410</v>
      </c>
      <c r="W478" s="161" t="str">
        <f>IF(IFERROR(VLOOKUP($M478,'IMPORT GS-Tür OL FL 2S2 20'!$H$2:$H$847,1,0),"-")="-","","GS")</f>
        <v/>
      </c>
      <c r="X478" s="14" t="str">
        <f t="shared" si="32"/>
        <v>undefiniert</v>
      </c>
      <c r="Y478" s="160" t="s">
        <v>411</v>
      </c>
      <c r="Z478" s="58" t="str">
        <f>IF(OR($M478="",NOT($O478="{array}")),"",IFERROR(MATCH(PARAMETERS!$M478,DEFAULT!$B$5:$CI$5,0),""))</f>
        <v/>
      </c>
      <c r="AA478" s="55">
        <f t="shared" si="27"/>
        <v>119</v>
      </c>
      <c r="AB478" s="62" t="str">
        <f>IF(AND(OR($A478="G",$A478="P"),NOT($O478="{array}")),IF(VLOOKUP($K478,base!$B$2:$D$20,3,0)="S",IF(OR($O478="",ISTEXT($O478)),"","STRING!"),IF(VLOOKUP($K478,base!$B$2:$D$20,3,0)="","",IF(ISTEXT($O478),"NUMERIC!",""))),"")</f>
        <v/>
      </c>
      <c r="AC478" s="16" t="str">
        <f>IF($AA478="","",IF($B478="I",VLOOKUP($AA478,#REF!,53,0),INDEX(VALUES!$B$1:$GP$1,1,$AA478)))</f>
        <v>[-] | nein | CEN/TR 15894:2009 | DIN 18040 | DIN 18040 (R)</v>
      </c>
    </row>
    <row r="479" spans="1:29" collapsed="1">
      <c r="A479" s="21" t="s">
        <v>86</v>
      </c>
      <c r="B479" s="40" t="str">
        <f t="shared" si="31"/>
        <v/>
      </c>
      <c r="C479" s="41">
        <f t="shared" si="28"/>
        <v>478</v>
      </c>
      <c r="D479" s="260"/>
      <c r="E479" s="37"/>
      <c r="F479" s="305"/>
      <c r="G479" s="188"/>
      <c r="H479" s="37"/>
      <c r="I479" s="37"/>
      <c r="J479" s="37"/>
      <c r="K479" s="230" t="s">
        <v>59</v>
      </c>
      <c r="L479" s="230" t="s">
        <v>40</v>
      </c>
      <c r="M479" s="231" t="s">
        <v>412</v>
      </c>
      <c r="N479" s="232" t="s">
        <v>413</v>
      </c>
      <c r="R479" s="37" t="s">
        <v>105</v>
      </c>
      <c r="S479" s="37"/>
      <c r="T479" s="37"/>
      <c r="W479" s="14" t="str">
        <f>IF(IFERROR(VLOOKUP($M479,'IMPORT GS-Tür OL FL 2S2 20'!$H$2:$H$847,1,0),"-")="-","","GS")</f>
        <v/>
      </c>
      <c r="X479" s="14" t="str">
        <f t="shared" si="32"/>
        <v>&gt;&lt;</v>
      </c>
      <c r="Y479" s="52"/>
      <c r="Z479" s="58" t="str">
        <f>IF(OR($M479="",NOT($O479="{array}")),"",IFERROR(MATCH(PARAMETERS!$M479,DEFAULT!$B$5:$CI$5,0),""))</f>
        <v/>
      </c>
      <c r="AA479" s="55" t="str">
        <f t="shared" si="27"/>
        <v/>
      </c>
      <c r="AB479" s="62" t="str">
        <f>IF(AND(OR($A479="G",$A479="P"),NOT($O479="{array}")),IF(VLOOKUP($K479,base!$B$2:$D$20,3,0)="S",IF(OR($O479="",ISTEXT($O479)),"","STRING!"),IF(VLOOKUP($K479,base!$B$2:$D$20,3,0)="","",IF(ISTEXT($O479),"NUMERIC!",""))),"")</f>
        <v/>
      </c>
      <c r="AC479" s="16" t="str">
        <f>IF($AA479="","",IF($B479="I",VLOOKUP($AA479,#REF!,53,0),INDEX(VALUES!$B$1:$GP$1,1,$AA479)))</f>
        <v/>
      </c>
    </row>
    <row r="480" spans="1:29" hidden="1" outlineLevel="1">
      <c r="A480" s="21" t="s">
        <v>86</v>
      </c>
      <c r="B480" s="40" t="str">
        <f t="shared" si="31"/>
        <v>V</v>
      </c>
      <c r="C480" s="41">
        <f t="shared" si="28"/>
        <v>479</v>
      </c>
      <c r="D480" s="260" t="s">
        <v>9</v>
      </c>
      <c r="E480" s="37"/>
      <c r="F480" s="305"/>
      <c r="G480" s="188"/>
      <c r="H480" s="37"/>
      <c r="I480" s="37" t="s">
        <v>9</v>
      </c>
      <c r="J480" s="37"/>
      <c r="K480" s="175" t="s">
        <v>20</v>
      </c>
      <c r="L480" s="150" t="s">
        <v>23</v>
      </c>
      <c r="M480" s="189" t="s">
        <v>414</v>
      </c>
      <c r="N480" s="179" t="s">
        <v>415</v>
      </c>
      <c r="O480" s="156" t="s">
        <v>118</v>
      </c>
      <c r="Q480" s="180"/>
      <c r="R480" s="180" t="s">
        <v>105</v>
      </c>
      <c r="S480" s="180" t="s">
        <v>114</v>
      </c>
      <c r="T480" s="37"/>
      <c r="U480" s="179"/>
      <c r="V480" s="179"/>
      <c r="W480" s="14" t="str">
        <f>IF(IFERROR(VLOOKUP($M480,'IMPORT GS-Tür OL FL 2S2 20'!$H$2:$H$847,1,0),"-")="-","","GS")</f>
        <v/>
      </c>
      <c r="X480" s="14" t="str">
        <f t="shared" si="32"/>
        <v>...</v>
      </c>
      <c r="Y480" s="179" t="s">
        <v>416</v>
      </c>
      <c r="Z480" s="58" t="str">
        <f>IF(OR($M480="",NOT($O480="{array}")),"",IFERROR(MATCH(PARAMETERS!$M480,DEFAULT!$B$5:$CI$5,0),""))</f>
        <v/>
      </c>
      <c r="AA480" s="55">
        <f t="shared" si="27"/>
        <v>120</v>
      </c>
      <c r="AB480" s="62" t="str">
        <f>IF(AND(OR($A480="G",$A480="P"),NOT($O480="{array}")),IF(VLOOKUP($K480,base!$B$2:$D$20,3,0)="S",IF(OR($O480="",ISTEXT($O480)),"","STRING!"),IF(VLOOKUP($K480,base!$B$2:$D$20,3,0)="","",IF(ISTEXT($O480),"NUMERIC!",""))),"")</f>
        <v/>
      </c>
      <c r="AC480" s="16" t="str">
        <f>IF($AA480="","",IF($B480="I",VLOOKUP($AA480,#REF!,53,0),INDEX(VALUES!$B$1:$GP$1,1,$AA480)))</f>
        <v>[-] | J | ID | ZID</v>
      </c>
    </row>
    <row r="481" spans="1:29" hidden="1" outlineLevel="1">
      <c r="A481" s="21" t="s">
        <v>86</v>
      </c>
      <c r="B481" s="40" t="str">
        <f t="shared" si="31"/>
        <v>V</v>
      </c>
      <c r="C481" s="41">
        <f t="shared" si="28"/>
        <v>480</v>
      </c>
      <c r="D481" s="260" t="s">
        <v>9</v>
      </c>
      <c r="E481" s="37"/>
      <c r="F481" s="305"/>
      <c r="G481" s="188"/>
      <c r="H481" s="37"/>
      <c r="I481" s="37" t="s">
        <v>9</v>
      </c>
      <c r="J481" s="37"/>
      <c r="K481" s="175" t="s">
        <v>20</v>
      </c>
      <c r="L481" s="150" t="s">
        <v>23</v>
      </c>
      <c r="M481" s="189" t="s">
        <v>417</v>
      </c>
      <c r="N481" s="179" t="s">
        <v>418</v>
      </c>
      <c r="O481" s="156" t="s">
        <v>118</v>
      </c>
      <c r="Q481" s="180"/>
      <c r="R481" s="180" t="s">
        <v>105</v>
      </c>
      <c r="S481" s="180" t="s">
        <v>114</v>
      </c>
      <c r="T481" s="37"/>
      <c r="U481" s="179"/>
      <c r="V481" s="179"/>
      <c r="W481" s="14" t="str">
        <f>IF(IFERROR(VLOOKUP($M481,'IMPORT GS-Tür OL FL 2S2 20'!$H$2:$H$847,1,0),"-")="-","","GS")</f>
        <v/>
      </c>
      <c r="X481" s="14" t="str">
        <f t="shared" si="32"/>
        <v>...</v>
      </c>
      <c r="Y481" s="179" t="s">
        <v>416</v>
      </c>
      <c r="Z481" s="58" t="str">
        <f>IF(OR($M481="",NOT($O481="{array}")),"",IFERROR(MATCH(PARAMETERS!$M481,DEFAULT!$B$5:$CI$5,0),""))</f>
        <v/>
      </c>
      <c r="AA481" s="55">
        <f t="shared" si="27"/>
        <v>122</v>
      </c>
      <c r="AB481" s="62" t="str">
        <f>IF(AND(OR($A481="G",$A481="P"),NOT($O481="{array}")),IF(VLOOKUP($K481,base!$B$2:$D$20,3,0)="S",IF(OR($O481="",ISTEXT($O481)),"","STRING!"),IF(VLOOKUP($K481,base!$B$2:$D$20,3,0)="","",IF(ISTEXT($O481),"NUMERIC!",""))),"")</f>
        <v/>
      </c>
      <c r="AC481" s="16" t="str">
        <f>IF($AA481="","",IF($B481="I",VLOOKUP($AA481,#REF!,53,0),INDEX(VALUES!$B$1:$GP$1,1,$AA481)))</f>
        <v>[-] | J | ID | ZID</v>
      </c>
    </row>
    <row r="482" spans="1:29" hidden="1" outlineLevel="1">
      <c r="A482" s="21" t="s">
        <v>86</v>
      </c>
      <c r="B482" s="40" t="str">
        <f t="shared" si="31"/>
        <v>V</v>
      </c>
      <c r="C482" s="41">
        <f t="shared" si="28"/>
        <v>481</v>
      </c>
      <c r="D482" s="260" t="s">
        <v>9</v>
      </c>
      <c r="E482" s="37"/>
      <c r="F482" s="305"/>
      <c r="G482" s="188"/>
      <c r="H482" s="37"/>
      <c r="I482" s="37" t="s">
        <v>9</v>
      </c>
      <c r="J482" s="37"/>
      <c r="K482" s="175" t="s">
        <v>20</v>
      </c>
      <c r="L482" s="150" t="s">
        <v>23</v>
      </c>
      <c r="M482" s="189" t="s">
        <v>419</v>
      </c>
      <c r="N482" s="179" t="s">
        <v>420</v>
      </c>
      <c r="O482" s="156" t="s">
        <v>118</v>
      </c>
      <c r="Q482" s="180"/>
      <c r="R482" s="180" t="s">
        <v>105</v>
      </c>
      <c r="S482" s="180" t="s">
        <v>114</v>
      </c>
      <c r="T482" s="37"/>
      <c r="U482" s="179"/>
      <c r="V482" s="179"/>
      <c r="W482" s="14" t="str">
        <f>IF(IFERROR(VLOOKUP($M482,'IMPORT GS-Tür OL FL 2S2 20'!$H$2:$H$847,1,0),"-")="-","","GS")</f>
        <v/>
      </c>
      <c r="X482" s="14" t="str">
        <f t="shared" si="32"/>
        <v>...</v>
      </c>
      <c r="Y482" s="179" t="s">
        <v>421</v>
      </c>
      <c r="Z482" s="58" t="str">
        <f>IF(OR($M482="",NOT($O482="{array}")),"",IFERROR(MATCH(PARAMETERS!$M482,DEFAULT!$B$5:$CI$5,0),""))</f>
        <v/>
      </c>
      <c r="AA482" s="55">
        <f t="shared" si="27"/>
        <v>124</v>
      </c>
      <c r="AB482" s="62" t="str">
        <f>IF(AND(OR($A482="G",$A482="P"),NOT($O482="{array}")),IF(VLOOKUP($K482,base!$B$2:$D$20,3,0)="S",IF(OR($O482="",ISTEXT($O482)),"","STRING!"),IF(VLOOKUP($K482,base!$B$2:$D$20,3,0)="","",IF(ISTEXT($O482),"NUMERIC!",""))),"")</f>
        <v/>
      </c>
      <c r="AC482" s="16" t="str">
        <f>IF($AA482="","",IF($B482="I",VLOOKUP($AA482,#REF!,53,0),INDEX(VALUES!$B$1:$GP$1,1,$AA482)))</f>
        <v>[-] | MÖ | UÖ | AÖ</v>
      </c>
    </row>
    <row r="483" spans="1:29" hidden="1" outlineLevel="1">
      <c r="A483" s="21" t="s">
        <v>86</v>
      </c>
      <c r="B483" s="40" t="str">
        <f t="shared" si="31"/>
        <v>V</v>
      </c>
      <c r="C483" s="41">
        <f t="shared" si="28"/>
        <v>482</v>
      </c>
      <c r="D483" s="260" t="s">
        <v>9</v>
      </c>
      <c r="E483" s="37"/>
      <c r="F483" s="305"/>
      <c r="G483" s="188"/>
      <c r="H483" s="37"/>
      <c r="I483" s="37" t="s">
        <v>9</v>
      </c>
      <c r="J483" s="37"/>
      <c r="K483" s="175" t="s">
        <v>20</v>
      </c>
      <c r="L483" s="150" t="s">
        <v>23</v>
      </c>
      <c r="M483" s="189" t="s">
        <v>422</v>
      </c>
      <c r="N483" s="179" t="s">
        <v>423</v>
      </c>
      <c r="O483" s="156" t="s">
        <v>118</v>
      </c>
      <c r="Q483" s="180"/>
      <c r="R483" s="180" t="s">
        <v>105</v>
      </c>
      <c r="S483" s="180" t="s">
        <v>114</v>
      </c>
      <c r="T483" s="37"/>
      <c r="U483" s="179"/>
      <c r="V483" s="179"/>
      <c r="W483" s="14" t="str">
        <f>IF(IFERROR(VLOOKUP($M483,'IMPORT GS-Tür OL FL 2S2 20'!$H$2:$H$847,1,0),"-")="-","","GS")</f>
        <v/>
      </c>
      <c r="X483" s="14" t="str">
        <f t="shared" si="32"/>
        <v>...</v>
      </c>
      <c r="Y483" s="179" t="s">
        <v>421</v>
      </c>
      <c r="Z483" s="58" t="str">
        <f>IF(OR($M483="",NOT($O483="{array}")),"",IFERROR(MATCH(PARAMETERS!$M483,DEFAULT!$B$5:$CI$5,0),""))</f>
        <v/>
      </c>
      <c r="AA483" s="55">
        <f t="shared" si="27"/>
        <v>126</v>
      </c>
      <c r="AB483" s="62" t="str">
        <f>IF(AND(OR($A483="G",$A483="P"),NOT($O483="{array}")),IF(VLOOKUP($K483,base!$B$2:$D$20,3,0)="S",IF(OR($O483="",ISTEXT($O483)),"","STRING!"),IF(VLOOKUP($K483,base!$B$2:$D$20,3,0)="","",IF(ISTEXT($O483),"NUMERIC!",""))),"")</f>
        <v/>
      </c>
      <c r="AC483" s="16" t="str">
        <f>IF($AA483="","",IF($B483="I",VLOOKUP($AA483,#REF!,53,0),INDEX(VALUES!$B$1:$GP$1,1,$AA483)))</f>
        <v>[-] | MÖ | UÖ | AÖ</v>
      </c>
    </row>
    <row r="484" spans="1:29" hidden="1" outlineLevel="1">
      <c r="A484" s="21" t="s">
        <v>86</v>
      </c>
      <c r="B484" s="40" t="str">
        <f t="shared" si="31"/>
        <v>V</v>
      </c>
      <c r="C484" s="41">
        <f t="shared" si="28"/>
        <v>483</v>
      </c>
      <c r="D484" s="260" t="s">
        <v>9</v>
      </c>
      <c r="E484" s="37"/>
      <c r="F484" s="305"/>
      <c r="G484" s="188"/>
      <c r="H484" s="37"/>
      <c r="I484" s="37" t="s">
        <v>9</v>
      </c>
      <c r="J484" s="37"/>
      <c r="K484" s="175" t="s">
        <v>20</v>
      </c>
      <c r="L484" s="150" t="s">
        <v>23</v>
      </c>
      <c r="M484" s="189" t="s">
        <v>424</v>
      </c>
      <c r="N484" s="179" t="s">
        <v>425</v>
      </c>
      <c r="O484" s="156" t="s">
        <v>118</v>
      </c>
      <c r="Q484" s="180"/>
      <c r="R484" s="180" t="s">
        <v>105</v>
      </c>
      <c r="S484" s="180" t="s">
        <v>114</v>
      </c>
      <c r="T484" s="37"/>
      <c r="U484" s="179"/>
      <c r="V484" s="179"/>
      <c r="W484" s="14" t="str">
        <f>IF(IFERROR(VLOOKUP($M484,'IMPORT GS-Tür OL FL 2S2 20'!$H$2:$H$847,1,0),"-")="-","","GS")</f>
        <v/>
      </c>
      <c r="X484" s="14" t="str">
        <f t="shared" si="32"/>
        <v>...</v>
      </c>
      <c r="Y484" s="179" t="s">
        <v>426</v>
      </c>
      <c r="Z484" s="58" t="str">
        <f>IF(OR($M484="",NOT($O484="{array}")),"",IFERROR(MATCH(PARAMETERS!$M484,DEFAULT!$B$5:$CI$5,0),""))</f>
        <v/>
      </c>
      <c r="AA484" s="55">
        <f t="shared" si="27"/>
        <v>128</v>
      </c>
      <c r="AB484" s="62" t="str">
        <f>IF(AND(OR($A484="G",$A484="P"),NOT($O484="{array}")),IF(VLOOKUP($K484,base!$B$2:$D$20,3,0)="S",IF(OR($O484="",ISTEXT($O484)),"","STRING!"),IF(VLOOKUP($K484,base!$B$2:$D$20,3,0)="","",IF(ISTEXT($O484),"NUMERIC!",""))),"")</f>
        <v/>
      </c>
      <c r="AC484" s="16" t="str">
        <f>IF($AA484="","",IF($B484="I",VLOOKUP($AA484,#REF!,53,0),INDEX(VALUES!$B$1:$GP$1,1,$AA484)))</f>
        <v>[-] | MS | PS | GS</v>
      </c>
    </row>
    <row r="485" spans="1:29" hidden="1" outlineLevel="1">
      <c r="A485" s="21" t="s">
        <v>86</v>
      </c>
      <c r="B485" s="40" t="str">
        <f t="shared" si="31"/>
        <v>V</v>
      </c>
      <c r="C485" s="41">
        <f t="shared" si="28"/>
        <v>484</v>
      </c>
      <c r="D485" s="260" t="s">
        <v>9</v>
      </c>
      <c r="E485" s="37"/>
      <c r="F485" s="305"/>
      <c r="G485" s="188"/>
      <c r="H485" s="37"/>
      <c r="I485" s="37" t="s">
        <v>9</v>
      </c>
      <c r="J485" s="37"/>
      <c r="K485" s="175" t="s">
        <v>20</v>
      </c>
      <c r="L485" s="150" t="s">
        <v>23</v>
      </c>
      <c r="M485" s="189" t="s">
        <v>427</v>
      </c>
      <c r="N485" s="179" t="s">
        <v>428</v>
      </c>
      <c r="O485" s="156" t="s">
        <v>118</v>
      </c>
      <c r="Q485" s="180"/>
      <c r="R485" s="180" t="s">
        <v>105</v>
      </c>
      <c r="S485" s="180" t="s">
        <v>114</v>
      </c>
      <c r="T485" s="37"/>
      <c r="U485" s="179"/>
      <c r="V485" s="179"/>
      <c r="W485" s="14" t="str">
        <f>IF(IFERROR(VLOOKUP($M485,'IMPORT GS-Tür OL FL 2S2 20'!$H$2:$H$847,1,0),"-")="-","","GS")</f>
        <v/>
      </c>
      <c r="X485" s="14" t="str">
        <f t="shared" si="32"/>
        <v>...</v>
      </c>
      <c r="Y485" s="179" t="s">
        <v>429</v>
      </c>
      <c r="Z485" s="58" t="str">
        <f>IF(OR($M485="",NOT($O485="{array}")),"",IFERROR(MATCH(PARAMETERS!$M485,DEFAULT!$B$5:$CI$5,0),""))</f>
        <v/>
      </c>
      <c r="AA485" s="55">
        <f t="shared" si="27"/>
        <v>130</v>
      </c>
      <c r="AB485" s="62" t="str">
        <f>IF(AND(OR($A485="G",$A485="P"),NOT($O485="{array}")),IF(VLOOKUP($K485,base!$B$2:$D$20,3,0)="S",IF(OR($O485="",ISTEXT($O485)),"","STRING!"),IF(VLOOKUP($K485,base!$B$2:$D$20,3,0)="","",IF(ISTEXT($O485),"NUMERIC!",""))),"")</f>
        <v/>
      </c>
      <c r="AC485" s="16" t="str">
        <f>IF($AA485="","",IF($B485="I",VLOOKUP($AA485,#REF!,53,0),INDEX(VALUES!$B$1:$GP$1,1,$AA485)))</f>
        <v>[-] | G | ZO | IBO</v>
      </c>
    </row>
    <row r="486" spans="1:29" s="276" customFormat="1" hidden="1" outlineLevel="1">
      <c r="A486" s="263"/>
      <c r="B486" s="264" t="str">
        <f t="shared" si="31"/>
        <v/>
      </c>
      <c r="C486" s="265">
        <f t="shared" si="28"/>
        <v>485</v>
      </c>
      <c r="D486" s="266"/>
      <c r="E486" s="266"/>
      <c r="F486" s="305"/>
      <c r="G486" s="188"/>
      <c r="H486" s="266"/>
      <c r="I486" s="266" t="s">
        <v>9</v>
      </c>
      <c r="J486" s="266"/>
      <c r="K486" s="267" t="s">
        <v>20</v>
      </c>
      <c r="L486" s="267" t="s">
        <v>23</v>
      </c>
      <c r="M486" s="288" t="s">
        <v>430</v>
      </c>
      <c r="N486" s="289" t="s">
        <v>431</v>
      </c>
      <c r="O486" s="277" t="s">
        <v>118</v>
      </c>
      <c r="Q486" s="266"/>
      <c r="R486" s="266" t="s">
        <v>105</v>
      </c>
      <c r="S486" s="266" t="s">
        <v>114</v>
      </c>
      <c r="T486" s="266"/>
      <c r="U486" s="290"/>
      <c r="V486" s="290"/>
      <c r="W486" s="272" t="str">
        <f>IF(IFERROR(VLOOKUP($M486,'IMPORT GS-Tür OL FL 2S2 20'!$H$2:$H$847,1,0),"-")="-","","GS")</f>
        <v/>
      </c>
      <c r="X486" s="272" t="str">
        <f t="shared" si="32"/>
        <v/>
      </c>
      <c r="Y486" s="290" t="s">
        <v>432</v>
      </c>
      <c r="Z486" s="273" t="str">
        <f>IF(OR($M486="",NOT($O486="{array}")),"",IFERROR(MATCH(PARAMETERS!$M486,DEFAULT!$B$5:$CI$5,0),""))</f>
        <v/>
      </c>
      <c r="AA486" s="272" t="str">
        <f t="shared" si="27"/>
        <v/>
      </c>
      <c r="AB486" s="274" t="str">
        <f>IF(AND(OR($A486="G",$A486="P"),NOT($O486="{array}")),IF(VLOOKUP($K486,base!$B$2:$D$20,3,0)="S",IF(OR($O486="",ISTEXT($O486)),"","STRING!"),IF(VLOOKUP($K486,base!$B$2:$D$20,3,0)="","",IF(ISTEXT($O486),"NUMERIC!",""))),"")</f>
        <v/>
      </c>
      <c r="AC486" s="275" t="str">
        <f>IF($AA486="","",IF($B486="I",VLOOKUP($AA486,#REF!,53,0),INDEX(VALUES!$B$1:$GP$1,1,$AA486)))</f>
        <v/>
      </c>
    </row>
    <row r="487" spans="1:29" collapsed="1">
      <c r="A487" s="21" t="s">
        <v>86</v>
      </c>
      <c r="B487" s="40" t="str">
        <f t="shared" si="31"/>
        <v/>
      </c>
      <c r="C487" s="41">
        <f t="shared" si="28"/>
        <v>486</v>
      </c>
      <c r="D487" s="260"/>
      <c r="E487" s="37"/>
      <c r="F487" s="305"/>
      <c r="G487" s="188"/>
      <c r="H487" s="37"/>
      <c r="I487" s="37"/>
      <c r="J487" s="37"/>
      <c r="K487" s="230" t="s">
        <v>59</v>
      </c>
      <c r="L487" s="230" t="s">
        <v>40</v>
      </c>
      <c r="M487" s="231" t="s">
        <v>3878</v>
      </c>
      <c r="N487" s="232" t="s">
        <v>3928</v>
      </c>
      <c r="R487" s="37" t="s">
        <v>204</v>
      </c>
      <c r="S487" s="37"/>
      <c r="T487" s="14"/>
      <c r="W487" s="14" t="str">
        <f>IF(IFERROR(VLOOKUP($M487,'IMPORT GS-Tür OL FL 2S2 20'!$H$2:$H$847,1,0),"-")="-","","GS")</f>
        <v/>
      </c>
      <c r="X487" s="14" t="str">
        <f t="shared" si="32"/>
        <v>&gt;&lt;</v>
      </c>
      <c r="Z487" s="58" t="str">
        <f>IF(OR($M487="",NOT($O487="{array}")),"",IFERROR(MATCH(PARAMETERS!$M487,DEFAULT!$B$5:$CI$5,0),""))</f>
        <v/>
      </c>
      <c r="AA487" s="55" t="str">
        <f t="shared" si="27"/>
        <v/>
      </c>
      <c r="AB487" s="62" t="str">
        <f>IF(AND(OR($A487="G",$A487="P"),NOT($O487="{array}")),IF(VLOOKUP($K487,base!$B$2:$D$20,3,0)="S",IF(OR($O487="",ISTEXT($O487)),"","STRING!"),IF(VLOOKUP($K487,base!$B$2:$D$20,3,0)="","",IF(ISTEXT($O487),"NUMERIC!",""))),"")</f>
        <v/>
      </c>
      <c r="AC487" s="16" t="str">
        <f>IF($AA487="","",IF($B487="I",VLOOKUP($AA487,#REF!,53,0),INDEX(VALUES!$B$1:$GP$1,1,$AA487)))</f>
        <v/>
      </c>
    </row>
    <row r="488" spans="1:29" hidden="1" outlineLevel="1">
      <c r="A488" s="21" t="s">
        <v>86</v>
      </c>
      <c r="B488" s="40" t="str">
        <f t="shared" si="31"/>
        <v>V</v>
      </c>
      <c r="C488" s="41">
        <f t="shared" si="28"/>
        <v>487</v>
      </c>
      <c r="D488" s="260" t="s">
        <v>9</v>
      </c>
      <c r="E488" s="37"/>
      <c r="F488" s="305"/>
      <c r="G488" s="188"/>
      <c r="H488" s="37"/>
      <c r="I488" s="37" t="s">
        <v>9</v>
      </c>
      <c r="J488" s="37"/>
      <c r="K488" s="52" t="s">
        <v>46</v>
      </c>
      <c r="L488" s="52" t="s">
        <v>34</v>
      </c>
      <c r="M488" s="178" t="s">
        <v>3889</v>
      </c>
      <c r="N488" s="52" t="s">
        <v>3879</v>
      </c>
      <c r="O488" s="42">
        <v>2</v>
      </c>
      <c r="P488" s="157" t="s">
        <v>298</v>
      </c>
      <c r="Q488" s="167"/>
      <c r="R488" s="174" t="s">
        <v>204</v>
      </c>
      <c r="S488" s="174" t="s">
        <v>114</v>
      </c>
      <c r="T488" s="163"/>
      <c r="U488" s="163"/>
      <c r="V488" s="163"/>
      <c r="W488" s="14"/>
      <c r="Y488" s="163"/>
      <c r="Z488" s="58" t="str">
        <f>IF(OR($M488="",NOT($O488="{array}")),"",IFERROR(MATCH(PARAMETERS!$M488,DEFAULT!$B$5:$CI$5,0),""))</f>
        <v/>
      </c>
      <c r="AA488" s="55">
        <f t="shared" si="27"/>
        <v>132</v>
      </c>
      <c r="AB488" s="62" t="str">
        <f>IF(AND(OR($A488="G",$A488="P"),NOT($O488="{array}")),IF(VLOOKUP($K488,base!$B$2:$D$20,3,0)="S",IF(OR($O488="",ISTEXT($O488)),"","STRING!"),IF(VLOOKUP($K488,base!$B$2:$D$20,3,0)="","",IF(ISTEXT($O488),"NUMERIC!",""))),"")</f>
        <v/>
      </c>
      <c r="AC488" s="16" t="str">
        <f>IF($AA488="","",IF($B488="I",VLOOKUP($AA488,#REF!,53,0),INDEX(VALUES!$B$1:$GP$1,1,$AA488)))</f>
        <v>2 | 1 | 0</v>
      </c>
    </row>
    <row r="489" spans="1:29" hidden="1" outlineLevel="1">
      <c r="A489" s="21" t="s">
        <v>86</v>
      </c>
      <c r="B489" s="40" t="str">
        <f t="shared" si="31"/>
        <v>V</v>
      </c>
      <c r="C489" s="41">
        <f t="shared" si="28"/>
        <v>488</v>
      </c>
      <c r="D489" s="260" t="s">
        <v>9</v>
      </c>
      <c r="E489" s="37"/>
      <c r="F489" s="305"/>
      <c r="G489" s="188"/>
      <c r="H489" s="37"/>
      <c r="I489" s="37" t="s">
        <v>9</v>
      </c>
      <c r="J489" s="37"/>
      <c r="K489" s="52" t="s">
        <v>46</v>
      </c>
      <c r="L489" s="52" t="s">
        <v>34</v>
      </c>
      <c r="M489" s="178" t="s">
        <v>3890</v>
      </c>
      <c r="N489" s="156" t="s">
        <v>3880</v>
      </c>
      <c r="O489" s="42">
        <v>2</v>
      </c>
      <c r="P489" s="172" t="s">
        <v>298</v>
      </c>
      <c r="Q489" s="173"/>
      <c r="R489" s="174" t="s">
        <v>204</v>
      </c>
      <c r="S489" s="174" t="s">
        <v>114</v>
      </c>
      <c r="T489" s="156"/>
      <c r="U489" s="156"/>
      <c r="V489" s="175"/>
      <c r="W489" s="14"/>
      <c r="Y489" s="156"/>
      <c r="Z489" s="58" t="str">
        <f>IF(OR($M489="",NOT($O489="{array}")),"",IFERROR(MATCH(PARAMETERS!$M489,DEFAULT!$B$5:$CI$5,0),""))</f>
        <v/>
      </c>
      <c r="AA489" s="55">
        <f t="shared" si="27"/>
        <v>134</v>
      </c>
      <c r="AB489" s="62" t="str">
        <f>IF(AND(OR($A489="G",$A489="P"),NOT($O489="{array}")),IF(VLOOKUP($K489,base!$B$2:$D$20,3,0)="S",IF(OR($O489="",ISTEXT($O489)),"","STRING!"),IF(VLOOKUP($K489,base!$B$2:$D$20,3,0)="","",IF(ISTEXT($O489),"NUMERIC!",""))),"")</f>
        <v/>
      </c>
      <c r="AC489" s="16" t="str">
        <f>IF($AA489="","",IF($B489="I",VLOOKUP($AA489,#REF!,53,0),INDEX(VALUES!$B$1:$GP$1,1,$AA489)))</f>
        <v>2 | 1 | 0</v>
      </c>
    </row>
    <row r="490" spans="1:29" hidden="1" outlineLevel="1">
      <c r="A490" s="21" t="s">
        <v>86</v>
      </c>
      <c r="B490" s="40" t="str">
        <f t="shared" si="31"/>
        <v>V</v>
      </c>
      <c r="C490" s="41">
        <f t="shared" si="28"/>
        <v>489</v>
      </c>
      <c r="D490" s="260" t="s">
        <v>9</v>
      </c>
      <c r="E490" s="37"/>
      <c r="F490" s="305"/>
      <c r="G490" s="188"/>
      <c r="H490" s="37"/>
      <c r="I490" s="37" t="s">
        <v>9</v>
      </c>
      <c r="J490" s="37"/>
      <c r="K490" s="52" t="s">
        <v>46</v>
      </c>
      <c r="L490" s="52" t="s">
        <v>34</v>
      </c>
      <c r="M490" s="178" t="s">
        <v>3891</v>
      </c>
      <c r="N490" s="156" t="s">
        <v>3881</v>
      </c>
      <c r="O490" s="42">
        <v>2</v>
      </c>
      <c r="P490" s="172" t="s">
        <v>298</v>
      </c>
      <c r="Q490" s="173"/>
      <c r="R490" s="174" t="s">
        <v>204</v>
      </c>
      <c r="S490" s="174" t="s">
        <v>114</v>
      </c>
      <c r="T490" s="156"/>
      <c r="U490" s="156"/>
      <c r="V490" s="175"/>
      <c r="W490" s="14"/>
      <c r="Y490" s="156"/>
      <c r="Z490" s="58" t="str">
        <f>IF(OR($M490="",NOT($O490="{array}")),"",IFERROR(MATCH(PARAMETERS!$M490,DEFAULT!$B$5:$CI$5,0),""))</f>
        <v/>
      </c>
      <c r="AA490" s="55">
        <f t="shared" si="27"/>
        <v>136</v>
      </c>
      <c r="AB490" s="62" t="str">
        <f>IF(AND(OR($A490="G",$A490="P"),NOT($O490="{array}")),IF(VLOOKUP($K490,base!$B$2:$D$20,3,0)="S",IF(OR($O490="",ISTEXT($O490)),"","STRING!"),IF(VLOOKUP($K490,base!$B$2:$D$20,3,0)="","",IF(ISTEXT($O490),"NUMERIC!",""))),"")</f>
        <v/>
      </c>
      <c r="AC490" s="16" t="str">
        <f>IF($AA490="","",IF($B490="I",VLOOKUP($AA490,#REF!,53,0),INDEX(VALUES!$B$1:$GP$1,1,$AA490)))</f>
        <v>2 | 1 | 0</v>
      </c>
    </row>
    <row r="491" spans="1:29" hidden="1" outlineLevel="1">
      <c r="A491" s="21" t="s">
        <v>86</v>
      </c>
      <c r="B491" s="40" t="str">
        <f t="shared" si="31"/>
        <v>V</v>
      </c>
      <c r="C491" s="41">
        <f t="shared" si="28"/>
        <v>490</v>
      </c>
      <c r="D491" s="260" t="s">
        <v>9</v>
      </c>
      <c r="E491" s="37"/>
      <c r="F491" s="305"/>
      <c r="G491" s="188"/>
      <c r="H491" s="37"/>
      <c r="I491" s="37" t="s">
        <v>9</v>
      </c>
      <c r="J491" s="37"/>
      <c r="K491" s="52" t="s">
        <v>46</v>
      </c>
      <c r="L491" s="52" t="s">
        <v>34</v>
      </c>
      <c r="M491" s="178" t="s">
        <v>3892</v>
      </c>
      <c r="N491" s="156" t="s">
        <v>3882</v>
      </c>
      <c r="O491" s="42">
        <v>2</v>
      </c>
      <c r="P491" s="172" t="s">
        <v>298</v>
      </c>
      <c r="Q491" s="173"/>
      <c r="R491" s="174" t="s">
        <v>204</v>
      </c>
      <c r="S491" s="174" t="s">
        <v>114</v>
      </c>
      <c r="T491" s="156"/>
      <c r="U491" s="156"/>
      <c r="V491" s="156"/>
      <c r="W491" s="14"/>
      <c r="Y491" s="156"/>
      <c r="Z491" s="58" t="str">
        <f>IF(OR($M491="",NOT($O491="{array}")),"",IFERROR(MATCH(PARAMETERS!$M491,DEFAULT!$B$5:$CI$5,0),""))</f>
        <v/>
      </c>
      <c r="AA491" s="55">
        <f t="shared" si="27"/>
        <v>138</v>
      </c>
      <c r="AB491" s="62" t="str">
        <f>IF(AND(OR($A491="G",$A491="P"),NOT($O491="{array}")),IF(VLOOKUP($K491,base!$B$2:$D$20,3,0)="S",IF(OR($O491="",ISTEXT($O491)),"","STRING!"),IF(VLOOKUP($K491,base!$B$2:$D$20,3,0)="","",IF(ISTEXT($O491),"NUMERIC!",""))),"")</f>
        <v/>
      </c>
      <c r="AC491" s="16" t="str">
        <f>IF($AA491="","",IF($B491="I",VLOOKUP($AA491,#REF!,53,0),INDEX(VALUES!$B$1:$GP$1,1,$AA491)))</f>
        <v>2 | 1 | 0</v>
      </c>
    </row>
    <row r="492" spans="1:29" hidden="1" outlineLevel="1">
      <c r="A492" s="21" t="s">
        <v>86</v>
      </c>
      <c r="B492" s="40" t="str">
        <f t="shared" si="31"/>
        <v>V</v>
      </c>
      <c r="C492" s="41">
        <f t="shared" si="28"/>
        <v>491</v>
      </c>
      <c r="D492" s="260" t="s">
        <v>9</v>
      </c>
      <c r="E492" s="37"/>
      <c r="F492" s="305"/>
      <c r="G492" s="188"/>
      <c r="H492" s="37"/>
      <c r="I492" s="37" t="s">
        <v>9</v>
      </c>
      <c r="J492" s="37"/>
      <c r="K492" s="52" t="s">
        <v>46</v>
      </c>
      <c r="L492" s="52" t="s">
        <v>34</v>
      </c>
      <c r="M492" s="178" t="s">
        <v>3893</v>
      </c>
      <c r="N492" s="156" t="s">
        <v>3883</v>
      </c>
      <c r="O492" s="42">
        <v>2</v>
      </c>
      <c r="P492" s="157" t="s">
        <v>298</v>
      </c>
      <c r="Q492" s="167"/>
      <c r="R492" s="174" t="s">
        <v>204</v>
      </c>
      <c r="S492" s="174" t="s">
        <v>114</v>
      </c>
      <c r="T492" s="163"/>
      <c r="U492" s="163"/>
      <c r="V492" s="163"/>
      <c r="W492" s="14"/>
      <c r="Y492" s="163"/>
      <c r="Z492" s="58" t="str">
        <f>IF(OR($M492="",NOT($O492="{array}")),"",IFERROR(MATCH(PARAMETERS!$M492,DEFAULT!$B$5:$CI$5,0),""))</f>
        <v/>
      </c>
      <c r="AA492" s="55">
        <f t="shared" si="27"/>
        <v>140</v>
      </c>
      <c r="AB492" s="62" t="str">
        <f>IF(AND(OR($A492="G",$A492="P"),NOT($O492="{array}")),IF(VLOOKUP($K492,base!$B$2:$D$20,3,0)="S",IF(OR($O492="",ISTEXT($O492)),"","STRING!"),IF(VLOOKUP($K492,base!$B$2:$D$20,3,0)="","",IF(ISTEXT($O492),"NUMERIC!",""))),"")</f>
        <v/>
      </c>
      <c r="AC492" s="16" t="str">
        <f>IF($AA492="","",IF($B492="I",VLOOKUP($AA492,#REF!,53,0),INDEX(VALUES!$B$1:$GP$1,1,$AA492)))</f>
        <v>2 | 1 | 0</v>
      </c>
    </row>
    <row r="493" spans="1:29" hidden="1" outlineLevel="1">
      <c r="A493" s="21" t="s">
        <v>86</v>
      </c>
      <c r="B493" s="40" t="str">
        <f t="shared" si="31"/>
        <v>V</v>
      </c>
      <c r="C493" s="41">
        <f t="shared" si="28"/>
        <v>492</v>
      </c>
      <c r="D493" s="260" t="s">
        <v>9</v>
      </c>
      <c r="E493" s="37"/>
      <c r="F493" s="305"/>
      <c r="G493" s="188"/>
      <c r="H493" s="37"/>
      <c r="I493" s="37" t="s">
        <v>9</v>
      </c>
      <c r="J493" s="37"/>
      <c r="K493" s="52" t="s">
        <v>46</v>
      </c>
      <c r="L493" s="52" t="s">
        <v>34</v>
      </c>
      <c r="M493" s="178" t="s">
        <v>3894</v>
      </c>
      <c r="N493" s="156" t="s">
        <v>3884</v>
      </c>
      <c r="O493" s="42">
        <v>2</v>
      </c>
      <c r="P493" s="157" t="s">
        <v>298</v>
      </c>
      <c r="Q493" s="167"/>
      <c r="R493" s="174" t="s">
        <v>204</v>
      </c>
      <c r="S493" s="174" t="s">
        <v>114</v>
      </c>
      <c r="T493" s="163"/>
      <c r="U493" s="163"/>
      <c r="V493" s="163"/>
      <c r="W493" s="14"/>
      <c r="Y493" s="163"/>
      <c r="Z493" s="58" t="str">
        <f>IF(OR($M493="",NOT($O493="{array}")),"",IFERROR(MATCH(PARAMETERS!$M493,DEFAULT!$B$5:$CI$5,0),""))</f>
        <v/>
      </c>
      <c r="AA493" s="55">
        <f t="shared" si="27"/>
        <v>142</v>
      </c>
      <c r="AB493" s="62" t="str">
        <f>IF(AND(OR($A493="G",$A493="P"),NOT($O493="{array}")),IF(VLOOKUP($K493,base!$B$2:$D$20,3,0)="S",IF(OR($O493="",ISTEXT($O493)),"","STRING!"),IF(VLOOKUP($K493,base!$B$2:$D$20,3,0)="","",IF(ISTEXT($O493),"NUMERIC!",""))),"")</f>
        <v/>
      </c>
      <c r="AC493" s="16" t="str">
        <f>IF($AA493="","",IF($B493="I",VLOOKUP($AA493,#REF!,53,0),INDEX(VALUES!$B$1:$GP$1,1,$AA493)))</f>
        <v>2 | 1 | 0</v>
      </c>
    </row>
    <row r="494" spans="1:29" hidden="1" outlineLevel="1">
      <c r="A494" s="21" t="s">
        <v>86</v>
      </c>
      <c r="B494" s="40" t="str">
        <f t="shared" si="31"/>
        <v>V</v>
      </c>
      <c r="C494" s="41">
        <f t="shared" si="28"/>
        <v>493</v>
      </c>
      <c r="D494" s="260" t="s">
        <v>9</v>
      </c>
      <c r="E494" s="37"/>
      <c r="F494" s="305"/>
      <c r="G494" s="188"/>
      <c r="H494" s="37"/>
      <c r="I494" s="37" t="s">
        <v>9</v>
      </c>
      <c r="J494" s="37"/>
      <c r="K494" s="52" t="s">
        <v>46</v>
      </c>
      <c r="L494" s="52" t="s">
        <v>34</v>
      </c>
      <c r="M494" s="178" t="s">
        <v>3895</v>
      </c>
      <c r="N494" s="156" t="s">
        <v>3885</v>
      </c>
      <c r="O494" s="42">
        <v>2</v>
      </c>
      <c r="P494" s="157" t="s">
        <v>298</v>
      </c>
      <c r="Q494" s="167"/>
      <c r="R494" s="174" t="s">
        <v>204</v>
      </c>
      <c r="S494" s="174" t="s">
        <v>114</v>
      </c>
      <c r="T494" s="163"/>
      <c r="U494" s="163"/>
      <c r="V494" s="163"/>
      <c r="W494" s="14"/>
      <c r="Y494" s="163"/>
      <c r="Z494" s="58" t="str">
        <f>IF(OR($M494="",NOT($O494="{array}")),"",IFERROR(MATCH(PARAMETERS!$M494,DEFAULT!$B$5:$CI$5,0),""))</f>
        <v/>
      </c>
      <c r="AA494" s="55">
        <f t="shared" si="27"/>
        <v>144</v>
      </c>
      <c r="AB494" s="62" t="str">
        <f>IF(AND(OR($A494="G",$A494="P"),NOT($O494="{array}")),IF(VLOOKUP($K494,base!$B$2:$D$20,3,0)="S",IF(OR($O494="",ISTEXT($O494)),"","STRING!"),IF(VLOOKUP($K494,base!$B$2:$D$20,3,0)="","",IF(ISTEXT($O494),"NUMERIC!",""))),"")</f>
        <v/>
      </c>
      <c r="AC494" s="16" t="str">
        <f>IF($AA494="","",IF($B494="I",VLOOKUP($AA494,#REF!,53,0),INDEX(VALUES!$B$1:$GP$1,1,$AA494)))</f>
        <v>2 | 1 | 0</v>
      </c>
    </row>
    <row r="495" spans="1:29" hidden="1" outlineLevel="1">
      <c r="A495" s="21" t="s">
        <v>86</v>
      </c>
      <c r="B495" s="40" t="str">
        <f t="shared" si="31"/>
        <v>V</v>
      </c>
      <c r="C495" s="41">
        <f>(ROW()-1)</f>
        <v>494</v>
      </c>
      <c r="D495" s="260" t="s">
        <v>9</v>
      </c>
      <c r="E495" s="37"/>
      <c r="F495" s="305"/>
      <c r="G495" s="188"/>
      <c r="H495" s="37"/>
      <c r="I495" s="37" t="s">
        <v>9</v>
      </c>
      <c r="J495" s="37"/>
      <c r="K495" s="52" t="s">
        <v>46</v>
      </c>
      <c r="L495" s="52" t="s">
        <v>34</v>
      </c>
      <c r="M495" s="178" t="s">
        <v>3896</v>
      </c>
      <c r="N495" s="156" t="s">
        <v>3886</v>
      </c>
      <c r="O495" s="42">
        <v>2</v>
      </c>
      <c r="P495" s="157" t="s">
        <v>298</v>
      </c>
      <c r="Q495" s="167"/>
      <c r="R495" s="174" t="s">
        <v>204</v>
      </c>
      <c r="S495" s="174" t="s">
        <v>114</v>
      </c>
      <c r="T495" s="163"/>
      <c r="U495" s="163"/>
      <c r="V495" s="163"/>
      <c r="W495" s="14"/>
      <c r="Y495" s="163"/>
      <c r="Z495" s="58" t="str">
        <f>IF(OR($M495="",NOT($O495="{array}")),"",IFERROR(MATCH(PARAMETERS!$M495,DEFAULT!$B$5:$CI$5,0),""))</f>
        <v/>
      </c>
      <c r="AA495" s="55">
        <f t="shared" si="27"/>
        <v>146</v>
      </c>
      <c r="AB495" s="62" t="str">
        <f>IF(AND(OR($A495="G",$A495="P"),NOT($O495="{array}")),IF(VLOOKUP($K495,base!$B$2:$D$20,3,0)="S",IF(OR($O495="",ISTEXT($O495)),"","STRING!"),IF(VLOOKUP($K495,base!$B$2:$D$20,3,0)="","",IF(ISTEXT($O495),"NUMERIC!",""))),"")</f>
        <v/>
      </c>
      <c r="AC495" s="16" t="str">
        <f>IF($AA495="","",IF($B495="I",VLOOKUP($AA495,#REF!,53,0),INDEX(VALUES!$B$1:$GP$1,1,$AA495)))</f>
        <v>2 | 1 | 0</v>
      </c>
    </row>
    <row r="496" spans="1:29" hidden="1" outlineLevel="1">
      <c r="A496" s="21" t="s">
        <v>86</v>
      </c>
      <c r="B496" s="40" t="str">
        <f t="shared" si="31"/>
        <v>V</v>
      </c>
      <c r="C496" s="41">
        <f>(ROW()-1)</f>
        <v>495</v>
      </c>
      <c r="D496" s="260" t="s">
        <v>9</v>
      </c>
      <c r="E496" s="37"/>
      <c r="F496" s="305"/>
      <c r="G496" s="188"/>
      <c r="H496" s="37"/>
      <c r="I496" s="37" t="s">
        <v>9</v>
      </c>
      <c r="J496" s="37"/>
      <c r="K496" s="52" t="s">
        <v>46</v>
      </c>
      <c r="L496" s="52" t="s">
        <v>34</v>
      </c>
      <c r="M496" s="178" t="s">
        <v>3897</v>
      </c>
      <c r="N496" s="156" t="s">
        <v>3887</v>
      </c>
      <c r="O496" s="42">
        <v>2</v>
      </c>
      <c r="P496" s="157" t="s">
        <v>298</v>
      </c>
      <c r="Q496" s="167"/>
      <c r="R496" s="174" t="s">
        <v>204</v>
      </c>
      <c r="S496" s="174" t="s">
        <v>114</v>
      </c>
      <c r="T496" s="163"/>
      <c r="U496" s="163"/>
      <c r="V496" s="163"/>
      <c r="W496" s="14"/>
      <c r="Y496" s="163"/>
      <c r="Z496" s="58" t="str">
        <f>IF(OR($M496="",NOT($O496="{array}")),"",IFERROR(MATCH(PARAMETERS!$M496,DEFAULT!$B$5:$CI$5,0),""))</f>
        <v/>
      </c>
      <c r="AA496" s="55">
        <f t="shared" si="27"/>
        <v>148</v>
      </c>
      <c r="AB496" s="62" t="str">
        <f>IF(AND(OR($A496="G",$A496="P"),NOT($O496="{array}")),IF(VLOOKUP($K496,base!$B$2:$D$20,3,0)="S",IF(OR($O496="",ISTEXT($O496)),"","STRING!"),IF(VLOOKUP($K496,base!$B$2:$D$20,3,0)="","",IF(ISTEXT($O496),"NUMERIC!",""))),"")</f>
        <v/>
      </c>
      <c r="AC496" s="16" t="str">
        <f>IF($AA496="","",IF($B496="I",VLOOKUP($AA496,#REF!,53,0),INDEX(VALUES!$B$1:$GP$1,1,$AA496)))</f>
        <v>2 | 1 | 0</v>
      </c>
    </row>
    <row r="497" spans="1:29" hidden="1" outlineLevel="1">
      <c r="A497" s="21" t="s">
        <v>86</v>
      </c>
      <c r="B497" s="40" t="str">
        <f t="shared" si="31"/>
        <v>V</v>
      </c>
      <c r="C497" s="41">
        <f>(ROW()-1)</f>
        <v>496</v>
      </c>
      <c r="D497" s="260" t="s">
        <v>9</v>
      </c>
      <c r="E497" s="37"/>
      <c r="F497" s="305"/>
      <c r="G497" s="188"/>
      <c r="H497" s="37"/>
      <c r="I497" s="37" t="s">
        <v>9</v>
      </c>
      <c r="J497" s="37"/>
      <c r="K497" s="52" t="s">
        <v>46</v>
      </c>
      <c r="L497" s="52" t="s">
        <v>34</v>
      </c>
      <c r="M497" s="178" t="s">
        <v>3898</v>
      </c>
      <c r="N497" s="156" t="s">
        <v>3888</v>
      </c>
      <c r="O497" s="42">
        <v>2</v>
      </c>
      <c r="P497" s="157" t="s">
        <v>298</v>
      </c>
      <c r="Q497" s="158"/>
      <c r="R497" s="174" t="s">
        <v>204</v>
      </c>
      <c r="S497" s="174" t="s">
        <v>114</v>
      </c>
      <c r="T497" s="160"/>
      <c r="U497" s="160"/>
      <c r="V497" s="160"/>
      <c r="W497" s="161"/>
      <c r="Y497" s="160"/>
      <c r="Z497" s="58" t="str">
        <f>IF(OR($M497="",NOT($O497="{array}")),"",IFERROR(MATCH(PARAMETERS!$M497,DEFAULT!$B$5:$CI$5,0),""))</f>
        <v/>
      </c>
      <c r="AA497" s="55">
        <f t="shared" si="27"/>
        <v>150</v>
      </c>
      <c r="AB497" s="62" t="str">
        <f>IF(AND(OR($A497="G",$A497="P"),NOT($O497="{array}")),IF(VLOOKUP($K497,base!$B$2:$D$20,3,0)="S",IF(OR($O497="",ISTEXT($O497)),"","STRING!"),IF(VLOOKUP($K497,base!$B$2:$D$20,3,0)="","",IF(ISTEXT($O497),"NUMERIC!",""))),"")</f>
        <v/>
      </c>
      <c r="AC497" s="16" t="str">
        <f>IF($AA497="","",IF($B497="I",VLOOKUP($AA497,#REF!,53,0),INDEX(VALUES!$B$1:$GP$1,1,$AA497)))</f>
        <v>2 | 1 | 0</v>
      </c>
    </row>
    <row r="498" spans="1:29" collapsed="1">
      <c r="A498" s="21" t="s">
        <v>433</v>
      </c>
      <c r="B498" s="40"/>
      <c r="C498" s="41"/>
      <c r="D498" s="260"/>
      <c r="E498" s="37"/>
      <c r="F498" s="305"/>
      <c r="G498" s="188"/>
      <c r="H498" s="37"/>
      <c r="I498" s="37"/>
      <c r="J498" s="37"/>
      <c r="R498" s="37"/>
      <c r="S498" s="37"/>
      <c r="T498" s="37"/>
      <c r="W498" s="14" t="str">
        <f>IF(IFERROR(VLOOKUP($M498,'IMPORT GS-Tür OL FL 2S2 20'!$H$2:$H$847,1,0),"-")="-","","GS")</f>
        <v/>
      </c>
      <c r="X498" s="14" t="str">
        <f t="shared" si="32"/>
        <v/>
      </c>
      <c r="Z498" s="58" t="str">
        <f>IF(OR($M498="",NOT($O498="{array}")),"",IFERROR(MATCH(PARAMETERS!$M498,DEFAULT!$B$5:$CI$5,0),""))</f>
        <v/>
      </c>
      <c r="AA498" s="55" t="str">
        <f t="shared" si="27"/>
        <v/>
      </c>
      <c r="AB498" s="62" t="str">
        <f>IF(AND(OR($A498="G",$A498="P"),NOT($O498="{array}")),IF(VLOOKUP($K498,base!$B$2:$D$20,3,0)="S",IF(OR($O498="",ISTEXT($O498)),"","STRING!"),IF(VLOOKUP($K498,base!$B$2:$D$20,3,0)="","",IF(ISTEXT($O498),"NUMERIC!",""))),"")</f>
        <v/>
      </c>
      <c r="AC498" s="16" t="str">
        <f>IF($AA498="","",IF($B498="I",VLOOKUP($AA498,#REF!,53,0),INDEX(VALUES!$B$1:$GP$1,1,$AA498)))</f>
        <v/>
      </c>
    </row>
    <row r="499" spans="1:29">
      <c r="A499" s="21" t="s">
        <v>86</v>
      </c>
      <c r="B499" s="40" t="str">
        <f t="shared" si="31"/>
        <v/>
      </c>
      <c r="C499" s="41">
        <f t="shared" ref="C499:C536" si="33">(ROW()-1)</f>
        <v>498</v>
      </c>
      <c r="D499" s="260"/>
      <c r="E499" s="37"/>
      <c r="F499" s="305"/>
      <c r="G499" s="188"/>
      <c r="H499" s="37"/>
      <c r="I499" s="37"/>
      <c r="J499" s="37"/>
      <c r="K499" s="13" t="s">
        <v>59</v>
      </c>
      <c r="L499" s="13" t="s">
        <v>40</v>
      </c>
      <c r="M499" s="47" t="s">
        <v>434</v>
      </c>
      <c r="N499" s="40" t="s">
        <v>435</v>
      </c>
      <c r="R499" s="37" t="s">
        <v>204</v>
      </c>
      <c r="S499" s="37"/>
      <c r="T499" s="14"/>
      <c r="W499" s="14" t="str">
        <f>IF(IFERROR(VLOOKUP($M499,'IMPORT GS-Tür OL FL 2S2 20'!$H$2:$H$847,1,0),"-")="-","","GS")</f>
        <v/>
      </c>
      <c r="X499" s="14" t="str">
        <f t="shared" si="32"/>
        <v>...</v>
      </c>
      <c r="Z499" s="58" t="str">
        <f>IF(OR($M499="",NOT($O499="{array}")),"",IFERROR(MATCH(PARAMETERS!$M499,DEFAULT!$B$5:$CI$5,0),""))</f>
        <v/>
      </c>
      <c r="AA499" s="55" t="str">
        <f t="shared" si="27"/>
        <v/>
      </c>
      <c r="AB499" s="62" t="str">
        <f>IF(AND(OR($A499="G",$A499="P"),NOT($O499="{array}")),IF(VLOOKUP($K499,base!$B$2:$D$20,3,0)="S",IF(OR($O499="",ISTEXT($O499)),"","STRING!"),IF(VLOOKUP($K499,base!$B$2:$D$20,3,0)="","",IF(ISTEXT($O499),"NUMERIC!",""))),"")</f>
        <v/>
      </c>
      <c r="AC499" s="16" t="str">
        <f>IF($AA499="","",IF($B499="I",VLOOKUP($AA499,#REF!,53,0),INDEX(VALUES!$B$1:$GP$1,1,$AA499)))</f>
        <v/>
      </c>
    </row>
    <row r="500" spans="1:29" hidden="1" outlineLevel="1">
      <c r="A500" s="21" t="s">
        <v>86</v>
      </c>
      <c r="B500" s="40" t="str">
        <f t="shared" si="31"/>
        <v>V</v>
      </c>
      <c r="C500" s="41">
        <f t="shared" si="33"/>
        <v>499</v>
      </c>
      <c r="D500" s="260" t="s">
        <v>9</v>
      </c>
      <c r="E500" s="37"/>
      <c r="F500" s="305"/>
      <c r="G500" s="188" t="s">
        <v>9</v>
      </c>
      <c r="H500" s="37"/>
      <c r="I500" s="37" t="s">
        <v>9</v>
      </c>
      <c r="J500" s="37"/>
      <c r="K500" s="156" t="s">
        <v>20</v>
      </c>
      <c r="L500" s="164" t="s">
        <v>23</v>
      </c>
      <c r="M500" s="171" t="s">
        <v>436</v>
      </c>
      <c r="N500" s="156" t="s">
        <v>437</v>
      </c>
      <c r="O500" s="160" t="s">
        <v>3121</v>
      </c>
      <c r="P500" s="162" t="s">
        <v>298</v>
      </c>
      <c r="Q500" s="159"/>
      <c r="R500" s="159" t="s">
        <v>105</v>
      </c>
      <c r="S500" s="159" t="s">
        <v>114</v>
      </c>
      <c r="T500" s="158" t="s">
        <v>104</v>
      </c>
      <c r="U500" s="160" t="s">
        <v>298</v>
      </c>
      <c r="V500" s="160" t="s">
        <v>439</v>
      </c>
      <c r="W500" s="161" t="str">
        <f>IF(IFERROR(VLOOKUP($M500,'IMPORT GS-Tür OL FL 2S2 20'!$H$2:$H$847,1,0),"-")="-","","GS")</f>
        <v/>
      </c>
      <c r="X500" s="14" t="str">
        <f t="shared" si="32"/>
        <v>...</v>
      </c>
      <c r="Y500" s="160" t="s">
        <v>440</v>
      </c>
      <c r="Z500" s="58" t="str">
        <f>IF(OR($M500="",NOT($O500="{array}")),"",IFERROR(MATCH(PARAMETERS!$M500,DEFAULT!$B$5:$CI$5,0),""))</f>
        <v/>
      </c>
      <c r="AA500" s="55">
        <f t="shared" si="27"/>
        <v>158</v>
      </c>
      <c r="AB500" s="62" t="str">
        <f>IF(AND(OR($A500="G",$A500="P"),NOT($O500="{array}")),IF(VLOOKUP($K500,base!$B$2:$D$20,3,0)="S",IF(OR($O500="",ISTEXT($O500)),"","STRING!"),IF(VLOOKUP($K500,base!$B$2:$D$20,3,0)="","",IF(ISTEXT($O500),"NUMERIC!",""))),"")</f>
        <v/>
      </c>
      <c r="AC500" s="16" t="str">
        <f>IF($AA500="","",IF($B500="I",VLOOKUP($AA500,#REF!,53,0),INDEX(VALUES!$B$1:$GP$1,1,$AA500)))</f>
        <v>Drehflügeltür Anschlagtür | Drehflügeltür Pendeltür | Drehflügeltür Raumspar-Schwenktür | Schiebetür | Bogenschiebetür Segmentausführung | Bogenschiebetür Halbkreisausführung | Bogenschiebetür Vollkreisausführung | Karusseltür | ...</v>
      </c>
    </row>
    <row r="501" spans="1:29" hidden="1" outlineLevel="1">
      <c r="A501" s="21" t="s">
        <v>86</v>
      </c>
      <c r="B501" s="40" t="str">
        <f t="shared" si="31"/>
        <v/>
      </c>
      <c r="C501" s="41">
        <f t="shared" si="33"/>
        <v>500</v>
      </c>
      <c r="D501" s="260" t="s">
        <v>9</v>
      </c>
      <c r="E501" s="37"/>
      <c r="F501" s="305"/>
      <c r="G501" s="188"/>
      <c r="H501" s="37"/>
      <c r="I501" s="37" t="s">
        <v>9</v>
      </c>
      <c r="J501" s="37"/>
      <c r="K501" s="156" t="s">
        <v>20</v>
      </c>
      <c r="L501" s="164" t="s">
        <v>23</v>
      </c>
      <c r="M501" s="171" t="s">
        <v>441</v>
      </c>
      <c r="N501" s="160" t="s">
        <v>3804</v>
      </c>
      <c r="O501" s="160" t="s">
        <v>3122</v>
      </c>
      <c r="P501" s="157" t="s">
        <v>298</v>
      </c>
      <c r="Q501" s="168"/>
      <c r="R501" s="159" t="s">
        <v>105</v>
      </c>
      <c r="S501" s="159" t="s">
        <v>114</v>
      </c>
      <c r="T501" s="158" t="s">
        <v>298</v>
      </c>
      <c r="U501" s="160" t="s">
        <v>298</v>
      </c>
      <c r="V501" s="160" t="s">
        <v>442</v>
      </c>
      <c r="W501" s="161" t="str">
        <f>IF(IFERROR(VLOOKUP($M501,'IMPORT GS-Tür OL FL 2S2 20'!$H$2:$H$847,1,0),"-")="-","","GS")</f>
        <v/>
      </c>
      <c r="X501" s="14" t="str">
        <f t="shared" si="32"/>
        <v>...</v>
      </c>
      <c r="Y501" s="160" t="s">
        <v>443</v>
      </c>
      <c r="Z501" s="58" t="str">
        <f>IF(OR($M501="",NOT($O501="{array}")),"",IFERROR(MATCH(PARAMETERS!$M501,DEFAULT!$B$5:$CI$5,0),""))</f>
        <v/>
      </c>
      <c r="AA501" s="55" t="str">
        <f t="shared" si="27"/>
        <v/>
      </c>
      <c r="AB501" s="62" t="str">
        <f>IF(AND(OR($A501="G",$A501="P"),NOT($O501="{array}")),IF(VLOOKUP($K501,base!$B$2:$D$20,3,0)="S",IF(OR($O501="",ISTEXT($O501)),"","STRING!"),IF(VLOOKUP($K501,base!$B$2:$D$20,3,0)="","",IF(ISTEXT($O501),"NUMERIC!",""))),"")</f>
        <v/>
      </c>
      <c r="AC501" s="16" t="str">
        <f>IF($AA501="","",IF($B501="I",VLOOKUP($AA501,#REF!,53,0),INDEX(VALUES!$B$1:$GP$1,1,$AA501)))</f>
        <v/>
      </c>
    </row>
    <row r="502" spans="1:29" hidden="1" outlineLevel="1">
      <c r="A502" s="21" t="s">
        <v>86</v>
      </c>
      <c r="B502" s="40" t="str">
        <f t="shared" si="31"/>
        <v/>
      </c>
      <c r="C502" s="41">
        <f t="shared" si="33"/>
        <v>501</v>
      </c>
      <c r="D502" s="260" t="s">
        <v>9</v>
      </c>
      <c r="E502" s="37"/>
      <c r="F502" s="305"/>
      <c r="G502" s="188"/>
      <c r="H502" s="37"/>
      <c r="I502" s="37" t="s">
        <v>9</v>
      </c>
      <c r="J502" s="37"/>
      <c r="K502" s="156" t="s">
        <v>20</v>
      </c>
      <c r="L502" s="164" t="s">
        <v>23</v>
      </c>
      <c r="M502" s="171" t="s">
        <v>3805</v>
      </c>
      <c r="N502" s="160" t="s">
        <v>3807</v>
      </c>
      <c r="O502" s="160"/>
      <c r="P502" s="157" t="s">
        <v>298</v>
      </c>
      <c r="Q502" s="168"/>
      <c r="R502" s="159" t="s">
        <v>105</v>
      </c>
      <c r="S502" s="159" t="s">
        <v>114</v>
      </c>
      <c r="T502" s="158" t="s">
        <v>298</v>
      </c>
      <c r="U502" s="160" t="s">
        <v>298</v>
      </c>
      <c r="V502" s="160" t="s">
        <v>442</v>
      </c>
      <c r="W502" s="161" t="str">
        <f>IF(IFERROR(VLOOKUP($M502,'IMPORT GS-Tür OL FL 2S2 20'!$H$2:$H$847,1,0),"-")="-","","GS")</f>
        <v/>
      </c>
      <c r="X502" s="14" t="str">
        <f t="shared" si="32"/>
        <v>&gt;&lt;</v>
      </c>
      <c r="Y502" s="160" t="s">
        <v>443</v>
      </c>
      <c r="Z502" s="58" t="str">
        <f>IF(OR($M502="",NOT($O502="{array}")),"",IFERROR(MATCH(PARAMETERS!$M502,DEFAULT!$B$5:$CI$5,0),""))</f>
        <v/>
      </c>
      <c r="AA502" s="55" t="str">
        <f t="shared" si="27"/>
        <v/>
      </c>
      <c r="AB502" s="62" t="str">
        <f>IF(AND(OR($A502="G",$A502="P"),NOT($O502="{array}")),IF(VLOOKUP($K502,base!$B$2:$D$20,3,0)="S",IF(OR($O502="",ISTEXT($O502)),"","STRING!"),IF(VLOOKUP($K502,base!$B$2:$D$20,3,0)="","",IF(ISTEXT($O502),"NUMERIC!",""))),"")</f>
        <v/>
      </c>
      <c r="AC502" s="16" t="str">
        <f>IF($AA502="","",IF($B502="I",VLOOKUP($AA502,#REF!,53,0),INDEX(VALUES!$B$1:$GP$1,1,$AA502)))</f>
        <v/>
      </c>
    </row>
    <row r="503" spans="1:29" hidden="1" outlineLevel="1">
      <c r="A503" s="21" t="s">
        <v>86</v>
      </c>
      <c r="B503" s="40" t="str">
        <f t="shared" si="31"/>
        <v/>
      </c>
      <c r="C503" s="41">
        <f t="shared" si="33"/>
        <v>502</v>
      </c>
      <c r="D503" s="260"/>
      <c r="E503" s="37"/>
      <c r="F503" s="305"/>
      <c r="G503" s="188"/>
      <c r="H503" s="37"/>
      <c r="I503" s="37" t="s">
        <v>9</v>
      </c>
      <c r="J503" s="37"/>
      <c r="K503" s="156" t="s">
        <v>20</v>
      </c>
      <c r="L503" s="164" t="s">
        <v>23</v>
      </c>
      <c r="M503" s="171" t="s">
        <v>3806</v>
      </c>
      <c r="N503" s="160" t="s">
        <v>3808</v>
      </c>
      <c r="O503" s="160"/>
      <c r="P503" s="157" t="s">
        <v>298</v>
      </c>
      <c r="Q503" s="168"/>
      <c r="R503" s="159" t="s">
        <v>105</v>
      </c>
      <c r="S503" s="159" t="s">
        <v>114</v>
      </c>
      <c r="T503" s="158" t="s">
        <v>298</v>
      </c>
      <c r="U503" s="160" t="s">
        <v>298</v>
      </c>
      <c r="V503" s="160" t="s">
        <v>442</v>
      </c>
      <c r="W503" s="161" t="str">
        <f>IF(IFERROR(VLOOKUP($M503,'IMPORT GS-Tür OL FL 2S2 20'!$H$2:$H$847,1,0),"-")="-","","GS")</f>
        <v/>
      </c>
      <c r="X503" s="14" t="str">
        <f t="shared" si="32"/>
        <v>&gt;&lt;</v>
      </c>
      <c r="Y503" s="160" t="s">
        <v>443</v>
      </c>
      <c r="Z503" s="58" t="str">
        <f>IF(OR($M503="",NOT($O503="{array}")),"",IFERROR(MATCH(PARAMETERS!$M503,DEFAULT!$B$5:$CI$5,0),""))</f>
        <v/>
      </c>
      <c r="AA503" s="55" t="str">
        <f t="shared" si="27"/>
        <v/>
      </c>
      <c r="AB503" s="62" t="str">
        <f>IF(AND(OR($A503="G",$A503="P"),NOT($O503="{array}")),IF(VLOOKUP($K503,base!$B$2:$D$20,3,0)="S",IF(OR($O503="",ISTEXT($O503)),"","STRING!"),IF(VLOOKUP($K503,base!$B$2:$D$20,3,0)="","",IF(ISTEXT($O503),"NUMERIC!",""))),"")</f>
        <v/>
      </c>
      <c r="AC503" s="16" t="str">
        <f>IF($AA503="","",IF($B503="I",VLOOKUP($AA503,#REF!,53,0),INDEX(VALUES!$B$1:$GP$1,1,$AA503)))</f>
        <v/>
      </c>
    </row>
    <row r="504" spans="1:29" s="276" customFormat="1" hidden="1" outlineLevel="1">
      <c r="A504" s="263"/>
      <c r="B504" s="264" t="str">
        <f t="shared" si="31"/>
        <v>X</v>
      </c>
      <c r="C504" s="265">
        <f t="shared" si="33"/>
        <v>503</v>
      </c>
      <c r="D504" s="266"/>
      <c r="E504" s="266"/>
      <c r="F504" s="305" t="s">
        <v>9</v>
      </c>
      <c r="G504" s="188"/>
      <c r="H504" s="266"/>
      <c r="I504" s="266" t="s">
        <v>9</v>
      </c>
      <c r="J504" s="266"/>
      <c r="K504" s="267" t="s">
        <v>20</v>
      </c>
      <c r="L504" s="267" t="s">
        <v>23</v>
      </c>
      <c r="M504" s="268" t="s">
        <v>444</v>
      </c>
      <c r="N504" s="267" t="s">
        <v>445</v>
      </c>
      <c r="O504" s="269"/>
      <c r="P504" s="267"/>
      <c r="Q504" s="270" t="s">
        <v>9</v>
      </c>
      <c r="R504" s="270" t="s">
        <v>106</v>
      </c>
      <c r="S504" s="270"/>
      <c r="T504" s="270"/>
      <c r="U504" s="267"/>
      <c r="V504" s="267"/>
      <c r="W504" s="271" t="str">
        <f>IF(IFERROR(VLOOKUP($M504,'IMPORT GS-Tür OL FL 2S2 20'!$H$2:$H$847,1,0),"-")="-","","GS")</f>
        <v>GS</v>
      </c>
      <c r="X504" s="272" t="str">
        <f t="shared" si="32"/>
        <v/>
      </c>
      <c r="Y504" s="267"/>
      <c r="Z504" s="273" t="str">
        <f>IF(OR($M504="",NOT($O504="{array}")),"",IFERROR(MATCH(PARAMETERS!$M504,DEFAULT!$B$5:$CI$5,0),""))</f>
        <v/>
      </c>
      <c r="AA504" s="272">
        <f t="shared" si="27"/>
        <v>33</v>
      </c>
      <c r="AB504" s="274" t="str">
        <f>IF(AND(OR($A504="G",$A504="P"),NOT($O504="{array}")),IF(VLOOKUP($K504,base!$B$2:$D$20,3,0)="S",IF(OR($O504="",ISTEXT($O504)),"","STRING!"),IF(VLOOKUP($K504,base!$B$2:$D$20,3,0)="","",IF(ISTEXT($O504),"NUMERIC!",""))),"")</f>
        <v/>
      </c>
      <c r="AC504" s="275" t="str">
        <f>IF($AA504="","",IF($B504="I",VLOOKUP($AA504,#REF!,53,0),INDEX(VALUES!$B$1:$GP$1,1,$AA504)))</f>
        <v>Wärmedämmung | Aluminum Türrahmen | Schnellöffnendes Tor | Holztür | Industrietor | Kühlraum-Schiebetür | Kühlraum-Sektionaltor | Kühlraumtür | ...</v>
      </c>
    </row>
    <row r="505" spans="1:29" hidden="1" outlineLevel="1">
      <c r="A505" s="21"/>
      <c r="B505" s="40" t="str">
        <f t="shared" si="31"/>
        <v/>
      </c>
      <c r="C505" s="41">
        <f t="shared" si="33"/>
        <v>504</v>
      </c>
      <c r="D505" s="260"/>
      <c r="E505" s="37"/>
      <c r="F505" s="305"/>
      <c r="G505" s="188"/>
      <c r="H505" s="37"/>
      <c r="I505" s="37" t="s">
        <v>9</v>
      </c>
      <c r="J505" s="37"/>
      <c r="K505" s="13" t="s">
        <v>49</v>
      </c>
      <c r="L505" s="13" t="s">
        <v>29</v>
      </c>
      <c r="M505" s="19" t="s">
        <v>446</v>
      </c>
      <c r="N505" s="13" t="s">
        <v>447</v>
      </c>
      <c r="O505" s="252">
        <v>0</v>
      </c>
      <c r="R505" s="37" t="s">
        <v>106</v>
      </c>
      <c r="S505" s="37"/>
      <c r="T505" s="37"/>
      <c r="W505" s="14" t="str">
        <f>IF(IFERROR(VLOOKUP($M505,'IMPORT GS-Tür OL FL 2S2 20'!$H$2:$H$847,1,0),"-")="-","","GS")</f>
        <v/>
      </c>
      <c r="X505" s="14" t="str">
        <f t="shared" si="32"/>
        <v/>
      </c>
      <c r="Z505" s="58" t="str">
        <f>IF(OR($M505="",NOT($O505="{array}")),"",IFERROR(MATCH(PARAMETERS!$M505,DEFAULT!$B$5:$CI$5,0),""))</f>
        <v/>
      </c>
      <c r="AA505" s="55" t="str">
        <f t="shared" si="27"/>
        <v/>
      </c>
      <c r="AB505" s="62" t="str">
        <f>IF(AND(OR($A505="G",$A505="P"),NOT($O505="{array}")),IF(VLOOKUP($K505,base!$B$2:$D$20,3,0)="S",IF(OR($O505="",ISTEXT($O505)),"","STRING!"),IF(VLOOKUP($K505,base!$B$2:$D$20,3,0)="","",IF(ISTEXT($O505),"NUMERIC!",""))),"")</f>
        <v/>
      </c>
      <c r="AC505" s="16" t="str">
        <f>IF($AA505="","",IF($B505="I",VLOOKUP($AA505,#REF!,53,0),INDEX(VALUES!$B$1:$GP$1,1,$AA505)))</f>
        <v/>
      </c>
    </row>
    <row r="506" spans="1:29" hidden="1" outlineLevel="1">
      <c r="A506" s="21" t="s">
        <v>86</v>
      </c>
      <c r="B506" s="40" t="str">
        <f t="shared" si="31"/>
        <v/>
      </c>
      <c r="C506" s="41">
        <f t="shared" si="33"/>
        <v>505</v>
      </c>
      <c r="D506" s="260" t="s">
        <v>9</v>
      </c>
      <c r="E506" s="37"/>
      <c r="F506" s="305"/>
      <c r="G506" s="188"/>
      <c r="H506" s="37"/>
      <c r="I506" s="37" t="s">
        <v>9</v>
      </c>
      <c r="J506" s="37"/>
      <c r="K506" s="163" t="s">
        <v>46</v>
      </c>
      <c r="L506" s="164" t="s">
        <v>23</v>
      </c>
      <c r="M506" s="171" t="s">
        <v>448</v>
      </c>
      <c r="N506" s="156" t="s">
        <v>449</v>
      </c>
      <c r="O506" s="163">
        <v>1</v>
      </c>
      <c r="P506" s="157" t="s">
        <v>298</v>
      </c>
      <c r="Q506" s="182"/>
      <c r="R506" s="168" t="s">
        <v>105</v>
      </c>
      <c r="S506" s="168" t="s">
        <v>114</v>
      </c>
      <c r="T506" s="167" t="s">
        <v>298</v>
      </c>
      <c r="U506" s="163" t="s">
        <v>298</v>
      </c>
      <c r="V506" s="163" t="s">
        <v>450</v>
      </c>
      <c r="W506" s="14" t="str">
        <f>IF(IFERROR(VLOOKUP($M506,'IMPORT GS-Tür OL FL 2S2 20'!$H$2:$H$847,1,0),"-")="-","","GS")</f>
        <v/>
      </c>
      <c r="X506" s="14" t="str">
        <f t="shared" si="32"/>
        <v>...</v>
      </c>
      <c r="Y506" s="163" t="s">
        <v>451</v>
      </c>
      <c r="Z506" s="58" t="str">
        <f>IF(OR($M506="",NOT($O506="{array}")),"",IFERROR(MATCH(PARAMETERS!$M506,DEFAULT!$B$5:$CI$5,0),""))</f>
        <v/>
      </c>
      <c r="AA506" s="55" t="str">
        <f t="shared" si="27"/>
        <v/>
      </c>
      <c r="AB506" s="62" t="str">
        <f>IF(AND(OR($A506="G",$A506="P"),NOT($O506="{array}")),IF(VLOOKUP($K506,base!$B$2:$D$20,3,0)="S",IF(OR($O506="",ISTEXT($O506)),"","STRING!"),IF(VLOOKUP($K506,base!$B$2:$D$20,3,0)="","",IF(ISTEXT($O506),"NUMERIC!",""))),"")</f>
        <v/>
      </c>
      <c r="AC506" s="16" t="str">
        <f>IF($AA506="","",IF($B506="I",VLOOKUP($AA506,#REF!,53,0),INDEX(VALUES!$B$1:$GP$1,1,$AA506)))</f>
        <v/>
      </c>
    </row>
    <row r="507" spans="1:29" s="276" customFormat="1" hidden="1" outlineLevel="1">
      <c r="A507" s="263"/>
      <c r="B507" s="264" t="str">
        <f t="shared" si="31"/>
        <v/>
      </c>
      <c r="C507" s="265">
        <f t="shared" si="33"/>
        <v>506</v>
      </c>
      <c r="D507" s="266"/>
      <c r="E507" s="266"/>
      <c r="F507" s="305"/>
      <c r="G507" s="188"/>
      <c r="H507" s="266"/>
      <c r="I507" s="266" t="s">
        <v>9</v>
      </c>
      <c r="J507" s="266"/>
      <c r="K507" s="277" t="s">
        <v>38</v>
      </c>
      <c r="L507" s="277" t="s">
        <v>23</v>
      </c>
      <c r="M507" s="288" t="s">
        <v>452</v>
      </c>
      <c r="N507" s="277" t="s">
        <v>298</v>
      </c>
      <c r="O507" s="277" t="s">
        <v>298</v>
      </c>
      <c r="P507" s="287" t="s">
        <v>298</v>
      </c>
      <c r="Q507" s="280" t="s">
        <v>9</v>
      </c>
      <c r="R507" s="280" t="s">
        <v>105</v>
      </c>
      <c r="S507" s="280" t="s">
        <v>114</v>
      </c>
      <c r="T507" s="281" t="s">
        <v>104</v>
      </c>
      <c r="U507" s="277" t="s">
        <v>298</v>
      </c>
      <c r="V507" s="277" t="s">
        <v>452</v>
      </c>
      <c r="W507" s="271" t="str">
        <f>IF(IFERROR(VLOOKUP($M507,'IMPORT GS-Tür OL FL 2S2 20'!$H$2:$H$847,1,0),"-")="-","","GS")</f>
        <v/>
      </c>
      <c r="X507" s="272" t="str">
        <f t="shared" si="32"/>
        <v/>
      </c>
      <c r="Y507" s="277" t="s">
        <v>453</v>
      </c>
      <c r="Z507" s="273" t="str">
        <f>IF(OR($M507="",NOT($O507="{array}")),"",IFERROR(MATCH(PARAMETERS!$M507,DEFAULT!$B$5:$CI$5,0),""))</f>
        <v/>
      </c>
      <c r="AA507" s="272" t="str">
        <f t="shared" si="27"/>
        <v/>
      </c>
      <c r="AB507" s="274" t="str">
        <f>IF(AND(OR($A507="G",$A507="P"),NOT($O507="{array}")),IF(VLOOKUP($K507,base!$B$2:$D$20,3,0)="S",IF(OR($O507="",ISTEXT($O507)),"","STRING!"),IF(VLOOKUP($K507,base!$B$2:$D$20,3,0)="","",IF(ISTEXT($O507),"NUMERIC!",""))),"")</f>
        <v/>
      </c>
      <c r="AC507" s="275" t="str">
        <f>IF($AA507="","",IF($B507="I",VLOOKUP($AA507,#REF!,53,0),INDEX(VALUES!$B$1:$GP$1,1,$AA507)))</f>
        <v/>
      </c>
    </row>
    <row r="508" spans="1:29" s="276" customFormat="1" hidden="1" outlineLevel="1">
      <c r="A508" s="263"/>
      <c r="B508" s="264" t="str">
        <f t="shared" si="31"/>
        <v/>
      </c>
      <c r="C508" s="265">
        <f t="shared" si="33"/>
        <v>507</v>
      </c>
      <c r="D508" s="266"/>
      <c r="E508" s="266"/>
      <c r="F508" s="305"/>
      <c r="G508" s="188"/>
      <c r="H508" s="266"/>
      <c r="I508" s="266" t="s">
        <v>9</v>
      </c>
      <c r="J508" s="266"/>
      <c r="K508" s="277" t="s">
        <v>38</v>
      </c>
      <c r="L508" s="277" t="s">
        <v>23</v>
      </c>
      <c r="M508" s="288" t="s">
        <v>454</v>
      </c>
      <c r="N508" s="277" t="s">
        <v>298</v>
      </c>
      <c r="O508" s="277" t="s">
        <v>298</v>
      </c>
      <c r="P508" s="287" t="s">
        <v>298</v>
      </c>
      <c r="Q508" s="280" t="s">
        <v>9</v>
      </c>
      <c r="R508" s="280" t="s">
        <v>105</v>
      </c>
      <c r="S508" s="280" t="s">
        <v>114</v>
      </c>
      <c r="T508" s="281" t="s">
        <v>104</v>
      </c>
      <c r="U508" s="277" t="s">
        <v>298</v>
      </c>
      <c r="V508" s="277" t="s">
        <v>454</v>
      </c>
      <c r="W508" s="271" t="str">
        <f>IF(IFERROR(VLOOKUP($M508,'IMPORT GS-Tür OL FL 2S2 20'!$H$2:$H$847,1,0),"-")="-","","GS")</f>
        <v/>
      </c>
      <c r="X508" s="272" t="str">
        <f t="shared" si="32"/>
        <v/>
      </c>
      <c r="Y508" s="277" t="s">
        <v>455</v>
      </c>
      <c r="Z508" s="273" t="str">
        <f>IF(OR($M508="",NOT($O508="{array}")),"",IFERROR(MATCH(PARAMETERS!$M508,DEFAULT!$B$5:$CI$5,0),""))</f>
        <v/>
      </c>
      <c r="AA508" s="272" t="str">
        <f t="shared" si="27"/>
        <v/>
      </c>
      <c r="AB508" s="274" t="str">
        <f>IF(AND(OR($A508="G",$A508="P"),NOT($O508="{array}")),IF(VLOOKUP($K508,base!$B$2:$D$20,3,0)="S",IF(OR($O508="",ISTEXT($O508)),"","STRING!"),IF(VLOOKUP($K508,base!$B$2:$D$20,3,0)="","",IF(ISTEXT($O508),"NUMERIC!",""))),"")</f>
        <v/>
      </c>
      <c r="AC508" s="275" t="str">
        <f>IF($AA508="","",IF($B508="I",VLOOKUP($AA508,#REF!,53,0),INDEX(VALUES!$B$1:$GP$1,1,$AA508)))</f>
        <v/>
      </c>
    </row>
    <row r="509" spans="1:29" s="276" customFormat="1" hidden="1" outlineLevel="1">
      <c r="A509" s="263"/>
      <c r="B509" s="264" t="str">
        <f t="shared" si="31"/>
        <v/>
      </c>
      <c r="C509" s="265">
        <f t="shared" si="33"/>
        <v>508</v>
      </c>
      <c r="D509" s="266"/>
      <c r="E509" s="266"/>
      <c r="F509" s="305"/>
      <c r="G509" s="188"/>
      <c r="H509" s="266"/>
      <c r="I509" s="266" t="s">
        <v>9</v>
      </c>
      <c r="J509" s="266"/>
      <c r="K509" s="276" t="s">
        <v>49</v>
      </c>
      <c r="L509" s="276" t="s">
        <v>29</v>
      </c>
      <c r="M509" s="291" t="s">
        <v>456</v>
      </c>
      <c r="N509" s="276" t="s">
        <v>3598</v>
      </c>
      <c r="O509" s="286">
        <v>0</v>
      </c>
      <c r="Q509" s="266"/>
      <c r="R509" s="266" t="s">
        <v>106</v>
      </c>
      <c r="S509" s="266"/>
      <c r="T509" s="266"/>
      <c r="W509" s="272" t="str">
        <f>IF(IFERROR(VLOOKUP($M509,'IMPORT GS-Tür OL FL 2S2 20'!$H$2:$H$847,1,0),"-")="-","","GS")</f>
        <v>GS</v>
      </c>
      <c r="X509" s="272" t="str">
        <f t="shared" si="32"/>
        <v/>
      </c>
      <c r="Y509" s="276" t="s">
        <v>457</v>
      </c>
      <c r="Z509" s="273" t="str">
        <f>IF(OR($M509="",NOT($O509="{array}")),"",IFERROR(MATCH(PARAMETERS!$M509,DEFAULT!$B$5:$CI$5,0),""))</f>
        <v/>
      </c>
      <c r="AA509" s="272" t="str">
        <f t="shared" si="27"/>
        <v/>
      </c>
      <c r="AB509" s="274" t="str">
        <f>IF(AND(OR($A509="G",$A509="P"),NOT($O509="{array}")),IF(VLOOKUP($K509,base!$B$2:$D$20,3,0)="S",IF(OR($O509="",ISTEXT($O509)),"","STRING!"),IF(VLOOKUP($K509,base!$B$2:$D$20,3,0)="","",IF(ISTEXT($O509),"NUMERIC!",""))),"")</f>
        <v/>
      </c>
      <c r="AC509" s="275" t="str">
        <f>IF($AA509="","",IF($B509="I",VLOOKUP($AA509,#REF!,53,0),INDEX(VALUES!$B$1:$GP$1,1,$AA509)))</f>
        <v/>
      </c>
    </row>
    <row r="510" spans="1:29" hidden="1" outlineLevel="1">
      <c r="A510" s="21" t="s">
        <v>86</v>
      </c>
      <c r="B510" s="40" t="str">
        <f>IF($A510="P",IF(NOT($Z510=""),"A",IF(NOT($AA510=""),"I","")),IF(NOT($AA510=""),IF($A510="G","V","X"),IF(NOT($Z510=""),"A","")))</f>
        <v/>
      </c>
      <c r="C510" s="41">
        <f>(ROW()-1)</f>
        <v>509</v>
      </c>
      <c r="D510" s="260" t="s">
        <v>9</v>
      </c>
      <c r="E510" s="37"/>
      <c r="F510" s="305" t="s">
        <v>9</v>
      </c>
      <c r="G510" s="188" t="s">
        <v>9</v>
      </c>
      <c r="H510" s="37"/>
      <c r="I510" s="37" t="s">
        <v>9</v>
      </c>
      <c r="J510" s="37"/>
      <c r="K510" s="13" t="s">
        <v>49</v>
      </c>
      <c r="L510" s="13" t="s">
        <v>29</v>
      </c>
      <c r="M510" s="149" t="s">
        <v>862</v>
      </c>
      <c r="N510" s="13" t="s">
        <v>3605</v>
      </c>
      <c r="O510" s="252">
        <v>0</v>
      </c>
      <c r="R510" s="37" t="s">
        <v>106</v>
      </c>
      <c r="S510" s="37"/>
      <c r="T510" s="37"/>
      <c r="W510" s="14" t="str">
        <f>IF(IFERROR(VLOOKUP($M510,'IMPORT GS-Tür OL FL 2S2 20'!$H$2:$H$847,1,0),"-")="-","","GS")</f>
        <v>GS</v>
      </c>
      <c r="X510" s="14" t="str">
        <f t="shared" si="32"/>
        <v>...</v>
      </c>
      <c r="Y510" s="13" t="s">
        <v>863</v>
      </c>
      <c r="Z510" s="58" t="str">
        <f>IF(OR($M510="",NOT($O510="{array}")),"",IFERROR(MATCH(PARAMETERS!$M510,DEFAULT!$B$5:$CI$5,0),""))</f>
        <v/>
      </c>
      <c r="AA510" s="55" t="str">
        <f t="shared" si="27"/>
        <v/>
      </c>
      <c r="AB510" s="62" t="str">
        <f>IF(AND(OR($A510="G",$A510="P"),NOT($O510="{array}")),IF(VLOOKUP($K510,base!$B$2:$D$20,3,0)="S",IF(OR($O510="",ISTEXT($O510)),"","STRING!"),IF(VLOOKUP($K510,base!$B$2:$D$20,3,0)="","",IF(ISTEXT($O510),"NUMERIC!",""))),"")</f>
        <v/>
      </c>
      <c r="AC510" s="16" t="str">
        <f>IF($AA510="","",IF($B510="I",VLOOKUP($AA510,#REF!,53,0),INDEX(VALUES!$B$1:$GP$1,1,$AA510)))</f>
        <v/>
      </c>
    </row>
    <row r="511" spans="1:29" s="276" customFormat="1" hidden="1" outlineLevel="1">
      <c r="A511" s="263"/>
      <c r="B511" s="264" t="str">
        <f t="shared" si="31"/>
        <v/>
      </c>
      <c r="C511" s="265">
        <f t="shared" si="33"/>
        <v>510</v>
      </c>
      <c r="D511" s="266"/>
      <c r="E511" s="266"/>
      <c r="F511" s="305"/>
      <c r="G511" s="188"/>
      <c r="H511" s="266"/>
      <c r="I511" s="266" t="s">
        <v>9</v>
      </c>
      <c r="J511" s="266"/>
      <c r="K511" s="277" t="s">
        <v>46</v>
      </c>
      <c r="L511" s="277" t="s">
        <v>23</v>
      </c>
      <c r="M511" s="288" t="s">
        <v>458</v>
      </c>
      <c r="N511" s="277" t="s">
        <v>298</v>
      </c>
      <c r="O511" s="277" t="s">
        <v>298</v>
      </c>
      <c r="P511" s="287" t="s">
        <v>298</v>
      </c>
      <c r="Q511" s="280" t="s">
        <v>9</v>
      </c>
      <c r="R511" s="280" t="s">
        <v>105</v>
      </c>
      <c r="S511" s="280" t="s">
        <v>114</v>
      </c>
      <c r="T511" s="281" t="s">
        <v>298</v>
      </c>
      <c r="U511" s="277" t="s">
        <v>298</v>
      </c>
      <c r="V511" s="277" t="s">
        <v>458</v>
      </c>
      <c r="W511" s="271" t="str">
        <f>IF(IFERROR(VLOOKUP($M511,'IMPORT GS-Tür OL FL 2S2 20'!$H$2:$H$847,1,0),"-")="-","","GS")</f>
        <v/>
      </c>
      <c r="X511" s="272" t="str">
        <f t="shared" si="32"/>
        <v/>
      </c>
      <c r="Y511" s="277" t="s">
        <v>4060</v>
      </c>
      <c r="Z511" s="273" t="str">
        <f>IF(OR($M511="",NOT($O511="{array}")),"",IFERROR(MATCH(PARAMETERS!$M511,DEFAULT!$B$5:$CI$5,0),""))</f>
        <v/>
      </c>
      <c r="AA511" s="272" t="str">
        <f t="shared" si="27"/>
        <v/>
      </c>
      <c r="AB511" s="274" t="str">
        <f>IF(AND(OR($A511="G",$A511="P"),NOT($O511="{array}")),IF(VLOOKUP($K511,base!$B$2:$D$20,3,0)="S",IF(OR($O511="",ISTEXT($O511)),"","STRING!"),IF(VLOOKUP($K511,base!$B$2:$D$20,3,0)="","",IF(ISTEXT($O511),"NUMERIC!",""))),"")</f>
        <v/>
      </c>
      <c r="AC511" s="275" t="str">
        <f>IF($AA511="","",IF($B511="I",VLOOKUP($AA511,#REF!,53,0),INDEX(VALUES!$B$1:$GP$1,1,$AA511)))</f>
        <v/>
      </c>
    </row>
    <row r="512" spans="1:29" hidden="1" outlineLevel="1">
      <c r="A512" s="21" t="s">
        <v>86</v>
      </c>
      <c r="B512" s="40" t="str">
        <f t="shared" si="31"/>
        <v/>
      </c>
      <c r="C512" s="41">
        <f t="shared" si="33"/>
        <v>511</v>
      </c>
      <c r="D512" s="260" t="s">
        <v>9</v>
      </c>
      <c r="E512" s="37"/>
      <c r="F512" s="305" t="s">
        <v>9</v>
      </c>
      <c r="G512" s="188"/>
      <c r="H512" s="37"/>
      <c r="I512" s="37" t="s">
        <v>9</v>
      </c>
      <c r="J512" s="37"/>
      <c r="K512" s="52" t="s">
        <v>20</v>
      </c>
      <c r="L512" s="13" t="s">
        <v>29</v>
      </c>
      <c r="M512" s="154" t="s">
        <v>459</v>
      </c>
      <c r="N512" s="13" t="s">
        <v>460</v>
      </c>
      <c r="O512" s="42" t="s">
        <v>3192</v>
      </c>
      <c r="R512" s="37" t="s">
        <v>106</v>
      </c>
      <c r="S512" s="37"/>
      <c r="T512" s="37"/>
      <c r="W512" s="14" t="str">
        <f>IF(IFERROR(VLOOKUP($M512,'IMPORT GS-Tür OL FL 2S2 20'!$H$2:$H$847,1,0),"-")="-","","GS")</f>
        <v/>
      </c>
      <c r="X512" s="14" t="str">
        <f t="shared" si="32"/>
        <v>...</v>
      </c>
      <c r="Z512" s="58" t="str">
        <f>IF(OR($M512="",NOT($O512="{array}")),"",IFERROR(MATCH(PARAMETERS!$M512,DEFAULT!$B$5:$CI$5,0),""))</f>
        <v/>
      </c>
      <c r="AA512" s="55" t="str">
        <f t="shared" si="27"/>
        <v/>
      </c>
      <c r="AB512" s="62" t="str">
        <f>IF(AND(OR($A512="G",$A512="P"),NOT($O512="{array}")),IF(VLOOKUP($K512,base!$B$2:$D$20,3,0)="S",IF(OR($O512="",ISTEXT($O512)),"","STRING!"),IF(VLOOKUP($K512,base!$B$2:$D$20,3,0)="","",IF(ISTEXT($O512),"NUMERIC!",""))),"")</f>
        <v/>
      </c>
      <c r="AC512" s="16" t="str">
        <f>IF($AA512="","",IF($B512="I",VLOOKUP($AA512,#REF!,53,0),INDEX(VALUES!$B$1:$GP$1,1,$AA512)))</f>
        <v/>
      </c>
    </row>
    <row r="513" spans="1:29" hidden="1" outlineLevel="1">
      <c r="A513" s="21" t="s">
        <v>86</v>
      </c>
      <c r="B513" s="40" t="str">
        <f t="shared" si="31"/>
        <v/>
      </c>
      <c r="C513" s="41">
        <f t="shared" si="33"/>
        <v>512</v>
      </c>
      <c r="D513" s="260" t="s">
        <v>9</v>
      </c>
      <c r="E513" s="37"/>
      <c r="F513" s="305" t="s">
        <v>9</v>
      </c>
      <c r="G513" s="188"/>
      <c r="H513" s="37"/>
      <c r="I513" s="37" t="s">
        <v>9</v>
      </c>
      <c r="J513" s="37"/>
      <c r="K513" s="150" t="s">
        <v>49</v>
      </c>
      <c r="L513" s="150" t="s">
        <v>29</v>
      </c>
      <c r="M513" s="233" t="s">
        <v>462</v>
      </c>
      <c r="N513" s="150" t="s">
        <v>463</v>
      </c>
      <c r="O513" s="310">
        <v>0</v>
      </c>
      <c r="P513" s="150"/>
      <c r="Q513" s="217"/>
      <c r="R513" s="217" t="s">
        <v>106</v>
      </c>
      <c r="S513" s="217"/>
      <c r="T513" s="217"/>
      <c r="U513" s="150"/>
      <c r="V513" s="150"/>
      <c r="W513" s="251" t="str">
        <f>IF(IFERROR(VLOOKUP($M513,'IMPORT GS-Tür OL FL 2S2 20'!$H$2:$H$847,1,0),"-")="-","","GS")</f>
        <v>GS</v>
      </c>
      <c r="X513" s="251" t="str">
        <f t="shared" si="32"/>
        <v>&gt;&lt;</v>
      </c>
      <c r="Y513" s="150" t="s">
        <v>464</v>
      </c>
      <c r="Z513" s="58" t="str">
        <f>IF(OR($M513="",NOT($O513="{array}")),"",IFERROR(MATCH(PARAMETERS!$M513,DEFAULT!$B$5:$CI$5,0),""))</f>
        <v/>
      </c>
      <c r="AA513" s="55" t="str">
        <f t="shared" si="27"/>
        <v/>
      </c>
      <c r="AB513" s="62" t="str">
        <f>IF(AND(OR($A513="G",$A513="P"),NOT($O513="{array}")),IF(VLOOKUP($K513,base!$B$2:$D$20,3,0)="S",IF(OR($O513="",ISTEXT($O513)),"","STRING!"),IF(VLOOKUP($K513,base!$B$2:$D$20,3,0)="","",IF(ISTEXT($O513),"NUMERIC!",""))),"")</f>
        <v/>
      </c>
      <c r="AC513" s="16" t="str">
        <f>IF($AA513="","",IF($B513="I",VLOOKUP($AA513,#REF!,53,0),INDEX(VALUES!$B$1:$GP$1,1,$AA513)))</f>
        <v/>
      </c>
    </row>
    <row r="514" spans="1:29" hidden="1" outlineLevel="1">
      <c r="A514" s="21" t="s">
        <v>86</v>
      </c>
      <c r="B514" s="40" t="str">
        <f t="shared" si="31"/>
        <v/>
      </c>
      <c r="C514" s="41">
        <f t="shared" si="33"/>
        <v>513</v>
      </c>
      <c r="D514" s="260" t="s">
        <v>9</v>
      </c>
      <c r="E514" s="37"/>
      <c r="F514" s="305" t="s">
        <v>9</v>
      </c>
      <c r="G514" s="188"/>
      <c r="H514" s="37"/>
      <c r="I514" s="37" t="s">
        <v>9</v>
      </c>
      <c r="J514" s="37"/>
      <c r="K514" s="150" t="s">
        <v>49</v>
      </c>
      <c r="L514" s="150" t="s">
        <v>29</v>
      </c>
      <c r="M514" s="233" t="s">
        <v>465</v>
      </c>
      <c r="N514" s="150" t="s">
        <v>466</v>
      </c>
      <c r="O514" s="310">
        <v>0</v>
      </c>
      <c r="P514" s="150"/>
      <c r="Q514" s="217"/>
      <c r="R514" s="217" t="s">
        <v>106</v>
      </c>
      <c r="S514" s="217"/>
      <c r="T514" s="217"/>
      <c r="U514" s="150"/>
      <c r="V514" s="150"/>
      <c r="W514" s="251" t="str">
        <f>IF(IFERROR(VLOOKUP($M514,'IMPORT GS-Tür OL FL 2S2 20'!$H$2:$H$847,1,0),"-")="-","","GS")</f>
        <v>GS</v>
      </c>
      <c r="X514" s="251" t="str">
        <f t="shared" si="32"/>
        <v>&gt;&lt;</v>
      </c>
      <c r="Y514" s="150" t="s">
        <v>467</v>
      </c>
      <c r="Z514" s="58" t="str">
        <f>IF(OR($M514="",NOT($O514="{array}")),"",IFERROR(MATCH(PARAMETERS!$M514,DEFAULT!$B$5:$CI$5,0),""))</f>
        <v/>
      </c>
      <c r="AA514" s="55" t="str">
        <f t="shared" si="27"/>
        <v/>
      </c>
      <c r="AB514" s="62" t="str">
        <f>IF(AND(OR($A514="G",$A514="P"),NOT($O514="{array}")),IF(VLOOKUP($K514,base!$B$2:$D$20,3,0)="S",IF(OR($O514="",ISTEXT($O514)),"","STRING!"),IF(VLOOKUP($K514,base!$B$2:$D$20,3,0)="","",IF(ISTEXT($O514),"NUMERIC!",""))),"")</f>
        <v/>
      </c>
      <c r="AC514" s="16" t="str">
        <f>IF($AA514="","",IF($B514="I",VLOOKUP($AA514,#REF!,53,0),INDEX(VALUES!$B$1:$GP$1,1,$AA514)))</f>
        <v/>
      </c>
    </row>
    <row r="515" spans="1:29" s="276" customFormat="1" hidden="1" outlineLevel="1">
      <c r="A515" s="263"/>
      <c r="B515" s="264" t="str">
        <f t="shared" si="31"/>
        <v/>
      </c>
      <c r="C515" s="265">
        <f t="shared" si="33"/>
        <v>514</v>
      </c>
      <c r="D515" s="266"/>
      <c r="E515" s="266"/>
      <c r="F515" s="305"/>
      <c r="G515" s="188"/>
      <c r="H515" s="266"/>
      <c r="I515" s="266" t="s">
        <v>9</v>
      </c>
      <c r="J515" s="266"/>
      <c r="K515" s="277" t="s">
        <v>46</v>
      </c>
      <c r="L515" s="277" t="s">
        <v>23</v>
      </c>
      <c r="M515" s="277" t="s">
        <v>468</v>
      </c>
      <c r="N515" s="277" t="s">
        <v>298</v>
      </c>
      <c r="O515" s="277" t="s">
        <v>298</v>
      </c>
      <c r="P515" s="287" t="s">
        <v>298</v>
      </c>
      <c r="Q515" s="280" t="s">
        <v>9</v>
      </c>
      <c r="R515" s="280" t="s">
        <v>105</v>
      </c>
      <c r="S515" s="280" t="s">
        <v>114</v>
      </c>
      <c r="T515" s="281" t="s">
        <v>298</v>
      </c>
      <c r="U515" s="277" t="s">
        <v>298</v>
      </c>
      <c r="V515" s="277" t="s">
        <v>468</v>
      </c>
      <c r="W515" s="271" t="str">
        <f>IF(IFERROR(VLOOKUP($M515,'IMPORT GS-Tür OL FL 2S2 20'!$H$2:$H$847,1,0),"-")="-","","GS")</f>
        <v/>
      </c>
      <c r="X515" s="272" t="str">
        <f t="shared" si="32"/>
        <v/>
      </c>
      <c r="Y515" s="277" t="s">
        <v>469</v>
      </c>
      <c r="Z515" s="273" t="str">
        <f>IF(OR($M515="",NOT($O515="{array}")),"",IFERROR(MATCH(PARAMETERS!$M515,DEFAULT!$B$5:$CI$5,0),""))</f>
        <v/>
      </c>
      <c r="AA515" s="272" t="str">
        <f t="shared" si="27"/>
        <v/>
      </c>
      <c r="AB515" s="274" t="str">
        <f>IF(AND(OR($A515="G",$A515="P"),NOT($O515="{array}")),IF(VLOOKUP($K515,base!$B$2:$D$20,3,0)="S",IF(OR($O515="",ISTEXT($O515)),"","STRING!"),IF(VLOOKUP($K515,base!$B$2:$D$20,3,0)="","",IF(ISTEXT($O515),"NUMERIC!",""))),"")</f>
        <v/>
      </c>
      <c r="AC515" s="275" t="str">
        <f>IF($AA515="","",IF($B515="I",VLOOKUP($AA515,#REF!,53,0),INDEX(VALUES!$B$1:$GP$1,1,$AA515)))</f>
        <v/>
      </c>
    </row>
    <row r="516" spans="1:29" s="276" customFormat="1" hidden="1" outlineLevel="1">
      <c r="A516" s="263"/>
      <c r="B516" s="264" t="str">
        <f t="shared" si="31"/>
        <v/>
      </c>
      <c r="C516" s="265">
        <f t="shared" si="33"/>
        <v>515</v>
      </c>
      <c r="D516" s="266"/>
      <c r="E516" s="266"/>
      <c r="F516" s="305"/>
      <c r="G516" s="188"/>
      <c r="H516" s="266"/>
      <c r="I516" s="266" t="s">
        <v>9</v>
      </c>
      <c r="J516" s="266"/>
      <c r="K516" s="267" t="s">
        <v>33</v>
      </c>
      <c r="L516" s="277" t="s">
        <v>23</v>
      </c>
      <c r="M516" s="277" t="s">
        <v>470</v>
      </c>
      <c r="N516" s="277" t="s">
        <v>298</v>
      </c>
      <c r="O516" s="277" t="s">
        <v>298</v>
      </c>
      <c r="P516" s="287" t="s">
        <v>128</v>
      </c>
      <c r="Q516" s="280" t="s">
        <v>9</v>
      </c>
      <c r="R516" s="280" t="s">
        <v>105</v>
      </c>
      <c r="S516" s="280" t="s">
        <v>114</v>
      </c>
      <c r="T516" s="281" t="s">
        <v>298</v>
      </c>
      <c r="U516" s="277" t="s">
        <v>298</v>
      </c>
      <c r="V516" s="277" t="s">
        <v>470</v>
      </c>
      <c r="W516" s="271" t="str">
        <f>IF(IFERROR(VLOOKUP($M516,'IMPORT GS-Tür OL FL 2S2 20'!$H$2:$H$847,1,0),"-")="-","","GS")</f>
        <v/>
      </c>
      <c r="X516" s="272" t="str">
        <f t="shared" si="32"/>
        <v/>
      </c>
      <c r="Y516" s="277" t="s">
        <v>471</v>
      </c>
      <c r="Z516" s="273" t="str">
        <f>IF(OR($M516="",NOT($O516="{array}")),"",IFERROR(MATCH(PARAMETERS!$M516,DEFAULT!$B$5:$CI$5,0),""))</f>
        <v/>
      </c>
      <c r="AA516" s="272" t="str">
        <f t="shared" si="27"/>
        <v/>
      </c>
      <c r="AB516" s="274" t="str">
        <f>IF(AND(OR($A516="G",$A516="P"),NOT($O516="{array}")),IF(VLOOKUP($K516,base!$B$2:$D$20,3,0)="S",IF(OR($O516="",ISTEXT($O516)),"","STRING!"),IF(VLOOKUP($K516,base!$B$2:$D$20,3,0)="","",IF(ISTEXT($O516),"NUMERIC!",""))),"")</f>
        <v/>
      </c>
      <c r="AC516" s="275" t="str">
        <f>IF($AA516="","",IF($B516="I",VLOOKUP($AA516,#REF!,53,0),INDEX(VALUES!$B$1:$GP$1,1,$AA516)))</f>
        <v/>
      </c>
    </row>
    <row r="517" spans="1:29" s="276" customFormat="1" hidden="1" outlineLevel="1">
      <c r="A517" s="263"/>
      <c r="B517" s="264" t="str">
        <f t="shared" si="31"/>
        <v/>
      </c>
      <c r="C517" s="265">
        <f t="shared" si="33"/>
        <v>516</v>
      </c>
      <c r="D517" s="266"/>
      <c r="E517" s="266"/>
      <c r="F517" s="305"/>
      <c r="G517" s="188"/>
      <c r="H517" s="266"/>
      <c r="I517" s="266" t="s">
        <v>9</v>
      </c>
      <c r="J517" s="266"/>
      <c r="K517" s="277" t="s">
        <v>20</v>
      </c>
      <c r="L517" s="277" t="s">
        <v>23</v>
      </c>
      <c r="M517" s="277" t="s">
        <v>472</v>
      </c>
      <c r="N517" s="277" t="s">
        <v>298</v>
      </c>
      <c r="O517" s="277" t="s">
        <v>298</v>
      </c>
      <c r="P517" s="287" t="s">
        <v>298</v>
      </c>
      <c r="Q517" s="280" t="s">
        <v>9</v>
      </c>
      <c r="R517" s="280" t="s">
        <v>105</v>
      </c>
      <c r="S517" s="280" t="s">
        <v>114</v>
      </c>
      <c r="T517" s="281" t="s">
        <v>104</v>
      </c>
      <c r="U517" s="277" t="s">
        <v>298</v>
      </c>
      <c r="V517" s="277" t="s">
        <v>472</v>
      </c>
      <c r="W517" s="271" t="str">
        <f>IF(IFERROR(VLOOKUP($M517,'IMPORT GS-Tür OL FL 2S2 20'!$H$2:$H$847,1,0),"-")="-","","GS")</f>
        <v/>
      </c>
      <c r="X517" s="272" t="str">
        <f t="shared" si="32"/>
        <v/>
      </c>
      <c r="Y517" s="277" t="s">
        <v>473</v>
      </c>
      <c r="Z517" s="273" t="str">
        <f>IF(OR($M517="",NOT($O517="{array}")),"",IFERROR(MATCH(PARAMETERS!$M517,DEFAULT!$B$5:$CI$5,0),""))</f>
        <v/>
      </c>
      <c r="AA517" s="272" t="str">
        <f t="shared" si="27"/>
        <v/>
      </c>
      <c r="AB517" s="274" t="str">
        <f>IF(AND(OR($A517="G",$A517="P"),NOT($O517="{array}")),IF(VLOOKUP($K517,base!$B$2:$D$20,3,0)="S",IF(OR($O517="",ISTEXT($O517)),"","STRING!"),IF(VLOOKUP($K517,base!$B$2:$D$20,3,0)="","",IF(ISTEXT($O517),"NUMERIC!",""))),"")</f>
        <v/>
      </c>
      <c r="AC517" s="275" t="str">
        <f>IF($AA517="","",IF($B517="I",VLOOKUP($AA517,#REF!,53,0),INDEX(VALUES!$B$1:$GP$1,1,$AA517)))</f>
        <v/>
      </c>
    </row>
    <row r="518" spans="1:29" hidden="1" outlineLevel="1">
      <c r="A518" s="21" t="s">
        <v>86</v>
      </c>
      <c r="B518" s="40" t="str">
        <f t="shared" si="31"/>
        <v>V</v>
      </c>
      <c r="C518" s="41">
        <f t="shared" si="33"/>
        <v>517</v>
      </c>
      <c r="D518" s="260" t="s">
        <v>9</v>
      </c>
      <c r="E518" s="37"/>
      <c r="F518" s="305"/>
      <c r="G518" s="188"/>
      <c r="H518" s="37"/>
      <c r="I518" s="37" t="s">
        <v>9</v>
      </c>
      <c r="J518" s="37"/>
      <c r="K518" s="13" t="s">
        <v>46</v>
      </c>
      <c r="L518" s="13" t="s">
        <v>23</v>
      </c>
      <c r="M518" s="19" t="s">
        <v>474</v>
      </c>
      <c r="N518" s="13" t="s">
        <v>475</v>
      </c>
      <c r="O518" s="42">
        <v>1</v>
      </c>
      <c r="R518" s="37" t="s">
        <v>106</v>
      </c>
      <c r="S518" s="37"/>
      <c r="T518" s="37"/>
      <c r="W518" s="14" t="str">
        <f>IF(IFERROR(VLOOKUP($M518,'IMPORT GS-Tür OL FL 2S2 20'!$H$2:$H$847,1,0),"-")="-","","GS")</f>
        <v>GS</v>
      </c>
      <c r="X518" s="14">
        <f t="shared" si="32"/>
        <v>0</v>
      </c>
      <c r="Z518" s="58" t="str">
        <f>IF(OR($M518="",NOT($O518="{array}")),"",IFERROR(MATCH(PARAMETERS!$M518,DEFAULT!$B$5:$CI$5,0),""))</f>
        <v/>
      </c>
      <c r="AA518" s="55">
        <f t="shared" si="27"/>
        <v>159</v>
      </c>
      <c r="AB518" s="62" t="str">
        <f>IF(AND(OR($A518="G",$A518="P"),NOT($O518="{array}")),IF(VLOOKUP($K518,base!$B$2:$D$20,3,0)="S",IF(OR($O518="",ISTEXT($O518)),"","STRING!"),IF(VLOOKUP($K518,base!$B$2:$D$20,3,0)="","",IF(ISTEXT($O518),"NUMERIC!",""))),"")</f>
        <v/>
      </c>
      <c r="AC518" s="16" t="str">
        <f>IF($AA518="","",IF($B518="I",VLOOKUP($AA518,#REF!,53,0),INDEX(VALUES!$B$1:$GP$1,1,$AA518)))</f>
        <v>0 | 1</v>
      </c>
    </row>
    <row r="519" spans="1:29" hidden="1" outlineLevel="1">
      <c r="A519" s="21" t="s">
        <v>86</v>
      </c>
      <c r="B519" s="40" t="str">
        <f t="shared" si="31"/>
        <v>V</v>
      </c>
      <c r="C519" s="41">
        <f t="shared" si="33"/>
        <v>518</v>
      </c>
      <c r="D519" s="260" t="s">
        <v>9</v>
      </c>
      <c r="E519" s="37"/>
      <c r="F519" s="305" t="s">
        <v>9</v>
      </c>
      <c r="G519" s="188"/>
      <c r="H519" s="37"/>
      <c r="I519" s="37" t="s">
        <v>9</v>
      </c>
      <c r="J519" s="37"/>
      <c r="K519" s="13" t="s">
        <v>20</v>
      </c>
      <c r="L519" s="13" t="s">
        <v>23</v>
      </c>
      <c r="M519" s="149" t="s">
        <v>476</v>
      </c>
      <c r="N519" s="13" t="s">
        <v>477</v>
      </c>
      <c r="O519" s="42" t="s">
        <v>478</v>
      </c>
      <c r="P519" s="157" t="s">
        <v>298</v>
      </c>
      <c r="Q519" s="168"/>
      <c r="R519" s="168" t="s">
        <v>105</v>
      </c>
      <c r="S519" s="168" t="s">
        <v>114</v>
      </c>
      <c r="T519" s="167" t="s">
        <v>298</v>
      </c>
      <c r="U519" s="163" t="s">
        <v>298</v>
      </c>
      <c r="V519" s="163" t="s">
        <v>479</v>
      </c>
      <c r="W519" s="14" t="str">
        <f>IF(IFERROR(VLOOKUP($M519,'IMPORT GS-Tür OL FL 2S2 20'!$H$2:$H$847,1,0),"-")="-","","GS")</f>
        <v>GS</v>
      </c>
      <c r="X519" s="14" t="str">
        <f t="shared" si="32"/>
        <v>...</v>
      </c>
      <c r="Y519" s="163" t="s">
        <v>480</v>
      </c>
      <c r="Z519" s="58" t="str">
        <f>IF(OR($M519="",NOT($O519="{array}")),"",IFERROR(MATCH(PARAMETERS!$M519,DEFAULT!$B$5:$CI$5,0),""))</f>
        <v/>
      </c>
      <c r="AA519" s="55">
        <f t="shared" si="27"/>
        <v>161</v>
      </c>
      <c r="AB519" s="62" t="str">
        <f>IF(AND(OR($A519="G",$A519="P"),NOT($O519="{array}")),IF(VLOOKUP($K519,base!$B$2:$D$20,3,0)="S",IF(OR($O519="",ISTEXT($O519)),"","STRING!"),IF(VLOOKUP($K519,base!$B$2:$D$20,3,0)="","",IF(ISTEXT($O519),"NUMERIC!",""))),"")</f>
        <v/>
      </c>
      <c r="AC519" s="16" t="str">
        <f>IF($AA519="","",IF($B519="I",VLOOKUP($AA519,#REF!,53,0),INDEX(VALUES!$B$1:$GP$1,1,$AA519)))</f>
        <v>L | R | -</v>
      </c>
    </row>
    <row r="520" spans="1:29" hidden="1" outlineLevel="1">
      <c r="A520" s="21" t="s">
        <v>86</v>
      </c>
      <c r="B520" s="40" t="str">
        <f t="shared" si="31"/>
        <v/>
      </c>
      <c r="C520" s="41">
        <f t="shared" si="33"/>
        <v>519</v>
      </c>
      <c r="D520" s="260" t="s">
        <v>9</v>
      </c>
      <c r="E520" s="37"/>
      <c r="F520" s="305" t="s">
        <v>9</v>
      </c>
      <c r="G520" s="188"/>
      <c r="H520" s="37"/>
      <c r="I520" s="37" t="s">
        <v>9</v>
      </c>
      <c r="J520" s="37"/>
      <c r="K520" s="13" t="s">
        <v>20</v>
      </c>
      <c r="L520" s="13" t="s">
        <v>23</v>
      </c>
      <c r="M520" s="149" t="s">
        <v>3942</v>
      </c>
      <c r="N520" s="13" t="s">
        <v>3943</v>
      </c>
      <c r="O520" s="42" t="s">
        <v>1198</v>
      </c>
      <c r="P520" s="157" t="s">
        <v>298</v>
      </c>
      <c r="Q520" s="168"/>
      <c r="R520" s="168" t="s">
        <v>105</v>
      </c>
      <c r="S520" s="168" t="s">
        <v>114</v>
      </c>
      <c r="T520" s="167" t="s">
        <v>298</v>
      </c>
      <c r="U520" s="163" t="s">
        <v>298</v>
      </c>
      <c r="V520" s="163"/>
      <c r="W520" s="14"/>
      <c r="Y520" s="163"/>
      <c r="AC520" s="16"/>
    </row>
    <row r="521" spans="1:29" hidden="1" outlineLevel="1">
      <c r="A521" s="21" t="s">
        <v>86</v>
      </c>
      <c r="B521" s="40" t="str">
        <f t="shared" si="31"/>
        <v/>
      </c>
      <c r="C521" s="41">
        <f t="shared" si="33"/>
        <v>520</v>
      </c>
      <c r="D521" s="260" t="s">
        <v>9</v>
      </c>
      <c r="E521" s="37"/>
      <c r="F521" s="305"/>
      <c r="G521" s="188"/>
      <c r="H521" s="37"/>
      <c r="I521" s="37" t="s">
        <v>9</v>
      </c>
      <c r="J521" s="37"/>
      <c r="K521" s="163" t="s">
        <v>46</v>
      </c>
      <c r="L521" s="164" t="s">
        <v>23</v>
      </c>
      <c r="M521" s="154" t="s">
        <v>481</v>
      </c>
      <c r="N521" s="163" t="s">
        <v>482</v>
      </c>
      <c r="O521" s="163">
        <v>0</v>
      </c>
      <c r="P521" s="157" t="s">
        <v>298</v>
      </c>
      <c r="Q521" s="168"/>
      <c r="R521" s="168" t="s">
        <v>105</v>
      </c>
      <c r="S521" s="168" t="s">
        <v>114</v>
      </c>
      <c r="T521" s="167" t="s">
        <v>298</v>
      </c>
      <c r="U521" s="163" t="s">
        <v>298</v>
      </c>
      <c r="V521" s="163" t="s">
        <v>483</v>
      </c>
      <c r="W521" s="14" t="str">
        <f>IF(IFERROR(VLOOKUP($M521,'IMPORT GS-Tür OL FL 2S2 20'!$H$2:$H$847,1,0),"-")="-","","GS")</f>
        <v/>
      </c>
      <c r="X521" s="14" t="str">
        <f t="shared" si="32"/>
        <v>...</v>
      </c>
      <c r="Y521" s="163" t="s">
        <v>484</v>
      </c>
      <c r="Z521" s="58" t="str">
        <f>IF(OR($M521="",NOT($O521="{array}")),"",IFERROR(MATCH(PARAMETERS!$M521,DEFAULT!$B$5:$CI$5,0),""))</f>
        <v/>
      </c>
      <c r="AA521" s="55" t="str">
        <f t="shared" si="27"/>
        <v/>
      </c>
      <c r="AB521" s="62" t="str">
        <f>IF(AND(OR($A521="G",$A521="P"),NOT($O521="{array}")),IF(VLOOKUP($K521,base!$B$2:$D$20,3,0)="S",IF(OR($O521="",ISTEXT($O521)),"","STRING!"),IF(VLOOKUP($K521,base!$B$2:$D$20,3,0)="","",IF(ISTEXT($O521),"NUMERIC!",""))),"")</f>
        <v/>
      </c>
      <c r="AC521" s="16" t="str">
        <f>IF($AA521="","",IF($B521="I",VLOOKUP($AA521,#REF!,53,0),INDEX(VALUES!$B$1:$GP$1,1,$AA521)))</f>
        <v/>
      </c>
    </row>
    <row r="522" spans="1:29" hidden="1" outlineLevel="1">
      <c r="A522" s="21" t="s">
        <v>86</v>
      </c>
      <c r="B522" s="40" t="str">
        <f t="shared" si="31"/>
        <v/>
      </c>
      <c r="C522" s="41">
        <f t="shared" si="33"/>
        <v>521</v>
      </c>
      <c r="D522" s="260" t="s">
        <v>9</v>
      </c>
      <c r="E522" s="37"/>
      <c r="F522" s="305"/>
      <c r="G522" s="188"/>
      <c r="H522" s="37"/>
      <c r="I522" s="37" t="s">
        <v>9</v>
      </c>
      <c r="J522" s="37"/>
      <c r="K522" s="163" t="s">
        <v>46</v>
      </c>
      <c r="L522" s="164" t="s">
        <v>23</v>
      </c>
      <c r="M522" s="184" t="s">
        <v>3824</v>
      </c>
      <c r="N522" s="163" t="s">
        <v>3823</v>
      </c>
      <c r="O522" s="163">
        <v>0</v>
      </c>
      <c r="P522" s="157" t="s">
        <v>298</v>
      </c>
      <c r="Q522" s="168"/>
      <c r="R522" s="168" t="s">
        <v>105</v>
      </c>
      <c r="S522" s="168" t="s">
        <v>114</v>
      </c>
      <c r="T522" s="167" t="s">
        <v>298</v>
      </c>
      <c r="U522" s="163" t="s">
        <v>298</v>
      </c>
      <c r="V522" s="163"/>
      <c r="W522" s="14" t="str">
        <f>IF(IFERROR(VLOOKUP($M522,'IMPORT GS-Tür OL FL 2S2 20'!$H$2:$H$847,1,0),"-")="-","","GS")</f>
        <v/>
      </c>
      <c r="X522" s="14" t="str">
        <f t="shared" si="32"/>
        <v>&gt;&lt;</v>
      </c>
      <c r="Y522" s="163"/>
      <c r="Z522" s="58" t="str">
        <f>IF(OR($M522="",NOT($O522="{array}")),"",IFERROR(MATCH(PARAMETERS!$M522,DEFAULT!$B$5:$CI$5,0),""))</f>
        <v/>
      </c>
      <c r="AA522" s="55" t="str">
        <f t="shared" si="27"/>
        <v/>
      </c>
      <c r="AB522" s="62" t="str">
        <f>IF(AND(OR($A522="G",$A522="P"),NOT($O522="{array}")),IF(VLOOKUP($K522,base!$B$2:$D$20,3,0)="S",IF(OR($O522="",ISTEXT($O522)),"","STRING!"),IF(VLOOKUP($K522,base!$B$2:$D$20,3,0)="","",IF(ISTEXT($O522),"NUMERIC!",""))),"")</f>
        <v/>
      </c>
      <c r="AC522" s="16" t="str">
        <f>IF($AA522="","",IF($B522="I",VLOOKUP($AA522,#REF!,53,0),INDEX(VALUES!$B$1:$GP$1,1,$AA522)))</f>
        <v/>
      </c>
    </row>
    <row r="523" spans="1:29" hidden="1" outlineLevel="1">
      <c r="A523" s="21" t="s">
        <v>86</v>
      </c>
      <c r="B523" s="40" t="str">
        <f t="shared" si="31"/>
        <v/>
      </c>
      <c r="C523" s="41">
        <f t="shared" si="33"/>
        <v>522</v>
      </c>
      <c r="D523" s="260"/>
      <c r="E523" s="37"/>
      <c r="F523" s="305" t="s">
        <v>9</v>
      </c>
      <c r="G523" s="188"/>
      <c r="H523" s="37"/>
      <c r="I523" s="37"/>
      <c r="J523" s="37"/>
      <c r="K523" s="13" t="s">
        <v>49</v>
      </c>
      <c r="L523" s="13" t="s">
        <v>29</v>
      </c>
      <c r="M523" s="19" t="s">
        <v>485</v>
      </c>
      <c r="N523" s="13" t="s">
        <v>486</v>
      </c>
      <c r="O523" s="42">
        <v>0</v>
      </c>
      <c r="R523" s="37" t="s">
        <v>106</v>
      </c>
      <c r="S523" s="37"/>
      <c r="T523" s="37"/>
      <c r="W523" s="14" t="str">
        <f>IF(IFERROR(VLOOKUP($M523,'IMPORT GS-Tür OL FL 2S2 20'!$H$2:$H$847,1,0),"-")="-","","GS")</f>
        <v>GS</v>
      </c>
      <c r="X523" s="14" t="str">
        <f t="shared" si="32"/>
        <v>...</v>
      </c>
      <c r="Z523" s="58" t="str">
        <f>IF(OR($M523="",NOT($O523="{array}")),"",IFERROR(MATCH(PARAMETERS!$M523,DEFAULT!$B$5:$CI$5,0),""))</f>
        <v/>
      </c>
      <c r="AA523" s="55" t="str">
        <f t="shared" si="27"/>
        <v/>
      </c>
      <c r="AB523" s="62" t="str">
        <f>IF(AND(OR($A523="G",$A523="P"),NOT($O523="{array}")),IF(VLOOKUP($K523,base!$B$2:$D$20,3,0)="S",IF(OR($O523="",ISTEXT($O523)),"","STRING!"),IF(VLOOKUP($K523,base!$B$2:$D$20,3,0)="","",IF(ISTEXT($O523),"NUMERIC!",""))),"")</f>
        <v/>
      </c>
      <c r="AC523" s="16" t="str">
        <f>IF($AA523="","",IF($B523="I",VLOOKUP($AA523,#REF!,53,0),INDEX(VALUES!$B$1:$GP$1,1,$AA523)))</f>
        <v/>
      </c>
    </row>
    <row r="524" spans="1:29" hidden="1" outlineLevel="1">
      <c r="A524" s="21"/>
      <c r="B524" s="40" t="str">
        <f t="shared" si="31"/>
        <v/>
      </c>
      <c r="C524" s="41">
        <f t="shared" si="33"/>
        <v>523</v>
      </c>
      <c r="D524" s="260"/>
      <c r="E524" s="37"/>
      <c r="F524" s="305" t="s">
        <v>9</v>
      </c>
      <c r="G524" s="188"/>
      <c r="H524" s="37"/>
      <c r="I524" s="37"/>
      <c r="J524" s="37"/>
      <c r="K524" s="13" t="s">
        <v>49</v>
      </c>
      <c r="L524" s="13" t="s">
        <v>29</v>
      </c>
      <c r="M524" s="19" t="s">
        <v>487</v>
      </c>
      <c r="N524" s="13" t="s">
        <v>488</v>
      </c>
      <c r="O524" s="42">
        <v>0</v>
      </c>
      <c r="R524" s="37" t="s">
        <v>106</v>
      </c>
      <c r="S524" s="37"/>
      <c r="T524" s="37"/>
      <c r="W524" s="14" t="str">
        <f>IF(IFERROR(VLOOKUP($M524,'IMPORT GS-Tür OL FL 2S2 20'!$H$2:$H$847,1,0),"-")="-","","GS")</f>
        <v>GS</v>
      </c>
      <c r="X524" s="14" t="str">
        <f t="shared" si="32"/>
        <v/>
      </c>
      <c r="Z524" s="58" t="str">
        <f>IF(OR($M524="",NOT($O524="{array}")),"",IFERROR(MATCH(PARAMETERS!$M524,DEFAULT!$B$5:$CI$5,0),""))</f>
        <v/>
      </c>
      <c r="AA524" s="55" t="str">
        <f t="shared" si="27"/>
        <v/>
      </c>
      <c r="AB524" s="62" t="str">
        <f>IF(AND(OR($A524="G",$A524="P"),NOT($O524="{array}")),IF(VLOOKUP($K524,base!$B$2:$D$20,3,0)="S",IF(OR($O524="",ISTEXT($O524)),"","STRING!"),IF(VLOOKUP($K524,base!$B$2:$D$20,3,0)="","",IF(ISTEXT($O524),"NUMERIC!",""))),"")</f>
        <v/>
      </c>
      <c r="AC524" s="16" t="str">
        <f>IF($AA524="","",IF($B524="I",VLOOKUP($AA524,#REF!,53,0),INDEX(VALUES!$B$1:$GP$1,1,$AA524)))</f>
        <v/>
      </c>
    </row>
    <row r="525" spans="1:29" collapsed="1">
      <c r="A525" s="21" t="s">
        <v>86</v>
      </c>
      <c r="B525" s="40" t="str">
        <f t="shared" si="31"/>
        <v/>
      </c>
      <c r="C525" s="41">
        <f t="shared" si="33"/>
        <v>524</v>
      </c>
      <c r="D525" s="260"/>
      <c r="E525" s="37"/>
      <c r="F525" s="305" t="s">
        <v>9</v>
      </c>
      <c r="G525" s="188"/>
      <c r="H525" s="37"/>
      <c r="I525" s="37"/>
      <c r="J525" s="37"/>
      <c r="K525" s="13" t="s">
        <v>59</v>
      </c>
      <c r="L525" s="13" t="s">
        <v>40</v>
      </c>
      <c r="M525" s="47" t="s">
        <v>522</v>
      </c>
      <c r="N525" s="40" t="s">
        <v>523</v>
      </c>
      <c r="R525" s="37" t="s">
        <v>106</v>
      </c>
      <c r="S525" s="37"/>
      <c r="T525" s="37"/>
      <c r="W525" s="14" t="str">
        <f>IF(IFERROR(VLOOKUP($M525,'IMPORT GS-Tür OL FL 2S2 20'!$H$2:$H$847,1,0),"-")="-","","GS")</f>
        <v>GS</v>
      </c>
      <c r="X525" s="14" t="str">
        <f t="shared" si="32"/>
        <v>...</v>
      </c>
      <c r="Z525" s="58" t="str">
        <f>IF(OR($M525="",NOT($O525="{array}")),"",IFERROR(MATCH(PARAMETERS!$M525,DEFAULT!$B$5:$CI$5,0),""))</f>
        <v/>
      </c>
      <c r="AA525" s="55" t="str">
        <f t="shared" si="27"/>
        <v/>
      </c>
      <c r="AB525" s="62" t="str">
        <f>IF(AND(OR($A525="G",$A525="P"),NOT($O525="{array}")),IF(VLOOKUP($K525,base!$B$2:$D$20,3,0)="S",IF(OR($O525="",ISTEXT($O525)),"","STRING!"),IF(VLOOKUP($K525,base!$B$2:$D$20,3,0)="","",IF(ISTEXT($O525),"NUMERIC!",""))),"")</f>
        <v/>
      </c>
      <c r="AC525" s="16" t="str">
        <f>IF($AA525="","",IF($B525="I",VLOOKUP($AA525,#REF!,53,0),INDEX(VALUES!$B$1:$GP$1,1,$AA525)))</f>
        <v/>
      </c>
    </row>
    <row r="526" spans="1:29" hidden="1" outlineLevel="1">
      <c r="A526" s="21" t="s">
        <v>86</v>
      </c>
      <c r="B526" s="40" t="str">
        <f t="shared" si="31"/>
        <v/>
      </c>
      <c r="C526" s="41">
        <f t="shared" si="33"/>
        <v>525</v>
      </c>
      <c r="D526" s="260" t="s">
        <v>9</v>
      </c>
      <c r="E526" s="37"/>
      <c r="F526" s="305" t="s">
        <v>9</v>
      </c>
      <c r="G526" s="188"/>
      <c r="H526" s="37"/>
      <c r="I526" s="37" t="s">
        <v>9</v>
      </c>
      <c r="J526" s="37"/>
      <c r="K526" s="13" t="s">
        <v>26</v>
      </c>
      <c r="L526" s="13" t="s">
        <v>29</v>
      </c>
      <c r="M526" s="149" t="s">
        <v>524</v>
      </c>
      <c r="N526" s="13" t="s">
        <v>525</v>
      </c>
      <c r="O526" s="42">
        <v>5.0000000000000001E-3</v>
      </c>
      <c r="R526" s="37" t="s">
        <v>106</v>
      </c>
      <c r="S526" s="37"/>
      <c r="T526" s="37"/>
      <c r="W526" s="14" t="str">
        <f>IF(IFERROR(VLOOKUP($M526,'IMPORT GS-Tür OL FL 2S2 20'!$H$2:$H$847,1,0),"-")="-","","GS")</f>
        <v>GS</v>
      </c>
      <c r="X526" s="14" t="str">
        <f t="shared" si="32"/>
        <v>...</v>
      </c>
      <c r="Y526" s="13" t="s">
        <v>526</v>
      </c>
      <c r="Z526" s="58" t="str">
        <f>IF(OR($M526="",NOT($O526="{array}")),"",IFERROR(MATCH(PARAMETERS!$M526,DEFAULT!$B$5:$CI$5,0),""))</f>
        <v/>
      </c>
      <c r="AA526" s="55" t="str">
        <f t="shared" si="27"/>
        <v/>
      </c>
      <c r="AB526" s="62" t="str">
        <f>IF(AND(OR($A526="G",$A526="P"),NOT($O526="{array}")),IF(VLOOKUP($K526,base!$B$2:$D$20,3,0)="S",IF(OR($O526="",ISTEXT($O526)),"","STRING!"),IF(VLOOKUP($K526,base!$B$2:$D$20,3,0)="","",IF(ISTEXT($O526),"NUMERIC!",""))),"")</f>
        <v/>
      </c>
      <c r="AC526" s="16" t="str">
        <f>IF($AA526="","",IF($B526="I",VLOOKUP($AA526,#REF!,53,0),INDEX(VALUES!$B$1:$GP$1,1,$AA526)))</f>
        <v/>
      </c>
    </row>
    <row r="527" spans="1:29" hidden="1" outlineLevel="1">
      <c r="A527" s="21" t="s">
        <v>86</v>
      </c>
      <c r="B527" s="40" t="str">
        <f t="shared" si="31"/>
        <v/>
      </c>
      <c r="C527" s="41">
        <f t="shared" si="33"/>
        <v>526</v>
      </c>
      <c r="D527" s="260" t="s">
        <v>9</v>
      </c>
      <c r="E527" s="37"/>
      <c r="F527" s="305" t="s">
        <v>9</v>
      </c>
      <c r="G527" s="188"/>
      <c r="H527" s="37"/>
      <c r="I527" s="37" t="s">
        <v>9</v>
      </c>
      <c r="J527" s="37"/>
      <c r="K527" s="13" t="s">
        <v>26</v>
      </c>
      <c r="L527" s="13" t="s">
        <v>29</v>
      </c>
      <c r="M527" s="149" t="s">
        <v>527</v>
      </c>
      <c r="N527" s="13" t="s">
        <v>528</v>
      </c>
      <c r="O527" s="42">
        <v>5.0000000000000001E-3</v>
      </c>
      <c r="R527" s="37" t="s">
        <v>106</v>
      </c>
      <c r="S527" s="37"/>
      <c r="T527" s="37"/>
      <c r="W527" s="14" t="str">
        <f>IF(IFERROR(VLOOKUP($M527,'IMPORT GS-Tür OL FL 2S2 20'!$H$2:$H$847,1,0),"-")="-","","GS")</f>
        <v>GS</v>
      </c>
      <c r="X527" s="14" t="str">
        <f t="shared" si="32"/>
        <v>...</v>
      </c>
      <c r="Y527" s="13" t="s">
        <v>529</v>
      </c>
      <c r="Z527" s="58" t="str">
        <f>IF(OR($M527="",NOT($O527="{array}")),"",IFERROR(MATCH(PARAMETERS!$M527,DEFAULT!$B$5:$CI$5,0),""))</f>
        <v/>
      </c>
      <c r="AA527" s="55" t="str">
        <f t="shared" si="27"/>
        <v/>
      </c>
      <c r="AB527" s="62" t="str">
        <f>IF(AND(OR($A527="G",$A527="P"),NOT($O527="{array}")),IF(VLOOKUP($K527,base!$B$2:$D$20,3,0)="S",IF(OR($O527="",ISTEXT($O527)),"","STRING!"),IF(VLOOKUP($K527,base!$B$2:$D$20,3,0)="","",IF(ISTEXT($O527),"NUMERIC!",""))),"")</f>
        <v/>
      </c>
      <c r="AC527" s="16" t="str">
        <f>IF($AA527="","",IF($B527="I",VLOOKUP($AA527,#REF!,53,0),INDEX(VALUES!$B$1:$GP$1,1,$AA527)))</f>
        <v/>
      </c>
    </row>
    <row r="528" spans="1:29" hidden="1" outlineLevel="1">
      <c r="A528" s="21" t="s">
        <v>86</v>
      </c>
      <c r="B528" s="40" t="str">
        <f t="shared" si="31"/>
        <v/>
      </c>
      <c r="C528" s="41">
        <f t="shared" si="33"/>
        <v>527</v>
      </c>
      <c r="D528" s="260" t="s">
        <v>9</v>
      </c>
      <c r="E528" s="37"/>
      <c r="F528" s="305" t="s">
        <v>9</v>
      </c>
      <c r="G528" s="188"/>
      <c r="H528" s="37"/>
      <c r="I528" s="37" t="s">
        <v>9</v>
      </c>
      <c r="J528" s="37"/>
      <c r="K528" s="13" t="s">
        <v>26</v>
      </c>
      <c r="L528" s="13" t="s">
        <v>29</v>
      </c>
      <c r="M528" s="149" t="s">
        <v>530</v>
      </c>
      <c r="N528" s="13" t="s">
        <v>531</v>
      </c>
      <c r="O528" s="42">
        <v>0.01</v>
      </c>
      <c r="R528" s="37" t="s">
        <v>106</v>
      </c>
      <c r="S528" s="37"/>
      <c r="T528" s="37"/>
      <c r="W528" s="14" t="str">
        <f>IF(IFERROR(VLOOKUP($M528,'IMPORT GS-Tür OL FL 2S2 20'!$H$2:$H$847,1,0),"-")="-","","GS")</f>
        <v>GS</v>
      </c>
      <c r="X528" s="14" t="str">
        <f t="shared" si="32"/>
        <v>...</v>
      </c>
      <c r="Y528" s="13" t="s">
        <v>532</v>
      </c>
      <c r="Z528" s="58" t="str">
        <f>IF(OR($M528="",NOT($O528="{array}")),"",IFERROR(MATCH(PARAMETERS!$M528,DEFAULT!$B$5:$CI$5,0),""))</f>
        <v/>
      </c>
      <c r="AA528" s="55" t="str">
        <f t="shared" si="27"/>
        <v/>
      </c>
      <c r="AB528" s="62" t="str">
        <f>IF(AND(OR($A528="G",$A528="P"),NOT($O528="{array}")),IF(VLOOKUP($K528,base!$B$2:$D$20,3,0)="S",IF(OR($O528="",ISTEXT($O528)),"","STRING!"),IF(VLOOKUP($K528,base!$B$2:$D$20,3,0)="","",IF(ISTEXT($O528),"NUMERIC!",""))),"")</f>
        <v/>
      </c>
      <c r="AC528" s="16" t="str">
        <f>IF($AA528="","",IF($B528="I",VLOOKUP($AA528,#REF!,53,0),INDEX(VALUES!$B$1:$GP$1,1,$AA528)))</f>
        <v/>
      </c>
    </row>
    <row r="529" spans="1:29" hidden="1" outlineLevel="1">
      <c r="A529" s="21" t="s">
        <v>86</v>
      </c>
      <c r="B529" s="40" t="str">
        <f t="shared" si="31"/>
        <v/>
      </c>
      <c r="C529" s="41">
        <f t="shared" si="33"/>
        <v>528</v>
      </c>
      <c r="D529" s="260" t="s">
        <v>9</v>
      </c>
      <c r="E529" s="37"/>
      <c r="F529" s="305" t="s">
        <v>9</v>
      </c>
      <c r="G529" s="188" t="s">
        <v>9</v>
      </c>
      <c r="H529" s="37"/>
      <c r="I529" s="37" t="s">
        <v>9</v>
      </c>
      <c r="J529" s="37"/>
      <c r="K529" s="13" t="s">
        <v>26</v>
      </c>
      <c r="L529" s="13" t="s">
        <v>29</v>
      </c>
      <c r="M529" s="19" t="s">
        <v>533</v>
      </c>
      <c r="N529" s="13" t="s">
        <v>534</v>
      </c>
      <c r="O529" s="42">
        <v>0</v>
      </c>
      <c r="R529" s="37" t="s">
        <v>106</v>
      </c>
      <c r="S529" s="37"/>
      <c r="T529" s="37"/>
      <c r="W529" s="14" t="str">
        <f>IF(IFERROR(VLOOKUP($M529,'IMPORT GS-Tür OL FL 2S2 20'!$H$2:$H$847,1,0),"-")="-","","GS")</f>
        <v>GS</v>
      </c>
      <c r="X529" s="14" t="str">
        <f t="shared" si="32"/>
        <v>...</v>
      </c>
      <c r="Y529" s="13" t="s">
        <v>535</v>
      </c>
      <c r="Z529" s="58" t="str">
        <f>IF(OR($M529="",NOT($O529="{array}")),"",IFERROR(MATCH(PARAMETERS!$M529,DEFAULT!$B$5:$CI$5,0),""))</f>
        <v/>
      </c>
      <c r="AA529" s="55" t="str">
        <f t="shared" si="27"/>
        <v/>
      </c>
      <c r="AB529" s="62" t="str">
        <f>IF(AND(OR($A529="G",$A529="P"),NOT($O529="{array}")),IF(VLOOKUP($K529,base!$B$2:$D$20,3,0)="S",IF(OR($O529="",ISTEXT($O529)),"","STRING!"),IF(VLOOKUP($K529,base!$B$2:$D$20,3,0)="","",IF(ISTEXT($O529),"NUMERIC!",""))),"")</f>
        <v/>
      </c>
      <c r="AC529" s="16" t="str">
        <f>IF($AA529="","",IF($B529="I",VLOOKUP($AA529,#REF!,53,0),INDEX(VALUES!$B$1:$GP$1,1,$AA529)))</f>
        <v/>
      </c>
    </row>
    <row r="530" spans="1:29" s="276" customFormat="1" hidden="1" outlineLevel="1">
      <c r="A530" s="263"/>
      <c r="B530" s="264" t="str">
        <f t="shared" si="31"/>
        <v/>
      </c>
      <c r="C530" s="265">
        <f t="shared" si="33"/>
        <v>529</v>
      </c>
      <c r="D530" s="266"/>
      <c r="E530" s="266"/>
      <c r="F530" s="305"/>
      <c r="G530" s="188"/>
      <c r="H530" s="266"/>
      <c r="I530" s="266" t="s">
        <v>9</v>
      </c>
      <c r="J530" s="266"/>
      <c r="K530" s="277" t="s">
        <v>26</v>
      </c>
      <c r="L530" s="267" t="s">
        <v>29</v>
      </c>
      <c r="M530" s="277" t="s">
        <v>536</v>
      </c>
      <c r="N530" s="277" t="s">
        <v>298</v>
      </c>
      <c r="O530" s="277" t="s">
        <v>298</v>
      </c>
      <c r="P530" s="287" t="s">
        <v>126</v>
      </c>
      <c r="Q530" s="281" t="s">
        <v>9</v>
      </c>
      <c r="R530" s="280" t="s">
        <v>105</v>
      </c>
      <c r="S530" s="280" t="s">
        <v>114</v>
      </c>
      <c r="T530" s="277" t="s">
        <v>298</v>
      </c>
      <c r="U530" s="277" t="s">
        <v>298</v>
      </c>
      <c r="V530" s="277" t="s">
        <v>536</v>
      </c>
      <c r="W530" s="271" t="str">
        <f>IF(IFERROR(VLOOKUP($M530,'IMPORT GS-Tür OL FL 2S2 20'!$H$2:$H$847,1,0),"-")="-","","GS")</f>
        <v/>
      </c>
      <c r="X530" s="272" t="str">
        <f t="shared" si="32"/>
        <v/>
      </c>
      <c r="Y530" s="277" t="s">
        <v>537</v>
      </c>
      <c r="Z530" s="273" t="str">
        <f>IF(OR($M530="",NOT($O530="{array}")),"",IFERROR(MATCH(PARAMETERS!$M530,DEFAULT!$B$5:$CI$5,0),""))</f>
        <v/>
      </c>
      <c r="AA530" s="272" t="str">
        <f t="shared" si="27"/>
        <v/>
      </c>
      <c r="AB530" s="274" t="str">
        <f>IF(AND(OR($A530="G",$A530="P"),NOT($O530="{array}")),IF(VLOOKUP($K530,base!$B$2:$D$20,3,0)="S",IF(OR($O530="",ISTEXT($O530)),"","STRING!"),IF(VLOOKUP($K530,base!$B$2:$D$20,3,0)="","",IF(ISTEXT($O530),"NUMERIC!",""))),"")</f>
        <v/>
      </c>
      <c r="AC530" s="275" t="str">
        <f>IF($AA530="","",IF($B530="I",VLOOKUP($AA530,#REF!,53,0),INDEX(VALUES!$B$1:$GP$1,1,$AA530)))</f>
        <v/>
      </c>
    </row>
    <row r="531" spans="1:29" hidden="1" outlineLevel="1">
      <c r="A531" s="21" t="s">
        <v>86</v>
      </c>
      <c r="B531" s="40" t="str">
        <f t="shared" si="31"/>
        <v>V</v>
      </c>
      <c r="C531" s="41">
        <f t="shared" si="33"/>
        <v>530</v>
      </c>
      <c r="D531" s="260" t="s">
        <v>9</v>
      </c>
      <c r="E531" s="37"/>
      <c r="F531" s="305"/>
      <c r="G531" s="188" t="s">
        <v>9</v>
      </c>
      <c r="H531" s="37"/>
      <c r="I531" s="37" t="s">
        <v>9</v>
      </c>
      <c r="J531" s="37"/>
      <c r="K531" s="52" t="s">
        <v>46</v>
      </c>
      <c r="L531" s="52" t="s">
        <v>23</v>
      </c>
      <c r="M531" s="184" t="s">
        <v>3603</v>
      </c>
      <c r="N531" s="52" t="s">
        <v>3604</v>
      </c>
      <c r="O531" s="153">
        <v>1</v>
      </c>
      <c r="P531" s="52"/>
      <c r="Q531" s="188"/>
      <c r="R531" s="188" t="s">
        <v>204</v>
      </c>
      <c r="S531" s="37"/>
      <c r="T531" s="37"/>
      <c r="V531" s="183"/>
      <c r="W531" s="181"/>
      <c r="X531" s="14" t="str">
        <f t="shared" si="32"/>
        <v>...</v>
      </c>
      <c r="Y531" s="183"/>
      <c r="Z531" s="58" t="str">
        <f>IF(OR($M531="",NOT($O531="{array}")),"",IFERROR(MATCH(PARAMETERS!$M531,DEFAULT!$B$5:$CI$5,0),""))</f>
        <v/>
      </c>
      <c r="AA531" s="55">
        <f t="shared" si="27"/>
        <v>24</v>
      </c>
      <c r="AB531" s="62" t="str">
        <f>IF(AND(OR($A531="G",$A531="P"),NOT($O531="{array}")),IF(VLOOKUP($K531,base!$B$2:$D$20,3,0)="S",IF(OR($O531="",ISTEXT($O531)),"","STRING!"),IF(VLOOKUP($K531,base!$B$2:$D$20,3,0)="","",IF(ISTEXT($O531),"NUMERIC!",""))),"")</f>
        <v/>
      </c>
      <c r="AC531" s="16" t="str">
        <f>IF($AA531="","",IF($B531="I",VLOOKUP($AA531,#REF!,53,0),INDEX(VALUES!$B$1:$GP$1,1,$AA531)))</f>
        <v>0 | 1 | 2</v>
      </c>
    </row>
    <row r="532" spans="1:29" s="276" customFormat="1" hidden="1" outlineLevel="1">
      <c r="A532" s="263"/>
      <c r="B532" s="264" t="str">
        <f t="shared" si="31"/>
        <v/>
      </c>
      <c r="C532" s="265">
        <f t="shared" si="33"/>
        <v>531</v>
      </c>
      <c r="D532" s="266"/>
      <c r="E532" s="266"/>
      <c r="F532" s="305" t="s">
        <v>9</v>
      </c>
      <c r="G532" s="188"/>
      <c r="H532" s="266"/>
      <c r="I532" s="266" t="s">
        <v>9</v>
      </c>
      <c r="J532" s="266"/>
      <c r="K532" s="276" t="s">
        <v>26</v>
      </c>
      <c r="L532" s="276" t="s">
        <v>29</v>
      </c>
      <c r="M532" s="285" t="s">
        <v>538</v>
      </c>
      <c r="N532" s="276" t="s">
        <v>539</v>
      </c>
      <c r="O532" s="286">
        <v>0</v>
      </c>
      <c r="Q532" s="266" t="s">
        <v>9</v>
      </c>
      <c r="R532" s="266" t="s">
        <v>106</v>
      </c>
      <c r="S532" s="266"/>
      <c r="T532" s="266"/>
      <c r="W532" s="272" t="str">
        <f>IF(IFERROR(VLOOKUP($M532,'IMPORT GS-Tür OL FL 2S2 20'!$H$2:$H$847,1,0),"-")="-","","GS")</f>
        <v>GS</v>
      </c>
      <c r="X532" s="272" t="str">
        <f t="shared" si="32"/>
        <v/>
      </c>
      <c r="Z532" s="273" t="str">
        <f>IF(OR($M532="",NOT($O532="{array}")),"",IFERROR(MATCH(PARAMETERS!$M532,DEFAULT!$B$5:$CI$5,0),""))</f>
        <v/>
      </c>
      <c r="AA532" s="272" t="str">
        <f t="shared" si="27"/>
        <v/>
      </c>
      <c r="AB532" s="274" t="str">
        <f>IF(AND(OR($A532="G",$A532="P"),NOT($O532="{array}")),IF(VLOOKUP($K532,base!$B$2:$D$20,3,0)="S",IF(OR($O532="",ISTEXT($O532)),"","STRING!"),IF(VLOOKUP($K532,base!$B$2:$D$20,3,0)="","",IF(ISTEXT($O532),"NUMERIC!",""))),"")</f>
        <v/>
      </c>
      <c r="AC532" s="275" t="str">
        <f>IF($AA532="","",IF($B532="I",VLOOKUP($AA532,#REF!,53,0),INDEX(VALUES!$B$1:$GP$1,1,$AA532)))</f>
        <v/>
      </c>
    </row>
    <row r="533" spans="1:29" s="276" customFormat="1" hidden="1" outlineLevel="1">
      <c r="A533" s="263"/>
      <c r="B533" s="264" t="str">
        <f t="shared" si="31"/>
        <v/>
      </c>
      <c r="C533" s="265">
        <f t="shared" si="33"/>
        <v>532</v>
      </c>
      <c r="D533" s="266"/>
      <c r="E533" s="266"/>
      <c r="F533" s="305" t="s">
        <v>9</v>
      </c>
      <c r="G533" s="188"/>
      <c r="H533" s="266"/>
      <c r="I533" s="266" t="s">
        <v>9</v>
      </c>
      <c r="J533" s="266"/>
      <c r="K533" s="276" t="s">
        <v>26</v>
      </c>
      <c r="L533" s="276" t="s">
        <v>29</v>
      </c>
      <c r="M533" s="285" t="s">
        <v>540</v>
      </c>
      <c r="N533" s="276" t="s">
        <v>541</v>
      </c>
      <c r="O533" s="286">
        <v>0</v>
      </c>
      <c r="Q533" s="266" t="s">
        <v>9</v>
      </c>
      <c r="R533" s="266" t="s">
        <v>106</v>
      </c>
      <c r="S533" s="266"/>
      <c r="T533" s="266"/>
      <c r="W533" s="272" t="str">
        <f>IF(IFERROR(VLOOKUP($M533,'IMPORT GS-Tür OL FL 2S2 20'!$H$2:$H$847,1,0),"-")="-","","GS")</f>
        <v>GS</v>
      </c>
      <c r="X533" s="272" t="str">
        <f t="shared" si="32"/>
        <v/>
      </c>
      <c r="Z533" s="273" t="str">
        <f>IF(OR($M533="",NOT($O533="{array}")),"",IFERROR(MATCH(PARAMETERS!$M533,DEFAULT!$B$5:$CI$5,0),""))</f>
        <v/>
      </c>
      <c r="AA533" s="272" t="str">
        <f t="shared" si="27"/>
        <v/>
      </c>
      <c r="AB533" s="274" t="str">
        <f>IF(AND(OR($A533="G",$A533="P"),NOT($O533="{array}")),IF(VLOOKUP($K533,base!$B$2:$D$20,3,0)="S",IF(OR($O533="",ISTEXT($O533)),"","STRING!"),IF(VLOOKUP($K533,base!$B$2:$D$20,3,0)="","",IF(ISTEXT($O533),"NUMERIC!",""))),"")</f>
        <v/>
      </c>
      <c r="AC533" s="275" t="str">
        <f>IF($AA533="","",IF($B533="I",VLOOKUP($AA533,#REF!,53,0),INDEX(VALUES!$B$1:$GP$1,1,$AA533)))</f>
        <v/>
      </c>
    </row>
    <row r="534" spans="1:29" s="276" customFormat="1" hidden="1" outlineLevel="1">
      <c r="A534" s="263"/>
      <c r="B534" s="264" t="str">
        <f t="shared" si="31"/>
        <v/>
      </c>
      <c r="C534" s="265">
        <f t="shared" si="33"/>
        <v>533</v>
      </c>
      <c r="D534" s="266"/>
      <c r="E534" s="266"/>
      <c r="F534" s="305" t="s">
        <v>9</v>
      </c>
      <c r="G534" s="188"/>
      <c r="H534" s="266"/>
      <c r="I534" s="266" t="s">
        <v>9</v>
      </c>
      <c r="J534" s="266"/>
      <c r="K534" s="276" t="s">
        <v>26</v>
      </c>
      <c r="L534" s="276" t="s">
        <v>29</v>
      </c>
      <c r="M534" s="285" t="s">
        <v>542</v>
      </c>
      <c r="N534" s="276" t="s">
        <v>543</v>
      </c>
      <c r="O534" s="286">
        <v>0</v>
      </c>
      <c r="Q534" s="266" t="s">
        <v>9</v>
      </c>
      <c r="R534" s="266" t="s">
        <v>106</v>
      </c>
      <c r="S534" s="266"/>
      <c r="T534" s="266"/>
      <c r="W534" s="272" t="str">
        <f>IF(IFERROR(VLOOKUP($M534,'IMPORT GS-Tür OL FL 2S2 20'!$H$2:$H$847,1,0),"-")="-","","GS")</f>
        <v>GS</v>
      </c>
      <c r="X534" s="272" t="str">
        <f t="shared" si="32"/>
        <v/>
      </c>
      <c r="Z534" s="273" t="str">
        <f>IF(OR($M534="",NOT($O534="{array}")),"",IFERROR(MATCH(PARAMETERS!$M534,DEFAULT!$B$5:$CI$5,0),""))</f>
        <v/>
      </c>
      <c r="AA534" s="272" t="str">
        <f t="shared" si="27"/>
        <v/>
      </c>
      <c r="AB534" s="274" t="str">
        <f>IF(AND(OR($A534="G",$A534="P"),NOT($O534="{array}")),IF(VLOOKUP($K534,base!$B$2:$D$20,3,0)="S",IF(OR($O534="",ISTEXT($O534)),"","STRING!"),IF(VLOOKUP($K534,base!$B$2:$D$20,3,0)="","",IF(ISTEXT($O534),"NUMERIC!",""))),"")</f>
        <v/>
      </c>
      <c r="AC534" s="275" t="str">
        <f>IF($AA534="","",IF($B534="I",VLOOKUP($AA534,#REF!,53,0),INDEX(VALUES!$B$1:$GP$1,1,$AA534)))</f>
        <v/>
      </c>
    </row>
    <row r="535" spans="1:29" s="276" customFormat="1" hidden="1" outlineLevel="1">
      <c r="A535" s="263"/>
      <c r="B535" s="264" t="str">
        <f t="shared" si="31"/>
        <v/>
      </c>
      <c r="C535" s="265">
        <f t="shared" si="33"/>
        <v>534</v>
      </c>
      <c r="D535" s="266"/>
      <c r="E535" s="266"/>
      <c r="F535" s="305" t="s">
        <v>9</v>
      </c>
      <c r="G535" s="188"/>
      <c r="H535" s="266"/>
      <c r="I535" s="266" t="s">
        <v>9</v>
      </c>
      <c r="J535" s="266"/>
      <c r="K535" s="276" t="s">
        <v>26</v>
      </c>
      <c r="L535" s="276" t="s">
        <v>29</v>
      </c>
      <c r="M535" s="285" t="s">
        <v>544</v>
      </c>
      <c r="N535" s="276" t="s">
        <v>545</v>
      </c>
      <c r="O535" s="286">
        <v>0</v>
      </c>
      <c r="Q535" s="266" t="s">
        <v>9</v>
      </c>
      <c r="R535" s="266" t="s">
        <v>106</v>
      </c>
      <c r="S535" s="266"/>
      <c r="T535" s="266"/>
      <c r="W535" s="272" t="str">
        <f>IF(IFERROR(VLOOKUP($M535,'IMPORT GS-Tür OL FL 2S2 20'!$H$2:$H$847,1,0),"-")="-","","GS")</f>
        <v>GS</v>
      </c>
      <c r="X535" s="272" t="str">
        <f t="shared" si="32"/>
        <v/>
      </c>
      <c r="Z535" s="273" t="str">
        <f>IF(OR($M535="",NOT($O535="{array}")),"",IFERROR(MATCH(PARAMETERS!$M535,DEFAULT!$B$5:$CI$5,0),""))</f>
        <v/>
      </c>
      <c r="AA535" s="272" t="str">
        <f t="shared" si="27"/>
        <v/>
      </c>
      <c r="AB535" s="274" t="str">
        <f>IF(AND(OR($A535="G",$A535="P"),NOT($O535="{array}")),IF(VLOOKUP($K535,base!$B$2:$D$20,3,0)="S",IF(OR($O535="",ISTEXT($O535)),"","STRING!"),IF(VLOOKUP($K535,base!$B$2:$D$20,3,0)="","",IF(ISTEXT($O535),"NUMERIC!",""))),"")</f>
        <v/>
      </c>
      <c r="AC535" s="275" t="str">
        <f>IF($AA535="","",IF($B535="I",VLOOKUP($AA535,#REF!,53,0),INDEX(VALUES!$B$1:$GP$1,1,$AA535)))</f>
        <v/>
      </c>
    </row>
    <row r="536" spans="1:29" s="276" customFormat="1" hidden="1" outlineLevel="1">
      <c r="A536" s="263"/>
      <c r="B536" s="264" t="str">
        <f t="shared" si="31"/>
        <v/>
      </c>
      <c r="C536" s="265">
        <f t="shared" si="33"/>
        <v>535</v>
      </c>
      <c r="D536" s="266"/>
      <c r="E536" s="266"/>
      <c r="F536" s="305" t="s">
        <v>9</v>
      </c>
      <c r="G536" s="188"/>
      <c r="H536" s="266"/>
      <c r="I536" s="266" t="s">
        <v>9</v>
      </c>
      <c r="J536" s="266"/>
      <c r="K536" s="276" t="s">
        <v>26</v>
      </c>
      <c r="L536" s="276" t="s">
        <v>29</v>
      </c>
      <c r="M536" s="285" t="s">
        <v>546</v>
      </c>
      <c r="N536" s="276" t="s">
        <v>547</v>
      </c>
      <c r="O536" s="286">
        <v>0</v>
      </c>
      <c r="Q536" s="266" t="s">
        <v>9</v>
      </c>
      <c r="R536" s="266" t="s">
        <v>106</v>
      </c>
      <c r="S536" s="266"/>
      <c r="T536" s="266"/>
      <c r="W536" s="272" t="str">
        <f>IF(IFERROR(VLOOKUP($M536,'IMPORT GS-Tür OL FL 2S2 20'!$H$2:$H$847,1,0),"-")="-","","GS")</f>
        <v>GS</v>
      </c>
      <c r="X536" s="272" t="str">
        <f t="shared" si="32"/>
        <v/>
      </c>
      <c r="Z536" s="273" t="str">
        <f>IF(OR($M536="",NOT($O536="{array}")),"",IFERROR(MATCH(PARAMETERS!$M536,DEFAULT!$B$5:$CI$5,0),""))</f>
        <v/>
      </c>
      <c r="AA536" s="272" t="str">
        <f t="shared" si="27"/>
        <v/>
      </c>
      <c r="AB536" s="274" t="str">
        <f>IF(AND(OR($A536="G",$A536="P"),NOT($O536="{array}")),IF(VLOOKUP($K536,base!$B$2:$D$20,3,0)="S",IF(OR($O536="",ISTEXT($O536)),"","STRING!"),IF(VLOOKUP($K536,base!$B$2:$D$20,3,0)="","",IF(ISTEXT($O536),"NUMERIC!",""))),"")</f>
        <v/>
      </c>
      <c r="AC536" s="275" t="str">
        <f>IF($AA536="","",IF($B536="I",VLOOKUP($AA536,#REF!,53,0),INDEX(VALUES!$B$1:$GP$1,1,$AA536)))</f>
        <v/>
      </c>
    </row>
    <row r="537" spans="1:29" s="276" customFormat="1" hidden="1" outlineLevel="1">
      <c r="A537" s="263"/>
      <c r="B537" s="264" t="str">
        <f t="shared" si="31"/>
        <v/>
      </c>
      <c r="C537" s="265">
        <f t="shared" ref="C537:C579" si="34">(ROW()-1)</f>
        <v>536</v>
      </c>
      <c r="D537" s="266"/>
      <c r="E537" s="266"/>
      <c r="F537" s="305" t="s">
        <v>9</v>
      </c>
      <c r="G537" s="188"/>
      <c r="H537" s="266"/>
      <c r="I537" s="266" t="s">
        <v>9</v>
      </c>
      <c r="J537" s="266"/>
      <c r="K537" s="276" t="s">
        <v>26</v>
      </c>
      <c r="L537" s="276" t="s">
        <v>29</v>
      </c>
      <c r="M537" s="285" t="s">
        <v>548</v>
      </c>
      <c r="N537" s="276" t="s">
        <v>549</v>
      </c>
      <c r="O537" s="286">
        <v>0</v>
      </c>
      <c r="Q537" s="266" t="s">
        <v>9</v>
      </c>
      <c r="R537" s="266" t="s">
        <v>106</v>
      </c>
      <c r="S537" s="266"/>
      <c r="T537" s="266"/>
      <c r="W537" s="272" t="str">
        <f>IF(IFERROR(VLOOKUP($M537,'IMPORT GS-Tür OL FL 2S2 20'!$H$2:$H$847,1,0),"-")="-","","GS")</f>
        <v>GS</v>
      </c>
      <c r="X537" s="272" t="str">
        <f t="shared" si="32"/>
        <v/>
      </c>
      <c r="Z537" s="273" t="str">
        <f>IF(OR($M537="",NOT($O537="{array}")),"",IFERROR(MATCH(PARAMETERS!$M537,DEFAULT!$B$5:$CI$5,0),""))</f>
        <v/>
      </c>
      <c r="AA537" s="272" t="str">
        <f t="shared" si="27"/>
        <v/>
      </c>
      <c r="AB537" s="274" t="str">
        <f>IF(AND(OR($A537="G",$A537="P"),NOT($O537="{array}")),IF(VLOOKUP($K537,base!$B$2:$D$20,3,0)="S",IF(OR($O537="",ISTEXT($O537)),"","STRING!"),IF(VLOOKUP($K537,base!$B$2:$D$20,3,0)="","",IF(ISTEXT($O537),"NUMERIC!",""))),"")</f>
        <v/>
      </c>
      <c r="AC537" s="275" t="str">
        <f>IF($AA537="","",IF($B537="I",VLOOKUP($AA537,#REF!,53,0),INDEX(VALUES!$B$1:$GP$1,1,$AA537)))</f>
        <v/>
      </c>
    </row>
    <row r="538" spans="1:29" s="276" customFormat="1" hidden="1" outlineLevel="1">
      <c r="A538" s="263"/>
      <c r="B538" s="264" t="str">
        <f t="shared" si="31"/>
        <v/>
      </c>
      <c r="C538" s="265">
        <f t="shared" si="34"/>
        <v>537</v>
      </c>
      <c r="D538" s="266"/>
      <c r="E538" s="266"/>
      <c r="F538" s="305" t="s">
        <v>9</v>
      </c>
      <c r="G538" s="188" t="s">
        <v>9</v>
      </c>
      <c r="H538" s="266"/>
      <c r="I538" s="266" t="s">
        <v>9</v>
      </c>
      <c r="J538" s="266"/>
      <c r="K538" s="276" t="s">
        <v>26</v>
      </c>
      <c r="L538" s="276" t="s">
        <v>29</v>
      </c>
      <c r="M538" s="285" t="s">
        <v>550</v>
      </c>
      <c r="N538" s="276" t="s">
        <v>551</v>
      </c>
      <c r="O538" s="286">
        <v>0</v>
      </c>
      <c r="Q538" s="266" t="s">
        <v>9</v>
      </c>
      <c r="R538" s="266" t="s">
        <v>106</v>
      </c>
      <c r="S538" s="266"/>
      <c r="T538" s="266"/>
      <c r="W538" s="272" t="str">
        <f>IF(IFERROR(VLOOKUP($M538,'IMPORT GS-Tür OL FL 2S2 20'!$H$2:$H$847,1,0),"-")="-","","GS")</f>
        <v>GS</v>
      </c>
      <c r="X538" s="272" t="str">
        <f t="shared" si="32"/>
        <v/>
      </c>
      <c r="Z538" s="273" t="str">
        <f>IF(OR($M538="",NOT($O538="{array}")),"",IFERROR(MATCH(PARAMETERS!$M538,DEFAULT!$B$5:$CI$5,0),""))</f>
        <v/>
      </c>
      <c r="AA538" s="272" t="str">
        <f t="shared" si="27"/>
        <v/>
      </c>
      <c r="AB538" s="274" t="str">
        <f>IF(AND(OR($A538="G",$A538="P"),NOT($O538="{array}")),IF(VLOOKUP($K538,base!$B$2:$D$20,3,0)="S",IF(OR($O538="",ISTEXT($O538)),"","STRING!"),IF(VLOOKUP($K538,base!$B$2:$D$20,3,0)="","",IF(ISTEXT($O538),"NUMERIC!",""))),"")</f>
        <v/>
      </c>
      <c r="AC538" s="275" t="str">
        <f>IF($AA538="","",IF($B538="I",VLOOKUP($AA538,#REF!,53,0),INDEX(VALUES!$B$1:$GP$1,1,$AA538)))</f>
        <v/>
      </c>
    </row>
    <row r="539" spans="1:29" s="276" customFormat="1" hidden="1" outlineLevel="1">
      <c r="A539" s="263"/>
      <c r="B539" s="264" t="str">
        <f t="shared" si="31"/>
        <v/>
      </c>
      <c r="C539" s="265">
        <f t="shared" si="34"/>
        <v>538</v>
      </c>
      <c r="D539" s="266"/>
      <c r="E539" s="266"/>
      <c r="F539" s="305" t="s">
        <v>9</v>
      </c>
      <c r="G539" s="188" t="s">
        <v>9</v>
      </c>
      <c r="H539" s="266"/>
      <c r="I539" s="266" t="s">
        <v>9</v>
      </c>
      <c r="J539" s="266"/>
      <c r="K539" s="276" t="s">
        <v>26</v>
      </c>
      <c r="L539" s="276" t="s">
        <v>29</v>
      </c>
      <c r="M539" s="285" t="s">
        <v>552</v>
      </c>
      <c r="N539" s="276" t="s">
        <v>553</v>
      </c>
      <c r="O539" s="286">
        <v>0</v>
      </c>
      <c r="Q539" s="266" t="s">
        <v>9</v>
      </c>
      <c r="R539" s="266" t="s">
        <v>106</v>
      </c>
      <c r="S539" s="266"/>
      <c r="T539" s="266"/>
      <c r="W539" s="272" t="str">
        <f>IF(IFERROR(VLOOKUP($M539,'IMPORT GS-Tür OL FL 2S2 20'!$H$2:$H$847,1,0),"-")="-","","GS")</f>
        <v>GS</v>
      </c>
      <c r="X539" s="272" t="str">
        <f t="shared" ref="X539:X608" si="35">IF($A539="G",IF(IFERROR(VLOOKUP($M539,Reimport,1,0),"-")="-","&gt;&lt;",IF($O539=VLOOKUP($M539,Reimport,2,0),"...",VLOOKUP($M539,Reimport,2,0))),"")</f>
        <v/>
      </c>
      <c r="Z539" s="273" t="str">
        <f>IF(OR($M539="",NOT($O539="{array}")),"",IFERROR(MATCH(PARAMETERS!$M539,DEFAULT!$B$5:$CI$5,0),""))</f>
        <v/>
      </c>
      <c r="AA539" s="272" t="str">
        <f t="shared" si="27"/>
        <v/>
      </c>
      <c r="AB539" s="274" t="str">
        <f>IF(AND(OR($A539="G",$A539="P"),NOT($O539="{array}")),IF(VLOOKUP($K539,base!$B$2:$D$20,3,0)="S",IF(OR($O539="",ISTEXT($O539)),"","STRING!"),IF(VLOOKUP($K539,base!$B$2:$D$20,3,0)="","",IF(ISTEXT($O539),"NUMERIC!",""))),"")</f>
        <v/>
      </c>
      <c r="AC539" s="275" t="str">
        <f>IF($AA539="","",IF($B539="I",VLOOKUP($AA539,#REF!,53,0),INDEX(VALUES!$B$1:$GP$1,1,$AA539)))</f>
        <v/>
      </c>
    </row>
    <row r="540" spans="1:29" hidden="1" outlineLevel="1">
      <c r="A540" s="21" t="s">
        <v>86</v>
      </c>
      <c r="B540" s="40" t="str">
        <f t="shared" ref="B540:B614" si="36">IF($A540="P",IF(NOT($Z540=""),"A",IF(NOT($AA540=""),"I","")),IF(NOT($AA540=""),IF($A540="G","V","X"),IF(NOT($Z540=""),"A","")))</f>
        <v>V</v>
      </c>
      <c r="C540" s="41">
        <f t="shared" si="34"/>
        <v>539</v>
      </c>
      <c r="D540" s="260" t="s">
        <v>9</v>
      </c>
      <c r="E540" s="37"/>
      <c r="F540" s="305" t="s">
        <v>9</v>
      </c>
      <c r="G540" s="188"/>
      <c r="H540" s="37"/>
      <c r="I540" s="37" t="s">
        <v>9</v>
      </c>
      <c r="J540" s="37"/>
      <c r="K540" s="13" t="s">
        <v>26</v>
      </c>
      <c r="L540" s="13" t="s">
        <v>29</v>
      </c>
      <c r="M540" s="149" t="s">
        <v>554</v>
      </c>
      <c r="N540" s="13" t="s">
        <v>555</v>
      </c>
      <c r="O540" s="42">
        <v>0.88500000000000001</v>
      </c>
      <c r="P540" s="157" t="s">
        <v>129</v>
      </c>
      <c r="Q540" s="37" t="s">
        <v>9</v>
      </c>
      <c r="R540" s="37" t="s">
        <v>106</v>
      </c>
      <c r="S540" s="168" t="s">
        <v>114</v>
      </c>
      <c r="T540" s="167" t="s">
        <v>298</v>
      </c>
      <c r="U540" s="163" t="s">
        <v>298</v>
      </c>
      <c r="V540" s="163" t="s">
        <v>556</v>
      </c>
      <c r="W540" s="14" t="str">
        <f>IF(IFERROR(VLOOKUP($M540,'IMPORT GS-Tür OL FL 2S2 20'!$H$2:$H$847,1,0),"-")="-","","GS")</f>
        <v>GS</v>
      </c>
      <c r="X540" s="14">
        <f t="shared" si="35"/>
        <v>0.76</v>
      </c>
      <c r="Y540" s="163" t="s">
        <v>557</v>
      </c>
      <c r="Z540" s="58" t="str">
        <f>IF(OR($M540="",NOT($O540="{array}")),"",IFERROR(MATCH(PARAMETERS!$M540,DEFAULT!$B$5:$CI$5,0),""))</f>
        <v/>
      </c>
      <c r="AA540" s="55">
        <f t="shared" si="27"/>
        <v>5</v>
      </c>
      <c r="AB540" s="62" t="str">
        <f>IF(AND(OR($A540="G",$A540="P"),NOT($O540="{array}")),IF(VLOOKUP($K540,base!$B$2:$D$20,3,0)="S",IF(OR($O540="",ISTEXT($O540)),"","STRING!"),IF(VLOOKUP($K540,base!$B$2:$D$20,3,0)="","",IF(ISTEXT($O540),"NUMERIC!",""))),"")</f>
        <v/>
      </c>
      <c r="AC540" s="16" t="str">
        <f>IF($AA540="","",IF($B540="I",VLOOKUP($AA540,#REF!,53,0),INDEX(VALUES!$B$1:$GP$1,1,$AA540)))</f>
        <v>0,635 | 0,76 | 0,885 | 1,01 | 1,135 | 1,26 | 1,51 | 1,76 | ...</v>
      </c>
    </row>
    <row r="541" spans="1:29" hidden="1" outlineLevel="1">
      <c r="A541" s="21" t="s">
        <v>86</v>
      </c>
      <c r="B541" s="40" t="str">
        <f t="shared" si="36"/>
        <v>V</v>
      </c>
      <c r="C541" s="41">
        <f t="shared" si="34"/>
        <v>540</v>
      </c>
      <c r="D541" s="260" t="s">
        <v>9</v>
      </c>
      <c r="E541" s="37"/>
      <c r="F541" s="305" t="s">
        <v>9</v>
      </c>
      <c r="G541" s="188"/>
      <c r="H541" s="37"/>
      <c r="I541" s="37" t="s">
        <v>9</v>
      </c>
      <c r="J541" s="37"/>
      <c r="K541" s="13" t="s">
        <v>26</v>
      </c>
      <c r="L541" s="13" t="s">
        <v>29</v>
      </c>
      <c r="M541" s="149" t="s">
        <v>558</v>
      </c>
      <c r="N541" s="13" t="s">
        <v>559</v>
      </c>
      <c r="O541" s="42">
        <v>2.1349999999999998</v>
      </c>
      <c r="P541" s="157" t="s">
        <v>129</v>
      </c>
      <c r="Q541" s="37" t="s">
        <v>9</v>
      </c>
      <c r="R541" s="37" t="s">
        <v>106</v>
      </c>
      <c r="S541" s="168" t="s">
        <v>114</v>
      </c>
      <c r="T541" s="167" t="s">
        <v>298</v>
      </c>
      <c r="U541" s="163" t="s">
        <v>298</v>
      </c>
      <c r="V541" s="163" t="s">
        <v>560</v>
      </c>
      <c r="W541" s="14" t="str">
        <f>IF(IFERROR(VLOOKUP($M541,'IMPORT GS-Tür OL FL 2S2 20'!$H$2:$H$847,1,0),"-")="-","","GS")</f>
        <v>GS</v>
      </c>
      <c r="X541" s="14" t="str">
        <f t="shared" si="35"/>
        <v>...</v>
      </c>
      <c r="Y541" s="163" t="s">
        <v>561</v>
      </c>
      <c r="Z541" s="58" t="str">
        <f>IF(OR($M541="",NOT($O541="{array}")),"",IFERROR(MATCH(PARAMETERS!$M541,DEFAULT!$B$5:$CI$5,0),""))</f>
        <v/>
      </c>
      <c r="AA541" s="55">
        <f t="shared" si="27"/>
        <v>13</v>
      </c>
      <c r="AB541" s="62" t="str">
        <f>IF(AND(OR($A541="G",$A541="P"),NOT($O541="{array}")),IF(VLOOKUP($K541,base!$B$2:$D$20,3,0)="S",IF(OR($O541="",ISTEXT($O541)),"","STRING!"),IF(VLOOKUP($K541,base!$B$2:$D$20,3,0)="","",IF(ISTEXT($O541),"NUMERIC!",""))),"")</f>
        <v/>
      </c>
      <c r="AC541" s="16" t="str">
        <f>IF($AA541="","",IF($B541="I",VLOOKUP($AA541,#REF!,53,0),INDEX(VALUES!$B$1:$GP$1,1,$AA541)))</f>
        <v>2,01 | 2,135 | 2,26 | 2,51 | 2,76 | 3,01</v>
      </c>
    </row>
    <row r="542" spans="1:29" s="276" customFormat="1" hidden="1" outlineLevel="1">
      <c r="A542" s="263" t="s">
        <v>86</v>
      </c>
      <c r="B542" s="264" t="str">
        <f t="shared" si="36"/>
        <v/>
      </c>
      <c r="C542" s="265">
        <f t="shared" si="34"/>
        <v>541</v>
      </c>
      <c r="D542" s="266"/>
      <c r="E542" s="266"/>
      <c r="F542" s="305" t="s">
        <v>9</v>
      </c>
      <c r="G542" s="188" t="s">
        <v>9</v>
      </c>
      <c r="H542" s="266"/>
      <c r="I542" s="266" t="s">
        <v>9</v>
      </c>
      <c r="J542" s="266" t="s">
        <v>9</v>
      </c>
      <c r="K542" s="276" t="s">
        <v>26</v>
      </c>
      <c r="L542" s="276" t="s">
        <v>29</v>
      </c>
      <c r="M542" s="285" t="s">
        <v>562</v>
      </c>
      <c r="N542" s="276" t="s">
        <v>559</v>
      </c>
      <c r="O542" s="286">
        <v>2.1349999999999998</v>
      </c>
      <c r="Q542" s="266" t="s">
        <v>9</v>
      </c>
      <c r="R542" s="266" t="s">
        <v>106</v>
      </c>
      <c r="S542" s="266"/>
      <c r="T542" s="266"/>
      <c r="W542" s="272" t="str">
        <f>IF(IFERROR(VLOOKUP($M542,'IMPORT GS-Tür OL FL 2S2 20'!$H$2:$H$847,1,0),"-")="-","","GS")</f>
        <v>GS</v>
      </c>
      <c r="X542" s="272" t="str">
        <f t="shared" si="35"/>
        <v>...</v>
      </c>
      <c r="Z542" s="273" t="str">
        <f>IF(OR($M542="",NOT($O542="{array}")),"",IFERROR(MATCH(PARAMETERS!$M542,DEFAULT!$B$5:$CI$5,0),""))</f>
        <v/>
      </c>
      <c r="AA542" s="272" t="str">
        <f t="shared" si="27"/>
        <v/>
      </c>
      <c r="AB542" s="274" t="str">
        <f>IF(AND(OR($A542="G",$A542="P"),NOT($O542="{array}")),IF(VLOOKUP($K542,base!$B$2:$D$20,3,0)="S",IF(OR($O542="",ISTEXT($O542)),"","STRING!"),IF(VLOOKUP($K542,base!$B$2:$D$20,3,0)="","",IF(ISTEXT($O542),"NUMERIC!",""))),"")</f>
        <v/>
      </c>
      <c r="AC542" s="275" t="str">
        <f>IF($AA542="","",IF($B542="I",VLOOKUP($AA542,#REF!,53,0),INDEX(VALUES!$B$1:$GP$1,1,$AA542)))</f>
        <v/>
      </c>
    </row>
    <row r="543" spans="1:29" hidden="1" outlineLevel="1">
      <c r="A543" s="21" t="s">
        <v>86</v>
      </c>
      <c r="B543" s="40" t="str">
        <f t="shared" si="36"/>
        <v>V</v>
      </c>
      <c r="C543" s="41">
        <f t="shared" si="34"/>
        <v>542</v>
      </c>
      <c r="D543" s="260" t="s">
        <v>9</v>
      </c>
      <c r="E543" s="37"/>
      <c r="F543" s="305" t="s">
        <v>9</v>
      </c>
      <c r="G543" s="188"/>
      <c r="H543" s="37"/>
      <c r="I543" s="37" t="s">
        <v>9</v>
      </c>
      <c r="J543" s="37"/>
      <c r="K543" s="13" t="s">
        <v>26</v>
      </c>
      <c r="L543" s="13" t="s">
        <v>29</v>
      </c>
      <c r="M543" s="149" t="s">
        <v>563</v>
      </c>
      <c r="N543" s="13" t="s">
        <v>564</v>
      </c>
      <c r="O543" s="42">
        <v>0.88500000000000001</v>
      </c>
      <c r="Q543" s="37" t="s">
        <v>9</v>
      </c>
      <c r="R543" s="37" t="s">
        <v>106</v>
      </c>
      <c r="S543" s="37"/>
      <c r="T543" s="37"/>
      <c r="W543" s="14" t="str">
        <f>IF(IFERROR(VLOOKUP($M543,'IMPORT GS-Tür OL FL 2S2 20'!$H$2:$H$847,1,0),"-")="-","","GS")</f>
        <v>GS</v>
      </c>
      <c r="X543" s="14">
        <f t="shared" si="35"/>
        <v>0.76</v>
      </c>
      <c r="Z543" s="58" t="str">
        <f>IF(OR($M543="",NOT($O543="{array}")),"",IFERROR(MATCH(PARAMETERS!$M543,DEFAULT!$B$5:$CI$5,0),""))</f>
        <v/>
      </c>
      <c r="AA543" s="55">
        <f t="shared" si="27"/>
        <v>6</v>
      </c>
      <c r="AB543" s="62" t="str">
        <f>IF(AND(OR($A543="G",$A543="P"),NOT($O543="{array}")),IF(VLOOKUP($K543,base!$B$2:$D$20,3,0)="S",IF(OR($O543="",ISTEXT($O543)),"","STRING!"),IF(VLOOKUP($K543,base!$B$2:$D$20,3,0)="","",IF(ISTEXT($O543),"NUMERIC!",""))),"")</f>
        <v/>
      </c>
      <c r="AC543" s="16" t="str">
        <f>IF($AA543="","",IF($B543="I",VLOOKUP($AA543,#REF!,53,0),INDEX(VALUES!$B$1:$GP$1,1,$AA543)))</f>
        <v>0,635 | 0,76 | 0,885 | 1,01 | 1,135 | 1,26 | 1,51 | 1,76 | ...</v>
      </c>
    </row>
    <row r="544" spans="1:29" hidden="1" outlineLevel="1">
      <c r="A544" s="21" t="s">
        <v>86</v>
      </c>
      <c r="B544" s="40" t="str">
        <f t="shared" si="36"/>
        <v>V</v>
      </c>
      <c r="C544" s="41">
        <f t="shared" si="34"/>
        <v>543</v>
      </c>
      <c r="D544" s="260" t="s">
        <v>9</v>
      </c>
      <c r="E544" s="37"/>
      <c r="F544" s="305" t="s">
        <v>9</v>
      </c>
      <c r="G544" s="188"/>
      <c r="H544" s="37"/>
      <c r="I544" s="37" t="s">
        <v>9</v>
      </c>
      <c r="J544" s="37"/>
      <c r="K544" s="13" t="s">
        <v>26</v>
      </c>
      <c r="L544" s="13" t="s">
        <v>29</v>
      </c>
      <c r="M544" s="149" t="s">
        <v>565</v>
      </c>
      <c r="N544" s="13" t="s">
        <v>566</v>
      </c>
      <c r="O544" s="42">
        <v>2.1349999999999998</v>
      </c>
      <c r="Q544" s="37" t="s">
        <v>9</v>
      </c>
      <c r="R544" s="37" t="s">
        <v>106</v>
      </c>
      <c r="S544" s="37"/>
      <c r="T544" s="37"/>
      <c r="W544" s="14" t="str">
        <f>IF(IFERROR(VLOOKUP($M544,'IMPORT GS-Tür OL FL 2S2 20'!$H$2:$H$847,1,0),"-")="-","","GS")</f>
        <v>GS</v>
      </c>
      <c r="X544" s="14" t="str">
        <f t="shared" si="35"/>
        <v>...</v>
      </c>
      <c r="Z544" s="58" t="str">
        <f>IF(OR($M544="",NOT($O544="{array}")),"",IFERROR(MATCH(PARAMETERS!$M544,DEFAULT!$B$5:$CI$5,0),""))</f>
        <v/>
      </c>
      <c r="AA544" s="55">
        <f t="shared" si="27"/>
        <v>15</v>
      </c>
      <c r="AB544" s="62" t="str">
        <f>IF(AND(OR($A544="G",$A544="P"),NOT($O544="{array}")),IF(VLOOKUP($K544,base!$B$2:$D$20,3,0)="S",IF(OR($O544="",ISTEXT($O544)),"","STRING!"),IF(VLOOKUP($K544,base!$B$2:$D$20,3,0)="","",IF(ISTEXT($O544),"NUMERIC!",""))),"")</f>
        <v/>
      </c>
      <c r="AC544" s="16" t="str">
        <f>IF($AA544="","",IF($B544="I",VLOOKUP($AA544,#REF!,53,0),INDEX(VALUES!$B$1:$GP$1,1,$AA544)))</f>
        <v>2,01 | 2,135 | 2,26 | 2,51 | 2,76 | 3,01</v>
      </c>
    </row>
    <row r="545" spans="1:29" s="276" customFormat="1" hidden="1" outlineLevel="1">
      <c r="A545" s="263" t="s">
        <v>86</v>
      </c>
      <c r="B545" s="264" t="str">
        <f t="shared" si="36"/>
        <v/>
      </c>
      <c r="C545" s="265">
        <f t="shared" si="34"/>
        <v>544</v>
      </c>
      <c r="D545" s="266"/>
      <c r="E545" s="266"/>
      <c r="F545" s="305" t="s">
        <v>9</v>
      </c>
      <c r="G545" s="188" t="s">
        <v>9</v>
      </c>
      <c r="H545" s="266"/>
      <c r="I545" s="266" t="s">
        <v>9</v>
      </c>
      <c r="J545" s="266" t="s">
        <v>9</v>
      </c>
      <c r="K545" s="276" t="s">
        <v>26</v>
      </c>
      <c r="L545" s="276" t="s">
        <v>29</v>
      </c>
      <c r="M545" s="285" t="s">
        <v>567</v>
      </c>
      <c r="N545" s="276" t="s">
        <v>566</v>
      </c>
      <c r="O545" s="286">
        <v>2.1349999999999998</v>
      </c>
      <c r="Q545" s="266" t="s">
        <v>9</v>
      </c>
      <c r="R545" s="266" t="s">
        <v>106</v>
      </c>
      <c r="S545" s="266"/>
      <c r="T545" s="266"/>
      <c r="W545" s="272" t="str">
        <f>IF(IFERROR(VLOOKUP($M545,'IMPORT GS-Tür OL FL 2S2 20'!$H$2:$H$847,1,0),"-")="-","","GS")</f>
        <v>GS</v>
      </c>
      <c r="X545" s="272" t="str">
        <f t="shared" si="35"/>
        <v>...</v>
      </c>
      <c r="Z545" s="273" t="str">
        <f>IF(OR($M545="",NOT($O545="{array}")),"",IFERROR(MATCH(PARAMETERS!$M545,DEFAULT!$B$5:$CI$5,0),""))</f>
        <v/>
      </c>
      <c r="AA545" s="272" t="str">
        <f t="shared" si="27"/>
        <v/>
      </c>
      <c r="AB545" s="274" t="str">
        <f>IF(AND(OR($A545="G",$A545="P"),NOT($O545="{array}")),IF(VLOOKUP($K545,base!$B$2:$D$20,3,0)="S",IF(OR($O545="",ISTEXT($O545)),"","STRING!"),IF(VLOOKUP($K545,base!$B$2:$D$20,3,0)="","",IF(ISTEXT($O545),"NUMERIC!",""))),"")</f>
        <v/>
      </c>
      <c r="AC545" s="275" t="str">
        <f>IF($AA545="","",IF($B545="I",VLOOKUP($AA545,#REF!,53,0),INDEX(VALUES!$B$1:$GP$1,1,$AA545)))</f>
        <v/>
      </c>
    </row>
    <row r="546" spans="1:29" hidden="1" outlineLevel="1">
      <c r="A546" s="21" t="s">
        <v>86</v>
      </c>
      <c r="B546" s="40" t="str">
        <f t="shared" si="36"/>
        <v>V</v>
      </c>
      <c r="C546" s="41">
        <f t="shared" si="34"/>
        <v>545</v>
      </c>
      <c r="D546" s="260" t="s">
        <v>9</v>
      </c>
      <c r="E546" s="37"/>
      <c r="F546" s="305" t="s">
        <v>9</v>
      </c>
      <c r="G546" s="188"/>
      <c r="H546" s="37"/>
      <c r="I546" s="37" t="s">
        <v>9</v>
      </c>
      <c r="J546" s="37"/>
      <c r="K546" s="13" t="s">
        <v>26</v>
      </c>
      <c r="L546" s="13" t="s">
        <v>29</v>
      </c>
      <c r="M546" s="149" t="s">
        <v>568</v>
      </c>
      <c r="N546" s="13" t="s">
        <v>569</v>
      </c>
      <c r="O546" s="42">
        <v>0.875</v>
      </c>
      <c r="Q546" s="37" t="s">
        <v>9</v>
      </c>
      <c r="R546" s="37" t="s">
        <v>106</v>
      </c>
      <c r="S546" s="37"/>
      <c r="T546" s="37"/>
      <c r="W546" s="14" t="str">
        <f>IF(IFERROR(VLOOKUP($M546,'IMPORT GS-Tür OL FL 2S2 20'!$H$2:$H$847,1,0),"-")="-","","GS")</f>
        <v>GS</v>
      </c>
      <c r="X546" s="14">
        <f t="shared" si="35"/>
        <v>0.75</v>
      </c>
      <c r="Z546" s="58" t="str">
        <f>IF(OR($M546="",NOT($O546="{array}")),"",IFERROR(MATCH(PARAMETERS!$M546,DEFAULT!$B$5:$CI$5,0),""))</f>
        <v/>
      </c>
      <c r="AA546" s="55">
        <f t="shared" si="27"/>
        <v>8</v>
      </c>
      <c r="AB546" s="62" t="str">
        <f>IF(AND(OR($A546="G",$A546="P"),NOT($O546="{array}")),IF(VLOOKUP($K546,base!$B$2:$D$20,3,0)="S",IF(OR($O546="",ISTEXT($O546)),"","STRING!"),IF(VLOOKUP($K546,base!$B$2:$D$20,3,0)="","",IF(ISTEXT($O546),"NUMERIC!",""))),"")</f>
        <v/>
      </c>
      <c r="AC546" s="16" t="str">
        <f>IF($AA546="","",IF($B546="I",VLOOKUP($AA546,#REF!,53,0),INDEX(VALUES!$B$1:$GP$1,1,$AA546)))</f>
        <v>0,625 | 0,75 | 0,875 | 1 | 1,125 | 1,25 | 1,5 | 1,75 | ...</v>
      </c>
    </row>
    <row r="547" spans="1:29" hidden="1" outlineLevel="1">
      <c r="A547" s="21" t="s">
        <v>86</v>
      </c>
      <c r="B547" s="40" t="str">
        <f t="shared" si="36"/>
        <v>V</v>
      </c>
      <c r="C547" s="41">
        <f t="shared" si="34"/>
        <v>546</v>
      </c>
      <c r="D547" s="260" t="s">
        <v>9</v>
      </c>
      <c r="E547" s="37"/>
      <c r="F547" s="305" t="s">
        <v>9</v>
      </c>
      <c r="G547" s="188"/>
      <c r="H547" s="37"/>
      <c r="I547" s="37" t="s">
        <v>9</v>
      </c>
      <c r="J547" s="37"/>
      <c r="K547" s="13" t="s">
        <v>26</v>
      </c>
      <c r="L547" s="13" t="s">
        <v>29</v>
      </c>
      <c r="M547" s="149" t="s">
        <v>570</v>
      </c>
      <c r="N547" s="13" t="s">
        <v>571</v>
      </c>
      <c r="O547" s="42">
        <v>2.125</v>
      </c>
      <c r="Q547" s="37" t="s">
        <v>9</v>
      </c>
      <c r="R547" s="37" t="s">
        <v>106</v>
      </c>
      <c r="S547" s="37"/>
      <c r="T547" s="37"/>
      <c r="W547" s="14" t="str">
        <f>IF(IFERROR(VLOOKUP($M547,'IMPORT GS-Tür OL FL 2S2 20'!$H$2:$H$847,1,0),"-")="-","","GS")</f>
        <v>GS</v>
      </c>
      <c r="X547" s="14" t="str">
        <f t="shared" si="35"/>
        <v>...</v>
      </c>
      <c r="Z547" s="58" t="str">
        <f>IF(OR($M547="",NOT($O547="{array}")),"",IFERROR(MATCH(PARAMETERS!$M547,DEFAULT!$B$5:$CI$5,0),""))</f>
        <v/>
      </c>
      <c r="AA547" s="55">
        <f t="shared" si="27"/>
        <v>18</v>
      </c>
      <c r="AB547" s="62" t="str">
        <f>IF(AND(OR($A547="G",$A547="P"),NOT($O547="{array}")),IF(VLOOKUP($K547,base!$B$2:$D$20,3,0)="S",IF(OR($O547="",ISTEXT($O547)),"","STRING!"),IF(VLOOKUP($K547,base!$B$2:$D$20,3,0)="","",IF(ISTEXT($O547),"NUMERIC!",""))),"")</f>
        <v/>
      </c>
      <c r="AC547" s="16" t="str">
        <f>IF($AA547="","",IF($B547="I",VLOOKUP($AA547,#REF!,53,0),INDEX(VALUES!$B$1:$GP$1,1,$AA547)))</f>
        <v>2 | 2,125 | 2,25 | 2,5 | 2,75 | 3</v>
      </c>
    </row>
    <row r="548" spans="1:29" hidden="1" outlineLevel="1">
      <c r="A548" s="21" t="s">
        <v>86</v>
      </c>
      <c r="B548" s="40" t="str">
        <f t="shared" si="36"/>
        <v>V</v>
      </c>
      <c r="C548" s="41">
        <f t="shared" si="34"/>
        <v>547</v>
      </c>
      <c r="D548" s="260" t="s">
        <v>9</v>
      </c>
      <c r="E548" s="37"/>
      <c r="F548" s="305" t="s">
        <v>9</v>
      </c>
      <c r="G548" s="188"/>
      <c r="H548" s="37"/>
      <c r="I548" s="37" t="s">
        <v>9</v>
      </c>
      <c r="J548" s="37" t="s">
        <v>9</v>
      </c>
      <c r="K548" s="13" t="s">
        <v>26</v>
      </c>
      <c r="L548" s="13" t="s">
        <v>29</v>
      </c>
      <c r="M548" s="149" t="s">
        <v>572</v>
      </c>
      <c r="N548" s="13" t="s">
        <v>573</v>
      </c>
      <c r="O548" s="42">
        <v>0.875</v>
      </c>
      <c r="Q548" s="37" t="s">
        <v>9</v>
      </c>
      <c r="R548" s="37" t="s">
        <v>106</v>
      </c>
      <c r="S548" s="37"/>
      <c r="T548" s="37"/>
      <c r="W548" s="14" t="str">
        <f>IF(IFERROR(VLOOKUP($M548,'IMPORT GS-Tür OL FL 2S2 20'!$H$2:$H$847,1,0),"-")="-","","GS")</f>
        <v>GS</v>
      </c>
      <c r="X548" s="14">
        <f t="shared" si="35"/>
        <v>0.75</v>
      </c>
      <c r="Z548" s="58" t="str">
        <f>IF(OR($M548="",NOT($O548="{array}")),"",IFERROR(MATCH(PARAMETERS!$M548,DEFAULT!$B$5:$CI$5,0),""))</f>
        <v/>
      </c>
      <c r="AA548" s="55">
        <f t="shared" si="27"/>
        <v>7</v>
      </c>
      <c r="AB548" s="62" t="str">
        <f>IF(AND(OR($A548="G",$A548="P"),NOT($O548="{array}")),IF(VLOOKUP($K548,base!$B$2:$D$20,3,0)="S",IF(OR($O548="",ISTEXT($O548)),"","STRING!"),IF(VLOOKUP($K548,base!$B$2:$D$20,3,0)="","",IF(ISTEXT($O548),"NUMERIC!",""))),"")</f>
        <v/>
      </c>
      <c r="AC548" s="16" t="str">
        <f>IF($AA548="","",IF($B548="I",VLOOKUP($AA548,#REF!,53,0),INDEX(VALUES!$B$1:$GP$1,1,$AA548)))</f>
        <v>0,625 | 0,75 | 0,875 | 1 | 1,125 | 1,25 | 1,5 | 1,75 | ...</v>
      </c>
    </row>
    <row r="549" spans="1:29" hidden="1" outlineLevel="1">
      <c r="A549" s="21" t="s">
        <v>86</v>
      </c>
      <c r="B549" s="40" t="str">
        <f t="shared" si="36"/>
        <v>V</v>
      </c>
      <c r="C549" s="41">
        <f t="shared" si="34"/>
        <v>548</v>
      </c>
      <c r="D549" s="260" t="s">
        <v>9</v>
      </c>
      <c r="E549" s="37"/>
      <c r="F549" s="305" t="s">
        <v>9</v>
      </c>
      <c r="G549" s="188"/>
      <c r="H549" s="37"/>
      <c r="I549" s="37" t="s">
        <v>9</v>
      </c>
      <c r="J549" s="37" t="s">
        <v>9</v>
      </c>
      <c r="K549" s="13" t="s">
        <v>26</v>
      </c>
      <c r="L549" s="13" t="s">
        <v>29</v>
      </c>
      <c r="M549" s="149" t="s">
        <v>574</v>
      </c>
      <c r="N549" s="13" t="s">
        <v>575</v>
      </c>
      <c r="O549" s="42">
        <v>2.125</v>
      </c>
      <c r="Q549" s="37" t="s">
        <v>9</v>
      </c>
      <c r="R549" s="37" t="s">
        <v>106</v>
      </c>
      <c r="S549" s="37"/>
      <c r="T549" s="37"/>
      <c r="W549" s="14" t="str">
        <f>IF(IFERROR(VLOOKUP($M549,'IMPORT GS-Tür OL FL 2S2 20'!$H$2:$H$847,1,0),"-")="-","","GS")</f>
        <v>GS</v>
      </c>
      <c r="X549" s="14" t="str">
        <f t="shared" si="35"/>
        <v>...</v>
      </c>
      <c r="Z549" s="58" t="str">
        <f>IF(OR($M549="",NOT($O549="{array}")),"",IFERROR(MATCH(PARAMETERS!$M549,DEFAULT!$B$5:$CI$5,0),""))</f>
        <v/>
      </c>
      <c r="AA549" s="55">
        <f t="shared" si="27"/>
        <v>17</v>
      </c>
      <c r="AB549" s="62" t="str">
        <f>IF(AND(OR($A549="G",$A549="P"),NOT($O549="{array}")),IF(VLOOKUP($K549,base!$B$2:$D$20,3,0)="S",IF(OR($O549="",ISTEXT($O549)),"","STRING!"),IF(VLOOKUP($K549,base!$B$2:$D$20,3,0)="","",IF(ISTEXT($O549),"NUMERIC!",""))),"")</f>
        <v/>
      </c>
      <c r="AC549" s="16" t="str">
        <f>IF($AA549="","",IF($B549="I",VLOOKUP($AA549,#REF!,53,0),INDEX(VALUES!$B$1:$GP$1,1,$AA549)))</f>
        <v>2 | 2,125 | 2,25 | 2,5 | 2,75 | 3</v>
      </c>
    </row>
    <row r="550" spans="1:29" hidden="1" outlineLevel="1">
      <c r="A550" s="21" t="s">
        <v>86</v>
      </c>
      <c r="B550" s="40" t="str">
        <f t="shared" si="36"/>
        <v>V</v>
      </c>
      <c r="C550" s="41">
        <f t="shared" si="34"/>
        <v>549</v>
      </c>
      <c r="D550" s="260" t="s">
        <v>9</v>
      </c>
      <c r="E550" s="37"/>
      <c r="F550" s="305"/>
      <c r="G550" s="188"/>
      <c r="H550" s="37"/>
      <c r="I550" s="37" t="s">
        <v>9</v>
      </c>
      <c r="J550" s="37"/>
      <c r="K550" s="52" t="s">
        <v>26</v>
      </c>
      <c r="L550" s="52" t="s">
        <v>29</v>
      </c>
      <c r="M550" s="154" t="s">
        <v>3588</v>
      </c>
      <c r="N550" s="52" t="s">
        <v>3590</v>
      </c>
      <c r="O550" s="153">
        <v>0.84499999999999997</v>
      </c>
      <c r="Q550" s="37" t="s">
        <v>9</v>
      </c>
      <c r="R550" s="174" t="s">
        <v>105</v>
      </c>
      <c r="S550" s="174" t="s">
        <v>114</v>
      </c>
      <c r="T550" s="37"/>
      <c r="V550" s="175"/>
      <c r="W550" s="14" t="str">
        <f>IF(IFERROR(VLOOKUP($M550,'IMPORT GS-Tür OL FL 2S2 20'!$H$2:$H$847,1,0),"-")="-","","GS")</f>
        <v/>
      </c>
      <c r="X550" s="14">
        <f t="shared" si="35"/>
        <v>0.72</v>
      </c>
      <c r="Y550" s="52" t="s">
        <v>3592</v>
      </c>
      <c r="Z550" s="58" t="str">
        <f>IF(OR($M550="",NOT($O550="{array}")),"",IFERROR(MATCH(PARAMETERS!$M550,DEFAULT!$B$5:$CI$5,0),""))</f>
        <v/>
      </c>
      <c r="AA550" s="55">
        <f t="shared" si="27"/>
        <v>10</v>
      </c>
      <c r="AB550" s="62" t="str">
        <f>IF(AND(OR($A550="G",$A550="P"),NOT($O550="{array}")),IF(VLOOKUP($K550,base!$B$2:$D$20,3,0)="S",IF(OR($O550="",ISTEXT($O550)),"","STRING!"),IF(VLOOKUP($K550,base!$B$2:$D$20,3,0)="","",IF(ISTEXT($O550),"NUMERIC!",""))),"")</f>
        <v/>
      </c>
      <c r="AC550" s="16" t="str">
        <f>IF($AA550="","",IF($B550="I",VLOOKUP($AA550,#REF!,53,0),INDEX(VALUES!$B$1:$GP$1,1,$AA550)))</f>
        <v>0,555 | 0,68 | 0,805 | 0,93 | 1,055 | 1,18 | 1,43 | 1,68 | ...</v>
      </c>
    </row>
    <row r="551" spans="1:29" hidden="1" outlineLevel="1">
      <c r="A551" s="21" t="s">
        <v>86</v>
      </c>
      <c r="B551" s="40" t="str">
        <f t="shared" si="36"/>
        <v>V</v>
      </c>
      <c r="C551" s="41">
        <f t="shared" si="34"/>
        <v>550</v>
      </c>
      <c r="D551" s="260" t="s">
        <v>9</v>
      </c>
      <c r="E551" s="37"/>
      <c r="F551" s="305"/>
      <c r="G551" s="188"/>
      <c r="H551" s="37"/>
      <c r="I551" s="37" t="s">
        <v>9</v>
      </c>
      <c r="J551" s="37"/>
      <c r="K551" s="52" t="s">
        <v>26</v>
      </c>
      <c r="L551" s="52" t="s">
        <v>29</v>
      </c>
      <c r="M551" s="154" t="s">
        <v>3589</v>
      </c>
      <c r="N551" s="52" t="s">
        <v>3591</v>
      </c>
      <c r="O551" s="153">
        <v>2.11</v>
      </c>
      <c r="Q551" s="37" t="s">
        <v>9</v>
      </c>
      <c r="R551" s="174" t="s">
        <v>105</v>
      </c>
      <c r="S551" s="174" t="s">
        <v>114</v>
      </c>
      <c r="T551" s="37"/>
      <c r="V551" s="175"/>
      <c r="W551" s="14" t="str">
        <f>IF(IFERROR(VLOOKUP($M551,'IMPORT GS-Tür OL FL 2S2 20'!$H$2:$H$847,1,0),"-")="-","","GS")</f>
        <v/>
      </c>
      <c r="X551" s="14" t="str">
        <f t="shared" si="35"/>
        <v>...</v>
      </c>
      <c r="Y551" s="52" t="s">
        <v>3593</v>
      </c>
      <c r="Z551" s="58" t="str">
        <f>IF(OR($M551="",NOT($O551="{array}")),"",IFERROR(MATCH(PARAMETERS!$M551,DEFAULT!$B$5:$CI$5,0),""))</f>
        <v/>
      </c>
      <c r="AA551" s="55">
        <f t="shared" si="27"/>
        <v>20</v>
      </c>
      <c r="AB551" s="62" t="str">
        <f>IF(AND(OR($A551="G",$A551="P"),NOT($O551="{array}")),IF(VLOOKUP($K551,base!$B$2:$D$20,3,0)="S",IF(OR($O551="",ISTEXT($O551)),"","STRING!"),IF(VLOOKUP($K551,base!$B$2:$D$20,3,0)="","",IF(ISTEXT($O551),"NUMERIC!",""))),"")</f>
        <v/>
      </c>
      <c r="AC551" s="16" t="str">
        <f>IF($AA551="","",IF($B551="I",VLOOKUP($AA551,#REF!,53,0),INDEX(VALUES!$B$1:$GP$1,1,$AA551)))</f>
        <v>1,965 | 2,09 | 2,215 | 2,465 | 2,715 | 2,965</v>
      </c>
    </row>
    <row r="552" spans="1:29" hidden="1" outlineLevel="1">
      <c r="A552" s="21" t="s">
        <v>86</v>
      </c>
      <c r="B552" s="40" t="str">
        <f t="shared" si="36"/>
        <v>V</v>
      </c>
      <c r="C552" s="41">
        <f t="shared" si="34"/>
        <v>551</v>
      </c>
      <c r="D552" s="260" t="s">
        <v>9</v>
      </c>
      <c r="E552" s="37"/>
      <c r="F552" s="305"/>
      <c r="G552" s="188"/>
      <c r="H552" s="37"/>
      <c r="I552" s="37" t="s">
        <v>9</v>
      </c>
      <c r="J552" s="37"/>
      <c r="K552" s="52" t="s">
        <v>26</v>
      </c>
      <c r="L552" s="52" t="s">
        <v>29</v>
      </c>
      <c r="M552" s="154" t="s">
        <v>3729</v>
      </c>
      <c r="N552" s="52" t="s">
        <v>3727</v>
      </c>
      <c r="O552" s="153">
        <v>0.875</v>
      </c>
      <c r="Q552" s="37" t="s">
        <v>9</v>
      </c>
      <c r="R552" s="174" t="s">
        <v>105</v>
      </c>
      <c r="S552" s="174" t="s">
        <v>114</v>
      </c>
      <c r="T552" s="37"/>
      <c r="V552" s="175"/>
      <c r="W552" s="14"/>
      <c r="Y552" s="52"/>
      <c r="Z552" s="58" t="str">
        <f>IF(OR($M552="",NOT($O552="{array}")),"",IFERROR(MATCH(PARAMETERS!$M552,DEFAULT!$B$5:$CI$5,0),""))</f>
        <v/>
      </c>
      <c r="AA552" s="55">
        <f t="shared" si="27"/>
        <v>11</v>
      </c>
      <c r="AB552" s="62" t="str">
        <f>IF(AND(OR($A552="G",$A552="P"),NOT($O552="{array}")),IF(VLOOKUP($K552,base!$B$2:$D$20,3,0)="S",IF(OR($O552="",ISTEXT($O552)),"","STRING!"),IF(VLOOKUP($K552,base!$B$2:$D$20,3,0)="","",IF(ISTEXT($O552),"NUMERIC!",""))),"")</f>
        <v/>
      </c>
      <c r="AC552" s="16" t="str">
        <f>IF($AA552="","",IF($B552="I",VLOOKUP($AA552,#REF!,53,0),INDEX(VALUES!$B$1:$GP$1,1,$AA552)))</f>
        <v>0,895 | 0,995 | 1,045 | 1,095 | 1,195 | 1,295 | 1,395 | 1,445</v>
      </c>
    </row>
    <row r="553" spans="1:29" hidden="1" outlineLevel="1">
      <c r="A553" s="21" t="s">
        <v>86</v>
      </c>
      <c r="B553" s="40" t="str">
        <f t="shared" si="36"/>
        <v/>
      </c>
      <c r="C553" s="41">
        <f t="shared" si="34"/>
        <v>552</v>
      </c>
      <c r="D553" s="260" t="s">
        <v>9</v>
      </c>
      <c r="E553" s="37"/>
      <c r="F553" s="305"/>
      <c r="G553" s="188"/>
      <c r="H553" s="37"/>
      <c r="I553" s="37" t="s">
        <v>9</v>
      </c>
      <c r="J553" s="37"/>
      <c r="K553" s="52" t="s">
        <v>26</v>
      </c>
      <c r="L553" s="52" t="s">
        <v>29</v>
      </c>
      <c r="M553" s="154" t="s">
        <v>3945</v>
      </c>
      <c r="N553" s="52" t="s">
        <v>3946</v>
      </c>
      <c r="O553" s="153">
        <v>0.875</v>
      </c>
      <c r="Q553" s="37" t="s">
        <v>9</v>
      </c>
      <c r="R553" s="174" t="s">
        <v>105</v>
      </c>
      <c r="S553" s="174" t="s">
        <v>114</v>
      </c>
      <c r="T553" s="37"/>
      <c r="V553" s="175"/>
      <c r="W553" s="14"/>
      <c r="Y553" s="52"/>
      <c r="Z553" s="58" t="str">
        <f>IF(OR($M553="",NOT($O553="{array}")),"",IFERROR(MATCH(PARAMETERS!$M553,DEFAULT!$B$5:$CI$5,0),""))</f>
        <v/>
      </c>
      <c r="AA553" s="55" t="str">
        <f t="shared" si="27"/>
        <v/>
      </c>
      <c r="AB553" s="62" t="str">
        <f>IF(AND(OR($A553="G",$A553="P"),NOT($O553="{array}")),IF(VLOOKUP($K553,base!$B$2:$D$20,3,0)="S",IF(OR($O553="",ISTEXT($O553)),"","STRING!"),IF(VLOOKUP($K553,base!$B$2:$D$20,3,0)="","",IF(ISTEXT($O553),"NUMERIC!",""))),"")</f>
        <v/>
      </c>
      <c r="AC553" s="16" t="str">
        <f>IF($AA553="","",IF($B553="I",VLOOKUP($AA553,#REF!,53,0),INDEX(VALUES!$B$1:$GP$1,1,$AA553)))</f>
        <v/>
      </c>
    </row>
    <row r="554" spans="1:29" hidden="1" outlineLevel="1">
      <c r="A554" s="21" t="s">
        <v>86</v>
      </c>
      <c r="B554" s="40" t="str">
        <f t="shared" si="36"/>
        <v>V</v>
      </c>
      <c r="C554" s="41">
        <f t="shared" si="34"/>
        <v>553</v>
      </c>
      <c r="D554" s="260" t="s">
        <v>9</v>
      </c>
      <c r="E554" s="37"/>
      <c r="F554" s="305"/>
      <c r="G554" s="188"/>
      <c r="H554" s="37"/>
      <c r="I554" s="37" t="s">
        <v>9</v>
      </c>
      <c r="J554" s="37"/>
      <c r="K554" s="52" t="s">
        <v>26</v>
      </c>
      <c r="L554" s="52" t="s">
        <v>29</v>
      </c>
      <c r="M554" s="154" t="s">
        <v>3730</v>
      </c>
      <c r="N554" s="52" t="s">
        <v>3728</v>
      </c>
      <c r="O554" s="153">
        <v>2.11</v>
      </c>
      <c r="Q554" s="37" t="s">
        <v>9</v>
      </c>
      <c r="R554" s="174" t="s">
        <v>105</v>
      </c>
      <c r="S554" s="174" t="s">
        <v>114</v>
      </c>
      <c r="T554" s="37"/>
      <c r="V554" s="175"/>
      <c r="W554" s="14"/>
      <c r="Y554" s="52"/>
      <c r="Z554" s="58" t="str">
        <f>IF(OR($M554="",NOT($O554="{array}")),"",IFERROR(MATCH(PARAMETERS!$M554,DEFAULT!$B$5:$CI$5,0),""))</f>
        <v/>
      </c>
      <c r="AA554" s="55">
        <f t="shared" si="27"/>
        <v>21</v>
      </c>
      <c r="AB554" s="62" t="str">
        <f>IF(AND(OR($A554="G",$A554="P"),NOT($O554="{array}")),IF(VLOOKUP($K554,base!$B$2:$D$20,3,0)="S",IF(OR($O554="",ISTEXT($O554)),"","STRING!"),IF(VLOOKUP($K554,base!$B$2:$D$20,3,0)="","",IF(ISTEXT($O554),"NUMERIC!",""))),"")</f>
        <v/>
      </c>
      <c r="AC554" s="16" t="str">
        <f>IF($AA554="","",IF($B554="I",VLOOKUP($AA554,#REF!,53,0),INDEX(VALUES!$B$1:$GP$1,1,$AA554)))</f>
        <v>2,095 | 2,195 | 2,295 | 2,395 | 2,445</v>
      </c>
    </row>
    <row r="555" spans="1:29" hidden="1" outlineLevel="1">
      <c r="A555" s="21" t="s">
        <v>86</v>
      </c>
      <c r="B555" s="40" t="str">
        <f t="shared" si="36"/>
        <v/>
      </c>
      <c r="C555" s="41">
        <f t="shared" si="34"/>
        <v>554</v>
      </c>
      <c r="D555" s="260" t="s">
        <v>9</v>
      </c>
      <c r="E555" s="37"/>
      <c r="F555" s="305"/>
      <c r="G555" s="188"/>
      <c r="H555" s="37"/>
      <c r="I555" s="37" t="s">
        <v>9</v>
      </c>
      <c r="J555" s="37"/>
      <c r="K555" s="52" t="s">
        <v>26</v>
      </c>
      <c r="L555" s="52" t="s">
        <v>29</v>
      </c>
      <c r="M555" s="154" t="s">
        <v>3944</v>
      </c>
      <c r="N555" s="52" t="s">
        <v>3947</v>
      </c>
      <c r="O555" s="153">
        <v>2.11</v>
      </c>
      <c r="Q555" s="37" t="s">
        <v>9</v>
      </c>
      <c r="R555" s="174" t="s">
        <v>105</v>
      </c>
      <c r="S555" s="174" t="s">
        <v>114</v>
      </c>
      <c r="T555" s="37"/>
      <c r="V555" s="175"/>
      <c r="W555" s="14"/>
      <c r="Y555" s="52"/>
      <c r="Z555" s="58" t="str">
        <f>IF(OR($M555="",NOT($O555="{array}")),"",IFERROR(MATCH(PARAMETERS!$M555,DEFAULT!$B$5:$CI$5,0),""))</f>
        <v/>
      </c>
      <c r="AA555" s="55" t="str">
        <f t="shared" si="27"/>
        <v/>
      </c>
      <c r="AB555" s="62" t="str">
        <f>IF(AND(OR($A555="G",$A555="P"),NOT($O555="{array}")),IF(VLOOKUP($K555,base!$B$2:$D$20,3,0)="S",IF(OR($O555="",ISTEXT($O555)),"","STRING!"),IF(VLOOKUP($K555,base!$B$2:$D$20,3,0)="","",IF(ISTEXT($O555),"NUMERIC!",""))),"")</f>
        <v/>
      </c>
      <c r="AC555" s="16" t="str">
        <f>IF($AA555="","",IF($B555="I",VLOOKUP($AA555,#REF!,53,0),INDEX(VALUES!$B$1:$GP$1,1,$AA555)))</f>
        <v/>
      </c>
    </row>
    <row r="556" spans="1:29" hidden="1" outlineLevel="1">
      <c r="A556" s="21" t="s">
        <v>86</v>
      </c>
      <c r="B556" s="40" t="str">
        <f t="shared" si="36"/>
        <v>V</v>
      </c>
      <c r="C556" s="41">
        <f t="shared" si="34"/>
        <v>555</v>
      </c>
      <c r="D556" s="260" t="s">
        <v>9</v>
      </c>
      <c r="E556" s="37"/>
      <c r="F556" s="305" t="s">
        <v>9</v>
      </c>
      <c r="G556" s="188"/>
      <c r="H556" s="37"/>
      <c r="I556" s="37" t="s">
        <v>9</v>
      </c>
      <c r="J556" s="37"/>
      <c r="K556" s="13" t="s">
        <v>26</v>
      </c>
      <c r="L556" s="13" t="s">
        <v>29</v>
      </c>
      <c r="M556" s="149" t="s">
        <v>576</v>
      </c>
      <c r="N556" s="13" t="s">
        <v>577</v>
      </c>
      <c r="O556" s="42">
        <v>0.81499999999999995</v>
      </c>
      <c r="Q556" s="37" t="s">
        <v>9</v>
      </c>
      <c r="R556" s="37" t="s">
        <v>106</v>
      </c>
      <c r="S556" s="37"/>
      <c r="T556" s="37"/>
      <c r="V556" s="175"/>
      <c r="W556" s="14" t="str">
        <f>IF(IFERROR(VLOOKUP($M556,'IMPORT GS-Tür OL FL 2S2 20'!$H$2:$H$847,1,0),"-")="-","","GS")</f>
        <v>GS</v>
      </c>
      <c r="X556" s="14">
        <f t="shared" si="35"/>
        <v>0.69</v>
      </c>
      <c r="Y556" s="13" t="s">
        <v>578</v>
      </c>
      <c r="Z556" s="58" t="str">
        <f>IF(OR($M556="",NOT($O556="{array}")),"",IFERROR(MATCH(PARAMETERS!$M556,DEFAULT!$B$5:$CI$5,0),""))</f>
        <v/>
      </c>
      <c r="AA556" s="55">
        <f t="shared" si="27"/>
        <v>9</v>
      </c>
      <c r="AB556" s="62" t="str">
        <f>IF(AND(OR($A556="G",$A556="P"),NOT($O556="{array}")),IF(VLOOKUP($K556,base!$B$2:$D$20,3,0)="S",IF(OR($O556="",ISTEXT($O556)),"","STRING!"),IF(VLOOKUP($K556,base!$B$2:$D$20,3,0)="","",IF(ISTEXT($O556),"NUMERIC!",""))),"")</f>
        <v/>
      </c>
      <c r="AC556" s="16" t="str">
        <f>IF($AA556="","",IF($B556="I",VLOOKUP($AA556,#REF!,53,0),INDEX(VALUES!$B$1:$GP$1,1,$AA556)))</f>
        <v>0,525 | 0,65 | 0,775 | 0,9 | 1,025 | 1,15 | 1,4 | 1,65 | ...</v>
      </c>
    </row>
    <row r="557" spans="1:29" hidden="1" outlineLevel="1">
      <c r="A557" s="21" t="s">
        <v>86</v>
      </c>
      <c r="B557" s="40" t="str">
        <f t="shared" si="36"/>
        <v>V</v>
      </c>
      <c r="C557" s="41">
        <f t="shared" si="34"/>
        <v>556</v>
      </c>
      <c r="D557" s="260" t="s">
        <v>9</v>
      </c>
      <c r="E557" s="37"/>
      <c r="F557" s="305" t="s">
        <v>9</v>
      </c>
      <c r="G557" s="188"/>
      <c r="H557" s="37"/>
      <c r="I557" s="37" t="s">
        <v>9</v>
      </c>
      <c r="J557" s="37"/>
      <c r="K557" s="13" t="s">
        <v>26</v>
      </c>
      <c r="L557" s="13" t="s">
        <v>29</v>
      </c>
      <c r="M557" s="149" t="s">
        <v>579</v>
      </c>
      <c r="N557" s="13" t="s">
        <v>580</v>
      </c>
      <c r="O557" s="42">
        <v>2.0950000000000002</v>
      </c>
      <c r="Q557" s="37" t="s">
        <v>9</v>
      </c>
      <c r="R557" s="37" t="s">
        <v>106</v>
      </c>
      <c r="S557" s="37"/>
      <c r="T557" s="37"/>
      <c r="V557" s="175"/>
      <c r="W557" s="14" t="str">
        <f>IF(IFERROR(VLOOKUP($M557,'IMPORT GS-Tür OL FL 2S2 20'!$H$2:$H$847,1,0),"-")="-","","GS")</f>
        <v>GS</v>
      </c>
      <c r="X557" s="14" t="str">
        <f t="shared" si="35"/>
        <v>...</v>
      </c>
      <c r="Y557" s="13" t="s">
        <v>581</v>
      </c>
      <c r="Z557" s="58" t="str">
        <f>IF(OR($M557="",NOT($O557="{array}")),"",IFERROR(MATCH(PARAMETERS!$M557,DEFAULT!$B$5:$CI$5,0),""))</f>
        <v/>
      </c>
      <c r="AA557" s="55">
        <f t="shared" si="27"/>
        <v>19</v>
      </c>
      <c r="AB557" s="62" t="str">
        <f>IF(AND(OR($A557="G",$A557="P"),NOT($O557="{array}")),IF(VLOOKUP($K557,base!$B$2:$D$20,3,0)="S",IF(OR($O557="",ISTEXT($O557)),"","STRING!"),IF(VLOOKUP($K557,base!$B$2:$D$20,3,0)="","",IF(ISTEXT($O557),"NUMERIC!",""))),"")</f>
        <v/>
      </c>
      <c r="AC557" s="16" t="str">
        <f>IF($AA557="","",IF($B557="I",VLOOKUP($AA557,#REF!,53,0),INDEX(VALUES!$B$1:$GP$1,1,$AA557)))</f>
        <v>1,95 | 2,075 | 2,2 | 2,45 | 2,7 | 2,95</v>
      </c>
    </row>
    <row r="558" spans="1:29" hidden="1" outlineLevel="1">
      <c r="A558" s="21" t="s">
        <v>86</v>
      </c>
      <c r="B558" s="40" t="str">
        <f t="shared" si="36"/>
        <v>V</v>
      </c>
      <c r="C558" s="41">
        <f t="shared" si="34"/>
        <v>557</v>
      </c>
      <c r="D558" s="260" t="s">
        <v>9</v>
      </c>
      <c r="E558" s="37"/>
      <c r="F558" s="305"/>
      <c r="G558" s="188"/>
      <c r="H558" s="37"/>
      <c r="I558" s="37" t="s">
        <v>9</v>
      </c>
      <c r="J558" s="37"/>
      <c r="K558" s="156" t="s">
        <v>46</v>
      </c>
      <c r="L558" s="156" t="s">
        <v>34</v>
      </c>
      <c r="M558" s="171" t="s">
        <v>3686</v>
      </c>
      <c r="N558" s="156" t="s">
        <v>3685</v>
      </c>
      <c r="O558" s="156">
        <v>1</v>
      </c>
      <c r="P558" s="172" t="s">
        <v>298</v>
      </c>
      <c r="Q558" s="173"/>
      <c r="R558" s="174" t="s">
        <v>204</v>
      </c>
      <c r="S558" s="174" t="s">
        <v>114</v>
      </c>
      <c r="T558" s="156" t="s">
        <v>298</v>
      </c>
      <c r="U558" s="156" t="s">
        <v>298</v>
      </c>
      <c r="V558" s="175"/>
      <c r="W558" s="14" t="str">
        <f>IF(IFERROR(VLOOKUP($M558,'IMPORT GS-Tür OL FL 2S2 20'!$H$2:$H$847,1,0),"-")="-","","GS")</f>
        <v/>
      </c>
      <c r="X558" s="14" t="str">
        <f t="shared" si="35"/>
        <v>&gt;&lt;</v>
      </c>
      <c r="Y558" s="156"/>
      <c r="Z558" s="58" t="str">
        <f>IF(OR($M558="",NOT($O558="{array}")),"",IFERROR(MATCH(PARAMETERS!$M558,DEFAULT!$B$5:$CI$5,0),""))</f>
        <v/>
      </c>
      <c r="AA558" s="55">
        <f t="shared" si="27"/>
        <v>26</v>
      </c>
      <c r="AB558" s="62" t="str">
        <f>IF(AND(OR($A558="G",$A558="P"),NOT($O558="{array}")),IF(VLOOKUP($K558,base!$B$2:$D$20,3,0)="S",IF(OR($O558="",ISTEXT($O558)),"","STRING!"),IF(VLOOKUP($K558,base!$B$2:$D$20,3,0)="","",IF(ISTEXT($O558),"NUMERIC!",""))),"")</f>
        <v/>
      </c>
      <c r="AC558" s="16" t="str">
        <f>IF($AA558="","",IF($B558="I",VLOOKUP($AA558,#REF!,53,0),INDEX(VALUES!$B$1:$GP$1,1,$AA558)))</f>
        <v>2 | 4 | 8 | 16 | 3 | 5 | 9 | 17 | ...</v>
      </c>
    </row>
    <row r="559" spans="1:29" hidden="1" outlineLevel="1">
      <c r="A559" s="21" t="s">
        <v>86</v>
      </c>
      <c r="B559" s="40" t="str">
        <f t="shared" si="36"/>
        <v/>
      </c>
      <c r="C559" s="41">
        <f t="shared" si="34"/>
        <v>558</v>
      </c>
      <c r="D559" s="260" t="s">
        <v>9</v>
      </c>
      <c r="E559" s="37"/>
      <c r="F559" s="305"/>
      <c r="G559" s="188"/>
      <c r="H559" s="37"/>
      <c r="I559" s="37" t="s">
        <v>9</v>
      </c>
      <c r="J559" s="37"/>
      <c r="K559" s="156" t="s">
        <v>26</v>
      </c>
      <c r="L559" s="156" t="s">
        <v>34</v>
      </c>
      <c r="M559" s="171" t="s">
        <v>3703</v>
      </c>
      <c r="N559" s="156" t="s">
        <v>3704</v>
      </c>
      <c r="O559" s="156">
        <v>0</v>
      </c>
      <c r="P559" s="172" t="s">
        <v>298</v>
      </c>
      <c r="Q559" s="173"/>
      <c r="R559" s="174" t="s">
        <v>204</v>
      </c>
      <c r="S559" s="174" t="s">
        <v>114</v>
      </c>
      <c r="T559" s="156" t="s">
        <v>298</v>
      </c>
      <c r="U559" s="156" t="s">
        <v>298</v>
      </c>
      <c r="V559" s="175"/>
      <c r="W559" s="14" t="str">
        <f>IF(IFERROR(VLOOKUP($M559,'IMPORT GS-Tür OL FL 2S2 20'!$H$2:$H$847,1,0),"-")="-","","GS")</f>
        <v/>
      </c>
      <c r="X559" s="14" t="str">
        <f t="shared" si="35"/>
        <v>&gt;&lt;</v>
      </c>
      <c r="Y559" s="156"/>
      <c r="Z559" s="58" t="str">
        <f>IF(OR($M559="",NOT($O559="{array}")),"",IFERROR(MATCH(PARAMETERS!$M559,DEFAULT!$B$5:$CI$5,0),""))</f>
        <v/>
      </c>
      <c r="AA559" s="55" t="str">
        <f t="shared" si="27"/>
        <v/>
      </c>
      <c r="AB559" s="62" t="str">
        <f>IF(AND(OR($A559="G",$A559="P"),NOT($O559="{array}")),IF(VLOOKUP($K559,base!$B$2:$D$20,3,0)="S",IF(OR($O559="",ISTEXT($O559)),"","STRING!"),IF(VLOOKUP($K559,base!$B$2:$D$20,3,0)="","",IF(ISTEXT($O559),"NUMERIC!",""))),"")</f>
        <v/>
      </c>
      <c r="AC559" s="16" t="str">
        <f>IF($AA559="","",IF($B559="I",VLOOKUP($AA559,#REF!,53,0),INDEX(VALUES!$B$1:$GP$1,1,$AA559)))</f>
        <v/>
      </c>
    </row>
    <row r="560" spans="1:29" hidden="1" outlineLevel="1">
      <c r="A560" s="21" t="s">
        <v>86</v>
      </c>
      <c r="B560" s="40" t="str">
        <f>IF($A560="P",IF(NOT($Z560=""),"A",IF(NOT($AA560=""),"I","")),IF(NOT($AA560=""),IF($A560="G","V","X"),IF(NOT($Z560=""),"A","")))</f>
        <v/>
      </c>
      <c r="C560" s="41">
        <f t="shared" si="34"/>
        <v>559</v>
      </c>
      <c r="D560" s="260" t="s">
        <v>9</v>
      </c>
      <c r="E560" s="37"/>
      <c r="F560" s="305"/>
      <c r="G560" s="188"/>
      <c r="H560" s="37"/>
      <c r="I560" s="37" t="s">
        <v>9</v>
      </c>
      <c r="J560" s="37"/>
      <c r="K560" s="156" t="s">
        <v>26</v>
      </c>
      <c r="L560" s="156" t="s">
        <v>34</v>
      </c>
      <c r="M560" s="171" t="s">
        <v>582</v>
      </c>
      <c r="N560" s="156" t="s">
        <v>583</v>
      </c>
      <c r="O560" s="156">
        <v>0.6</v>
      </c>
      <c r="P560" s="172" t="s">
        <v>298</v>
      </c>
      <c r="Q560" s="173"/>
      <c r="R560" s="174" t="s">
        <v>105</v>
      </c>
      <c r="S560" s="174" t="s">
        <v>114</v>
      </c>
      <c r="T560" s="156" t="s">
        <v>298</v>
      </c>
      <c r="U560" s="156" t="s">
        <v>298</v>
      </c>
      <c r="V560" s="175" t="s">
        <v>452</v>
      </c>
      <c r="W560" s="14" t="str">
        <f>IF(IFERROR(VLOOKUP($M560,'IMPORT GS-Tür OL FL 2S2 20'!$H$2:$H$847,1,0),"-")="-","","GS")</f>
        <v/>
      </c>
      <c r="X560" s="14">
        <f>IF($A560="G",IF(IFERROR(VLOOKUP($M560,Reimport,1,0),"-")="-","&gt;&lt;",IF($O560=VLOOKUP($M560,Reimport,2,0),"...",VLOOKUP($M560,Reimport,2,0))),"")</f>
        <v>0.8</v>
      </c>
      <c r="Y560" s="156" t="s">
        <v>584</v>
      </c>
      <c r="Z560" s="58" t="str">
        <f>IF(OR($M560="",NOT($O560="{array}")),"",IFERROR(MATCH(PARAMETERS!$M560,DEFAULT!$B$5:$CI$5,0),""))</f>
        <v/>
      </c>
      <c r="AA560" s="55" t="str">
        <f>IF($M560="","",IFERROR(MATCH($M560,VALUESnames,0),""))</f>
        <v/>
      </c>
      <c r="AB560" s="62" t="str">
        <f>IF(AND(OR($A560="G",$A560="P"),NOT($O560="{array}")),IF(VLOOKUP($K560,base!$B$2:$D$20,3,0)="S",IF(OR($O560="",ISTEXT($O560)),"","STRING!"),IF(VLOOKUP($K560,base!$B$2:$D$20,3,0)="","",IF(ISTEXT($O560),"NUMERIC!",""))),"")</f>
        <v/>
      </c>
      <c r="AC560" s="16" t="str">
        <f>IF($AA560="","",IF($B560="I",VLOOKUP($AA560,#REF!,53,0),INDEX(VALUES!$B$1:$GP$1,1,$AA560)))</f>
        <v/>
      </c>
    </row>
    <row r="561" spans="1:29" hidden="1" outlineLevel="1">
      <c r="A561" s="21" t="s">
        <v>86</v>
      </c>
      <c r="B561" s="40" t="str">
        <f t="shared" si="36"/>
        <v/>
      </c>
      <c r="C561" s="41">
        <f t="shared" si="34"/>
        <v>560</v>
      </c>
      <c r="D561" s="260" t="s">
        <v>9</v>
      </c>
      <c r="E561" s="37"/>
      <c r="F561" s="305"/>
      <c r="G561" s="188"/>
      <c r="H561" s="37"/>
      <c r="I561" s="37" t="s">
        <v>9</v>
      </c>
      <c r="J561" s="37"/>
      <c r="K561" s="156" t="s">
        <v>26</v>
      </c>
      <c r="L561" s="156" t="s">
        <v>34</v>
      </c>
      <c r="M561" s="171" t="s">
        <v>585</v>
      </c>
      <c r="N561" s="156" t="s">
        <v>586</v>
      </c>
      <c r="O561" s="156">
        <v>2.0499999999999998</v>
      </c>
      <c r="P561" s="172" t="s">
        <v>298</v>
      </c>
      <c r="Q561" s="173"/>
      <c r="R561" s="174" t="s">
        <v>105</v>
      </c>
      <c r="S561" s="174" t="s">
        <v>114</v>
      </c>
      <c r="T561" s="156" t="s">
        <v>298</v>
      </c>
      <c r="U561" s="156" t="s">
        <v>298</v>
      </c>
      <c r="V561" s="175" t="s">
        <v>454</v>
      </c>
      <c r="W561" s="14" t="str">
        <f>IF(IFERROR(VLOOKUP($M561,'IMPORT GS-Tür OL FL 2S2 20'!$H$2:$H$847,1,0),"-")="-","","GS")</f>
        <v/>
      </c>
      <c r="X561" s="14" t="str">
        <f t="shared" si="35"/>
        <v>...</v>
      </c>
      <c r="Y561" s="156" t="s">
        <v>584</v>
      </c>
      <c r="Z561" s="58" t="str">
        <f>IF(OR($M561="",NOT($O561="{array}")),"",IFERROR(MATCH(PARAMETERS!$M561,DEFAULT!$B$5:$CI$5,0),""))</f>
        <v/>
      </c>
      <c r="AA561" s="55" t="str">
        <f t="shared" si="27"/>
        <v/>
      </c>
      <c r="AB561" s="62" t="str">
        <f>IF(AND(OR($A561="G",$A561="P"),NOT($O561="{array}")),IF(VLOOKUP($K561,base!$B$2:$D$20,3,0)="S",IF(OR($O561="",ISTEXT($O561)),"","STRING!"),IF(VLOOKUP($K561,base!$B$2:$D$20,3,0)="","",IF(ISTEXT($O561),"NUMERIC!",""))),"")</f>
        <v/>
      </c>
      <c r="AC561" s="16" t="str">
        <f>IF($AA561="","",IF($B561="I",VLOOKUP($AA561,#REF!,53,0),INDEX(VALUES!$B$1:$GP$1,1,$AA561)))</f>
        <v/>
      </c>
    </row>
    <row r="562" spans="1:29" hidden="1" outlineLevel="1">
      <c r="A562" s="21" t="s">
        <v>86</v>
      </c>
      <c r="B562" s="40" t="str">
        <f t="shared" si="36"/>
        <v/>
      </c>
      <c r="C562" s="41">
        <f t="shared" si="34"/>
        <v>561</v>
      </c>
      <c r="D562" s="260" t="s">
        <v>9</v>
      </c>
      <c r="E562" s="37"/>
      <c r="F562" s="305" t="s">
        <v>9</v>
      </c>
      <c r="G562" s="188"/>
      <c r="H562" s="37"/>
      <c r="I562" s="37" t="s">
        <v>9</v>
      </c>
      <c r="J562" s="37"/>
      <c r="K562" s="13" t="s">
        <v>26</v>
      </c>
      <c r="L562" s="13" t="s">
        <v>29</v>
      </c>
      <c r="M562" s="149" t="s">
        <v>587</v>
      </c>
      <c r="N562" s="13" t="s">
        <v>588</v>
      </c>
      <c r="O562" s="42">
        <v>0.871</v>
      </c>
      <c r="R562" s="37" t="s">
        <v>106</v>
      </c>
      <c r="S562" s="168" t="s">
        <v>114</v>
      </c>
      <c r="T562" s="163" t="s">
        <v>298</v>
      </c>
      <c r="U562" s="163" t="s">
        <v>298</v>
      </c>
      <c r="V562" s="163" t="s">
        <v>589</v>
      </c>
      <c r="W562" s="14" t="str">
        <f>IF(IFERROR(VLOOKUP($M562,'IMPORT GS-Tür OL FL 2S2 20'!$H$2:$H$847,1,0),"-")="-","","GS")</f>
        <v>GS</v>
      </c>
      <c r="X562" s="14">
        <f t="shared" si="35"/>
        <v>0.746</v>
      </c>
      <c r="Y562" s="163" t="s">
        <v>590</v>
      </c>
      <c r="Z562" s="58" t="str">
        <f>IF(OR($M562="",NOT($O562="{array}")),"",IFERROR(MATCH(PARAMETERS!$M562,DEFAULT!$B$5:$CI$5,0),""))</f>
        <v/>
      </c>
      <c r="AA562" s="55" t="str">
        <f t="shared" si="27"/>
        <v/>
      </c>
      <c r="AB562" s="62" t="str">
        <f>IF(AND(OR($A562="G",$A562="P"),NOT($O562="{array}")),IF(VLOOKUP($K562,base!$B$2:$D$20,3,0)="S",IF(OR($O562="",ISTEXT($O562)),"","STRING!"),IF(VLOOKUP($K562,base!$B$2:$D$20,3,0)="","",IF(ISTEXT($O562),"NUMERIC!",""))),"")</f>
        <v/>
      </c>
      <c r="AC562" s="16" t="str">
        <f>IF($AA562="","",IF($B562="I",VLOOKUP($AA562,#REF!,53,0),INDEX(VALUES!$B$1:$GP$1,1,$AA562)))</f>
        <v/>
      </c>
    </row>
    <row r="563" spans="1:29" hidden="1" outlineLevel="1">
      <c r="A563" s="21" t="s">
        <v>86</v>
      </c>
      <c r="B563" s="40" t="str">
        <f t="shared" si="36"/>
        <v/>
      </c>
      <c r="C563" s="41">
        <f t="shared" si="34"/>
        <v>562</v>
      </c>
      <c r="D563" s="260" t="s">
        <v>9</v>
      </c>
      <c r="E563" s="37"/>
      <c r="F563" s="305" t="s">
        <v>9</v>
      </c>
      <c r="G563" s="188"/>
      <c r="H563" s="37"/>
      <c r="I563" s="37" t="s">
        <v>9</v>
      </c>
      <c r="J563" s="37"/>
      <c r="K563" s="13" t="s">
        <v>26</v>
      </c>
      <c r="L563" s="13" t="s">
        <v>29</v>
      </c>
      <c r="M563" s="149" t="s">
        <v>591</v>
      </c>
      <c r="N563" s="13" t="s">
        <v>592</v>
      </c>
      <c r="O563" s="42">
        <v>2.1179999999999999</v>
      </c>
      <c r="R563" s="37" t="s">
        <v>106</v>
      </c>
      <c r="S563" s="168" t="s">
        <v>114</v>
      </c>
      <c r="T563" s="163" t="s">
        <v>298</v>
      </c>
      <c r="U563" s="163" t="s">
        <v>298</v>
      </c>
      <c r="V563" s="163" t="s">
        <v>593</v>
      </c>
      <c r="W563" s="14" t="str">
        <f>IF(IFERROR(VLOOKUP($M563,'IMPORT GS-Tür OL FL 2S2 20'!$H$2:$H$847,1,0),"-")="-","","GS")</f>
        <v>GS</v>
      </c>
      <c r="X563" s="14" t="str">
        <f t="shared" si="35"/>
        <v>...</v>
      </c>
      <c r="Y563" s="163" t="s">
        <v>594</v>
      </c>
      <c r="Z563" s="58" t="str">
        <f>IF(OR($M563="",NOT($O563="{array}")),"",IFERROR(MATCH(PARAMETERS!$M563,DEFAULT!$B$5:$CI$5,0),""))</f>
        <v/>
      </c>
      <c r="AA563" s="55" t="str">
        <f t="shared" ref="AA563:AA627" si="37">IF($M563="","",IFERROR(MATCH($M563,VALUESnames,0),""))</f>
        <v/>
      </c>
      <c r="AB563" s="62" t="str">
        <f>IF(AND(OR($A563="G",$A563="P"),NOT($O563="{array}")),IF(VLOOKUP($K563,base!$B$2:$D$20,3,0)="S",IF(OR($O563="",ISTEXT($O563)),"","STRING!"),IF(VLOOKUP($K563,base!$B$2:$D$20,3,0)="","",IF(ISTEXT($O563),"NUMERIC!",""))),"")</f>
        <v/>
      </c>
      <c r="AC563" s="16" t="str">
        <f>IF($AA563="","",IF($B563="I",VLOOKUP($AA563,#REF!,53,0),INDEX(VALUES!$B$1:$GP$1,1,$AA563)))</f>
        <v/>
      </c>
    </row>
    <row r="564" spans="1:29" hidden="1" outlineLevel="1">
      <c r="A564" s="21" t="s">
        <v>86</v>
      </c>
      <c r="B564" s="40" t="str">
        <f t="shared" si="36"/>
        <v>V</v>
      </c>
      <c r="C564" s="41">
        <f t="shared" si="34"/>
        <v>563</v>
      </c>
      <c r="D564" s="260" t="s">
        <v>9</v>
      </c>
      <c r="E564" s="37"/>
      <c r="F564" s="305" t="s">
        <v>9</v>
      </c>
      <c r="G564" s="188" t="s">
        <v>9</v>
      </c>
      <c r="H564" s="37"/>
      <c r="I564" s="37" t="s">
        <v>9</v>
      </c>
      <c r="J564" s="37"/>
      <c r="K564" s="13" t="s">
        <v>46</v>
      </c>
      <c r="L564" s="13" t="s">
        <v>29</v>
      </c>
      <c r="M564" s="149" t="s">
        <v>595</v>
      </c>
      <c r="N564" s="13" t="s">
        <v>596</v>
      </c>
      <c r="O564" s="42">
        <v>1</v>
      </c>
      <c r="R564" s="37" t="s">
        <v>106</v>
      </c>
      <c r="S564" s="37"/>
      <c r="T564" s="37"/>
      <c r="W564" s="14" t="str">
        <f>IF(IFERROR(VLOOKUP($M564,'IMPORT GS-Tür OL FL 2S2 20'!$H$2:$H$847,1,0),"-")="-","","GS")</f>
        <v>GS</v>
      </c>
      <c r="X564" s="14" t="str">
        <f t="shared" si="35"/>
        <v>...</v>
      </c>
      <c r="Z564" s="58" t="str">
        <f>IF(OR($M564="",NOT($O564="{array}")),"",IFERROR(MATCH(PARAMETERS!$M564,DEFAULT!$B$5:$CI$5,0),""))</f>
        <v/>
      </c>
      <c r="AA564" s="55">
        <f t="shared" si="37"/>
        <v>22</v>
      </c>
      <c r="AB564" s="62" t="str">
        <f>IF(AND(OR($A564="G",$A564="P"),NOT($O564="{array}")),IF(VLOOKUP($K564,base!$B$2:$D$20,3,0)="S",IF(OR($O564="",ISTEXT($O564)),"","STRING!"),IF(VLOOKUP($K564,base!$B$2:$D$20,3,0)="","",IF(ISTEXT($O564),"NUMERIC!",""))),"")</f>
        <v/>
      </c>
      <c r="AC564" s="16" t="str">
        <f>IF($AA564="","",IF($B564="I",VLOOKUP($AA564,#REF!,53,0),INDEX(VALUES!$B$1:$GP$1,1,$AA564)))</f>
        <v>1 | 2 | 4 | 8 | 16 | 32 | 64</v>
      </c>
    </row>
    <row r="565" spans="1:29" hidden="1" outlineLevel="1">
      <c r="A565" s="21" t="s">
        <v>86</v>
      </c>
      <c r="B565" s="40" t="str">
        <f t="shared" si="36"/>
        <v/>
      </c>
      <c r="C565" s="41">
        <f t="shared" si="34"/>
        <v>564</v>
      </c>
      <c r="D565" s="260" t="s">
        <v>9</v>
      </c>
      <c r="E565" s="37"/>
      <c r="F565" s="305" t="s">
        <v>9</v>
      </c>
      <c r="G565" s="188" t="s">
        <v>9</v>
      </c>
      <c r="H565" s="37"/>
      <c r="I565" s="37" t="s">
        <v>9</v>
      </c>
      <c r="J565" s="37"/>
      <c r="K565" s="150" t="s">
        <v>49</v>
      </c>
      <c r="L565" s="150" t="s">
        <v>29</v>
      </c>
      <c r="M565" s="218" t="s">
        <v>597</v>
      </c>
      <c r="N565" s="150" t="s">
        <v>598</v>
      </c>
      <c r="O565" s="216">
        <v>0</v>
      </c>
      <c r="P565" s="150"/>
      <c r="Q565" s="217"/>
      <c r="R565" s="217" t="s">
        <v>106</v>
      </c>
      <c r="S565" s="186"/>
      <c r="T565" s="186"/>
      <c r="U565" s="185"/>
      <c r="V565" s="185"/>
      <c r="W565" s="187" t="str">
        <f>IF(IFERROR(VLOOKUP($M565,'IMPORT GS-Tür OL FL 2S2 20'!$H$2:$H$847,1,0),"-")="-","","GS")</f>
        <v>GS</v>
      </c>
      <c r="X565" s="14" t="str">
        <f t="shared" si="35"/>
        <v>...</v>
      </c>
      <c r="Y565" s="185"/>
      <c r="Z565" s="58" t="str">
        <f>IF(OR($M565="",NOT($O565="{array}")),"",IFERROR(MATCH(PARAMETERS!$M565,DEFAULT!$B$5:$CI$5,0),""))</f>
        <v/>
      </c>
      <c r="AA565" s="55" t="str">
        <f t="shared" si="37"/>
        <v/>
      </c>
      <c r="AB565" s="62" t="str">
        <f>IF(AND(OR($A565="G",$A565="P"),NOT($O565="{array}")),IF(VLOOKUP($K565,base!$B$2:$D$20,3,0)="S",IF(OR($O565="",ISTEXT($O565)),"","STRING!"),IF(VLOOKUP($K565,base!$B$2:$D$20,3,0)="","",IF(ISTEXT($O565),"NUMERIC!",""))),"")</f>
        <v/>
      </c>
      <c r="AC565" s="16" t="str">
        <f>IF($AA565="","",IF($B565="I",VLOOKUP($AA565,#REF!,53,0),INDEX(VALUES!$B$1:$GP$1,1,$AA565)))</f>
        <v/>
      </c>
    </row>
    <row r="566" spans="1:29" hidden="1" outlineLevel="1">
      <c r="A566" s="21" t="s">
        <v>86</v>
      </c>
      <c r="B566" s="40" t="str">
        <f t="shared" si="36"/>
        <v/>
      </c>
      <c r="C566" s="41">
        <f t="shared" si="34"/>
        <v>565</v>
      </c>
      <c r="D566" s="260" t="s">
        <v>9</v>
      </c>
      <c r="E566" s="37"/>
      <c r="F566" s="305" t="s">
        <v>9</v>
      </c>
      <c r="G566" s="188" t="s">
        <v>9</v>
      </c>
      <c r="H566" s="37"/>
      <c r="I566" s="37" t="s">
        <v>9</v>
      </c>
      <c r="J566" s="37"/>
      <c r="K566" s="150" t="s">
        <v>49</v>
      </c>
      <c r="L566" s="150" t="s">
        <v>29</v>
      </c>
      <c r="M566" s="218" t="s">
        <v>599</v>
      </c>
      <c r="N566" s="150" t="s">
        <v>600</v>
      </c>
      <c r="O566" s="216">
        <v>1</v>
      </c>
      <c r="P566" s="150"/>
      <c r="Q566" s="217"/>
      <c r="R566" s="217" t="s">
        <v>106</v>
      </c>
      <c r="S566" s="186"/>
      <c r="T566" s="186"/>
      <c r="U566" s="185"/>
      <c r="V566" s="185"/>
      <c r="W566" s="187" t="str">
        <f>IF(IFERROR(VLOOKUP($M566,'IMPORT GS-Tür OL FL 2S2 20'!$H$2:$H$847,1,0),"-")="-","","GS")</f>
        <v>GS</v>
      </c>
      <c r="X566" s="14" t="str">
        <f t="shared" si="35"/>
        <v>...</v>
      </c>
      <c r="Y566" s="185"/>
      <c r="Z566" s="58" t="str">
        <f>IF(OR($M566="",NOT($O566="{array}")),"",IFERROR(MATCH(PARAMETERS!$M566,DEFAULT!$B$5:$CI$5,0),""))</f>
        <v/>
      </c>
      <c r="AA566" s="55" t="str">
        <f t="shared" si="37"/>
        <v/>
      </c>
      <c r="AB566" s="62" t="str">
        <f>IF(AND(OR($A566="G",$A566="P"),NOT($O566="{array}")),IF(VLOOKUP($K566,base!$B$2:$D$20,3,0)="S",IF(OR($O566="",ISTEXT($O566)),"","STRING!"),IF(VLOOKUP($K566,base!$B$2:$D$20,3,0)="","",IF(ISTEXT($O566),"NUMERIC!",""))),"")</f>
        <v/>
      </c>
      <c r="AC566" s="16" t="str">
        <f>IF($AA566="","",IF($B566="I",VLOOKUP($AA566,#REF!,53,0),INDEX(VALUES!$B$1:$GP$1,1,$AA566)))</f>
        <v/>
      </c>
    </row>
    <row r="567" spans="1:29" hidden="1" outlineLevel="1">
      <c r="A567" s="21" t="s">
        <v>86</v>
      </c>
      <c r="B567" s="40" t="str">
        <f t="shared" si="36"/>
        <v/>
      </c>
      <c r="C567" s="41">
        <f t="shared" si="34"/>
        <v>566</v>
      </c>
      <c r="D567" s="260" t="s">
        <v>9</v>
      </c>
      <c r="E567" s="37"/>
      <c r="F567" s="305" t="s">
        <v>9</v>
      </c>
      <c r="G567" s="188" t="s">
        <v>9</v>
      </c>
      <c r="H567" s="37"/>
      <c r="I567" s="37" t="s">
        <v>9</v>
      </c>
      <c r="J567" s="37"/>
      <c r="K567" s="150" t="s">
        <v>49</v>
      </c>
      <c r="L567" s="150" t="s">
        <v>29</v>
      </c>
      <c r="M567" s="218" t="s">
        <v>601</v>
      </c>
      <c r="N567" s="150" t="s">
        <v>602</v>
      </c>
      <c r="O567" s="216">
        <v>0</v>
      </c>
      <c r="P567" s="150"/>
      <c r="Q567" s="217"/>
      <c r="R567" s="217" t="s">
        <v>106</v>
      </c>
      <c r="S567" s="186"/>
      <c r="T567" s="186"/>
      <c r="U567" s="185"/>
      <c r="V567" s="185"/>
      <c r="W567" s="187" t="str">
        <f>IF(IFERROR(VLOOKUP($M567,'IMPORT GS-Tür OL FL 2S2 20'!$H$2:$H$847,1,0),"-")="-","","GS")</f>
        <v>GS</v>
      </c>
      <c r="X567" s="14" t="str">
        <f t="shared" si="35"/>
        <v>...</v>
      </c>
      <c r="Y567" s="185"/>
      <c r="Z567" s="58" t="str">
        <f>IF(OR($M567="",NOT($O567="{array}")),"",IFERROR(MATCH(PARAMETERS!$M567,DEFAULT!$B$5:$CI$5,0),""))</f>
        <v/>
      </c>
      <c r="AA567" s="55" t="str">
        <f t="shared" si="37"/>
        <v/>
      </c>
      <c r="AB567" s="62" t="str">
        <f>IF(AND(OR($A567="G",$A567="P"),NOT($O567="{array}")),IF(VLOOKUP($K567,base!$B$2:$D$20,3,0)="S",IF(OR($O567="",ISTEXT($O567)),"","STRING!"),IF(VLOOKUP($K567,base!$B$2:$D$20,3,0)="","",IF(ISTEXT($O567),"NUMERIC!",""))),"")</f>
        <v/>
      </c>
      <c r="AC567" s="16" t="str">
        <f>IF($AA567="","",IF($B567="I",VLOOKUP($AA567,#REF!,53,0),INDEX(VALUES!$B$1:$GP$1,1,$AA567)))</f>
        <v/>
      </c>
    </row>
    <row r="568" spans="1:29" hidden="1" outlineLevel="1">
      <c r="A568" s="21" t="s">
        <v>86</v>
      </c>
      <c r="B568" s="40" t="str">
        <f t="shared" si="36"/>
        <v/>
      </c>
      <c r="C568" s="41">
        <f t="shared" si="34"/>
        <v>567</v>
      </c>
      <c r="D568" s="260" t="s">
        <v>9</v>
      </c>
      <c r="E568" s="37"/>
      <c r="F568" s="305" t="s">
        <v>9</v>
      </c>
      <c r="G568" s="188" t="s">
        <v>9</v>
      </c>
      <c r="H568" s="37"/>
      <c r="I568" s="37" t="s">
        <v>9</v>
      </c>
      <c r="J568" s="37"/>
      <c r="K568" s="150" t="s">
        <v>49</v>
      </c>
      <c r="L568" s="150" t="s">
        <v>29</v>
      </c>
      <c r="M568" s="218" t="s">
        <v>603</v>
      </c>
      <c r="N568" s="150" t="s">
        <v>604</v>
      </c>
      <c r="O568" s="216">
        <v>0</v>
      </c>
      <c r="P568" s="150"/>
      <c r="Q568" s="217"/>
      <c r="R568" s="217" t="s">
        <v>106</v>
      </c>
      <c r="S568" s="186"/>
      <c r="T568" s="186"/>
      <c r="U568" s="185"/>
      <c r="V568" s="185"/>
      <c r="W568" s="187" t="str">
        <f>IF(IFERROR(VLOOKUP($M568,'IMPORT GS-Tür OL FL 2S2 20'!$H$2:$H$847,1,0),"-")="-","","GS")</f>
        <v>GS</v>
      </c>
      <c r="X568" s="14" t="str">
        <f t="shared" si="35"/>
        <v>...</v>
      </c>
      <c r="Y568" s="185"/>
      <c r="Z568" s="58" t="str">
        <f>IF(OR($M568="",NOT($O568="{array}")),"",IFERROR(MATCH(PARAMETERS!$M568,DEFAULT!$B$5:$CI$5,0),""))</f>
        <v/>
      </c>
      <c r="AA568" s="55" t="str">
        <f t="shared" si="37"/>
        <v/>
      </c>
      <c r="AB568" s="62" t="str">
        <f>IF(AND(OR($A568="G",$A568="P"),NOT($O568="{array}")),IF(VLOOKUP($K568,base!$B$2:$D$20,3,0)="S",IF(OR($O568="",ISTEXT($O568)),"","STRING!"),IF(VLOOKUP($K568,base!$B$2:$D$20,3,0)="","",IF(ISTEXT($O568),"NUMERIC!",""))),"")</f>
        <v/>
      </c>
      <c r="AC568" s="16" t="str">
        <f>IF($AA568="","",IF($B568="I",VLOOKUP($AA568,#REF!,53,0),INDEX(VALUES!$B$1:$GP$1,1,$AA568)))</f>
        <v/>
      </c>
    </row>
    <row r="569" spans="1:29" hidden="1" outlineLevel="1">
      <c r="A569" s="21" t="s">
        <v>86</v>
      </c>
      <c r="B569" s="40" t="str">
        <f t="shared" si="36"/>
        <v/>
      </c>
      <c r="C569" s="41">
        <f t="shared" si="34"/>
        <v>568</v>
      </c>
      <c r="D569" s="260" t="s">
        <v>9</v>
      </c>
      <c r="E569" s="37"/>
      <c r="F569" s="305" t="s">
        <v>9</v>
      </c>
      <c r="G569" s="188" t="s">
        <v>9</v>
      </c>
      <c r="H569" s="37"/>
      <c r="I569" s="37" t="s">
        <v>9</v>
      </c>
      <c r="J569" s="37"/>
      <c r="K569" s="150" t="s">
        <v>49</v>
      </c>
      <c r="L569" s="150" t="s">
        <v>29</v>
      </c>
      <c r="M569" s="218" t="s">
        <v>605</v>
      </c>
      <c r="N569" s="150" t="s">
        <v>606</v>
      </c>
      <c r="O569" s="216">
        <v>0</v>
      </c>
      <c r="P569" s="150"/>
      <c r="Q569" s="217"/>
      <c r="R569" s="217" t="s">
        <v>106</v>
      </c>
      <c r="S569" s="186"/>
      <c r="T569" s="186"/>
      <c r="U569" s="185"/>
      <c r="V569" s="185"/>
      <c r="W569" s="187" t="str">
        <f>IF(IFERROR(VLOOKUP($M569,'IMPORT GS-Tür OL FL 2S2 20'!$H$2:$H$847,1,0),"-")="-","","GS")</f>
        <v>GS</v>
      </c>
      <c r="X569" s="14" t="str">
        <f t="shared" si="35"/>
        <v>...</v>
      </c>
      <c r="Y569" s="185"/>
      <c r="Z569" s="58" t="str">
        <f>IF(OR($M569="",NOT($O569="{array}")),"",IFERROR(MATCH(PARAMETERS!$M569,DEFAULT!$B$5:$CI$5,0),""))</f>
        <v/>
      </c>
      <c r="AA569" s="55" t="str">
        <f t="shared" si="37"/>
        <v/>
      </c>
      <c r="AB569" s="62" t="str">
        <f>IF(AND(OR($A569="G",$A569="P"),NOT($O569="{array}")),IF(VLOOKUP($K569,base!$B$2:$D$20,3,0)="S",IF(OR($O569="",ISTEXT($O569)),"","STRING!"),IF(VLOOKUP($K569,base!$B$2:$D$20,3,0)="","",IF(ISTEXT($O569),"NUMERIC!",""))),"")</f>
        <v/>
      </c>
      <c r="AC569" s="16" t="str">
        <f>IF($AA569="","",IF($B569="I",VLOOKUP($AA569,#REF!,53,0),INDEX(VALUES!$B$1:$GP$1,1,$AA569)))</f>
        <v/>
      </c>
    </row>
    <row r="570" spans="1:29" hidden="1" outlineLevel="1">
      <c r="A570" s="21" t="s">
        <v>86</v>
      </c>
      <c r="B570" s="40" t="str">
        <f t="shared" si="36"/>
        <v/>
      </c>
      <c r="C570" s="41">
        <f t="shared" si="34"/>
        <v>569</v>
      </c>
      <c r="D570" s="260" t="s">
        <v>9</v>
      </c>
      <c r="E570" s="37"/>
      <c r="F570" s="305" t="s">
        <v>9</v>
      </c>
      <c r="G570" s="188" t="s">
        <v>9</v>
      </c>
      <c r="H570" s="37"/>
      <c r="I570" s="37" t="s">
        <v>9</v>
      </c>
      <c r="J570" s="37"/>
      <c r="K570" s="150" t="s">
        <v>49</v>
      </c>
      <c r="L570" s="150" t="s">
        <v>29</v>
      </c>
      <c r="M570" s="218" t="s">
        <v>607</v>
      </c>
      <c r="N570" s="150" t="s">
        <v>608</v>
      </c>
      <c r="O570" s="216">
        <v>0</v>
      </c>
      <c r="P570" s="150"/>
      <c r="Q570" s="217"/>
      <c r="R570" s="217" t="s">
        <v>106</v>
      </c>
      <c r="S570" s="186"/>
      <c r="T570" s="186"/>
      <c r="U570" s="185"/>
      <c r="V570" s="185"/>
      <c r="W570" s="187" t="str">
        <f>IF(IFERROR(VLOOKUP($M570,'IMPORT GS-Tür OL FL 2S2 20'!$H$2:$H$847,1,0),"-")="-","","GS")</f>
        <v>GS</v>
      </c>
      <c r="X570" s="14" t="str">
        <f t="shared" si="35"/>
        <v>...</v>
      </c>
      <c r="Y570" s="185"/>
      <c r="Z570" s="58" t="str">
        <f>IF(OR($M570="",NOT($O570="{array}")),"",IFERROR(MATCH(PARAMETERS!$M570,DEFAULT!$B$5:$CI$5,0),""))</f>
        <v/>
      </c>
      <c r="AA570" s="55" t="str">
        <f t="shared" si="37"/>
        <v/>
      </c>
      <c r="AB570" s="62" t="str">
        <f>IF(AND(OR($A570="G",$A570="P"),NOT($O570="{array}")),IF(VLOOKUP($K570,base!$B$2:$D$20,3,0)="S",IF(OR($O570="",ISTEXT($O570)),"","STRING!"),IF(VLOOKUP($K570,base!$B$2:$D$20,3,0)="","",IF(ISTEXT($O570),"NUMERIC!",""))),"")</f>
        <v/>
      </c>
      <c r="AC570" s="16" t="str">
        <f>IF($AA570="","",IF($B570="I",VLOOKUP($AA570,#REF!,53,0),INDEX(VALUES!$B$1:$GP$1,1,$AA570)))</f>
        <v/>
      </c>
    </row>
    <row r="571" spans="1:29" hidden="1" outlineLevel="1">
      <c r="A571" s="21" t="s">
        <v>86</v>
      </c>
      <c r="B571" s="40" t="str">
        <f t="shared" si="36"/>
        <v/>
      </c>
      <c r="C571" s="41">
        <f t="shared" si="34"/>
        <v>570</v>
      </c>
      <c r="D571" s="260" t="s">
        <v>9</v>
      </c>
      <c r="E571" s="37"/>
      <c r="F571" s="305" t="s">
        <v>9</v>
      </c>
      <c r="G571" s="188" t="s">
        <v>9</v>
      </c>
      <c r="H571" s="37"/>
      <c r="I571" s="37" t="s">
        <v>9</v>
      </c>
      <c r="J571" s="37"/>
      <c r="K571" s="52" t="s">
        <v>49</v>
      </c>
      <c r="L571" s="52" t="s">
        <v>29</v>
      </c>
      <c r="M571" s="212" t="s">
        <v>3594</v>
      </c>
      <c r="N571" s="52" t="s">
        <v>3595</v>
      </c>
      <c r="O571" s="153">
        <v>1</v>
      </c>
      <c r="P571" s="52"/>
      <c r="Q571" s="188"/>
      <c r="R571" s="188" t="s">
        <v>204</v>
      </c>
      <c r="S571" s="186"/>
      <c r="T571" s="186"/>
      <c r="U571" s="185"/>
      <c r="V571" s="185"/>
      <c r="W571" s="187" t="str">
        <f>IF(IFERROR(VLOOKUP($M571,'IMPORT GS-Tür OL FL 2S2 20'!$H$2:$H$847,1,0),"-")="-","","GS")</f>
        <v/>
      </c>
      <c r="X571" s="14" t="str">
        <f t="shared" si="35"/>
        <v>...</v>
      </c>
      <c r="Y571" s="185"/>
      <c r="Z571" s="58" t="str">
        <f>IF(OR($M571="",NOT($O571="{array}")),"",IFERROR(MATCH(PARAMETERS!$M571,DEFAULT!$B$5:$CI$5,0),""))</f>
        <v/>
      </c>
      <c r="AA571" s="55" t="str">
        <f t="shared" si="37"/>
        <v/>
      </c>
      <c r="AB571" s="62" t="str">
        <f>IF(AND(OR($A571="G",$A571="P"),NOT($O571="{array}")),IF(VLOOKUP($K571,base!$B$2:$D$20,3,0)="S",IF(OR($O571="",ISTEXT($O571)),"","STRING!"),IF(VLOOKUP($K571,base!$B$2:$D$20,3,0)="","",IF(ISTEXT($O571),"NUMERIC!",""))),"")</f>
        <v/>
      </c>
      <c r="AC571" s="16" t="str">
        <f>IF($AA571="","",IF($B571="I",VLOOKUP($AA571,#REF!,53,0),INDEX(VALUES!$B$1:$GP$1,1,$AA571)))</f>
        <v/>
      </c>
    </row>
    <row r="572" spans="1:29" hidden="1" outlineLevel="1">
      <c r="A572" s="21" t="s">
        <v>86</v>
      </c>
      <c r="B572" s="40" t="str">
        <f t="shared" si="36"/>
        <v/>
      </c>
      <c r="C572" s="41">
        <f t="shared" si="34"/>
        <v>571</v>
      </c>
      <c r="D572" s="260" t="s">
        <v>9</v>
      </c>
      <c r="E572" s="37"/>
      <c r="F572" s="305" t="s">
        <v>9</v>
      </c>
      <c r="G572" s="188" t="s">
        <v>9</v>
      </c>
      <c r="H572" s="37"/>
      <c r="I572" s="37" t="s">
        <v>9</v>
      </c>
      <c r="J572" s="37"/>
      <c r="K572" s="13" t="s">
        <v>49</v>
      </c>
      <c r="L572" s="13" t="s">
        <v>29</v>
      </c>
      <c r="M572" s="149" t="s">
        <v>609</v>
      </c>
      <c r="N572" s="13" t="s">
        <v>610</v>
      </c>
      <c r="O572" s="42">
        <v>0</v>
      </c>
      <c r="R572" s="37" t="s">
        <v>106</v>
      </c>
      <c r="S572" s="37"/>
      <c r="T572" s="37"/>
      <c r="W572" s="14" t="str">
        <f>IF(IFERROR(VLOOKUP($M572,'IMPORT GS-Tür OL FL 2S2 20'!$H$2:$H$847,1,0),"-")="-","","GS")</f>
        <v>GS</v>
      </c>
      <c r="X572" s="14">
        <f t="shared" si="35"/>
        <v>1</v>
      </c>
      <c r="Z572" s="58" t="str">
        <f>IF(OR($M572="",NOT($O572="{array}")),"",IFERROR(MATCH(PARAMETERS!$M572,DEFAULT!$B$5:$CI$5,0),""))</f>
        <v/>
      </c>
      <c r="AA572" s="55" t="str">
        <f t="shared" si="37"/>
        <v/>
      </c>
      <c r="AB572" s="62" t="str">
        <f>IF(AND(OR($A572="G",$A572="P"),NOT($O572="{array}")),IF(VLOOKUP($K572,base!$B$2:$D$20,3,0)="S",IF(OR($O572="",ISTEXT($O572)),"","STRING!"),IF(VLOOKUP($K572,base!$B$2:$D$20,3,0)="","",IF(ISTEXT($O572),"NUMERIC!",""))),"")</f>
        <v/>
      </c>
      <c r="AC572" s="16" t="str">
        <f>IF($AA572="","",IF($B572="I",VLOOKUP($AA572,#REF!,53,0),INDEX(VALUES!$B$1:$GP$1,1,$AA572)))</f>
        <v/>
      </c>
    </row>
    <row r="573" spans="1:29" hidden="1" outlineLevel="1">
      <c r="A573" s="21" t="s">
        <v>86</v>
      </c>
      <c r="B573" s="40" t="str">
        <f t="shared" si="36"/>
        <v/>
      </c>
      <c r="C573" s="41">
        <f t="shared" si="34"/>
        <v>572</v>
      </c>
      <c r="D573" s="260" t="s">
        <v>9</v>
      </c>
      <c r="E573" s="37"/>
      <c r="F573" s="305" t="s">
        <v>9</v>
      </c>
      <c r="G573" s="188" t="s">
        <v>9</v>
      </c>
      <c r="H573" s="37"/>
      <c r="I573" s="37" t="s">
        <v>9</v>
      </c>
      <c r="J573" s="37"/>
      <c r="K573" s="248" t="s">
        <v>26</v>
      </c>
      <c r="L573" s="248" t="s">
        <v>29</v>
      </c>
      <c r="M573" s="208" t="s">
        <v>3338</v>
      </c>
      <c r="N573" s="248" t="s">
        <v>3343</v>
      </c>
      <c r="O573" s="42">
        <v>0</v>
      </c>
      <c r="R573" s="37" t="s">
        <v>204</v>
      </c>
      <c r="S573" s="37"/>
      <c r="T573" s="37"/>
      <c r="W573" s="14" t="str">
        <f>IF(IFERROR(VLOOKUP($M573,'IMPORT GS-Tür OL FL 2S2 20'!$H$2:$H$847,1,0),"-")="-","","GS")</f>
        <v/>
      </c>
      <c r="X573" s="14">
        <f t="shared" si="35"/>
        <v>-0.01</v>
      </c>
      <c r="Z573" s="58" t="str">
        <f>IF(OR($M573="",NOT($O573="{array}")),"",IFERROR(MATCH(PARAMETERS!$M573,DEFAULT!$B$5:$CI$5,0),""))</f>
        <v/>
      </c>
      <c r="AA573" s="55" t="str">
        <f t="shared" si="37"/>
        <v/>
      </c>
      <c r="AB573" s="62" t="str">
        <f>IF(AND(OR($A573="G",$A573="P"),NOT($O573="{array}")),IF(VLOOKUP($K573,base!$B$2:$D$20,3,0)="S",IF(OR($O573="",ISTEXT($O573)),"","STRING!"),IF(VLOOKUP($K573,base!$B$2:$D$20,3,0)="","",IF(ISTEXT($O573),"NUMERIC!",""))),"")</f>
        <v/>
      </c>
      <c r="AC573" s="16" t="str">
        <f>IF($AA573="","",IF($B573="I",VLOOKUP($AA573,#REF!,53,0),INDEX(VALUES!$B$1:$GP$1,1,$AA573)))</f>
        <v/>
      </c>
    </row>
    <row r="574" spans="1:29" hidden="1" outlineLevel="1">
      <c r="A574" s="21" t="s">
        <v>86</v>
      </c>
      <c r="B574" s="40" t="str">
        <f t="shared" si="36"/>
        <v/>
      </c>
      <c r="C574" s="41">
        <f t="shared" si="34"/>
        <v>573</v>
      </c>
      <c r="D574" s="260" t="s">
        <v>9</v>
      </c>
      <c r="E574" s="37"/>
      <c r="F574" s="305" t="s">
        <v>9</v>
      </c>
      <c r="G574" s="188" t="s">
        <v>9</v>
      </c>
      <c r="H574" s="37"/>
      <c r="I574" s="37" t="s">
        <v>9</v>
      </c>
      <c r="J574" s="37"/>
      <c r="K574" s="248" t="s">
        <v>26</v>
      </c>
      <c r="L574" s="248" t="s">
        <v>29</v>
      </c>
      <c r="M574" s="208" t="s">
        <v>3339</v>
      </c>
      <c r="N574" s="248" t="s">
        <v>3344</v>
      </c>
      <c r="O574" s="42">
        <v>0</v>
      </c>
      <c r="R574" s="37" t="s">
        <v>204</v>
      </c>
      <c r="S574" s="37"/>
      <c r="T574" s="37"/>
      <c r="W574" s="14" t="str">
        <f>IF(IFERROR(VLOOKUP($M574,'IMPORT GS-Tür OL FL 2S2 20'!$H$2:$H$847,1,0),"-")="-","","GS")</f>
        <v/>
      </c>
      <c r="X574" s="14">
        <f t="shared" si="35"/>
        <v>0.14499999999999999</v>
      </c>
      <c r="Z574" s="58" t="str">
        <f>IF(OR($M574="",NOT($O574="{array}")),"",IFERROR(MATCH(PARAMETERS!$M574,DEFAULT!$B$5:$CI$5,0),""))</f>
        <v/>
      </c>
      <c r="AA574" s="55" t="str">
        <f t="shared" si="37"/>
        <v/>
      </c>
      <c r="AB574" s="62" t="str">
        <f>IF(AND(OR($A574="G",$A574="P"),NOT($O574="{array}")),IF(VLOOKUP($K574,base!$B$2:$D$20,3,0)="S",IF(OR($O574="",ISTEXT($O574)),"","STRING!"),IF(VLOOKUP($K574,base!$B$2:$D$20,3,0)="","",IF(ISTEXT($O574),"NUMERIC!",""))),"")</f>
        <v/>
      </c>
      <c r="AC574" s="16" t="str">
        <f>IF($AA574="","",IF($B574="I",VLOOKUP($AA574,#REF!,53,0),INDEX(VALUES!$B$1:$GP$1,1,$AA574)))</f>
        <v/>
      </c>
    </row>
    <row r="575" spans="1:29" collapsed="1">
      <c r="A575" s="21" t="s">
        <v>86</v>
      </c>
      <c r="B575" s="40" t="str">
        <f t="shared" si="36"/>
        <v/>
      </c>
      <c r="C575" s="41">
        <f t="shared" si="34"/>
        <v>574</v>
      </c>
      <c r="D575" s="260"/>
      <c r="E575" s="37"/>
      <c r="F575" s="305" t="s">
        <v>9</v>
      </c>
      <c r="G575" s="188"/>
      <c r="H575" s="37"/>
      <c r="I575" s="37" t="s">
        <v>9</v>
      </c>
      <c r="J575" s="37"/>
      <c r="K575" s="13" t="s">
        <v>59</v>
      </c>
      <c r="L575" s="13" t="s">
        <v>40</v>
      </c>
      <c r="M575" s="47" t="s">
        <v>611</v>
      </c>
      <c r="N575" s="40" t="s">
        <v>486</v>
      </c>
      <c r="R575" s="37" t="s">
        <v>106</v>
      </c>
      <c r="S575" s="37"/>
      <c r="T575" s="37"/>
      <c r="W575" s="14" t="str">
        <f>IF(IFERROR(VLOOKUP($M575,'IMPORT GS-Tür OL FL 2S2 20'!$H$2:$H$847,1,0),"-")="-","","GS")</f>
        <v/>
      </c>
      <c r="X575" s="14" t="str">
        <f t="shared" si="35"/>
        <v>...</v>
      </c>
      <c r="Z575" s="58" t="str">
        <f>IF(OR($M575="",NOT($O575="{array}")),"",IFERROR(MATCH(PARAMETERS!$M575,DEFAULT!$B$5:$CI$5,0),""))</f>
        <v/>
      </c>
      <c r="AA575" s="55" t="str">
        <f t="shared" si="37"/>
        <v/>
      </c>
      <c r="AB575" s="62" t="str">
        <f>IF(AND(OR($A575="G",$A575="P"),NOT($O575="{array}")),IF(VLOOKUP($K575,base!$B$2:$D$20,3,0)="S",IF(OR($O575="",ISTEXT($O575)),"","STRING!"),IF(VLOOKUP($K575,base!$B$2:$D$20,3,0)="","",IF(ISTEXT($O575),"NUMERIC!",""))),"")</f>
        <v/>
      </c>
      <c r="AC575" s="16" t="str">
        <f>IF($AA575="","",IF($B575="I",VLOOKUP($AA575,#REF!,53,0),INDEX(VALUES!$B$1:$GP$1,1,$AA575)))</f>
        <v/>
      </c>
    </row>
    <row r="576" spans="1:29" hidden="1" outlineLevel="1">
      <c r="A576" s="21"/>
      <c r="B576" s="40" t="str">
        <f t="shared" si="36"/>
        <v/>
      </c>
      <c r="C576" s="41">
        <f t="shared" si="34"/>
        <v>575</v>
      </c>
      <c r="D576" s="260"/>
      <c r="E576" s="37"/>
      <c r="F576" s="305" t="s">
        <v>9</v>
      </c>
      <c r="G576" s="188"/>
      <c r="H576" s="37"/>
      <c r="I576" s="37" t="s">
        <v>9</v>
      </c>
      <c r="J576" s="37"/>
      <c r="K576" s="13" t="s">
        <v>20</v>
      </c>
      <c r="L576" s="13" t="s">
        <v>29</v>
      </c>
      <c r="M576" s="235" t="s">
        <v>612</v>
      </c>
      <c r="N576" s="13" t="s">
        <v>613</v>
      </c>
      <c r="O576" s="42" t="s">
        <v>614</v>
      </c>
      <c r="R576" s="37" t="s">
        <v>106</v>
      </c>
      <c r="S576" s="37"/>
      <c r="T576" s="37"/>
      <c r="W576" s="14" t="str">
        <f>IF(IFERROR(VLOOKUP($M576,'IMPORT GS-Tür OL FL 2S2 20'!$H$2:$H$847,1,0),"-")="-","","GS")</f>
        <v>GS</v>
      </c>
      <c r="X576" s="14" t="str">
        <f t="shared" si="35"/>
        <v/>
      </c>
      <c r="Z576" s="58" t="str">
        <f>IF(OR($M576="",NOT($O576="{array}")),"",IFERROR(MATCH(PARAMETERS!$M576,DEFAULT!$B$5:$CI$5,0),""))</f>
        <v/>
      </c>
      <c r="AA576" s="55" t="str">
        <f t="shared" si="37"/>
        <v/>
      </c>
      <c r="AB576" s="62" t="str">
        <f>IF(AND(OR($A576="G",$A576="P"),NOT($O576="{array}")),IF(VLOOKUP($K576,base!$B$2:$D$20,3,0)="S",IF(OR($O576="",ISTEXT($O576)),"","STRING!"),IF(VLOOKUP($K576,base!$B$2:$D$20,3,0)="","",IF(ISTEXT($O576),"NUMERIC!",""))),"")</f>
        <v/>
      </c>
      <c r="AC576" s="16" t="str">
        <f>IF($AA576="","",IF($B576="I",VLOOKUP($AA576,#REF!,53,0),INDEX(VALUES!$B$1:$GP$1,1,$AA576)))</f>
        <v/>
      </c>
    </row>
    <row r="577" spans="1:29" hidden="1" outlineLevel="1">
      <c r="A577" s="21"/>
      <c r="B577" s="40" t="str">
        <f t="shared" si="36"/>
        <v/>
      </c>
      <c r="C577" s="41">
        <f t="shared" si="34"/>
        <v>576</v>
      </c>
      <c r="D577" s="260"/>
      <c r="E577" s="37"/>
      <c r="F577" s="305" t="s">
        <v>9</v>
      </c>
      <c r="G577" s="188" t="s">
        <v>9</v>
      </c>
      <c r="H577" s="37"/>
      <c r="I577" s="37" t="s">
        <v>9</v>
      </c>
      <c r="J577" s="37"/>
      <c r="K577" s="13" t="s">
        <v>46</v>
      </c>
      <c r="L577" s="13" t="s">
        <v>29</v>
      </c>
      <c r="M577" s="235" t="s">
        <v>615</v>
      </c>
      <c r="N577" s="13" t="s">
        <v>486</v>
      </c>
      <c r="O577" s="42">
        <v>2</v>
      </c>
      <c r="R577" s="37" t="s">
        <v>106</v>
      </c>
      <c r="S577" s="37"/>
      <c r="T577" s="37"/>
      <c r="W577" s="14" t="str">
        <f>IF(IFERROR(VLOOKUP($M577,'IMPORT GS-Tür OL FL 2S2 20'!$H$2:$H$847,1,0),"-")="-","","GS")</f>
        <v>GS</v>
      </c>
      <c r="X577" s="14" t="str">
        <f t="shared" si="35"/>
        <v/>
      </c>
      <c r="Z577" s="58" t="str">
        <f>IF(OR($M577="",NOT($O577="{array}")),"",IFERROR(MATCH(PARAMETERS!$M577,DEFAULT!$B$5:$CI$5,0),""))</f>
        <v/>
      </c>
      <c r="AA577" s="55" t="str">
        <f t="shared" si="37"/>
        <v/>
      </c>
      <c r="AB577" s="62" t="str">
        <f>IF(AND(OR($A577="G",$A577="P"),NOT($O577="{array}")),IF(VLOOKUP($K577,base!$B$2:$D$20,3,0)="S",IF(OR($O577="",ISTEXT($O577)),"","STRING!"),IF(VLOOKUP($K577,base!$B$2:$D$20,3,0)="","",IF(ISTEXT($O577),"NUMERIC!",""))),"")</f>
        <v/>
      </c>
      <c r="AC577" s="16" t="str">
        <f>IF($AA577="","",IF($B577="I",VLOOKUP($AA577,#REF!,53,0),INDEX(VALUES!$B$1:$GP$1,1,$AA577)))</f>
        <v/>
      </c>
    </row>
    <row r="578" spans="1:29" hidden="1" outlineLevel="1">
      <c r="A578" s="21"/>
      <c r="B578" s="40" t="str">
        <f t="shared" si="36"/>
        <v/>
      </c>
      <c r="C578" s="41">
        <f t="shared" si="34"/>
        <v>577</v>
      </c>
      <c r="D578" s="260"/>
      <c r="E578" s="37"/>
      <c r="F578" s="305" t="s">
        <v>9</v>
      </c>
      <c r="G578" s="188" t="s">
        <v>9</v>
      </c>
      <c r="H578" s="37"/>
      <c r="I578" s="37" t="s">
        <v>9</v>
      </c>
      <c r="J578" s="37"/>
      <c r="K578" s="13" t="s">
        <v>46</v>
      </c>
      <c r="L578" s="13" t="s">
        <v>29</v>
      </c>
      <c r="M578" s="235" t="s">
        <v>616</v>
      </c>
      <c r="N578" s="13" t="s">
        <v>617</v>
      </c>
      <c r="O578" s="42">
        <v>1</v>
      </c>
      <c r="R578" s="37" t="s">
        <v>106</v>
      </c>
      <c r="S578" s="37"/>
      <c r="T578" s="37"/>
      <c r="W578" s="14" t="str">
        <f>IF(IFERROR(VLOOKUP($M578,'IMPORT GS-Tür OL FL 2S2 20'!$H$2:$H$847,1,0),"-")="-","","GS")</f>
        <v>GS</v>
      </c>
      <c r="X578" s="14" t="str">
        <f t="shared" si="35"/>
        <v/>
      </c>
      <c r="Z578" s="58" t="str">
        <f>IF(OR($M578="",NOT($O578="{array}")),"",IFERROR(MATCH(PARAMETERS!$M578,DEFAULT!$B$5:$CI$5,0),""))</f>
        <v/>
      </c>
      <c r="AA578" s="55" t="str">
        <f t="shared" si="37"/>
        <v/>
      </c>
      <c r="AB578" s="62" t="str">
        <f>IF(AND(OR($A578="G",$A578="P"),NOT($O578="{array}")),IF(VLOOKUP($K578,base!$B$2:$D$20,3,0)="S",IF(OR($O578="",ISTEXT($O578)),"","STRING!"),IF(VLOOKUP($K578,base!$B$2:$D$20,3,0)="","",IF(ISTEXT($O578),"NUMERIC!",""))),"")</f>
        <v/>
      </c>
      <c r="AC578" s="16" t="str">
        <f>IF($AA578="","",IF($B578="I",VLOOKUP($AA578,#REF!,53,0),INDEX(VALUES!$B$1:$GP$1,1,$AA578)))</f>
        <v/>
      </c>
    </row>
    <row r="579" spans="1:29" hidden="1" outlineLevel="1">
      <c r="A579" s="21"/>
      <c r="B579" s="40" t="str">
        <f t="shared" si="36"/>
        <v/>
      </c>
      <c r="C579" s="41">
        <f t="shared" si="34"/>
        <v>578</v>
      </c>
      <c r="D579" s="260"/>
      <c r="E579" s="37"/>
      <c r="F579" s="305" t="s">
        <v>9</v>
      </c>
      <c r="G579" s="188"/>
      <c r="H579" s="37"/>
      <c r="I579" s="37" t="s">
        <v>9</v>
      </c>
      <c r="J579" s="37"/>
      <c r="K579" s="13" t="s">
        <v>49</v>
      </c>
      <c r="L579" s="13" t="s">
        <v>29</v>
      </c>
      <c r="M579" s="235" t="s">
        <v>618</v>
      </c>
      <c r="N579" s="13" t="s">
        <v>619</v>
      </c>
      <c r="O579" s="42">
        <v>0</v>
      </c>
      <c r="R579" s="37" t="s">
        <v>106</v>
      </c>
      <c r="S579" s="37"/>
      <c r="T579" s="37"/>
      <c r="W579" s="14" t="str">
        <f>IF(IFERROR(VLOOKUP($M579,'IMPORT GS-Tür OL FL 2S2 20'!$H$2:$H$847,1,0),"-")="-","","GS")</f>
        <v>GS</v>
      </c>
      <c r="X579" s="14" t="str">
        <f t="shared" si="35"/>
        <v/>
      </c>
      <c r="Z579" s="58" t="str">
        <f>IF(OR($M579="",NOT($O579="{array}")),"",IFERROR(MATCH(PARAMETERS!$M579,DEFAULT!$B$5:$CI$5,0),""))</f>
        <v/>
      </c>
      <c r="AA579" s="55" t="str">
        <f t="shared" si="37"/>
        <v/>
      </c>
      <c r="AB579" s="62" t="str">
        <f>IF(AND(OR($A579="G",$A579="P"),NOT($O579="{array}")),IF(VLOOKUP($K579,base!$B$2:$D$20,3,0)="S",IF(OR($O579="",ISTEXT($O579)),"","STRING!"),IF(VLOOKUP($K579,base!$B$2:$D$20,3,0)="","",IF(ISTEXT($O579),"NUMERIC!",""))),"")</f>
        <v/>
      </c>
      <c r="AC579" s="16" t="str">
        <f>IF($AA579="","",IF($B579="I",VLOOKUP($AA579,#REF!,53,0),INDEX(VALUES!$B$1:$GP$1,1,$AA579)))</f>
        <v/>
      </c>
    </row>
    <row r="580" spans="1:29" hidden="1" outlineLevel="1">
      <c r="A580" s="21"/>
      <c r="B580" s="40" t="str">
        <f t="shared" si="36"/>
        <v/>
      </c>
      <c r="C580" s="41">
        <f t="shared" ref="C580:C643" si="38">(ROW()-1)</f>
        <v>579</v>
      </c>
      <c r="D580" s="260"/>
      <c r="E580" s="37"/>
      <c r="F580" s="305" t="s">
        <v>9</v>
      </c>
      <c r="G580" s="188"/>
      <c r="H580" s="37"/>
      <c r="I580" s="37" t="s">
        <v>9</v>
      </c>
      <c r="J580" s="37"/>
      <c r="K580" s="13" t="s">
        <v>26</v>
      </c>
      <c r="L580" s="13" t="s">
        <v>29</v>
      </c>
      <c r="M580" s="214" t="s">
        <v>620</v>
      </c>
      <c r="N580" s="13" t="s">
        <v>621</v>
      </c>
      <c r="O580" s="42">
        <v>0.02</v>
      </c>
      <c r="P580" s="182" t="s">
        <v>130</v>
      </c>
      <c r="Q580" s="159" t="s">
        <v>9</v>
      </c>
      <c r="R580" s="159" t="s">
        <v>105</v>
      </c>
      <c r="S580" s="159" t="s">
        <v>114</v>
      </c>
      <c r="T580" s="160" t="s">
        <v>298</v>
      </c>
      <c r="U580" s="160" t="s">
        <v>298</v>
      </c>
      <c r="V580" s="160" t="s">
        <v>621</v>
      </c>
      <c r="W580" s="14" t="str">
        <f>IF(IFERROR(VLOOKUP($M580,'IMPORT GS-Tür OL FL 2S2 20'!$H$2:$H$847,1,0),"-")="-","","GS")</f>
        <v>GS</v>
      </c>
      <c r="X580" s="14" t="str">
        <f t="shared" si="35"/>
        <v/>
      </c>
      <c r="Y580" s="156" t="s">
        <v>622</v>
      </c>
      <c r="Z580" s="58" t="str">
        <f>IF(OR($M580="",NOT($O580="{array}")),"",IFERROR(MATCH(PARAMETERS!$M580,DEFAULT!$B$5:$CI$5,0),""))</f>
        <v/>
      </c>
      <c r="AA580" s="55" t="str">
        <f t="shared" si="37"/>
        <v/>
      </c>
      <c r="AB580" s="62" t="str">
        <f>IF(AND(OR($A580="G",$A580="P"),NOT($O580="{array}")),IF(VLOOKUP($K580,base!$B$2:$D$20,3,0)="S",IF(OR($O580="",ISTEXT($O580)),"","STRING!"),IF(VLOOKUP($K580,base!$B$2:$D$20,3,0)="","",IF(ISTEXT($O580),"NUMERIC!",""))),"")</f>
        <v/>
      </c>
      <c r="AC580" s="16" t="str">
        <f>IF($AA580="","",IF($B580="I",VLOOKUP($AA580,#REF!,53,0),INDEX(VALUES!$B$1:$GP$1,1,$AA580)))</f>
        <v/>
      </c>
    </row>
    <row r="581" spans="1:29" hidden="1" outlineLevel="1">
      <c r="A581" s="21"/>
      <c r="B581" s="40" t="str">
        <f t="shared" si="36"/>
        <v/>
      </c>
      <c r="C581" s="41">
        <f t="shared" si="38"/>
        <v>580</v>
      </c>
      <c r="D581" s="260"/>
      <c r="E581" s="37"/>
      <c r="F581" s="305" t="s">
        <v>9</v>
      </c>
      <c r="G581" s="188"/>
      <c r="H581" s="37"/>
      <c r="I581" s="37" t="s">
        <v>9</v>
      </c>
      <c r="J581" s="37"/>
      <c r="K581" s="13" t="s">
        <v>26</v>
      </c>
      <c r="L581" s="13" t="s">
        <v>29</v>
      </c>
      <c r="M581" s="235" t="s">
        <v>623</v>
      </c>
      <c r="N581" s="13" t="s">
        <v>621</v>
      </c>
      <c r="O581" s="42">
        <v>0.02</v>
      </c>
      <c r="R581" s="37" t="s">
        <v>106</v>
      </c>
      <c r="S581" s="37"/>
      <c r="T581" s="37"/>
      <c r="W581" s="14" t="str">
        <f>IF(IFERROR(VLOOKUP($M581,'IMPORT GS-Tür OL FL 2S2 20'!$H$2:$H$847,1,0),"-")="-","","GS")</f>
        <v>GS</v>
      </c>
      <c r="X581" s="14" t="str">
        <f t="shared" si="35"/>
        <v/>
      </c>
      <c r="Z581" s="58" t="str">
        <f>IF(OR($M581="",NOT($O581="{array}")),"",IFERROR(MATCH(PARAMETERS!$M581,DEFAULT!$B$5:$CI$5,0),""))</f>
        <v/>
      </c>
      <c r="AA581" s="55" t="str">
        <f t="shared" si="37"/>
        <v/>
      </c>
      <c r="AB581" s="62" t="str">
        <f>IF(AND(OR($A581="G",$A581="P"),NOT($O581="{array}")),IF(VLOOKUP($K581,base!$B$2:$D$20,3,0)="S",IF(OR($O581="",ISTEXT($O581)),"","STRING!"),IF(VLOOKUP($K581,base!$B$2:$D$20,3,0)="","",IF(ISTEXT($O581),"NUMERIC!",""))),"")</f>
        <v/>
      </c>
      <c r="AC581" s="16" t="str">
        <f>IF($AA581="","",IF($B581="I",VLOOKUP($AA581,#REF!,53,0),INDEX(VALUES!$B$1:$GP$1,1,$AA581)))</f>
        <v/>
      </c>
    </row>
    <row r="582" spans="1:29" hidden="1" outlineLevel="1">
      <c r="A582" s="21"/>
      <c r="B582" s="40" t="str">
        <f t="shared" si="36"/>
        <v/>
      </c>
      <c r="C582" s="41">
        <f t="shared" si="38"/>
        <v>581</v>
      </c>
      <c r="D582" s="260"/>
      <c r="E582" s="37"/>
      <c r="F582" s="305" t="s">
        <v>9</v>
      </c>
      <c r="G582" s="188"/>
      <c r="H582" s="37"/>
      <c r="I582" s="37" t="s">
        <v>9</v>
      </c>
      <c r="J582" s="37"/>
      <c r="K582" s="13" t="s">
        <v>26</v>
      </c>
      <c r="L582" s="13" t="s">
        <v>29</v>
      </c>
      <c r="M582" s="235" t="s">
        <v>624</v>
      </c>
      <c r="N582" s="13" t="s">
        <v>625</v>
      </c>
      <c r="O582" s="42">
        <v>0.02</v>
      </c>
      <c r="R582" s="37" t="s">
        <v>106</v>
      </c>
      <c r="S582" s="37"/>
      <c r="T582" s="37"/>
      <c r="W582" s="14" t="str">
        <f>IF(IFERROR(VLOOKUP($M582,'IMPORT GS-Tür OL FL 2S2 20'!$H$2:$H$847,1,0),"-")="-","","GS")</f>
        <v>GS</v>
      </c>
      <c r="X582" s="14" t="str">
        <f t="shared" si="35"/>
        <v/>
      </c>
      <c r="Z582" s="58" t="str">
        <f>IF(OR($M582="",NOT($O582="{array}")),"",IFERROR(MATCH(PARAMETERS!$M582,DEFAULT!$B$5:$CI$5,0),""))</f>
        <v/>
      </c>
      <c r="AA582" s="55" t="str">
        <f t="shared" si="37"/>
        <v/>
      </c>
      <c r="AB582" s="62" t="str">
        <f>IF(AND(OR($A582="G",$A582="P"),NOT($O582="{array}")),IF(VLOOKUP($K582,base!$B$2:$D$20,3,0)="S",IF(OR($O582="",ISTEXT($O582)),"","STRING!"),IF(VLOOKUP($K582,base!$B$2:$D$20,3,0)="","",IF(ISTEXT($O582),"NUMERIC!",""))),"")</f>
        <v/>
      </c>
      <c r="AC582" s="16" t="str">
        <f>IF($AA582="","",IF($B582="I",VLOOKUP($AA582,#REF!,53,0),INDEX(VALUES!$B$1:$GP$1,1,$AA582)))</f>
        <v/>
      </c>
    </row>
    <row r="583" spans="1:29" hidden="1" outlineLevel="1">
      <c r="A583" s="21"/>
      <c r="B583" s="40" t="str">
        <f t="shared" si="36"/>
        <v/>
      </c>
      <c r="C583" s="41">
        <f t="shared" si="38"/>
        <v>582</v>
      </c>
      <c r="D583" s="260"/>
      <c r="E583" s="37"/>
      <c r="F583" s="305" t="s">
        <v>9</v>
      </c>
      <c r="G583" s="188"/>
      <c r="H583" s="37"/>
      <c r="I583" s="37" t="s">
        <v>9</v>
      </c>
      <c r="J583" s="37"/>
      <c r="K583" s="13" t="s">
        <v>26</v>
      </c>
      <c r="L583" s="13" t="s">
        <v>29</v>
      </c>
      <c r="M583" s="235" t="s">
        <v>626</v>
      </c>
      <c r="N583" s="13" t="s">
        <v>627</v>
      </c>
      <c r="O583" s="42">
        <v>0.02</v>
      </c>
      <c r="R583" s="37" t="s">
        <v>106</v>
      </c>
      <c r="S583" s="37"/>
      <c r="T583" s="37"/>
      <c r="W583" s="14" t="str">
        <f>IF(IFERROR(VLOOKUP($M583,'IMPORT GS-Tür OL FL 2S2 20'!$H$2:$H$847,1,0),"-")="-","","GS")</f>
        <v>GS</v>
      </c>
      <c r="X583" s="14" t="str">
        <f t="shared" si="35"/>
        <v/>
      </c>
      <c r="Z583" s="58" t="str">
        <f>IF(OR($M583="",NOT($O583="{array}")),"",IFERROR(MATCH(PARAMETERS!$M583,DEFAULT!$B$5:$CI$5,0),""))</f>
        <v/>
      </c>
      <c r="AA583" s="55" t="str">
        <f t="shared" si="37"/>
        <v/>
      </c>
      <c r="AB583" s="62" t="str">
        <f>IF(AND(OR($A583="G",$A583="P"),NOT($O583="{array}")),IF(VLOOKUP($K583,base!$B$2:$D$20,3,0)="S",IF(OR($O583="",ISTEXT($O583)),"","STRING!"),IF(VLOOKUP($K583,base!$B$2:$D$20,3,0)="","",IF(ISTEXT($O583),"NUMERIC!",""))),"")</f>
        <v/>
      </c>
      <c r="AC583" s="16" t="str">
        <f>IF($AA583="","",IF($B583="I",VLOOKUP($AA583,#REF!,53,0),INDEX(VALUES!$B$1:$GP$1,1,$AA583)))</f>
        <v/>
      </c>
    </row>
    <row r="584" spans="1:29" hidden="1" outlineLevel="1">
      <c r="A584" s="21"/>
      <c r="B584" s="40" t="str">
        <f t="shared" si="36"/>
        <v/>
      </c>
      <c r="C584" s="41">
        <f t="shared" si="38"/>
        <v>583</v>
      </c>
      <c r="D584" s="260"/>
      <c r="E584" s="37"/>
      <c r="F584" s="305" t="s">
        <v>9</v>
      </c>
      <c r="G584" s="188"/>
      <c r="H584" s="37"/>
      <c r="I584" s="37" t="s">
        <v>9</v>
      </c>
      <c r="J584" s="37"/>
      <c r="K584" s="13" t="s">
        <v>49</v>
      </c>
      <c r="L584" s="13" t="s">
        <v>29</v>
      </c>
      <c r="M584" s="235" t="s">
        <v>628</v>
      </c>
      <c r="N584" s="13" t="s">
        <v>629</v>
      </c>
      <c r="O584" s="42">
        <v>1</v>
      </c>
      <c r="R584" s="37" t="s">
        <v>106</v>
      </c>
      <c r="S584" s="37"/>
      <c r="T584" s="37"/>
      <c r="W584" s="14" t="str">
        <f>IF(IFERROR(VLOOKUP($M584,'IMPORT GS-Tür OL FL 2S2 20'!$H$2:$H$847,1,0),"-")="-","","GS")</f>
        <v>GS</v>
      </c>
      <c r="X584" s="14" t="str">
        <f t="shared" si="35"/>
        <v/>
      </c>
      <c r="Z584" s="58" t="str">
        <f>IF(OR($M584="",NOT($O584="{array}")),"",IFERROR(MATCH(PARAMETERS!$M584,DEFAULT!$B$5:$CI$5,0),""))</f>
        <v/>
      </c>
      <c r="AA584" s="55" t="str">
        <f t="shared" si="37"/>
        <v/>
      </c>
      <c r="AB584" s="62" t="str">
        <f>IF(AND(OR($A584="G",$A584="P"),NOT($O584="{array}")),IF(VLOOKUP($K584,base!$B$2:$D$20,3,0)="S",IF(OR($O584="",ISTEXT($O584)),"","STRING!"),IF(VLOOKUP($K584,base!$B$2:$D$20,3,0)="","",IF(ISTEXT($O584),"NUMERIC!",""))),"")</f>
        <v/>
      </c>
      <c r="AC584" s="16" t="str">
        <f>IF($AA584="","",IF($B584="I",VLOOKUP($AA584,#REF!,53,0),INDEX(VALUES!$B$1:$GP$1,1,$AA584)))</f>
        <v/>
      </c>
    </row>
    <row r="585" spans="1:29" hidden="1" outlineLevel="1">
      <c r="A585" s="21"/>
      <c r="B585" s="40" t="str">
        <f t="shared" si="36"/>
        <v/>
      </c>
      <c r="C585" s="41">
        <f t="shared" si="38"/>
        <v>584</v>
      </c>
      <c r="D585" s="260"/>
      <c r="E585" s="37"/>
      <c r="F585" s="305" t="s">
        <v>9</v>
      </c>
      <c r="G585" s="188"/>
      <c r="H585" s="37"/>
      <c r="I585" s="37" t="s">
        <v>9</v>
      </c>
      <c r="J585" s="37"/>
      <c r="K585" s="13" t="s">
        <v>55</v>
      </c>
      <c r="L585" s="13" t="s">
        <v>29</v>
      </c>
      <c r="M585" s="235" t="s">
        <v>630</v>
      </c>
      <c r="N585" s="13" t="s">
        <v>631</v>
      </c>
      <c r="O585" s="42">
        <v>1</v>
      </c>
      <c r="R585" s="37" t="s">
        <v>106</v>
      </c>
      <c r="S585" s="37"/>
      <c r="T585" s="37"/>
      <c r="W585" s="14" t="str">
        <f>IF(IFERROR(VLOOKUP($M585,'IMPORT GS-Tür OL FL 2S2 20'!$H$2:$H$847,1,0),"-")="-","","GS")</f>
        <v>GS</v>
      </c>
      <c r="X585" s="14" t="str">
        <f t="shared" si="35"/>
        <v/>
      </c>
      <c r="Z585" s="58" t="str">
        <f>IF(OR($M585="",NOT($O585="{array}")),"",IFERROR(MATCH(PARAMETERS!$M585,DEFAULT!$B$5:$CI$5,0),""))</f>
        <v/>
      </c>
      <c r="AA585" s="55" t="str">
        <f t="shared" si="37"/>
        <v/>
      </c>
      <c r="AB585" s="62" t="str">
        <f>IF(AND(OR($A585="G",$A585="P"),NOT($O585="{array}")),IF(VLOOKUP($K585,base!$B$2:$D$20,3,0)="S",IF(OR($O585="",ISTEXT($O585)),"","STRING!"),IF(VLOOKUP($K585,base!$B$2:$D$20,3,0)="","",IF(ISTEXT($O585),"NUMERIC!",""))),"")</f>
        <v/>
      </c>
      <c r="AC585" s="16" t="str">
        <f>IF($AA585="","",IF($B585="I",VLOOKUP($AA585,#REF!,53,0),INDEX(VALUES!$B$1:$GP$1,1,$AA585)))</f>
        <v/>
      </c>
    </row>
    <row r="586" spans="1:29" hidden="1" outlineLevel="1">
      <c r="A586" s="21"/>
      <c r="B586" s="40" t="str">
        <f t="shared" si="36"/>
        <v/>
      </c>
      <c r="C586" s="41">
        <f t="shared" si="38"/>
        <v>585</v>
      </c>
      <c r="D586" s="260"/>
      <c r="E586" s="37"/>
      <c r="F586" s="305" t="s">
        <v>9</v>
      </c>
      <c r="G586" s="188"/>
      <c r="H586" s="37"/>
      <c r="I586" s="37" t="s">
        <v>9</v>
      </c>
      <c r="J586" s="37"/>
      <c r="K586" s="13" t="s">
        <v>53</v>
      </c>
      <c r="L586" s="13" t="s">
        <v>29</v>
      </c>
      <c r="M586" s="235" t="s">
        <v>632</v>
      </c>
      <c r="N586" s="13" t="s">
        <v>633</v>
      </c>
      <c r="O586" s="42">
        <v>1</v>
      </c>
      <c r="R586" s="37" t="s">
        <v>106</v>
      </c>
      <c r="S586" s="37"/>
      <c r="T586" s="37"/>
      <c r="W586" s="14" t="str">
        <f>IF(IFERROR(VLOOKUP($M586,'IMPORT GS-Tür OL FL 2S2 20'!$H$2:$H$847,1,0),"-")="-","","GS")</f>
        <v>GS</v>
      </c>
      <c r="X586" s="14" t="str">
        <f t="shared" si="35"/>
        <v/>
      </c>
      <c r="Z586" s="58" t="str">
        <f>IF(OR($M586="",NOT($O586="{array}")),"",IFERROR(MATCH(PARAMETERS!$M586,DEFAULT!$B$5:$CI$5,0),""))</f>
        <v/>
      </c>
      <c r="AA586" s="55" t="str">
        <f t="shared" si="37"/>
        <v/>
      </c>
      <c r="AB586" s="62" t="str">
        <f>IF(AND(OR($A586="G",$A586="P"),NOT($O586="{array}")),IF(VLOOKUP($K586,base!$B$2:$D$20,3,0)="S",IF(OR($O586="",ISTEXT($O586)),"","STRING!"),IF(VLOOKUP($K586,base!$B$2:$D$20,3,0)="","",IF(ISTEXT($O586),"NUMERIC!",""))),"")</f>
        <v/>
      </c>
      <c r="AC586" s="16" t="str">
        <f>IF($AA586="","",IF($B586="I",VLOOKUP($AA586,#REF!,53,0),INDEX(VALUES!$B$1:$GP$1,1,$AA586)))</f>
        <v/>
      </c>
    </row>
    <row r="587" spans="1:29" hidden="1" outlineLevel="1">
      <c r="A587" s="21" t="s">
        <v>86</v>
      </c>
      <c r="B587" s="40" t="str">
        <f t="shared" si="36"/>
        <v/>
      </c>
      <c r="C587" s="41">
        <f t="shared" si="38"/>
        <v>586</v>
      </c>
      <c r="D587" s="260" t="s">
        <v>9</v>
      </c>
      <c r="E587" s="37"/>
      <c r="F587" s="305" t="s">
        <v>9</v>
      </c>
      <c r="G587" s="188" t="s">
        <v>9</v>
      </c>
      <c r="H587" s="37" t="s">
        <v>9</v>
      </c>
      <c r="I587" s="37"/>
      <c r="J587" s="37"/>
      <c r="K587" s="13" t="s">
        <v>20</v>
      </c>
      <c r="L587" s="13" t="s">
        <v>29</v>
      </c>
      <c r="M587" s="235" t="s">
        <v>634</v>
      </c>
      <c r="N587" s="13" t="s">
        <v>635</v>
      </c>
      <c r="O587" s="42" t="s">
        <v>636</v>
      </c>
      <c r="R587" s="37" t="s">
        <v>106</v>
      </c>
      <c r="S587" s="37"/>
      <c r="T587" s="37"/>
      <c r="W587" s="14" t="str">
        <f>IF(IFERROR(VLOOKUP($M587,'IMPORT GS-Tür OL FL 2S2 20'!$H$2:$H$847,1,0),"-")="-","","GS")</f>
        <v>GS</v>
      </c>
      <c r="X587" s="14" t="str">
        <f t="shared" si="35"/>
        <v>...</v>
      </c>
      <c r="Z587" s="58" t="str">
        <f>IF(OR($M587="",NOT($O587="{array}")),"",IFERROR(MATCH(PARAMETERS!$M587,DEFAULT!$B$5:$CI$5,0),""))</f>
        <v/>
      </c>
      <c r="AA587" s="55" t="str">
        <f t="shared" si="37"/>
        <v/>
      </c>
      <c r="AB587" s="62" t="str">
        <f>IF(AND(OR($A587="G",$A587="P"),NOT($O587="{array}")),IF(VLOOKUP($K587,base!$B$2:$D$20,3,0)="S",IF(OR($O587="",ISTEXT($O587)),"","STRING!"),IF(VLOOKUP($K587,base!$B$2:$D$20,3,0)="","",IF(ISTEXT($O587),"NUMERIC!",""))),"")</f>
        <v/>
      </c>
      <c r="AC587" s="16" t="str">
        <f>IF($AA587="","",IF($B587="I",VLOOKUP($AA587,#REF!,53,0),INDEX(VALUES!$B$1:$GP$1,1,$AA587)))</f>
        <v/>
      </c>
    </row>
    <row r="588" spans="1:29" hidden="1" outlineLevel="1">
      <c r="A588" s="21" t="s">
        <v>86</v>
      </c>
      <c r="B588" s="40" t="str">
        <f t="shared" si="36"/>
        <v>V</v>
      </c>
      <c r="C588" s="41">
        <f t="shared" si="38"/>
        <v>587</v>
      </c>
      <c r="D588" s="260" t="s">
        <v>9</v>
      </c>
      <c r="E588" s="37"/>
      <c r="F588" s="305" t="s">
        <v>9</v>
      </c>
      <c r="G588" s="188" t="s">
        <v>9</v>
      </c>
      <c r="H588" s="37"/>
      <c r="I588" s="37" t="s">
        <v>9</v>
      </c>
      <c r="J588" s="37"/>
      <c r="K588" s="13" t="s">
        <v>46</v>
      </c>
      <c r="L588" s="13" t="s">
        <v>29</v>
      </c>
      <c r="M588" s="214" t="s">
        <v>637</v>
      </c>
      <c r="N588" s="13" t="s">
        <v>635</v>
      </c>
      <c r="O588" s="42">
        <v>1</v>
      </c>
      <c r="R588" s="37" t="s">
        <v>106</v>
      </c>
      <c r="S588" s="37"/>
      <c r="T588" s="37"/>
      <c r="W588" s="14" t="str">
        <f>IF(IFERROR(VLOOKUP($M588,'IMPORT GS-Tür OL FL 2S2 20'!$H$2:$H$847,1,0),"-")="-","","GS")</f>
        <v>GS</v>
      </c>
      <c r="X588" s="14" t="str">
        <f t="shared" si="35"/>
        <v>...</v>
      </c>
      <c r="Z588" s="58" t="str">
        <f>IF(OR($M588="",NOT($O588="{array}")),"",IFERROR(MATCH(PARAMETERS!$M588,DEFAULT!$B$5:$CI$5,0),""))</f>
        <v/>
      </c>
      <c r="AA588" s="55">
        <f t="shared" si="37"/>
        <v>42</v>
      </c>
      <c r="AB588" s="62" t="str">
        <f>IF(AND(OR($A588="G",$A588="P"),NOT($O588="{array}")),IF(VLOOKUP($K588,base!$B$2:$D$20,3,0)="S",IF(OR($O588="",ISTEXT($O588)),"","STRING!"),IF(VLOOKUP($K588,base!$B$2:$D$20,3,0)="","",IF(ISTEXT($O588),"NUMERIC!",""))),"")</f>
        <v/>
      </c>
      <c r="AC588" s="16" t="str">
        <f>IF($AA588="","",IF($B588="I",VLOOKUP($AA588,#REF!,53,0),INDEX(VALUES!$B$1:$GP$1,1,$AA588)))</f>
        <v>0 | 1 | 2 | 3</v>
      </c>
    </row>
    <row r="589" spans="1:29" hidden="1" outlineLevel="1">
      <c r="A589" s="21" t="s">
        <v>86</v>
      </c>
      <c r="B589" s="40" t="str">
        <f t="shared" si="36"/>
        <v/>
      </c>
      <c r="C589" s="41">
        <f t="shared" si="38"/>
        <v>588</v>
      </c>
      <c r="D589" s="260" t="s">
        <v>9</v>
      </c>
      <c r="E589" s="37"/>
      <c r="F589" s="305" t="s">
        <v>9</v>
      </c>
      <c r="G589" s="188" t="s">
        <v>9</v>
      </c>
      <c r="H589" s="37"/>
      <c r="I589" s="37" t="s">
        <v>9</v>
      </c>
      <c r="J589" s="37"/>
      <c r="K589" s="13" t="s">
        <v>26</v>
      </c>
      <c r="L589" s="13" t="s">
        <v>29</v>
      </c>
      <c r="M589" s="214" t="s">
        <v>638</v>
      </c>
      <c r="N589" s="13" t="s">
        <v>639</v>
      </c>
      <c r="O589" s="42">
        <v>0.05</v>
      </c>
      <c r="R589" s="37" t="s">
        <v>106</v>
      </c>
      <c r="S589" s="37"/>
      <c r="T589" s="37"/>
      <c r="W589" s="14" t="str">
        <f>IF(IFERROR(VLOOKUP($M589,'IMPORT GS-Tür OL FL 2S2 20'!$H$2:$H$847,1,0),"-")="-","","GS")</f>
        <v>GS</v>
      </c>
      <c r="X589" s="14" t="str">
        <f t="shared" si="35"/>
        <v>...</v>
      </c>
      <c r="Z589" s="58" t="str">
        <f>IF(OR($M589="",NOT($O589="{array}")),"",IFERROR(MATCH(PARAMETERS!$M589,DEFAULT!$B$5:$CI$5,0),""))</f>
        <v/>
      </c>
      <c r="AA589" s="55" t="str">
        <f t="shared" si="37"/>
        <v/>
      </c>
      <c r="AB589" s="62" t="str">
        <f>IF(AND(OR($A589="G",$A589="P"),NOT($O589="{array}")),IF(VLOOKUP($K589,base!$B$2:$D$20,3,0)="S",IF(OR($O589="",ISTEXT($O589)),"","STRING!"),IF(VLOOKUP($K589,base!$B$2:$D$20,3,0)="","",IF(ISTEXT($O589),"NUMERIC!",""))),"")</f>
        <v/>
      </c>
      <c r="AC589" s="16" t="str">
        <f>IF($AA589="","",IF($B589="I",VLOOKUP($AA589,#REF!,53,0),INDEX(VALUES!$B$1:$GP$1,1,$AA589)))</f>
        <v/>
      </c>
    </row>
    <row r="590" spans="1:29" hidden="1" outlineLevel="1">
      <c r="A590" s="21"/>
      <c r="B590" s="40" t="str">
        <f t="shared" si="36"/>
        <v/>
      </c>
      <c r="C590" s="41">
        <f t="shared" si="38"/>
        <v>589</v>
      </c>
      <c r="D590" s="260"/>
      <c r="E590" s="37"/>
      <c r="F590" s="305" t="s">
        <v>9</v>
      </c>
      <c r="G590" s="188"/>
      <c r="H590" s="37" t="s">
        <v>9</v>
      </c>
      <c r="I590" s="37"/>
      <c r="J590" s="37"/>
      <c r="K590" s="13" t="s">
        <v>20</v>
      </c>
      <c r="L590" s="13" t="s">
        <v>29</v>
      </c>
      <c r="M590" s="235" t="s">
        <v>640</v>
      </c>
      <c r="N590" s="13" t="s">
        <v>641</v>
      </c>
      <c r="O590" s="42" t="s">
        <v>642</v>
      </c>
      <c r="R590" s="37" t="s">
        <v>106</v>
      </c>
      <c r="S590" s="37"/>
      <c r="T590" s="37"/>
      <c r="W590" s="14" t="str">
        <f>IF(IFERROR(VLOOKUP($M590,'IMPORT GS-Tür OL FL 2S2 20'!$H$2:$H$847,1,0),"-")="-","","GS")</f>
        <v>GS</v>
      </c>
      <c r="X590" s="14" t="str">
        <f t="shared" si="35"/>
        <v/>
      </c>
      <c r="Z590" s="58" t="str">
        <f>IF(OR($M590="",NOT($O590="{array}")),"",IFERROR(MATCH(PARAMETERS!$M590,DEFAULT!$B$5:$CI$5,0),""))</f>
        <v/>
      </c>
      <c r="AA590" s="55" t="str">
        <f t="shared" si="37"/>
        <v/>
      </c>
      <c r="AB590" s="62" t="str">
        <f>IF(AND(OR($A590="G",$A590="P"),NOT($O590="{array}")),IF(VLOOKUP($K590,base!$B$2:$D$20,3,0)="S",IF(OR($O590="",ISTEXT($O590)),"","STRING!"),IF(VLOOKUP($K590,base!$B$2:$D$20,3,0)="","",IF(ISTEXT($O590),"NUMERIC!",""))),"")</f>
        <v/>
      </c>
      <c r="AC590" s="16" t="str">
        <f>IF($AA590="","",IF($B590="I",VLOOKUP($AA590,#REF!,53,0),INDEX(VALUES!$B$1:$GP$1,1,$AA590)))</f>
        <v/>
      </c>
    </row>
    <row r="591" spans="1:29" hidden="1" outlineLevel="1">
      <c r="A591" s="21"/>
      <c r="B591" s="40" t="str">
        <f t="shared" si="36"/>
        <v/>
      </c>
      <c r="C591" s="41">
        <f t="shared" si="38"/>
        <v>590</v>
      </c>
      <c r="D591" s="260"/>
      <c r="E591" s="37"/>
      <c r="F591" s="305" t="s">
        <v>9</v>
      </c>
      <c r="G591" s="188" t="s">
        <v>9</v>
      </c>
      <c r="H591" s="37"/>
      <c r="I591" s="37" t="s">
        <v>9</v>
      </c>
      <c r="J591" s="37"/>
      <c r="K591" s="13" t="s">
        <v>46</v>
      </c>
      <c r="L591" s="13" t="s">
        <v>29</v>
      </c>
      <c r="M591" s="235" t="s">
        <v>643</v>
      </c>
      <c r="N591" s="13" t="s">
        <v>641</v>
      </c>
      <c r="O591" s="42">
        <v>0</v>
      </c>
      <c r="R591" s="37" t="s">
        <v>106</v>
      </c>
      <c r="S591" s="37"/>
      <c r="T591" s="37"/>
      <c r="W591" s="14" t="str">
        <f>IF(IFERROR(VLOOKUP($M591,'IMPORT GS-Tür OL FL 2S2 20'!$H$2:$H$847,1,0),"-")="-","","GS")</f>
        <v>GS</v>
      </c>
      <c r="X591" s="14" t="str">
        <f t="shared" si="35"/>
        <v/>
      </c>
      <c r="Z591" s="58" t="str">
        <f>IF(OR($M591="",NOT($O591="{array}")),"",IFERROR(MATCH(PARAMETERS!$M591,DEFAULT!$B$5:$CI$5,0),""))</f>
        <v/>
      </c>
      <c r="AA591" s="55" t="str">
        <f t="shared" si="37"/>
        <v/>
      </c>
      <c r="AB591" s="62" t="str">
        <f>IF(AND(OR($A591="G",$A591="P"),NOT($O591="{array}")),IF(VLOOKUP($K591,base!$B$2:$D$20,3,0)="S",IF(OR($O591="",ISTEXT($O591)),"","STRING!"),IF(VLOOKUP($K591,base!$B$2:$D$20,3,0)="","",IF(ISTEXT($O591),"NUMERIC!",""))),"")</f>
        <v/>
      </c>
      <c r="AC591" s="16" t="str">
        <f>IF($AA591="","",IF($B591="I",VLOOKUP($AA591,#REF!,53,0),INDEX(VALUES!$B$1:$GP$1,1,$AA591)))</f>
        <v/>
      </c>
    </row>
    <row r="592" spans="1:29" hidden="1" outlineLevel="1">
      <c r="A592" s="21"/>
      <c r="B592" s="40" t="str">
        <f t="shared" si="36"/>
        <v/>
      </c>
      <c r="C592" s="41">
        <f t="shared" si="38"/>
        <v>591</v>
      </c>
      <c r="D592" s="260"/>
      <c r="E592" s="37"/>
      <c r="F592" s="305" t="s">
        <v>9</v>
      </c>
      <c r="G592" s="188"/>
      <c r="H592" s="37"/>
      <c r="I592" s="37" t="s">
        <v>9</v>
      </c>
      <c r="J592" s="37"/>
      <c r="K592" s="13" t="s">
        <v>49</v>
      </c>
      <c r="L592" s="13" t="s">
        <v>29</v>
      </c>
      <c r="M592" s="235" t="s">
        <v>644</v>
      </c>
      <c r="N592" s="13" t="s">
        <v>645</v>
      </c>
      <c r="O592" s="42">
        <v>0</v>
      </c>
      <c r="R592" s="37" t="s">
        <v>106</v>
      </c>
      <c r="S592" s="37"/>
      <c r="T592" s="37"/>
      <c r="W592" s="14" t="str">
        <f>IF(IFERROR(VLOOKUP($M592,'IMPORT GS-Tür OL FL 2S2 20'!$H$2:$H$847,1,0),"-")="-","","GS")</f>
        <v>GS</v>
      </c>
      <c r="X592" s="14" t="str">
        <f t="shared" si="35"/>
        <v/>
      </c>
      <c r="Z592" s="58" t="str">
        <f>IF(OR($M592="",NOT($O592="{array}")),"",IFERROR(MATCH(PARAMETERS!$M592,DEFAULT!$B$5:$CI$5,0),""))</f>
        <v/>
      </c>
      <c r="AA592" s="55" t="str">
        <f t="shared" si="37"/>
        <v/>
      </c>
      <c r="AB592" s="62" t="str">
        <f>IF(AND(OR($A592="G",$A592="P"),NOT($O592="{array}")),IF(VLOOKUP($K592,base!$B$2:$D$20,3,0)="S",IF(OR($O592="",ISTEXT($O592)),"","STRING!"),IF(VLOOKUP($K592,base!$B$2:$D$20,3,0)="","",IF(ISTEXT($O592),"NUMERIC!",""))),"")</f>
        <v/>
      </c>
      <c r="AC592" s="16" t="str">
        <f>IF($AA592="","",IF($B592="I",VLOOKUP($AA592,#REF!,53,0),INDEX(VALUES!$B$1:$GP$1,1,$AA592)))</f>
        <v/>
      </c>
    </row>
    <row r="593" spans="1:29" hidden="1" outlineLevel="1">
      <c r="A593" s="21"/>
      <c r="B593" s="40" t="str">
        <f t="shared" si="36"/>
        <v/>
      </c>
      <c r="C593" s="41">
        <f t="shared" si="38"/>
        <v>592</v>
      </c>
      <c r="D593" s="260"/>
      <c r="E593" s="37"/>
      <c r="F593" s="305" t="s">
        <v>9</v>
      </c>
      <c r="G593" s="188"/>
      <c r="H593" s="37"/>
      <c r="I593" s="37" t="s">
        <v>9</v>
      </c>
      <c r="J593" s="37"/>
      <c r="K593" s="13" t="s">
        <v>26</v>
      </c>
      <c r="L593" s="13" t="s">
        <v>29</v>
      </c>
      <c r="M593" s="235" t="s">
        <v>646</v>
      </c>
      <c r="N593" s="13" t="s">
        <v>647</v>
      </c>
      <c r="O593" s="42">
        <v>0</v>
      </c>
      <c r="R593" s="37" t="s">
        <v>106</v>
      </c>
      <c r="S593" s="37"/>
      <c r="T593" s="37"/>
      <c r="W593" s="14" t="str">
        <f>IF(IFERROR(VLOOKUP($M593,'IMPORT GS-Tür OL FL 2S2 20'!$H$2:$H$847,1,0),"-")="-","","GS")</f>
        <v>GS</v>
      </c>
      <c r="X593" s="14" t="str">
        <f t="shared" si="35"/>
        <v/>
      </c>
      <c r="Z593" s="58" t="str">
        <f>IF(OR($M593="",NOT($O593="{array}")),"",IFERROR(MATCH(PARAMETERS!$M593,DEFAULT!$B$5:$CI$5,0),""))</f>
        <v/>
      </c>
      <c r="AA593" s="55" t="str">
        <f t="shared" si="37"/>
        <v/>
      </c>
      <c r="AB593" s="62" t="str">
        <f>IF(AND(OR($A593="G",$A593="P"),NOT($O593="{array}")),IF(VLOOKUP($K593,base!$B$2:$D$20,3,0)="S",IF(OR($O593="",ISTEXT($O593)),"","STRING!"),IF(VLOOKUP($K593,base!$B$2:$D$20,3,0)="","",IF(ISTEXT($O593),"NUMERIC!",""))),"")</f>
        <v/>
      </c>
      <c r="AC593" s="16" t="str">
        <f>IF($AA593="","",IF($B593="I",VLOOKUP($AA593,#REF!,53,0),INDEX(VALUES!$B$1:$GP$1,1,$AA593)))</f>
        <v/>
      </c>
    </row>
    <row r="594" spans="1:29" hidden="1" outlineLevel="1">
      <c r="A594" s="21"/>
      <c r="B594" s="40" t="str">
        <f t="shared" si="36"/>
        <v/>
      </c>
      <c r="C594" s="41">
        <f t="shared" si="38"/>
        <v>593</v>
      </c>
      <c r="D594" s="260"/>
      <c r="E594" s="37"/>
      <c r="F594" s="305" t="s">
        <v>9</v>
      </c>
      <c r="G594" s="188"/>
      <c r="H594" s="37"/>
      <c r="I594" s="37" t="s">
        <v>9</v>
      </c>
      <c r="J594" s="37"/>
      <c r="K594" s="13" t="s">
        <v>26</v>
      </c>
      <c r="L594" s="13" t="s">
        <v>29</v>
      </c>
      <c r="M594" s="235" t="s">
        <v>648</v>
      </c>
      <c r="N594" s="13" t="s">
        <v>647</v>
      </c>
      <c r="O594" s="42">
        <v>0</v>
      </c>
      <c r="R594" s="37" t="s">
        <v>106</v>
      </c>
      <c r="S594" s="37"/>
      <c r="T594" s="37"/>
      <c r="W594" s="14" t="str">
        <f>IF(IFERROR(VLOOKUP($M594,'IMPORT GS-Tür OL FL 2S2 20'!$H$2:$H$847,1,0),"-")="-","","GS")</f>
        <v>GS</v>
      </c>
      <c r="X594" s="14" t="str">
        <f t="shared" si="35"/>
        <v/>
      </c>
      <c r="Z594" s="58" t="str">
        <f>IF(OR($M594="",NOT($O594="{array}")),"",IFERROR(MATCH(PARAMETERS!$M594,DEFAULT!$B$5:$CI$5,0),""))</f>
        <v/>
      </c>
      <c r="AA594" s="55" t="str">
        <f t="shared" si="37"/>
        <v/>
      </c>
      <c r="AB594" s="62" t="str">
        <f>IF(AND(OR($A594="G",$A594="P"),NOT($O594="{array}")),IF(VLOOKUP($K594,base!$B$2:$D$20,3,0)="S",IF(OR($O594="",ISTEXT($O594)),"","STRING!"),IF(VLOOKUP($K594,base!$B$2:$D$20,3,0)="","",IF(ISTEXT($O594),"NUMERIC!",""))),"")</f>
        <v/>
      </c>
      <c r="AC594" s="16" t="str">
        <f>IF($AA594="","",IF($B594="I",VLOOKUP($AA594,#REF!,53,0),INDEX(VALUES!$B$1:$GP$1,1,$AA594)))</f>
        <v/>
      </c>
    </row>
    <row r="595" spans="1:29" hidden="1" outlineLevel="1">
      <c r="A595" s="21"/>
      <c r="B595" s="40" t="str">
        <f t="shared" si="36"/>
        <v/>
      </c>
      <c r="C595" s="41">
        <f t="shared" si="38"/>
        <v>594</v>
      </c>
      <c r="D595" s="260"/>
      <c r="E595" s="37"/>
      <c r="F595" s="305" t="s">
        <v>9</v>
      </c>
      <c r="G595" s="188"/>
      <c r="H595" s="37"/>
      <c r="I595" s="37" t="s">
        <v>9</v>
      </c>
      <c r="J595" s="37"/>
      <c r="K595" s="13" t="s">
        <v>26</v>
      </c>
      <c r="L595" s="13" t="s">
        <v>29</v>
      </c>
      <c r="M595" s="235" t="s">
        <v>649</v>
      </c>
      <c r="N595" s="13" t="s">
        <v>647</v>
      </c>
      <c r="O595" s="42">
        <v>0</v>
      </c>
      <c r="R595" s="37" t="s">
        <v>106</v>
      </c>
      <c r="S595" s="37"/>
      <c r="T595" s="37"/>
      <c r="W595" s="14" t="str">
        <f>IF(IFERROR(VLOOKUP($M595,'IMPORT GS-Tür OL FL 2S2 20'!$H$2:$H$847,1,0),"-")="-","","GS")</f>
        <v>GS</v>
      </c>
      <c r="X595" s="14" t="str">
        <f t="shared" si="35"/>
        <v/>
      </c>
      <c r="Z595" s="58" t="str">
        <f>IF(OR($M595="",NOT($O595="{array}")),"",IFERROR(MATCH(PARAMETERS!$M595,DEFAULT!$B$5:$CI$5,0),""))</f>
        <v/>
      </c>
      <c r="AA595" s="55" t="str">
        <f t="shared" si="37"/>
        <v/>
      </c>
      <c r="AB595" s="62" t="str">
        <f>IF(AND(OR($A595="G",$A595="P"),NOT($O595="{array}")),IF(VLOOKUP($K595,base!$B$2:$D$20,3,0)="S",IF(OR($O595="",ISTEXT($O595)),"","STRING!"),IF(VLOOKUP($K595,base!$B$2:$D$20,3,0)="","",IF(ISTEXT($O595),"NUMERIC!",""))),"")</f>
        <v/>
      </c>
      <c r="AC595" s="16" t="str">
        <f>IF($AA595="","",IF($B595="I",VLOOKUP($AA595,#REF!,53,0),INDEX(VALUES!$B$1:$GP$1,1,$AA595)))</f>
        <v/>
      </c>
    </row>
    <row r="596" spans="1:29" hidden="1" outlineLevel="1">
      <c r="A596" s="21"/>
      <c r="B596" s="40" t="str">
        <f t="shared" si="36"/>
        <v/>
      </c>
      <c r="C596" s="41">
        <f t="shared" si="38"/>
        <v>595</v>
      </c>
      <c r="D596" s="260"/>
      <c r="E596" s="37"/>
      <c r="F596" s="305" t="s">
        <v>9</v>
      </c>
      <c r="G596" s="188"/>
      <c r="H596" s="37"/>
      <c r="I596" s="37" t="s">
        <v>9</v>
      </c>
      <c r="J596" s="37"/>
      <c r="K596" s="13" t="s">
        <v>20</v>
      </c>
      <c r="L596" s="13" t="s">
        <v>29</v>
      </c>
      <c r="M596" s="235" t="s">
        <v>650</v>
      </c>
      <c r="N596" s="13" t="s">
        <v>613</v>
      </c>
      <c r="O596" s="42" t="s">
        <v>651</v>
      </c>
      <c r="R596" s="37" t="s">
        <v>106</v>
      </c>
      <c r="S596" s="37"/>
      <c r="T596" s="37"/>
      <c r="W596" s="14" t="str">
        <f>IF(IFERROR(VLOOKUP($M596,'IMPORT GS-Tür OL FL 2S2 20'!$H$2:$H$847,1,0),"-")="-","","GS")</f>
        <v>GS</v>
      </c>
      <c r="X596" s="14" t="str">
        <f t="shared" si="35"/>
        <v/>
      </c>
      <c r="Z596" s="58" t="str">
        <f>IF(OR($M596="",NOT($O596="{array}")),"",IFERROR(MATCH(PARAMETERS!$M596,DEFAULT!$B$5:$CI$5,0),""))</f>
        <v/>
      </c>
      <c r="AA596" s="55" t="str">
        <f t="shared" si="37"/>
        <v/>
      </c>
      <c r="AB596" s="62" t="str">
        <f>IF(AND(OR($A596="G",$A596="P"),NOT($O596="{array}")),IF(VLOOKUP($K596,base!$B$2:$D$20,3,0)="S",IF(OR($O596="",ISTEXT($O596)),"","STRING!"),IF(VLOOKUP($K596,base!$B$2:$D$20,3,0)="","",IF(ISTEXT($O596),"NUMERIC!",""))),"")</f>
        <v/>
      </c>
      <c r="AC596" s="16" t="str">
        <f>IF($AA596="","",IF($B596="I",VLOOKUP($AA596,#REF!,53,0),INDEX(VALUES!$B$1:$GP$1,1,$AA596)))</f>
        <v/>
      </c>
    </row>
    <row r="597" spans="1:29" hidden="1" outlineLevel="1">
      <c r="A597" s="21"/>
      <c r="B597" s="40" t="str">
        <f t="shared" si="36"/>
        <v/>
      </c>
      <c r="C597" s="41">
        <f t="shared" si="38"/>
        <v>596</v>
      </c>
      <c r="D597" s="260"/>
      <c r="E597" s="37"/>
      <c r="F597" s="305" t="s">
        <v>9</v>
      </c>
      <c r="G597" s="188" t="s">
        <v>9</v>
      </c>
      <c r="H597" s="37"/>
      <c r="I597" s="37" t="s">
        <v>9</v>
      </c>
      <c r="J597" s="37"/>
      <c r="K597" s="13" t="s">
        <v>46</v>
      </c>
      <c r="L597" s="13" t="s">
        <v>29</v>
      </c>
      <c r="M597" s="235" t="s">
        <v>652</v>
      </c>
      <c r="N597" s="13" t="s">
        <v>613</v>
      </c>
      <c r="O597" s="42">
        <v>1</v>
      </c>
      <c r="R597" s="37" t="s">
        <v>106</v>
      </c>
      <c r="S597" s="37"/>
      <c r="T597" s="37"/>
      <c r="W597" s="14" t="str">
        <f>IF(IFERROR(VLOOKUP($M597,'IMPORT GS-Tür OL FL 2S2 20'!$H$2:$H$847,1,0),"-")="-","","GS")</f>
        <v>GS</v>
      </c>
      <c r="X597" s="14" t="str">
        <f t="shared" si="35"/>
        <v/>
      </c>
      <c r="Z597" s="58" t="str">
        <f>IF(OR($M597="",NOT($O597="{array}")),"",IFERROR(MATCH(PARAMETERS!$M597,DEFAULT!$B$5:$CI$5,0),""))</f>
        <v/>
      </c>
      <c r="AA597" s="55" t="str">
        <f t="shared" si="37"/>
        <v/>
      </c>
      <c r="AB597" s="62" t="str">
        <f>IF(AND(OR($A597="G",$A597="P"),NOT($O597="{array}")),IF(VLOOKUP($K597,base!$B$2:$D$20,3,0)="S",IF(OR($O597="",ISTEXT($O597)),"","STRING!"),IF(VLOOKUP($K597,base!$B$2:$D$20,3,0)="","",IF(ISTEXT($O597),"NUMERIC!",""))),"")</f>
        <v/>
      </c>
      <c r="AC597" s="16" t="str">
        <f>IF($AA597="","",IF($B597="I",VLOOKUP($AA597,#REF!,53,0),INDEX(VALUES!$B$1:$GP$1,1,$AA597)))</f>
        <v/>
      </c>
    </row>
    <row r="598" spans="1:29" hidden="1" outlineLevel="1">
      <c r="A598" s="21"/>
      <c r="B598" s="40" t="str">
        <f t="shared" si="36"/>
        <v/>
      </c>
      <c r="C598" s="41">
        <f t="shared" si="38"/>
        <v>597</v>
      </c>
      <c r="D598" s="260"/>
      <c r="E598" s="37"/>
      <c r="F598" s="305" t="s">
        <v>9</v>
      </c>
      <c r="G598" s="188"/>
      <c r="H598" s="37"/>
      <c r="I598" s="37" t="s">
        <v>9</v>
      </c>
      <c r="J598" s="37"/>
      <c r="K598" s="13" t="s">
        <v>20</v>
      </c>
      <c r="L598" s="13" t="s">
        <v>29</v>
      </c>
      <c r="M598" s="235" t="s">
        <v>653</v>
      </c>
      <c r="N598" s="13" t="s">
        <v>654</v>
      </c>
      <c r="O598" s="42" t="s">
        <v>655</v>
      </c>
      <c r="R598" s="37" t="s">
        <v>106</v>
      </c>
      <c r="S598" s="37"/>
      <c r="T598" s="37"/>
      <c r="W598" s="14" t="str">
        <f>IF(IFERROR(VLOOKUP($M598,'IMPORT GS-Tür OL FL 2S2 20'!$H$2:$H$847,1,0),"-")="-","","GS")</f>
        <v>GS</v>
      </c>
      <c r="X598" s="14" t="str">
        <f t="shared" si="35"/>
        <v/>
      </c>
      <c r="Z598" s="58" t="str">
        <f>IF(OR($M598="",NOT($O598="{array}")),"",IFERROR(MATCH(PARAMETERS!$M598,DEFAULT!$B$5:$CI$5,0),""))</f>
        <v/>
      </c>
      <c r="AA598" s="55" t="str">
        <f t="shared" si="37"/>
        <v/>
      </c>
      <c r="AB598" s="62" t="str">
        <f>IF(AND(OR($A598="G",$A598="P"),NOT($O598="{array}")),IF(VLOOKUP($K598,base!$B$2:$D$20,3,0)="S",IF(OR($O598="",ISTEXT($O598)),"","STRING!"),IF(VLOOKUP($K598,base!$B$2:$D$20,3,0)="","",IF(ISTEXT($O598),"NUMERIC!",""))),"")</f>
        <v/>
      </c>
      <c r="AC598" s="16" t="str">
        <f>IF($AA598="","",IF($B598="I",VLOOKUP($AA598,#REF!,53,0),INDEX(VALUES!$B$1:$GP$1,1,$AA598)))</f>
        <v/>
      </c>
    </row>
    <row r="599" spans="1:29" hidden="1" outlineLevel="1">
      <c r="A599" s="21"/>
      <c r="B599" s="40" t="str">
        <f t="shared" si="36"/>
        <v/>
      </c>
      <c r="C599" s="41">
        <f t="shared" si="38"/>
        <v>598</v>
      </c>
      <c r="D599" s="260"/>
      <c r="E599" s="37"/>
      <c r="F599" s="305" t="s">
        <v>9</v>
      </c>
      <c r="G599" s="188" t="s">
        <v>9</v>
      </c>
      <c r="H599" s="37"/>
      <c r="I599" s="37" t="s">
        <v>9</v>
      </c>
      <c r="J599" s="37"/>
      <c r="K599" s="13" t="s">
        <v>46</v>
      </c>
      <c r="L599" s="13" t="s">
        <v>29</v>
      </c>
      <c r="M599" s="235" t="s">
        <v>656</v>
      </c>
      <c r="N599" s="13" t="s">
        <v>654</v>
      </c>
      <c r="O599" s="42">
        <v>1</v>
      </c>
      <c r="R599" s="37" t="s">
        <v>106</v>
      </c>
      <c r="S599" s="37"/>
      <c r="T599" s="37"/>
      <c r="W599" s="14" t="str">
        <f>IF(IFERROR(VLOOKUP($M599,'IMPORT GS-Tür OL FL 2S2 20'!$H$2:$H$847,1,0),"-")="-","","GS")</f>
        <v>GS</v>
      </c>
      <c r="X599" s="14" t="str">
        <f t="shared" si="35"/>
        <v/>
      </c>
      <c r="Z599" s="58" t="str">
        <f>IF(OR($M599="",NOT($O599="{array}")),"",IFERROR(MATCH(PARAMETERS!$M599,DEFAULT!$B$5:$CI$5,0),""))</f>
        <v/>
      </c>
      <c r="AA599" s="55" t="str">
        <f t="shared" si="37"/>
        <v/>
      </c>
      <c r="AB599" s="62" t="str">
        <f>IF(AND(OR($A599="G",$A599="P"),NOT($O599="{array}")),IF(VLOOKUP($K599,base!$B$2:$D$20,3,0)="S",IF(OR($O599="",ISTEXT($O599)),"","STRING!"),IF(VLOOKUP($K599,base!$B$2:$D$20,3,0)="","",IF(ISTEXT($O599),"NUMERIC!",""))),"")</f>
        <v/>
      </c>
      <c r="AC599" s="16" t="str">
        <f>IF($AA599="","",IF($B599="I",VLOOKUP($AA599,#REF!,53,0),INDEX(VALUES!$B$1:$GP$1,1,$AA599)))</f>
        <v/>
      </c>
    </row>
    <row r="600" spans="1:29" hidden="1" outlineLevel="1">
      <c r="A600" s="21"/>
      <c r="B600" s="40" t="str">
        <f t="shared" si="36"/>
        <v/>
      </c>
      <c r="C600" s="41">
        <f t="shared" si="38"/>
        <v>599</v>
      </c>
      <c r="D600" s="260"/>
      <c r="E600" s="37"/>
      <c r="F600" s="305" t="s">
        <v>9</v>
      </c>
      <c r="G600" s="188"/>
      <c r="H600" s="37"/>
      <c r="I600" s="37" t="s">
        <v>9</v>
      </c>
      <c r="J600" s="37"/>
      <c r="K600" s="13" t="s">
        <v>52</v>
      </c>
      <c r="L600" s="13" t="s">
        <v>29</v>
      </c>
      <c r="M600" s="235" t="s">
        <v>657</v>
      </c>
      <c r="N600" s="13" t="s">
        <v>658</v>
      </c>
      <c r="O600" s="42">
        <v>15</v>
      </c>
      <c r="R600" s="37" t="s">
        <v>106</v>
      </c>
      <c r="S600" s="37"/>
      <c r="T600" s="37"/>
      <c r="W600" s="14" t="str">
        <f>IF(IFERROR(VLOOKUP($M600,'IMPORT GS-Tür OL FL 2S2 20'!$H$2:$H$847,1,0),"-")="-","","GS")</f>
        <v>GS</v>
      </c>
      <c r="X600" s="14" t="str">
        <f t="shared" si="35"/>
        <v/>
      </c>
      <c r="Z600" s="58" t="str">
        <f>IF(OR($M600="",NOT($O600="{array}")),"",IFERROR(MATCH(PARAMETERS!$M600,DEFAULT!$B$5:$CI$5,0),""))</f>
        <v/>
      </c>
      <c r="AA600" s="55" t="str">
        <f t="shared" si="37"/>
        <v/>
      </c>
      <c r="AB600" s="62" t="str">
        <f>IF(AND(OR($A600="G",$A600="P"),NOT($O600="{array}")),IF(VLOOKUP($K600,base!$B$2:$D$20,3,0)="S",IF(OR($O600="",ISTEXT($O600)),"","STRING!"),IF(VLOOKUP($K600,base!$B$2:$D$20,3,0)="","",IF(ISTEXT($O600),"NUMERIC!",""))),"")</f>
        <v/>
      </c>
      <c r="AC600" s="16" t="str">
        <f>IF($AA600="","",IF($B600="I",VLOOKUP($AA600,#REF!,53,0),INDEX(VALUES!$B$1:$GP$1,1,$AA600)))</f>
        <v/>
      </c>
    </row>
    <row r="601" spans="1:29" hidden="1" outlineLevel="1">
      <c r="A601" s="21"/>
      <c r="B601" s="40" t="str">
        <f t="shared" si="36"/>
        <v/>
      </c>
      <c r="C601" s="41">
        <f t="shared" si="38"/>
        <v>600</v>
      </c>
      <c r="D601" s="260"/>
      <c r="E601" s="37"/>
      <c r="F601" s="305" t="s">
        <v>9</v>
      </c>
      <c r="G601" s="188"/>
      <c r="H601" s="37"/>
      <c r="I601" s="37" t="s">
        <v>9</v>
      </c>
      <c r="J601" s="37"/>
      <c r="K601" s="13" t="s">
        <v>52</v>
      </c>
      <c r="L601" s="13" t="s">
        <v>29</v>
      </c>
      <c r="M601" s="235" t="s">
        <v>659</v>
      </c>
      <c r="N601" s="13" t="s">
        <v>660</v>
      </c>
      <c r="O601" s="42">
        <v>45</v>
      </c>
      <c r="R601" s="37" t="s">
        <v>106</v>
      </c>
      <c r="S601" s="37"/>
      <c r="T601" s="37"/>
      <c r="W601" s="14" t="str">
        <f>IF(IFERROR(VLOOKUP($M601,'IMPORT GS-Tür OL FL 2S2 20'!$H$2:$H$847,1,0),"-")="-","","GS")</f>
        <v>GS</v>
      </c>
      <c r="X601" s="14" t="str">
        <f t="shared" si="35"/>
        <v/>
      </c>
      <c r="Z601" s="58" t="str">
        <f>IF(OR($M601="",NOT($O601="{array}")),"",IFERROR(MATCH(PARAMETERS!$M601,DEFAULT!$B$5:$CI$5,0),""))</f>
        <v/>
      </c>
      <c r="AA601" s="55" t="str">
        <f t="shared" si="37"/>
        <v/>
      </c>
      <c r="AB601" s="62" t="str">
        <f>IF(AND(OR($A601="G",$A601="P"),NOT($O601="{array}")),IF(VLOOKUP($K601,base!$B$2:$D$20,3,0)="S",IF(OR($O601="",ISTEXT($O601)),"","STRING!"),IF(VLOOKUP($K601,base!$B$2:$D$20,3,0)="","",IF(ISTEXT($O601),"NUMERIC!",""))),"")</f>
        <v/>
      </c>
      <c r="AC601" s="16" t="str">
        <f>IF($AA601="","",IF($B601="I",VLOOKUP($AA601,#REF!,53,0),INDEX(VALUES!$B$1:$GP$1,1,$AA601)))</f>
        <v/>
      </c>
    </row>
    <row r="602" spans="1:29" hidden="1" outlineLevel="1">
      <c r="A602" s="21"/>
      <c r="B602" s="40" t="str">
        <f t="shared" si="36"/>
        <v/>
      </c>
      <c r="C602" s="41">
        <f t="shared" si="38"/>
        <v>601</v>
      </c>
      <c r="D602" s="260"/>
      <c r="E602" s="37"/>
      <c r="F602" s="305" t="s">
        <v>9</v>
      </c>
      <c r="G602" s="188"/>
      <c r="H602" s="37"/>
      <c r="I602" s="37" t="s">
        <v>9</v>
      </c>
      <c r="J602" s="37"/>
      <c r="K602" s="13" t="s">
        <v>52</v>
      </c>
      <c r="L602" s="13" t="s">
        <v>29</v>
      </c>
      <c r="M602" s="235" t="s">
        <v>661</v>
      </c>
      <c r="N602" s="13" t="s">
        <v>662</v>
      </c>
      <c r="O602" s="42">
        <v>15</v>
      </c>
      <c r="R602" s="37" t="s">
        <v>106</v>
      </c>
      <c r="S602" s="37"/>
      <c r="T602" s="37"/>
      <c r="W602" s="14" t="str">
        <f>IF(IFERROR(VLOOKUP($M602,'IMPORT GS-Tür OL FL 2S2 20'!$H$2:$H$847,1,0),"-")="-","","GS")</f>
        <v>GS</v>
      </c>
      <c r="X602" s="14" t="str">
        <f t="shared" si="35"/>
        <v/>
      </c>
      <c r="Z602" s="58" t="str">
        <f>IF(OR($M602="",NOT($O602="{array}")),"",IFERROR(MATCH(PARAMETERS!$M602,DEFAULT!$B$5:$CI$5,0),""))</f>
        <v/>
      </c>
      <c r="AA602" s="55" t="str">
        <f t="shared" si="37"/>
        <v/>
      </c>
      <c r="AB602" s="62" t="str">
        <f>IF(AND(OR($A602="G",$A602="P"),NOT($O602="{array}")),IF(VLOOKUP($K602,base!$B$2:$D$20,3,0)="S",IF(OR($O602="",ISTEXT($O602)),"","STRING!"),IF(VLOOKUP($K602,base!$B$2:$D$20,3,0)="","",IF(ISTEXT($O602),"NUMERIC!",""))),"")</f>
        <v/>
      </c>
      <c r="AC602" s="16" t="str">
        <f>IF($AA602="","",IF($B602="I",VLOOKUP($AA602,#REF!,53,0),INDEX(VALUES!$B$1:$GP$1,1,$AA602)))</f>
        <v/>
      </c>
    </row>
    <row r="603" spans="1:29" collapsed="1">
      <c r="A603" s="21"/>
      <c r="B603" s="40" t="str">
        <f t="shared" si="36"/>
        <v/>
      </c>
      <c r="C603" s="41">
        <f t="shared" si="38"/>
        <v>602</v>
      </c>
      <c r="D603" s="260"/>
      <c r="E603" s="37"/>
      <c r="F603" s="305" t="s">
        <v>9</v>
      </c>
      <c r="G603" s="188"/>
      <c r="H603" s="37"/>
      <c r="I603" s="37"/>
      <c r="J603" s="37"/>
      <c r="K603" s="13" t="s">
        <v>59</v>
      </c>
      <c r="L603" s="13" t="s">
        <v>40</v>
      </c>
      <c r="M603" s="47" t="s">
        <v>663</v>
      </c>
      <c r="N603" s="40" t="s">
        <v>664</v>
      </c>
      <c r="R603" s="37" t="s">
        <v>106</v>
      </c>
      <c r="S603" s="37"/>
      <c r="T603" s="37"/>
      <c r="W603" s="14" t="str">
        <f>IF(IFERROR(VLOOKUP($M603,'IMPORT GS-Tür OL FL 2S2 20'!$H$2:$H$847,1,0),"-")="-","","GS")</f>
        <v/>
      </c>
      <c r="X603" s="14" t="str">
        <f t="shared" si="35"/>
        <v/>
      </c>
      <c r="Z603" s="58" t="str">
        <f>IF(OR($M603="",NOT($O603="{array}")),"",IFERROR(MATCH(PARAMETERS!$M603,DEFAULT!$B$5:$CI$5,0),""))</f>
        <v/>
      </c>
      <c r="AA603" s="55" t="str">
        <f t="shared" si="37"/>
        <v/>
      </c>
      <c r="AB603" s="62" t="str">
        <f>IF(AND(OR($A603="G",$A603="P"),NOT($O603="{array}")),IF(VLOOKUP($K603,base!$B$2:$D$20,3,0)="S",IF(OR($O603="",ISTEXT($O603)),"","STRING!"),IF(VLOOKUP($K603,base!$B$2:$D$20,3,0)="","",IF(ISTEXT($O603),"NUMERIC!",""))),"")</f>
        <v/>
      </c>
      <c r="AC603" s="16" t="str">
        <f>IF($AA603="","",IF($B603="I",VLOOKUP($AA603,#REF!,53,0),INDEX(VALUES!$B$1:$GP$1,1,$AA603)))</f>
        <v/>
      </c>
    </row>
    <row r="604" spans="1:29" hidden="1" outlineLevel="1">
      <c r="A604" s="21"/>
      <c r="B604" s="40" t="str">
        <f t="shared" si="36"/>
        <v/>
      </c>
      <c r="C604" s="41">
        <f t="shared" si="38"/>
        <v>603</v>
      </c>
      <c r="D604" s="260"/>
      <c r="E604" s="37"/>
      <c r="F604" s="305" t="s">
        <v>9</v>
      </c>
      <c r="G604" s="188"/>
      <c r="H604" s="37"/>
      <c r="I604" s="37" t="s">
        <v>9</v>
      </c>
      <c r="J604" s="37"/>
      <c r="K604" s="13" t="s">
        <v>49</v>
      </c>
      <c r="L604" s="13" t="s">
        <v>29</v>
      </c>
      <c r="M604" s="235" t="s">
        <v>665</v>
      </c>
      <c r="N604" s="13" t="s">
        <v>666</v>
      </c>
      <c r="O604" s="42">
        <v>1</v>
      </c>
      <c r="R604" s="37" t="s">
        <v>106</v>
      </c>
      <c r="S604" s="37"/>
      <c r="T604" s="37"/>
      <c r="W604" s="14" t="str">
        <f>IF(IFERROR(VLOOKUP($M604,'IMPORT GS-Tür OL FL 2S2 20'!$H$2:$H$847,1,0),"-")="-","","GS")</f>
        <v>GS</v>
      </c>
      <c r="X604" s="14" t="str">
        <f t="shared" si="35"/>
        <v/>
      </c>
      <c r="Z604" s="58" t="str">
        <f>IF(OR($M604="",NOT($O604="{array}")),"",IFERROR(MATCH(PARAMETERS!$M604,DEFAULT!$B$5:$CI$5,0),""))</f>
        <v/>
      </c>
      <c r="AA604" s="55" t="str">
        <f t="shared" si="37"/>
        <v/>
      </c>
      <c r="AB604" s="62" t="str">
        <f>IF(AND(OR($A604="G",$A604="P"),NOT($O604="{array}")),IF(VLOOKUP($K604,base!$B$2:$D$20,3,0)="S",IF(OR($O604="",ISTEXT($O604)),"","STRING!"),IF(VLOOKUP($K604,base!$B$2:$D$20,3,0)="","",IF(ISTEXT($O604),"NUMERIC!",""))),"")</f>
        <v/>
      </c>
      <c r="AC604" s="16" t="str">
        <f>IF($AA604="","",IF($B604="I",VLOOKUP($AA604,#REF!,53,0),INDEX(VALUES!$B$1:$GP$1,1,$AA604)))</f>
        <v/>
      </c>
    </row>
    <row r="605" spans="1:29" hidden="1" outlineLevel="1">
      <c r="A605" s="21"/>
      <c r="B605" s="40" t="str">
        <f t="shared" si="36"/>
        <v/>
      </c>
      <c r="C605" s="41">
        <f t="shared" si="38"/>
        <v>604</v>
      </c>
      <c r="D605" s="260"/>
      <c r="E605" s="37"/>
      <c r="F605" s="305" t="s">
        <v>9</v>
      </c>
      <c r="G605" s="188"/>
      <c r="H605" s="37"/>
      <c r="I605" s="37" t="s">
        <v>9</v>
      </c>
      <c r="J605" s="37"/>
      <c r="K605" s="13" t="s">
        <v>46</v>
      </c>
      <c r="L605" s="13" t="s">
        <v>29</v>
      </c>
      <c r="M605" s="235" t="s">
        <v>667</v>
      </c>
      <c r="N605" s="13" t="s">
        <v>668</v>
      </c>
      <c r="O605" s="42">
        <v>11</v>
      </c>
      <c r="R605" s="37" t="s">
        <v>106</v>
      </c>
      <c r="S605" s="37"/>
      <c r="T605" s="37"/>
      <c r="W605" s="14" t="str">
        <f>IF(IFERROR(VLOOKUP($M605,'IMPORT GS-Tür OL FL 2S2 20'!$H$2:$H$847,1,0),"-")="-","","GS")</f>
        <v>GS</v>
      </c>
      <c r="X605" s="14" t="str">
        <f t="shared" si="35"/>
        <v/>
      </c>
      <c r="Z605" s="58" t="str">
        <f>IF(OR($M605="",NOT($O605="{array}")),"",IFERROR(MATCH(PARAMETERS!$M605,DEFAULT!$B$5:$CI$5,0),""))</f>
        <v/>
      </c>
      <c r="AA605" s="55" t="str">
        <f t="shared" si="37"/>
        <v/>
      </c>
      <c r="AB605" s="62" t="str">
        <f>IF(AND(OR($A605="G",$A605="P"),NOT($O605="{array}")),IF(VLOOKUP($K605,base!$B$2:$D$20,3,0)="S",IF(OR($O605="",ISTEXT($O605)),"","STRING!"),IF(VLOOKUP($K605,base!$B$2:$D$20,3,0)="","",IF(ISTEXT($O605),"NUMERIC!",""))),"")</f>
        <v/>
      </c>
      <c r="AC605" s="16" t="str">
        <f>IF($AA605="","",IF($B605="I",VLOOKUP($AA605,#REF!,53,0),INDEX(VALUES!$B$1:$GP$1,1,$AA605)))</f>
        <v/>
      </c>
    </row>
    <row r="606" spans="1:29" hidden="1" outlineLevel="1">
      <c r="A606" s="21"/>
      <c r="B606" s="40" t="str">
        <f t="shared" si="36"/>
        <v/>
      </c>
      <c r="C606" s="41">
        <f t="shared" si="38"/>
        <v>605</v>
      </c>
      <c r="D606" s="260"/>
      <c r="E606" s="37"/>
      <c r="F606" s="305" t="s">
        <v>9</v>
      </c>
      <c r="G606" s="188"/>
      <c r="H606" s="37"/>
      <c r="I606" s="37" t="s">
        <v>9</v>
      </c>
      <c r="J606" s="37" t="s">
        <v>9</v>
      </c>
      <c r="K606" s="13" t="s">
        <v>26</v>
      </c>
      <c r="L606" s="13" t="s">
        <v>29</v>
      </c>
      <c r="M606" s="235" t="s">
        <v>669</v>
      </c>
      <c r="N606" s="13" t="s">
        <v>670</v>
      </c>
      <c r="O606" s="42">
        <v>0.14499999999999999</v>
      </c>
      <c r="R606" s="37" t="s">
        <v>106</v>
      </c>
      <c r="S606" s="37"/>
      <c r="T606" s="37"/>
      <c r="W606" s="14" t="str">
        <f>IF(IFERROR(VLOOKUP($M606,'IMPORT GS-Tür OL FL 2S2 20'!$H$2:$H$847,1,0),"-")="-","","GS")</f>
        <v>GS</v>
      </c>
      <c r="X606" s="14" t="str">
        <f t="shared" si="35"/>
        <v/>
      </c>
      <c r="Z606" s="58" t="str">
        <f>IF(OR($M606="",NOT($O606="{array}")),"",IFERROR(MATCH(PARAMETERS!$M606,DEFAULT!$B$5:$CI$5,0),""))</f>
        <v/>
      </c>
      <c r="AA606" s="55" t="str">
        <f t="shared" si="37"/>
        <v/>
      </c>
      <c r="AB606" s="62" t="str">
        <f>IF(AND(OR($A606="G",$A606="P"),NOT($O606="{array}")),IF(VLOOKUP($K606,base!$B$2:$D$20,3,0)="S",IF(OR($O606="",ISTEXT($O606)),"","STRING!"),IF(VLOOKUP($K606,base!$B$2:$D$20,3,0)="","",IF(ISTEXT($O606),"NUMERIC!",""))),"")</f>
        <v/>
      </c>
      <c r="AC606" s="16" t="str">
        <f>IF($AA606="","",IF($B606="I",VLOOKUP($AA606,#REF!,53,0),INDEX(VALUES!$B$1:$GP$1,1,$AA606)))</f>
        <v/>
      </c>
    </row>
    <row r="607" spans="1:29" hidden="1" outlineLevel="1">
      <c r="A607" s="21"/>
      <c r="B607" s="40" t="str">
        <f t="shared" si="36"/>
        <v/>
      </c>
      <c r="C607" s="41">
        <f t="shared" si="38"/>
        <v>606</v>
      </c>
      <c r="D607" s="260"/>
      <c r="E607" s="37"/>
      <c r="F607" s="305" t="s">
        <v>9</v>
      </c>
      <c r="G607" s="188"/>
      <c r="H607" s="37"/>
      <c r="I607" s="37" t="s">
        <v>9</v>
      </c>
      <c r="J607" s="37"/>
      <c r="K607" s="13" t="s">
        <v>26</v>
      </c>
      <c r="L607" s="13" t="s">
        <v>29</v>
      </c>
      <c r="M607" s="235" t="s">
        <v>671</v>
      </c>
      <c r="N607" s="13" t="s">
        <v>672</v>
      </c>
      <c r="O607" s="42">
        <v>0.01</v>
      </c>
      <c r="R607" s="37" t="s">
        <v>106</v>
      </c>
      <c r="S607" s="37"/>
      <c r="T607" s="37"/>
      <c r="W607" s="14" t="str">
        <f>IF(IFERROR(VLOOKUP($M607,'IMPORT GS-Tür OL FL 2S2 20'!$H$2:$H$847,1,0),"-")="-","","GS")</f>
        <v>GS</v>
      </c>
      <c r="X607" s="14" t="str">
        <f t="shared" si="35"/>
        <v/>
      </c>
      <c r="Z607" s="58" t="str">
        <f>IF(OR($M607="",NOT($O607="{array}")),"",IFERROR(MATCH(PARAMETERS!$M607,DEFAULT!$B$5:$CI$5,0),""))</f>
        <v/>
      </c>
      <c r="AA607" s="55" t="str">
        <f t="shared" si="37"/>
        <v/>
      </c>
      <c r="AB607" s="62" t="str">
        <f>IF(AND(OR($A607="G",$A607="P"),NOT($O607="{array}")),IF(VLOOKUP($K607,base!$B$2:$D$20,3,0)="S",IF(OR($O607="",ISTEXT($O607)),"","STRING!"),IF(VLOOKUP($K607,base!$B$2:$D$20,3,0)="","",IF(ISTEXT($O607),"NUMERIC!",""))),"")</f>
        <v/>
      </c>
      <c r="AC607" s="16" t="str">
        <f>IF($AA607="","",IF($B607="I",VLOOKUP($AA607,#REF!,53,0),INDEX(VALUES!$B$1:$GP$1,1,$AA607)))</f>
        <v/>
      </c>
    </row>
    <row r="608" spans="1:29" hidden="1" outlineLevel="1">
      <c r="A608" s="21"/>
      <c r="B608" s="40" t="str">
        <f t="shared" si="36"/>
        <v/>
      </c>
      <c r="C608" s="41">
        <f t="shared" si="38"/>
        <v>607</v>
      </c>
      <c r="D608" s="260"/>
      <c r="E608" s="37"/>
      <c r="F608" s="305" t="s">
        <v>9</v>
      </c>
      <c r="G608" s="188"/>
      <c r="H608" s="37"/>
      <c r="I608" s="37" t="s">
        <v>9</v>
      </c>
      <c r="J608" s="37"/>
      <c r="K608" s="13" t="s">
        <v>26</v>
      </c>
      <c r="L608" s="13" t="s">
        <v>29</v>
      </c>
      <c r="M608" s="235" t="s">
        <v>673</v>
      </c>
      <c r="N608" s="13" t="s">
        <v>674</v>
      </c>
      <c r="O608" s="42">
        <v>0.01</v>
      </c>
      <c r="R608" s="37" t="s">
        <v>106</v>
      </c>
      <c r="S608" s="37"/>
      <c r="T608" s="37"/>
      <c r="W608" s="14" t="str">
        <f>IF(IFERROR(VLOOKUP($M608,'IMPORT GS-Tür OL FL 2S2 20'!$H$2:$H$847,1,0),"-")="-","","GS")</f>
        <v>GS</v>
      </c>
      <c r="X608" s="14" t="str">
        <f t="shared" si="35"/>
        <v/>
      </c>
      <c r="Z608" s="58" t="str">
        <f>IF(OR($M608="",NOT($O608="{array}")),"",IFERROR(MATCH(PARAMETERS!$M608,DEFAULT!$B$5:$CI$5,0),""))</f>
        <v/>
      </c>
      <c r="AA608" s="55" t="str">
        <f t="shared" si="37"/>
        <v/>
      </c>
      <c r="AB608" s="62" t="str">
        <f>IF(AND(OR($A608="G",$A608="P"),NOT($O608="{array}")),IF(VLOOKUP($K608,base!$B$2:$D$20,3,0)="S",IF(OR($O608="",ISTEXT($O608)),"","STRING!"),IF(VLOOKUP($K608,base!$B$2:$D$20,3,0)="","",IF(ISTEXT($O608),"NUMERIC!",""))),"")</f>
        <v/>
      </c>
      <c r="AC608" s="16" t="str">
        <f>IF($AA608="","",IF($B608="I",VLOOKUP($AA608,#REF!,53,0),INDEX(VALUES!$B$1:$GP$1,1,$AA608)))</f>
        <v/>
      </c>
    </row>
    <row r="609" spans="1:29" hidden="1" outlineLevel="1">
      <c r="A609" s="21"/>
      <c r="B609" s="40" t="str">
        <f t="shared" si="36"/>
        <v/>
      </c>
      <c r="C609" s="41">
        <f t="shared" si="38"/>
        <v>608</v>
      </c>
      <c r="D609" s="260"/>
      <c r="E609" s="37"/>
      <c r="F609" s="305" t="s">
        <v>9</v>
      </c>
      <c r="G609" s="188"/>
      <c r="H609" s="37"/>
      <c r="I609" s="37" t="s">
        <v>9</v>
      </c>
      <c r="J609" s="37"/>
      <c r="K609" s="13" t="s">
        <v>26</v>
      </c>
      <c r="L609" s="13" t="s">
        <v>29</v>
      </c>
      <c r="M609" s="235" t="s">
        <v>675</v>
      </c>
      <c r="N609" s="13" t="s">
        <v>676</v>
      </c>
      <c r="O609" s="42">
        <v>0.05</v>
      </c>
      <c r="R609" s="37" t="s">
        <v>106</v>
      </c>
      <c r="S609" s="37"/>
      <c r="T609" s="37"/>
      <c r="W609" s="14" t="str">
        <f>IF(IFERROR(VLOOKUP($M609,'IMPORT GS-Tür OL FL 2S2 20'!$H$2:$H$847,1,0),"-")="-","","GS")</f>
        <v>GS</v>
      </c>
      <c r="X609" s="14" t="str">
        <f t="shared" ref="X609:X671" si="39">IF($A609="G",IF(IFERROR(VLOOKUP($M609,Reimport,1,0),"-")="-","&gt;&lt;",IF($O609=VLOOKUP($M609,Reimport,2,0),"...",VLOOKUP($M609,Reimport,2,0))),"")</f>
        <v/>
      </c>
      <c r="Z609" s="58" t="str">
        <f>IF(OR($M609="",NOT($O609="{array}")),"",IFERROR(MATCH(PARAMETERS!$M609,DEFAULT!$B$5:$CI$5,0),""))</f>
        <v/>
      </c>
      <c r="AA609" s="55" t="str">
        <f t="shared" si="37"/>
        <v/>
      </c>
      <c r="AB609" s="62" t="str">
        <f>IF(AND(OR($A609="G",$A609="P"),NOT($O609="{array}")),IF(VLOOKUP($K609,base!$B$2:$D$20,3,0)="S",IF(OR($O609="",ISTEXT($O609)),"","STRING!"),IF(VLOOKUP($K609,base!$B$2:$D$20,3,0)="","",IF(ISTEXT($O609),"NUMERIC!",""))),"")</f>
        <v/>
      </c>
      <c r="AC609" s="16" t="str">
        <f>IF($AA609="","",IF($B609="I",VLOOKUP($AA609,#REF!,53,0),INDEX(VALUES!$B$1:$GP$1,1,$AA609)))</f>
        <v/>
      </c>
    </row>
    <row r="610" spans="1:29" hidden="1" outlineLevel="1">
      <c r="A610" s="21"/>
      <c r="B610" s="40" t="str">
        <f t="shared" si="36"/>
        <v/>
      </c>
      <c r="C610" s="41">
        <f t="shared" si="38"/>
        <v>609</v>
      </c>
      <c r="D610" s="260"/>
      <c r="E610" s="37"/>
      <c r="F610" s="305" t="s">
        <v>9</v>
      </c>
      <c r="G610" s="188"/>
      <c r="H610" s="37"/>
      <c r="I610" s="37" t="s">
        <v>9</v>
      </c>
      <c r="J610" s="37"/>
      <c r="K610" s="13" t="s">
        <v>26</v>
      </c>
      <c r="L610" s="13" t="s">
        <v>29</v>
      </c>
      <c r="M610" s="235" t="s">
        <v>677</v>
      </c>
      <c r="N610" s="13" t="s">
        <v>678</v>
      </c>
      <c r="O610" s="42">
        <v>0.03</v>
      </c>
      <c r="R610" s="37" t="s">
        <v>106</v>
      </c>
      <c r="S610" s="37"/>
      <c r="T610" s="37"/>
      <c r="W610" s="14" t="str">
        <f>IF(IFERROR(VLOOKUP($M610,'IMPORT GS-Tür OL FL 2S2 20'!$H$2:$H$847,1,0),"-")="-","","GS")</f>
        <v>GS</v>
      </c>
      <c r="X610" s="14" t="str">
        <f t="shared" si="39"/>
        <v/>
      </c>
      <c r="Z610" s="58" t="str">
        <f>IF(OR($M610="",NOT($O610="{array}")),"",IFERROR(MATCH(PARAMETERS!$M610,DEFAULT!$B$5:$CI$5,0),""))</f>
        <v/>
      </c>
      <c r="AA610" s="55" t="str">
        <f t="shared" si="37"/>
        <v/>
      </c>
      <c r="AB610" s="62" t="str">
        <f>IF(AND(OR($A610="G",$A610="P"),NOT($O610="{array}")),IF(VLOOKUP($K610,base!$B$2:$D$20,3,0)="S",IF(OR($O610="",ISTEXT($O610)),"","STRING!"),IF(VLOOKUP($K610,base!$B$2:$D$20,3,0)="","",IF(ISTEXT($O610),"NUMERIC!",""))),"")</f>
        <v/>
      </c>
      <c r="AC610" s="16" t="str">
        <f>IF($AA610="","",IF($B610="I",VLOOKUP($AA610,#REF!,53,0),INDEX(VALUES!$B$1:$GP$1,1,$AA610)))</f>
        <v/>
      </c>
    </row>
    <row r="611" spans="1:29" hidden="1" outlineLevel="1">
      <c r="A611" s="21"/>
      <c r="B611" s="40" t="str">
        <f t="shared" si="36"/>
        <v/>
      </c>
      <c r="C611" s="41">
        <f t="shared" si="38"/>
        <v>610</v>
      </c>
      <c r="D611" s="260"/>
      <c r="E611" s="37"/>
      <c r="F611" s="305" t="s">
        <v>9</v>
      </c>
      <c r="G611" s="188"/>
      <c r="H611" s="37"/>
      <c r="I611" s="37" t="s">
        <v>9</v>
      </c>
      <c r="J611" s="37"/>
      <c r="K611" s="13" t="s">
        <v>26</v>
      </c>
      <c r="L611" s="13" t="s">
        <v>29</v>
      </c>
      <c r="M611" s="235" t="s">
        <v>679</v>
      </c>
      <c r="N611" s="13" t="s">
        <v>680</v>
      </c>
      <c r="O611" s="42">
        <v>5.0000000000000001E-3</v>
      </c>
      <c r="R611" s="37" t="s">
        <v>106</v>
      </c>
      <c r="S611" s="37"/>
      <c r="T611" s="37"/>
      <c r="W611" s="14" t="str">
        <f>IF(IFERROR(VLOOKUP($M611,'IMPORT GS-Tür OL FL 2S2 20'!$H$2:$H$847,1,0),"-")="-","","GS")</f>
        <v>GS</v>
      </c>
      <c r="X611" s="14" t="str">
        <f t="shared" si="39"/>
        <v/>
      </c>
      <c r="Z611" s="58" t="str">
        <f>IF(OR($M611="",NOT($O611="{array}")),"",IFERROR(MATCH(PARAMETERS!$M611,DEFAULT!$B$5:$CI$5,0),""))</f>
        <v/>
      </c>
      <c r="AA611" s="55" t="str">
        <f t="shared" si="37"/>
        <v/>
      </c>
      <c r="AB611" s="62" t="str">
        <f>IF(AND(OR($A611="G",$A611="P"),NOT($O611="{array}")),IF(VLOOKUP($K611,base!$B$2:$D$20,3,0)="S",IF(OR($O611="",ISTEXT($O611)),"","STRING!"),IF(VLOOKUP($K611,base!$B$2:$D$20,3,0)="","",IF(ISTEXT($O611),"NUMERIC!",""))),"")</f>
        <v/>
      </c>
      <c r="AC611" s="16" t="str">
        <f>IF($AA611="","",IF($B611="I",VLOOKUP($AA611,#REF!,53,0),INDEX(VALUES!$B$1:$GP$1,1,$AA611)))</f>
        <v/>
      </c>
    </row>
    <row r="612" spans="1:29" hidden="1" outlineLevel="1">
      <c r="A612" s="21"/>
      <c r="B612" s="40" t="str">
        <f t="shared" si="36"/>
        <v/>
      </c>
      <c r="C612" s="41">
        <f t="shared" si="38"/>
        <v>611</v>
      </c>
      <c r="D612" s="260"/>
      <c r="E612" s="37"/>
      <c r="F612" s="305" t="s">
        <v>9</v>
      </c>
      <c r="G612" s="188"/>
      <c r="H612" s="37"/>
      <c r="I612" s="37" t="s">
        <v>9</v>
      </c>
      <c r="J612" s="37"/>
      <c r="K612" s="13" t="s">
        <v>26</v>
      </c>
      <c r="L612" s="13" t="s">
        <v>29</v>
      </c>
      <c r="M612" s="235" t="s">
        <v>681</v>
      </c>
      <c r="N612" s="13" t="s">
        <v>682</v>
      </c>
      <c r="O612" s="42">
        <v>0.02</v>
      </c>
      <c r="R612" s="37" t="s">
        <v>106</v>
      </c>
      <c r="S612" s="37"/>
      <c r="T612" s="37"/>
      <c r="W612" s="14" t="str">
        <f>IF(IFERROR(VLOOKUP($M612,'IMPORT GS-Tür OL FL 2S2 20'!$H$2:$H$847,1,0),"-")="-","","GS")</f>
        <v>GS</v>
      </c>
      <c r="X612" s="14" t="str">
        <f t="shared" si="39"/>
        <v/>
      </c>
      <c r="Z612" s="58" t="str">
        <f>IF(OR($M612="",NOT($O612="{array}")),"",IFERROR(MATCH(PARAMETERS!$M612,DEFAULT!$B$5:$CI$5,0),""))</f>
        <v/>
      </c>
      <c r="AA612" s="55" t="str">
        <f t="shared" si="37"/>
        <v/>
      </c>
      <c r="AB612" s="62" t="str">
        <f>IF(AND(OR($A612="G",$A612="P"),NOT($O612="{array}")),IF(VLOOKUP($K612,base!$B$2:$D$20,3,0)="S",IF(OR($O612="",ISTEXT($O612)),"","STRING!"),IF(VLOOKUP($K612,base!$B$2:$D$20,3,0)="","",IF(ISTEXT($O612),"NUMERIC!",""))),"")</f>
        <v/>
      </c>
      <c r="AC612" s="16" t="str">
        <f>IF($AA612="","",IF($B612="I",VLOOKUP($AA612,#REF!,53,0),INDEX(VALUES!$B$1:$GP$1,1,$AA612)))</f>
        <v/>
      </c>
    </row>
    <row r="613" spans="1:29" hidden="1" outlineLevel="1">
      <c r="A613" s="21"/>
      <c r="B613" s="40" t="str">
        <f t="shared" si="36"/>
        <v/>
      </c>
      <c r="C613" s="41">
        <f t="shared" si="38"/>
        <v>612</v>
      </c>
      <c r="D613" s="260"/>
      <c r="E613" s="37"/>
      <c r="F613" s="305" t="s">
        <v>9</v>
      </c>
      <c r="G613" s="188"/>
      <c r="H613" s="37"/>
      <c r="I613" s="37" t="s">
        <v>9</v>
      </c>
      <c r="J613" s="37"/>
      <c r="K613" s="13" t="s">
        <v>26</v>
      </c>
      <c r="L613" s="13" t="s">
        <v>29</v>
      </c>
      <c r="M613" s="235" t="s">
        <v>683</v>
      </c>
      <c r="N613" s="13" t="s">
        <v>684</v>
      </c>
      <c r="O613" s="42">
        <v>0.03</v>
      </c>
      <c r="R613" s="37" t="s">
        <v>106</v>
      </c>
      <c r="S613" s="37"/>
      <c r="T613" s="37"/>
      <c r="W613" s="14" t="str">
        <f>IF(IFERROR(VLOOKUP($M613,'IMPORT GS-Tür OL FL 2S2 20'!$H$2:$H$847,1,0),"-")="-","","GS")</f>
        <v>GS</v>
      </c>
      <c r="X613" s="14" t="str">
        <f t="shared" si="39"/>
        <v/>
      </c>
      <c r="Z613" s="58" t="str">
        <f>IF(OR($M613="",NOT($O613="{array}")),"",IFERROR(MATCH(PARAMETERS!$M613,DEFAULT!$B$5:$CI$5,0),""))</f>
        <v/>
      </c>
      <c r="AA613" s="55" t="str">
        <f t="shared" si="37"/>
        <v/>
      </c>
      <c r="AB613" s="62" t="str">
        <f>IF(AND(OR($A613="G",$A613="P"),NOT($O613="{array}")),IF(VLOOKUP($K613,base!$B$2:$D$20,3,0)="S",IF(OR($O613="",ISTEXT($O613)),"","STRING!"),IF(VLOOKUP($K613,base!$B$2:$D$20,3,0)="","",IF(ISTEXT($O613),"NUMERIC!",""))),"")</f>
        <v/>
      </c>
      <c r="AC613" s="16" t="str">
        <f>IF($AA613="","",IF($B613="I",VLOOKUP($AA613,#REF!,53,0),INDEX(VALUES!$B$1:$GP$1,1,$AA613)))</f>
        <v/>
      </c>
    </row>
    <row r="614" spans="1:29" hidden="1" outlineLevel="1">
      <c r="A614" s="21"/>
      <c r="B614" s="40" t="str">
        <f t="shared" si="36"/>
        <v/>
      </c>
      <c r="C614" s="41">
        <f t="shared" si="38"/>
        <v>613</v>
      </c>
      <c r="D614" s="260"/>
      <c r="E614" s="37"/>
      <c r="F614" s="305" t="s">
        <v>9</v>
      </c>
      <c r="G614" s="188"/>
      <c r="H614" s="37"/>
      <c r="I614" s="37" t="s">
        <v>9</v>
      </c>
      <c r="J614" s="37"/>
      <c r="K614" s="13" t="s">
        <v>26</v>
      </c>
      <c r="L614" s="13" t="s">
        <v>29</v>
      </c>
      <c r="M614" s="235" t="s">
        <v>685</v>
      </c>
      <c r="N614" s="13" t="s">
        <v>686</v>
      </c>
      <c r="O614" s="42">
        <v>0.03</v>
      </c>
      <c r="R614" s="37" t="s">
        <v>106</v>
      </c>
      <c r="S614" s="37"/>
      <c r="T614" s="37"/>
      <c r="W614" s="14" t="str">
        <f>IF(IFERROR(VLOOKUP($M614,'IMPORT GS-Tür OL FL 2S2 20'!$H$2:$H$847,1,0),"-")="-","","GS")</f>
        <v>GS</v>
      </c>
      <c r="X614" s="14" t="str">
        <f t="shared" si="39"/>
        <v/>
      </c>
      <c r="Z614" s="58" t="str">
        <f>IF(OR($M614="",NOT($O614="{array}")),"",IFERROR(MATCH(PARAMETERS!$M614,DEFAULT!$B$5:$CI$5,0),""))</f>
        <v/>
      </c>
      <c r="AA614" s="55" t="str">
        <f t="shared" si="37"/>
        <v/>
      </c>
      <c r="AB614" s="62" t="str">
        <f>IF(AND(OR($A614="G",$A614="P"),NOT($O614="{array}")),IF(VLOOKUP($K614,base!$B$2:$D$20,3,0)="S",IF(OR($O614="",ISTEXT($O614)),"","STRING!"),IF(VLOOKUP($K614,base!$B$2:$D$20,3,0)="","",IF(ISTEXT($O614),"NUMERIC!",""))),"")</f>
        <v/>
      </c>
      <c r="AC614" s="16" t="str">
        <f>IF($AA614="","",IF($B614="I",VLOOKUP($AA614,#REF!,53,0),INDEX(VALUES!$B$1:$GP$1,1,$AA614)))</f>
        <v/>
      </c>
    </row>
    <row r="615" spans="1:29" hidden="1" outlineLevel="1">
      <c r="A615" s="21"/>
      <c r="B615" s="40" t="str">
        <f t="shared" ref="B615:B689" si="40">IF($A615="P",IF(NOT($Z615=""),"A",IF(NOT($AA615=""),"I","")),IF(NOT($AA615=""),IF($A615="G","V","X"),IF(NOT($Z615=""),"A","")))</f>
        <v/>
      </c>
      <c r="C615" s="41">
        <f t="shared" si="38"/>
        <v>614</v>
      </c>
      <c r="D615" s="260"/>
      <c r="E615" s="37"/>
      <c r="F615" s="305" t="s">
        <v>9</v>
      </c>
      <c r="G615" s="188"/>
      <c r="H615" s="37"/>
      <c r="I615" s="37" t="s">
        <v>9</v>
      </c>
      <c r="J615" s="37"/>
      <c r="K615" s="13" t="s">
        <v>33</v>
      </c>
      <c r="L615" s="13" t="s">
        <v>29</v>
      </c>
      <c r="M615" s="235" t="s">
        <v>687</v>
      </c>
      <c r="N615" s="13" t="s">
        <v>688</v>
      </c>
      <c r="O615" s="42">
        <v>3</v>
      </c>
      <c r="R615" s="37" t="s">
        <v>106</v>
      </c>
      <c r="S615" s="37"/>
      <c r="T615" s="37"/>
      <c r="W615" s="14" t="str">
        <f>IF(IFERROR(VLOOKUP($M615,'IMPORT GS-Tür OL FL 2S2 20'!$H$2:$H$847,1,0),"-")="-","","GS")</f>
        <v>GS</v>
      </c>
      <c r="X615" s="14" t="str">
        <f t="shared" si="39"/>
        <v/>
      </c>
      <c r="Z615" s="58" t="str">
        <f>IF(OR($M615="",NOT($O615="{array}")),"",IFERROR(MATCH(PARAMETERS!$M615,DEFAULT!$B$5:$CI$5,0),""))</f>
        <v/>
      </c>
      <c r="AA615" s="55" t="str">
        <f t="shared" si="37"/>
        <v/>
      </c>
      <c r="AB615" s="62" t="str">
        <f>IF(AND(OR($A615="G",$A615="P"),NOT($O615="{array}")),IF(VLOOKUP($K615,base!$B$2:$D$20,3,0)="S",IF(OR($O615="",ISTEXT($O615)),"","STRING!"),IF(VLOOKUP($K615,base!$B$2:$D$20,3,0)="","",IF(ISTEXT($O615),"NUMERIC!",""))),"")</f>
        <v/>
      </c>
      <c r="AC615" s="16" t="str">
        <f>IF($AA615="","",IF($B615="I",VLOOKUP($AA615,#REF!,53,0),INDEX(VALUES!$B$1:$GP$1,1,$AA615)))</f>
        <v/>
      </c>
    </row>
    <row r="616" spans="1:29" hidden="1" outlineLevel="1">
      <c r="A616" s="21"/>
      <c r="B616" s="40" t="str">
        <f t="shared" si="40"/>
        <v/>
      </c>
      <c r="C616" s="41">
        <f t="shared" si="38"/>
        <v>615</v>
      </c>
      <c r="D616" s="260"/>
      <c r="E616" s="37"/>
      <c r="F616" s="305" t="s">
        <v>9</v>
      </c>
      <c r="G616" s="188"/>
      <c r="H616" s="37"/>
      <c r="I616" s="37" t="s">
        <v>9</v>
      </c>
      <c r="J616" s="37"/>
      <c r="K616" s="13" t="s">
        <v>26</v>
      </c>
      <c r="L616" s="13" t="s">
        <v>29</v>
      </c>
      <c r="M616" s="235" t="s">
        <v>689</v>
      </c>
      <c r="N616" s="13" t="s">
        <v>690</v>
      </c>
      <c r="O616" s="42">
        <v>0</v>
      </c>
      <c r="R616" s="37" t="s">
        <v>106</v>
      </c>
      <c r="S616" s="37"/>
      <c r="T616" s="37"/>
      <c r="W616" s="14" t="str">
        <f>IF(IFERROR(VLOOKUP($M616,'IMPORT GS-Tür OL FL 2S2 20'!$H$2:$H$847,1,0),"-")="-","","GS")</f>
        <v>GS</v>
      </c>
      <c r="X616" s="14" t="str">
        <f t="shared" si="39"/>
        <v/>
      </c>
      <c r="Z616" s="58" t="str">
        <f>IF(OR($M616="",NOT($O616="{array}")),"",IFERROR(MATCH(PARAMETERS!$M616,DEFAULT!$B$5:$CI$5,0),""))</f>
        <v/>
      </c>
      <c r="AA616" s="55" t="str">
        <f t="shared" si="37"/>
        <v/>
      </c>
      <c r="AB616" s="62" t="str">
        <f>IF(AND(OR($A616="G",$A616="P"),NOT($O616="{array}")),IF(VLOOKUP($K616,base!$B$2:$D$20,3,0)="S",IF(OR($O616="",ISTEXT($O616)),"","STRING!"),IF(VLOOKUP($K616,base!$B$2:$D$20,3,0)="","",IF(ISTEXT($O616),"NUMERIC!",""))),"")</f>
        <v/>
      </c>
      <c r="AC616" s="16" t="str">
        <f>IF($AA616="","",IF($B616="I",VLOOKUP($AA616,#REF!,53,0),INDEX(VALUES!$B$1:$GP$1,1,$AA616)))</f>
        <v/>
      </c>
    </row>
    <row r="617" spans="1:29" hidden="1" outlineLevel="1">
      <c r="A617" s="21"/>
      <c r="B617" s="40" t="str">
        <f t="shared" si="40"/>
        <v/>
      </c>
      <c r="C617" s="41">
        <f t="shared" si="38"/>
        <v>616</v>
      </c>
      <c r="D617" s="260"/>
      <c r="E617" s="37"/>
      <c r="F617" s="305" t="s">
        <v>9</v>
      </c>
      <c r="G617" s="188"/>
      <c r="H617" s="37"/>
      <c r="I617" s="37" t="s">
        <v>9</v>
      </c>
      <c r="J617" s="37"/>
      <c r="K617" s="13" t="s">
        <v>26</v>
      </c>
      <c r="L617" s="13" t="s">
        <v>29</v>
      </c>
      <c r="M617" s="235" t="s">
        <v>691</v>
      </c>
      <c r="N617" s="13" t="s">
        <v>692</v>
      </c>
      <c r="O617" s="42">
        <v>0</v>
      </c>
      <c r="R617" s="37" t="s">
        <v>106</v>
      </c>
      <c r="S617" s="37"/>
      <c r="T617" s="37"/>
      <c r="W617" s="14" t="str">
        <f>IF(IFERROR(VLOOKUP($M617,'IMPORT GS-Tür OL FL 2S2 20'!$H$2:$H$847,1,0),"-")="-","","GS")</f>
        <v>GS</v>
      </c>
      <c r="X617" s="14" t="str">
        <f t="shared" si="39"/>
        <v/>
      </c>
      <c r="Z617" s="58" t="str">
        <f>IF(OR($M617="",NOT($O617="{array}")),"",IFERROR(MATCH(PARAMETERS!$M617,DEFAULT!$B$5:$CI$5,0),""))</f>
        <v/>
      </c>
      <c r="AA617" s="55" t="str">
        <f t="shared" si="37"/>
        <v/>
      </c>
      <c r="AB617" s="62" t="str">
        <f>IF(AND(OR($A617="G",$A617="P"),NOT($O617="{array}")),IF(VLOOKUP($K617,base!$B$2:$D$20,3,0)="S",IF(OR($O617="",ISTEXT($O617)),"","STRING!"),IF(VLOOKUP($K617,base!$B$2:$D$20,3,0)="","",IF(ISTEXT($O617),"NUMERIC!",""))),"")</f>
        <v/>
      </c>
      <c r="AC617" s="16" t="str">
        <f>IF($AA617="","",IF($B617="I",VLOOKUP($AA617,#REF!,53,0),INDEX(VALUES!$B$1:$GP$1,1,$AA617)))</f>
        <v/>
      </c>
    </row>
    <row r="618" spans="1:29" hidden="1" outlineLevel="1">
      <c r="A618" s="21"/>
      <c r="B618" s="40" t="str">
        <f t="shared" si="40"/>
        <v/>
      </c>
      <c r="C618" s="41">
        <f t="shared" si="38"/>
        <v>617</v>
      </c>
      <c r="D618" s="260"/>
      <c r="E618" s="37"/>
      <c r="F618" s="305" t="s">
        <v>9</v>
      </c>
      <c r="G618" s="188"/>
      <c r="H618" s="37"/>
      <c r="I618" s="37" t="s">
        <v>9</v>
      </c>
      <c r="J618" s="37"/>
      <c r="K618" s="13" t="s">
        <v>26</v>
      </c>
      <c r="L618" s="13" t="s">
        <v>29</v>
      </c>
      <c r="M618" s="235" t="s">
        <v>693</v>
      </c>
      <c r="N618" s="13" t="s">
        <v>694</v>
      </c>
      <c r="O618" s="42">
        <v>0</v>
      </c>
      <c r="R618" s="37" t="s">
        <v>106</v>
      </c>
      <c r="S618" s="37"/>
      <c r="T618" s="37"/>
      <c r="W618" s="14" t="str">
        <f>IF(IFERROR(VLOOKUP($M618,'IMPORT GS-Tür OL FL 2S2 20'!$H$2:$H$847,1,0),"-")="-","","GS")</f>
        <v>GS</v>
      </c>
      <c r="X618" s="14" t="str">
        <f t="shared" si="39"/>
        <v/>
      </c>
      <c r="Z618" s="58" t="str">
        <f>IF(OR($M618="",NOT($O618="{array}")),"",IFERROR(MATCH(PARAMETERS!$M618,DEFAULT!$B$5:$CI$5,0),""))</f>
        <v/>
      </c>
      <c r="AA618" s="55" t="str">
        <f t="shared" si="37"/>
        <v/>
      </c>
      <c r="AB618" s="62" t="str">
        <f>IF(AND(OR($A618="G",$A618="P"),NOT($O618="{array}")),IF(VLOOKUP($K618,base!$B$2:$D$20,3,0)="S",IF(OR($O618="",ISTEXT($O618)),"","STRING!"),IF(VLOOKUP($K618,base!$B$2:$D$20,3,0)="","",IF(ISTEXT($O618),"NUMERIC!",""))),"")</f>
        <v/>
      </c>
      <c r="AC618" s="16" t="str">
        <f>IF($AA618="","",IF($B618="I",VLOOKUP($AA618,#REF!,53,0),INDEX(VALUES!$B$1:$GP$1,1,$AA618)))</f>
        <v/>
      </c>
    </row>
    <row r="619" spans="1:29" hidden="1" outlineLevel="1">
      <c r="A619" s="21"/>
      <c r="B619" s="40" t="str">
        <f t="shared" si="40"/>
        <v/>
      </c>
      <c r="C619" s="41">
        <f t="shared" si="38"/>
        <v>618</v>
      </c>
      <c r="D619" s="260"/>
      <c r="E619" s="37"/>
      <c r="F619" s="305" t="s">
        <v>9</v>
      </c>
      <c r="G619" s="188"/>
      <c r="H619" s="37"/>
      <c r="I619" s="37" t="s">
        <v>9</v>
      </c>
      <c r="J619" s="37"/>
      <c r="K619" s="13" t="s">
        <v>26</v>
      </c>
      <c r="L619" s="13" t="s">
        <v>29</v>
      </c>
      <c r="M619" s="235" t="s">
        <v>695</v>
      </c>
      <c r="N619" s="13" t="s">
        <v>696</v>
      </c>
      <c r="O619" s="42">
        <v>0</v>
      </c>
      <c r="R619" s="37" t="s">
        <v>106</v>
      </c>
      <c r="S619" s="37"/>
      <c r="T619" s="37"/>
      <c r="W619" s="14" t="str">
        <f>IF(IFERROR(VLOOKUP($M619,'IMPORT GS-Tür OL FL 2S2 20'!$H$2:$H$847,1,0),"-")="-","","GS")</f>
        <v>GS</v>
      </c>
      <c r="X619" s="14" t="str">
        <f t="shared" si="39"/>
        <v/>
      </c>
      <c r="Z619" s="58" t="str">
        <f>IF(OR($M619="",NOT($O619="{array}")),"",IFERROR(MATCH(PARAMETERS!$M619,DEFAULT!$B$5:$CI$5,0),""))</f>
        <v/>
      </c>
      <c r="AA619" s="55" t="str">
        <f t="shared" si="37"/>
        <v/>
      </c>
      <c r="AB619" s="62" t="str">
        <f>IF(AND(OR($A619="G",$A619="P"),NOT($O619="{array}")),IF(VLOOKUP($K619,base!$B$2:$D$20,3,0)="S",IF(OR($O619="",ISTEXT($O619)),"","STRING!"),IF(VLOOKUP($K619,base!$B$2:$D$20,3,0)="","",IF(ISTEXT($O619),"NUMERIC!",""))),"")</f>
        <v/>
      </c>
      <c r="AC619" s="16" t="str">
        <f>IF($AA619="","",IF($B619="I",VLOOKUP($AA619,#REF!,53,0),INDEX(VALUES!$B$1:$GP$1,1,$AA619)))</f>
        <v/>
      </c>
    </row>
    <row r="620" spans="1:29" hidden="1" outlineLevel="1">
      <c r="A620" s="21"/>
      <c r="B620" s="40" t="str">
        <f t="shared" si="40"/>
        <v/>
      </c>
      <c r="C620" s="41">
        <f t="shared" si="38"/>
        <v>619</v>
      </c>
      <c r="D620" s="260"/>
      <c r="E620" s="37"/>
      <c r="F620" s="305" t="s">
        <v>9</v>
      </c>
      <c r="G620" s="188"/>
      <c r="H620" s="37"/>
      <c r="I620" s="37" t="s">
        <v>9</v>
      </c>
      <c r="J620" s="37"/>
      <c r="K620" s="13" t="s">
        <v>26</v>
      </c>
      <c r="L620" s="13" t="s">
        <v>29</v>
      </c>
      <c r="M620" s="235" t="s">
        <v>697</v>
      </c>
      <c r="N620" s="13" t="s">
        <v>698</v>
      </c>
      <c r="O620" s="42">
        <v>0</v>
      </c>
      <c r="R620" s="37" t="s">
        <v>106</v>
      </c>
      <c r="S620" s="37"/>
      <c r="T620" s="37"/>
      <c r="W620" s="14" t="str">
        <f>IF(IFERROR(VLOOKUP($M620,'IMPORT GS-Tür OL FL 2S2 20'!$H$2:$H$847,1,0),"-")="-","","GS")</f>
        <v>GS</v>
      </c>
      <c r="X620" s="14" t="str">
        <f t="shared" si="39"/>
        <v/>
      </c>
      <c r="Z620" s="58" t="str">
        <f>IF(OR($M620="",NOT($O620="{array}")),"",IFERROR(MATCH(PARAMETERS!$M620,DEFAULT!$B$5:$CI$5,0),""))</f>
        <v/>
      </c>
      <c r="AA620" s="55" t="str">
        <f t="shared" si="37"/>
        <v/>
      </c>
      <c r="AB620" s="62" t="str">
        <f>IF(AND(OR($A620="G",$A620="P"),NOT($O620="{array}")),IF(VLOOKUP($K620,base!$B$2:$D$20,3,0)="S",IF(OR($O620="",ISTEXT($O620)),"","STRING!"),IF(VLOOKUP($K620,base!$B$2:$D$20,3,0)="","",IF(ISTEXT($O620),"NUMERIC!",""))),"")</f>
        <v/>
      </c>
      <c r="AC620" s="16" t="str">
        <f>IF($AA620="","",IF($B620="I",VLOOKUP($AA620,#REF!,53,0),INDEX(VALUES!$B$1:$GP$1,1,$AA620)))</f>
        <v/>
      </c>
    </row>
    <row r="621" spans="1:29" hidden="1" outlineLevel="1">
      <c r="A621" s="21"/>
      <c r="B621" s="40" t="str">
        <f t="shared" si="40"/>
        <v/>
      </c>
      <c r="C621" s="41">
        <f t="shared" si="38"/>
        <v>620</v>
      </c>
      <c r="D621" s="260"/>
      <c r="E621" s="37"/>
      <c r="F621" s="305" t="s">
        <v>9</v>
      </c>
      <c r="G621" s="188"/>
      <c r="H621" s="37"/>
      <c r="I621" s="37" t="s">
        <v>9</v>
      </c>
      <c r="J621" s="37"/>
      <c r="K621" s="13" t="s">
        <v>49</v>
      </c>
      <c r="L621" s="13" t="s">
        <v>29</v>
      </c>
      <c r="M621" s="235" t="s">
        <v>699</v>
      </c>
      <c r="N621" s="13" t="s">
        <v>700</v>
      </c>
      <c r="O621" s="42">
        <v>1</v>
      </c>
      <c r="R621" s="37" t="s">
        <v>106</v>
      </c>
      <c r="S621" s="37"/>
      <c r="T621" s="37"/>
      <c r="W621" s="14" t="str">
        <f>IF(IFERROR(VLOOKUP($M621,'IMPORT GS-Tür OL FL 2S2 20'!$H$2:$H$847,1,0),"-")="-","","GS")</f>
        <v>GS</v>
      </c>
      <c r="X621" s="14" t="str">
        <f t="shared" si="39"/>
        <v/>
      </c>
      <c r="Z621" s="58" t="str">
        <f>IF(OR($M621="",NOT($O621="{array}")),"",IFERROR(MATCH(PARAMETERS!$M621,DEFAULT!$B$5:$CI$5,0),""))</f>
        <v/>
      </c>
      <c r="AA621" s="55" t="str">
        <f t="shared" si="37"/>
        <v/>
      </c>
      <c r="AB621" s="62" t="str">
        <f>IF(AND(OR($A621="G",$A621="P"),NOT($O621="{array}")),IF(VLOOKUP($K621,base!$B$2:$D$20,3,0)="S",IF(OR($O621="",ISTEXT($O621)),"","STRING!"),IF(VLOOKUP($K621,base!$B$2:$D$20,3,0)="","",IF(ISTEXT($O621),"NUMERIC!",""))),"")</f>
        <v/>
      </c>
      <c r="AC621" s="16" t="str">
        <f>IF($AA621="","",IF($B621="I",VLOOKUP($AA621,#REF!,53,0),INDEX(VALUES!$B$1:$GP$1,1,$AA621)))</f>
        <v/>
      </c>
    </row>
    <row r="622" spans="1:29" hidden="1" outlineLevel="1">
      <c r="A622" s="21"/>
      <c r="B622" s="40" t="str">
        <f t="shared" si="40"/>
        <v/>
      </c>
      <c r="C622" s="41">
        <f t="shared" si="38"/>
        <v>621</v>
      </c>
      <c r="D622" s="260"/>
      <c r="E622" s="37"/>
      <c r="F622" s="305" t="s">
        <v>9</v>
      </c>
      <c r="G622" s="188"/>
      <c r="H622" s="37"/>
      <c r="I622" s="37" t="s">
        <v>9</v>
      </c>
      <c r="J622" s="37"/>
      <c r="K622" s="13" t="s">
        <v>49</v>
      </c>
      <c r="L622" s="13" t="s">
        <v>29</v>
      </c>
      <c r="M622" s="235" t="s">
        <v>701</v>
      </c>
      <c r="N622" s="13" t="s">
        <v>702</v>
      </c>
      <c r="O622" s="42">
        <v>1</v>
      </c>
      <c r="R622" s="37" t="s">
        <v>106</v>
      </c>
      <c r="S622" s="37"/>
      <c r="T622" s="37"/>
      <c r="W622" s="14" t="str">
        <f>IF(IFERROR(VLOOKUP($M622,'IMPORT GS-Tür OL FL 2S2 20'!$H$2:$H$847,1,0),"-")="-","","GS")</f>
        <v>GS</v>
      </c>
      <c r="X622" s="14" t="str">
        <f t="shared" si="39"/>
        <v/>
      </c>
      <c r="Z622" s="58" t="str">
        <f>IF(OR($M622="",NOT($O622="{array}")),"",IFERROR(MATCH(PARAMETERS!$M622,DEFAULT!$B$5:$CI$5,0),""))</f>
        <v/>
      </c>
      <c r="AA622" s="55" t="str">
        <f t="shared" si="37"/>
        <v/>
      </c>
      <c r="AB622" s="62" t="str">
        <f>IF(AND(OR($A622="G",$A622="P"),NOT($O622="{array}")),IF(VLOOKUP($K622,base!$B$2:$D$20,3,0)="S",IF(OR($O622="",ISTEXT($O622)),"","STRING!"),IF(VLOOKUP($K622,base!$B$2:$D$20,3,0)="","",IF(ISTEXT($O622),"NUMERIC!",""))),"")</f>
        <v/>
      </c>
      <c r="AC622" s="16" t="str">
        <f>IF($AA622="","",IF($B622="I",VLOOKUP($AA622,#REF!,53,0),INDEX(VALUES!$B$1:$GP$1,1,$AA622)))</f>
        <v/>
      </c>
    </row>
    <row r="623" spans="1:29" hidden="1" outlineLevel="1">
      <c r="A623" s="21"/>
      <c r="B623" s="40" t="str">
        <f t="shared" si="40"/>
        <v/>
      </c>
      <c r="C623" s="41">
        <f t="shared" si="38"/>
        <v>622</v>
      </c>
      <c r="D623" s="260"/>
      <c r="E623" s="37"/>
      <c r="F623" s="305" t="s">
        <v>9</v>
      </c>
      <c r="G623" s="188"/>
      <c r="H623" s="37"/>
      <c r="I623" s="37" t="s">
        <v>9</v>
      </c>
      <c r="J623" s="37"/>
      <c r="K623" s="13" t="s">
        <v>49</v>
      </c>
      <c r="L623" s="13" t="s">
        <v>29</v>
      </c>
      <c r="M623" s="235" t="s">
        <v>703</v>
      </c>
      <c r="N623" s="13" t="s">
        <v>704</v>
      </c>
      <c r="O623" s="42">
        <v>0</v>
      </c>
      <c r="R623" s="37" t="s">
        <v>106</v>
      </c>
      <c r="S623" s="37"/>
      <c r="T623" s="37"/>
      <c r="W623" s="14" t="str">
        <f>IF(IFERROR(VLOOKUP($M623,'IMPORT GS-Tür OL FL 2S2 20'!$H$2:$H$847,1,0),"-")="-","","GS")</f>
        <v>GS</v>
      </c>
      <c r="X623" s="14" t="str">
        <f t="shared" si="39"/>
        <v/>
      </c>
      <c r="Z623" s="58" t="str">
        <f>IF(OR($M623="",NOT($O623="{array}")),"",IFERROR(MATCH(PARAMETERS!$M623,DEFAULT!$B$5:$CI$5,0),""))</f>
        <v/>
      </c>
      <c r="AA623" s="55" t="str">
        <f t="shared" si="37"/>
        <v/>
      </c>
      <c r="AB623" s="62" t="str">
        <f>IF(AND(OR($A623="G",$A623="P"),NOT($O623="{array}")),IF(VLOOKUP($K623,base!$B$2:$D$20,3,0)="S",IF(OR($O623="",ISTEXT($O623)),"","STRING!"),IF(VLOOKUP($K623,base!$B$2:$D$20,3,0)="","",IF(ISTEXT($O623),"NUMERIC!",""))),"")</f>
        <v/>
      </c>
      <c r="AC623" s="16" t="str">
        <f>IF($AA623="","",IF($B623="I",VLOOKUP($AA623,#REF!,53,0),INDEX(VALUES!$B$1:$GP$1,1,$AA623)))</f>
        <v/>
      </c>
    </row>
    <row r="624" spans="1:29" hidden="1" outlineLevel="1">
      <c r="A624" s="21"/>
      <c r="B624" s="40" t="str">
        <f t="shared" si="40"/>
        <v/>
      </c>
      <c r="C624" s="41">
        <f t="shared" si="38"/>
        <v>623</v>
      </c>
      <c r="D624" s="260"/>
      <c r="E624" s="37"/>
      <c r="F624" s="305" t="s">
        <v>9</v>
      </c>
      <c r="G624" s="188"/>
      <c r="H624" s="37"/>
      <c r="I624" s="37" t="s">
        <v>9</v>
      </c>
      <c r="J624" s="37"/>
      <c r="K624" s="13" t="s">
        <v>46</v>
      </c>
      <c r="L624" s="13" t="s">
        <v>29</v>
      </c>
      <c r="M624" s="235" t="s">
        <v>705</v>
      </c>
      <c r="N624" s="13" t="s">
        <v>706</v>
      </c>
      <c r="O624" s="42">
        <v>1</v>
      </c>
      <c r="R624" s="37" t="s">
        <v>106</v>
      </c>
      <c r="S624" s="37"/>
      <c r="T624" s="37"/>
      <c r="W624" s="14" t="str">
        <f>IF(IFERROR(VLOOKUP($M624,'IMPORT GS-Tür OL FL 2S2 20'!$H$2:$H$847,1,0),"-")="-","","GS")</f>
        <v>GS</v>
      </c>
      <c r="X624" s="14" t="str">
        <f t="shared" si="39"/>
        <v/>
      </c>
      <c r="Z624" s="58" t="str">
        <f>IF(OR($M624="",NOT($O624="{array}")),"",IFERROR(MATCH(PARAMETERS!$M624,DEFAULT!$B$5:$CI$5,0),""))</f>
        <v/>
      </c>
      <c r="AA624" s="55" t="str">
        <f t="shared" si="37"/>
        <v/>
      </c>
      <c r="AB624" s="62" t="str">
        <f>IF(AND(OR($A624="G",$A624="P"),NOT($O624="{array}")),IF(VLOOKUP($K624,base!$B$2:$D$20,3,0)="S",IF(OR($O624="",ISTEXT($O624)),"","STRING!"),IF(VLOOKUP($K624,base!$B$2:$D$20,3,0)="","",IF(ISTEXT($O624),"NUMERIC!",""))),"")</f>
        <v/>
      </c>
      <c r="AC624" s="16" t="str">
        <f>IF($AA624="","",IF($B624="I",VLOOKUP($AA624,#REF!,53,0),INDEX(VALUES!$B$1:$GP$1,1,$AA624)))</f>
        <v/>
      </c>
    </row>
    <row r="625" spans="1:29" hidden="1" outlineLevel="1">
      <c r="A625" s="21"/>
      <c r="B625" s="40" t="str">
        <f t="shared" si="40"/>
        <v/>
      </c>
      <c r="C625" s="41">
        <f t="shared" si="38"/>
        <v>624</v>
      </c>
      <c r="D625" s="260"/>
      <c r="E625" s="37"/>
      <c r="F625" s="305" t="s">
        <v>9</v>
      </c>
      <c r="G625" s="188"/>
      <c r="H625" s="37"/>
      <c r="I625" s="37" t="s">
        <v>9</v>
      </c>
      <c r="J625" s="37"/>
      <c r="K625" s="13" t="s">
        <v>26</v>
      </c>
      <c r="L625" s="13" t="s">
        <v>29</v>
      </c>
      <c r="M625" s="235" t="s">
        <v>707</v>
      </c>
      <c r="N625" s="13" t="s">
        <v>708</v>
      </c>
      <c r="O625" s="42">
        <v>6.5000000000000002E-2</v>
      </c>
      <c r="R625" s="37" t="s">
        <v>106</v>
      </c>
      <c r="S625" s="37"/>
      <c r="T625" s="37"/>
      <c r="W625" s="14" t="str">
        <f>IF(IFERROR(VLOOKUP($M625,'IMPORT GS-Tür OL FL 2S2 20'!$H$2:$H$847,1,0),"-")="-","","GS")</f>
        <v>GS</v>
      </c>
      <c r="X625" s="14" t="str">
        <f t="shared" si="39"/>
        <v/>
      </c>
      <c r="Z625" s="58" t="str">
        <f>IF(OR($M625="",NOT($O625="{array}")),"",IFERROR(MATCH(PARAMETERS!$M625,DEFAULT!$B$5:$CI$5,0),""))</f>
        <v/>
      </c>
      <c r="AA625" s="55" t="str">
        <f t="shared" si="37"/>
        <v/>
      </c>
      <c r="AB625" s="62" t="str">
        <f>IF(AND(OR($A625="G",$A625="P"),NOT($O625="{array}")),IF(VLOOKUP($K625,base!$B$2:$D$20,3,0)="S",IF(OR($O625="",ISTEXT($O625)),"","STRING!"),IF(VLOOKUP($K625,base!$B$2:$D$20,3,0)="","",IF(ISTEXT($O625),"NUMERIC!",""))),"")</f>
        <v/>
      </c>
      <c r="AC625" s="16" t="str">
        <f>IF($AA625="","",IF($B625="I",VLOOKUP($AA625,#REF!,53,0),INDEX(VALUES!$B$1:$GP$1,1,$AA625)))</f>
        <v/>
      </c>
    </row>
    <row r="626" spans="1:29" hidden="1" outlineLevel="1">
      <c r="A626" s="21"/>
      <c r="B626" s="40" t="str">
        <f t="shared" si="40"/>
        <v/>
      </c>
      <c r="C626" s="41">
        <f t="shared" si="38"/>
        <v>625</v>
      </c>
      <c r="D626" s="260"/>
      <c r="E626" s="37"/>
      <c r="F626" s="305" t="s">
        <v>9</v>
      </c>
      <c r="G626" s="188"/>
      <c r="H626" s="37"/>
      <c r="I626" s="37" t="s">
        <v>9</v>
      </c>
      <c r="J626" s="37"/>
      <c r="K626" s="13" t="s">
        <v>26</v>
      </c>
      <c r="L626" s="13" t="s">
        <v>29</v>
      </c>
      <c r="M626" s="235" t="s">
        <v>709</v>
      </c>
      <c r="N626" s="13" t="s">
        <v>536</v>
      </c>
      <c r="O626" s="42">
        <v>1.4999999999999999E-2</v>
      </c>
      <c r="R626" s="37" t="s">
        <v>106</v>
      </c>
      <c r="S626" s="37"/>
      <c r="T626" s="37"/>
      <c r="W626" s="14" t="str">
        <f>IF(IFERROR(VLOOKUP($M626,'IMPORT GS-Tür OL FL 2S2 20'!$H$2:$H$847,1,0),"-")="-","","GS")</f>
        <v>GS</v>
      </c>
      <c r="X626" s="14" t="str">
        <f t="shared" si="39"/>
        <v/>
      </c>
      <c r="Z626" s="58" t="str">
        <f>IF(OR($M626="",NOT($O626="{array}")),"",IFERROR(MATCH(PARAMETERS!$M626,DEFAULT!$B$5:$CI$5,0),""))</f>
        <v/>
      </c>
      <c r="AA626" s="55" t="str">
        <f t="shared" si="37"/>
        <v/>
      </c>
      <c r="AB626" s="62" t="str">
        <f>IF(AND(OR($A626="G",$A626="P"),NOT($O626="{array}")),IF(VLOOKUP($K626,base!$B$2:$D$20,3,0)="S",IF(OR($O626="",ISTEXT($O626)),"","STRING!"),IF(VLOOKUP($K626,base!$B$2:$D$20,3,0)="","",IF(ISTEXT($O626),"NUMERIC!",""))),"")</f>
        <v/>
      </c>
      <c r="AC626" s="16" t="str">
        <f>IF($AA626="","",IF($B626="I",VLOOKUP($AA626,#REF!,53,0),INDEX(VALUES!$B$1:$GP$1,1,$AA626)))</f>
        <v/>
      </c>
    </row>
    <row r="627" spans="1:29" hidden="1" outlineLevel="1">
      <c r="A627" s="21"/>
      <c r="B627" s="40" t="str">
        <f t="shared" si="40"/>
        <v/>
      </c>
      <c r="C627" s="41">
        <f t="shared" si="38"/>
        <v>626</v>
      </c>
      <c r="D627" s="260"/>
      <c r="E627" s="37"/>
      <c r="F627" s="305" t="s">
        <v>9</v>
      </c>
      <c r="G627" s="188"/>
      <c r="H627" s="37"/>
      <c r="I627" s="37" t="s">
        <v>9</v>
      </c>
      <c r="J627" s="37"/>
      <c r="K627" s="13" t="s">
        <v>55</v>
      </c>
      <c r="L627" s="13" t="s">
        <v>29</v>
      </c>
      <c r="M627" s="235" t="s">
        <v>710</v>
      </c>
      <c r="N627" s="13" t="s">
        <v>711</v>
      </c>
      <c r="O627" s="42">
        <v>1</v>
      </c>
      <c r="R627" s="37" t="s">
        <v>106</v>
      </c>
      <c r="S627" s="37"/>
      <c r="T627" s="37"/>
      <c r="W627" s="14" t="str">
        <f>IF(IFERROR(VLOOKUP($M627,'IMPORT GS-Tür OL FL 2S2 20'!$H$2:$H$847,1,0),"-")="-","","GS")</f>
        <v>GS</v>
      </c>
      <c r="X627" s="14" t="str">
        <f t="shared" si="39"/>
        <v/>
      </c>
      <c r="Z627" s="58" t="str">
        <f>IF(OR($M627="",NOT($O627="{array}")),"",IFERROR(MATCH(PARAMETERS!$M627,DEFAULT!$B$5:$CI$5,0),""))</f>
        <v/>
      </c>
      <c r="AA627" s="55" t="str">
        <f t="shared" si="37"/>
        <v/>
      </c>
      <c r="AB627" s="62" t="str">
        <f>IF(AND(OR($A627="G",$A627="P"),NOT($O627="{array}")),IF(VLOOKUP($K627,base!$B$2:$D$20,3,0)="S",IF(OR($O627="",ISTEXT($O627)),"","STRING!"),IF(VLOOKUP($K627,base!$B$2:$D$20,3,0)="","",IF(ISTEXT($O627),"NUMERIC!",""))),"")</f>
        <v/>
      </c>
      <c r="AC627" s="16" t="str">
        <f>IF($AA627="","",IF($B627="I",VLOOKUP($AA627,#REF!,53,0),INDEX(VALUES!$B$1:$GP$1,1,$AA627)))</f>
        <v/>
      </c>
    </row>
    <row r="628" spans="1:29" hidden="1" outlineLevel="1">
      <c r="A628" s="21"/>
      <c r="B628" s="40" t="str">
        <f t="shared" si="40"/>
        <v/>
      </c>
      <c r="C628" s="41">
        <f t="shared" si="38"/>
        <v>627</v>
      </c>
      <c r="D628" s="260"/>
      <c r="E628" s="37"/>
      <c r="F628" s="305" t="s">
        <v>9</v>
      </c>
      <c r="G628" s="188"/>
      <c r="H628" s="37"/>
      <c r="I628" s="37" t="s">
        <v>9</v>
      </c>
      <c r="J628" s="37"/>
      <c r="K628" s="13" t="s">
        <v>55</v>
      </c>
      <c r="L628" s="13" t="s">
        <v>29</v>
      </c>
      <c r="M628" s="235" t="s">
        <v>712</v>
      </c>
      <c r="N628" s="13" t="s">
        <v>713</v>
      </c>
      <c r="O628" s="42">
        <v>1</v>
      </c>
      <c r="R628" s="37" t="s">
        <v>106</v>
      </c>
      <c r="S628" s="37"/>
      <c r="T628" s="37"/>
      <c r="W628" s="14" t="str">
        <f>IF(IFERROR(VLOOKUP($M628,'IMPORT GS-Tür OL FL 2S2 20'!$H$2:$H$847,1,0),"-")="-","","GS")</f>
        <v>GS</v>
      </c>
      <c r="X628" s="14" t="str">
        <f t="shared" si="39"/>
        <v/>
      </c>
      <c r="Z628" s="58" t="str">
        <f>IF(OR($M628="",NOT($O628="{array}")),"",IFERROR(MATCH(PARAMETERS!$M628,DEFAULT!$B$5:$CI$5,0),""))</f>
        <v/>
      </c>
      <c r="AA628" s="55" t="str">
        <f t="shared" ref="AA628:AA696" si="41">IF($M628="","",IFERROR(MATCH($M628,VALUESnames,0),""))</f>
        <v/>
      </c>
      <c r="AB628" s="62" t="str">
        <f>IF(AND(OR($A628="G",$A628="P"),NOT($O628="{array}")),IF(VLOOKUP($K628,base!$B$2:$D$20,3,0)="S",IF(OR($O628="",ISTEXT($O628)),"","STRING!"),IF(VLOOKUP($K628,base!$B$2:$D$20,3,0)="","",IF(ISTEXT($O628),"NUMERIC!",""))),"")</f>
        <v/>
      </c>
      <c r="AC628" s="16" t="str">
        <f>IF($AA628="","",IF($B628="I",VLOOKUP($AA628,#REF!,53,0),INDEX(VALUES!$B$1:$GP$1,1,$AA628)))</f>
        <v/>
      </c>
    </row>
    <row r="629" spans="1:29" hidden="1" outlineLevel="1">
      <c r="A629" s="21"/>
      <c r="B629" s="40" t="str">
        <f t="shared" si="40"/>
        <v/>
      </c>
      <c r="C629" s="41">
        <f t="shared" si="38"/>
        <v>628</v>
      </c>
      <c r="D629" s="260"/>
      <c r="E629" s="37"/>
      <c r="F629" s="305" t="s">
        <v>9</v>
      </c>
      <c r="G629" s="188"/>
      <c r="H629" s="37"/>
      <c r="I629" s="37" t="s">
        <v>9</v>
      </c>
      <c r="J629" s="37"/>
      <c r="K629" s="13" t="s">
        <v>54</v>
      </c>
      <c r="L629" s="13" t="s">
        <v>29</v>
      </c>
      <c r="M629" s="235" t="s">
        <v>714</v>
      </c>
      <c r="N629" s="13" t="s">
        <v>715</v>
      </c>
      <c r="O629" s="42">
        <v>65</v>
      </c>
      <c r="R629" s="37" t="s">
        <v>106</v>
      </c>
      <c r="S629" s="37"/>
      <c r="T629" s="37"/>
      <c r="W629" s="14" t="str">
        <f>IF(IFERROR(VLOOKUP($M629,'IMPORT GS-Tür OL FL 2S2 20'!$H$2:$H$847,1,0),"-")="-","","GS")</f>
        <v>GS</v>
      </c>
      <c r="X629" s="14" t="str">
        <f t="shared" si="39"/>
        <v/>
      </c>
      <c r="Z629" s="58" t="str">
        <f>IF(OR($M629="",NOT($O629="{array}")),"",IFERROR(MATCH(PARAMETERS!$M629,DEFAULT!$B$5:$CI$5,0),""))</f>
        <v/>
      </c>
      <c r="AA629" s="55" t="str">
        <f t="shared" si="41"/>
        <v/>
      </c>
      <c r="AB629" s="62" t="str">
        <f>IF(AND(OR($A629="G",$A629="P"),NOT($O629="{array}")),IF(VLOOKUP($K629,base!$B$2:$D$20,3,0)="S",IF(OR($O629="",ISTEXT($O629)),"","STRING!"),IF(VLOOKUP($K629,base!$B$2:$D$20,3,0)="","",IF(ISTEXT($O629),"NUMERIC!",""))),"")</f>
        <v/>
      </c>
      <c r="AC629" s="16" t="str">
        <f>IF($AA629="","",IF($B629="I",VLOOKUP($AA629,#REF!,53,0),INDEX(VALUES!$B$1:$GP$1,1,$AA629)))</f>
        <v/>
      </c>
    </row>
    <row r="630" spans="1:29" hidden="1" outlineLevel="1">
      <c r="A630" s="21"/>
      <c r="B630" s="40" t="str">
        <f t="shared" si="40"/>
        <v/>
      </c>
      <c r="C630" s="41">
        <f t="shared" si="38"/>
        <v>629</v>
      </c>
      <c r="D630" s="260"/>
      <c r="E630" s="37"/>
      <c r="F630" s="305" t="s">
        <v>9</v>
      </c>
      <c r="G630" s="188"/>
      <c r="H630" s="37"/>
      <c r="I630" s="37" t="s">
        <v>9</v>
      </c>
      <c r="J630" s="37"/>
      <c r="K630" s="13" t="s">
        <v>55</v>
      </c>
      <c r="L630" s="13" t="s">
        <v>29</v>
      </c>
      <c r="M630" s="235" t="s">
        <v>716</v>
      </c>
      <c r="N630" s="13" t="s">
        <v>717</v>
      </c>
      <c r="O630" s="42">
        <v>19</v>
      </c>
      <c r="R630" s="37" t="s">
        <v>106</v>
      </c>
      <c r="S630" s="37"/>
      <c r="T630" s="37"/>
      <c r="W630" s="14" t="str">
        <f>IF(IFERROR(VLOOKUP($M630,'IMPORT GS-Tür OL FL 2S2 20'!$H$2:$H$847,1,0),"-")="-","","GS")</f>
        <v>GS</v>
      </c>
      <c r="X630" s="14" t="str">
        <f t="shared" si="39"/>
        <v/>
      </c>
      <c r="Z630" s="58" t="str">
        <f>IF(OR($M630="",NOT($O630="{array}")),"",IFERROR(MATCH(PARAMETERS!$M630,DEFAULT!$B$5:$CI$5,0),""))</f>
        <v/>
      </c>
      <c r="AA630" s="55" t="str">
        <f t="shared" si="41"/>
        <v/>
      </c>
      <c r="AB630" s="62" t="str">
        <f>IF(AND(OR($A630="G",$A630="P"),NOT($O630="{array}")),IF(VLOOKUP($K630,base!$B$2:$D$20,3,0)="S",IF(OR($O630="",ISTEXT($O630)),"","STRING!"),IF(VLOOKUP($K630,base!$B$2:$D$20,3,0)="","",IF(ISTEXT($O630),"NUMERIC!",""))),"")</f>
        <v/>
      </c>
      <c r="AC630" s="16" t="str">
        <f>IF($AA630="","",IF($B630="I",VLOOKUP($AA630,#REF!,53,0),INDEX(VALUES!$B$1:$GP$1,1,$AA630)))</f>
        <v/>
      </c>
    </row>
    <row r="631" spans="1:29" hidden="1" outlineLevel="1">
      <c r="A631" s="21"/>
      <c r="B631" s="40" t="str">
        <f t="shared" si="40"/>
        <v/>
      </c>
      <c r="C631" s="41">
        <f t="shared" si="38"/>
        <v>630</v>
      </c>
      <c r="D631" s="260"/>
      <c r="E631" s="37"/>
      <c r="F631" s="305" t="s">
        <v>9</v>
      </c>
      <c r="G631" s="188"/>
      <c r="H631" s="37"/>
      <c r="I631" s="37" t="s">
        <v>9</v>
      </c>
      <c r="J631" s="37"/>
      <c r="K631" s="13" t="s">
        <v>55</v>
      </c>
      <c r="L631" s="13" t="s">
        <v>29</v>
      </c>
      <c r="M631" s="235" t="s">
        <v>718</v>
      </c>
      <c r="N631" s="13" t="s">
        <v>719</v>
      </c>
      <c r="O631" s="42">
        <v>19</v>
      </c>
      <c r="R631" s="37" t="s">
        <v>106</v>
      </c>
      <c r="S631" s="37"/>
      <c r="T631" s="37"/>
      <c r="W631" s="14" t="str">
        <f>IF(IFERROR(VLOOKUP($M631,'IMPORT GS-Tür OL FL 2S2 20'!$H$2:$H$847,1,0),"-")="-","","GS")</f>
        <v>GS</v>
      </c>
      <c r="X631" s="14" t="str">
        <f t="shared" si="39"/>
        <v/>
      </c>
      <c r="Z631" s="58" t="str">
        <f>IF(OR($M631="",NOT($O631="{array}")),"",IFERROR(MATCH(PARAMETERS!$M631,DEFAULT!$B$5:$CI$5,0),""))</f>
        <v/>
      </c>
      <c r="AA631" s="55" t="str">
        <f t="shared" si="41"/>
        <v/>
      </c>
      <c r="AB631" s="62" t="str">
        <f>IF(AND(OR($A631="G",$A631="P"),NOT($O631="{array}")),IF(VLOOKUP($K631,base!$B$2:$D$20,3,0)="S",IF(OR($O631="",ISTEXT($O631)),"","STRING!"),IF(VLOOKUP($K631,base!$B$2:$D$20,3,0)="","",IF(ISTEXT($O631),"NUMERIC!",""))),"")</f>
        <v/>
      </c>
      <c r="AC631" s="16" t="str">
        <f>IF($AA631="","",IF($B631="I",VLOOKUP($AA631,#REF!,53,0),INDEX(VALUES!$B$1:$GP$1,1,$AA631)))</f>
        <v/>
      </c>
    </row>
    <row r="632" spans="1:29" hidden="1" outlineLevel="1">
      <c r="A632" s="21"/>
      <c r="B632" s="40" t="str">
        <f t="shared" si="40"/>
        <v/>
      </c>
      <c r="C632" s="41">
        <f t="shared" si="38"/>
        <v>631</v>
      </c>
      <c r="D632" s="260"/>
      <c r="E632" s="37"/>
      <c r="F632" s="305" t="s">
        <v>9</v>
      </c>
      <c r="G632" s="188"/>
      <c r="H632" s="37"/>
      <c r="I632" s="37" t="s">
        <v>9</v>
      </c>
      <c r="J632" s="37"/>
      <c r="K632" s="13" t="s">
        <v>55</v>
      </c>
      <c r="L632" s="13" t="s">
        <v>29</v>
      </c>
      <c r="M632" s="235" t="s">
        <v>720</v>
      </c>
      <c r="N632" s="13" t="s">
        <v>721</v>
      </c>
      <c r="O632" s="42">
        <v>1</v>
      </c>
      <c r="R632" s="37" t="s">
        <v>106</v>
      </c>
      <c r="S632" s="37"/>
      <c r="T632" s="37"/>
      <c r="W632" s="14" t="str">
        <f>IF(IFERROR(VLOOKUP($M632,'IMPORT GS-Tür OL FL 2S2 20'!$H$2:$H$847,1,0),"-")="-","","GS")</f>
        <v>GS</v>
      </c>
      <c r="X632" s="14" t="str">
        <f t="shared" si="39"/>
        <v/>
      </c>
      <c r="Z632" s="58" t="str">
        <f>IF(OR($M632="",NOT($O632="{array}")),"",IFERROR(MATCH(PARAMETERS!$M632,DEFAULT!$B$5:$CI$5,0),""))</f>
        <v/>
      </c>
      <c r="AA632" s="55" t="str">
        <f t="shared" si="41"/>
        <v/>
      </c>
      <c r="AB632" s="62" t="str">
        <f>IF(AND(OR($A632="G",$A632="P"),NOT($O632="{array}")),IF(VLOOKUP($K632,base!$B$2:$D$20,3,0)="S",IF(OR($O632="",ISTEXT($O632)),"","STRING!"),IF(VLOOKUP($K632,base!$B$2:$D$20,3,0)="","",IF(ISTEXT($O632),"NUMERIC!",""))),"")</f>
        <v/>
      </c>
      <c r="AC632" s="16" t="str">
        <f>IF($AA632="","",IF($B632="I",VLOOKUP($AA632,#REF!,53,0),INDEX(VALUES!$B$1:$GP$1,1,$AA632)))</f>
        <v/>
      </c>
    </row>
    <row r="633" spans="1:29" hidden="1" outlineLevel="1">
      <c r="A633" s="21"/>
      <c r="B633" s="40" t="str">
        <f t="shared" si="40"/>
        <v/>
      </c>
      <c r="C633" s="41">
        <f t="shared" si="38"/>
        <v>632</v>
      </c>
      <c r="D633" s="260"/>
      <c r="E633" s="37"/>
      <c r="F633" s="305" t="s">
        <v>9</v>
      </c>
      <c r="G633" s="188"/>
      <c r="H633" s="37"/>
      <c r="I633" s="37" t="s">
        <v>9</v>
      </c>
      <c r="J633" s="37"/>
      <c r="K633" s="13" t="s">
        <v>54</v>
      </c>
      <c r="L633" s="13" t="s">
        <v>29</v>
      </c>
      <c r="M633" s="235" t="s">
        <v>722</v>
      </c>
      <c r="N633" s="13" t="s">
        <v>723</v>
      </c>
      <c r="O633" s="42">
        <v>17</v>
      </c>
      <c r="R633" s="37" t="s">
        <v>106</v>
      </c>
      <c r="S633" s="37"/>
      <c r="T633" s="37"/>
      <c r="W633" s="14" t="str">
        <f>IF(IFERROR(VLOOKUP($M633,'IMPORT GS-Tür OL FL 2S2 20'!$H$2:$H$847,1,0),"-")="-","","GS")</f>
        <v>GS</v>
      </c>
      <c r="X633" s="14" t="str">
        <f t="shared" si="39"/>
        <v/>
      </c>
      <c r="Z633" s="58" t="str">
        <f>IF(OR($M633="",NOT($O633="{array}")),"",IFERROR(MATCH(PARAMETERS!$M633,DEFAULT!$B$5:$CI$5,0),""))</f>
        <v/>
      </c>
      <c r="AA633" s="55" t="str">
        <f t="shared" si="41"/>
        <v/>
      </c>
      <c r="AB633" s="62" t="str">
        <f>IF(AND(OR($A633="G",$A633="P"),NOT($O633="{array}")),IF(VLOOKUP($K633,base!$B$2:$D$20,3,0)="S",IF(OR($O633="",ISTEXT($O633)),"","STRING!"),IF(VLOOKUP($K633,base!$B$2:$D$20,3,0)="","",IF(ISTEXT($O633),"NUMERIC!",""))),"")</f>
        <v/>
      </c>
      <c r="AC633" s="16" t="str">
        <f>IF($AA633="","",IF($B633="I",VLOOKUP($AA633,#REF!,53,0),INDEX(VALUES!$B$1:$GP$1,1,$AA633)))</f>
        <v/>
      </c>
    </row>
    <row r="634" spans="1:29" hidden="1" outlineLevel="1">
      <c r="A634" s="21"/>
      <c r="B634" s="40" t="str">
        <f t="shared" si="40"/>
        <v/>
      </c>
      <c r="C634" s="41">
        <f t="shared" si="38"/>
        <v>633</v>
      </c>
      <c r="D634" s="260"/>
      <c r="E634" s="37"/>
      <c r="F634" s="305" t="s">
        <v>9</v>
      </c>
      <c r="G634" s="188"/>
      <c r="H634" s="37"/>
      <c r="I634" s="37" t="s">
        <v>9</v>
      </c>
      <c r="J634" s="37"/>
      <c r="K634" s="13" t="s">
        <v>55</v>
      </c>
      <c r="L634" s="13" t="s">
        <v>29</v>
      </c>
      <c r="M634" s="235" t="s">
        <v>724</v>
      </c>
      <c r="N634" s="13" t="s">
        <v>725</v>
      </c>
      <c r="O634" s="42">
        <v>1</v>
      </c>
      <c r="R634" s="37" t="s">
        <v>106</v>
      </c>
      <c r="S634" s="37"/>
      <c r="T634" s="37"/>
      <c r="W634" s="14" t="str">
        <f>IF(IFERROR(VLOOKUP($M634,'IMPORT GS-Tür OL FL 2S2 20'!$H$2:$H$847,1,0),"-")="-","","GS")</f>
        <v>GS</v>
      </c>
      <c r="X634" s="14" t="str">
        <f t="shared" si="39"/>
        <v/>
      </c>
      <c r="Z634" s="58" t="str">
        <f>IF(OR($M634="",NOT($O634="{array}")),"",IFERROR(MATCH(PARAMETERS!$M634,DEFAULT!$B$5:$CI$5,0),""))</f>
        <v/>
      </c>
      <c r="AA634" s="55" t="str">
        <f t="shared" si="41"/>
        <v/>
      </c>
      <c r="AB634" s="62" t="str">
        <f>IF(AND(OR($A634="G",$A634="P"),NOT($O634="{array}")),IF(VLOOKUP($K634,base!$B$2:$D$20,3,0)="S",IF(OR($O634="",ISTEXT($O634)),"","STRING!"),IF(VLOOKUP($K634,base!$B$2:$D$20,3,0)="","",IF(ISTEXT($O634),"NUMERIC!",""))),"")</f>
        <v/>
      </c>
      <c r="AC634" s="16" t="str">
        <f>IF($AA634="","",IF($B634="I",VLOOKUP($AA634,#REF!,53,0),INDEX(VALUES!$B$1:$GP$1,1,$AA634)))</f>
        <v/>
      </c>
    </row>
    <row r="635" spans="1:29" hidden="1" outlineLevel="1">
      <c r="A635" s="21"/>
      <c r="B635" s="40" t="str">
        <f t="shared" si="40"/>
        <v/>
      </c>
      <c r="C635" s="41">
        <f t="shared" si="38"/>
        <v>634</v>
      </c>
      <c r="D635" s="260"/>
      <c r="E635" s="37"/>
      <c r="F635" s="305" t="s">
        <v>9</v>
      </c>
      <c r="G635" s="188"/>
      <c r="H635" s="37"/>
      <c r="I635" s="37" t="s">
        <v>9</v>
      </c>
      <c r="J635" s="37"/>
      <c r="K635" s="13" t="s">
        <v>55</v>
      </c>
      <c r="L635" s="13" t="s">
        <v>29</v>
      </c>
      <c r="M635" s="235" t="s">
        <v>726</v>
      </c>
      <c r="N635" s="13" t="s">
        <v>727</v>
      </c>
      <c r="O635" s="42">
        <v>19</v>
      </c>
      <c r="R635" s="37" t="s">
        <v>106</v>
      </c>
      <c r="S635" s="37"/>
      <c r="T635" s="37"/>
      <c r="W635" s="14" t="str">
        <f>IF(IFERROR(VLOOKUP($M635,'IMPORT GS-Tür OL FL 2S2 20'!$H$2:$H$847,1,0),"-")="-","","GS")</f>
        <v>GS</v>
      </c>
      <c r="X635" s="14" t="str">
        <f t="shared" si="39"/>
        <v/>
      </c>
      <c r="Z635" s="58" t="str">
        <f>IF(OR($M635="",NOT($O635="{array}")),"",IFERROR(MATCH(PARAMETERS!$M635,DEFAULT!$B$5:$CI$5,0),""))</f>
        <v/>
      </c>
      <c r="AA635" s="55" t="str">
        <f t="shared" si="41"/>
        <v/>
      </c>
      <c r="AB635" s="62" t="str">
        <f>IF(AND(OR($A635="G",$A635="P"),NOT($O635="{array}")),IF(VLOOKUP($K635,base!$B$2:$D$20,3,0)="S",IF(OR($O635="",ISTEXT($O635)),"","STRING!"),IF(VLOOKUP($K635,base!$B$2:$D$20,3,0)="","",IF(ISTEXT($O635),"NUMERIC!",""))),"")</f>
        <v/>
      </c>
      <c r="AC635" s="16" t="str">
        <f>IF($AA635="","",IF($B635="I",VLOOKUP($AA635,#REF!,53,0),INDEX(VALUES!$B$1:$GP$1,1,$AA635)))</f>
        <v/>
      </c>
    </row>
    <row r="636" spans="1:29" hidden="1" outlineLevel="1">
      <c r="A636" s="21"/>
      <c r="B636" s="40" t="str">
        <f t="shared" si="40"/>
        <v/>
      </c>
      <c r="C636" s="41">
        <f t="shared" si="38"/>
        <v>635</v>
      </c>
      <c r="D636" s="260"/>
      <c r="E636" s="37"/>
      <c r="F636" s="305" t="s">
        <v>9</v>
      </c>
      <c r="G636" s="188"/>
      <c r="H636" s="37"/>
      <c r="I636" s="37" t="s">
        <v>9</v>
      </c>
      <c r="J636" s="37"/>
      <c r="K636" s="13" t="s">
        <v>52</v>
      </c>
      <c r="L636" s="13" t="s">
        <v>29</v>
      </c>
      <c r="M636" s="235" t="s">
        <v>728</v>
      </c>
      <c r="N636" s="13" t="s">
        <v>729</v>
      </c>
      <c r="O636" s="42">
        <v>1</v>
      </c>
      <c r="R636" s="37" t="s">
        <v>106</v>
      </c>
      <c r="S636" s="37"/>
      <c r="T636" s="37"/>
      <c r="W636" s="14" t="str">
        <f>IF(IFERROR(VLOOKUP($M636,'IMPORT GS-Tür OL FL 2S2 20'!$H$2:$H$847,1,0),"-")="-","","GS")</f>
        <v>GS</v>
      </c>
      <c r="X636" s="14" t="str">
        <f t="shared" si="39"/>
        <v/>
      </c>
      <c r="Z636" s="58" t="str">
        <f>IF(OR($M636="",NOT($O636="{array}")),"",IFERROR(MATCH(PARAMETERS!$M636,DEFAULT!$B$5:$CI$5,0),""))</f>
        <v/>
      </c>
      <c r="AA636" s="55" t="str">
        <f t="shared" si="41"/>
        <v/>
      </c>
      <c r="AB636" s="62" t="str">
        <f>IF(AND(OR($A636="G",$A636="P"),NOT($O636="{array}")),IF(VLOOKUP($K636,base!$B$2:$D$20,3,0)="S",IF(OR($O636="",ISTEXT($O636)),"","STRING!"),IF(VLOOKUP($K636,base!$B$2:$D$20,3,0)="","",IF(ISTEXT($O636),"NUMERIC!",""))),"")</f>
        <v/>
      </c>
      <c r="AC636" s="16" t="str">
        <f>IF($AA636="","",IF($B636="I",VLOOKUP($AA636,#REF!,53,0),INDEX(VALUES!$B$1:$GP$1,1,$AA636)))</f>
        <v/>
      </c>
    </row>
    <row r="637" spans="1:29" hidden="1" outlineLevel="1">
      <c r="A637" s="21"/>
      <c r="B637" s="40" t="str">
        <f t="shared" si="40"/>
        <v/>
      </c>
      <c r="C637" s="41">
        <f t="shared" si="38"/>
        <v>636</v>
      </c>
      <c r="D637" s="260"/>
      <c r="E637" s="37"/>
      <c r="F637" s="305" t="s">
        <v>9</v>
      </c>
      <c r="G637" s="188"/>
      <c r="H637" s="37"/>
      <c r="I637" s="37" t="s">
        <v>9</v>
      </c>
      <c r="J637" s="37"/>
      <c r="K637" s="13" t="s">
        <v>52</v>
      </c>
      <c r="L637" s="13" t="s">
        <v>29</v>
      </c>
      <c r="M637" s="235" t="s">
        <v>730</v>
      </c>
      <c r="N637" s="13" t="s">
        <v>731</v>
      </c>
      <c r="O637" s="42">
        <v>2</v>
      </c>
      <c r="R637" s="37" t="s">
        <v>106</v>
      </c>
      <c r="S637" s="37"/>
      <c r="T637" s="37"/>
      <c r="W637" s="14" t="str">
        <f>IF(IFERROR(VLOOKUP($M637,'IMPORT GS-Tür OL FL 2S2 20'!$H$2:$H$847,1,0),"-")="-","","GS")</f>
        <v>GS</v>
      </c>
      <c r="X637" s="14" t="str">
        <f t="shared" si="39"/>
        <v/>
      </c>
      <c r="Z637" s="58" t="str">
        <f>IF(OR($M637="",NOT($O637="{array}")),"",IFERROR(MATCH(PARAMETERS!$M637,DEFAULT!$B$5:$CI$5,0),""))</f>
        <v/>
      </c>
      <c r="AA637" s="55" t="str">
        <f t="shared" si="41"/>
        <v/>
      </c>
      <c r="AB637" s="62" t="str">
        <f>IF(AND(OR($A637="G",$A637="P"),NOT($O637="{array}")),IF(VLOOKUP($K637,base!$B$2:$D$20,3,0)="S",IF(OR($O637="",ISTEXT($O637)),"","STRING!"),IF(VLOOKUP($K637,base!$B$2:$D$20,3,0)="","",IF(ISTEXT($O637),"NUMERIC!",""))),"")</f>
        <v/>
      </c>
      <c r="AC637" s="16" t="str">
        <f>IF($AA637="","",IF($B637="I",VLOOKUP($AA637,#REF!,53,0),INDEX(VALUES!$B$1:$GP$1,1,$AA637)))</f>
        <v/>
      </c>
    </row>
    <row r="638" spans="1:29" collapsed="1">
      <c r="A638" s="21"/>
      <c r="B638" s="40" t="str">
        <f t="shared" si="40"/>
        <v/>
      </c>
      <c r="C638" s="41">
        <f t="shared" si="38"/>
        <v>637</v>
      </c>
      <c r="D638" s="260"/>
      <c r="E638" s="37"/>
      <c r="F638" s="305"/>
      <c r="G638" s="188"/>
      <c r="H638" s="37"/>
      <c r="I638" s="37"/>
      <c r="J638" s="37"/>
      <c r="K638" s="13" t="s">
        <v>59</v>
      </c>
      <c r="L638" s="13" t="s">
        <v>40</v>
      </c>
      <c r="M638" s="47" t="s">
        <v>732</v>
      </c>
      <c r="N638" s="40" t="s">
        <v>447</v>
      </c>
      <c r="R638" s="37" t="s">
        <v>106</v>
      </c>
      <c r="S638" s="37"/>
      <c r="T638" s="37"/>
      <c r="W638" s="14" t="str">
        <f>IF(IFERROR(VLOOKUP($M638,'IMPORT GS-Tür OL FL 2S2 20'!$H$2:$H$847,1,0),"-")="-","","GS")</f>
        <v/>
      </c>
      <c r="X638" s="14" t="str">
        <f t="shared" si="39"/>
        <v/>
      </c>
      <c r="Z638" s="58" t="str">
        <f>IF(OR($M638="",NOT($O638="{array}")),"",IFERROR(MATCH(PARAMETERS!$M638,DEFAULT!$B$5:$CI$5,0),""))</f>
        <v/>
      </c>
      <c r="AA638" s="55" t="str">
        <f t="shared" si="41"/>
        <v/>
      </c>
      <c r="AB638" s="62" t="str">
        <f>IF(AND(OR($A638="G",$A638="P"),NOT($O638="{array}")),IF(VLOOKUP($K638,base!$B$2:$D$20,3,0)="S",IF(OR($O638="",ISTEXT($O638)),"","STRING!"),IF(VLOOKUP($K638,base!$B$2:$D$20,3,0)="","",IF(ISTEXT($O638),"NUMERIC!",""))),"")</f>
        <v/>
      </c>
      <c r="AC638" s="16" t="str">
        <f>IF($AA638="","",IF($B638="I",VLOOKUP($AA638,#REF!,53,0),INDEX(VALUES!$B$1:$GP$1,1,$AA638)))</f>
        <v/>
      </c>
    </row>
    <row r="639" spans="1:29" hidden="1" outlineLevel="1">
      <c r="A639" s="21"/>
      <c r="B639" s="40" t="str">
        <f t="shared" si="40"/>
        <v/>
      </c>
      <c r="C639" s="41">
        <f t="shared" si="38"/>
        <v>638</v>
      </c>
      <c r="D639" s="260"/>
      <c r="E639" s="37"/>
      <c r="F639" s="305"/>
      <c r="G639" s="188"/>
      <c r="H639" s="37"/>
      <c r="I639" s="37" t="s">
        <v>9</v>
      </c>
      <c r="J639" s="37"/>
      <c r="K639" s="13" t="s">
        <v>26</v>
      </c>
      <c r="L639" s="13" t="s">
        <v>29</v>
      </c>
      <c r="M639" s="235" t="s">
        <v>733</v>
      </c>
      <c r="N639" s="13" t="s">
        <v>734</v>
      </c>
      <c r="O639" s="42">
        <v>0.05</v>
      </c>
      <c r="R639" s="37" t="s">
        <v>106</v>
      </c>
      <c r="S639" s="37"/>
      <c r="T639" s="37"/>
      <c r="W639" s="14" t="str">
        <f>IF(IFERROR(VLOOKUP($M639,'IMPORT GS-Tür OL FL 2S2 20'!$H$2:$H$847,1,0),"-")="-","","GS")</f>
        <v/>
      </c>
      <c r="X639" s="14" t="str">
        <f t="shared" si="39"/>
        <v/>
      </c>
      <c r="Z639" s="58" t="str">
        <f>IF(OR($M639="",NOT($O639="{array}")),"",IFERROR(MATCH(PARAMETERS!$M639,DEFAULT!$B$5:$CI$5,0),""))</f>
        <v/>
      </c>
      <c r="AA639" s="55" t="str">
        <f t="shared" si="41"/>
        <v/>
      </c>
      <c r="AB639" s="62" t="str">
        <f>IF(AND(OR($A639="G",$A639="P"),NOT($O639="{array}")),IF(VLOOKUP($K639,base!$B$2:$D$20,3,0)="S",IF(OR($O639="",ISTEXT($O639)),"","STRING!"),IF(VLOOKUP($K639,base!$B$2:$D$20,3,0)="","",IF(ISTEXT($O639),"NUMERIC!",""))),"")</f>
        <v/>
      </c>
      <c r="AC639" s="16" t="str">
        <f>IF($AA639="","",IF($B639="I",VLOOKUP($AA639,#REF!,53,0),INDEX(VALUES!$B$1:$GP$1,1,$AA639)))</f>
        <v/>
      </c>
    </row>
    <row r="640" spans="1:29" hidden="1" outlineLevel="1">
      <c r="A640" s="21"/>
      <c r="B640" s="40" t="str">
        <f t="shared" si="40"/>
        <v/>
      </c>
      <c r="C640" s="41">
        <f t="shared" si="38"/>
        <v>639</v>
      </c>
      <c r="D640" s="260"/>
      <c r="E640" s="37"/>
      <c r="F640" s="305"/>
      <c r="G640" s="188"/>
      <c r="H640" s="37"/>
      <c r="I640" s="37" t="s">
        <v>9</v>
      </c>
      <c r="J640" s="37"/>
      <c r="K640" s="13" t="s">
        <v>26</v>
      </c>
      <c r="L640" s="13" t="s">
        <v>29</v>
      </c>
      <c r="M640" s="235" t="s">
        <v>735</v>
      </c>
      <c r="N640" s="13" t="s">
        <v>736</v>
      </c>
      <c r="O640" s="42">
        <v>0.06</v>
      </c>
      <c r="R640" s="37" t="s">
        <v>106</v>
      </c>
      <c r="S640" s="37"/>
      <c r="T640" s="37"/>
      <c r="W640" s="14" t="str">
        <f>IF(IFERROR(VLOOKUP($M640,'IMPORT GS-Tür OL FL 2S2 20'!$H$2:$H$847,1,0),"-")="-","","GS")</f>
        <v/>
      </c>
      <c r="X640" s="14" t="str">
        <f t="shared" si="39"/>
        <v/>
      </c>
      <c r="Z640" s="58" t="str">
        <f>IF(OR($M640="",NOT($O640="{array}")),"",IFERROR(MATCH(PARAMETERS!$M640,DEFAULT!$B$5:$CI$5,0),""))</f>
        <v/>
      </c>
      <c r="AA640" s="55" t="str">
        <f t="shared" si="41"/>
        <v/>
      </c>
      <c r="AB640" s="62" t="str">
        <f>IF(AND(OR($A640="G",$A640="P"),NOT($O640="{array}")),IF(VLOOKUP($K640,base!$B$2:$D$20,3,0)="S",IF(OR($O640="",ISTEXT($O640)),"","STRING!"),IF(VLOOKUP($K640,base!$B$2:$D$20,3,0)="","",IF(ISTEXT($O640),"NUMERIC!",""))),"")</f>
        <v/>
      </c>
      <c r="AC640" s="16" t="str">
        <f>IF($AA640="","",IF($B640="I",VLOOKUP($AA640,#REF!,53,0),INDEX(VALUES!$B$1:$GP$1,1,$AA640)))</f>
        <v/>
      </c>
    </row>
    <row r="641" spans="1:29" hidden="1" outlineLevel="1">
      <c r="A641" s="21"/>
      <c r="B641" s="40" t="str">
        <f t="shared" si="40"/>
        <v/>
      </c>
      <c r="C641" s="41">
        <f t="shared" si="38"/>
        <v>640</v>
      </c>
      <c r="D641" s="260"/>
      <c r="E641" s="37"/>
      <c r="F641" s="305"/>
      <c r="G641" s="188"/>
      <c r="H641" s="37"/>
      <c r="I641" s="37" t="s">
        <v>9</v>
      </c>
      <c r="J641" s="37"/>
      <c r="K641" s="13" t="s">
        <v>26</v>
      </c>
      <c r="L641" s="13" t="s">
        <v>29</v>
      </c>
      <c r="M641" s="235" t="s">
        <v>737</v>
      </c>
      <c r="N641" s="13" t="s">
        <v>738</v>
      </c>
      <c r="O641" s="42">
        <v>0.06</v>
      </c>
      <c r="R641" s="37" t="s">
        <v>106</v>
      </c>
      <c r="S641" s="37"/>
      <c r="T641" s="37"/>
      <c r="W641" s="14" t="str">
        <f>IF(IFERROR(VLOOKUP($M641,'IMPORT GS-Tür OL FL 2S2 20'!$H$2:$H$847,1,0),"-")="-","","GS")</f>
        <v/>
      </c>
      <c r="X641" s="14" t="str">
        <f t="shared" si="39"/>
        <v/>
      </c>
      <c r="Z641" s="58" t="str">
        <f>IF(OR($M641="",NOT($O641="{array}")),"",IFERROR(MATCH(PARAMETERS!$M641,DEFAULT!$B$5:$CI$5,0),""))</f>
        <v/>
      </c>
      <c r="AA641" s="55" t="str">
        <f t="shared" si="41"/>
        <v/>
      </c>
      <c r="AB641" s="62" t="str">
        <f>IF(AND(OR($A641="G",$A641="P"),NOT($O641="{array}")),IF(VLOOKUP($K641,base!$B$2:$D$20,3,0)="S",IF(OR($O641="",ISTEXT($O641)),"","STRING!"),IF(VLOOKUP($K641,base!$B$2:$D$20,3,0)="","",IF(ISTEXT($O641),"NUMERIC!",""))),"")</f>
        <v/>
      </c>
      <c r="AC641" s="16" t="str">
        <f>IF($AA641="","",IF($B641="I",VLOOKUP($AA641,#REF!,53,0),INDEX(VALUES!$B$1:$GP$1,1,$AA641)))</f>
        <v/>
      </c>
    </row>
    <row r="642" spans="1:29" hidden="1" outlineLevel="1">
      <c r="A642" s="21"/>
      <c r="B642" s="40" t="str">
        <f t="shared" si="40"/>
        <v/>
      </c>
      <c r="C642" s="41">
        <f t="shared" si="38"/>
        <v>641</v>
      </c>
      <c r="D642" s="260"/>
      <c r="E642" s="37"/>
      <c r="F642" s="305"/>
      <c r="G642" s="188"/>
      <c r="H642" s="37"/>
      <c r="I642" s="37" t="s">
        <v>9</v>
      </c>
      <c r="J642" s="37"/>
      <c r="K642" s="13" t="s">
        <v>26</v>
      </c>
      <c r="L642" s="13" t="s">
        <v>29</v>
      </c>
      <c r="M642" s="235" t="s">
        <v>739</v>
      </c>
      <c r="N642" s="13" t="s">
        <v>740</v>
      </c>
      <c r="O642" s="42">
        <v>0.06</v>
      </c>
      <c r="R642" s="37" t="s">
        <v>106</v>
      </c>
      <c r="S642" s="37"/>
      <c r="T642" s="37"/>
      <c r="W642" s="14" t="str">
        <f>IF(IFERROR(VLOOKUP($M642,'IMPORT GS-Tür OL FL 2S2 20'!$H$2:$H$847,1,0),"-")="-","","GS")</f>
        <v/>
      </c>
      <c r="X642" s="14" t="str">
        <f t="shared" si="39"/>
        <v/>
      </c>
      <c r="Z642" s="58" t="str">
        <f>IF(OR($M642="",NOT($O642="{array}")),"",IFERROR(MATCH(PARAMETERS!$M642,DEFAULT!$B$5:$CI$5,0),""))</f>
        <v/>
      </c>
      <c r="AA642" s="55" t="str">
        <f t="shared" si="41"/>
        <v/>
      </c>
      <c r="AB642" s="62" t="str">
        <f>IF(AND(OR($A642="G",$A642="P"),NOT($O642="{array}")),IF(VLOOKUP($K642,base!$B$2:$D$20,3,0)="S",IF(OR($O642="",ISTEXT($O642)),"","STRING!"),IF(VLOOKUP($K642,base!$B$2:$D$20,3,0)="","",IF(ISTEXT($O642),"NUMERIC!",""))),"")</f>
        <v/>
      </c>
      <c r="AC642" s="16" t="str">
        <f>IF($AA642="","",IF($B642="I",VLOOKUP($AA642,#REF!,53,0),INDEX(VALUES!$B$1:$GP$1,1,$AA642)))</f>
        <v/>
      </c>
    </row>
    <row r="643" spans="1:29" hidden="1" outlineLevel="1">
      <c r="A643" s="21"/>
      <c r="B643" s="40" t="str">
        <f t="shared" si="40"/>
        <v/>
      </c>
      <c r="C643" s="41">
        <f t="shared" si="38"/>
        <v>642</v>
      </c>
      <c r="D643" s="260"/>
      <c r="E643" s="37"/>
      <c r="F643" s="305"/>
      <c r="G643" s="188"/>
      <c r="H643" s="37"/>
      <c r="I643" s="37" t="s">
        <v>9</v>
      </c>
      <c r="J643" s="37"/>
      <c r="K643" s="13" t="s">
        <v>26</v>
      </c>
      <c r="L643" s="13" t="s">
        <v>29</v>
      </c>
      <c r="M643" s="235" t="s">
        <v>741</v>
      </c>
      <c r="N643" s="13" t="s">
        <v>742</v>
      </c>
      <c r="O643" s="42">
        <v>0.06</v>
      </c>
      <c r="R643" s="37" t="s">
        <v>106</v>
      </c>
      <c r="S643" s="37"/>
      <c r="T643" s="37"/>
      <c r="W643" s="14" t="str">
        <f>IF(IFERROR(VLOOKUP($M643,'IMPORT GS-Tür OL FL 2S2 20'!$H$2:$H$847,1,0),"-")="-","","GS")</f>
        <v/>
      </c>
      <c r="X643" s="14" t="str">
        <f t="shared" si="39"/>
        <v/>
      </c>
      <c r="Z643" s="58" t="str">
        <f>IF(OR($M643="",NOT($O643="{array}")),"",IFERROR(MATCH(PARAMETERS!$M643,DEFAULT!$B$5:$CI$5,0),""))</f>
        <v/>
      </c>
      <c r="AA643" s="55" t="str">
        <f t="shared" si="41"/>
        <v/>
      </c>
      <c r="AB643" s="62" t="str">
        <f>IF(AND(OR($A643="G",$A643="P"),NOT($O643="{array}")),IF(VLOOKUP($K643,base!$B$2:$D$20,3,0)="S",IF(OR($O643="",ISTEXT($O643)),"","STRING!"),IF(VLOOKUP($K643,base!$B$2:$D$20,3,0)="","",IF(ISTEXT($O643),"NUMERIC!",""))),"")</f>
        <v/>
      </c>
      <c r="AC643" s="16" t="str">
        <f>IF($AA643="","",IF($B643="I",VLOOKUP($AA643,#REF!,53,0),INDEX(VALUES!$B$1:$GP$1,1,$AA643)))</f>
        <v/>
      </c>
    </row>
    <row r="644" spans="1:29" hidden="1" outlineLevel="1">
      <c r="A644" s="21"/>
      <c r="B644" s="40" t="str">
        <f t="shared" si="40"/>
        <v/>
      </c>
      <c r="C644" s="41">
        <f t="shared" ref="C644:C666" si="42">(ROW()-1)</f>
        <v>643</v>
      </c>
      <c r="D644" s="260"/>
      <c r="E644" s="37"/>
      <c r="F644" s="305"/>
      <c r="G644" s="188"/>
      <c r="H644" s="37"/>
      <c r="I644" s="37" t="s">
        <v>9</v>
      </c>
      <c r="J644" s="37"/>
      <c r="K644" s="13" t="s">
        <v>55</v>
      </c>
      <c r="L644" s="13" t="s">
        <v>29</v>
      </c>
      <c r="M644" s="235" t="s">
        <v>743</v>
      </c>
      <c r="N644" s="13" t="s">
        <v>744</v>
      </c>
      <c r="O644" s="42">
        <v>1</v>
      </c>
      <c r="R644" s="37" t="s">
        <v>106</v>
      </c>
      <c r="S644" s="37"/>
      <c r="T644" s="37"/>
      <c r="W644" s="14" t="str">
        <f>IF(IFERROR(VLOOKUP($M644,'IMPORT GS-Tür OL FL 2S2 20'!$H$2:$H$847,1,0),"-")="-","","GS")</f>
        <v/>
      </c>
      <c r="X644" s="14" t="str">
        <f t="shared" si="39"/>
        <v/>
      </c>
      <c r="Z644" s="58" t="str">
        <f>IF(OR($M644="",NOT($O644="{array}")),"",IFERROR(MATCH(PARAMETERS!$M644,DEFAULT!$B$5:$CI$5,0),""))</f>
        <v/>
      </c>
      <c r="AA644" s="55" t="str">
        <f t="shared" si="41"/>
        <v/>
      </c>
      <c r="AB644" s="62" t="str">
        <f>IF(AND(OR($A644="G",$A644="P"),NOT($O644="{array}")),IF(VLOOKUP($K644,base!$B$2:$D$20,3,0)="S",IF(OR($O644="",ISTEXT($O644)),"","STRING!"),IF(VLOOKUP($K644,base!$B$2:$D$20,3,0)="","",IF(ISTEXT($O644),"NUMERIC!",""))),"")</f>
        <v/>
      </c>
      <c r="AC644" s="16" t="str">
        <f>IF($AA644="","",IF($B644="I",VLOOKUP($AA644,#REF!,53,0),INDEX(VALUES!$B$1:$GP$1,1,$AA644)))</f>
        <v/>
      </c>
    </row>
    <row r="645" spans="1:29" hidden="1" outlineLevel="1">
      <c r="A645" s="21"/>
      <c r="B645" s="40" t="str">
        <f t="shared" si="40"/>
        <v/>
      </c>
      <c r="C645" s="41">
        <f t="shared" si="42"/>
        <v>644</v>
      </c>
      <c r="D645" s="260"/>
      <c r="E645" s="37"/>
      <c r="F645" s="305"/>
      <c r="G645" s="188"/>
      <c r="H645" s="37"/>
      <c r="I645" s="37" t="s">
        <v>9</v>
      </c>
      <c r="J645" s="37"/>
      <c r="K645" s="13" t="s">
        <v>55</v>
      </c>
      <c r="L645" s="13" t="s">
        <v>29</v>
      </c>
      <c r="M645" s="235" t="s">
        <v>745</v>
      </c>
      <c r="N645" s="13" t="s">
        <v>746</v>
      </c>
      <c r="O645" s="42">
        <v>1</v>
      </c>
      <c r="R645" s="37" t="s">
        <v>106</v>
      </c>
      <c r="S645" s="37"/>
      <c r="T645" s="37"/>
      <c r="W645" s="14" t="str">
        <f>IF(IFERROR(VLOOKUP($M645,'IMPORT GS-Tür OL FL 2S2 20'!$H$2:$H$847,1,0),"-")="-","","GS")</f>
        <v/>
      </c>
      <c r="X645" s="14" t="str">
        <f t="shared" si="39"/>
        <v/>
      </c>
      <c r="Z645" s="58" t="str">
        <f>IF(OR($M645="",NOT($O645="{array}")),"",IFERROR(MATCH(PARAMETERS!$M645,DEFAULT!$B$5:$CI$5,0),""))</f>
        <v/>
      </c>
      <c r="AA645" s="55" t="str">
        <f t="shared" si="41"/>
        <v/>
      </c>
      <c r="AB645" s="62" t="str">
        <f>IF(AND(OR($A645="G",$A645="P"),NOT($O645="{array}")),IF(VLOOKUP($K645,base!$B$2:$D$20,3,0)="S",IF(OR($O645="",ISTEXT($O645)),"","STRING!"),IF(VLOOKUP($K645,base!$B$2:$D$20,3,0)="","",IF(ISTEXT($O645),"NUMERIC!",""))),"")</f>
        <v/>
      </c>
      <c r="AC645" s="16" t="str">
        <f>IF($AA645="","",IF($B645="I",VLOOKUP($AA645,#REF!,53,0),INDEX(VALUES!$B$1:$GP$1,1,$AA645)))</f>
        <v/>
      </c>
    </row>
    <row r="646" spans="1:29" hidden="1" outlineLevel="1">
      <c r="A646" s="21"/>
      <c r="B646" s="40" t="str">
        <f t="shared" si="40"/>
        <v/>
      </c>
      <c r="C646" s="41">
        <f t="shared" si="42"/>
        <v>645</v>
      </c>
      <c r="D646" s="260"/>
      <c r="E646" s="37"/>
      <c r="F646" s="305"/>
      <c r="G646" s="188"/>
      <c r="H646" s="37"/>
      <c r="I646" s="37" t="s">
        <v>9</v>
      </c>
      <c r="J646" s="37"/>
      <c r="K646" s="13" t="s">
        <v>54</v>
      </c>
      <c r="L646" s="13" t="s">
        <v>29</v>
      </c>
      <c r="M646" s="235" t="s">
        <v>747</v>
      </c>
      <c r="N646" s="13" t="s">
        <v>748</v>
      </c>
      <c r="O646" s="42">
        <v>65</v>
      </c>
      <c r="R646" s="37" t="s">
        <v>106</v>
      </c>
      <c r="S646" s="37"/>
      <c r="T646" s="37"/>
      <c r="W646" s="14" t="str">
        <f>IF(IFERROR(VLOOKUP($M646,'IMPORT GS-Tür OL FL 2S2 20'!$H$2:$H$847,1,0),"-")="-","","GS")</f>
        <v/>
      </c>
      <c r="X646" s="14" t="str">
        <f t="shared" si="39"/>
        <v/>
      </c>
      <c r="Z646" s="58" t="str">
        <f>IF(OR($M646="",NOT($O646="{array}")),"",IFERROR(MATCH(PARAMETERS!$M646,DEFAULT!$B$5:$CI$5,0),""))</f>
        <v/>
      </c>
      <c r="AA646" s="55" t="str">
        <f t="shared" si="41"/>
        <v/>
      </c>
      <c r="AB646" s="62" t="str">
        <f>IF(AND(OR($A646="G",$A646="P"),NOT($O646="{array}")),IF(VLOOKUP($K646,base!$B$2:$D$20,3,0)="S",IF(OR($O646="",ISTEXT($O646)),"","STRING!"),IF(VLOOKUP($K646,base!$B$2:$D$20,3,0)="","",IF(ISTEXT($O646),"NUMERIC!",""))),"")</f>
        <v/>
      </c>
      <c r="AC646" s="16" t="str">
        <f>IF($AA646="","",IF($B646="I",VLOOKUP($AA646,#REF!,53,0),INDEX(VALUES!$B$1:$GP$1,1,$AA646)))</f>
        <v/>
      </c>
    </row>
    <row r="647" spans="1:29" hidden="1" outlineLevel="1">
      <c r="A647" s="21"/>
      <c r="B647" s="40" t="str">
        <f t="shared" si="40"/>
        <v/>
      </c>
      <c r="C647" s="41">
        <f t="shared" si="42"/>
        <v>646</v>
      </c>
      <c r="D647" s="260"/>
      <c r="E647" s="37"/>
      <c r="F647" s="305"/>
      <c r="G647" s="188"/>
      <c r="H647" s="37"/>
      <c r="I647" s="37" t="s">
        <v>9</v>
      </c>
      <c r="J647" s="37"/>
      <c r="K647" s="13" t="s">
        <v>55</v>
      </c>
      <c r="L647" s="13" t="s">
        <v>29</v>
      </c>
      <c r="M647" s="235" t="s">
        <v>749</v>
      </c>
      <c r="N647" s="13" t="s">
        <v>750</v>
      </c>
      <c r="O647" s="42">
        <v>19</v>
      </c>
      <c r="R647" s="37" t="s">
        <v>106</v>
      </c>
      <c r="S647" s="37"/>
      <c r="T647" s="37"/>
      <c r="W647" s="14" t="str">
        <f>IF(IFERROR(VLOOKUP($M647,'IMPORT GS-Tür OL FL 2S2 20'!$H$2:$H$847,1,0),"-")="-","","GS")</f>
        <v/>
      </c>
      <c r="X647" s="14" t="str">
        <f t="shared" si="39"/>
        <v/>
      </c>
      <c r="Z647" s="58" t="str">
        <f>IF(OR($M647="",NOT($O647="{array}")),"",IFERROR(MATCH(PARAMETERS!$M647,DEFAULT!$B$5:$CI$5,0),""))</f>
        <v/>
      </c>
      <c r="AA647" s="55" t="str">
        <f t="shared" si="41"/>
        <v/>
      </c>
      <c r="AB647" s="62" t="str">
        <f>IF(AND(OR($A647="G",$A647="P"),NOT($O647="{array}")),IF(VLOOKUP($K647,base!$B$2:$D$20,3,0)="S",IF(OR($O647="",ISTEXT($O647)),"","STRING!"),IF(VLOOKUP($K647,base!$B$2:$D$20,3,0)="","",IF(ISTEXT($O647),"NUMERIC!",""))),"")</f>
        <v/>
      </c>
      <c r="AC647" s="16" t="str">
        <f>IF($AA647="","",IF($B647="I",VLOOKUP($AA647,#REF!,53,0),INDEX(VALUES!$B$1:$GP$1,1,$AA647)))</f>
        <v/>
      </c>
    </row>
    <row r="648" spans="1:29" hidden="1" outlineLevel="1">
      <c r="A648" s="21"/>
      <c r="B648" s="40" t="str">
        <f t="shared" si="40"/>
        <v/>
      </c>
      <c r="C648" s="41">
        <f t="shared" si="42"/>
        <v>647</v>
      </c>
      <c r="D648" s="260"/>
      <c r="E648" s="37"/>
      <c r="F648" s="305"/>
      <c r="G648" s="188"/>
      <c r="H648" s="37"/>
      <c r="I648" s="37" t="s">
        <v>9</v>
      </c>
      <c r="J648" s="37"/>
      <c r="K648" s="13" t="s">
        <v>55</v>
      </c>
      <c r="L648" s="13" t="s">
        <v>29</v>
      </c>
      <c r="M648" s="235" t="s">
        <v>751</v>
      </c>
      <c r="N648" s="13" t="s">
        <v>752</v>
      </c>
      <c r="O648" s="42">
        <v>19</v>
      </c>
      <c r="R648" s="37" t="s">
        <v>106</v>
      </c>
      <c r="S648" s="37"/>
      <c r="T648" s="37"/>
      <c r="W648" s="14" t="str">
        <f>IF(IFERROR(VLOOKUP($M648,'IMPORT GS-Tür OL FL 2S2 20'!$H$2:$H$847,1,0),"-")="-","","GS")</f>
        <v/>
      </c>
      <c r="X648" s="14" t="str">
        <f t="shared" si="39"/>
        <v/>
      </c>
      <c r="Z648" s="58" t="str">
        <f>IF(OR($M648="",NOT($O648="{array}")),"",IFERROR(MATCH(PARAMETERS!$M648,DEFAULT!$B$5:$CI$5,0),""))</f>
        <v/>
      </c>
      <c r="AA648" s="55" t="str">
        <f t="shared" si="41"/>
        <v/>
      </c>
      <c r="AB648" s="62" t="str">
        <f>IF(AND(OR($A648="G",$A648="P"),NOT($O648="{array}")),IF(VLOOKUP($K648,base!$B$2:$D$20,3,0)="S",IF(OR($O648="",ISTEXT($O648)),"","STRING!"),IF(VLOOKUP($K648,base!$B$2:$D$20,3,0)="","",IF(ISTEXT($O648),"NUMERIC!",""))),"")</f>
        <v/>
      </c>
      <c r="AC648" s="16" t="str">
        <f>IF($AA648="","",IF($B648="I",VLOOKUP($AA648,#REF!,53,0),INDEX(VALUES!$B$1:$GP$1,1,$AA648)))</f>
        <v/>
      </c>
    </row>
    <row r="649" spans="1:29" hidden="1" outlineLevel="1">
      <c r="A649" s="21"/>
      <c r="B649" s="40" t="str">
        <f t="shared" si="40"/>
        <v/>
      </c>
      <c r="C649" s="41">
        <f t="shared" si="42"/>
        <v>648</v>
      </c>
      <c r="D649" s="260"/>
      <c r="E649" s="37"/>
      <c r="F649" s="305"/>
      <c r="G649" s="188"/>
      <c r="H649" s="37"/>
      <c r="I649" s="37" t="s">
        <v>9</v>
      </c>
      <c r="J649" s="37"/>
      <c r="K649" s="13" t="s">
        <v>52</v>
      </c>
      <c r="L649" s="13" t="s">
        <v>29</v>
      </c>
      <c r="M649" s="235" t="s">
        <v>753</v>
      </c>
      <c r="N649" s="13" t="s">
        <v>754</v>
      </c>
      <c r="O649" s="42">
        <v>15</v>
      </c>
      <c r="R649" s="37" t="s">
        <v>106</v>
      </c>
      <c r="S649" s="37"/>
      <c r="T649" s="37"/>
      <c r="W649" s="14" t="str">
        <f>IF(IFERROR(VLOOKUP($M649,'IMPORT GS-Tür OL FL 2S2 20'!$H$2:$H$847,1,0),"-")="-","","GS")</f>
        <v/>
      </c>
      <c r="X649" s="14" t="str">
        <f t="shared" si="39"/>
        <v/>
      </c>
      <c r="Z649" s="58" t="str">
        <f>IF(OR($M649="",NOT($O649="{array}")),"",IFERROR(MATCH(PARAMETERS!$M649,DEFAULT!$B$5:$CI$5,0),""))</f>
        <v/>
      </c>
      <c r="AA649" s="55" t="str">
        <f t="shared" si="41"/>
        <v/>
      </c>
      <c r="AB649" s="62" t="str">
        <f>IF(AND(OR($A649="G",$A649="P"),NOT($O649="{array}")),IF(VLOOKUP($K649,base!$B$2:$D$20,3,0)="S",IF(OR($O649="",ISTEXT($O649)),"","STRING!"),IF(VLOOKUP($K649,base!$B$2:$D$20,3,0)="","",IF(ISTEXT($O649),"NUMERIC!",""))),"")</f>
        <v/>
      </c>
      <c r="AC649" s="16" t="str">
        <f>IF($AA649="","",IF($B649="I",VLOOKUP($AA649,#REF!,53,0),INDEX(VALUES!$B$1:$GP$1,1,$AA649)))</f>
        <v/>
      </c>
    </row>
    <row r="650" spans="1:29" collapsed="1">
      <c r="A650" s="21" t="s">
        <v>86</v>
      </c>
      <c r="B650" s="40" t="str">
        <f t="shared" si="40"/>
        <v/>
      </c>
      <c r="C650" s="41">
        <f t="shared" si="42"/>
        <v>649</v>
      </c>
      <c r="D650" s="260"/>
      <c r="E650" s="37"/>
      <c r="F650" s="305" t="s">
        <v>9</v>
      </c>
      <c r="G650" s="188"/>
      <c r="H650" s="37"/>
      <c r="I650" s="37"/>
      <c r="J650" s="37"/>
      <c r="K650" s="230" t="s">
        <v>59</v>
      </c>
      <c r="L650" s="230" t="s">
        <v>40</v>
      </c>
      <c r="M650" s="231" t="s">
        <v>755</v>
      </c>
      <c r="N650" s="232" t="s">
        <v>756</v>
      </c>
      <c r="R650" s="37" t="s">
        <v>106</v>
      </c>
      <c r="S650" s="37"/>
      <c r="T650" s="37"/>
      <c r="W650" s="14" t="str">
        <f>IF(IFERROR(VLOOKUP($M650,'IMPORT GS-Tür OL FL 2S2 20'!$H$2:$H$847,1,0),"-")="-","","GS")</f>
        <v>GS</v>
      </c>
      <c r="X650" s="14" t="str">
        <f t="shared" si="39"/>
        <v>...</v>
      </c>
      <c r="Z650" s="58" t="str">
        <f>IF(OR($M650="",NOT($O650="{array}")),"",IFERROR(MATCH(PARAMETERS!$M650,DEFAULT!$B$5:$CI$5,0),""))</f>
        <v/>
      </c>
      <c r="AA650" s="55" t="str">
        <f t="shared" si="41"/>
        <v/>
      </c>
      <c r="AB650" s="62" t="str">
        <f>IF(AND(OR($A650="G",$A650="P"),NOT($O650="{array}")),IF(VLOOKUP($K650,base!$B$2:$D$20,3,0)="S",IF(OR($O650="",ISTEXT($O650)),"","STRING!"),IF(VLOOKUP($K650,base!$B$2:$D$20,3,0)="","",IF(ISTEXT($O650),"NUMERIC!",""))),"")</f>
        <v/>
      </c>
      <c r="AC650" s="16" t="str">
        <f>IF($AA650="","",IF($B650="I",VLOOKUP($AA650,#REF!,53,0),INDEX(VALUES!$B$1:$GP$1,1,$AA650)))</f>
        <v/>
      </c>
    </row>
    <row r="651" spans="1:29" s="276" customFormat="1" hidden="1" outlineLevel="1">
      <c r="A651" s="263"/>
      <c r="B651" s="264" t="str">
        <f t="shared" si="40"/>
        <v/>
      </c>
      <c r="C651" s="265">
        <f t="shared" si="42"/>
        <v>650</v>
      </c>
      <c r="D651" s="266"/>
      <c r="E651" s="266"/>
      <c r="F651" s="305"/>
      <c r="G651" s="188"/>
      <c r="H651" s="266"/>
      <c r="I651" s="266" t="s">
        <v>9</v>
      </c>
      <c r="J651" s="266"/>
      <c r="K651" s="267" t="s">
        <v>20</v>
      </c>
      <c r="L651" s="267" t="s">
        <v>34</v>
      </c>
      <c r="M651" s="292" t="s">
        <v>757</v>
      </c>
      <c r="N651" s="267" t="s">
        <v>758</v>
      </c>
      <c r="O651" s="269" t="str">
        <f>"UZ"</f>
        <v>UZ</v>
      </c>
      <c r="Q651" s="266"/>
      <c r="R651" s="266" t="s">
        <v>204</v>
      </c>
      <c r="S651" s="266"/>
      <c r="T651" s="266"/>
      <c r="W651" s="272"/>
      <c r="X651" s="272" t="str">
        <f t="shared" si="39"/>
        <v/>
      </c>
      <c r="Z651" s="273" t="str">
        <f>IF(OR($M651="",NOT($O651="{array}")),"",IFERROR(MATCH(PARAMETERS!$M651,DEFAULT!$B$5:$CI$5,0),""))</f>
        <v/>
      </c>
      <c r="AA651" s="272" t="str">
        <f t="shared" si="41"/>
        <v/>
      </c>
      <c r="AB651" s="274" t="str">
        <f>IF(AND(OR($A651="G",$A651="P"),NOT($O651="{array}")),IF(VLOOKUP($K651,base!$B$2:$D$20,3,0)="S",IF(OR($O651="",ISTEXT($O651)),"","STRING!"),IF(VLOOKUP($K651,base!$B$2:$D$20,3,0)="","",IF(ISTEXT($O651),"NUMERIC!",""))),"")</f>
        <v/>
      </c>
      <c r="AC651" s="275" t="str">
        <f>IF($AA651="","",IF($B651="I",VLOOKUP($AA651,#REF!,53,0),INDEX(VALUES!$B$1:$GP$1,1,$AA651)))</f>
        <v/>
      </c>
    </row>
    <row r="652" spans="1:29" hidden="1" outlineLevel="1">
      <c r="A652" s="21" t="s">
        <v>86</v>
      </c>
      <c r="B652" s="40" t="str">
        <f t="shared" si="40"/>
        <v>V</v>
      </c>
      <c r="C652" s="41">
        <f t="shared" si="42"/>
        <v>651</v>
      </c>
      <c r="D652" s="260" t="s">
        <v>9</v>
      </c>
      <c r="E652" s="37"/>
      <c r="F652" s="305" t="s">
        <v>9</v>
      </c>
      <c r="G652" s="188"/>
      <c r="H652" s="37"/>
      <c r="I652" s="37" t="s">
        <v>9</v>
      </c>
      <c r="J652" s="37"/>
      <c r="K652" s="13" t="s">
        <v>20</v>
      </c>
      <c r="L652" s="13" t="s">
        <v>29</v>
      </c>
      <c r="M652" s="214" t="s">
        <v>759</v>
      </c>
      <c r="N652" s="13" t="s">
        <v>760</v>
      </c>
      <c r="O652" s="42" t="s">
        <v>3677</v>
      </c>
      <c r="Q652" s="167"/>
      <c r="R652" s="168"/>
      <c r="S652" s="168" t="s">
        <v>114</v>
      </c>
      <c r="T652" s="163" t="s">
        <v>298</v>
      </c>
      <c r="U652" s="163" t="s">
        <v>298</v>
      </c>
      <c r="V652" s="163" t="s">
        <v>761</v>
      </c>
      <c r="W652" s="14" t="str">
        <f>IF(IFERROR(VLOOKUP($M652,'IMPORT GS-Tür OL FL 2S2 20'!$H$2:$H$847,1,0),"-")="-","","GS")</f>
        <v>GS</v>
      </c>
      <c r="X652" s="14" t="str">
        <f t="shared" si="39"/>
        <v>...</v>
      </c>
      <c r="Y652" s="163" t="s">
        <v>762</v>
      </c>
      <c r="Z652" s="58" t="str">
        <f>IF(OR($M652="",NOT($O652="{array}")),"",IFERROR(MATCH(PARAMETERS!$M652,DEFAULT!$B$5:$CI$5,0),""))</f>
        <v/>
      </c>
      <c r="AA652" s="55">
        <f t="shared" si="41"/>
        <v>156</v>
      </c>
      <c r="AB652" s="62" t="str">
        <f>IF(AND(OR($A652="G",$A652="P"),NOT($O652="{array}")),IF(VLOOKUP($K652,base!$B$2:$D$20,3,0)="S",IF(OR($O652="",ISTEXT($O652)),"","STRING!"),IF(VLOOKUP($K652,base!$B$2:$D$20,3,0)="","",IF(ISTEXT($O652),"NUMERIC!",""))),"")</f>
        <v/>
      </c>
      <c r="AC652" s="16" t="str">
        <f>IF($AA652="","",IF($B652="I",VLOOKUP($AA652,#REF!,53,0),INDEX(VALUES!$B$1:$GP$1,1,$AA652)))</f>
        <v>EZ | UZ | FB | RR | BZ | SR</v>
      </c>
    </row>
    <row r="653" spans="1:29" hidden="1" outlineLevel="1">
      <c r="A653" s="21" t="s">
        <v>86</v>
      </c>
      <c r="B653" s="40" t="str">
        <f>IF($A653="P",IF(NOT($Z653=""),"A",IF(NOT($AA653=""),"I","")),IF(NOT($AA653=""),IF($A653="G","V","X"),IF(NOT($Z653=""),"A","")))</f>
        <v/>
      </c>
      <c r="C653" s="41">
        <f t="shared" si="42"/>
        <v>652</v>
      </c>
      <c r="D653" s="260"/>
      <c r="E653" s="37"/>
      <c r="F653" s="305"/>
      <c r="G653" s="188"/>
      <c r="H653" s="37"/>
      <c r="I653" s="37" t="s">
        <v>9</v>
      </c>
      <c r="J653" s="37"/>
      <c r="K653" s="52" t="s">
        <v>20</v>
      </c>
      <c r="L653" s="52" t="s">
        <v>23</v>
      </c>
      <c r="M653" s="178" t="s">
        <v>3382</v>
      </c>
      <c r="N653" s="52" t="s">
        <v>3383</v>
      </c>
      <c r="O653" s="153"/>
      <c r="P653" s="52"/>
      <c r="Q653" s="188" t="s">
        <v>9</v>
      </c>
      <c r="R653" s="174" t="s">
        <v>105</v>
      </c>
      <c r="S653" s="37"/>
      <c r="T653" s="37"/>
      <c r="W653" s="14"/>
      <c r="X653" s="14" t="str">
        <f t="shared" si="39"/>
        <v>...</v>
      </c>
      <c r="Z653" s="58" t="str">
        <f>IF(OR($M653="",NOT($O653="{array}")),"",IFERROR(MATCH(PARAMETERS!$M653,DEFAULT!$B$5:$CI$5,0),""))</f>
        <v/>
      </c>
      <c r="AA653" s="55" t="str">
        <f t="shared" si="41"/>
        <v/>
      </c>
      <c r="AB653" s="62" t="str">
        <f>IF(AND(OR($A653="G",$A653="P"),NOT($O653="{array}")),IF(VLOOKUP($K653,base!$B$2:$D$20,3,0)="S",IF(OR($O653="",ISTEXT($O653)),"","STRING!"),IF(VLOOKUP($K653,base!$B$2:$D$20,3,0)="","",IF(ISTEXT($O653),"NUMERIC!",""))),"")</f>
        <v/>
      </c>
      <c r="AC653" s="16" t="str">
        <f>IF($AA653="","",IF($B653="I",VLOOKUP($AA653,#REF!,53,0),INDEX(VALUES!$B$1:$GP$1,1,$AA653)))</f>
        <v/>
      </c>
    </row>
    <row r="654" spans="1:29" hidden="1" outlineLevel="1">
      <c r="A654" s="21" t="s">
        <v>86</v>
      </c>
      <c r="B654" s="40" t="str">
        <f>IF($A654="P",IF(NOT($Z654=""),"A",IF(NOT($AA654=""),"I","")),IF(NOT($AA654=""),IF($A654="G","V","X"),IF(NOT($Z654=""),"A","")))</f>
        <v/>
      </c>
      <c r="C654" s="41">
        <f t="shared" si="42"/>
        <v>653</v>
      </c>
      <c r="D654" s="260"/>
      <c r="E654" s="37"/>
      <c r="F654" s="305"/>
      <c r="G654" s="188"/>
      <c r="H654" s="37"/>
      <c r="I654" s="37" t="s">
        <v>9</v>
      </c>
      <c r="J654" s="37"/>
      <c r="K654" s="52" t="s">
        <v>20</v>
      </c>
      <c r="L654" s="52" t="s">
        <v>23</v>
      </c>
      <c r="M654" s="178" t="s">
        <v>3384</v>
      </c>
      <c r="N654" s="52" t="s">
        <v>3385</v>
      </c>
      <c r="O654" s="153"/>
      <c r="P654" s="52"/>
      <c r="Q654" s="188" t="s">
        <v>9</v>
      </c>
      <c r="R654" s="174" t="s">
        <v>105</v>
      </c>
      <c r="S654" s="37"/>
      <c r="T654" s="37"/>
      <c r="W654" s="14"/>
      <c r="X654" s="14" t="str">
        <f t="shared" si="39"/>
        <v>individuell</v>
      </c>
      <c r="Z654" s="58" t="str">
        <f>IF(OR($M654="",NOT($O654="{array}")),"",IFERROR(MATCH(PARAMETERS!$M654,DEFAULT!$B$5:$CI$5,0),""))</f>
        <v/>
      </c>
      <c r="AA654" s="55" t="str">
        <f t="shared" si="41"/>
        <v/>
      </c>
      <c r="AB654" s="62" t="str">
        <f>IF(AND(OR($A654="G",$A654="P"),NOT($O654="{array}")),IF(VLOOKUP($K654,base!$B$2:$D$20,3,0)="S",IF(OR($O654="",ISTEXT($O654)),"","STRING!"),IF(VLOOKUP($K654,base!$B$2:$D$20,3,0)="","",IF(ISTEXT($O654),"NUMERIC!",""))),"")</f>
        <v/>
      </c>
      <c r="AC654" s="16" t="str">
        <f>IF($AA654="","",IF($B654="I",VLOOKUP($AA654,#REF!,53,0),INDEX(VALUES!$B$1:$GP$1,1,$AA654)))</f>
        <v/>
      </c>
    </row>
    <row r="655" spans="1:29" hidden="1" outlineLevel="1">
      <c r="A655" s="21" t="s">
        <v>86</v>
      </c>
      <c r="B655" s="40" t="str">
        <f t="shared" si="40"/>
        <v/>
      </c>
      <c r="C655" s="41">
        <f t="shared" si="42"/>
        <v>654</v>
      </c>
      <c r="D655" s="260" t="s">
        <v>9</v>
      </c>
      <c r="E655" s="37"/>
      <c r="F655" s="305"/>
      <c r="G655" s="188"/>
      <c r="H655" s="37"/>
      <c r="I655" s="37" t="s">
        <v>9</v>
      </c>
      <c r="J655" s="37"/>
      <c r="K655" s="248" t="s">
        <v>46</v>
      </c>
      <c r="L655" s="248" t="s">
        <v>29</v>
      </c>
      <c r="M655" s="212" t="s">
        <v>3533</v>
      </c>
      <c r="N655" s="248" t="s">
        <v>3534</v>
      </c>
      <c r="O655" s="250">
        <v>3</v>
      </c>
      <c r="P655" s="157" t="s">
        <v>298</v>
      </c>
      <c r="Q655" s="167" t="s">
        <v>9</v>
      </c>
      <c r="R655" s="168" t="s">
        <v>105</v>
      </c>
      <c r="S655" s="168" t="s">
        <v>114</v>
      </c>
      <c r="T655" s="163" t="s">
        <v>298</v>
      </c>
      <c r="U655" s="163" t="s">
        <v>298</v>
      </c>
      <c r="V655" s="163" t="s">
        <v>764</v>
      </c>
      <c r="W655" s="14" t="str">
        <f>IF(IFERROR(VLOOKUP($M655,'IMPORT GS-Tür OL FL 2S2 20'!$H$2:$H$847,1,0),"-")="-","","GS")</f>
        <v/>
      </c>
      <c r="X655" s="14" t="str">
        <f t="shared" si="39"/>
        <v>...</v>
      </c>
      <c r="Y655" s="163" t="s">
        <v>765</v>
      </c>
      <c r="Z655" s="58" t="str">
        <f>IF(OR($M655="",NOT($O655="{array}")),"",IFERROR(MATCH(PARAMETERS!$M655,DEFAULT!$B$5:$CI$5,0),""))</f>
        <v/>
      </c>
      <c r="AA655" s="55" t="str">
        <f t="shared" si="41"/>
        <v/>
      </c>
      <c r="AB655" s="62" t="str">
        <f>IF(AND(OR($A655="G",$A655="P"),NOT($O655="{array}")),IF(VLOOKUP($K655,base!$B$2:$D$20,3,0)="S",IF(OR($O655="",ISTEXT($O655)),"","STRING!"),IF(VLOOKUP($K655,base!$B$2:$D$20,3,0)="","",IF(ISTEXT($O655),"NUMERIC!",""))),"")</f>
        <v/>
      </c>
      <c r="AC655" s="16" t="str">
        <f>IF($AA655="","",IF($B655="I",VLOOKUP($AA655,#REF!,53,0),INDEX(VALUES!$B$1:$GP$1,1,$AA655)))</f>
        <v/>
      </c>
    </row>
    <row r="656" spans="1:29" hidden="1" outlineLevel="1">
      <c r="A656" s="21" t="s">
        <v>86</v>
      </c>
      <c r="B656" s="40" t="str">
        <f t="shared" si="40"/>
        <v/>
      </c>
      <c r="C656" s="41">
        <f t="shared" si="42"/>
        <v>655</v>
      </c>
      <c r="D656" s="260" t="s">
        <v>9</v>
      </c>
      <c r="E656" s="37"/>
      <c r="F656" s="305"/>
      <c r="G656" s="188"/>
      <c r="H656" s="37"/>
      <c r="I656" s="37" t="s">
        <v>9</v>
      </c>
      <c r="J656" s="37"/>
      <c r="K656" s="163" t="s">
        <v>20</v>
      </c>
      <c r="L656" s="13" t="s">
        <v>34</v>
      </c>
      <c r="M656" s="178" t="s">
        <v>3386</v>
      </c>
      <c r="N656" s="163" t="s">
        <v>766</v>
      </c>
      <c r="O656" s="163" t="s">
        <v>3851</v>
      </c>
      <c r="P656" s="157" t="s">
        <v>298</v>
      </c>
      <c r="Q656" s="167" t="s">
        <v>9</v>
      </c>
      <c r="R656" s="168" t="s">
        <v>105</v>
      </c>
      <c r="S656" s="168" t="s">
        <v>114</v>
      </c>
      <c r="T656" s="163" t="s">
        <v>298</v>
      </c>
      <c r="U656" s="163" t="s">
        <v>298</v>
      </c>
      <c r="V656" s="163" t="s">
        <v>766</v>
      </c>
      <c r="W656" s="14" t="str">
        <f>IF(IFERROR(VLOOKUP($M656,'IMPORT GS-Tür OL FL 2S2 20'!$H$2:$H$847,1,0),"-")="-","","GS")</f>
        <v/>
      </c>
      <c r="X656" s="14" t="str">
        <f t="shared" si="39"/>
        <v>HZ</v>
      </c>
      <c r="Y656" s="163" t="s">
        <v>767</v>
      </c>
      <c r="Z656" s="58" t="str">
        <f>IF(OR($M656="",NOT($O656="{array}")),"",IFERROR(MATCH(PARAMETERS!$M656,DEFAULT!$B$5:$CI$5,0),""))</f>
        <v/>
      </c>
      <c r="AA656" s="55" t="str">
        <f t="shared" si="41"/>
        <v/>
      </c>
      <c r="AB656" s="62" t="str">
        <f>IF(AND(OR($A656="G",$A656="P"),NOT($O656="{array}")),IF(VLOOKUP($K656,base!$B$2:$D$20,3,0)="S",IF(OR($O656="",ISTEXT($O656)),"","STRING!"),IF(VLOOKUP($K656,base!$B$2:$D$20,3,0)="","",IF(ISTEXT($O656),"NUMERIC!",""))),"")</f>
        <v/>
      </c>
      <c r="AC656" s="16" t="str">
        <f>IF($AA656="","",IF($B656="I",VLOOKUP($AA656,#REF!,53,0),INDEX(VALUES!$B$1:$GP$1,1,$AA656)))</f>
        <v/>
      </c>
    </row>
    <row r="657" spans="1:29" hidden="1" outlineLevel="1">
      <c r="A657" s="21" t="s">
        <v>86</v>
      </c>
      <c r="B657" s="40" t="str">
        <f t="shared" si="40"/>
        <v/>
      </c>
      <c r="C657" s="41">
        <f t="shared" si="42"/>
        <v>656</v>
      </c>
      <c r="D657" s="260" t="s">
        <v>9</v>
      </c>
      <c r="E657" s="37"/>
      <c r="F657" s="305"/>
      <c r="G657" s="188" t="s">
        <v>9</v>
      </c>
      <c r="H657" s="37"/>
      <c r="I657" s="37" t="s">
        <v>9</v>
      </c>
      <c r="J657" s="37"/>
      <c r="K657" s="13" t="s">
        <v>49</v>
      </c>
      <c r="L657" s="13" t="s">
        <v>29</v>
      </c>
      <c r="M657" s="214" t="s">
        <v>768</v>
      </c>
      <c r="N657" s="13" t="s">
        <v>769</v>
      </c>
      <c r="O657" s="42">
        <v>0</v>
      </c>
      <c r="R657" s="37" t="s">
        <v>106</v>
      </c>
      <c r="S657" s="37"/>
      <c r="T657" s="37"/>
      <c r="W657" s="14" t="str">
        <f>IF(IFERROR(VLOOKUP($M657,'IMPORT GS-Tür OL FL 2S2 20'!$H$2:$H$847,1,0),"-")="-","","GS")</f>
        <v>GS</v>
      </c>
      <c r="X657" s="14">
        <f t="shared" si="39"/>
        <v>1</v>
      </c>
      <c r="Z657" s="58" t="str">
        <f>IF(OR($M657="",NOT($O657="{array}")),"",IFERROR(MATCH(PARAMETERS!$M657,DEFAULT!$B$5:$CI$5,0),""))</f>
        <v/>
      </c>
      <c r="AA657" s="55" t="str">
        <f t="shared" si="41"/>
        <v/>
      </c>
      <c r="AB657" s="62" t="str">
        <f>IF(AND(OR($A657="G",$A657="P"),NOT($O657="{array}")),IF(VLOOKUP($K657,base!$B$2:$D$20,3,0)="S",IF(OR($O657="",ISTEXT($O657)),"","STRING!"),IF(VLOOKUP($K657,base!$B$2:$D$20,3,0)="","",IF(ISTEXT($O657),"NUMERIC!",""))),"")</f>
        <v/>
      </c>
      <c r="AC657" s="16" t="str">
        <f>IF($AA657="","",IF($B657="I",VLOOKUP($AA657,#REF!,53,0),INDEX(VALUES!$B$1:$GP$1,1,$AA657)))</f>
        <v/>
      </c>
    </row>
    <row r="658" spans="1:29" hidden="1" outlineLevel="1">
      <c r="A658" s="21" t="s">
        <v>86</v>
      </c>
      <c r="B658" s="40" t="str">
        <f t="shared" si="40"/>
        <v/>
      </c>
      <c r="C658" s="41">
        <f t="shared" si="42"/>
        <v>657</v>
      </c>
      <c r="D658" s="260" t="s">
        <v>9</v>
      </c>
      <c r="E658" s="37"/>
      <c r="F658" s="305" t="s">
        <v>9</v>
      </c>
      <c r="G658" s="188"/>
      <c r="H658" s="37"/>
      <c r="I658" s="37" t="s">
        <v>9</v>
      </c>
      <c r="J658" s="37"/>
      <c r="K658" s="13" t="s">
        <v>26</v>
      </c>
      <c r="L658" s="13" t="s">
        <v>29</v>
      </c>
      <c r="M658" s="214" t="s">
        <v>770</v>
      </c>
      <c r="N658" s="13" t="s">
        <v>771</v>
      </c>
      <c r="O658" s="42">
        <v>0.03</v>
      </c>
      <c r="R658" s="37" t="s">
        <v>106</v>
      </c>
      <c r="S658" s="37"/>
      <c r="T658" s="37"/>
      <c r="W658" s="14" t="str">
        <f>IF(IFERROR(VLOOKUP($M658,'IMPORT GS-Tür OL FL 2S2 20'!$H$2:$H$847,1,0),"-")="-","","GS")</f>
        <v>GS</v>
      </c>
      <c r="X658" s="14" t="str">
        <f t="shared" si="39"/>
        <v>...</v>
      </c>
      <c r="Z658" s="58" t="str">
        <f>IF(OR($M658="",NOT($O658="{array}")),"",IFERROR(MATCH(PARAMETERS!$M658,DEFAULT!$B$5:$CI$5,0),""))</f>
        <v/>
      </c>
      <c r="AA658" s="55" t="str">
        <f t="shared" si="41"/>
        <v/>
      </c>
      <c r="AB658" s="62" t="str">
        <f>IF(AND(OR($A658="G",$A658="P"),NOT($O658="{array}")),IF(VLOOKUP($K658,base!$B$2:$D$20,3,0)="S",IF(OR($O658="",ISTEXT($O658)),"","STRING!"),IF(VLOOKUP($K658,base!$B$2:$D$20,3,0)="","",IF(ISTEXT($O658),"NUMERIC!",""))),"")</f>
        <v/>
      </c>
      <c r="AC658" s="16" t="str">
        <f>IF($AA658="","",IF($B658="I",VLOOKUP($AA658,#REF!,53,0),INDEX(VALUES!$B$1:$GP$1,1,$AA658)))</f>
        <v/>
      </c>
    </row>
    <row r="659" spans="1:29" hidden="1" outlineLevel="1">
      <c r="A659" s="21" t="s">
        <v>86</v>
      </c>
      <c r="B659" s="40" t="str">
        <f t="shared" si="40"/>
        <v/>
      </c>
      <c r="C659" s="41">
        <f t="shared" si="42"/>
        <v>658</v>
      </c>
      <c r="D659" s="260" t="s">
        <v>9</v>
      </c>
      <c r="E659" s="37"/>
      <c r="F659" s="305"/>
      <c r="G659" s="188"/>
      <c r="H659" s="37"/>
      <c r="I659" s="37" t="s">
        <v>9</v>
      </c>
      <c r="J659" s="37"/>
      <c r="K659" s="13" t="s">
        <v>26</v>
      </c>
      <c r="L659" s="13" t="s">
        <v>29</v>
      </c>
      <c r="M659" s="214" t="s">
        <v>772</v>
      </c>
      <c r="N659" s="13" t="s">
        <v>773</v>
      </c>
      <c r="O659" s="42">
        <v>0.03</v>
      </c>
      <c r="R659" s="37" t="s">
        <v>106</v>
      </c>
      <c r="S659" s="37"/>
      <c r="T659" s="37"/>
      <c r="W659" s="14" t="str">
        <f>IF(IFERROR(VLOOKUP($M659,'IMPORT GS-Tür OL FL 2S2 20'!$H$2:$H$847,1,0),"-")="-","","GS")</f>
        <v>GS</v>
      </c>
      <c r="X659" s="14" t="str">
        <f t="shared" si="39"/>
        <v>...</v>
      </c>
      <c r="Z659" s="58" t="str">
        <f>IF(OR($M659="",NOT($O659="{array}")),"",IFERROR(MATCH(PARAMETERS!$M659,DEFAULT!$B$5:$CI$5,0),""))</f>
        <v/>
      </c>
      <c r="AA659" s="55" t="str">
        <f t="shared" si="41"/>
        <v/>
      </c>
      <c r="AB659" s="62" t="str">
        <f>IF(AND(OR($A659="G",$A659="P"),NOT($O659="{array}")),IF(VLOOKUP($K659,base!$B$2:$D$20,3,0)="S",IF(OR($O659="",ISTEXT($O659)),"","STRING!"),IF(VLOOKUP($K659,base!$B$2:$D$20,3,0)="","",IF(ISTEXT($O659),"NUMERIC!",""))),"")</f>
        <v/>
      </c>
      <c r="AC659" s="16" t="str">
        <f>IF($AA659="","",IF($B659="I",VLOOKUP($AA659,#REF!,53,0),INDEX(VALUES!$B$1:$GP$1,1,$AA659)))</f>
        <v/>
      </c>
    </row>
    <row r="660" spans="1:29" hidden="1" outlineLevel="1">
      <c r="A660" s="21" t="s">
        <v>86</v>
      </c>
      <c r="B660" s="40" t="str">
        <f t="shared" si="40"/>
        <v/>
      </c>
      <c r="C660" s="41">
        <f t="shared" si="42"/>
        <v>659</v>
      </c>
      <c r="D660" s="260" t="s">
        <v>9</v>
      </c>
      <c r="E660" s="37"/>
      <c r="F660" s="305"/>
      <c r="G660" s="188"/>
      <c r="H660" s="37"/>
      <c r="I660" s="37" t="s">
        <v>9</v>
      </c>
      <c r="J660" s="37"/>
      <c r="K660" s="13" t="s">
        <v>26</v>
      </c>
      <c r="L660" s="13" t="s">
        <v>29</v>
      </c>
      <c r="M660" s="214" t="s">
        <v>774</v>
      </c>
      <c r="N660" s="13" t="s">
        <v>775</v>
      </c>
      <c r="O660" s="42">
        <v>0.03</v>
      </c>
      <c r="R660" s="37" t="s">
        <v>106</v>
      </c>
      <c r="S660" s="37"/>
      <c r="T660" s="37"/>
      <c r="W660" s="14" t="str">
        <f>IF(IFERROR(VLOOKUP($M660,'IMPORT GS-Tür OL FL 2S2 20'!$H$2:$H$847,1,0),"-")="-","","GS")</f>
        <v>GS</v>
      </c>
      <c r="X660" s="14" t="str">
        <f t="shared" si="39"/>
        <v>...</v>
      </c>
      <c r="Z660" s="58" t="str">
        <f>IF(OR($M660="",NOT($O660="{array}")),"",IFERROR(MATCH(PARAMETERS!$M660,DEFAULT!$B$5:$CI$5,0),""))</f>
        <v/>
      </c>
      <c r="AA660" s="55" t="str">
        <f t="shared" si="41"/>
        <v/>
      </c>
      <c r="AB660" s="62" t="str">
        <f>IF(AND(OR($A660="G",$A660="P"),NOT($O660="{array}")),IF(VLOOKUP($K660,base!$B$2:$D$20,3,0)="S",IF(OR($O660="",ISTEXT($O660)),"","STRING!"),IF(VLOOKUP($K660,base!$B$2:$D$20,3,0)="","",IF(ISTEXT($O660),"NUMERIC!",""))),"")</f>
        <v/>
      </c>
      <c r="AC660" s="16" t="str">
        <f>IF($AA660="","",IF($B660="I",VLOOKUP($AA660,#REF!,53,0),INDEX(VALUES!$B$1:$GP$1,1,$AA660)))</f>
        <v/>
      </c>
    </row>
    <row r="661" spans="1:29" hidden="1" outlineLevel="1">
      <c r="A661" s="21" t="s">
        <v>86</v>
      </c>
      <c r="B661" s="40" t="str">
        <f t="shared" si="40"/>
        <v/>
      </c>
      <c r="C661" s="41">
        <f t="shared" si="42"/>
        <v>660</v>
      </c>
      <c r="D661" s="260" t="s">
        <v>9</v>
      </c>
      <c r="E661" s="37"/>
      <c r="F661" s="305"/>
      <c r="G661" s="188"/>
      <c r="H661" s="37"/>
      <c r="I661" s="37" t="s">
        <v>9</v>
      </c>
      <c r="J661" s="37"/>
      <c r="K661" s="13" t="s">
        <v>26</v>
      </c>
      <c r="L661" s="13" t="s">
        <v>29</v>
      </c>
      <c r="M661" s="214" t="s">
        <v>776</v>
      </c>
      <c r="N661" s="13" t="s">
        <v>777</v>
      </c>
      <c r="O661" s="42">
        <v>0.06</v>
      </c>
      <c r="R661" s="37" t="s">
        <v>106</v>
      </c>
      <c r="S661" s="37"/>
      <c r="T661" s="37"/>
      <c r="W661" s="14" t="str">
        <f>IF(IFERROR(VLOOKUP($M661,'IMPORT GS-Tür OL FL 2S2 20'!$H$2:$H$847,1,0),"-")="-","","GS")</f>
        <v>GS</v>
      </c>
      <c r="X661" s="14" t="str">
        <f t="shared" si="39"/>
        <v>...</v>
      </c>
      <c r="Z661" s="58" t="str">
        <f>IF(OR($M661="",NOT($O661="{array}")),"",IFERROR(MATCH(PARAMETERS!$M661,DEFAULT!$B$5:$CI$5,0),""))</f>
        <v/>
      </c>
      <c r="AA661" s="55" t="str">
        <f t="shared" si="41"/>
        <v/>
      </c>
      <c r="AB661" s="62" t="str">
        <f>IF(AND(OR($A661="G",$A661="P"),NOT($O661="{array}")),IF(VLOOKUP($K661,base!$B$2:$D$20,3,0)="S",IF(OR($O661="",ISTEXT($O661)),"","STRING!"),IF(VLOOKUP($K661,base!$B$2:$D$20,3,0)="","",IF(ISTEXT($O661),"NUMERIC!",""))),"")</f>
        <v/>
      </c>
      <c r="AC661" s="16" t="str">
        <f>IF($AA661="","",IF($B661="I",VLOOKUP($AA661,#REF!,53,0),INDEX(VALUES!$B$1:$GP$1,1,$AA661)))</f>
        <v/>
      </c>
    </row>
    <row r="662" spans="1:29" hidden="1" outlineLevel="1">
      <c r="A662" s="21" t="s">
        <v>86</v>
      </c>
      <c r="B662" s="40" t="str">
        <f t="shared" si="40"/>
        <v/>
      </c>
      <c r="C662" s="41">
        <f t="shared" si="42"/>
        <v>661</v>
      </c>
      <c r="D662" s="260" t="s">
        <v>9</v>
      </c>
      <c r="E662" s="37"/>
      <c r="F662" s="305"/>
      <c r="G662" s="188"/>
      <c r="H662" s="37"/>
      <c r="I662" s="37" t="s">
        <v>9</v>
      </c>
      <c r="J662" s="37"/>
      <c r="K662" s="13" t="s">
        <v>26</v>
      </c>
      <c r="L662" s="13" t="s">
        <v>29</v>
      </c>
      <c r="M662" s="214" t="s">
        <v>778</v>
      </c>
      <c r="N662" s="13" t="s">
        <v>779</v>
      </c>
      <c r="O662" s="42">
        <v>0.06</v>
      </c>
      <c r="R662" s="37" t="s">
        <v>106</v>
      </c>
      <c r="S662" s="37"/>
      <c r="T662" s="37"/>
      <c r="W662" s="14" t="str">
        <f>IF(IFERROR(VLOOKUP($M662,'IMPORT GS-Tür OL FL 2S2 20'!$H$2:$H$847,1,0),"-")="-","","GS")</f>
        <v>GS</v>
      </c>
      <c r="X662" s="14" t="str">
        <f t="shared" si="39"/>
        <v>...</v>
      </c>
      <c r="Z662" s="58" t="str">
        <f>IF(OR($M662="",NOT($O662="{array}")),"",IFERROR(MATCH(PARAMETERS!$M662,DEFAULT!$B$5:$CI$5,0),""))</f>
        <v/>
      </c>
      <c r="AA662" s="55" t="str">
        <f t="shared" si="41"/>
        <v/>
      </c>
      <c r="AB662" s="62" t="str">
        <f>IF(AND(OR($A662="G",$A662="P"),NOT($O662="{array}")),IF(VLOOKUP($K662,base!$B$2:$D$20,3,0)="S",IF(OR($O662="",ISTEXT($O662)),"","STRING!"),IF(VLOOKUP($K662,base!$B$2:$D$20,3,0)="","",IF(ISTEXT($O662),"NUMERIC!",""))),"")</f>
        <v/>
      </c>
      <c r="AC662" s="16" t="str">
        <f>IF($AA662="","",IF($B662="I",VLOOKUP($AA662,#REF!,53,0),INDEX(VALUES!$B$1:$GP$1,1,$AA662)))</f>
        <v/>
      </c>
    </row>
    <row r="663" spans="1:29" hidden="1" outlineLevel="1">
      <c r="A663" s="21" t="s">
        <v>86</v>
      </c>
      <c r="B663" s="40" t="str">
        <f t="shared" si="40"/>
        <v/>
      </c>
      <c r="C663" s="41">
        <f t="shared" si="42"/>
        <v>662</v>
      </c>
      <c r="D663" s="260" t="s">
        <v>9</v>
      </c>
      <c r="E663" s="37"/>
      <c r="F663" s="305"/>
      <c r="G663" s="188"/>
      <c r="H663" s="37"/>
      <c r="I663" s="37" t="s">
        <v>9</v>
      </c>
      <c r="J663" s="37"/>
      <c r="K663" s="13" t="s">
        <v>26</v>
      </c>
      <c r="L663" s="13" t="s">
        <v>29</v>
      </c>
      <c r="M663" s="214" t="s">
        <v>780</v>
      </c>
      <c r="N663" s="13" t="s">
        <v>781</v>
      </c>
      <c r="O663" s="42">
        <v>0.03</v>
      </c>
      <c r="R663" s="37" t="s">
        <v>106</v>
      </c>
      <c r="S663" s="37"/>
      <c r="T663" s="37"/>
      <c r="W663" s="14" t="str">
        <f>IF(IFERROR(VLOOKUP($M663,'IMPORT GS-Tür OL FL 2S2 20'!$H$2:$H$847,1,0),"-")="-","","GS")</f>
        <v>GS</v>
      </c>
      <c r="X663" s="14" t="str">
        <f t="shared" si="39"/>
        <v>...</v>
      </c>
      <c r="Z663" s="58" t="str">
        <f>IF(OR($M663="",NOT($O663="{array}")),"",IFERROR(MATCH(PARAMETERS!$M663,DEFAULT!$B$5:$CI$5,0),""))</f>
        <v/>
      </c>
      <c r="AA663" s="55" t="str">
        <f t="shared" si="41"/>
        <v/>
      </c>
      <c r="AB663" s="62" t="str">
        <f>IF(AND(OR($A663="G",$A663="P"),NOT($O663="{array}")),IF(VLOOKUP($K663,base!$B$2:$D$20,3,0)="S",IF(OR($O663="",ISTEXT($O663)),"","STRING!"),IF(VLOOKUP($K663,base!$B$2:$D$20,3,0)="","",IF(ISTEXT($O663),"NUMERIC!",""))),"")</f>
        <v/>
      </c>
      <c r="AC663" s="16" t="str">
        <f>IF($AA663="","",IF($B663="I",VLOOKUP($AA663,#REF!,53,0),INDEX(VALUES!$B$1:$GP$1,1,$AA663)))</f>
        <v/>
      </c>
    </row>
    <row r="664" spans="1:29" hidden="1" outlineLevel="1">
      <c r="A664" s="21" t="s">
        <v>86</v>
      </c>
      <c r="B664" s="40" t="str">
        <f t="shared" si="40"/>
        <v/>
      </c>
      <c r="C664" s="41">
        <f t="shared" si="42"/>
        <v>663</v>
      </c>
      <c r="D664" s="260" t="s">
        <v>9</v>
      </c>
      <c r="E664" s="37"/>
      <c r="F664" s="305"/>
      <c r="G664" s="188"/>
      <c r="H664" s="37"/>
      <c r="I664" s="37" t="s">
        <v>9</v>
      </c>
      <c r="J664" s="37"/>
      <c r="K664" s="13" t="s">
        <v>26</v>
      </c>
      <c r="L664" s="13" t="s">
        <v>29</v>
      </c>
      <c r="M664" s="214" t="s">
        <v>782</v>
      </c>
      <c r="N664" s="13" t="s">
        <v>783</v>
      </c>
      <c r="O664" s="42">
        <v>0.06</v>
      </c>
      <c r="R664" s="37" t="s">
        <v>106</v>
      </c>
      <c r="S664" s="37"/>
      <c r="T664" s="37"/>
      <c r="W664" s="14" t="str">
        <f>IF(IFERROR(VLOOKUP($M664,'IMPORT GS-Tür OL FL 2S2 20'!$H$2:$H$847,1,0),"-")="-","","GS")</f>
        <v>GS</v>
      </c>
      <c r="X664" s="14" t="str">
        <f t="shared" si="39"/>
        <v>...</v>
      </c>
      <c r="Z664" s="58" t="str">
        <f>IF(OR($M664="",NOT($O664="{array}")),"",IFERROR(MATCH(PARAMETERS!$M664,DEFAULT!$B$5:$CI$5,0),""))</f>
        <v/>
      </c>
      <c r="AA664" s="55" t="str">
        <f t="shared" si="41"/>
        <v/>
      </c>
      <c r="AB664" s="62" t="str">
        <f>IF(AND(OR($A664="G",$A664="P"),NOT($O664="{array}")),IF(VLOOKUP($K664,base!$B$2:$D$20,3,0)="S",IF(OR($O664="",ISTEXT($O664)),"","STRING!"),IF(VLOOKUP($K664,base!$B$2:$D$20,3,0)="","",IF(ISTEXT($O664),"NUMERIC!",""))),"")</f>
        <v/>
      </c>
      <c r="AC664" s="16" t="str">
        <f>IF($AA664="","",IF($B664="I",VLOOKUP($AA664,#REF!,53,0),INDEX(VALUES!$B$1:$GP$1,1,$AA664)))</f>
        <v/>
      </c>
    </row>
    <row r="665" spans="1:29" hidden="1" outlineLevel="1">
      <c r="A665" s="21" t="s">
        <v>86</v>
      </c>
      <c r="B665" s="40" t="str">
        <f t="shared" si="40"/>
        <v/>
      </c>
      <c r="C665" s="41">
        <f t="shared" si="42"/>
        <v>664</v>
      </c>
      <c r="D665" s="260" t="s">
        <v>9</v>
      </c>
      <c r="E665" s="37"/>
      <c r="F665" s="305"/>
      <c r="G665" s="188"/>
      <c r="H665" s="37"/>
      <c r="I665" s="37" t="s">
        <v>9</v>
      </c>
      <c r="J665" s="37"/>
      <c r="K665" s="13" t="s">
        <v>26</v>
      </c>
      <c r="L665" s="13" t="s">
        <v>29</v>
      </c>
      <c r="M665" s="214" t="s">
        <v>784</v>
      </c>
      <c r="N665" s="13" t="s">
        <v>785</v>
      </c>
      <c r="O665" s="42">
        <v>0.06</v>
      </c>
      <c r="R665" s="37" t="s">
        <v>106</v>
      </c>
      <c r="S665" s="37"/>
      <c r="T665" s="37"/>
      <c r="W665" s="14" t="str">
        <f>IF(IFERROR(VLOOKUP($M665,'IMPORT GS-Tür OL FL 2S2 20'!$H$2:$H$847,1,0),"-")="-","","GS")</f>
        <v>GS</v>
      </c>
      <c r="X665" s="14" t="str">
        <f t="shared" si="39"/>
        <v>...</v>
      </c>
      <c r="Z665" s="58" t="str">
        <f>IF(OR($M665="",NOT($O665="{array}")),"",IFERROR(MATCH(PARAMETERS!$M665,DEFAULT!$B$5:$CI$5,0),""))</f>
        <v/>
      </c>
      <c r="AA665" s="55" t="str">
        <f t="shared" si="41"/>
        <v/>
      </c>
      <c r="AB665" s="62" t="str">
        <f>IF(AND(OR($A665="G",$A665="P"),NOT($O665="{array}")),IF(VLOOKUP($K665,base!$B$2:$D$20,3,0)="S",IF(OR($O665="",ISTEXT($O665)),"","STRING!"),IF(VLOOKUP($K665,base!$B$2:$D$20,3,0)="","",IF(ISTEXT($O665),"NUMERIC!",""))),"")</f>
        <v/>
      </c>
      <c r="AC665" s="16" t="str">
        <f>IF($AA665="","",IF($B665="I",VLOOKUP($AA665,#REF!,53,0),INDEX(VALUES!$B$1:$GP$1,1,$AA665)))</f>
        <v/>
      </c>
    </row>
    <row r="666" spans="1:29" hidden="1" outlineLevel="1">
      <c r="A666" s="21" t="s">
        <v>86</v>
      </c>
      <c r="B666" s="40" t="str">
        <f t="shared" si="40"/>
        <v/>
      </c>
      <c r="C666" s="41">
        <f t="shared" si="42"/>
        <v>665</v>
      </c>
      <c r="D666" s="260" t="s">
        <v>9</v>
      </c>
      <c r="E666" s="37"/>
      <c r="F666" s="305"/>
      <c r="G666" s="188"/>
      <c r="H666" s="37"/>
      <c r="I666" s="37" t="s">
        <v>9</v>
      </c>
      <c r="J666" s="37"/>
      <c r="K666" s="13" t="s">
        <v>26</v>
      </c>
      <c r="L666" s="13" t="s">
        <v>29</v>
      </c>
      <c r="M666" s="214" t="s">
        <v>786</v>
      </c>
      <c r="N666" s="13" t="s">
        <v>787</v>
      </c>
      <c r="O666" s="42">
        <v>0.13500000000000001</v>
      </c>
      <c r="R666" s="37" t="s">
        <v>106</v>
      </c>
      <c r="S666" s="37"/>
      <c r="T666" s="37"/>
      <c r="W666" s="14" t="str">
        <f>IF(IFERROR(VLOOKUP($M666,'IMPORT GS-Tür OL FL 2S2 20'!$H$2:$H$847,1,0),"-")="-","","GS")</f>
        <v>GS</v>
      </c>
      <c r="X666" s="14">
        <f t="shared" si="39"/>
        <v>0.155</v>
      </c>
      <c r="Z666" s="58" t="str">
        <f>IF(OR($M666="",NOT($O666="{array}")),"",IFERROR(MATCH(PARAMETERS!$M666,DEFAULT!$B$5:$CI$5,0),""))</f>
        <v/>
      </c>
      <c r="AA666" s="55" t="str">
        <f t="shared" si="41"/>
        <v/>
      </c>
      <c r="AB666" s="62" t="str">
        <f>IF(AND(OR($A666="G",$A666="P"),NOT($O666="{array}")),IF(VLOOKUP($K666,base!$B$2:$D$20,3,0)="S",IF(OR($O666="",ISTEXT($O666)),"","STRING!"),IF(VLOOKUP($K666,base!$B$2:$D$20,3,0)="","",IF(ISTEXT($O666),"NUMERIC!",""))),"")</f>
        <v/>
      </c>
      <c r="AC666" s="16" t="str">
        <f>IF($AA666="","",IF($B666="I",VLOOKUP($AA666,#REF!,53,0),INDEX(VALUES!$B$1:$GP$1,1,$AA666)))</f>
        <v/>
      </c>
    </row>
    <row r="667" spans="1:29" hidden="1" outlineLevel="1">
      <c r="A667" s="21" t="s">
        <v>86</v>
      </c>
      <c r="B667" s="40" t="str">
        <f t="shared" si="40"/>
        <v/>
      </c>
      <c r="C667" s="41">
        <f t="shared" ref="C667:C678" si="43">(ROW()-1)</f>
        <v>666</v>
      </c>
      <c r="D667" s="260" t="s">
        <v>9</v>
      </c>
      <c r="E667" s="37"/>
      <c r="F667" s="305"/>
      <c r="G667" s="188" t="s">
        <v>9</v>
      </c>
      <c r="H667" s="37"/>
      <c r="I667" s="37" t="s">
        <v>9</v>
      </c>
      <c r="J667" s="37"/>
      <c r="K667" s="13" t="s">
        <v>49</v>
      </c>
      <c r="L667" s="13" t="s">
        <v>29</v>
      </c>
      <c r="M667" s="178" t="s">
        <v>3521</v>
      </c>
      <c r="N667" s="52" t="s">
        <v>3522</v>
      </c>
      <c r="O667" s="153">
        <v>1</v>
      </c>
      <c r="P667" s="52"/>
      <c r="Q667" s="188" t="s">
        <v>9</v>
      </c>
      <c r="R667" s="37" t="s">
        <v>204</v>
      </c>
      <c r="S667" s="37"/>
      <c r="T667" s="37"/>
      <c r="W667" s="14" t="str">
        <f>IF(IFERROR(VLOOKUP($M667,'IMPORT GS-Tür OL FL 2S2 20'!$H$2:$H$847,1,0),"-")="-","","GS")</f>
        <v/>
      </c>
      <c r="X667" s="14" t="str">
        <f t="shared" si="39"/>
        <v>...</v>
      </c>
      <c r="Z667" s="58" t="str">
        <f>IF(OR($M667="",NOT($O667="{array}")),"",IFERROR(MATCH(PARAMETERS!$M667,DEFAULT!$B$5:$CI$5,0),""))</f>
        <v/>
      </c>
      <c r="AA667" s="55" t="str">
        <f t="shared" si="41"/>
        <v/>
      </c>
      <c r="AB667" s="62" t="str">
        <f>IF(AND(OR($A667="G",$A667="P"),NOT($O667="{array}")),IF(VLOOKUP($K667,base!$B$2:$D$20,3,0)="S",IF(OR($O667="",ISTEXT($O667)),"","STRING!"),IF(VLOOKUP($K667,base!$B$2:$D$20,3,0)="","",IF(ISTEXT($O667),"NUMERIC!",""))),"")</f>
        <v/>
      </c>
      <c r="AC667" s="16" t="str">
        <f>IF($AA667="","",IF($B667="I",VLOOKUP($AA667,#REF!,53,0),INDEX(VALUES!$B$1:$GP$1,1,$AA667)))</f>
        <v/>
      </c>
    </row>
    <row r="668" spans="1:29" hidden="1" outlineLevel="1">
      <c r="A668" s="21" t="s">
        <v>86</v>
      </c>
      <c r="B668" s="40" t="str">
        <f t="shared" si="40"/>
        <v/>
      </c>
      <c r="C668" s="41">
        <f t="shared" si="43"/>
        <v>667</v>
      </c>
      <c r="D668" s="260" t="s">
        <v>9</v>
      </c>
      <c r="E668" s="37"/>
      <c r="F668" s="305"/>
      <c r="G668" s="188"/>
      <c r="H668" s="37"/>
      <c r="I668" s="37" t="s">
        <v>9</v>
      </c>
      <c r="J668" s="37"/>
      <c r="K668" s="13" t="s">
        <v>26</v>
      </c>
      <c r="L668" s="13" t="s">
        <v>29</v>
      </c>
      <c r="M668" s="178" t="s">
        <v>3528</v>
      </c>
      <c r="N668" s="52" t="s">
        <v>3523</v>
      </c>
      <c r="O668" s="153">
        <v>7.0000000000000007E-2</v>
      </c>
      <c r="P668" s="52"/>
      <c r="Q668" s="188" t="s">
        <v>9</v>
      </c>
      <c r="R668" s="37" t="s">
        <v>204</v>
      </c>
      <c r="S668" s="37"/>
      <c r="T668" s="37"/>
      <c r="W668" s="14" t="str">
        <f>IF(IFERROR(VLOOKUP($M668,'IMPORT GS-Tür OL FL 2S2 20'!$H$2:$H$847,1,0),"-")="-","","GS")</f>
        <v/>
      </c>
      <c r="X668" s="14" t="str">
        <f t="shared" si="39"/>
        <v>...</v>
      </c>
      <c r="Z668" s="58" t="str">
        <f>IF(OR($M668="",NOT($O668="{array}")),"",IFERROR(MATCH(PARAMETERS!$M668,DEFAULT!$B$5:$CI$5,0),""))</f>
        <v/>
      </c>
      <c r="AA668" s="55" t="str">
        <f t="shared" si="41"/>
        <v/>
      </c>
      <c r="AB668" s="62" t="str">
        <f>IF(AND(OR($A668="G",$A668="P"),NOT($O668="{array}")),IF(VLOOKUP($K668,base!$B$2:$D$20,3,0)="S",IF(OR($O668="",ISTEXT($O668)),"","STRING!"),IF(VLOOKUP($K668,base!$B$2:$D$20,3,0)="","",IF(ISTEXT($O668),"NUMERIC!",""))),"")</f>
        <v/>
      </c>
      <c r="AC668" s="16" t="str">
        <f>IF($AA668="","",IF($B668="I",VLOOKUP($AA668,#REF!,53,0),INDEX(VALUES!$B$1:$GP$1,1,$AA668)))</f>
        <v/>
      </c>
    </row>
    <row r="669" spans="1:29" hidden="1" outlineLevel="1">
      <c r="A669" s="21" t="s">
        <v>86</v>
      </c>
      <c r="B669" s="40" t="str">
        <f t="shared" si="40"/>
        <v/>
      </c>
      <c r="C669" s="41">
        <f t="shared" si="43"/>
        <v>668</v>
      </c>
      <c r="D669" s="260" t="s">
        <v>9</v>
      </c>
      <c r="E669" s="37"/>
      <c r="F669" s="305"/>
      <c r="G669" s="188"/>
      <c r="H669" s="37"/>
      <c r="I669" s="37" t="s">
        <v>9</v>
      </c>
      <c r="J669" s="37"/>
      <c r="K669" s="13" t="s">
        <v>26</v>
      </c>
      <c r="L669" s="13" t="s">
        <v>29</v>
      </c>
      <c r="M669" s="178" t="s">
        <v>3529</v>
      </c>
      <c r="N669" s="52" t="s">
        <v>3524</v>
      </c>
      <c r="O669" s="153">
        <v>0.13500000000000001</v>
      </c>
      <c r="P669" s="52"/>
      <c r="Q669" s="188" t="s">
        <v>9</v>
      </c>
      <c r="R669" s="37" t="s">
        <v>204</v>
      </c>
      <c r="S669" s="37"/>
      <c r="T669" s="37"/>
      <c r="W669" s="14" t="str">
        <f>IF(IFERROR(VLOOKUP($M669,'IMPORT GS-Tür OL FL 2S2 20'!$H$2:$H$847,1,0),"-")="-","","GS")</f>
        <v/>
      </c>
      <c r="X669" s="14">
        <f t="shared" si="39"/>
        <v>0.155</v>
      </c>
      <c r="Z669" s="58" t="str">
        <f>IF(OR($M669="",NOT($O669="{array}")),"",IFERROR(MATCH(PARAMETERS!$M669,DEFAULT!$B$5:$CI$5,0),""))</f>
        <v/>
      </c>
      <c r="AA669" s="55" t="str">
        <f t="shared" si="41"/>
        <v/>
      </c>
      <c r="AB669" s="62" t="str">
        <f>IF(AND(OR($A669="G",$A669="P"),NOT($O669="{array}")),IF(VLOOKUP($K669,base!$B$2:$D$20,3,0)="S",IF(OR($O669="",ISTEXT($O669)),"","STRING!"),IF(VLOOKUP($K669,base!$B$2:$D$20,3,0)="","",IF(ISTEXT($O669),"NUMERIC!",""))),"")</f>
        <v/>
      </c>
      <c r="AC669" s="16" t="str">
        <f>IF($AA669="","",IF($B669="I",VLOOKUP($AA669,#REF!,53,0),INDEX(VALUES!$B$1:$GP$1,1,$AA669)))</f>
        <v/>
      </c>
    </row>
    <row r="670" spans="1:29" hidden="1" outlineLevel="1">
      <c r="A670" s="21" t="s">
        <v>86</v>
      </c>
      <c r="B670" s="40" t="str">
        <f t="shared" si="40"/>
        <v/>
      </c>
      <c r="C670" s="41">
        <f t="shared" si="43"/>
        <v>669</v>
      </c>
      <c r="D670" s="260" t="s">
        <v>9</v>
      </c>
      <c r="E670" s="37"/>
      <c r="F670" s="305"/>
      <c r="G670" s="188"/>
      <c r="H670" s="37"/>
      <c r="I670" s="37" t="s">
        <v>9</v>
      </c>
      <c r="J670" s="37"/>
      <c r="K670" s="13" t="s">
        <v>26</v>
      </c>
      <c r="L670" s="13" t="s">
        <v>29</v>
      </c>
      <c r="M670" s="178" t="s">
        <v>3530</v>
      </c>
      <c r="N670" s="52" t="s">
        <v>3525</v>
      </c>
      <c r="O670" s="153">
        <v>7.0000000000000007E-2</v>
      </c>
      <c r="P670" s="52"/>
      <c r="Q670" s="188" t="s">
        <v>9</v>
      </c>
      <c r="R670" s="37" t="s">
        <v>204</v>
      </c>
      <c r="S670" s="37"/>
      <c r="T670" s="37"/>
      <c r="W670" s="14" t="str">
        <f>IF(IFERROR(VLOOKUP($M670,'IMPORT GS-Tür OL FL 2S2 20'!$H$2:$H$847,1,0),"-")="-","","GS")</f>
        <v/>
      </c>
      <c r="X670" s="14" t="str">
        <f t="shared" si="39"/>
        <v>...</v>
      </c>
      <c r="Z670" s="58" t="str">
        <f>IF(OR($M670="",NOT($O670="{array}")),"",IFERROR(MATCH(PARAMETERS!$M670,DEFAULT!$B$5:$CI$5,0),""))</f>
        <v/>
      </c>
      <c r="AA670" s="55" t="str">
        <f t="shared" si="41"/>
        <v/>
      </c>
      <c r="AB670" s="62" t="str">
        <f>IF(AND(OR($A670="G",$A670="P"),NOT($O670="{array}")),IF(VLOOKUP($K670,base!$B$2:$D$20,3,0)="S",IF(OR($O670="",ISTEXT($O670)),"","STRING!"),IF(VLOOKUP($K670,base!$B$2:$D$20,3,0)="","",IF(ISTEXT($O670),"NUMERIC!",""))),"")</f>
        <v/>
      </c>
      <c r="AC670" s="16" t="str">
        <f>IF($AA670="","",IF($B670="I",VLOOKUP($AA670,#REF!,53,0),INDEX(VALUES!$B$1:$GP$1,1,$AA670)))</f>
        <v/>
      </c>
    </row>
    <row r="671" spans="1:29" hidden="1" outlineLevel="1">
      <c r="A671" s="21" t="s">
        <v>86</v>
      </c>
      <c r="B671" s="40" t="str">
        <f t="shared" si="40"/>
        <v/>
      </c>
      <c r="C671" s="41">
        <f t="shared" si="43"/>
        <v>670</v>
      </c>
      <c r="D671" s="260" t="s">
        <v>9</v>
      </c>
      <c r="E671" s="37"/>
      <c r="F671" s="305"/>
      <c r="G671" s="188"/>
      <c r="H671" s="37"/>
      <c r="I671" s="37" t="s">
        <v>9</v>
      </c>
      <c r="J671" s="37"/>
      <c r="K671" s="13" t="s">
        <v>26</v>
      </c>
      <c r="L671" s="13" t="s">
        <v>29</v>
      </c>
      <c r="M671" s="178" t="s">
        <v>3531</v>
      </c>
      <c r="N671" s="52" t="s">
        <v>3526</v>
      </c>
      <c r="O671" s="153">
        <v>7.0000000000000007E-2</v>
      </c>
      <c r="P671" s="52"/>
      <c r="Q671" s="188" t="s">
        <v>9</v>
      </c>
      <c r="R671" s="37" t="s">
        <v>204</v>
      </c>
      <c r="S671" s="37"/>
      <c r="T671" s="37"/>
      <c r="W671" s="14" t="str">
        <f>IF(IFERROR(VLOOKUP($M671,'IMPORT GS-Tür OL FL 2S2 20'!$H$2:$H$847,1,0),"-")="-","","GS")</f>
        <v/>
      </c>
      <c r="X671" s="14" t="str">
        <f t="shared" si="39"/>
        <v>...</v>
      </c>
      <c r="Z671" s="58" t="str">
        <f>IF(OR($M671="",NOT($O671="{array}")),"",IFERROR(MATCH(PARAMETERS!$M671,DEFAULT!$B$5:$CI$5,0),""))</f>
        <v/>
      </c>
      <c r="AA671" s="55" t="str">
        <f t="shared" si="41"/>
        <v/>
      </c>
      <c r="AB671" s="62" t="str">
        <f>IF(AND(OR($A671="G",$A671="P"),NOT($O671="{array}")),IF(VLOOKUP($K671,base!$B$2:$D$20,3,0)="S",IF(OR($O671="",ISTEXT($O671)),"","STRING!"),IF(VLOOKUP($K671,base!$B$2:$D$20,3,0)="","",IF(ISTEXT($O671),"NUMERIC!",""))),"")</f>
        <v/>
      </c>
      <c r="AC671" s="16" t="str">
        <f>IF($AA671="","",IF($B671="I",VLOOKUP($AA671,#REF!,53,0),INDEX(VALUES!$B$1:$GP$1,1,$AA671)))</f>
        <v/>
      </c>
    </row>
    <row r="672" spans="1:29" hidden="1" outlineLevel="1">
      <c r="A672" s="21" t="s">
        <v>86</v>
      </c>
      <c r="B672" s="40" t="str">
        <f t="shared" si="40"/>
        <v/>
      </c>
      <c r="C672" s="41">
        <f t="shared" si="43"/>
        <v>671</v>
      </c>
      <c r="D672" s="260" t="s">
        <v>9</v>
      </c>
      <c r="E672" s="37"/>
      <c r="F672" s="305"/>
      <c r="G672" s="188"/>
      <c r="H672" s="37"/>
      <c r="I672" s="37" t="s">
        <v>9</v>
      </c>
      <c r="J672" s="37"/>
      <c r="K672" s="13" t="s">
        <v>26</v>
      </c>
      <c r="L672" s="13" t="s">
        <v>29</v>
      </c>
      <c r="M672" s="178" t="s">
        <v>3532</v>
      </c>
      <c r="N672" s="52" t="s">
        <v>3527</v>
      </c>
      <c r="O672" s="153">
        <v>0.13500000000000001</v>
      </c>
      <c r="P672" s="52"/>
      <c r="Q672" s="188" t="s">
        <v>9</v>
      </c>
      <c r="R672" s="37" t="s">
        <v>204</v>
      </c>
      <c r="S672" s="37"/>
      <c r="T672" s="37"/>
      <c r="W672" s="14" t="str">
        <f>IF(IFERROR(VLOOKUP($M672,'IMPORT GS-Tür OL FL 2S2 20'!$H$2:$H$847,1,0),"-")="-","","GS")</f>
        <v/>
      </c>
      <c r="X672" s="14">
        <f t="shared" ref="X672:X735" si="44">IF($A672="G",IF(IFERROR(VLOOKUP($M672,Reimport,1,0),"-")="-","&gt;&lt;",IF($O672=VLOOKUP($M672,Reimport,2,0),"...",VLOOKUP($M672,Reimport,2,0))),"")</f>
        <v>0.155</v>
      </c>
      <c r="Z672" s="58" t="str">
        <f>IF(OR($M672="",NOT($O672="{array}")),"",IFERROR(MATCH(PARAMETERS!$M672,DEFAULT!$B$5:$CI$5,0),""))</f>
        <v/>
      </c>
      <c r="AA672" s="55" t="str">
        <f t="shared" si="41"/>
        <v/>
      </c>
      <c r="AB672" s="62" t="str">
        <f>IF(AND(OR($A672="G",$A672="P"),NOT($O672="{array}")),IF(VLOOKUP($K672,base!$B$2:$D$20,3,0)="S",IF(OR($O672="",ISTEXT($O672)),"","STRING!"),IF(VLOOKUP($K672,base!$B$2:$D$20,3,0)="","",IF(ISTEXT($O672),"NUMERIC!",""))),"")</f>
        <v/>
      </c>
      <c r="AC672" s="16" t="str">
        <f>IF($AA672="","",IF($B672="I",VLOOKUP($AA672,#REF!,53,0),INDEX(VALUES!$B$1:$GP$1,1,$AA672)))</f>
        <v/>
      </c>
    </row>
    <row r="673" spans="1:29" hidden="1" outlineLevel="1">
      <c r="A673" s="21" t="s">
        <v>86</v>
      </c>
      <c r="B673" s="40" t="str">
        <f t="shared" ref="B673:B678" si="45">IF($A673="P",IF(NOT($Z673=""),"A",IF(NOT($AA673=""),"I","")),IF(NOT($AA673=""),IF($A673="G","V","X"),IF(NOT($Z673=""),"A","")))</f>
        <v/>
      </c>
      <c r="C673" s="41">
        <f t="shared" si="43"/>
        <v>672</v>
      </c>
      <c r="D673" s="260" t="s">
        <v>9</v>
      </c>
      <c r="E673" s="37"/>
      <c r="F673" s="305"/>
      <c r="G673" s="188"/>
      <c r="H673" s="37"/>
      <c r="I673" s="37" t="s">
        <v>9</v>
      </c>
      <c r="J673" s="37"/>
      <c r="K673" s="13" t="s">
        <v>26</v>
      </c>
      <c r="L673" s="13" t="s">
        <v>29</v>
      </c>
      <c r="M673" s="178" t="s">
        <v>3546</v>
      </c>
      <c r="N673" s="163" t="s">
        <v>788</v>
      </c>
      <c r="O673" s="156">
        <v>0.1</v>
      </c>
      <c r="P673" s="157"/>
      <c r="Q673" s="168" t="s">
        <v>9</v>
      </c>
      <c r="R673" s="168" t="s">
        <v>105</v>
      </c>
      <c r="S673" s="168" t="s">
        <v>114</v>
      </c>
      <c r="T673" s="163" t="s">
        <v>298</v>
      </c>
      <c r="U673" s="163" t="s">
        <v>298</v>
      </c>
      <c r="V673" s="163" t="s">
        <v>788</v>
      </c>
      <c r="W673" s="14" t="str">
        <f>IF(IFERROR(VLOOKUP($M673,'IMPORT GS-Tür OL FL 2S2 20'!$H$2:$H$847,1,0),"-")="-","","GS")</f>
        <v/>
      </c>
      <c r="X673" s="14">
        <f t="shared" si="44"/>
        <v>4.4999999999999998E-2</v>
      </c>
      <c r="Y673" s="163" t="s">
        <v>789</v>
      </c>
      <c r="Z673" s="58" t="str">
        <f>IF(OR($M673="",NOT($O673="{array}")),"",IFERROR(MATCH(PARAMETERS!$M673,DEFAULT!$B$5:$CI$5,0),""))</f>
        <v/>
      </c>
      <c r="AA673" s="55" t="str">
        <f t="shared" si="41"/>
        <v/>
      </c>
      <c r="AB673" s="62" t="str">
        <f>IF(AND(OR($A673="G",$A673="P"),NOT($O673="{array}")),IF(VLOOKUP($K673,base!$B$2:$D$20,3,0)="S",IF(OR($O673="",ISTEXT($O673)),"","STRING!"),IF(VLOOKUP($K673,base!$B$2:$D$20,3,0)="","",IF(ISTEXT($O673),"NUMERIC!",""))),"")</f>
        <v/>
      </c>
      <c r="AC673" s="16" t="str">
        <f>IF($AA673="","",IF($B673="I",VLOOKUP($AA673,#REF!,53,0),INDEX(VALUES!$B$1:$GP$1,1,$AA673)))</f>
        <v/>
      </c>
    </row>
    <row r="674" spans="1:29" hidden="1" outlineLevel="1">
      <c r="A674" s="21" t="s">
        <v>86</v>
      </c>
      <c r="B674" s="40" t="str">
        <f t="shared" si="45"/>
        <v/>
      </c>
      <c r="C674" s="41">
        <f t="shared" si="43"/>
        <v>673</v>
      </c>
      <c r="D674" s="260" t="s">
        <v>9</v>
      </c>
      <c r="E674" s="37"/>
      <c r="F674" s="305"/>
      <c r="G674" s="188"/>
      <c r="H674" s="37"/>
      <c r="I674" s="37" t="s">
        <v>9</v>
      </c>
      <c r="J674" s="37"/>
      <c r="K674" s="13" t="s">
        <v>26</v>
      </c>
      <c r="L674" s="13" t="s">
        <v>29</v>
      </c>
      <c r="M674" s="178" t="s">
        <v>3547</v>
      </c>
      <c r="N674" s="156" t="s">
        <v>790</v>
      </c>
      <c r="O674" s="156">
        <v>0.1</v>
      </c>
      <c r="P674" s="172"/>
      <c r="Q674" s="174" t="s">
        <v>9</v>
      </c>
      <c r="R674" s="174" t="s">
        <v>105</v>
      </c>
      <c r="S674" s="174" t="s">
        <v>114</v>
      </c>
      <c r="T674" s="156" t="s">
        <v>298</v>
      </c>
      <c r="U674" s="156" t="s">
        <v>298</v>
      </c>
      <c r="V674" s="156" t="s">
        <v>790</v>
      </c>
      <c r="W674" s="14" t="str">
        <f>IF(IFERROR(VLOOKUP($M674,'IMPORT GS-Tür OL FL 2S2 20'!$H$2:$H$847,1,0),"-")="-","","GS")</f>
        <v/>
      </c>
      <c r="X674" s="14">
        <f t="shared" si="44"/>
        <v>0.06</v>
      </c>
      <c r="Y674" s="156" t="s">
        <v>789</v>
      </c>
      <c r="Z674" s="58" t="str">
        <f>IF(OR($M674="",NOT($O674="{array}")),"",IFERROR(MATCH(PARAMETERS!$M674,DEFAULT!$B$5:$CI$5,0),""))</f>
        <v/>
      </c>
      <c r="AA674" s="55" t="str">
        <f t="shared" si="41"/>
        <v/>
      </c>
      <c r="AB674" s="62" t="str">
        <f>IF(AND(OR($A674="G",$A674="P"),NOT($O674="{array}")),IF(VLOOKUP($K674,base!$B$2:$D$20,3,0)="S",IF(OR($O674="",ISTEXT($O674)),"","STRING!"),IF(VLOOKUP($K674,base!$B$2:$D$20,3,0)="","",IF(ISTEXT($O674),"NUMERIC!",""))),"")</f>
        <v/>
      </c>
      <c r="AC674" s="16" t="str">
        <f>IF($AA674="","",IF($B674="I",VLOOKUP($AA674,#REF!,53,0),INDEX(VALUES!$B$1:$GP$1,1,$AA674)))</f>
        <v/>
      </c>
    </row>
    <row r="675" spans="1:29" hidden="1" outlineLevel="1">
      <c r="A675" s="21" t="s">
        <v>86</v>
      </c>
      <c r="B675" s="40" t="str">
        <f t="shared" si="45"/>
        <v/>
      </c>
      <c r="C675" s="41">
        <f t="shared" si="43"/>
        <v>674</v>
      </c>
      <c r="D675" s="260" t="s">
        <v>9</v>
      </c>
      <c r="E675" s="37"/>
      <c r="F675" s="305"/>
      <c r="G675" s="188"/>
      <c r="H675" s="37"/>
      <c r="I675" s="37" t="s">
        <v>9</v>
      </c>
      <c r="J675" s="37"/>
      <c r="K675" s="13" t="s">
        <v>26</v>
      </c>
      <c r="L675" s="13" t="s">
        <v>29</v>
      </c>
      <c r="M675" s="178" t="s">
        <v>3548</v>
      </c>
      <c r="N675" s="156" t="s">
        <v>791</v>
      </c>
      <c r="O675" s="156">
        <v>0.1</v>
      </c>
      <c r="P675" s="172"/>
      <c r="Q675" s="174" t="s">
        <v>9</v>
      </c>
      <c r="R675" s="174" t="s">
        <v>105</v>
      </c>
      <c r="S675" s="174" t="s">
        <v>114</v>
      </c>
      <c r="T675" s="156" t="s">
        <v>298</v>
      </c>
      <c r="U675" s="156" t="s">
        <v>298</v>
      </c>
      <c r="V675" s="156" t="s">
        <v>791</v>
      </c>
      <c r="W675" s="14" t="str">
        <f>IF(IFERROR(VLOOKUP($M675,'IMPORT GS-Tür OL FL 2S2 20'!$H$2:$H$847,1,0),"-")="-","","GS")</f>
        <v/>
      </c>
      <c r="X675" s="14">
        <f t="shared" si="44"/>
        <v>4.4999999999999998E-2</v>
      </c>
      <c r="Y675" s="156" t="s">
        <v>789</v>
      </c>
      <c r="Z675" s="58" t="str">
        <f>IF(OR($M675="",NOT($O675="{array}")),"",IFERROR(MATCH(PARAMETERS!$M675,DEFAULT!$B$5:$CI$5,0),""))</f>
        <v/>
      </c>
      <c r="AA675" s="55" t="str">
        <f t="shared" si="41"/>
        <v/>
      </c>
      <c r="AB675" s="62" t="str">
        <f>IF(AND(OR($A675="G",$A675="P"),NOT($O675="{array}")),IF(VLOOKUP($K675,base!$B$2:$D$20,3,0)="S",IF(OR($O675="",ISTEXT($O675)),"","STRING!"),IF(VLOOKUP($K675,base!$B$2:$D$20,3,0)="","",IF(ISTEXT($O675),"NUMERIC!",""))),"")</f>
        <v/>
      </c>
      <c r="AC675" s="16" t="str">
        <f>IF($AA675="","",IF($B675="I",VLOOKUP($AA675,#REF!,53,0),INDEX(VALUES!$B$1:$GP$1,1,$AA675)))</f>
        <v/>
      </c>
    </row>
    <row r="676" spans="1:29" hidden="1" outlineLevel="1">
      <c r="A676" s="21" t="s">
        <v>86</v>
      </c>
      <c r="B676" s="40" t="str">
        <f t="shared" si="45"/>
        <v/>
      </c>
      <c r="C676" s="41">
        <f t="shared" si="43"/>
        <v>675</v>
      </c>
      <c r="D676" s="260" t="s">
        <v>9</v>
      </c>
      <c r="E676" s="37"/>
      <c r="F676" s="305"/>
      <c r="G676" s="188"/>
      <c r="H676" s="37"/>
      <c r="I676" s="37" t="s">
        <v>9</v>
      </c>
      <c r="J676" s="37"/>
      <c r="K676" s="13" t="s">
        <v>26</v>
      </c>
      <c r="L676" s="13" t="s">
        <v>29</v>
      </c>
      <c r="M676" s="178" t="s">
        <v>3551</v>
      </c>
      <c r="N676" s="156" t="s">
        <v>792</v>
      </c>
      <c r="O676" s="156">
        <v>0.1</v>
      </c>
      <c r="P676" s="172"/>
      <c r="Q676" s="174" t="s">
        <v>9</v>
      </c>
      <c r="R676" s="174" t="s">
        <v>105</v>
      </c>
      <c r="S676" s="174" t="s">
        <v>114</v>
      </c>
      <c r="T676" s="156" t="s">
        <v>298</v>
      </c>
      <c r="U676" s="156" t="s">
        <v>298</v>
      </c>
      <c r="V676" s="156" t="s">
        <v>792</v>
      </c>
      <c r="W676" s="14" t="str">
        <f>IF(IFERROR(VLOOKUP($M676,'IMPORT GS-Tür OL FL 2S2 20'!$H$2:$H$847,1,0),"-")="-","","GS")</f>
        <v/>
      </c>
      <c r="X676" s="14">
        <f t="shared" si="44"/>
        <v>8.5000000000000006E-2</v>
      </c>
      <c r="Y676" s="156" t="s">
        <v>789</v>
      </c>
      <c r="Z676" s="58" t="str">
        <f>IF(OR($M676="",NOT($O676="{array}")),"",IFERROR(MATCH(PARAMETERS!$M676,DEFAULT!$B$5:$CI$5,0),""))</f>
        <v/>
      </c>
      <c r="AA676" s="55" t="str">
        <f t="shared" si="41"/>
        <v/>
      </c>
      <c r="AB676" s="62" t="str">
        <f>IF(AND(OR($A676="G",$A676="P"),NOT($O676="{array}")),IF(VLOOKUP($K676,base!$B$2:$D$20,3,0)="S",IF(OR($O676="",ISTEXT($O676)),"","STRING!"),IF(VLOOKUP($K676,base!$B$2:$D$20,3,0)="","",IF(ISTEXT($O676),"NUMERIC!",""))),"")</f>
        <v/>
      </c>
      <c r="AC676" s="16" t="str">
        <f>IF($AA676="","",IF($B676="I",VLOOKUP($AA676,#REF!,53,0),INDEX(VALUES!$B$1:$GP$1,1,$AA676)))</f>
        <v/>
      </c>
    </row>
    <row r="677" spans="1:29" s="276" customFormat="1" hidden="1" outlineLevel="1">
      <c r="A677" s="263"/>
      <c r="B677" s="264" t="str">
        <f t="shared" si="45"/>
        <v/>
      </c>
      <c r="C677" s="265">
        <f t="shared" si="43"/>
        <v>676</v>
      </c>
      <c r="D677" s="266"/>
      <c r="E677" s="266"/>
      <c r="F677" s="305"/>
      <c r="G677" s="188"/>
      <c r="H677" s="266"/>
      <c r="I677" s="266" t="s">
        <v>9</v>
      </c>
      <c r="J677" s="266"/>
      <c r="K677" s="276" t="s">
        <v>26</v>
      </c>
      <c r="L677" s="276" t="s">
        <v>29</v>
      </c>
      <c r="M677" s="291" t="s">
        <v>3599</v>
      </c>
      <c r="N677" s="278" t="s">
        <v>3601</v>
      </c>
      <c r="O677" s="278">
        <v>0.06</v>
      </c>
      <c r="P677" s="284"/>
      <c r="Q677" s="279" t="s">
        <v>9</v>
      </c>
      <c r="R677" s="279" t="s">
        <v>105</v>
      </c>
      <c r="S677" s="279" t="s">
        <v>114</v>
      </c>
      <c r="T677" s="278" t="s">
        <v>298</v>
      </c>
      <c r="U677" s="278" t="s">
        <v>298</v>
      </c>
      <c r="V677" s="278" t="s">
        <v>792</v>
      </c>
      <c r="W677" s="272" t="str">
        <f>IF(IFERROR(VLOOKUP($M677,'IMPORT GS-Tür OL FL 2S2 20'!$H$2:$H$847,1,0),"-")="-","","GS")</f>
        <v/>
      </c>
      <c r="X677" s="272" t="str">
        <f t="shared" si="44"/>
        <v/>
      </c>
      <c r="Y677" s="278" t="s">
        <v>789</v>
      </c>
      <c r="Z677" s="273" t="str">
        <f>IF(OR($M677="",NOT($O677="{array}")),"",IFERROR(MATCH(PARAMETERS!$M677,DEFAULT!$B$5:$CI$5,0),""))</f>
        <v/>
      </c>
      <c r="AA677" s="272" t="str">
        <f t="shared" si="41"/>
        <v/>
      </c>
      <c r="AB677" s="274" t="str">
        <f>IF(AND(OR($A677="G",$A677="P"),NOT($O677="{array}")),IF(VLOOKUP($K677,base!$B$2:$D$20,3,0)="S",IF(OR($O677="",ISTEXT($O677)),"","STRING!"),IF(VLOOKUP($K677,base!$B$2:$D$20,3,0)="","",IF(ISTEXT($O677),"NUMERIC!",""))),"")</f>
        <v/>
      </c>
      <c r="AC677" s="275" t="str">
        <f>IF($AA677="","",IF($B677="I",VLOOKUP($AA677,#REF!,53,0),INDEX(VALUES!$B$1:$GP$1,1,$AA677)))</f>
        <v/>
      </c>
    </row>
    <row r="678" spans="1:29" s="276" customFormat="1" hidden="1" outlineLevel="1">
      <c r="A678" s="263"/>
      <c r="B678" s="264" t="str">
        <f t="shared" si="45"/>
        <v/>
      </c>
      <c r="C678" s="265">
        <f t="shared" si="43"/>
        <v>677</v>
      </c>
      <c r="D678" s="266"/>
      <c r="E678" s="266"/>
      <c r="F678" s="305"/>
      <c r="G678" s="188"/>
      <c r="H678" s="266"/>
      <c r="I678" s="266" t="s">
        <v>9</v>
      </c>
      <c r="J678" s="266"/>
      <c r="K678" s="276" t="s">
        <v>26</v>
      </c>
      <c r="L678" s="276" t="s">
        <v>29</v>
      </c>
      <c r="M678" s="291" t="s">
        <v>3600</v>
      </c>
      <c r="N678" s="278" t="s">
        <v>3602</v>
      </c>
      <c r="O678" s="278">
        <v>7.0000000000000007E-2</v>
      </c>
      <c r="P678" s="284"/>
      <c r="Q678" s="279" t="s">
        <v>9</v>
      </c>
      <c r="R678" s="279" t="s">
        <v>105</v>
      </c>
      <c r="S678" s="279" t="s">
        <v>114</v>
      </c>
      <c r="T678" s="278" t="s">
        <v>298</v>
      </c>
      <c r="U678" s="278" t="s">
        <v>298</v>
      </c>
      <c r="V678" s="278" t="s">
        <v>792</v>
      </c>
      <c r="W678" s="272" t="str">
        <f>IF(IFERROR(VLOOKUP($M678,'IMPORT GS-Tür OL FL 2S2 20'!$H$2:$H$847,1,0),"-")="-","","GS")</f>
        <v/>
      </c>
      <c r="X678" s="272" t="str">
        <f t="shared" si="44"/>
        <v/>
      </c>
      <c r="Y678" s="278" t="s">
        <v>789</v>
      </c>
      <c r="Z678" s="273" t="str">
        <f>IF(OR($M678="",NOT($O678="{array}")),"",IFERROR(MATCH(PARAMETERS!$M678,DEFAULT!$B$5:$CI$5,0),""))</f>
        <v/>
      </c>
      <c r="AA678" s="272" t="str">
        <f t="shared" si="41"/>
        <v/>
      </c>
      <c r="AB678" s="274" t="str">
        <f>IF(AND(OR($A678="G",$A678="P"),NOT($O678="{array}")),IF(VLOOKUP($K678,base!$B$2:$D$20,3,0)="S",IF(OR($O678="",ISTEXT($O678)),"","STRING!"),IF(VLOOKUP($K678,base!$B$2:$D$20,3,0)="","",IF(ISTEXT($O678),"NUMERIC!",""))),"")</f>
        <v/>
      </c>
      <c r="AC678" s="275" t="str">
        <f>IF($AA678="","",IF($B678="I",VLOOKUP($AA678,#REF!,53,0),INDEX(VALUES!$B$1:$GP$1,1,$AA678)))</f>
        <v/>
      </c>
    </row>
    <row r="679" spans="1:29" hidden="1" outlineLevel="1">
      <c r="A679" s="21" t="s">
        <v>86</v>
      </c>
      <c r="B679" s="40" t="str">
        <f t="shared" si="40"/>
        <v/>
      </c>
      <c r="C679" s="41">
        <f t="shared" ref="C679:C710" si="46">(ROW()-1)</f>
        <v>678</v>
      </c>
      <c r="D679" s="260" t="s">
        <v>9</v>
      </c>
      <c r="E679" s="37"/>
      <c r="F679" s="305"/>
      <c r="G679" s="188"/>
      <c r="H679" s="37"/>
      <c r="I679" s="37" t="s">
        <v>9</v>
      </c>
      <c r="J679" s="37"/>
      <c r="K679" s="163" t="s">
        <v>26</v>
      </c>
      <c r="L679" s="13" t="s">
        <v>29</v>
      </c>
      <c r="M679" s="163" t="s">
        <v>3940</v>
      </c>
      <c r="N679" s="163" t="s">
        <v>3941</v>
      </c>
      <c r="O679" s="163">
        <v>0.115</v>
      </c>
      <c r="P679" s="157"/>
      <c r="Q679" s="167" t="s">
        <v>9</v>
      </c>
      <c r="R679" s="168" t="s">
        <v>105</v>
      </c>
      <c r="S679" s="168" t="s">
        <v>114</v>
      </c>
      <c r="T679" s="163" t="s">
        <v>298</v>
      </c>
      <c r="U679" s="163" t="s">
        <v>298</v>
      </c>
      <c r="V679" s="163" t="s">
        <v>793</v>
      </c>
      <c r="W679" s="14" t="str">
        <f>IF(IFERROR(VLOOKUP($M679,'IMPORT GS-Tür OL FL 2S2 20'!$H$2:$H$847,1,0),"-")="-","","GS")</f>
        <v/>
      </c>
      <c r="X679" s="14" t="str">
        <f t="shared" si="44"/>
        <v>&gt;&lt;</v>
      </c>
      <c r="Y679" s="163" t="s">
        <v>794</v>
      </c>
      <c r="Z679" s="58" t="str">
        <f>IF(OR($M679="",NOT($O679="{array}")),"",IFERROR(MATCH(PARAMETERS!$M679,DEFAULT!$B$5:$CI$5,0),""))</f>
        <v/>
      </c>
      <c r="AA679" s="55" t="str">
        <f t="shared" si="41"/>
        <v/>
      </c>
      <c r="AB679" s="62" t="str">
        <f>IF(AND(OR($A679="G",$A679="P"),NOT($O679="{array}")),IF(VLOOKUP($K679,base!$B$2:$D$20,3,0)="S",IF(OR($O679="",ISTEXT($O679)),"","STRING!"),IF(VLOOKUP($K679,base!$B$2:$D$20,3,0)="","",IF(ISTEXT($O679),"NUMERIC!",""))),"")</f>
        <v/>
      </c>
      <c r="AC679" s="16" t="str">
        <f>IF($AA679="","",IF($B679="I",VLOOKUP($AA679,#REF!,53,0),INDEX(VALUES!$B$1:$GP$1,1,$AA679)))</f>
        <v/>
      </c>
    </row>
    <row r="680" spans="1:29" s="276" customFormat="1" hidden="1" outlineLevel="1">
      <c r="A680" s="263"/>
      <c r="B680" s="264" t="str">
        <f t="shared" si="40"/>
        <v/>
      </c>
      <c r="C680" s="265">
        <f t="shared" si="46"/>
        <v>679</v>
      </c>
      <c r="D680" s="266"/>
      <c r="E680" s="266"/>
      <c r="F680" s="305"/>
      <c r="G680" s="188"/>
      <c r="H680" s="266"/>
      <c r="I680" s="266" t="s">
        <v>9</v>
      </c>
      <c r="J680" s="266"/>
      <c r="K680" s="278" t="s">
        <v>46</v>
      </c>
      <c r="L680" s="276" t="s">
        <v>29</v>
      </c>
      <c r="M680" s="278"/>
      <c r="N680" s="278" t="s">
        <v>795</v>
      </c>
      <c r="O680" s="278" t="s">
        <v>298</v>
      </c>
      <c r="P680" s="284" t="s">
        <v>126</v>
      </c>
      <c r="Q680" s="282" t="s">
        <v>9</v>
      </c>
      <c r="R680" s="279" t="s">
        <v>105</v>
      </c>
      <c r="S680" s="279" t="s">
        <v>114</v>
      </c>
      <c r="T680" s="278" t="s">
        <v>298</v>
      </c>
      <c r="U680" s="278" t="s">
        <v>298</v>
      </c>
      <c r="V680" s="278" t="s">
        <v>795</v>
      </c>
      <c r="W680" s="272" t="str">
        <f>IF(IFERROR(VLOOKUP($M680,'IMPORT GS-Tür OL FL 2S2 20'!$H$2:$H$847,1,0),"-")="-","","GS")</f>
        <v/>
      </c>
      <c r="X680" s="272" t="str">
        <f t="shared" si="44"/>
        <v/>
      </c>
      <c r="Y680" s="278" t="s">
        <v>796</v>
      </c>
      <c r="Z680" s="273" t="str">
        <f>IF(OR($M680="",NOT($O680="{array}")),"",IFERROR(MATCH(PARAMETERS!$M680,DEFAULT!$B$5:$CI$5,0),""))</f>
        <v/>
      </c>
      <c r="AA680" s="272" t="str">
        <f t="shared" si="41"/>
        <v/>
      </c>
      <c r="AB680" s="274" t="str">
        <f>IF(AND(OR($A680="G",$A680="P"),NOT($O680="{array}")),IF(VLOOKUP($K680,base!$B$2:$D$20,3,0)="S",IF(OR($O680="",ISTEXT($O680)),"","STRING!"),IF(VLOOKUP($K680,base!$B$2:$D$20,3,0)="","",IF(ISTEXT($O680),"NUMERIC!",""))),"")</f>
        <v/>
      </c>
      <c r="AC680" s="275" t="str">
        <f>IF($AA680="","",IF($B680="I",VLOOKUP($AA680,#REF!,53,0),INDEX(VALUES!$B$1:$GP$1,1,$AA680)))</f>
        <v/>
      </c>
    </row>
    <row r="681" spans="1:29" s="276" customFormat="1" hidden="1" outlineLevel="1">
      <c r="A681" s="263"/>
      <c r="B681" s="264" t="str">
        <f t="shared" si="40"/>
        <v/>
      </c>
      <c r="C681" s="265">
        <f t="shared" si="46"/>
        <v>680</v>
      </c>
      <c r="D681" s="266"/>
      <c r="E681" s="266"/>
      <c r="F681" s="305"/>
      <c r="G681" s="188"/>
      <c r="H681" s="266"/>
      <c r="I681" s="266" t="s">
        <v>9</v>
      </c>
      <c r="J681" s="266"/>
      <c r="K681" s="278" t="s">
        <v>46</v>
      </c>
      <c r="L681" s="276" t="s">
        <v>29</v>
      </c>
      <c r="M681" s="278"/>
      <c r="N681" s="278" t="s">
        <v>797</v>
      </c>
      <c r="O681" s="278" t="s">
        <v>298</v>
      </c>
      <c r="P681" s="284" t="s">
        <v>126</v>
      </c>
      <c r="Q681" s="282" t="s">
        <v>9</v>
      </c>
      <c r="R681" s="279" t="s">
        <v>105</v>
      </c>
      <c r="S681" s="279" t="s">
        <v>114</v>
      </c>
      <c r="T681" s="278" t="s">
        <v>298</v>
      </c>
      <c r="U681" s="278" t="s">
        <v>298</v>
      </c>
      <c r="V681" s="278" t="s">
        <v>797</v>
      </c>
      <c r="W681" s="272" t="str">
        <f>IF(IFERROR(VLOOKUP($M681,'IMPORT GS-Tür OL FL 2S2 20'!$H$2:$H$847,1,0),"-")="-","","GS")</f>
        <v/>
      </c>
      <c r="X681" s="272" t="str">
        <f t="shared" si="44"/>
        <v/>
      </c>
      <c r="Y681" s="278" t="s">
        <v>798</v>
      </c>
      <c r="Z681" s="273" t="str">
        <f>IF(OR($M681="",NOT($O681="{array}")),"",IFERROR(MATCH(PARAMETERS!$M681,DEFAULT!$B$5:$CI$5,0),""))</f>
        <v/>
      </c>
      <c r="AA681" s="272" t="str">
        <f t="shared" si="41"/>
        <v/>
      </c>
      <c r="AB681" s="274" t="str">
        <f>IF(AND(OR($A681="G",$A681="P"),NOT($O681="{array}")),IF(VLOOKUP($K681,base!$B$2:$D$20,3,0)="S",IF(OR($O681="",ISTEXT($O681)),"","STRING!"),IF(VLOOKUP($K681,base!$B$2:$D$20,3,0)="","",IF(ISTEXT($O681),"NUMERIC!",""))),"")</f>
        <v/>
      </c>
      <c r="AC681" s="275" t="str">
        <f>IF($AA681="","",IF($B681="I",VLOOKUP($AA681,#REF!,53,0),INDEX(VALUES!$B$1:$GP$1,1,$AA681)))</f>
        <v/>
      </c>
    </row>
    <row r="682" spans="1:29" s="276" customFormat="1" hidden="1" outlineLevel="1">
      <c r="A682" s="263"/>
      <c r="B682" s="264" t="str">
        <f t="shared" si="40"/>
        <v/>
      </c>
      <c r="C682" s="265">
        <f t="shared" si="46"/>
        <v>681</v>
      </c>
      <c r="D682" s="266"/>
      <c r="E682" s="266"/>
      <c r="F682" s="305"/>
      <c r="G682" s="188"/>
      <c r="H682" s="266"/>
      <c r="I682" s="266" t="s">
        <v>9</v>
      </c>
      <c r="J682" s="266"/>
      <c r="K682" s="278" t="s">
        <v>46</v>
      </c>
      <c r="L682" s="276" t="s">
        <v>29</v>
      </c>
      <c r="M682" s="278"/>
      <c r="N682" s="278" t="s">
        <v>799</v>
      </c>
      <c r="O682" s="278" t="s">
        <v>298</v>
      </c>
      <c r="P682" s="284" t="s">
        <v>126</v>
      </c>
      <c r="Q682" s="282" t="s">
        <v>9</v>
      </c>
      <c r="R682" s="279" t="s">
        <v>105</v>
      </c>
      <c r="S682" s="279" t="s">
        <v>114</v>
      </c>
      <c r="T682" s="278" t="s">
        <v>298</v>
      </c>
      <c r="U682" s="278" t="s">
        <v>298</v>
      </c>
      <c r="V682" s="278" t="s">
        <v>799</v>
      </c>
      <c r="W682" s="272" t="str">
        <f>IF(IFERROR(VLOOKUP($M682,'IMPORT GS-Tür OL FL 2S2 20'!$H$2:$H$847,1,0),"-")="-","","GS")</f>
        <v/>
      </c>
      <c r="X682" s="272" t="str">
        <f t="shared" si="44"/>
        <v/>
      </c>
      <c r="Y682" s="278" t="s">
        <v>800</v>
      </c>
      <c r="Z682" s="273" t="str">
        <f>IF(OR($M682="",NOT($O682="{array}")),"",IFERROR(MATCH(PARAMETERS!$M682,DEFAULT!$B$5:$CI$5,0),""))</f>
        <v/>
      </c>
      <c r="AA682" s="272" t="str">
        <f t="shared" si="41"/>
        <v/>
      </c>
      <c r="AB682" s="274" t="str">
        <f>IF(AND(OR($A682="G",$A682="P"),NOT($O682="{array}")),IF(VLOOKUP($K682,base!$B$2:$D$20,3,0)="S",IF(OR($O682="",ISTEXT($O682)),"","STRING!"),IF(VLOOKUP($K682,base!$B$2:$D$20,3,0)="","",IF(ISTEXT($O682),"NUMERIC!",""))),"")</f>
        <v/>
      </c>
      <c r="AC682" s="275" t="str">
        <f>IF($AA682="","",IF($B682="I",VLOOKUP($AA682,#REF!,53,0),INDEX(VALUES!$B$1:$GP$1,1,$AA682)))</f>
        <v/>
      </c>
    </row>
    <row r="683" spans="1:29" hidden="1" outlineLevel="1">
      <c r="A683" s="21" t="s">
        <v>86</v>
      </c>
      <c r="B683" s="40" t="str">
        <f t="shared" si="40"/>
        <v/>
      </c>
      <c r="C683" s="41">
        <f t="shared" si="46"/>
        <v>682</v>
      </c>
      <c r="D683" s="260" t="s">
        <v>9</v>
      </c>
      <c r="E683" s="37"/>
      <c r="F683" s="305"/>
      <c r="G683" s="188"/>
      <c r="H683" s="37"/>
      <c r="I683" s="37" t="s">
        <v>9</v>
      </c>
      <c r="J683" s="37"/>
      <c r="K683" s="163" t="s">
        <v>46</v>
      </c>
      <c r="L683" s="13" t="s">
        <v>29</v>
      </c>
      <c r="M683" s="189" t="s">
        <v>801</v>
      </c>
      <c r="N683" s="163" t="s">
        <v>802</v>
      </c>
      <c r="O683" s="163">
        <v>1</v>
      </c>
      <c r="P683" s="157" t="s">
        <v>298</v>
      </c>
      <c r="Q683" s="167"/>
      <c r="R683" s="168" t="s">
        <v>105</v>
      </c>
      <c r="S683" s="168" t="s">
        <v>114</v>
      </c>
      <c r="T683" s="163" t="s">
        <v>298</v>
      </c>
      <c r="U683" s="163" t="s">
        <v>298</v>
      </c>
      <c r="V683" s="163" t="s">
        <v>802</v>
      </c>
      <c r="W683" s="14" t="str">
        <f>IF(IFERROR(VLOOKUP($M683,'IMPORT GS-Tür OL FL 2S2 20'!$H$2:$H$847,1,0),"-")="-","","GS")</f>
        <v/>
      </c>
      <c r="X683" s="14">
        <f t="shared" si="44"/>
        <v>2</v>
      </c>
      <c r="Y683" s="163" t="s">
        <v>803</v>
      </c>
      <c r="Z683" s="58" t="str">
        <f>IF(OR($M683="",NOT($O683="{array}")),"",IFERROR(MATCH(PARAMETERS!$M683,DEFAULT!$B$5:$CI$5,0),""))</f>
        <v/>
      </c>
      <c r="AA683" s="55" t="str">
        <f t="shared" si="41"/>
        <v/>
      </c>
      <c r="AB683" s="62" t="str">
        <f>IF(AND(OR($A683="G",$A683="P"),NOT($O683="{array}")),IF(VLOOKUP($K683,base!$B$2:$D$20,3,0)="S",IF(OR($O683="",ISTEXT($O683)),"","STRING!"),IF(VLOOKUP($K683,base!$B$2:$D$20,3,0)="","",IF(ISTEXT($O683),"NUMERIC!",""))),"")</f>
        <v/>
      </c>
      <c r="AC683" s="16" t="str">
        <f>IF($AA683="","",IF($B683="I",VLOOKUP($AA683,#REF!,53,0),INDEX(VALUES!$B$1:$GP$1,1,$AA683)))</f>
        <v/>
      </c>
    </row>
    <row r="684" spans="1:29" hidden="1" outlineLevel="1">
      <c r="A684" s="21" t="s">
        <v>86</v>
      </c>
      <c r="B684" s="40" t="str">
        <f t="shared" si="40"/>
        <v/>
      </c>
      <c r="C684" s="41">
        <f t="shared" si="46"/>
        <v>683</v>
      </c>
      <c r="D684" s="260" t="s">
        <v>9</v>
      </c>
      <c r="E684" s="37"/>
      <c r="F684" s="305" t="s">
        <v>9</v>
      </c>
      <c r="G684" s="188" t="s">
        <v>9</v>
      </c>
      <c r="H684" s="37"/>
      <c r="I684" s="37" t="s">
        <v>9</v>
      </c>
      <c r="J684" s="37"/>
      <c r="K684" s="13" t="s">
        <v>26</v>
      </c>
      <c r="L684" s="13" t="s">
        <v>29</v>
      </c>
      <c r="M684" s="214" t="s">
        <v>804</v>
      </c>
      <c r="N684" s="13" t="s">
        <v>805</v>
      </c>
      <c r="O684" s="42">
        <v>1.4999999999999999E-2</v>
      </c>
      <c r="Q684" s="37" t="s">
        <v>9</v>
      </c>
      <c r="R684" s="37" t="s">
        <v>106</v>
      </c>
      <c r="S684" s="37"/>
      <c r="T684" s="37"/>
      <c r="W684" s="14" t="str">
        <f>IF(IFERROR(VLOOKUP($M684,'IMPORT GS-Tür OL FL 2S2 20'!$H$2:$H$847,1,0),"-")="-","","GS")</f>
        <v>GS</v>
      </c>
      <c r="X684" s="14" t="str">
        <f t="shared" si="44"/>
        <v>...</v>
      </c>
      <c r="Y684" s="52" t="s">
        <v>806</v>
      </c>
      <c r="Z684" s="58" t="str">
        <f>IF(OR($M684="",NOT($O684="{array}")),"",IFERROR(MATCH(PARAMETERS!$M684,DEFAULT!$B$5:$CI$5,0),""))</f>
        <v/>
      </c>
      <c r="AA684" s="55" t="str">
        <f t="shared" si="41"/>
        <v/>
      </c>
      <c r="AB684" s="62" t="str">
        <f>IF(AND(OR($A684="G",$A684="P"),NOT($O684="{array}")),IF(VLOOKUP($K684,base!$B$2:$D$20,3,0)="S",IF(OR($O684="",ISTEXT($O684)),"","STRING!"),IF(VLOOKUP($K684,base!$B$2:$D$20,3,0)="","",IF(ISTEXT($O684),"NUMERIC!",""))),"")</f>
        <v/>
      </c>
      <c r="AC684" s="16" t="str">
        <f>IF($AA684="","",IF($B684="I",VLOOKUP($AA684,#REF!,53,0),INDEX(VALUES!$B$1:$GP$1,1,$AA684)))</f>
        <v/>
      </c>
    </row>
    <row r="685" spans="1:29" hidden="1" outlineLevel="1">
      <c r="A685" s="21" t="s">
        <v>86</v>
      </c>
      <c r="B685" s="40" t="str">
        <f t="shared" si="40"/>
        <v/>
      </c>
      <c r="C685" s="41">
        <f t="shared" si="46"/>
        <v>684</v>
      </c>
      <c r="D685" s="260" t="s">
        <v>9</v>
      </c>
      <c r="E685" s="37"/>
      <c r="F685" s="305" t="s">
        <v>9</v>
      </c>
      <c r="G685" s="188" t="s">
        <v>9</v>
      </c>
      <c r="H685" s="37"/>
      <c r="I685" s="37" t="s">
        <v>9</v>
      </c>
      <c r="J685" s="37"/>
      <c r="K685" s="13" t="s">
        <v>26</v>
      </c>
      <c r="L685" s="13" t="s">
        <v>29</v>
      </c>
      <c r="M685" s="214" t="s">
        <v>807</v>
      </c>
      <c r="N685" s="13" t="s">
        <v>808</v>
      </c>
      <c r="O685" s="42">
        <v>0.04</v>
      </c>
      <c r="Q685" s="37" t="s">
        <v>9</v>
      </c>
      <c r="R685" s="37" t="s">
        <v>106</v>
      </c>
      <c r="S685" s="37"/>
      <c r="T685" s="37"/>
      <c r="W685" s="14" t="str">
        <f>IF(IFERROR(VLOOKUP($M685,'IMPORT GS-Tür OL FL 2S2 20'!$H$2:$H$847,1,0),"-")="-","","GS")</f>
        <v>GS</v>
      </c>
      <c r="X685" s="14" t="str">
        <f t="shared" si="44"/>
        <v>...</v>
      </c>
      <c r="Y685" s="52" t="s">
        <v>806</v>
      </c>
      <c r="Z685" s="58" t="str">
        <f>IF(OR($M685="",NOT($O685="{array}")),"",IFERROR(MATCH(PARAMETERS!$M685,DEFAULT!$B$5:$CI$5,0),""))</f>
        <v/>
      </c>
      <c r="AA685" s="55" t="str">
        <f t="shared" si="41"/>
        <v/>
      </c>
      <c r="AB685" s="62" t="str">
        <f>IF(AND(OR($A685="G",$A685="P"),NOT($O685="{array}")),IF(VLOOKUP($K685,base!$B$2:$D$20,3,0)="S",IF(OR($O685="",ISTEXT($O685)),"","STRING!"),IF(VLOOKUP($K685,base!$B$2:$D$20,3,0)="","",IF(ISTEXT($O685),"NUMERIC!",""))),"")</f>
        <v/>
      </c>
      <c r="AC685" s="16" t="str">
        <f>IF($AA685="","",IF($B685="I",VLOOKUP($AA685,#REF!,53,0),INDEX(VALUES!$B$1:$GP$1,1,$AA685)))</f>
        <v/>
      </c>
    </row>
    <row r="686" spans="1:29" hidden="1" outlineLevel="1">
      <c r="A686" s="21" t="s">
        <v>86</v>
      </c>
      <c r="B686" s="40" t="str">
        <f t="shared" si="40"/>
        <v/>
      </c>
      <c r="C686" s="41">
        <f t="shared" si="46"/>
        <v>685</v>
      </c>
      <c r="D686" s="260" t="s">
        <v>9</v>
      </c>
      <c r="E686" s="37"/>
      <c r="F686" s="305" t="s">
        <v>9</v>
      </c>
      <c r="G686" s="188" t="s">
        <v>9</v>
      </c>
      <c r="H686" s="37"/>
      <c r="I686" s="37" t="s">
        <v>9</v>
      </c>
      <c r="J686" s="37"/>
      <c r="K686" s="13" t="s">
        <v>26</v>
      </c>
      <c r="L686" s="13" t="s">
        <v>29</v>
      </c>
      <c r="M686" s="178" t="s">
        <v>3549</v>
      </c>
      <c r="N686" s="52" t="s">
        <v>3550</v>
      </c>
      <c r="O686" s="153">
        <v>0</v>
      </c>
      <c r="P686" s="52"/>
      <c r="Q686" s="188" t="s">
        <v>9</v>
      </c>
      <c r="R686" s="37" t="s">
        <v>204</v>
      </c>
      <c r="S686" s="37"/>
      <c r="T686" s="37"/>
      <c r="W686" s="14" t="str">
        <f>IF(IFERROR(VLOOKUP($M686,'IMPORT GS-Tür OL FL 2S2 20'!$H$2:$H$847,1,0),"-")="-","","GS")</f>
        <v/>
      </c>
      <c r="X686" s="14" t="str">
        <f t="shared" si="44"/>
        <v>...</v>
      </c>
      <c r="Y686" s="52" t="s">
        <v>806</v>
      </c>
      <c r="Z686" s="58" t="str">
        <f>IF(OR($M686="",NOT($O686="{array}")),"",IFERROR(MATCH(PARAMETERS!$M686,DEFAULT!$B$5:$CI$5,0),""))</f>
        <v/>
      </c>
      <c r="AA686" s="55" t="str">
        <f t="shared" si="41"/>
        <v/>
      </c>
      <c r="AB686" s="62" t="str">
        <f>IF(AND(OR($A686="G",$A686="P"),NOT($O686="{array}")),IF(VLOOKUP($K686,base!$B$2:$D$20,3,0)="S",IF(OR($O686="",ISTEXT($O686)),"","STRING!"),IF(VLOOKUP($K686,base!$B$2:$D$20,3,0)="","",IF(ISTEXT($O686),"NUMERIC!",""))),"")</f>
        <v/>
      </c>
      <c r="AC686" s="16" t="str">
        <f>IF($AA686="","",IF($B686="I",VLOOKUP($AA686,#REF!,53,0),INDEX(VALUES!$B$1:$GP$1,1,$AA686)))</f>
        <v/>
      </c>
    </row>
    <row r="687" spans="1:29" hidden="1" outlineLevel="1">
      <c r="A687" s="21" t="s">
        <v>86</v>
      </c>
      <c r="B687" s="40" t="str">
        <f t="shared" si="40"/>
        <v>A</v>
      </c>
      <c r="C687" s="41">
        <f t="shared" si="46"/>
        <v>686</v>
      </c>
      <c r="D687" s="260" t="s">
        <v>9</v>
      </c>
      <c r="E687" s="37"/>
      <c r="F687" s="305"/>
      <c r="G687" s="188" t="s">
        <v>9</v>
      </c>
      <c r="H687" s="37"/>
      <c r="I687" s="37" t="s">
        <v>9</v>
      </c>
      <c r="J687" s="37"/>
      <c r="K687" s="156" t="s">
        <v>26</v>
      </c>
      <c r="L687" s="13" t="s">
        <v>29</v>
      </c>
      <c r="M687" s="189" t="s">
        <v>809</v>
      </c>
      <c r="N687" s="156" t="s">
        <v>810</v>
      </c>
      <c r="O687" s="156" t="s">
        <v>35</v>
      </c>
      <c r="P687" s="172"/>
      <c r="Q687" s="174" t="s">
        <v>9</v>
      </c>
      <c r="R687" s="174" t="s">
        <v>105</v>
      </c>
      <c r="S687" s="168"/>
      <c r="T687" s="163"/>
      <c r="U687" s="163"/>
      <c r="V687" s="163"/>
      <c r="W687" s="14"/>
      <c r="X687" s="14" t="str">
        <f t="shared" si="44"/>
        <v>...</v>
      </c>
      <c r="Y687" s="163"/>
      <c r="Z687" s="58">
        <f>IF(OR($M687="",NOT($O687="{array}")),"",IFERROR(MATCH(PARAMETERS!$M687,DEFAULT!$B$5:$CI$5,0),""))</f>
        <v>36</v>
      </c>
      <c r="AA687" s="55" t="str">
        <f t="shared" si="41"/>
        <v/>
      </c>
      <c r="AB687" s="62" t="str">
        <f>IF(AND(OR($A687="G",$A687="P"),NOT($O687="{array}")),IF(VLOOKUP($K687,base!$B$2:$D$20,3,0)="S",IF(OR($O687="",ISTEXT($O687)),"","STRING!"),IF(VLOOKUP($K687,base!$B$2:$D$20,3,0)="","",IF(ISTEXT($O687),"NUMERIC!",""))),"")</f>
        <v/>
      </c>
      <c r="AC687" s="16" t="str">
        <f>IF($AA687="","",IF($B687="I",VLOOKUP($AA687,#REF!,53,0),INDEX(VALUES!$B$1:$GP$1,1,$AA687)))</f>
        <v/>
      </c>
    </row>
    <row r="688" spans="1:29" hidden="1" outlineLevel="1">
      <c r="A688" s="21" t="s">
        <v>86</v>
      </c>
      <c r="B688" s="40" t="str">
        <f t="shared" si="40"/>
        <v/>
      </c>
      <c r="C688" s="41">
        <f t="shared" si="46"/>
        <v>687</v>
      </c>
      <c r="D688" s="260" t="s">
        <v>9</v>
      </c>
      <c r="E688" s="37"/>
      <c r="F688" s="305"/>
      <c r="G688" s="188"/>
      <c r="H688" s="37"/>
      <c r="I688" s="37" t="s">
        <v>9</v>
      </c>
      <c r="J688" s="37"/>
      <c r="K688" s="244" t="s">
        <v>26</v>
      </c>
      <c r="L688" s="245" t="s">
        <v>29</v>
      </c>
      <c r="M688" s="212" t="s">
        <v>3506</v>
      </c>
      <c r="N688" s="245" t="s">
        <v>3535</v>
      </c>
      <c r="O688" s="246">
        <v>8.0000000000000002E-3</v>
      </c>
      <c r="P688" s="52"/>
      <c r="Q688" s="188"/>
      <c r="R688" s="174" t="s">
        <v>105</v>
      </c>
      <c r="S688" s="168"/>
      <c r="T688" s="163"/>
      <c r="U688" s="163"/>
      <c r="V688" s="163"/>
      <c r="W688" s="14"/>
      <c r="X688" s="14" t="str">
        <f t="shared" si="44"/>
        <v>&gt;&lt;</v>
      </c>
      <c r="Y688" s="156" t="s">
        <v>3508</v>
      </c>
      <c r="Z688" s="58" t="str">
        <f>IF(OR($M688="",NOT($O688="{array}")),"",IFERROR(MATCH(PARAMETERS!$M688,DEFAULT!$B$5:$CI$5,0),""))</f>
        <v/>
      </c>
      <c r="AA688" s="55" t="str">
        <f t="shared" si="41"/>
        <v/>
      </c>
      <c r="AB688" s="62" t="str">
        <f>IF(AND(OR($A688="G",$A688="P"),NOT($O688="{array}")),IF(VLOOKUP($K688,base!$B$2:$D$20,3,0)="S",IF(OR($O688="",ISTEXT($O688)),"","STRING!"),IF(VLOOKUP($K688,base!$B$2:$D$20,3,0)="","",IF(ISTEXT($O688),"NUMERIC!",""))),"")</f>
        <v/>
      </c>
      <c r="AC688" s="16" t="str">
        <f>IF($AA688="","",IF($B688="I",VLOOKUP($AA688,#REF!,53,0),INDEX(VALUES!$B$1:$GP$1,1,$AA688)))</f>
        <v/>
      </c>
    </row>
    <row r="689" spans="1:29" s="276" customFormat="1" hidden="1" outlineLevel="1">
      <c r="A689" s="263"/>
      <c r="B689" s="264" t="str">
        <f t="shared" si="40"/>
        <v/>
      </c>
      <c r="C689" s="265">
        <f t="shared" si="46"/>
        <v>688</v>
      </c>
      <c r="D689" s="266"/>
      <c r="E689" s="266"/>
      <c r="F689" s="305"/>
      <c r="G689" s="188"/>
      <c r="H689" s="266"/>
      <c r="I689" s="266" t="s">
        <v>9</v>
      </c>
      <c r="J689" s="266"/>
      <c r="K689" s="278" t="s">
        <v>20</v>
      </c>
      <c r="L689" s="276" t="s">
        <v>29</v>
      </c>
      <c r="M689" s="278" t="s">
        <v>811</v>
      </c>
      <c r="N689" s="278" t="s">
        <v>298</v>
      </c>
      <c r="O689" s="278" t="s">
        <v>298</v>
      </c>
      <c r="P689" s="284" t="s">
        <v>298</v>
      </c>
      <c r="Q689" s="282" t="s">
        <v>9</v>
      </c>
      <c r="R689" s="279" t="s">
        <v>105</v>
      </c>
      <c r="S689" s="279" t="s">
        <v>114</v>
      </c>
      <c r="T689" s="278" t="s">
        <v>298</v>
      </c>
      <c r="U689" s="278" t="s">
        <v>298</v>
      </c>
      <c r="V689" s="278" t="s">
        <v>811</v>
      </c>
      <c r="W689" s="272" t="str">
        <f>IF(IFERROR(VLOOKUP($M689,'IMPORT GS-Tür OL FL 2S2 20'!$H$2:$H$847,1,0),"-")="-","","GS")</f>
        <v/>
      </c>
      <c r="X689" s="272" t="str">
        <f t="shared" si="44"/>
        <v/>
      </c>
      <c r="Y689" s="278" t="s">
        <v>812</v>
      </c>
      <c r="Z689" s="273" t="str">
        <f>IF(OR($M689="",NOT($O689="{array}")),"",IFERROR(MATCH(PARAMETERS!$M689,DEFAULT!$B$5:$CI$5,0),""))</f>
        <v/>
      </c>
      <c r="AA689" s="272" t="str">
        <f t="shared" si="41"/>
        <v/>
      </c>
      <c r="AB689" s="274" t="str">
        <f>IF(AND(OR($A689="G",$A689="P"),NOT($O689="{array}")),IF(VLOOKUP($K689,base!$B$2:$D$20,3,0)="S",IF(OR($O689="",ISTEXT($O689)),"","STRING!"),IF(VLOOKUP($K689,base!$B$2:$D$20,3,0)="","",IF(ISTEXT($O689),"NUMERIC!",""))),"")</f>
        <v/>
      </c>
      <c r="AC689" s="275" t="str">
        <f>IF($AA689="","",IF($B689="I",VLOOKUP($AA689,#REF!,53,0),INDEX(VALUES!$B$1:$GP$1,1,$AA689)))</f>
        <v/>
      </c>
    </row>
    <row r="690" spans="1:29" hidden="1" outlineLevel="1">
      <c r="A690" s="21" t="s">
        <v>86</v>
      </c>
      <c r="B690" s="40" t="str">
        <f t="shared" ref="B690:B729" si="47">IF($A690="P",IF(NOT($Z690=""),"A",IF(NOT($AA690=""),"I","")),IF(NOT($AA690=""),IF($A690="G","V","X"),IF(NOT($Z690=""),"A","")))</f>
        <v/>
      </c>
      <c r="C690" s="41">
        <f t="shared" si="46"/>
        <v>689</v>
      </c>
      <c r="D690" s="260" t="s">
        <v>9</v>
      </c>
      <c r="E690" s="37"/>
      <c r="F690" s="305" t="s">
        <v>9</v>
      </c>
      <c r="G690" s="188"/>
      <c r="H690" s="37"/>
      <c r="I690" s="37" t="s">
        <v>9</v>
      </c>
      <c r="J690" s="37"/>
      <c r="K690" s="13" t="s">
        <v>26</v>
      </c>
      <c r="L690" s="13" t="s">
        <v>29</v>
      </c>
      <c r="M690" s="19" t="s">
        <v>819</v>
      </c>
      <c r="N690" s="13" t="s">
        <v>3938</v>
      </c>
      <c r="O690" s="42">
        <v>0.01</v>
      </c>
      <c r="R690" s="37" t="s">
        <v>106</v>
      </c>
      <c r="S690" s="37"/>
      <c r="T690" s="37"/>
      <c r="W690" s="14" t="str">
        <f>IF(IFERROR(VLOOKUP($M690,'IMPORT GS-Tür OL FL 2S2 20'!$H$2:$H$847,1,0),"-")="-","","GS")</f>
        <v>GS</v>
      </c>
      <c r="X690" s="14" t="str">
        <f t="shared" si="44"/>
        <v>...</v>
      </c>
      <c r="Z690" s="58" t="str">
        <f>IF(OR($M690="",NOT($O690="{array}")),"",IFERROR(MATCH(PARAMETERS!$M690,DEFAULT!$B$5:$CI$5,0),""))</f>
        <v/>
      </c>
      <c r="AA690" s="55" t="str">
        <f t="shared" si="41"/>
        <v/>
      </c>
      <c r="AB690" s="62" t="str">
        <f>IF(AND(OR($A690="G",$A690="P"),NOT($O690="{array}")),IF(VLOOKUP($K690,base!$B$2:$D$20,3,0)="S",IF(OR($O690="",ISTEXT($O690)),"","STRING!"),IF(VLOOKUP($K690,base!$B$2:$D$20,3,0)="","",IF(ISTEXT($O690),"NUMERIC!",""))),"")</f>
        <v/>
      </c>
      <c r="AC690" s="16" t="str">
        <f>IF($AA690="","",IF($B690="I",VLOOKUP($AA690,#REF!,53,0),INDEX(VALUES!$B$1:$GP$1,1,$AA690)))</f>
        <v/>
      </c>
    </row>
    <row r="691" spans="1:29" hidden="1" outlineLevel="1">
      <c r="A691" s="21" t="s">
        <v>86</v>
      </c>
      <c r="B691" s="40" t="str">
        <f t="shared" si="47"/>
        <v/>
      </c>
      <c r="C691" s="41">
        <f t="shared" si="46"/>
        <v>690</v>
      </c>
      <c r="D691" s="260" t="s">
        <v>9</v>
      </c>
      <c r="E691" s="37"/>
      <c r="F691" s="305" t="s">
        <v>9</v>
      </c>
      <c r="G691" s="188"/>
      <c r="H691" s="37"/>
      <c r="I691" s="37" t="s">
        <v>9</v>
      </c>
      <c r="J691" s="37"/>
      <c r="K691" s="13" t="s">
        <v>26</v>
      </c>
      <c r="L691" s="13" t="s">
        <v>29</v>
      </c>
      <c r="M691" s="19" t="s">
        <v>821</v>
      </c>
      <c r="N691" s="13" t="s">
        <v>822</v>
      </c>
      <c r="O691" s="42">
        <v>0.01</v>
      </c>
      <c r="R691" s="37" t="s">
        <v>106</v>
      </c>
      <c r="S691" s="37"/>
      <c r="T691" s="37"/>
      <c r="W691" s="14" t="str">
        <f>IF(IFERROR(VLOOKUP($M691,'IMPORT GS-Tür OL FL 2S2 20'!$H$2:$H$847,1,0),"-")="-","","GS")</f>
        <v>GS</v>
      </c>
      <c r="X691" s="14" t="str">
        <f t="shared" si="44"/>
        <v>...</v>
      </c>
      <c r="Z691" s="58" t="str">
        <f>IF(OR($M691="",NOT($O691="{array}")),"",IFERROR(MATCH(PARAMETERS!$M691,DEFAULT!$B$5:$CI$5,0),""))</f>
        <v/>
      </c>
      <c r="AA691" s="55" t="str">
        <f t="shared" si="41"/>
        <v/>
      </c>
      <c r="AB691" s="62" t="str">
        <f>IF(AND(OR($A691="G",$A691="P"),NOT($O691="{array}")),IF(VLOOKUP($K691,base!$B$2:$D$20,3,0)="S",IF(OR($O691="",ISTEXT($O691)),"","STRING!"),IF(VLOOKUP($K691,base!$B$2:$D$20,3,0)="","",IF(ISTEXT($O691),"NUMERIC!",""))),"")</f>
        <v/>
      </c>
      <c r="AC691" s="16" t="str">
        <f>IF($AA691="","",IF($B691="I",VLOOKUP($AA691,#REF!,53,0),INDEX(VALUES!$B$1:$GP$1,1,$AA691)))</f>
        <v/>
      </c>
    </row>
    <row r="692" spans="1:29" hidden="1" outlineLevel="1">
      <c r="A692" s="21" t="s">
        <v>86</v>
      </c>
      <c r="B692" s="40" t="str">
        <f t="shared" si="47"/>
        <v/>
      </c>
      <c r="C692" s="41">
        <f t="shared" si="46"/>
        <v>691</v>
      </c>
      <c r="D692" s="260" t="s">
        <v>9</v>
      </c>
      <c r="E692" s="37"/>
      <c r="F692" s="305" t="s">
        <v>9</v>
      </c>
      <c r="G692" s="188"/>
      <c r="H692" s="37"/>
      <c r="I692" s="37" t="s">
        <v>9</v>
      </c>
      <c r="J692" s="37"/>
      <c r="K692" s="13" t="s">
        <v>26</v>
      </c>
      <c r="L692" s="13" t="s">
        <v>29</v>
      </c>
      <c r="M692" s="19" t="s">
        <v>823</v>
      </c>
      <c r="N692" s="13" t="s">
        <v>3939</v>
      </c>
      <c r="O692" s="42">
        <v>0.01</v>
      </c>
      <c r="R692" s="37" t="s">
        <v>106</v>
      </c>
      <c r="S692" s="37"/>
      <c r="T692" s="37"/>
      <c r="W692" s="14" t="str">
        <f>IF(IFERROR(VLOOKUP($M692,'IMPORT GS-Tür OL FL 2S2 20'!$H$2:$H$847,1,0),"-")="-","","GS")</f>
        <v>GS</v>
      </c>
      <c r="X692" s="14" t="str">
        <f t="shared" si="44"/>
        <v>...</v>
      </c>
      <c r="Z692" s="58" t="str">
        <f>IF(OR($M692="",NOT($O692="{array}")),"",IFERROR(MATCH(PARAMETERS!$M692,DEFAULT!$B$5:$CI$5,0),""))</f>
        <v/>
      </c>
      <c r="AA692" s="55" t="str">
        <f t="shared" si="41"/>
        <v/>
      </c>
      <c r="AB692" s="62" t="str">
        <f>IF(AND(OR($A692="G",$A692="P"),NOT($O692="{array}")),IF(VLOOKUP($K692,base!$B$2:$D$20,3,0)="S",IF(OR($O692="",ISTEXT($O692)),"","STRING!"),IF(VLOOKUP($K692,base!$B$2:$D$20,3,0)="","",IF(ISTEXT($O692),"NUMERIC!",""))),"")</f>
        <v/>
      </c>
      <c r="AC692" s="16" t="str">
        <f>IF($AA692="","",IF($B692="I",VLOOKUP($AA692,#REF!,53,0),INDEX(VALUES!$B$1:$GP$1,1,$AA692)))</f>
        <v/>
      </c>
    </row>
    <row r="693" spans="1:29" hidden="1" outlineLevel="1">
      <c r="A693" s="21" t="s">
        <v>86</v>
      </c>
      <c r="B693" s="40" t="str">
        <f t="shared" si="47"/>
        <v/>
      </c>
      <c r="C693" s="41">
        <f t="shared" si="46"/>
        <v>692</v>
      </c>
      <c r="D693" s="260" t="s">
        <v>9</v>
      </c>
      <c r="E693" s="37"/>
      <c r="F693" s="305"/>
      <c r="G693" s="188"/>
      <c r="H693" s="37"/>
      <c r="I693" s="37" t="s">
        <v>9</v>
      </c>
      <c r="J693" s="37"/>
      <c r="K693" s="163" t="s">
        <v>20</v>
      </c>
      <c r="L693" s="13" t="s">
        <v>29</v>
      </c>
      <c r="M693" s="189" t="s">
        <v>3425</v>
      </c>
      <c r="N693" s="163" t="s">
        <v>827</v>
      </c>
      <c r="O693" s="163" t="s">
        <v>3849</v>
      </c>
      <c r="P693" s="157" t="s">
        <v>298</v>
      </c>
      <c r="Q693" s="167" t="s">
        <v>9</v>
      </c>
      <c r="R693" s="168" t="s">
        <v>105</v>
      </c>
      <c r="S693" s="168" t="s">
        <v>114</v>
      </c>
      <c r="T693" s="163" t="s">
        <v>298</v>
      </c>
      <c r="U693" s="163" t="s">
        <v>298</v>
      </c>
      <c r="V693" s="163" t="s">
        <v>827</v>
      </c>
      <c r="W693" s="14" t="str">
        <f>IF(IFERROR(VLOOKUP($M693,'IMPORT GS-Tür OL FL 2S2 20'!$H$2:$H$847,1,0),"-")="-","","GS")</f>
        <v/>
      </c>
      <c r="X693" s="14" t="str">
        <f t="shared" si="44"/>
        <v>Anstrich</v>
      </c>
      <c r="Y693" s="163" t="s">
        <v>829</v>
      </c>
      <c r="Z693" s="58" t="str">
        <f>IF(OR($M693="",NOT($O693="{array}")),"",IFERROR(MATCH(PARAMETERS!$M693,DEFAULT!$B$5:$CI$5,0),""))</f>
        <v/>
      </c>
      <c r="AA693" s="55" t="str">
        <f t="shared" si="41"/>
        <v/>
      </c>
      <c r="AB693" s="62" t="str">
        <f>IF(AND(OR($A693="G",$A693="P"),NOT($O693="{array}")),IF(VLOOKUP($K693,base!$B$2:$D$20,3,0)="S",IF(OR($O693="",ISTEXT($O693)),"","STRING!"),IF(VLOOKUP($K693,base!$B$2:$D$20,3,0)="","",IF(ISTEXT($O693),"NUMERIC!",""))),"")</f>
        <v/>
      </c>
      <c r="AC693" s="16" t="str">
        <f>IF($AA693="","",IF($B693="I",VLOOKUP($AA693,#REF!,53,0),INDEX(VALUES!$B$1:$GP$1,1,$AA693)))</f>
        <v/>
      </c>
    </row>
    <row r="694" spans="1:29" hidden="1" outlineLevel="1">
      <c r="A694" s="21" t="s">
        <v>86</v>
      </c>
      <c r="B694" s="40" t="str">
        <f t="shared" si="47"/>
        <v/>
      </c>
      <c r="C694" s="41">
        <f t="shared" si="46"/>
        <v>693</v>
      </c>
      <c r="D694" s="260" t="s">
        <v>9</v>
      </c>
      <c r="E694" s="37"/>
      <c r="F694" s="305"/>
      <c r="G694" s="188"/>
      <c r="H694" s="37"/>
      <c r="I694" s="37" t="s">
        <v>9</v>
      </c>
      <c r="J694" s="37"/>
      <c r="K694" s="163" t="s">
        <v>20</v>
      </c>
      <c r="L694" s="13" t="s">
        <v>29</v>
      </c>
      <c r="M694" s="189" t="s">
        <v>3426</v>
      </c>
      <c r="N694" s="156" t="s">
        <v>830</v>
      </c>
      <c r="O694" s="163" t="s">
        <v>3849</v>
      </c>
      <c r="P694" s="172" t="s">
        <v>298</v>
      </c>
      <c r="Q694" s="173" t="s">
        <v>9</v>
      </c>
      <c r="R694" s="174" t="s">
        <v>105</v>
      </c>
      <c r="S694" s="174" t="s">
        <v>114</v>
      </c>
      <c r="T694" s="156" t="s">
        <v>298</v>
      </c>
      <c r="U694" s="156" t="s">
        <v>298</v>
      </c>
      <c r="V694" s="156" t="s">
        <v>830</v>
      </c>
      <c r="W694" s="14" t="str">
        <f>IF(IFERROR(VLOOKUP($M694,'IMPORT GS-Tür OL FL 2S2 20'!$H$2:$H$847,1,0),"-")="-","","GS")</f>
        <v/>
      </c>
      <c r="X694" s="14" t="str">
        <f t="shared" si="44"/>
        <v>Anstrich</v>
      </c>
      <c r="Y694" s="156" t="s">
        <v>831</v>
      </c>
      <c r="Z694" s="58" t="str">
        <f>IF(OR($M694="",NOT($O694="{array}")),"",IFERROR(MATCH(PARAMETERS!$M694,DEFAULT!$B$5:$CI$5,0),""))</f>
        <v/>
      </c>
      <c r="AA694" s="55" t="str">
        <f t="shared" si="41"/>
        <v/>
      </c>
      <c r="AB694" s="62" t="str">
        <f>IF(AND(OR($A694="G",$A694="P"),NOT($O694="{array}")),IF(VLOOKUP($K694,base!$B$2:$D$20,3,0)="S",IF(OR($O694="",ISTEXT($O694)),"","STRING!"),IF(VLOOKUP($K694,base!$B$2:$D$20,3,0)="","",IF(ISTEXT($O694),"NUMERIC!",""))),"")</f>
        <v/>
      </c>
      <c r="AC694" s="16" t="str">
        <f>IF($AA694="","",IF($B694="I",VLOOKUP($AA694,#REF!,53,0),INDEX(VALUES!$B$1:$GP$1,1,$AA694)))</f>
        <v/>
      </c>
    </row>
    <row r="695" spans="1:29" hidden="1" outlineLevel="1">
      <c r="A695" s="21" t="s">
        <v>86</v>
      </c>
      <c r="B695" s="40" t="str">
        <f t="shared" si="47"/>
        <v/>
      </c>
      <c r="C695" s="41">
        <f t="shared" si="46"/>
        <v>694</v>
      </c>
      <c r="D695" s="260"/>
      <c r="E695" s="37"/>
      <c r="F695" s="305"/>
      <c r="G695" s="188"/>
      <c r="H695" s="37"/>
      <c r="I695" s="37" t="s">
        <v>9</v>
      </c>
      <c r="J695" s="37"/>
      <c r="K695" s="163" t="s">
        <v>20</v>
      </c>
      <c r="L695" s="13" t="s">
        <v>29</v>
      </c>
      <c r="M695" s="189" t="s">
        <v>3427</v>
      </c>
      <c r="N695" s="163" t="s">
        <v>832</v>
      </c>
      <c r="O695" s="163" t="s">
        <v>3429</v>
      </c>
      <c r="P695" s="157" t="s">
        <v>298</v>
      </c>
      <c r="Q695" s="167" t="s">
        <v>9</v>
      </c>
      <c r="R695" s="168" t="s">
        <v>105</v>
      </c>
      <c r="S695" s="168" t="s">
        <v>114</v>
      </c>
      <c r="T695" s="163" t="s">
        <v>298</v>
      </c>
      <c r="U695" s="163" t="s">
        <v>298</v>
      </c>
      <c r="V695" s="163" t="s">
        <v>832</v>
      </c>
      <c r="W695" s="14" t="str">
        <f>IF(IFERROR(VLOOKUP($M695,'IMPORT GS-Tür OL FL 2S2 20'!$H$2:$H$847,1,0),"-")="-","","GS")</f>
        <v/>
      </c>
      <c r="X695" s="14" t="str">
        <f t="shared" si="44"/>
        <v>...</v>
      </c>
      <c r="Y695" s="163"/>
      <c r="Z695" s="58" t="str">
        <f>IF(OR($M695="",NOT($O695="{array}")),"",IFERROR(MATCH(PARAMETERS!$M695,DEFAULT!$B$5:$CI$5,0),""))</f>
        <v/>
      </c>
      <c r="AA695" s="55" t="str">
        <f t="shared" si="41"/>
        <v/>
      </c>
      <c r="AB695" s="62" t="str">
        <f>IF(AND(OR($A695="G",$A695="P"),NOT($O695="{array}")),IF(VLOOKUP($K695,base!$B$2:$D$20,3,0)="S",IF(OR($O695="",ISTEXT($O695)),"","STRING!"),IF(VLOOKUP($K695,base!$B$2:$D$20,3,0)="","",IF(ISTEXT($O695),"NUMERIC!",""))),"")</f>
        <v/>
      </c>
      <c r="AC695" s="16" t="str">
        <f>IF($AA695="","",IF($B695="I",VLOOKUP($AA695,#REF!,53,0),INDEX(VALUES!$B$1:$GP$1,1,$AA695)))</f>
        <v/>
      </c>
    </row>
    <row r="696" spans="1:29" hidden="1" outlineLevel="1">
      <c r="A696" s="21" t="s">
        <v>86</v>
      </c>
      <c r="B696" s="40" t="str">
        <f t="shared" si="47"/>
        <v/>
      </c>
      <c r="C696" s="41">
        <f t="shared" si="46"/>
        <v>695</v>
      </c>
      <c r="D696" s="260"/>
      <c r="E696" s="37"/>
      <c r="F696" s="305"/>
      <c r="G696" s="188"/>
      <c r="H696" s="37"/>
      <c r="I696" s="37" t="s">
        <v>9</v>
      </c>
      <c r="J696" s="37"/>
      <c r="K696" s="163" t="s">
        <v>20</v>
      </c>
      <c r="L696" s="13" t="s">
        <v>29</v>
      </c>
      <c r="M696" s="189" t="s">
        <v>3428</v>
      </c>
      <c r="N696" s="156" t="s">
        <v>833</v>
      </c>
      <c r="O696" s="156" t="s">
        <v>3429</v>
      </c>
      <c r="P696" s="172" t="s">
        <v>298</v>
      </c>
      <c r="Q696" s="173" t="s">
        <v>9</v>
      </c>
      <c r="R696" s="174" t="s">
        <v>105</v>
      </c>
      <c r="S696" s="174" t="s">
        <v>114</v>
      </c>
      <c r="T696" s="156" t="s">
        <v>298</v>
      </c>
      <c r="U696" s="156" t="s">
        <v>298</v>
      </c>
      <c r="V696" s="156" t="s">
        <v>833</v>
      </c>
      <c r="W696" s="14" t="str">
        <f>IF(IFERROR(VLOOKUP($M696,'IMPORT GS-Tür OL FL 2S2 20'!$H$2:$H$847,1,0),"-")="-","","GS")</f>
        <v/>
      </c>
      <c r="X696" s="14" t="str">
        <f t="shared" si="44"/>
        <v>...</v>
      </c>
      <c r="Y696" s="156"/>
      <c r="Z696" s="58" t="str">
        <f>IF(OR($M696="",NOT($O696="{array}")),"",IFERROR(MATCH(PARAMETERS!$M696,DEFAULT!$B$5:$CI$5,0),""))</f>
        <v/>
      </c>
      <c r="AA696" s="55" t="str">
        <f t="shared" si="41"/>
        <v/>
      </c>
      <c r="AB696" s="62" t="str">
        <f>IF(AND(OR($A696="G",$A696="P"),NOT($O696="{array}")),IF(VLOOKUP($K696,base!$B$2:$D$20,3,0)="S",IF(OR($O696="",ISTEXT($O696)),"","STRING!"),IF(VLOOKUP($K696,base!$B$2:$D$20,3,0)="","",IF(ISTEXT($O696),"NUMERIC!",""))),"")</f>
        <v/>
      </c>
      <c r="AC696" s="16" t="str">
        <f>IF($AA696="","",IF($B696="I",VLOOKUP($AA696,#REF!,53,0),INDEX(VALUES!$B$1:$GP$1,1,$AA696)))</f>
        <v/>
      </c>
    </row>
    <row r="697" spans="1:29" hidden="1" outlineLevel="1">
      <c r="A697" s="21" t="s">
        <v>86</v>
      </c>
      <c r="B697" s="40" t="str">
        <f t="shared" ref="B697:B705" si="48">IF($A697="P",IF(NOT($Z697=""),"A",IF(NOT($AA697=""),"I","")),IF(NOT($AA697=""),IF($A697="G","V","X"),IF(NOT($Z697=""),"A","")))</f>
        <v/>
      </c>
      <c r="C697" s="41">
        <f t="shared" si="46"/>
        <v>696</v>
      </c>
      <c r="D697" s="260" t="s">
        <v>9</v>
      </c>
      <c r="E697" s="37"/>
      <c r="F697" s="305"/>
      <c r="G697" s="188"/>
      <c r="H697" s="37"/>
      <c r="I697" s="37" t="s">
        <v>9</v>
      </c>
      <c r="J697" s="37"/>
      <c r="K697" s="245" t="s">
        <v>26</v>
      </c>
      <c r="L697" s="245" t="s">
        <v>29</v>
      </c>
      <c r="M697" s="212" t="s">
        <v>3387</v>
      </c>
      <c r="N697" s="245" t="s">
        <v>3388</v>
      </c>
      <c r="O697" s="246">
        <v>0.15</v>
      </c>
      <c r="P697" s="52"/>
      <c r="Q697" s="188" t="s">
        <v>9</v>
      </c>
      <c r="R697" s="188" t="s">
        <v>105</v>
      </c>
      <c r="S697" s="37"/>
      <c r="T697" s="37"/>
      <c r="X697" s="14" t="str">
        <f t="shared" si="44"/>
        <v>...</v>
      </c>
      <c r="Z697" s="58" t="str">
        <f>IF(OR($M697="",NOT($O697="{array}")),"",IFERROR(MATCH(PARAMETERS!$M697,DEFAULT!$B$5:$CI$5,0),""))</f>
        <v/>
      </c>
      <c r="AA697" s="55" t="str">
        <f t="shared" ref="AA697:AA790" si="49">IF($M697="","",IFERROR(MATCH($M697,VALUESnames,0),""))</f>
        <v/>
      </c>
      <c r="AB697" s="62" t="str">
        <f>IF(AND(OR($A697="G",$A697="P"),NOT($O697="{array}")),IF(VLOOKUP($K697,base!$B$2:$D$20,3,0)="S",IF(OR($O697="",ISTEXT($O697)),"","STRING!"),IF(VLOOKUP($K697,base!$B$2:$D$20,3,0)="","",IF(ISTEXT($O697),"NUMERIC!",""))),"")</f>
        <v/>
      </c>
      <c r="AC697" s="16" t="str">
        <f>IF($AA697="","",IF($B697="I",VLOOKUP($AA697,#REF!,53,0),INDEX(VALUES!$B$1:$GP$1,1,$AA697)))</f>
        <v/>
      </c>
    </row>
    <row r="698" spans="1:29" hidden="1" outlineLevel="1">
      <c r="A698" s="21" t="s">
        <v>86</v>
      </c>
      <c r="B698" s="40" t="str">
        <f t="shared" si="48"/>
        <v/>
      </c>
      <c r="C698" s="41">
        <f t="shared" si="46"/>
        <v>697</v>
      </c>
      <c r="D698" s="260" t="s">
        <v>9</v>
      </c>
      <c r="E698" s="37"/>
      <c r="F698" s="305"/>
      <c r="G698" s="188" t="s">
        <v>9</v>
      </c>
      <c r="H698" s="37"/>
      <c r="I698" s="37" t="s">
        <v>9</v>
      </c>
      <c r="J698" s="37"/>
      <c r="K698" s="245" t="s">
        <v>46</v>
      </c>
      <c r="L698" s="245" t="s">
        <v>29</v>
      </c>
      <c r="M698" s="212" t="s">
        <v>3389</v>
      </c>
      <c r="N698" s="245" t="s">
        <v>3390</v>
      </c>
      <c r="O698" s="246">
        <v>1</v>
      </c>
      <c r="P698" s="52"/>
      <c r="Q698" s="188"/>
      <c r="R698" s="188" t="s">
        <v>105</v>
      </c>
      <c r="S698" s="37"/>
      <c r="T698" s="37"/>
      <c r="X698" s="14" t="str">
        <f t="shared" si="44"/>
        <v>...</v>
      </c>
      <c r="Z698" s="58" t="str">
        <f>IF(OR($M698="",NOT($O698="{array}")),"",IFERROR(MATCH(PARAMETERS!$M698,DEFAULT!$B$5:$CI$5,0),""))</f>
        <v/>
      </c>
      <c r="AA698" s="55" t="str">
        <f t="shared" si="49"/>
        <v/>
      </c>
      <c r="AB698" s="62" t="str">
        <f>IF(AND(OR($A698="G",$A698="P"),NOT($O698="{array}")),IF(VLOOKUP($K698,base!$B$2:$D$20,3,0)="S",IF(OR($O698="",ISTEXT($O698)),"","STRING!"),IF(VLOOKUP($K698,base!$B$2:$D$20,3,0)="","",IF(ISTEXT($O698),"NUMERIC!",""))),"")</f>
        <v/>
      </c>
      <c r="AC698" s="16" t="str">
        <f>IF($AA698="","",IF($B698="I",VLOOKUP($AA698,#REF!,53,0),INDEX(VALUES!$B$1:$GP$1,1,$AA698)))</f>
        <v/>
      </c>
    </row>
    <row r="699" spans="1:29" hidden="1" outlineLevel="1">
      <c r="A699" s="21" t="s">
        <v>86</v>
      </c>
      <c r="B699" s="40" t="str">
        <f t="shared" si="48"/>
        <v/>
      </c>
      <c r="C699" s="41">
        <f t="shared" si="46"/>
        <v>698</v>
      </c>
      <c r="D699" s="260" t="s">
        <v>9</v>
      </c>
      <c r="E699" s="37"/>
      <c r="F699" s="305"/>
      <c r="G699" s="188"/>
      <c r="H699" s="37"/>
      <c r="I699" s="37" t="s">
        <v>9</v>
      </c>
      <c r="J699" s="37"/>
      <c r="K699" s="245" t="s">
        <v>26</v>
      </c>
      <c r="L699" s="245" t="s">
        <v>29</v>
      </c>
      <c r="M699" s="212" t="s">
        <v>3391</v>
      </c>
      <c r="N699" s="245" t="s">
        <v>3392</v>
      </c>
      <c r="O699" s="246">
        <v>0.02</v>
      </c>
      <c r="P699" s="52"/>
      <c r="Q699" s="188" t="s">
        <v>9</v>
      </c>
      <c r="R699" s="188" t="s">
        <v>105</v>
      </c>
      <c r="S699" s="37"/>
      <c r="T699" s="37"/>
      <c r="X699" s="14" t="str">
        <f t="shared" si="44"/>
        <v>...</v>
      </c>
      <c r="Z699" s="58" t="str">
        <f>IF(OR($M699="",NOT($O699="{array}")),"",IFERROR(MATCH(PARAMETERS!$M699,DEFAULT!$B$5:$CI$5,0),""))</f>
        <v/>
      </c>
      <c r="AA699" s="55" t="str">
        <f t="shared" si="49"/>
        <v/>
      </c>
      <c r="AB699" s="62" t="str">
        <f>IF(AND(OR($A699="G",$A699="P"),NOT($O699="{array}")),IF(VLOOKUP($K699,base!$B$2:$D$20,3,0)="S",IF(OR($O699="",ISTEXT($O699)),"","STRING!"),IF(VLOOKUP($K699,base!$B$2:$D$20,3,0)="","",IF(ISTEXT($O699),"NUMERIC!",""))),"")</f>
        <v/>
      </c>
      <c r="AC699" s="16" t="str">
        <f>IF($AA699="","",IF($B699="I",VLOOKUP($AA699,#REF!,53,0),INDEX(VALUES!$B$1:$GP$1,1,$AA699)))</f>
        <v/>
      </c>
    </row>
    <row r="700" spans="1:29" hidden="1" outlineLevel="1">
      <c r="A700" s="21" t="s">
        <v>86</v>
      </c>
      <c r="B700" s="40" t="str">
        <f t="shared" si="48"/>
        <v/>
      </c>
      <c r="C700" s="41">
        <f t="shared" si="46"/>
        <v>699</v>
      </c>
      <c r="D700" s="260" t="s">
        <v>9</v>
      </c>
      <c r="E700" s="37"/>
      <c r="F700" s="305"/>
      <c r="G700" s="188"/>
      <c r="H700" s="37"/>
      <c r="I700" s="37" t="s">
        <v>9</v>
      </c>
      <c r="J700" s="37"/>
      <c r="K700" s="245" t="s">
        <v>26</v>
      </c>
      <c r="L700" s="245" t="s">
        <v>29</v>
      </c>
      <c r="M700" s="212" t="s">
        <v>3517</v>
      </c>
      <c r="N700" s="245" t="s">
        <v>3518</v>
      </c>
      <c r="O700" s="246">
        <v>0</v>
      </c>
      <c r="P700" s="52"/>
      <c r="Q700" s="188" t="s">
        <v>9</v>
      </c>
      <c r="R700" s="188" t="s">
        <v>105</v>
      </c>
      <c r="S700" s="37"/>
      <c r="T700" s="37"/>
      <c r="X700" s="14" t="str">
        <f t="shared" si="44"/>
        <v>...</v>
      </c>
      <c r="Z700" s="58" t="str">
        <f>IF(OR($M700="",NOT($O700="{array}")),"",IFERROR(MATCH(PARAMETERS!$M700,DEFAULT!$B$5:$CI$5,0),""))</f>
        <v/>
      </c>
      <c r="AA700" s="55" t="str">
        <f t="shared" si="49"/>
        <v/>
      </c>
      <c r="AB700" s="62" t="str">
        <f>IF(AND(OR($A700="G",$A700="P"),NOT($O700="{array}")),IF(VLOOKUP($K700,base!$B$2:$D$20,3,0)="S",IF(OR($O700="",ISTEXT($O700)),"","STRING!"),IF(VLOOKUP($K700,base!$B$2:$D$20,3,0)="","",IF(ISTEXT($O700),"NUMERIC!",""))),"")</f>
        <v/>
      </c>
      <c r="AC700" s="16" t="str">
        <f>IF($AA700="","",IF($B700="I",VLOOKUP($AA700,#REF!,53,0),INDEX(VALUES!$B$1:$GP$1,1,$AA700)))</f>
        <v/>
      </c>
    </row>
    <row r="701" spans="1:29" hidden="1" outlineLevel="1">
      <c r="A701" s="21" t="s">
        <v>86</v>
      </c>
      <c r="B701" s="40" t="str">
        <f t="shared" si="48"/>
        <v/>
      </c>
      <c r="C701" s="41">
        <f t="shared" si="46"/>
        <v>700</v>
      </c>
      <c r="D701" s="260" t="s">
        <v>9</v>
      </c>
      <c r="E701" s="37"/>
      <c r="F701" s="305"/>
      <c r="G701" s="188"/>
      <c r="H701" s="37"/>
      <c r="I701" s="37" t="s">
        <v>9</v>
      </c>
      <c r="J701" s="37"/>
      <c r="K701" s="245" t="s">
        <v>26</v>
      </c>
      <c r="L701" s="245" t="s">
        <v>29</v>
      </c>
      <c r="M701" s="212" t="s">
        <v>3519</v>
      </c>
      <c r="N701" s="245" t="s">
        <v>3520</v>
      </c>
      <c r="O701" s="246">
        <v>0</v>
      </c>
      <c r="P701" s="52"/>
      <c r="Q701" s="188" t="s">
        <v>9</v>
      </c>
      <c r="R701" s="188" t="s">
        <v>105</v>
      </c>
      <c r="S701" s="37"/>
      <c r="T701" s="37"/>
      <c r="X701" s="14" t="str">
        <f t="shared" si="44"/>
        <v>...</v>
      </c>
      <c r="Z701" s="58" t="str">
        <f>IF(OR($M701="",NOT($O701="{array}")),"",IFERROR(MATCH(PARAMETERS!$M701,DEFAULT!$B$5:$CI$5,0),""))</f>
        <v/>
      </c>
      <c r="AA701" s="55" t="str">
        <f t="shared" si="49"/>
        <v/>
      </c>
      <c r="AB701" s="62" t="str">
        <f>IF(AND(OR($A701="G",$A701="P"),NOT($O701="{array}")),IF(VLOOKUP($K701,base!$B$2:$D$20,3,0)="S",IF(OR($O701="",ISTEXT($O701)),"","STRING!"),IF(VLOOKUP($K701,base!$B$2:$D$20,3,0)="","",IF(ISTEXT($O701),"NUMERIC!",""))),"")</f>
        <v/>
      </c>
      <c r="AC701" s="16" t="str">
        <f>IF($AA701="","",IF($B701="I",VLOOKUP($AA701,#REF!,53,0),INDEX(VALUES!$B$1:$GP$1,1,$AA701)))</f>
        <v/>
      </c>
    </row>
    <row r="702" spans="1:29" collapsed="1">
      <c r="A702" s="21"/>
      <c r="B702" s="40" t="str">
        <f t="shared" si="48"/>
        <v/>
      </c>
      <c r="C702" s="41">
        <f t="shared" si="46"/>
        <v>701</v>
      </c>
      <c r="D702" s="260"/>
      <c r="E702" s="37"/>
      <c r="F702" s="305" t="s">
        <v>9</v>
      </c>
      <c r="G702" s="188" t="s">
        <v>9</v>
      </c>
      <c r="H702" s="37"/>
      <c r="I702" s="37" t="s">
        <v>9</v>
      </c>
      <c r="J702" s="37"/>
      <c r="K702" s="13" t="s">
        <v>46</v>
      </c>
      <c r="L702" s="13" t="s">
        <v>29</v>
      </c>
      <c r="M702" s="235" t="s">
        <v>763</v>
      </c>
      <c r="N702" s="13" t="s">
        <v>760</v>
      </c>
      <c r="O702" s="42">
        <v>1</v>
      </c>
      <c r="R702" s="37" t="s">
        <v>106</v>
      </c>
      <c r="S702" s="37"/>
      <c r="T702" s="37"/>
      <c r="W702" s="14" t="str">
        <f>IF(IFERROR(VLOOKUP($M702,'IMPORT GS-Tür OL FL 2S2 20'!$H$2:$H$847,1,0),"-")="-","","GS")</f>
        <v>GS</v>
      </c>
      <c r="X702" s="14" t="str">
        <f>IF($A702="G",IF(IFERROR(VLOOKUP($M702,Reimport,1,0),"-")="-","&gt;&lt;",IF($O702=VLOOKUP($M702,Reimport,2,0),"...",VLOOKUP($M702,Reimport,2,0))),"")</f>
        <v/>
      </c>
      <c r="Z702" s="58" t="str">
        <f>IF(OR($M702="",NOT($O702="{array}")),"",IFERROR(MATCH(PARAMETERS!$M702,DEFAULT!$B$5:$CI$5,0),""))</f>
        <v/>
      </c>
      <c r="AA702" s="55" t="str">
        <f>IF($M702="","",IFERROR(MATCH($M702,VALUESnames,0),""))</f>
        <v/>
      </c>
      <c r="AB702" s="62" t="str">
        <f>IF(AND(OR($A702="G",$A702="P"),NOT($O702="{array}")),IF(VLOOKUP($K702,base!$B$2:$D$20,3,0)="S",IF(OR($O702="",ISTEXT($O702)),"","STRING!"),IF(VLOOKUP($K702,base!$B$2:$D$20,3,0)="","",IF(ISTEXT($O702),"NUMERIC!",""))),"")</f>
        <v/>
      </c>
      <c r="AC702" s="16" t="str">
        <f>IF($AA702="","",IF($B702="I",VLOOKUP($AA702,#REF!,53,0),INDEX(VALUES!$B$1:$GP$1,1,$AA702)))</f>
        <v/>
      </c>
    </row>
    <row r="703" spans="1:29">
      <c r="A703" s="21" t="s">
        <v>86</v>
      </c>
      <c r="B703" s="40" t="str">
        <f t="shared" si="48"/>
        <v/>
      </c>
      <c r="C703" s="41">
        <f t="shared" si="46"/>
        <v>702</v>
      </c>
      <c r="D703" s="260" t="s">
        <v>9</v>
      </c>
      <c r="E703" s="37"/>
      <c r="F703" s="305" t="s">
        <v>9</v>
      </c>
      <c r="G703" s="188" t="s">
        <v>9</v>
      </c>
      <c r="H703" s="37"/>
      <c r="I703" s="37" t="s">
        <v>9</v>
      </c>
      <c r="J703" s="37"/>
      <c r="K703" s="13" t="s">
        <v>49</v>
      </c>
      <c r="L703" s="13" t="s">
        <v>29</v>
      </c>
      <c r="M703" s="235" t="s">
        <v>813</v>
      </c>
      <c r="N703" s="13" t="s">
        <v>814</v>
      </c>
      <c r="O703" s="42">
        <v>1</v>
      </c>
      <c r="R703" s="37" t="s">
        <v>106</v>
      </c>
      <c r="S703" s="37"/>
      <c r="T703" s="37"/>
      <c r="W703" s="14" t="str">
        <f>IF(IFERROR(VLOOKUP($M703,'IMPORT GS-Tür OL FL 2S2 20'!$H$2:$H$847,1,0),"-")="-","","GS")</f>
        <v>GS</v>
      </c>
      <c r="X703" s="14" t="str">
        <f>IF($A703="G",IF(IFERROR(VLOOKUP($M703,Reimport,1,0),"-")="-","&gt;&lt;",IF($O703=VLOOKUP($M703,Reimport,2,0),"...",VLOOKUP($M703,Reimport,2,0))),"")</f>
        <v>...</v>
      </c>
      <c r="Z703" s="58" t="str">
        <f>IF(OR($M703="",NOT($O703="{array}")),"",IFERROR(MATCH(PARAMETERS!$M703,DEFAULT!$B$5:$CI$5,0),""))</f>
        <v/>
      </c>
      <c r="AA703" s="55" t="str">
        <f>IF($M703="","",IFERROR(MATCH($M703,VALUESnames,0),""))</f>
        <v/>
      </c>
      <c r="AB703" s="62" t="str">
        <f>IF(AND(OR($A703="G",$A703="P"),NOT($O703="{array}")),IF(VLOOKUP($K703,base!$B$2:$D$20,3,0)="S",IF(OR($O703="",ISTEXT($O703)),"","STRING!"),IF(VLOOKUP($K703,base!$B$2:$D$20,3,0)="","",IF(ISTEXT($O703),"NUMERIC!",""))),"")</f>
        <v/>
      </c>
      <c r="AC703" s="16" t="str">
        <f>IF($AA703="","",IF($B703="I",VLOOKUP($AA703,#REF!,53,0),INDEX(VALUES!$B$1:$GP$1,1,$AA703)))</f>
        <v/>
      </c>
    </row>
    <row r="704" spans="1:29">
      <c r="A704" s="21"/>
      <c r="B704" s="40" t="str">
        <f t="shared" si="48"/>
        <v/>
      </c>
      <c r="C704" s="41">
        <f t="shared" si="46"/>
        <v>703</v>
      </c>
      <c r="D704" s="260"/>
      <c r="E704" s="37"/>
      <c r="F704" s="305" t="s">
        <v>9</v>
      </c>
      <c r="G704" s="188"/>
      <c r="H704" s="37"/>
      <c r="I704" s="37" t="s">
        <v>9</v>
      </c>
      <c r="J704" s="37"/>
      <c r="K704" s="13" t="s">
        <v>26</v>
      </c>
      <c r="L704" s="13" t="s">
        <v>29</v>
      </c>
      <c r="M704" s="235" t="s">
        <v>815</v>
      </c>
      <c r="N704" s="13" t="s">
        <v>816</v>
      </c>
      <c r="O704" s="42">
        <v>0.05</v>
      </c>
      <c r="R704" s="37" t="s">
        <v>106</v>
      </c>
      <c r="S704" s="37"/>
      <c r="T704" s="37"/>
      <c r="W704" s="14" t="str">
        <f>IF(IFERROR(VLOOKUP($M704,'IMPORT GS-Tür OL FL 2S2 20'!$H$2:$H$847,1,0),"-")="-","","GS")</f>
        <v>GS</v>
      </c>
      <c r="X704" s="14" t="str">
        <f>IF($A704="G",IF(IFERROR(VLOOKUP($M704,Reimport,1,0),"-")="-","&gt;&lt;",IF($O704=VLOOKUP($M704,Reimport,2,0),"...",VLOOKUP($M704,Reimport,2,0))),"")</f>
        <v/>
      </c>
      <c r="Z704" s="58" t="str">
        <f>IF(OR($M704="",NOT($O704="{array}")),"",IFERROR(MATCH(PARAMETERS!$M704,DEFAULT!$B$5:$CI$5,0),""))</f>
        <v/>
      </c>
      <c r="AA704" s="55" t="str">
        <f>IF($M704="","",IFERROR(MATCH($M704,VALUESnames,0),""))</f>
        <v/>
      </c>
      <c r="AB704" s="62" t="str">
        <f>IF(AND(OR($A704="G",$A704="P"),NOT($O704="{array}")),IF(VLOOKUP($K704,base!$B$2:$D$20,3,0)="S",IF(OR($O704="",ISTEXT($O704)),"","STRING!"),IF(VLOOKUP($K704,base!$B$2:$D$20,3,0)="","",IF(ISTEXT($O704),"NUMERIC!",""))),"")</f>
        <v/>
      </c>
      <c r="AC704" s="16" t="str">
        <f>IF($AA704="","",IF($B704="I",VLOOKUP($AA704,#REF!,53,0),INDEX(VALUES!$B$1:$GP$1,1,$AA704)))</f>
        <v/>
      </c>
    </row>
    <row r="705" spans="1:29">
      <c r="A705" s="21"/>
      <c r="B705" s="40" t="str">
        <f t="shared" si="48"/>
        <v/>
      </c>
      <c r="C705" s="41">
        <f t="shared" si="46"/>
        <v>704</v>
      </c>
      <c r="D705" s="260"/>
      <c r="E705" s="37"/>
      <c r="F705" s="305" t="s">
        <v>9</v>
      </c>
      <c r="G705" s="188"/>
      <c r="H705" s="37"/>
      <c r="I705" s="37" t="s">
        <v>9</v>
      </c>
      <c r="J705" s="37"/>
      <c r="K705" s="13" t="s">
        <v>26</v>
      </c>
      <c r="L705" s="13" t="s">
        <v>29</v>
      </c>
      <c r="M705" s="235" t="s">
        <v>817</v>
      </c>
      <c r="N705" s="13" t="s">
        <v>818</v>
      </c>
      <c r="O705" s="42">
        <v>0.06</v>
      </c>
      <c r="R705" s="37" t="s">
        <v>106</v>
      </c>
      <c r="S705" s="37"/>
      <c r="T705" s="37"/>
      <c r="W705" s="14" t="str">
        <f>IF(IFERROR(VLOOKUP($M705,'IMPORT GS-Tür OL FL 2S2 20'!$H$2:$H$847,1,0),"-")="-","","GS")</f>
        <v>GS</v>
      </c>
      <c r="X705" s="14" t="str">
        <f>IF($A705="G",IF(IFERROR(VLOOKUP($M705,Reimport,1,0),"-")="-","&gt;&lt;",IF($O705=VLOOKUP($M705,Reimport,2,0),"...",VLOOKUP($M705,Reimport,2,0))),"")</f>
        <v/>
      </c>
      <c r="Z705" s="58" t="str">
        <f>IF(OR($M705="",NOT($O705="{array}")),"",IFERROR(MATCH(PARAMETERS!$M705,DEFAULT!$B$5:$CI$5,0),""))</f>
        <v/>
      </c>
      <c r="AA705" s="55" t="str">
        <f>IF($M705="","",IFERROR(MATCH($M705,VALUESnames,0),""))</f>
        <v/>
      </c>
      <c r="AB705" s="62" t="str">
        <f>IF(AND(OR($A705="G",$A705="P"),NOT($O705="{array}")),IF(VLOOKUP($K705,base!$B$2:$D$20,3,0)="S",IF(OR($O705="",ISTEXT($O705)),"","STRING!"),IF(VLOOKUP($K705,base!$B$2:$D$20,3,0)="","",IF(ISTEXT($O705),"NUMERIC!",""))),"")</f>
        <v/>
      </c>
      <c r="AC705" s="16" t="str">
        <f>IF($AA705="","",IF($B705="I",VLOOKUP($AA705,#REF!,53,0),INDEX(VALUES!$B$1:$GP$1,1,$AA705)))</f>
        <v/>
      </c>
    </row>
    <row r="706" spans="1:29">
      <c r="A706" s="21" t="s">
        <v>86</v>
      </c>
      <c r="B706" s="40" t="str">
        <f t="shared" si="47"/>
        <v/>
      </c>
      <c r="C706" s="41">
        <f t="shared" si="46"/>
        <v>705</v>
      </c>
      <c r="D706" s="260" t="s">
        <v>9</v>
      </c>
      <c r="E706" s="37"/>
      <c r="F706" s="305"/>
      <c r="G706" s="188"/>
      <c r="H706" s="37"/>
      <c r="I706" s="37"/>
      <c r="J706" s="37"/>
      <c r="K706" s="230" t="s">
        <v>59</v>
      </c>
      <c r="L706" s="230" t="s">
        <v>40</v>
      </c>
      <c r="M706" s="231" t="s">
        <v>834</v>
      </c>
      <c r="N706" s="232" t="s">
        <v>835</v>
      </c>
      <c r="R706" s="37" t="s">
        <v>106</v>
      </c>
      <c r="S706" s="37"/>
      <c r="T706" s="37"/>
      <c r="W706" s="14" t="str">
        <f>IF(IFERROR(VLOOKUP($M706,'IMPORT GS-Tür OL FL 2S2 20'!$H$2:$H$847,1,0),"-")="-","","GS")</f>
        <v/>
      </c>
      <c r="X706" s="14" t="str">
        <f t="shared" si="44"/>
        <v>...</v>
      </c>
      <c r="Z706" s="58" t="str">
        <f>IF(OR($M706="",NOT($O706="{array}")),"",IFERROR(MATCH(PARAMETERS!$M706,DEFAULT!$B$5:$CI$5,0),""))</f>
        <v/>
      </c>
      <c r="AA706" s="55" t="str">
        <f t="shared" si="49"/>
        <v/>
      </c>
      <c r="AB706" s="62" t="str">
        <f>IF(AND(OR($A706="G",$A706="P"),NOT($O706="{array}")),IF(VLOOKUP($K706,base!$B$2:$D$20,3,0)="S",IF(OR($O706="",ISTEXT($O706)),"","STRING!"),IF(VLOOKUP($K706,base!$B$2:$D$20,3,0)="","",IF(ISTEXT($O706),"NUMERIC!",""))),"")</f>
        <v/>
      </c>
      <c r="AC706" s="16" t="str">
        <f>IF($AA706="","",IF($B706="I",VLOOKUP($AA706,#REF!,53,0),INDEX(VALUES!$B$1:$GP$1,1,$AA706)))</f>
        <v/>
      </c>
    </row>
    <row r="707" spans="1:29" hidden="1" outlineLevel="1">
      <c r="A707" s="21" t="s">
        <v>86</v>
      </c>
      <c r="B707" s="40" t="str">
        <f t="shared" si="47"/>
        <v/>
      </c>
      <c r="C707" s="41">
        <f t="shared" si="46"/>
        <v>706</v>
      </c>
      <c r="D707" s="260" t="s">
        <v>9</v>
      </c>
      <c r="E707" s="37"/>
      <c r="F707" s="305"/>
      <c r="G707" s="188" t="s">
        <v>9</v>
      </c>
      <c r="H707" s="37"/>
      <c r="I707" s="37" t="s">
        <v>9</v>
      </c>
      <c r="J707" s="37"/>
      <c r="K707" s="13" t="s">
        <v>49</v>
      </c>
      <c r="L707" s="13" t="s">
        <v>29</v>
      </c>
      <c r="M707" s="214" t="s">
        <v>836</v>
      </c>
      <c r="N707" s="13" t="s">
        <v>837</v>
      </c>
      <c r="O707" s="42">
        <v>0</v>
      </c>
      <c r="R707" s="37" t="s">
        <v>106</v>
      </c>
      <c r="S707" s="37"/>
      <c r="T707" s="37"/>
      <c r="W707" s="14" t="str">
        <f>IF(IFERROR(VLOOKUP($M707,'IMPORT GS-Tür OL FL 2S2 20'!$H$2:$H$847,1,0),"-")="-","","GS")</f>
        <v>GS</v>
      </c>
      <c r="X707" s="14" t="str">
        <f t="shared" si="44"/>
        <v>...</v>
      </c>
      <c r="Z707" s="58" t="str">
        <f>IF(OR($M707="",NOT($O707="{array}")),"",IFERROR(MATCH(PARAMETERS!$M707,DEFAULT!$B$5:$CI$5,0),""))</f>
        <v/>
      </c>
      <c r="AA707" s="55" t="str">
        <f t="shared" si="49"/>
        <v/>
      </c>
      <c r="AB707" s="62" t="str">
        <f>IF(AND(OR($A707="G",$A707="P"),NOT($O707="{array}")),IF(VLOOKUP($K707,base!$B$2:$D$20,3,0)="S",IF(OR($O707="",ISTEXT($O707)),"","STRING!"),IF(VLOOKUP($K707,base!$B$2:$D$20,3,0)="","",IF(ISTEXT($O707),"NUMERIC!",""))),"")</f>
        <v/>
      </c>
      <c r="AC707" s="16" t="str">
        <f>IF($AA707="","",IF($B707="I",VLOOKUP($AA707,#REF!,53,0),INDEX(VALUES!$B$1:$GP$1,1,$AA707)))</f>
        <v/>
      </c>
    </row>
    <row r="708" spans="1:29" hidden="1" outlineLevel="1">
      <c r="A708" s="21" t="s">
        <v>86</v>
      </c>
      <c r="B708" s="40" t="str">
        <f t="shared" si="47"/>
        <v/>
      </c>
      <c r="C708" s="41">
        <f t="shared" si="46"/>
        <v>707</v>
      </c>
      <c r="D708" s="260" t="s">
        <v>9</v>
      </c>
      <c r="E708" s="37"/>
      <c r="F708" s="305"/>
      <c r="G708" s="188"/>
      <c r="H708" s="37"/>
      <c r="I708" s="37" t="s">
        <v>9</v>
      </c>
      <c r="J708" s="37"/>
      <c r="K708" s="13" t="s">
        <v>26</v>
      </c>
      <c r="L708" s="13" t="s">
        <v>29</v>
      </c>
      <c r="M708" s="214" t="s">
        <v>838</v>
      </c>
      <c r="N708" s="13" t="s">
        <v>839</v>
      </c>
      <c r="O708" s="42">
        <v>1.1499999999999999</v>
      </c>
      <c r="R708" s="37" t="s">
        <v>106</v>
      </c>
      <c r="S708" s="37"/>
      <c r="T708" s="37"/>
      <c r="W708" s="14" t="str">
        <f>IF(IFERROR(VLOOKUP($M708,'IMPORT GS-Tür OL FL 2S2 20'!$H$2:$H$847,1,0),"-")="-","","GS")</f>
        <v>GS</v>
      </c>
      <c r="X708" s="14" t="str">
        <f t="shared" si="44"/>
        <v>...</v>
      </c>
      <c r="Z708" s="58" t="str">
        <f>IF(OR($M708="",NOT($O708="{array}")),"",IFERROR(MATCH(PARAMETERS!$M708,DEFAULT!$B$5:$CI$5,0),""))</f>
        <v/>
      </c>
      <c r="AA708" s="55" t="str">
        <f t="shared" si="49"/>
        <v/>
      </c>
      <c r="AB708" s="62" t="str">
        <f>IF(AND(OR($A708="G",$A708="P"),NOT($O708="{array}")),IF(VLOOKUP($K708,base!$B$2:$D$20,3,0)="S",IF(OR($O708="",ISTEXT($O708)),"","STRING!"),IF(VLOOKUP($K708,base!$B$2:$D$20,3,0)="","",IF(ISTEXT($O708),"NUMERIC!",""))),"")</f>
        <v/>
      </c>
      <c r="AC708" s="16" t="str">
        <f>IF($AA708="","",IF($B708="I",VLOOKUP($AA708,#REF!,53,0),INDEX(VALUES!$B$1:$GP$1,1,$AA708)))</f>
        <v/>
      </c>
    </row>
    <row r="709" spans="1:29" hidden="1" outlineLevel="1">
      <c r="A709" s="21" t="s">
        <v>86</v>
      </c>
      <c r="B709" s="40" t="str">
        <f t="shared" si="47"/>
        <v/>
      </c>
      <c r="C709" s="41">
        <f t="shared" si="46"/>
        <v>708</v>
      </c>
      <c r="D709" s="260" t="s">
        <v>9</v>
      </c>
      <c r="E709" s="37"/>
      <c r="F709" s="305"/>
      <c r="G709" s="188"/>
      <c r="H709" s="37"/>
      <c r="I709" s="37" t="s">
        <v>9</v>
      </c>
      <c r="J709" s="37"/>
      <c r="K709" s="13" t="s">
        <v>26</v>
      </c>
      <c r="L709" s="13" t="s">
        <v>29</v>
      </c>
      <c r="M709" s="214" t="s">
        <v>840</v>
      </c>
      <c r="N709" s="13" t="s">
        <v>841</v>
      </c>
      <c r="O709" s="42">
        <v>0.59</v>
      </c>
      <c r="R709" s="37" t="s">
        <v>106</v>
      </c>
      <c r="S709" s="37"/>
      <c r="T709" s="37"/>
      <c r="W709" s="14" t="str">
        <f>IF(IFERROR(VLOOKUP($M709,'IMPORT GS-Tür OL FL 2S2 20'!$H$2:$H$847,1,0),"-")="-","","GS")</f>
        <v>GS</v>
      </c>
      <c r="X709" s="14" t="str">
        <f t="shared" si="44"/>
        <v>...</v>
      </c>
      <c r="Y709" s="13" t="s">
        <v>842</v>
      </c>
      <c r="Z709" s="58" t="str">
        <f>IF(OR($M709="",NOT($O709="{array}")),"",IFERROR(MATCH(PARAMETERS!$M709,DEFAULT!$B$5:$CI$5,0),""))</f>
        <v/>
      </c>
      <c r="AA709" s="55" t="str">
        <f t="shared" si="49"/>
        <v/>
      </c>
      <c r="AB709" s="62" t="str">
        <f>IF(AND(OR($A709="G",$A709="P"),NOT($O709="{array}")),IF(VLOOKUP($K709,base!$B$2:$D$20,3,0)="S",IF(OR($O709="",ISTEXT($O709)),"","STRING!"),IF(VLOOKUP($K709,base!$B$2:$D$20,3,0)="","",IF(ISTEXT($O709),"NUMERIC!",""))),"")</f>
        <v/>
      </c>
      <c r="AC709" s="16" t="str">
        <f>IF($AA709="","",IF($B709="I",VLOOKUP($AA709,#REF!,53,0),INDEX(VALUES!$B$1:$GP$1,1,$AA709)))</f>
        <v/>
      </c>
    </row>
    <row r="710" spans="1:29" s="276" customFormat="1" hidden="1" outlineLevel="1">
      <c r="A710" s="263"/>
      <c r="B710" s="264" t="str">
        <f t="shared" si="47"/>
        <v/>
      </c>
      <c r="C710" s="265">
        <f t="shared" si="46"/>
        <v>709</v>
      </c>
      <c r="D710" s="266"/>
      <c r="E710" s="266"/>
      <c r="F710" s="305"/>
      <c r="G710" s="188"/>
      <c r="H710" s="266"/>
      <c r="I710" s="270" t="s">
        <v>9</v>
      </c>
      <c r="J710" s="270"/>
      <c r="K710" s="267" t="s">
        <v>49</v>
      </c>
      <c r="L710" s="267" t="s">
        <v>29</v>
      </c>
      <c r="M710" s="268" t="s">
        <v>843</v>
      </c>
      <c r="N710" s="267" t="s">
        <v>844</v>
      </c>
      <c r="O710" s="269">
        <v>1</v>
      </c>
      <c r="Q710" s="266"/>
      <c r="R710" s="266" t="s">
        <v>106</v>
      </c>
      <c r="S710" s="266"/>
      <c r="T710" s="266"/>
      <c r="W710" s="272" t="str">
        <f>IF(IFERROR(VLOOKUP($M710,'IMPORT GS-Tür OL FL 2S2 20'!$H$2:$H$847,1,0),"-")="-","","GS")</f>
        <v>GS</v>
      </c>
      <c r="X710" s="272" t="str">
        <f t="shared" si="44"/>
        <v/>
      </c>
      <c r="Z710" s="273" t="str">
        <f>IF(OR($M710="",NOT($O710="{array}")),"",IFERROR(MATCH(PARAMETERS!$M710,DEFAULT!$B$5:$CI$5,0),""))</f>
        <v/>
      </c>
      <c r="AA710" s="272" t="str">
        <f t="shared" si="49"/>
        <v/>
      </c>
      <c r="AB710" s="274" t="str">
        <f>IF(AND(OR($A710="G",$A710="P"),NOT($O710="{array}")),IF(VLOOKUP($K710,base!$B$2:$D$20,3,0)="S",IF(OR($O710="",ISTEXT($O710)),"","STRING!"),IF(VLOOKUP($K710,base!$B$2:$D$20,3,0)="","",IF(ISTEXT($O710),"NUMERIC!",""))),"")</f>
        <v/>
      </c>
      <c r="AC710" s="275" t="str">
        <f>IF($AA710="","",IF($B710="I",VLOOKUP($AA710,#REF!,53,0),INDEX(VALUES!$B$1:$GP$1,1,$AA710)))</f>
        <v/>
      </c>
    </row>
    <row r="711" spans="1:29" hidden="1" outlineLevel="1">
      <c r="A711" s="21" t="s">
        <v>86</v>
      </c>
      <c r="B711" s="40" t="str">
        <f t="shared" si="47"/>
        <v/>
      </c>
      <c r="C711" s="41">
        <f t="shared" ref="C711:C730" si="50">(ROW()-1)</f>
        <v>710</v>
      </c>
      <c r="D711" s="260" t="s">
        <v>9</v>
      </c>
      <c r="E711" s="37"/>
      <c r="F711" s="305"/>
      <c r="G711" s="188" t="s">
        <v>9</v>
      </c>
      <c r="H711" s="37"/>
      <c r="I711" s="37" t="s">
        <v>9</v>
      </c>
      <c r="J711" s="37"/>
      <c r="K711" s="13" t="s">
        <v>26</v>
      </c>
      <c r="L711" s="13" t="s">
        <v>29</v>
      </c>
      <c r="M711" s="19" t="s">
        <v>3606</v>
      </c>
      <c r="N711" s="13" t="s">
        <v>3607</v>
      </c>
      <c r="O711" s="42">
        <v>0.63500000000000001</v>
      </c>
      <c r="R711" s="37" t="s">
        <v>106</v>
      </c>
      <c r="S711" s="37"/>
      <c r="T711" s="37"/>
      <c r="W711" s="14" t="str">
        <f>IF(IFERROR(VLOOKUP($M711,'IMPORT GS-Tür OL FL 2S2 20'!$H$2:$H$847,1,0),"-")="-","","GS")</f>
        <v/>
      </c>
      <c r="X711" s="14" t="str">
        <f t="shared" si="44"/>
        <v>...</v>
      </c>
      <c r="Z711" s="58" t="str">
        <f>IF(OR($M711="",NOT($O711="{array}")),"",IFERROR(MATCH(PARAMETERS!$M711,DEFAULT!$B$5:$CI$5,0),""))</f>
        <v/>
      </c>
      <c r="AA711" s="55" t="str">
        <f t="shared" si="49"/>
        <v/>
      </c>
      <c r="AB711" s="62" t="str">
        <f>IF(AND(OR($A711="G",$A711="P"),NOT($O711="{array}")),IF(VLOOKUP($K711,base!$B$2:$D$20,3,0)="S",IF(OR($O711="",ISTEXT($O711)),"","STRING!"),IF(VLOOKUP($K711,base!$B$2:$D$20,3,0)="","",IF(ISTEXT($O711),"NUMERIC!",""))),"")</f>
        <v/>
      </c>
      <c r="AC711" s="16" t="str">
        <f>IF($AA711="","",IF($B711="I",VLOOKUP($AA711,#REF!,53,0),INDEX(VALUES!$B$1:$GP$1,1,$AA711)))</f>
        <v/>
      </c>
    </row>
    <row r="712" spans="1:29" hidden="1" outlineLevel="1">
      <c r="A712" s="21" t="s">
        <v>86</v>
      </c>
      <c r="B712" s="40" t="str">
        <f t="shared" si="47"/>
        <v/>
      </c>
      <c r="C712" s="41">
        <f t="shared" si="50"/>
        <v>711</v>
      </c>
      <c r="D712" s="260" t="s">
        <v>9</v>
      </c>
      <c r="E712" s="37"/>
      <c r="F712" s="305"/>
      <c r="G712" s="188" t="s">
        <v>9</v>
      </c>
      <c r="H712" s="37"/>
      <c r="I712" s="37" t="s">
        <v>9</v>
      </c>
      <c r="J712" s="37"/>
      <c r="K712" s="13" t="s">
        <v>26</v>
      </c>
      <c r="L712" s="13" t="s">
        <v>29</v>
      </c>
      <c r="M712" s="19" t="s">
        <v>847</v>
      </c>
      <c r="N712" s="13" t="s">
        <v>3608</v>
      </c>
      <c r="O712" s="42">
        <v>0.63500000000000001</v>
      </c>
      <c r="R712" s="37" t="s">
        <v>106</v>
      </c>
      <c r="S712" s="37"/>
      <c r="T712" s="37"/>
      <c r="W712" s="14" t="str">
        <f>IF(IFERROR(VLOOKUP($M712,'IMPORT GS-Tür OL FL 2S2 20'!$H$2:$H$847,1,0),"-")="-","","GS")</f>
        <v>GS</v>
      </c>
      <c r="X712" s="14" t="str">
        <f t="shared" si="44"/>
        <v>...</v>
      </c>
      <c r="Z712" s="58" t="str">
        <f>IF(OR($M712="",NOT($O712="{array}")),"",IFERROR(MATCH(PARAMETERS!$M712,DEFAULT!$B$5:$CI$5,0),""))</f>
        <v/>
      </c>
      <c r="AA712" s="55" t="str">
        <f t="shared" si="49"/>
        <v/>
      </c>
      <c r="AB712" s="62" t="str">
        <f>IF(AND(OR($A712="G",$A712="P"),NOT($O712="{array}")),IF(VLOOKUP($K712,base!$B$2:$D$20,3,0)="S",IF(OR($O712="",ISTEXT($O712)),"","STRING!"),IF(VLOOKUP($K712,base!$B$2:$D$20,3,0)="","",IF(ISTEXT($O712),"NUMERIC!",""))),"")</f>
        <v/>
      </c>
      <c r="AC712" s="16" t="str">
        <f>IF($AA712="","",IF($B712="I",VLOOKUP($AA712,#REF!,53,0),INDEX(VALUES!$B$1:$GP$1,1,$AA712)))</f>
        <v/>
      </c>
    </row>
    <row r="713" spans="1:29" hidden="1" outlineLevel="1">
      <c r="A713" s="21" t="s">
        <v>86</v>
      </c>
      <c r="B713" s="40" t="str">
        <f t="shared" si="47"/>
        <v/>
      </c>
      <c r="C713" s="41">
        <f t="shared" si="50"/>
        <v>712</v>
      </c>
      <c r="D713" s="260" t="s">
        <v>9</v>
      </c>
      <c r="E713" s="37"/>
      <c r="F713" s="305"/>
      <c r="G713" s="188" t="s">
        <v>9</v>
      </c>
      <c r="H713" s="37"/>
      <c r="I713" s="37" t="s">
        <v>9</v>
      </c>
      <c r="J713" s="37"/>
      <c r="K713" s="13" t="s">
        <v>26</v>
      </c>
      <c r="L713" s="13" t="s">
        <v>29</v>
      </c>
      <c r="M713" s="19" t="s">
        <v>849</v>
      </c>
      <c r="N713" s="13" t="s">
        <v>3611</v>
      </c>
      <c r="O713" s="42">
        <v>2.395</v>
      </c>
      <c r="R713" s="37" t="s">
        <v>106</v>
      </c>
      <c r="S713" s="37"/>
      <c r="T713" s="37"/>
      <c r="W713" s="14" t="str">
        <f>IF(IFERROR(VLOOKUP($M713,'IMPORT GS-Tür OL FL 2S2 20'!$H$2:$H$847,1,0),"-")="-","","GS")</f>
        <v>GS</v>
      </c>
      <c r="X713" s="14" t="str">
        <f t="shared" si="44"/>
        <v>...</v>
      </c>
      <c r="Z713" s="58" t="str">
        <f>IF(OR($M713="",NOT($O713="{array}")),"",IFERROR(MATCH(PARAMETERS!$M713,DEFAULT!$B$5:$CI$5,0),""))</f>
        <v/>
      </c>
      <c r="AA713" s="55" t="str">
        <f t="shared" si="49"/>
        <v/>
      </c>
      <c r="AB713" s="62" t="str">
        <f>IF(AND(OR($A713="G",$A713="P"),NOT($O713="{array}")),IF(VLOOKUP($K713,base!$B$2:$D$20,3,0)="S",IF(OR($O713="",ISTEXT($O713)),"","STRING!"),IF(VLOOKUP($K713,base!$B$2:$D$20,3,0)="","",IF(ISTEXT($O713),"NUMERIC!",""))),"")</f>
        <v/>
      </c>
      <c r="AC713" s="16" t="str">
        <f>IF($AA713="","",IF($B713="I",VLOOKUP($AA713,#REF!,53,0),INDEX(VALUES!$B$1:$GP$1,1,$AA713)))</f>
        <v/>
      </c>
    </row>
    <row r="714" spans="1:29" hidden="1" outlineLevel="1">
      <c r="A714" s="21" t="s">
        <v>86</v>
      </c>
      <c r="B714" s="40" t="str">
        <f t="shared" si="47"/>
        <v/>
      </c>
      <c r="C714" s="41">
        <f t="shared" si="50"/>
        <v>713</v>
      </c>
      <c r="D714" s="260" t="s">
        <v>9</v>
      </c>
      <c r="E714" s="37"/>
      <c r="F714" s="305"/>
      <c r="G714" s="188" t="s">
        <v>9</v>
      </c>
      <c r="H714" s="37"/>
      <c r="I714" s="37" t="s">
        <v>9</v>
      </c>
      <c r="J714" s="37"/>
      <c r="K714" s="13" t="s">
        <v>26</v>
      </c>
      <c r="L714" s="13" t="s">
        <v>29</v>
      </c>
      <c r="M714" s="19" t="s">
        <v>3609</v>
      </c>
      <c r="N714" s="13" t="s">
        <v>3610</v>
      </c>
      <c r="O714" s="42">
        <v>2.0950000000000002</v>
      </c>
      <c r="R714" s="37" t="s">
        <v>204</v>
      </c>
      <c r="S714" s="37"/>
      <c r="T714" s="37"/>
      <c r="W714" s="14" t="str">
        <f>IF(IFERROR(VLOOKUP($M714,'IMPORT GS-Tür OL FL 2S2 20'!$H$2:$H$847,1,0),"-")="-","","GS")</f>
        <v/>
      </c>
      <c r="X714" s="14" t="str">
        <f t="shared" si="44"/>
        <v>...</v>
      </c>
      <c r="Z714" s="58" t="str">
        <f>IF(OR($M714="",NOT($O714="{array}")),"",IFERROR(MATCH(PARAMETERS!$M714,DEFAULT!$B$5:$CI$5,0),""))</f>
        <v/>
      </c>
      <c r="AA714" s="55" t="str">
        <f t="shared" si="49"/>
        <v/>
      </c>
      <c r="AB714" s="62" t="str">
        <f>IF(AND(OR($A714="G",$A714="P"),NOT($O714="{array}")),IF(VLOOKUP($K714,base!$B$2:$D$20,3,0)="S",IF(OR($O714="",ISTEXT($O714)),"","STRING!"),IF(VLOOKUP($K714,base!$B$2:$D$20,3,0)="","",IF(ISTEXT($O714),"NUMERIC!",""))),"")</f>
        <v/>
      </c>
      <c r="AC714" s="16" t="str">
        <f>IF($AA714="","",IF($B714="I",VLOOKUP($AA714,#REF!,53,0),INDEX(VALUES!$B$1:$GP$1,1,$AA714)))</f>
        <v/>
      </c>
    </row>
    <row r="715" spans="1:29" hidden="1" outlineLevel="1">
      <c r="A715" s="21" t="s">
        <v>86</v>
      </c>
      <c r="B715" s="40" t="str">
        <f t="shared" si="47"/>
        <v/>
      </c>
      <c r="C715" s="41">
        <f t="shared" si="50"/>
        <v>714</v>
      </c>
      <c r="D715" s="260" t="s">
        <v>9</v>
      </c>
      <c r="E715" s="37"/>
      <c r="F715" s="305"/>
      <c r="G715" s="188" t="s">
        <v>9</v>
      </c>
      <c r="H715" s="37"/>
      <c r="I715" s="37" t="s">
        <v>9</v>
      </c>
      <c r="J715" s="37"/>
      <c r="K715" s="13" t="s">
        <v>46</v>
      </c>
      <c r="L715" s="13" t="s">
        <v>29</v>
      </c>
      <c r="M715" s="214" t="s">
        <v>851</v>
      </c>
      <c r="N715" s="13" t="s">
        <v>854</v>
      </c>
      <c r="O715" s="42">
        <v>0</v>
      </c>
      <c r="R715" s="37" t="s">
        <v>106</v>
      </c>
      <c r="S715" s="37"/>
      <c r="T715" s="37"/>
      <c r="W715" s="14" t="str">
        <f>IF(IFERROR(VLOOKUP($M715,'IMPORT GS-Tür OL FL 2S2 20'!$H$2:$H$847,1,0),"-")="-","","GS")</f>
        <v/>
      </c>
      <c r="X715" s="14" t="str">
        <f t="shared" si="44"/>
        <v>...</v>
      </c>
      <c r="Z715" s="58" t="str">
        <f>IF(OR($M715="",NOT($O715="{array}")),"",IFERROR(MATCH(PARAMETERS!$M715,DEFAULT!$B$5:$CI$5,0),""))</f>
        <v/>
      </c>
      <c r="AA715" s="55" t="str">
        <f t="shared" si="49"/>
        <v/>
      </c>
      <c r="AB715" s="62" t="str">
        <f>IF(AND(OR($A715="G",$A715="P"),NOT($O715="{array}")),IF(VLOOKUP($K715,base!$B$2:$D$20,3,0)="S",IF(OR($O715="",ISTEXT($O715)),"","STRING!"),IF(VLOOKUP($K715,base!$B$2:$D$20,3,0)="","",IF(ISTEXT($O715),"NUMERIC!",""))),"")</f>
        <v/>
      </c>
      <c r="AC715" s="16" t="str">
        <f>IF($AA715="","",IF($B715="I",VLOOKUP($AA715,#REF!,53,0),INDEX(VALUES!$B$1:$GP$1,1,$AA715)))</f>
        <v/>
      </c>
    </row>
    <row r="716" spans="1:29" hidden="1" outlineLevel="1">
      <c r="A716" s="21" t="s">
        <v>86</v>
      </c>
      <c r="B716" s="40" t="str">
        <f t="shared" si="47"/>
        <v/>
      </c>
      <c r="C716" s="41">
        <f t="shared" si="50"/>
        <v>715</v>
      </c>
      <c r="D716" s="260" t="s">
        <v>9</v>
      </c>
      <c r="E716" s="37"/>
      <c r="F716" s="305"/>
      <c r="G716" s="188" t="s">
        <v>9</v>
      </c>
      <c r="H716" s="37"/>
      <c r="I716" s="37" t="s">
        <v>9</v>
      </c>
      <c r="J716" s="37"/>
      <c r="K716" s="13" t="s">
        <v>46</v>
      </c>
      <c r="L716" s="13" t="s">
        <v>29</v>
      </c>
      <c r="M716" s="214" t="s">
        <v>853</v>
      </c>
      <c r="N716" s="13" t="s">
        <v>852</v>
      </c>
      <c r="O716" s="42">
        <v>0</v>
      </c>
      <c r="R716" s="37" t="s">
        <v>106</v>
      </c>
      <c r="S716" s="37"/>
      <c r="T716" s="37"/>
      <c r="W716" s="14" t="str">
        <f>IF(IFERROR(VLOOKUP($M716,'IMPORT GS-Tür OL FL 2S2 20'!$H$2:$H$847,1,0),"-")="-","","GS")</f>
        <v/>
      </c>
      <c r="X716" s="14" t="str">
        <f t="shared" si="44"/>
        <v>...</v>
      </c>
      <c r="Z716" s="58" t="str">
        <f>IF(OR($M716="",NOT($O716="{array}")),"",IFERROR(MATCH(PARAMETERS!$M716,DEFAULT!$B$5:$CI$5,0),""))</f>
        <v/>
      </c>
      <c r="AA716" s="55" t="str">
        <f t="shared" si="49"/>
        <v/>
      </c>
      <c r="AB716" s="62" t="str">
        <f>IF(AND(OR($A716="G",$A716="P"),NOT($O716="{array}")),IF(VLOOKUP($K716,base!$B$2:$D$20,3,0)="S",IF(OR($O716="",ISTEXT($O716)),"","STRING!"),IF(VLOOKUP($K716,base!$B$2:$D$20,3,0)="","",IF(ISTEXT($O716),"NUMERIC!",""))),"")</f>
        <v/>
      </c>
      <c r="AC716" s="16" t="str">
        <f>IF($AA716="","",IF($B716="I",VLOOKUP($AA716,#REF!,53,0),INDEX(VALUES!$B$1:$GP$1,1,$AA716)))</f>
        <v/>
      </c>
    </row>
    <row r="717" spans="1:29" hidden="1" outlineLevel="1">
      <c r="A717" s="21" t="s">
        <v>86</v>
      </c>
      <c r="B717" s="40" t="str">
        <f t="shared" si="47"/>
        <v/>
      </c>
      <c r="C717" s="41">
        <f t="shared" si="50"/>
        <v>716</v>
      </c>
      <c r="D717" s="260" t="s">
        <v>9</v>
      </c>
      <c r="E717" s="37"/>
      <c r="F717" s="305"/>
      <c r="G717" s="188" t="s">
        <v>9</v>
      </c>
      <c r="H717" s="37"/>
      <c r="I717" s="37" t="s">
        <v>9</v>
      </c>
      <c r="J717" s="37"/>
      <c r="K717" s="13" t="s">
        <v>26</v>
      </c>
      <c r="L717" s="13" t="s">
        <v>29</v>
      </c>
      <c r="M717" s="214" t="s">
        <v>855</v>
      </c>
      <c r="N717" s="13" t="s">
        <v>856</v>
      </c>
      <c r="O717" s="42">
        <v>0.06</v>
      </c>
      <c r="R717" s="37" t="s">
        <v>106</v>
      </c>
      <c r="S717" s="37"/>
      <c r="T717" s="37"/>
      <c r="W717" s="14" t="str">
        <f>IF(IFERROR(VLOOKUP($M717,'IMPORT GS-Tür OL FL 2S2 20'!$H$2:$H$847,1,0),"-")="-","","GS")</f>
        <v>GS</v>
      </c>
      <c r="X717" s="14" t="str">
        <f t="shared" si="44"/>
        <v>...</v>
      </c>
      <c r="Z717" s="58" t="str">
        <f>IF(OR($M717="",NOT($O717="{array}")),"",IFERROR(MATCH(PARAMETERS!$M717,DEFAULT!$B$5:$CI$5,0),""))</f>
        <v/>
      </c>
      <c r="AA717" s="55" t="str">
        <f t="shared" si="49"/>
        <v/>
      </c>
      <c r="AB717" s="62" t="str">
        <f>IF(AND(OR($A717="G",$A717="P"),NOT($O717="{array}")),IF(VLOOKUP($K717,base!$B$2:$D$20,3,0)="S",IF(OR($O717="",ISTEXT($O717)),"","STRING!"),IF(VLOOKUP($K717,base!$B$2:$D$20,3,0)="","",IF(ISTEXT($O717),"NUMERIC!",""))),"")</f>
        <v/>
      </c>
      <c r="AC717" s="16" t="str">
        <f>IF($AA717="","",IF($B717="I",VLOOKUP($AA717,#REF!,53,0),INDEX(VALUES!$B$1:$GP$1,1,$AA717)))</f>
        <v/>
      </c>
    </row>
    <row r="718" spans="1:29" hidden="1" outlineLevel="1">
      <c r="A718" s="21" t="s">
        <v>86</v>
      </c>
      <c r="B718" s="40" t="str">
        <f t="shared" si="47"/>
        <v/>
      </c>
      <c r="C718" s="41">
        <f t="shared" si="50"/>
        <v>717</v>
      </c>
      <c r="D718" s="260" t="s">
        <v>9</v>
      </c>
      <c r="E718" s="37"/>
      <c r="F718" s="305"/>
      <c r="G718" s="188" t="s">
        <v>9</v>
      </c>
      <c r="H718" s="37"/>
      <c r="I718" s="37" t="s">
        <v>9</v>
      </c>
      <c r="J718" s="37"/>
      <c r="K718" s="13" t="s">
        <v>26</v>
      </c>
      <c r="L718" s="13" t="s">
        <v>29</v>
      </c>
      <c r="M718" s="214" t="s">
        <v>857</v>
      </c>
      <c r="N718" s="13" t="s">
        <v>858</v>
      </c>
      <c r="O718" s="42">
        <v>0.1</v>
      </c>
      <c r="R718" s="37" t="s">
        <v>106</v>
      </c>
      <c r="S718" s="37"/>
      <c r="T718" s="37"/>
      <c r="W718" s="14" t="str">
        <f>IF(IFERROR(VLOOKUP($M718,'IMPORT GS-Tür OL FL 2S2 20'!$H$2:$H$847,1,0),"-")="-","","GS")</f>
        <v>GS</v>
      </c>
      <c r="X718" s="14" t="str">
        <f t="shared" si="44"/>
        <v>...</v>
      </c>
      <c r="Z718" s="58" t="str">
        <f>IF(OR($M718="",NOT($O718="{array}")),"",IFERROR(MATCH(PARAMETERS!$M718,DEFAULT!$B$5:$CI$5,0),""))</f>
        <v/>
      </c>
      <c r="AA718" s="55" t="str">
        <f t="shared" si="49"/>
        <v/>
      </c>
      <c r="AB718" s="62" t="str">
        <f>IF(AND(OR($A718="G",$A718="P"),NOT($O718="{array}")),IF(VLOOKUP($K718,base!$B$2:$D$20,3,0)="S",IF(OR($O718="",ISTEXT($O718)),"","STRING!"),IF(VLOOKUP($K718,base!$B$2:$D$20,3,0)="","",IF(ISTEXT($O718),"NUMERIC!",""))),"")</f>
        <v/>
      </c>
      <c r="AC718" s="16" t="str">
        <f>IF($AA718="","",IF($B718="I",VLOOKUP($AA718,#REF!,53,0),INDEX(VALUES!$B$1:$GP$1,1,$AA718)))</f>
        <v/>
      </c>
    </row>
    <row r="719" spans="1:29" s="276" customFormat="1" hidden="1" outlineLevel="1">
      <c r="A719" s="263"/>
      <c r="B719" s="264" t="str">
        <f t="shared" si="47"/>
        <v/>
      </c>
      <c r="C719" s="265">
        <f t="shared" si="50"/>
        <v>718</v>
      </c>
      <c r="D719" s="266"/>
      <c r="E719" s="266"/>
      <c r="F719" s="305"/>
      <c r="G719" s="188"/>
      <c r="H719" s="266"/>
      <c r="I719" s="266"/>
      <c r="J719" s="266"/>
      <c r="K719" s="278" t="s">
        <v>20</v>
      </c>
      <c r="L719" s="278" t="s">
        <v>23</v>
      </c>
      <c r="M719" s="278"/>
      <c r="N719" s="278" t="s">
        <v>859</v>
      </c>
      <c r="O719" s="278" t="s">
        <v>298</v>
      </c>
      <c r="P719" s="284" t="s">
        <v>298</v>
      </c>
      <c r="Q719" s="279" t="s">
        <v>9</v>
      </c>
      <c r="R719" s="279" t="s">
        <v>105</v>
      </c>
      <c r="S719" s="279" t="s">
        <v>114</v>
      </c>
      <c r="T719" s="278" t="s">
        <v>298</v>
      </c>
      <c r="U719" s="278" t="s">
        <v>298</v>
      </c>
      <c r="V719" s="278" t="s">
        <v>859</v>
      </c>
      <c r="W719" s="272" t="str">
        <f>IF(IFERROR(VLOOKUP($M719,'IMPORT GS-Tür OL FL 2S2 20'!$H$2:$H$847,1,0),"-")="-","","GS")</f>
        <v/>
      </c>
      <c r="X719" s="272" t="str">
        <f t="shared" si="44"/>
        <v/>
      </c>
      <c r="Y719" s="278" t="s">
        <v>298</v>
      </c>
      <c r="Z719" s="273" t="str">
        <f>IF(OR($M719="",NOT($O719="{array}")),"",IFERROR(MATCH(PARAMETERS!$M719,DEFAULT!$B$5:$CI$5,0),""))</f>
        <v/>
      </c>
      <c r="AA719" s="272" t="str">
        <f t="shared" si="49"/>
        <v/>
      </c>
      <c r="AB719" s="274" t="str">
        <f>IF(AND(OR($A719="G",$A719="P"),NOT($O719="{array}")),IF(VLOOKUP($K719,base!$B$2:$D$20,3,0)="S",IF(OR($O719="",ISTEXT($O719)),"","STRING!"),IF(VLOOKUP($K719,base!$B$2:$D$20,3,0)="","",IF(ISTEXT($O719),"NUMERIC!",""))),"")</f>
        <v/>
      </c>
      <c r="AC719" s="275" t="str">
        <f>IF($AA719="","",IF($B719="I",VLOOKUP($AA719,#REF!,53,0),INDEX(VALUES!$B$1:$GP$1,1,$AA719)))</f>
        <v/>
      </c>
    </row>
    <row r="720" spans="1:29" s="276" customFormat="1" hidden="1" outlineLevel="1">
      <c r="A720" s="263"/>
      <c r="B720" s="264" t="str">
        <f t="shared" si="47"/>
        <v/>
      </c>
      <c r="C720" s="265">
        <f t="shared" si="50"/>
        <v>719</v>
      </c>
      <c r="D720" s="266"/>
      <c r="E720" s="266"/>
      <c r="F720" s="305"/>
      <c r="G720" s="188"/>
      <c r="H720" s="266"/>
      <c r="I720" s="266"/>
      <c r="J720" s="266"/>
      <c r="K720" s="278" t="s">
        <v>20</v>
      </c>
      <c r="L720" s="278" t="s">
        <v>23</v>
      </c>
      <c r="M720" s="278"/>
      <c r="N720" s="278" t="s">
        <v>860</v>
      </c>
      <c r="O720" s="278" t="s">
        <v>298</v>
      </c>
      <c r="P720" s="284" t="s">
        <v>298</v>
      </c>
      <c r="Q720" s="279" t="s">
        <v>9</v>
      </c>
      <c r="R720" s="279" t="s">
        <v>105</v>
      </c>
      <c r="S720" s="279" t="s">
        <v>114</v>
      </c>
      <c r="T720" s="278" t="s">
        <v>298</v>
      </c>
      <c r="U720" s="278" t="s">
        <v>298</v>
      </c>
      <c r="V720" s="278" t="s">
        <v>860</v>
      </c>
      <c r="W720" s="272" t="str">
        <f>IF(IFERROR(VLOOKUP($M720,'IMPORT GS-Tür OL FL 2S2 20'!$H$2:$H$847,1,0),"-")="-","","GS")</f>
        <v/>
      </c>
      <c r="X720" s="272" t="str">
        <f t="shared" si="44"/>
        <v/>
      </c>
      <c r="Y720" s="278" t="s">
        <v>298</v>
      </c>
      <c r="Z720" s="273" t="str">
        <f>IF(OR($M720="",NOT($O720="{array}")),"",IFERROR(MATCH(PARAMETERS!$M720,DEFAULT!$B$5:$CI$5,0),""))</f>
        <v/>
      </c>
      <c r="AA720" s="272" t="str">
        <f t="shared" si="49"/>
        <v/>
      </c>
      <c r="AB720" s="274" t="str">
        <f>IF(AND(OR($A720="G",$A720="P"),NOT($O720="{array}")),IF(VLOOKUP($K720,base!$B$2:$D$20,3,0)="S",IF(OR($O720="",ISTEXT($O720)),"","STRING!"),IF(VLOOKUP($K720,base!$B$2:$D$20,3,0)="","",IF(ISTEXT($O720),"NUMERIC!",""))),"")</f>
        <v/>
      </c>
      <c r="AC720" s="275" t="str">
        <f>IF($AA720="","",IF($B720="I",VLOOKUP($AA720,#REF!,53,0),INDEX(VALUES!$B$1:$GP$1,1,$AA720)))</f>
        <v/>
      </c>
    </row>
    <row r="721" spans="1:29" hidden="1" outlineLevel="1">
      <c r="A721" s="21" t="s">
        <v>86</v>
      </c>
      <c r="B721" s="40" t="str">
        <f>IF($A721="P",IF(NOT($Z721=""),"A",IF(NOT($AA721=""),"I","")),IF(NOT($AA721=""),IF($A721="G","V","X"),IF(NOT($Z721=""),"A","")))</f>
        <v/>
      </c>
      <c r="C721" s="41">
        <f t="shared" si="50"/>
        <v>720</v>
      </c>
      <c r="D721" s="260" t="s">
        <v>9</v>
      </c>
      <c r="E721" s="37"/>
      <c r="F721" s="305"/>
      <c r="G721" s="188"/>
      <c r="H721" s="37"/>
      <c r="I721" s="37" t="s">
        <v>9</v>
      </c>
      <c r="J721" s="37"/>
      <c r="K721" s="13" t="s">
        <v>26</v>
      </c>
      <c r="L721" s="13" t="s">
        <v>29</v>
      </c>
      <c r="M721" s="178" t="s">
        <v>3335</v>
      </c>
      <c r="N721" s="52" t="s">
        <v>3341</v>
      </c>
      <c r="O721" s="153">
        <v>8.0000000000000002E-3</v>
      </c>
      <c r="P721" s="52"/>
      <c r="Q721" s="188" t="s">
        <v>9</v>
      </c>
      <c r="R721" s="37" t="s">
        <v>204</v>
      </c>
      <c r="S721" s="37"/>
      <c r="T721" s="37"/>
      <c r="W721" s="14" t="str">
        <f>IF(IFERROR(VLOOKUP($M721,'IMPORT GS-Tür OL FL 2S2 20'!$H$2:$H$847,1,0),"-")="-","","GS")</f>
        <v/>
      </c>
      <c r="X721" s="14" t="str">
        <f t="shared" si="44"/>
        <v>...</v>
      </c>
      <c r="Z721" s="58" t="str">
        <f>IF(OR($M721="",NOT($O721="{array}")),"",IFERROR(MATCH(PARAMETERS!$M721,DEFAULT!$B$5:$CI$5,0),""))</f>
        <v/>
      </c>
      <c r="AA721" s="55" t="str">
        <f>IF($M721="","",IFERROR(MATCH($M721,VALUESnames,0),""))</f>
        <v/>
      </c>
      <c r="AB721" s="62" t="str">
        <f>IF(AND(OR($A721="G",$A721="P"),NOT($O721="{array}")),IF(VLOOKUP($K721,base!$B$2:$D$20,3,0)="S",IF(OR($O721="",ISTEXT($O721)),"","STRING!"),IF(VLOOKUP($K721,base!$B$2:$D$20,3,0)="","",IF(ISTEXT($O721),"NUMERIC!",""))),"")</f>
        <v/>
      </c>
      <c r="AC721" s="16" t="str">
        <f>IF($AA721="","",IF($B721="I",VLOOKUP($AA721,#REF!,53,0),INDEX(VALUES!$B$1:$GP$1,1,$AA721)))</f>
        <v/>
      </c>
    </row>
    <row r="722" spans="1:29" hidden="1" outlineLevel="1">
      <c r="A722" s="21" t="s">
        <v>86</v>
      </c>
      <c r="B722" s="40" t="str">
        <f>IF($A722="P",IF(NOT($Z722=""),"A",IF(NOT($AA722=""),"I","")),IF(NOT($AA722=""),IF($A722="G","V","X"),IF(NOT($Z722=""),"A","")))</f>
        <v/>
      </c>
      <c r="C722" s="41">
        <f t="shared" si="50"/>
        <v>721</v>
      </c>
      <c r="D722" s="260" t="s">
        <v>9</v>
      </c>
      <c r="E722" s="37"/>
      <c r="F722" s="305"/>
      <c r="G722" s="188"/>
      <c r="H722" s="37"/>
      <c r="I722" s="37" t="s">
        <v>9</v>
      </c>
      <c r="J722" s="37"/>
      <c r="K722" s="13" t="s">
        <v>26</v>
      </c>
      <c r="L722" s="13" t="s">
        <v>29</v>
      </c>
      <c r="M722" s="178" t="s">
        <v>3336</v>
      </c>
      <c r="N722" s="52" t="s">
        <v>3340</v>
      </c>
      <c r="O722" s="153">
        <v>8.0000000000000002E-3</v>
      </c>
      <c r="P722" s="52"/>
      <c r="Q722" s="188" t="s">
        <v>9</v>
      </c>
      <c r="R722" s="37" t="s">
        <v>204</v>
      </c>
      <c r="S722" s="37"/>
      <c r="T722" s="37"/>
      <c r="W722" s="14" t="str">
        <f>IF(IFERROR(VLOOKUP($M722,'IMPORT GS-Tür OL FL 2S2 20'!$H$2:$H$847,1,0),"-")="-","","GS")</f>
        <v/>
      </c>
      <c r="X722" s="14" t="str">
        <f t="shared" si="44"/>
        <v>...</v>
      </c>
      <c r="Z722" s="58" t="str">
        <f>IF(OR($M722="",NOT($O722="{array}")),"",IFERROR(MATCH(PARAMETERS!$M722,DEFAULT!$B$5:$CI$5,0),""))</f>
        <v/>
      </c>
      <c r="AA722" s="55" t="str">
        <f>IF($M722="","",IFERROR(MATCH($M722,VALUESnames,0),""))</f>
        <v/>
      </c>
      <c r="AB722" s="62" t="str">
        <f>IF(AND(OR($A722="G",$A722="P"),NOT($O722="{array}")),IF(VLOOKUP($K722,base!$B$2:$D$20,3,0)="S",IF(OR($O722="",ISTEXT($O722)),"","STRING!"),IF(VLOOKUP($K722,base!$B$2:$D$20,3,0)="","",IF(ISTEXT($O722),"NUMERIC!",""))),"")</f>
        <v/>
      </c>
      <c r="AC722" s="16" t="str">
        <f>IF($AA722="","",IF($B722="I",VLOOKUP($AA722,#REF!,53,0),INDEX(VALUES!$B$1:$GP$1,1,$AA722)))</f>
        <v/>
      </c>
    </row>
    <row r="723" spans="1:29" hidden="1" outlineLevel="1">
      <c r="A723" s="21" t="s">
        <v>86</v>
      </c>
      <c r="B723" s="40" t="str">
        <f>IF($A723="P",IF(NOT($Z723=""),"A",IF(NOT($AA723=""),"I","")),IF(NOT($AA723=""),IF($A723="G","V","X"),IF(NOT($Z723=""),"A","")))</f>
        <v>A</v>
      </c>
      <c r="C723" s="41">
        <f t="shared" si="50"/>
        <v>722</v>
      </c>
      <c r="D723" s="260" t="s">
        <v>9</v>
      </c>
      <c r="E723" s="37"/>
      <c r="F723" s="305"/>
      <c r="G723" s="188" t="s">
        <v>9</v>
      </c>
      <c r="H723" s="37"/>
      <c r="I723" s="37" t="s">
        <v>9</v>
      </c>
      <c r="J723" s="37"/>
      <c r="K723" s="13" t="s">
        <v>20</v>
      </c>
      <c r="L723" s="13" t="s">
        <v>29</v>
      </c>
      <c r="M723" s="178" t="s">
        <v>3596</v>
      </c>
      <c r="N723" s="52" t="s">
        <v>3597</v>
      </c>
      <c r="O723" s="153" t="s">
        <v>35</v>
      </c>
      <c r="P723" s="52"/>
      <c r="Q723" s="188"/>
      <c r="R723" s="37" t="s">
        <v>204</v>
      </c>
      <c r="S723" s="37"/>
      <c r="T723" s="37"/>
      <c r="W723" s="14" t="str">
        <f>IF(IFERROR(VLOOKUP($M723,'IMPORT GS-Tür OL FL 2S2 20'!$H$2:$H$847,1,0),"-")="-","","GS")</f>
        <v/>
      </c>
      <c r="X723" s="14" t="str">
        <f t="shared" si="44"/>
        <v>...</v>
      </c>
      <c r="Z723" s="58">
        <f>IF(OR($M723="",NOT($O723="{array}")),"",IFERROR(MATCH(PARAMETERS!$M723,DEFAULT!$B$5:$CI$5,0),""))</f>
        <v>54</v>
      </c>
      <c r="AA723" s="55" t="str">
        <f>IF($M723="","",IFERROR(MATCH($M723,VALUESnames,0),""))</f>
        <v/>
      </c>
      <c r="AB723" s="62" t="str">
        <f>IF(AND(OR($A723="G",$A723="P"),NOT($O723="{array}")),IF(VLOOKUP($K723,base!$B$2:$D$20,3,0)="S",IF(OR($O723="",ISTEXT($O723)),"","STRING!"),IF(VLOOKUP($K723,base!$B$2:$D$20,3,0)="","",IF(ISTEXT($O723),"NUMERIC!",""))),"")</f>
        <v/>
      </c>
      <c r="AC723" s="16" t="str">
        <f>IF($AA723="","",IF($B723="I",VLOOKUP($AA723,#REF!,53,0),INDEX(VALUES!$B$1:$GP$1,1,$AA723)))</f>
        <v/>
      </c>
    </row>
    <row r="724" spans="1:29" collapsed="1">
      <c r="A724" s="21" t="s">
        <v>86</v>
      </c>
      <c r="B724" s="40" t="str">
        <f t="shared" si="47"/>
        <v/>
      </c>
      <c r="C724" s="41">
        <f t="shared" si="50"/>
        <v>723</v>
      </c>
      <c r="D724" s="260"/>
      <c r="E724" s="37"/>
      <c r="F724" s="305" t="s">
        <v>9</v>
      </c>
      <c r="G724" s="188"/>
      <c r="H724" s="37"/>
      <c r="I724" s="37"/>
      <c r="J724" s="37"/>
      <c r="K724" s="230" t="s">
        <v>59</v>
      </c>
      <c r="L724" s="230" t="s">
        <v>40</v>
      </c>
      <c r="M724" s="231" t="s">
        <v>861</v>
      </c>
      <c r="N724" s="232" t="s">
        <v>457</v>
      </c>
      <c r="R724" s="37" t="s">
        <v>106</v>
      </c>
      <c r="S724" s="37"/>
      <c r="T724" s="37"/>
      <c r="W724" s="14" t="str">
        <f>IF(IFERROR(VLOOKUP($M724,'IMPORT GS-Tür OL FL 2S2 20'!$H$2:$H$847,1,0),"-")="-","","GS")</f>
        <v/>
      </c>
      <c r="X724" s="14" t="str">
        <f t="shared" si="44"/>
        <v>...</v>
      </c>
      <c r="Z724" s="58" t="str">
        <f>IF(OR($M724="",NOT($O724="{array}")),"",IFERROR(MATCH(PARAMETERS!$M724,DEFAULT!$B$5:$CI$5,0),""))</f>
        <v/>
      </c>
      <c r="AA724" s="55" t="str">
        <f t="shared" si="49"/>
        <v/>
      </c>
      <c r="AB724" s="62" t="str">
        <f>IF(AND(OR($A724="G",$A724="P"),NOT($O724="{array}")),IF(VLOOKUP($K724,base!$B$2:$D$20,3,0)="S",IF(OR($O724="",ISTEXT($O724)),"","STRING!"),IF(VLOOKUP($K724,base!$B$2:$D$20,3,0)="","",IF(ISTEXT($O724),"NUMERIC!",""))),"")</f>
        <v/>
      </c>
      <c r="AC724" s="16" t="str">
        <f>IF($AA724="","",IF($B724="I",VLOOKUP($AA724,#REF!,53,0),INDEX(VALUES!$B$1:$GP$1,1,$AA724)))</f>
        <v/>
      </c>
    </row>
    <row r="725" spans="1:29" hidden="1" outlineLevel="1">
      <c r="A725" s="21" t="s">
        <v>86</v>
      </c>
      <c r="B725" s="40" t="str">
        <f t="shared" si="47"/>
        <v/>
      </c>
      <c r="C725" s="41">
        <f t="shared" si="50"/>
        <v>724</v>
      </c>
      <c r="D725" s="260" t="s">
        <v>9</v>
      </c>
      <c r="E725" s="37"/>
      <c r="F725" s="305"/>
      <c r="G725" s="188" t="s">
        <v>9</v>
      </c>
      <c r="H725" s="37"/>
      <c r="I725" s="37" t="s">
        <v>9</v>
      </c>
      <c r="J725" s="37"/>
      <c r="K725" s="13" t="s">
        <v>26</v>
      </c>
      <c r="L725" s="13" t="s">
        <v>29</v>
      </c>
      <c r="M725" s="214" t="s">
        <v>864</v>
      </c>
      <c r="N725" s="13" t="s">
        <v>871</v>
      </c>
      <c r="O725" s="42">
        <v>0.4</v>
      </c>
      <c r="R725" s="37" t="s">
        <v>106</v>
      </c>
      <c r="S725" s="37"/>
      <c r="T725" s="37"/>
      <c r="W725" s="14" t="str">
        <f>IF(IFERROR(VLOOKUP($M725,'IMPORT GS-Tür OL FL 2S2 20'!$H$2:$H$847,1,0),"-")="-","","GS")</f>
        <v>GS</v>
      </c>
      <c r="X725" s="14" t="str">
        <f t="shared" si="44"/>
        <v>...</v>
      </c>
      <c r="Y725" s="13" t="s">
        <v>865</v>
      </c>
      <c r="Z725" s="58" t="str">
        <f>IF(OR($M725="",NOT($O725="{array}")),"",IFERROR(MATCH(PARAMETERS!$M725,DEFAULT!$B$5:$CI$5,0),""))</f>
        <v/>
      </c>
      <c r="AA725" s="55" t="str">
        <f t="shared" si="49"/>
        <v/>
      </c>
      <c r="AB725" s="62" t="str">
        <f>IF(AND(OR($A725="G",$A725="P"),NOT($O725="{array}")),IF(VLOOKUP($K725,base!$B$2:$D$20,3,0)="S",IF(OR($O725="",ISTEXT($O725)),"","STRING!"),IF(VLOOKUP($K725,base!$B$2:$D$20,3,0)="","",IF(ISTEXT($O725),"NUMERIC!",""))),"")</f>
        <v/>
      </c>
      <c r="AC725" s="16" t="str">
        <f>IF($AA725="","",IF($B725="I",VLOOKUP($AA725,#REF!,53,0),INDEX(VALUES!$B$1:$GP$1,1,$AA725)))</f>
        <v/>
      </c>
    </row>
    <row r="726" spans="1:29" hidden="1" outlineLevel="1">
      <c r="A726" s="21" t="s">
        <v>86</v>
      </c>
      <c r="B726" s="40" t="str">
        <f>IF($A726="P",IF(NOT($Z726=""),"A",IF(NOT($AA726=""),"I","")),IF(NOT($AA726=""),IF($A726="G","V","X"),IF(NOT($Z726=""),"A","")))</f>
        <v/>
      </c>
      <c r="C726" s="41">
        <f t="shared" si="50"/>
        <v>725</v>
      </c>
      <c r="D726" s="260" t="s">
        <v>9</v>
      </c>
      <c r="E726" s="37"/>
      <c r="F726" s="305"/>
      <c r="G726" s="188" t="s">
        <v>9</v>
      </c>
      <c r="H726" s="37"/>
      <c r="I726" s="37" t="s">
        <v>9</v>
      </c>
      <c r="J726" s="37"/>
      <c r="K726" s="156" t="s">
        <v>46</v>
      </c>
      <c r="L726" s="164" t="s">
        <v>23</v>
      </c>
      <c r="M726" s="189" t="s">
        <v>866</v>
      </c>
      <c r="N726" s="156" t="s">
        <v>867</v>
      </c>
      <c r="O726" s="156">
        <v>0</v>
      </c>
      <c r="P726" s="157" t="s">
        <v>298</v>
      </c>
      <c r="Q726" s="168"/>
      <c r="R726" s="168" t="s">
        <v>105</v>
      </c>
      <c r="S726" s="168" t="s">
        <v>114</v>
      </c>
      <c r="T726" s="167" t="s">
        <v>298</v>
      </c>
      <c r="U726" s="163" t="s">
        <v>298</v>
      </c>
      <c r="V726" s="163" t="s">
        <v>868</v>
      </c>
      <c r="W726" s="14" t="str">
        <f>IF(IFERROR(VLOOKUP($M726,'IMPORT GS-Tür OL FL 2S2 20'!$H$2:$H$847,1,0),"-")="-","","GS")</f>
        <v/>
      </c>
      <c r="X726" s="14" t="str">
        <f t="shared" si="44"/>
        <v>...</v>
      </c>
      <c r="Y726" s="163" t="s">
        <v>869</v>
      </c>
      <c r="Z726" s="58" t="str">
        <f>IF(OR($M726="",NOT($O726="{array}")),"",IFERROR(MATCH(PARAMETERS!$M726,DEFAULT!$B$5:$CI$5,0),""))</f>
        <v/>
      </c>
      <c r="AA726" s="55" t="str">
        <f>IF($M726="","",IFERROR(MATCH($M726,VALUESnames,0),""))</f>
        <v/>
      </c>
      <c r="AB726" s="62" t="str">
        <f>IF(AND(OR($A726="G",$A726="P"),NOT($O726="{array}")),IF(VLOOKUP($K726,base!$B$2:$D$20,3,0)="S",IF(OR($O726="",ISTEXT($O726)),"","STRING!"),IF(VLOOKUP($K726,base!$B$2:$D$20,3,0)="","",IF(ISTEXT($O726),"NUMERIC!",""))),"")</f>
        <v/>
      </c>
      <c r="AC726" s="16" t="str">
        <f>IF($AA726="","",IF($B726="I",VLOOKUP($AA726,#REF!,53,0),INDEX(VALUES!$B$1:$GP$1,1,$AA726)))</f>
        <v/>
      </c>
    </row>
    <row r="727" spans="1:29" s="276" customFormat="1" hidden="1" outlineLevel="1">
      <c r="A727" s="263"/>
      <c r="B727" s="264" t="str">
        <f t="shared" si="47"/>
        <v/>
      </c>
      <c r="C727" s="265">
        <f t="shared" si="50"/>
        <v>726</v>
      </c>
      <c r="D727" s="266"/>
      <c r="E727" s="266"/>
      <c r="F727" s="305"/>
      <c r="G727" s="188"/>
      <c r="H727" s="266"/>
      <c r="I727" s="266" t="s">
        <v>9</v>
      </c>
      <c r="J727" s="266"/>
      <c r="K727" s="267" t="s">
        <v>26</v>
      </c>
      <c r="L727" s="267" t="s">
        <v>29</v>
      </c>
      <c r="M727" s="293" t="s">
        <v>870</v>
      </c>
      <c r="N727" s="267" t="s">
        <v>871</v>
      </c>
      <c r="O727" s="269">
        <v>0.5</v>
      </c>
      <c r="Q727" s="266"/>
      <c r="R727" s="266" t="s">
        <v>106</v>
      </c>
      <c r="S727" s="266"/>
      <c r="T727" s="266"/>
      <c r="W727" s="272" t="str">
        <f>IF(IFERROR(VLOOKUP($M727,'IMPORT GS-Tür OL FL 2S2 20'!$H$2:$H$847,1,0),"-")="-","","GS")</f>
        <v>GS</v>
      </c>
      <c r="X727" s="272" t="str">
        <f t="shared" si="44"/>
        <v/>
      </c>
      <c r="Y727" s="276" t="s">
        <v>871</v>
      </c>
      <c r="Z727" s="273" t="str">
        <f>IF(OR($M727="",NOT($O727="{array}")),"",IFERROR(MATCH(PARAMETERS!$M727,DEFAULT!$B$5:$CI$5,0),""))</f>
        <v/>
      </c>
      <c r="AA727" s="272" t="str">
        <f t="shared" si="49"/>
        <v/>
      </c>
      <c r="AB727" s="274" t="str">
        <f>IF(AND(OR($A727="G",$A727="P"),NOT($O727="{array}")),IF(VLOOKUP($K727,base!$B$2:$D$20,3,0)="S",IF(OR($O727="",ISTEXT($O727)),"","STRING!"),IF(VLOOKUP($K727,base!$B$2:$D$20,3,0)="","",IF(ISTEXT($O727),"NUMERIC!",""))),"")</f>
        <v/>
      </c>
      <c r="AC727" s="275" t="str">
        <f>IF($AA727="","",IF($B727="I",VLOOKUP($AA727,#REF!,53,0),INDEX(VALUES!$B$1:$GP$1,1,$AA727)))</f>
        <v/>
      </c>
    </row>
    <row r="728" spans="1:29" s="276" customFormat="1" hidden="1" outlineLevel="1">
      <c r="A728" s="263"/>
      <c r="B728" s="264" t="str">
        <f t="shared" si="47"/>
        <v/>
      </c>
      <c r="C728" s="265">
        <f t="shared" si="50"/>
        <v>727</v>
      </c>
      <c r="D728" s="266"/>
      <c r="E728" s="266"/>
      <c r="F728" s="305"/>
      <c r="G728" s="188"/>
      <c r="H728" s="266"/>
      <c r="I728" s="266"/>
      <c r="J728" s="266"/>
      <c r="K728" s="278" t="s">
        <v>20</v>
      </c>
      <c r="L728" s="278" t="s">
        <v>23</v>
      </c>
      <c r="M728" s="278" t="s">
        <v>872</v>
      </c>
      <c r="N728" s="278" t="s">
        <v>298</v>
      </c>
      <c r="O728" s="278" t="s">
        <v>298</v>
      </c>
      <c r="P728" s="284" t="s">
        <v>298</v>
      </c>
      <c r="Q728" s="279" t="s">
        <v>9</v>
      </c>
      <c r="R728" s="279" t="s">
        <v>105</v>
      </c>
      <c r="S728" s="279" t="s">
        <v>114</v>
      </c>
      <c r="T728" s="278" t="s">
        <v>298</v>
      </c>
      <c r="U728" s="278" t="s">
        <v>298</v>
      </c>
      <c r="V728" s="278" t="s">
        <v>872</v>
      </c>
      <c r="W728" s="272" t="str">
        <f>IF(IFERROR(VLOOKUP($M728,'IMPORT GS-Tür OL FL 2S2 20'!$H$2:$H$847,1,0),"-")="-","","GS")</f>
        <v/>
      </c>
      <c r="X728" s="272" t="str">
        <f t="shared" si="44"/>
        <v/>
      </c>
      <c r="Y728" s="278" t="s">
        <v>298</v>
      </c>
      <c r="Z728" s="273" t="str">
        <f>IF(OR($M728="",NOT($O728="{array}")),"",IFERROR(MATCH(PARAMETERS!$M728,DEFAULT!$B$5:$CI$5,0),""))</f>
        <v/>
      </c>
      <c r="AA728" s="272" t="str">
        <f t="shared" si="49"/>
        <v/>
      </c>
      <c r="AB728" s="274" t="str">
        <f>IF(AND(OR($A728="G",$A728="P"),NOT($O728="{array}")),IF(VLOOKUP($K728,base!$B$2:$D$20,3,0)="S",IF(OR($O728="",ISTEXT($O728)),"","STRING!"),IF(VLOOKUP($K728,base!$B$2:$D$20,3,0)="","",IF(ISTEXT($O728),"NUMERIC!",""))),"")</f>
        <v/>
      </c>
      <c r="AC728" s="275" t="str">
        <f>IF($AA728="","",IF($B728="I",VLOOKUP($AA728,#REF!,53,0),INDEX(VALUES!$B$1:$GP$1,1,$AA728)))</f>
        <v/>
      </c>
    </row>
    <row r="729" spans="1:29" s="276" customFormat="1" hidden="1" outlineLevel="1">
      <c r="A729" s="263"/>
      <c r="B729" s="264" t="str">
        <f t="shared" si="47"/>
        <v/>
      </c>
      <c r="C729" s="265">
        <f t="shared" si="50"/>
        <v>728</v>
      </c>
      <c r="D729" s="266"/>
      <c r="E729" s="266"/>
      <c r="F729" s="305"/>
      <c r="G729" s="188"/>
      <c r="H729" s="266"/>
      <c r="I729" s="266"/>
      <c r="J729" s="266"/>
      <c r="K729" s="278" t="s">
        <v>20</v>
      </c>
      <c r="L729" s="278" t="s">
        <v>23</v>
      </c>
      <c r="M729" s="278" t="s">
        <v>873</v>
      </c>
      <c r="N729" s="278" t="s">
        <v>298</v>
      </c>
      <c r="O729" s="278" t="s">
        <v>298</v>
      </c>
      <c r="P729" s="284" t="s">
        <v>298</v>
      </c>
      <c r="Q729" s="279" t="s">
        <v>9</v>
      </c>
      <c r="R729" s="279" t="s">
        <v>105</v>
      </c>
      <c r="S729" s="279" t="s">
        <v>114</v>
      </c>
      <c r="T729" s="278" t="s">
        <v>298</v>
      </c>
      <c r="U729" s="278" t="s">
        <v>298</v>
      </c>
      <c r="V729" s="278" t="s">
        <v>873</v>
      </c>
      <c r="W729" s="272" t="str">
        <f>IF(IFERROR(VLOOKUP($M729,'IMPORT GS-Tür OL FL 2S2 20'!$H$2:$H$847,1,0),"-")="-","","GS")</f>
        <v/>
      </c>
      <c r="X729" s="272" t="str">
        <f t="shared" si="44"/>
        <v/>
      </c>
      <c r="Y729" s="278" t="s">
        <v>298</v>
      </c>
      <c r="Z729" s="273" t="str">
        <f>IF(OR($M729="",NOT($O729="{array}")),"",IFERROR(MATCH(PARAMETERS!$M729,DEFAULT!$B$5:$CI$5,0),""))</f>
        <v/>
      </c>
      <c r="AA729" s="272" t="str">
        <f t="shared" si="49"/>
        <v/>
      </c>
      <c r="AB729" s="274" t="str">
        <f>IF(AND(OR($A729="G",$A729="P"),NOT($O729="{array}")),IF(VLOOKUP($K729,base!$B$2:$D$20,3,0)="S",IF(OR($O729="",ISTEXT($O729)),"","STRING!"),IF(VLOOKUP($K729,base!$B$2:$D$20,3,0)="","",IF(ISTEXT($O729),"NUMERIC!",""))),"")</f>
        <v/>
      </c>
      <c r="AC729" s="275" t="str">
        <f>IF($AA729="","",IF($B729="I",VLOOKUP($AA729,#REF!,53,0),INDEX(VALUES!$B$1:$GP$1,1,$AA729)))</f>
        <v/>
      </c>
    </row>
    <row r="730" spans="1:29" hidden="1" outlineLevel="1">
      <c r="A730" s="21" t="s">
        <v>86</v>
      </c>
      <c r="B730" s="40" t="str">
        <f>IF($A730="P",IF(NOT($Z730=""),"A",IF(NOT($AA730=""),"I","")),IF(NOT($AA730=""),IF($A730="G","V","X"),IF(NOT($Z730=""),"A","")))</f>
        <v/>
      </c>
      <c r="C730" s="41">
        <f t="shared" si="50"/>
        <v>729</v>
      </c>
      <c r="D730" s="260" t="s">
        <v>9</v>
      </c>
      <c r="E730" s="37"/>
      <c r="F730" s="305" t="s">
        <v>9</v>
      </c>
      <c r="G730" s="188"/>
      <c r="H730" s="37"/>
      <c r="I730" s="37" t="s">
        <v>9</v>
      </c>
      <c r="J730" s="37"/>
      <c r="K730" s="249" t="s">
        <v>26</v>
      </c>
      <c r="L730" s="249" t="s">
        <v>29</v>
      </c>
      <c r="M730" s="178" t="s">
        <v>3337</v>
      </c>
      <c r="N730" s="249" t="s">
        <v>3342</v>
      </c>
      <c r="O730" s="42">
        <v>8.0000000000000002E-3</v>
      </c>
      <c r="R730" s="37" t="s">
        <v>204</v>
      </c>
      <c r="S730" s="37"/>
      <c r="T730" s="37"/>
      <c r="W730" s="14" t="str">
        <f>IF(IFERROR(VLOOKUP($M730,'IMPORT GS-Tür OL FL 2S2 20'!$H$2:$H$847,1,0),"-")="-","","GS")</f>
        <v/>
      </c>
      <c r="X730" s="14" t="str">
        <f t="shared" si="44"/>
        <v>...</v>
      </c>
      <c r="Z730" s="58" t="str">
        <f>IF(OR($M730="",NOT($O730="{array}")),"",IFERROR(MATCH(PARAMETERS!$M730,DEFAULT!$B$5:$CI$5,0),""))</f>
        <v/>
      </c>
      <c r="AA730" s="55" t="str">
        <f t="shared" si="49"/>
        <v/>
      </c>
      <c r="AB730" s="62" t="str">
        <f>IF(AND(OR($A730="G",$A730="P"),NOT($O730="{array}")),IF(VLOOKUP($K730,base!$B$2:$D$20,3,0)="S",IF(OR($O730="",ISTEXT($O730)),"","STRING!"),IF(VLOOKUP($K730,base!$B$2:$D$20,3,0)="","",IF(ISTEXT($O730),"NUMERIC!",""))),"")</f>
        <v/>
      </c>
      <c r="AC730" s="16" t="str">
        <f>IF($AA730="","",IF($B730="I",VLOOKUP($AA730,#REF!,53,0),INDEX(VALUES!$B$1:$GP$1,1,$AA730)))</f>
        <v/>
      </c>
    </row>
    <row r="731" spans="1:29" collapsed="1">
      <c r="A731" s="21" t="s">
        <v>86</v>
      </c>
      <c r="B731" s="40" t="str">
        <f t="shared" ref="B731:B831" si="51">IF($A731="P",IF(NOT($Z731=""),"A",IF(NOT($AA731=""),"I","")),IF(NOT($AA731=""),IF($A731="G","V","X"),IF(NOT($Z731=""),"A","")))</f>
        <v/>
      </c>
      <c r="C731" s="41">
        <f t="shared" ref="C731:C794" si="52">(ROW()-1)</f>
        <v>730</v>
      </c>
      <c r="D731" s="260"/>
      <c r="E731" s="37"/>
      <c r="F731" s="305" t="s">
        <v>9</v>
      </c>
      <c r="G731" s="188"/>
      <c r="H731" s="37"/>
      <c r="I731" s="37"/>
      <c r="J731" s="37"/>
      <c r="K731" s="230" t="s">
        <v>59</v>
      </c>
      <c r="L731" s="230" t="s">
        <v>40</v>
      </c>
      <c r="M731" s="231" t="s">
        <v>874</v>
      </c>
      <c r="N731" s="232" t="s">
        <v>875</v>
      </c>
      <c r="R731" s="37" t="s">
        <v>106</v>
      </c>
      <c r="S731" s="37"/>
      <c r="T731" s="37"/>
      <c r="W731" s="14" t="str">
        <f>IF(IFERROR(VLOOKUP($M731,'IMPORT GS-Tür OL FL 2S2 20'!$H$2:$H$847,1,0),"-")="-","","GS")</f>
        <v>GS</v>
      </c>
      <c r="X731" s="14" t="str">
        <f t="shared" si="44"/>
        <v>...</v>
      </c>
      <c r="Z731" s="58" t="str">
        <f>IF(OR($M731="",NOT($O731="{array}")),"",IFERROR(MATCH(PARAMETERS!$M731,DEFAULT!$B$5:$CI$5,0),""))</f>
        <v/>
      </c>
      <c r="AA731" s="55" t="str">
        <f t="shared" si="49"/>
        <v/>
      </c>
      <c r="AB731" s="62" t="str">
        <f>IF(AND(OR($A731="G",$A731="P"),NOT($O731="{array}")),IF(VLOOKUP($K731,base!$B$2:$D$20,3,0)="S",IF(OR($O731="",ISTEXT($O731)),"","STRING!"),IF(VLOOKUP($K731,base!$B$2:$D$20,3,0)="","",IF(ISTEXT($O731),"NUMERIC!",""))),"")</f>
        <v/>
      </c>
      <c r="AC731" s="16" t="str">
        <f>IF($AA731="","",IF($B731="I",VLOOKUP($AA731,#REF!,53,0),INDEX(VALUES!$B$1:$GP$1,1,$AA731)))</f>
        <v/>
      </c>
    </row>
    <row r="732" spans="1:29" hidden="1" outlineLevel="1">
      <c r="A732" s="21" t="s">
        <v>86</v>
      </c>
      <c r="B732" s="40" t="str">
        <f t="shared" si="51"/>
        <v/>
      </c>
      <c r="C732" s="41">
        <f t="shared" si="52"/>
        <v>731</v>
      </c>
      <c r="D732" s="260" t="s">
        <v>9</v>
      </c>
      <c r="E732" s="37"/>
      <c r="F732" s="305"/>
      <c r="G732" s="188"/>
      <c r="H732" s="37"/>
      <c r="I732" s="37" t="s">
        <v>9</v>
      </c>
      <c r="J732" s="37"/>
      <c r="K732" s="52" t="s">
        <v>20</v>
      </c>
      <c r="L732" s="52" t="s">
        <v>34</v>
      </c>
      <c r="M732" s="178" t="s">
        <v>876</v>
      </c>
      <c r="N732" s="52" t="s">
        <v>875</v>
      </c>
      <c r="O732" s="153" t="s">
        <v>3393</v>
      </c>
      <c r="R732" s="168" t="s">
        <v>105</v>
      </c>
      <c r="S732" s="168" t="s">
        <v>114</v>
      </c>
      <c r="T732" s="163" t="s">
        <v>298</v>
      </c>
      <c r="U732" s="163" t="s">
        <v>298</v>
      </c>
      <c r="V732" s="163" t="s">
        <v>877</v>
      </c>
      <c r="W732" s="14" t="str">
        <f>IF(IFERROR(VLOOKUP($N735,'IMPORT GS-Tür OL FL 2S2 20'!$H$2:$H$847,1,0),"-")="-","","GS")</f>
        <v/>
      </c>
      <c r="X732" s="14" t="str">
        <f t="shared" si="44"/>
        <v>...</v>
      </c>
      <c r="Y732" s="163" t="s">
        <v>878</v>
      </c>
      <c r="Z732" s="58" t="str">
        <f>IF(OR($M732="",NOT($O732="{array}")),"",IFERROR(MATCH(PARAMETERS!$M732,DEFAULT!$B$5:$CI$5,0),""))</f>
        <v/>
      </c>
      <c r="AA732" s="55" t="str">
        <f t="shared" si="49"/>
        <v/>
      </c>
      <c r="AB732" s="62" t="str">
        <f>IF(AND(OR($A732="G",$A732="P"),NOT($O732="{array}")),IF(VLOOKUP($K732,base!$B$2:$D$20,3,0)="S",IF(OR($O732="",ISTEXT($O732)),"","STRING!"),IF(VLOOKUP($K732,base!$B$2:$D$20,3,0)="","",IF(ISTEXT($O732),"NUMERIC!",""))),"")</f>
        <v/>
      </c>
      <c r="AC732" s="16" t="str">
        <f>IF($AA732="","",IF($B732="I",VLOOKUP($AA732,#REF!,53,0),INDEX(VALUES!$B$1:$GP$1,1,$AA732)))</f>
        <v/>
      </c>
    </row>
    <row r="733" spans="1:29" hidden="1" outlineLevel="1">
      <c r="A733" s="21" t="s">
        <v>86</v>
      </c>
      <c r="B733" s="40" t="str">
        <f>IF($A733="P",IF(NOT($Z733=""),"A",IF(NOT($AA733=""),"I","")),IF(NOT($AA733=""),IF($A733="G","V","X"),IF(NOT($Z733=""),"A","")))</f>
        <v/>
      </c>
      <c r="C733" s="41">
        <f t="shared" si="52"/>
        <v>732</v>
      </c>
      <c r="D733" s="260" t="s">
        <v>9</v>
      </c>
      <c r="E733" s="37"/>
      <c r="F733" s="305" t="s">
        <v>9</v>
      </c>
      <c r="G733" s="188" t="s">
        <v>9</v>
      </c>
      <c r="H733" s="37"/>
      <c r="I733" s="37" t="s">
        <v>9</v>
      </c>
      <c r="J733" s="37"/>
      <c r="K733" s="13" t="s">
        <v>46</v>
      </c>
      <c r="L733" s="13" t="s">
        <v>29</v>
      </c>
      <c r="M733" s="235" t="s">
        <v>889</v>
      </c>
      <c r="N733" s="13" t="s">
        <v>875</v>
      </c>
      <c r="O733" s="42">
        <v>27</v>
      </c>
      <c r="P733" s="213"/>
      <c r="Q733" s="192"/>
      <c r="R733" s="192" t="s">
        <v>106</v>
      </c>
      <c r="S733" s="192"/>
      <c r="T733" s="192"/>
      <c r="U733" s="213"/>
      <c r="W733" s="14" t="str">
        <f>IF(IFERROR(VLOOKUP($M733,'IMPORT GS-Tür OL FL 2S2 20'!$H$2:$H$847,1,0),"-")="-","","GS")</f>
        <v>GS</v>
      </c>
      <c r="X733" s="14" t="str">
        <f t="shared" si="44"/>
        <v>...</v>
      </c>
      <c r="Z733" s="58" t="str">
        <f>IF(OR($M733="",NOT($O733="{array}")),"",IFERROR(MATCH(PARAMETERS!$M733,DEFAULT!$B$5:$CI$5,0),""))</f>
        <v/>
      </c>
      <c r="AA733" s="55" t="str">
        <f t="shared" si="49"/>
        <v/>
      </c>
      <c r="AB733" s="62" t="str">
        <f>IF(AND(OR($A733="G",$A733="P"),NOT($O733="{array}")),IF(VLOOKUP($K733,base!$B$2:$D$20,3,0)="S",IF(OR($O733="",ISTEXT($O733)),"","STRING!"),IF(VLOOKUP($K733,base!$B$2:$D$20,3,0)="","",IF(ISTEXT($O733),"NUMERIC!",""))),"")</f>
        <v/>
      </c>
      <c r="AC733" s="16" t="str">
        <f>IF($AA733="","",IF($B733="I",VLOOKUP($AA733,#REF!,53,0),INDEX(VALUES!$B$1:$GP$1,1,$AA733)))</f>
        <v/>
      </c>
    </row>
    <row r="734" spans="1:29" hidden="1" outlineLevel="1">
      <c r="A734" s="21" t="s">
        <v>86</v>
      </c>
      <c r="B734" s="40" t="str">
        <f>IF($A734="P",IF(NOT($Z734=""),"A",IF(NOT($AA734=""),"I","")),IF(NOT($AA734=""),IF($A734="G","V","X"),IF(NOT($Z734=""),"A","")))</f>
        <v/>
      </c>
      <c r="C734" s="41">
        <f t="shared" si="52"/>
        <v>733</v>
      </c>
      <c r="D734" s="260" t="s">
        <v>9</v>
      </c>
      <c r="E734" s="37"/>
      <c r="F734" s="305"/>
      <c r="G734" s="188" t="s">
        <v>9</v>
      </c>
      <c r="H734" s="37"/>
      <c r="I734" s="37" t="s">
        <v>9</v>
      </c>
      <c r="J734" s="37"/>
      <c r="K734" s="13" t="s">
        <v>46</v>
      </c>
      <c r="L734" s="13" t="s">
        <v>29</v>
      </c>
      <c r="M734" s="235" t="s">
        <v>890</v>
      </c>
      <c r="N734" s="13" t="s">
        <v>891</v>
      </c>
      <c r="O734" s="42">
        <v>27</v>
      </c>
      <c r="P734" s="213"/>
      <c r="Q734" s="192"/>
      <c r="R734" s="192" t="s">
        <v>106</v>
      </c>
      <c r="S734" s="192"/>
      <c r="T734" s="192"/>
      <c r="U734" s="213"/>
      <c r="W734" s="14" t="str">
        <f>IF(IFERROR(VLOOKUP($M734,'IMPORT GS-Tür OL FL 2S2 20'!$H$2:$H$847,1,0),"-")="-","","GS")</f>
        <v>GS</v>
      </c>
      <c r="X734" s="14">
        <f t="shared" si="44"/>
        <v>1</v>
      </c>
      <c r="Z734" s="58" t="str">
        <f>IF(OR($M734="",NOT($O734="{array}")),"",IFERROR(MATCH(PARAMETERS!$M734,DEFAULT!$B$5:$CI$5,0),""))</f>
        <v/>
      </c>
      <c r="AA734" s="55" t="str">
        <f t="shared" si="49"/>
        <v/>
      </c>
      <c r="AB734" s="62" t="str">
        <f>IF(AND(OR($A734="G",$A734="P"),NOT($O734="{array}")),IF(VLOOKUP($K734,base!$B$2:$D$20,3,0)="S",IF(OR($O734="",ISTEXT($O734)),"","STRING!"),IF(VLOOKUP($K734,base!$B$2:$D$20,3,0)="","",IF(ISTEXT($O734),"NUMERIC!",""))),"")</f>
        <v/>
      </c>
      <c r="AC734" s="16" t="str">
        <f>IF($AA734="","",IF($B734="I",VLOOKUP($AA734,#REF!,53,0),INDEX(VALUES!$B$1:$GP$1,1,$AA734)))</f>
        <v/>
      </c>
    </row>
    <row r="735" spans="1:29" hidden="1" outlineLevel="1">
      <c r="A735" s="21" t="s">
        <v>86</v>
      </c>
      <c r="B735" s="40" t="str">
        <f t="shared" si="51"/>
        <v/>
      </c>
      <c r="C735" s="41">
        <f t="shared" si="52"/>
        <v>734</v>
      </c>
      <c r="D735" s="260" t="s">
        <v>9</v>
      </c>
      <c r="E735" s="37"/>
      <c r="F735" s="305"/>
      <c r="G735" s="188"/>
      <c r="H735" s="37"/>
      <c r="I735" s="37" t="s">
        <v>9</v>
      </c>
      <c r="J735" s="37"/>
      <c r="K735" s="163" t="s">
        <v>20</v>
      </c>
      <c r="L735" s="164" t="s">
        <v>34</v>
      </c>
      <c r="M735" s="189" t="s">
        <v>3394</v>
      </c>
      <c r="N735" s="163" t="s">
        <v>880</v>
      </c>
      <c r="O735" s="163" t="s">
        <v>3851</v>
      </c>
      <c r="P735" s="157" t="s">
        <v>298</v>
      </c>
      <c r="Q735" s="168"/>
      <c r="R735" s="168" t="s">
        <v>105</v>
      </c>
      <c r="S735" s="168" t="s">
        <v>114</v>
      </c>
      <c r="T735" s="163" t="s">
        <v>104</v>
      </c>
      <c r="U735" s="163" t="s">
        <v>298</v>
      </c>
      <c r="V735" s="163" t="s">
        <v>880</v>
      </c>
      <c r="W735" s="14" t="str">
        <f>IF(IFERROR(VLOOKUP($M735,'IMPORT GS-Tür OL FL 2S2 20'!$H$2:$H$847,1,0),"-")="-","","GS")</f>
        <v/>
      </c>
      <c r="X735" s="14" t="str">
        <f t="shared" si="44"/>
        <v>H</v>
      </c>
      <c r="Y735" s="163" t="s">
        <v>881</v>
      </c>
      <c r="Z735" s="58" t="str">
        <f>IF(OR($M735="",NOT($O735="{array}")),"",IFERROR(MATCH(PARAMETERS!$M735,DEFAULT!$B$5:$CI$5,0),""))</f>
        <v/>
      </c>
      <c r="AA735" s="55" t="str">
        <f t="shared" si="49"/>
        <v/>
      </c>
      <c r="AB735" s="62" t="str">
        <f>IF(AND(OR($A735="G",$A735="P"),NOT($O735="{array}")),IF(VLOOKUP($K735,base!$B$2:$D$20,3,0)="S",IF(OR($O735="",ISTEXT($O735)),"","STRING!"),IF(VLOOKUP($K735,base!$B$2:$D$20,3,0)="","",IF(ISTEXT($O735),"NUMERIC!",""))),"")</f>
        <v/>
      </c>
      <c r="AC735" s="16" t="str">
        <f>IF($AA735="","",IF($B735="I",VLOOKUP($AA735,#REF!,53,0),INDEX(VALUES!$B$1:$GP$1,1,$AA735)))</f>
        <v/>
      </c>
    </row>
    <row r="736" spans="1:29" hidden="1" outlineLevel="1">
      <c r="A736" s="21" t="s">
        <v>86</v>
      </c>
      <c r="B736" s="40" t="str">
        <f t="shared" si="51"/>
        <v/>
      </c>
      <c r="C736" s="41">
        <f t="shared" si="52"/>
        <v>735</v>
      </c>
      <c r="D736" s="260"/>
      <c r="E736" s="37"/>
      <c r="F736" s="305" t="s">
        <v>9</v>
      </c>
      <c r="G736" s="188"/>
      <c r="H736" s="37"/>
      <c r="I736" s="37" t="s">
        <v>9</v>
      </c>
      <c r="J736" s="37"/>
      <c r="K736" s="52" t="s">
        <v>20</v>
      </c>
      <c r="L736" s="52" t="s">
        <v>29</v>
      </c>
      <c r="M736" s="178" t="s">
        <v>3396</v>
      </c>
      <c r="N736" s="52" t="s">
        <v>3383</v>
      </c>
      <c r="O736" s="153"/>
      <c r="P736" s="52"/>
      <c r="Q736" s="188" t="s">
        <v>9</v>
      </c>
      <c r="R736" s="174" t="s">
        <v>105</v>
      </c>
      <c r="S736" s="168"/>
      <c r="T736" s="163"/>
      <c r="U736" s="163"/>
      <c r="V736" s="163"/>
      <c r="W736" s="14"/>
      <c r="X736" s="14" t="str">
        <f t="shared" ref="X736:X809" si="53">IF($A736="G",IF(IFERROR(VLOOKUP($M736,Reimport,1,0),"-")="-","&gt;&lt;",IF($O736=VLOOKUP($M736,Reimport,2,0),"...",VLOOKUP($M736,Reimport,2,0))),"")</f>
        <v>...</v>
      </c>
      <c r="Y736" s="163"/>
      <c r="Z736" s="58" t="str">
        <f>IF(OR($M736="",NOT($O736="{array}")),"",IFERROR(MATCH(PARAMETERS!$M736,DEFAULT!$B$5:$CI$5,0),""))</f>
        <v/>
      </c>
      <c r="AA736" s="55" t="str">
        <f t="shared" si="49"/>
        <v/>
      </c>
      <c r="AB736" s="62" t="str">
        <f>IF(AND(OR($A736="G",$A736="P"),NOT($O736="{array}")),IF(VLOOKUP($K736,base!$B$2:$D$20,3,0)="S",IF(OR($O736="",ISTEXT($O736)),"","STRING!"),IF(VLOOKUP($K736,base!$B$2:$D$20,3,0)="","",IF(ISTEXT($O736),"NUMERIC!",""))),"")</f>
        <v/>
      </c>
      <c r="AC736" s="16" t="str">
        <f>IF($AA736="","",IF($B736="I",VLOOKUP($AA736,#REF!,53,0),INDEX(VALUES!$B$1:$GP$1,1,$AA736)))</f>
        <v/>
      </c>
    </row>
    <row r="737" spans="1:29" hidden="1" outlineLevel="1">
      <c r="A737" s="21" t="s">
        <v>86</v>
      </c>
      <c r="B737" s="40" t="str">
        <f>IF($A737="P",IF(NOT($Z737=""),"A",IF(NOT($AA737=""),"I","")),IF(NOT($AA737=""),IF($A737="G","V","X"),IF(NOT($Z737=""),"A","")))</f>
        <v/>
      </c>
      <c r="C737" s="41">
        <f t="shared" si="52"/>
        <v>736</v>
      </c>
      <c r="D737" s="260"/>
      <c r="E737" s="37"/>
      <c r="F737" s="305" t="s">
        <v>9</v>
      </c>
      <c r="G737" s="188"/>
      <c r="H737" s="37"/>
      <c r="I737" s="37" t="s">
        <v>9</v>
      </c>
      <c r="J737" s="37"/>
      <c r="K737" s="13" t="s">
        <v>20</v>
      </c>
      <c r="L737" s="13" t="s">
        <v>29</v>
      </c>
      <c r="M737" s="214" t="s">
        <v>882</v>
      </c>
      <c r="N737" s="13" t="s">
        <v>3934</v>
      </c>
      <c r="R737" s="37" t="s">
        <v>106</v>
      </c>
      <c r="S737" s="37"/>
      <c r="T737" s="37"/>
      <c r="W737" s="14" t="str">
        <f>IF(IFERROR(VLOOKUP($M737,'IMPORT GS-Tür OL FL 2S2 20'!$H$2:$H$847,1,0),"-")="-","","GS")</f>
        <v>GS</v>
      </c>
      <c r="X737" s="14" t="str">
        <f t="shared" si="53"/>
        <v>...</v>
      </c>
      <c r="Y737" s="13" t="s">
        <v>883</v>
      </c>
      <c r="Z737" s="58" t="str">
        <f>IF(OR($M737="",NOT($O737="{array}")),"",IFERROR(MATCH(PARAMETERS!$M737,DEFAULT!$B$5:$CI$5,0),""))</f>
        <v/>
      </c>
      <c r="AA737" s="55" t="str">
        <f t="shared" si="49"/>
        <v/>
      </c>
      <c r="AB737" s="62" t="str">
        <f>IF(AND(OR($A737="G",$A737="P"),NOT($O737="{array}")),IF(VLOOKUP($K737,base!$B$2:$D$20,3,0)="S",IF(OR($O737="",ISTEXT($O737)),"","STRING!"),IF(VLOOKUP($K737,base!$B$2:$D$20,3,0)="","",IF(ISTEXT($O737),"NUMERIC!",""))),"")</f>
        <v/>
      </c>
      <c r="AC737" s="16" t="str">
        <f>IF($AA737="","",IF($B737="I",VLOOKUP($AA737,#REF!,53,0),INDEX(VALUES!$B$1:$GP$1,1,$AA737)))</f>
        <v/>
      </c>
    </row>
    <row r="738" spans="1:29" hidden="1" outlineLevel="1">
      <c r="A738" s="21" t="s">
        <v>86</v>
      </c>
      <c r="B738" s="40" t="str">
        <f>IF($A738="P",IF(NOT($Z738=""),"A",IF(NOT($AA738=""),"I","")),IF(NOT($AA738=""),IF($A738="G","V","X"),IF(NOT($Z738=""),"A","")))</f>
        <v/>
      </c>
      <c r="C738" s="41">
        <f t="shared" si="52"/>
        <v>737</v>
      </c>
      <c r="D738" s="260"/>
      <c r="E738" s="37"/>
      <c r="F738" s="305"/>
      <c r="G738" s="188"/>
      <c r="H738" s="37"/>
      <c r="I738" s="37" t="s">
        <v>9</v>
      </c>
      <c r="J738" s="37"/>
      <c r="K738" s="13" t="s">
        <v>20</v>
      </c>
      <c r="L738" s="13" t="s">
        <v>29</v>
      </c>
      <c r="M738" s="214" t="s">
        <v>884</v>
      </c>
      <c r="N738" s="13" t="s">
        <v>3935</v>
      </c>
      <c r="R738" s="37" t="s">
        <v>106</v>
      </c>
      <c r="S738" s="37"/>
      <c r="T738" s="37"/>
      <c r="W738" s="14" t="str">
        <f>IF(IFERROR(VLOOKUP($M738,'IMPORT GS-Tür OL FL 2S2 20'!$H$2:$H$847,1,0),"-")="-","","GS")</f>
        <v>GS</v>
      </c>
      <c r="X738" s="14" t="str">
        <f t="shared" si="53"/>
        <v>...</v>
      </c>
      <c r="Y738" s="13" t="s">
        <v>883</v>
      </c>
      <c r="Z738" s="58" t="str">
        <f>IF(OR($M738="",NOT($O738="{array}")),"",IFERROR(MATCH(PARAMETERS!$M738,DEFAULT!$B$5:$CI$5,0),""))</f>
        <v/>
      </c>
      <c r="AA738" s="55" t="str">
        <f t="shared" si="49"/>
        <v/>
      </c>
      <c r="AB738" s="62" t="str">
        <f>IF(AND(OR($A738="G",$A738="P"),NOT($O738="{array}")),IF(VLOOKUP($K738,base!$B$2:$D$20,3,0)="S",IF(OR($O738="",ISTEXT($O738)),"","STRING!"),IF(VLOOKUP($K738,base!$B$2:$D$20,3,0)="","",IF(ISTEXT($O738),"NUMERIC!",""))),"")</f>
        <v/>
      </c>
      <c r="AC738" s="16" t="str">
        <f>IF($AA738="","",IF($B738="I",VLOOKUP($AA738,#REF!,53,0),INDEX(VALUES!$B$1:$GP$1,1,$AA738)))</f>
        <v/>
      </c>
    </row>
    <row r="739" spans="1:29" hidden="1" outlineLevel="1">
      <c r="A739" s="21" t="s">
        <v>86</v>
      </c>
      <c r="B739" s="40" t="str">
        <f t="shared" si="51"/>
        <v/>
      </c>
      <c r="C739" s="41">
        <f t="shared" si="52"/>
        <v>738</v>
      </c>
      <c r="D739" s="260"/>
      <c r="E739" s="37"/>
      <c r="F739" s="305" t="s">
        <v>9</v>
      </c>
      <c r="G739" s="188"/>
      <c r="H739" s="37"/>
      <c r="I739" s="37" t="s">
        <v>9</v>
      </c>
      <c r="J739" s="37"/>
      <c r="K739" s="52" t="s">
        <v>20</v>
      </c>
      <c r="L739" s="52" t="s">
        <v>29</v>
      </c>
      <c r="M739" s="178" t="s">
        <v>3397</v>
      </c>
      <c r="N739" s="52" t="s">
        <v>3385</v>
      </c>
      <c r="O739" s="153"/>
      <c r="P739" s="52"/>
      <c r="Q739" s="188" t="s">
        <v>9</v>
      </c>
      <c r="R739" s="174" t="s">
        <v>105</v>
      </c>
      <c r="S739" s="168"/>
      <c r="T739" s="163"/>
      <c r="U739" s="163"/>
      <c r="V739" s="163"/>
      <c r="W739" s="14"/>
      <c r="X739" s="14" t="str">
        <f t="shared" si="53"/>
        <v>individuell</v>
      </c>
      <c r="Y739" s="163"/>
      <c r="Z739" s="58" t="str">
        <f>IF(OR($M739="",NOT($O739="{array}")),"",IFERROR(MATCH(PARAMETERS!$M739,DEFAULT!$B$5:$CI$5,0),""))</f>
        <v/>
      </c>
      <c r="AA739" s="55" t="str">
        <f t="shared" si="49"/>
        <v/>
      </c>
      <c r="AB739" s="62" t="str">
        <f>IF(AND(OR($A739="G",$A739="P"),NOT($O739="{array}")),IF(VLOOKUP($K739,base!$B$2:$D$20,3,0)="S",IF(OR($O739="",ISTEXT($O739)),"","STRING!"),IF(VLOOKUP($K739,base!$B$2:$D$20,3,0)="","",IF(ISTEXT($O739),"NUMERIC!",""))),"")</f>
        <v/>
      </c>
      <c r="AC739" s="16" t="str">
        <f>IF($AA739="","",IF($B739="I",VLOOKUP($AA739,#REF!,53,0),INDEX(VALUES!$B$1:$GP$1,1,$AA739)))</f>
        <v/>
      </c>
    </row>
    <row r="740" spans="1:29" s="276" customFormat="1" hidden="1" outlineLevel="1">
      <c r="A740" s="263"/>
      <c r="B740" s="264" t="str">
        <f>IF($A740="P",IF(NOT($Z740=""),"A",IF(NOT($AA740=""),"I","")),IF(NOT($AA740=""),IF($A740="G","V","X"),IF(NOT($Z740=""),"A","")))</f>
        <v/>
      </c>
      <c r="C740" s="265">
        <f t="shared" si="52"/>
        <v>739</v>
      </c>
      <c r="D740" s="266"/>
      <c r="E740" s="266"/>
      <c r="F740" s="305"/>
      <c r="G740" s="188"/>
      <c r="H740" s="266"/>
      <c r="I740" s="266" t="s">
        <v>9</v>
      </c>
      <c r="J740" s="266"/>
      <c r="K740" s="278" t="s">
        <v>102</v>
      </c>
      <c r="L740" s="278" t="s">
        <v>23</v>
      </c>
      <c r="M740" s="278"/>
      <c r="N740" s="278" t="s">
        <v>938</v>
      </c>
      <c r="O740" s="278" t="s">
        <v>939</v>
      </c>
      <c r="P740" s="284" t="s">
        <v>298</v>
      </c>
      <c r="Q740" s="279" t="s">
        <v>9</v>
      </c>
      <c r="R740" s="279" t="s">
        <v>105</v>
      </c>
      <c r="S740" s="279" t="s">
        <v>114</v>
      </c>
      <c r="T740" s="278" t="s">
        <v>298</v>
      </c>
      <c r="U740" s="278" t="s">
        <v>298</v>
      </c>
      <c r="V740" s="278" t="s">
        <v>938</v>
      </c>
      <c r="W740" s="272" t="str">
        <f>IF(IFERROR(VLOOKUP($M740,'IMPORT GS-Tür OL FL 2S2 20'!$H$2:$H$847,1,0),"-")="-","","GS")</f>
        <v/>
      </c>
      <c r="X740" s="272" t="str">
        <f t="shared" si="53"/>
        <v/>
      </c>
      <c r="Y740" s="278" t="s">
        <v>940</v>
      </c>
      <c r="Z740" s="273" t="str">
        <f>IF(OR($M740="",NOT($O740="{array}")),"",IFERROR(MATCH(PARAMETERS!$M740,DEFAULT!$B$5:$CI$5,0),""))</f>
        <v/>
      </c>
      <c r="AA740" s="272" t="str">
        <f t="shared" si="49"/>
        <v/>
      </c>
      <c r="AB740" s="274" t="str">
        <f>IF(AND(OR($A740="G",$A740="P"),NOT($O740="{array}")),IF(VLOOKUP($K740,base!$B$2:$D$20,3,0)="S",IF(OR($O740="",ISTEXT($O740)),"","STRING!"),IF(VLOOKUP($K740,base!$B$2:$D$20,3,0)="","",IF(ISTEXT($O740),"NUMERIC!",""))),"")</f>
        <v/>
      </c>
      <c r="AC740" s="275" t="str">
        <f>IF($AA740="","",IF($B740="I",VLOOKUP($AA740,#REF!,53,0),INDEX(VALUES!$B$1:$GP$1,1,$AA740)))</f>
        <v/>
      </c>
    </row>
    <row r="741" spans="1:29" hidden="1" outlineLevel="1">
      <c r="A741" s="21" t="s">
        <v>86</v>
      </c>
      <c r="B741" s="40" t="str">
        <f>IF($A741="P",IF(NOT($Z741=""),"A",IF(NOT($AA741=""),"I","")),IF(NOT($AA741=""),IF($A741="G","V","X"),IF(NOT($Z741=""),"A","")))</f>
        <v/>
      </c>
      <c r="C741" s="41">
        <f t="shared" si="52"/>
        <v>740</v>
      </c>
      <c r="D741" s="260" t="s">
        <v>9</v>
      </c>
      <c r="E741" s="37"/>
      <c r="F741" s="305" t="s">
        <v>9</v>
      </c>
      <c r="G741" s="188"/>
      <c r="H741" s="37"/>
      <c r="I741" s="37" t="s">
        <v>9</v>
      </c>
      <c r="J741" s="37"/>
      <c r="K741" s="156" t="s">
        <v>46</v>
      </c>
      <c r="L741" s="52" t="s">
        <v>29</v>
      </c>
      <c r="M741" s="178" t="s">
        <v>3400</v>
      </c>
      <c r="N741" s="52" t="s">
        <v>3399</v>
      </c>
      <c r="O741" s="156">
        <v>0</v>
      </c>
      <c r="P741" s="52"/>
      <c r="Q741" s="188"/>
      <c r="R741" s="174" t="s">
        <v>105</v>
      </c>
      <c r="S741" s="168"/>
      <c r="T741" s="163"/>
      <c r="U741" s="163"/>
      <c r="V741" s="163"/>
      <c r="W741" s="14"/>
      <c r="X741" s="14">
        <f t="shared" si="53"/>
        <v>3</v>
      </c>
      <c r="Y741" s="163"/>
      <c r="Z741" s="58" t="str">
        <f>IF(OR($M741="",NOT($O741="{array}")),"",IFERROR(MATCH(PARAMETERS!$M741,DEFAULT!$B$5:$CI$5,0),""))</f>
        <v/>
      </c>
      <c r="AA741" s="55" t="str">
        <f t="shared" si="49"/>
        <v/>
      </c>
      <c r="AB741" s="62" t="str">
        <f>IF(AND(OR($A741="G",$A741="P"),NOT($O741="{array}")),IF(VLOOKUP($K741,base!$B$2:$D$20,3,0)="S",IF(OR($O741="",ISTEXT($O741)),"","STRING!"),IF(VLOOKUP($K741,base!$B$2:$D$20,3,0)="","",IF(ISTEXT($O741),"NUMERIC!",""))),"")</f>
        <v/>
      </c>
      <c r="AC741" s="16" t="str">
        <f>IF($AA741="","",IF($B741="I",VLOOKUP($AA741,#REF!,53,0),INDEX(VALUES!$B$1:$GP$1,1,$AA741)))</f>
        <v/>
      </c>
    </row>
    <row r="742" spans="1:29" hidden="1" outlineLevel="1">
      <c r="A742" s="21" t="s">
        <v>86</v>
      </c>
      <c r="B742" s="40" t="str">
        <f>IF($A742="P",IF(NOT($Z742=""),"A",IF(NOT($AA742=""),"I","")),IF(NOT($AA742=""),IF($A742="G","V","X"),IF(NOT($Z742=""),"A","")))</f>
        <v/>
      </c>
      <c r="C742" s="41">
        <f t="shared" si="52"/>
        <v>741</v>
      </c>
      <c r="D742" s="260" t="s">
        <v>9</v>
      </c>
      <c r="E742" s="37"/>
      <c r="F742" s="305" t="s">
        <v>9</v>
      </c>
      <c r="G742" s="188"/>
      <c r="H742" s="37"/>
      <c r="I742" s="37" t="s">
        <v>9</v>
      </c>
      <c r="J742" s="37"/>
      <c r="K742" s="52" t="s">
        <v>46</v>
      </c>
      <c r="L742" s="52" t="s">
        <v>29</v>
      </c>
      <c r="M742" s="178" t="s">
        <v>3401</v>
      </c>
      <c r="N742" s="52" t="s">
        <v>3402</v>
      </c>
      <c r="O742" s="156">
        <v>0</v>
      </c>
      <c r="P742" s="52"/>
      <c r="Q742" s="188"/>
      <c r="R742" s="174" t="s">
        <v>105</v>
      </c>
      <c r="S742" s="168"/>
      <c r="T742" s="163"/>
      <c r="U742" s="163"/>
      <c r="V742" s="163"/>
      <c r="W742" s="14"/>
      <c r="X742" s="14" t="str">
        <f t="shared" si="53"/>
        <v>...</v>
      </c>
      <c r="Y742" s="163"/>
      <c r="Z742" s="58" t="str">
        <f>IF(OR($M742="",NOT($O742="{array}")),"",IFERROR(MATCH(PARAMETERS!$M742,DEFAULT!$B$5:$CI$5,0),""))</f>
        <v/>
      </c>
      <c r="AA742" s="55" t="str">
        <f t="shared" si="49"/>
        <v/>
      </c>
      <c r="AB742" s="62" t="str">
        <f>IF(AND(OR($A742="G",$A742="P"),NOT($O742="{array}")),IF(VLOOKUP($K742,base!$B$2:$D$20,3,0)="S",IF(OR($O742="",ISTEXT($O742)),"","STRING!"),IF(VLOOKUP($K742,base!$B$2:$D$20,3,0)="","",IF(ISTEXT($O742),"NUMERIC!",""))),"")</f>
        <v/>
      </c>
      <c r="AC742" s="16" t="str">
        <f>IF($AA742="","",IF($B742="I",VLOOKUP($AA742,#REF!,53,0),INDEX(VALUES!$B$1:$GP$1,1,$AA742)))</f>
        <v/>
      </c>
    </row>
    <row r="743" spans="1:29" hidden="1" outlineLevel="1">
      <c r="A743" s="21" t="s">
        <v>86</v>
      </c>
      <c r="B743" s="40" t="str">
        <f t="shared" si="51"/>
        <v>A</v>
      </c>
      <c r="C743" s="41">
        <f t="shared" si="52"/>
        <v>742</v>
      </c>
      <c r="D743" s="260" t="s">
        <v>9</v>
      </c>
      <c r="E743" s="37"/>
      <c r="F743" s="305" t="s">
        <v>9</v>
      </c>
      <c r="G743" s="188" t="s">
        <v>9</v>
      </c>
      <c r="H743" s="37"/>
      <c r="I743" s="37" t="s">
        <v>9</v>
      </c>
      <c r="J743" s="37"/>
      <c r="K743" s="52" t="s">
        <v>46</v>
      </c>
      <c r="L743" s="52" t="s">
        <v>29</v>
      </c>
      <c r="M743" s="178" t="s">
        <v>3403</v>
      </c>
      <c r="N743" s="52" t="s">
        <v>3404</v>
      </c>
      <c r="O743" s="153" t="s">
        <v>35</v>
      </c>
      <c r="P743" s="52"/>
      <c r="Q743" s="188" t="s">
        <v>9</v>
      </c>
      <c r="R743" s="174" t="s">
        <v>105</v>
      </c>
      <c r="S743" s="168"/>
      <c r="T743" s="163"/>
      <c r="U743" s="163"/>
      <c r="V743" s="163"/>
      <c r="W743" s="14"/>
      <c r="X743" s="14" t="str">
        <f t="shared" si="53"/>
        <v>...</v>
      </c>
      <c r="Y743" s="163"/>
      <c r="Z743" s="58">
        <f>IF(OR($M743="",NOT($O743="{array}")),"",IFERROR(MATCH(PARAMETERS!$M743,DEFAULT!$B$5:$CI$5,0),""))</f>
        <v>40</v>
      </c>
      <c r="AA743" s="55" t="str">
        <f t="shared" si="49"/>
        <v/>
      </c>
      <c r="AB743" s="62" t="str">
        <f>IF(AND(OR($A743="G",$A743="P"),NOT($O743="{array}")),IF(VLOOKUP($K743,base!$B$2:$D$20,3,0)="S",IF(OR($O743="",ISTEXT($O743)),"","STRING!"),IF(VLOOKUP($K743,base!$B$2:$D$20,3,0)="","",IF(ISTEXT($O743),"NUMERIC!",""))),"")</f>
        <v/>
      </c>
      <c r="AC743" s="16" t="str">
        <f>IF($AA743="","",IF($B743="I",VLOOKUP($AA743,#REF!,53,0),INDEX(VALUES!$B$1:$GP$1,1,$AA743)))</f>
        <v/>
      </c>
    </row>
    <row r="744" spans="1:29" hidden="1" outlineLevel="1">
      <c r="A744" s="21" t="s">
        <v>86</v>
      </c>
      <c r="B744" s="40" t="str">
        <f t="shared" si="51"/>
        <v>A</v>
      </c>
      <c r="C744" s="41">
        <f t="shared" si="52"/>
        <v>743</v>
      </c>
      <c r="D744" s="260" t="s">
        <v>9</v>
      </c>
      <c r="E744" s="37"/>
      <c r="F744" s="305" t="s">
        <v>9</v>
      </c>
      <c r="G744" s="188" t="s">
        <v>9</v>
      </c>
      <c r="H744" s="37"/>
      <c r="I744" s="37" t="s">
        <v>9</v>
      </c>
      <c r="J744" s="37"/>
      <c r="K744" s="52" t="s">
        <v>46</v>
      </c>
      <c r="L744" s="52" t="s">
        <v>29</v>
      </c>
      <c r="M744" s="178" t="s">
        <v>3405</v>
      </c>
      <c r="N744" s="52" t="s">
        <v>3406</v>
      </c>
      <c r="O744" s="153" t="s">
        <v>35</v>
      </c>
      <c r="P744" s="52"/>
      <c r="Q744" s="188" t="s">
        <v>9</v>
      </c>
      <c r="R744" s="174" t="s">
        <v>105</v>
      </c>
      <c r="S744" s="168"/>
      <c r="T744" s="163"/>
      <c r="U744" s="163"/>
      <c r="V744" s="163"/>
      <c r="W744" s="14"/>
      <c r="X744" s="14" t="str">
        <f t="shared" si="53"/>
        <v>...</v>
      </c>
      <c r="Y744" s="163"/>
      <c r="Z744" s="58">
        <f>IF(OR($M744="",NOT($O744="{array}")),"",IFERROR(MATCH(PARAMETERS!$M744,DEFAULT!$B$5:$CI$5,0),""))</f>
        <v>46</v>
      </c>
      <c r="AA744" s="55" t="str">
        <f t="shared" si="49"/>
        <v/>
      </c>
      <c r="AB744" s="62" t="str">
        <f>IF(AND(OR($A744="G",$A744="P"),NOT($O744="{array}")),IF(VLOOKUP($K744,base!$B$2:$D$20,3,0)="S",IF(OR($O744="",ISTEXT($O744)),"","STRING!"),IF(VLOOKUP($K744,base!$B$2:$D$20,3,0)="","",IF(ISTEXT($O744),"NUMERIC!",""))),"")</f>
        <v/>
      </c>
      <c r="AC744" s="16" t="str">
        <f>IF($AA744="","",IF($B744="I",VLOOKUP($AA744,#REF!,53,0),INDEX(VALUES!$B$1:$GP$1,1,$AA744)))</f>
        <v/>
      </c>
    </row>
    <row r="745" spans="1:29" hidden="1" outlineLevel="1">
      <c r="A745" s="21" t="s">
        <v>86</v>
      </c>
      <c r="B745" s="40" t="str">
        <f t="shared" si="51"/>
        <v>A</v>
      </c>
      <c r="C745" s="41">
        <f t="shared" si="52"/>
        <v>744</v>
      </c>
      <c r="D745" s="260" t="s">
        <v>9</v>
      </c>
      <c r="E745" s="37"/>
      <c r="F745" s="305" t="s">
        <v>9</v>
      </c>
      <c r="G745" s="188" t="s">
        <v>9</v>
      </c>
      <c r="H745" s="37"/>
      <c r="I745" s="37" t="s">
        <v>9</v>
      </c>
      <c r="J745" s="37"/>
      <c r="K745" s="52" t="s">
        <v>20</v>
      </c>
      <c r="L745" s="52" t="s">
        <v>29</v>
      </c>
      <c r="M745" s="178" t="s">
        <v>3407</v>
      </c>
      <c r="N745" s="52" t="s">
        <v>3408</v>
      </c>
      <c r="O745" s="153" t="s">
        <v>35</v>
      </c>
      <c r="P745" s="52"/>
      <c r="Q745" s="188"/>
      <c r="R745" s="174" t="s">
        <v>105</v>
      </c>
      <c r="S745" s="168"/>
      <c r="T745" s="163"/>
      <c r="U745" s="163"/>
      <c r="V745" s="163"/>
      <c r="W745" s="14"/>
      <c r="X745" s="14" t="str">
        <f t="shared" si="53"/>
        <v>...</v>
      </c>
      <c r="Y745" s="163"/>
      <c r="Z745" s="58">
        <f>IF(OR($M745="",NOT($O745="{array}")),"",IFERROR(MATCH(PARAMETERS!$M745,DEFAULT!$B$5:$CI$5,0),""))</f>
        <v>48</v>
      </c>
      <c r="AA745" s="55" t="str">
        <f t="shared" si="49"/>
        <v/>
      </c>
      <c r="AB745" s="62" t="str">
        <f>IF(AND(OR($A745="G",$A745="P"),NOT($O745="{array}")),IF(VLOOKUP($K745,base!$B$2:$D$20,3,0)="S",IF(OR($O745="",ISTEXT($O745)),"","STRING!"),IF(VLOOKUP($K745,base!$B$2:$D$20,3,0)="","",IF(ISTEXT($O745),"NUMERIC!",""))),"")</f>
        <v/>
      </c>
      <c r="AC745" s="16" t="str">
        <f>IF($AA745="","",IF($B745="I",VLOOKUP($AA745,#REF!,53,0),INDEX(VALUES!$B$1:$GP$1,1,$AA745)))</f>
        <v/>
      </c>
    </row>
    <row r="746" spans="1:29" hidden="1" outlineLevel="1">
      <c r="A746" s="21" t="s">
        <v>86</v>
      </c>
      <c r="B746" s="40" t="str">
        <f>IF($A746="P",IF(NOT($Z746=""),"A",IF(NOT($AA746=""),"I","")),IF(NOT($AA746=""),IF($A746="G","V","X"),IF(NOT($Z746=""),"A","")))</f>
        <v/>
      </c>
      <c r="C746" s="41">
        <f t="shared" si="52"/>
        <v>745</v>
      </c>
      <c r="D746" s="260"/>
      <c r="E746" s="37"/>
      <c r="F746" s="305" t="s">
        <v>9</v>
      </c>
      <c r="G746" s="188" t="s">
        <v>9</v>
      </c>
      <c r="H746" s="37"/>
      <c r="I746" s="37" t="s">
        <v>9</v>
      </c>
      <c r="J746" s="37"/>
      <c r="K746" s="52" t="s">
        <v>20</v>
      </c>
      <c r="L746" s="52" t="s">
        <v>29</v>
      </c>
      <c r="M746" s="178" t="s">
        <v>3409</v>
      </c>
      <c r="N746" s="52" t="s">
        <v>3936</v>
      </c>
      <c r="O746" s="156">
        <v>0</v>
      </c>
      <c r="P746" s="52"/>
      <c r="Q746" s="188"/>
      <c r="R746" s="174" t="s">
        <v>105</v>
      </c>
      <c r="S746" s="168"/>
      <c r="T746" s="163"/>
      <c r="U746" s="163"/>
      <c r="V746" s="163"/>
      <c r="W746" s="14"/>
      <c r="X746" s="14" t="str">
        <f t="shared" si="53"/>
        <v>...</v>
      </c>
      <c r="Y746" s="163"/>
      <c r="Z746" s="58" t="str">
        <f>IF(OR($M746="",NOT($O746="{array}")),"",IFERROR(MATCH(PARAMETERS!$M746,DEFAULT!$B$5:$CI$5,0),""))</f>
        <v/>
      </c>
      <c r="AA746" s="55" t="str">
        <f t="shared" si="49"/>
        <v/>
      </c>
      <c r="AB746" s="62" t="str">
        <f>IF(AND(OR($A746="G",$A746="P"),NOT($O746="{array}")),IF(VLOOKUP($K746,base!$B$2:$D$20,3,0)="S",IF(OR($O746="",ISTEXT($O746)),"","STRING!"),IF(VLOOKUP($K746,base!$B$2:$D$20,3,0)="","",IF(ISTEXT($O746),"NUMERIC!",""))),"")</f>
        <v>STRING!</v>
      </c>
      <c r="AC746" s="16" t="str">
        <f>IF($AA746="","",IF($B746="I",VLOOKUP($AA746,#REF!,53,0),INDEX(VALUES!$B$1:$GP$1,1,$AA746)))</f>
        <v/>
      </c>
    </row>
    <row r="747" spans="1:29" hidden="1" outlineLevel="1">
      <c r="A747" s="21" t="s">
        <v>86</v>
      </c>
      <c r="B747" s="40" t="str">
        <f t="shared" si="51"/>
        <v/>
      </c>
      <c r="C747" s="41">
        <f t="shared" si="52"/>
        <v>746</v>
      </c>
      <c r="D747" s="260" t="s">
        <v>9</v>
      </c>
      <c r="E747" s="37"/>
      <c r="F747" s="305"/>
      <c r="G747" s="188"/>
      <c r="H747" s="37"/>
      <c r="I747" s="37" t="s">
        <v>9</v>
      </c>
      <c r="J747" s="37"/>
      <c r="K747" s="163" t="s">
        <v>20</v>
      </c>
      <c r="L747" s="164" t="s">
        <v>23</v>
      </c>
      <c r="M747" s="178" t="s">
        <v>3825</v>
      </c>
      <c r="N747" s="163" t="s">
        <v>904</v>
      </c>
      <c r="O747" s="163" t="s">
        <v>3850</v>
      </c>
      <c r="P747" s="157" t="s">
        <v>298</v>
      </c>
      <c r="Q747" s="168" t="s">
        <v>9</v>
      </c>
      <c r="R747" s="168" t="s">
        <v>105</v>
      </c>
      <c r="S747" s="168" t="s">
        <v>114</v>
      </c>
      <c r="T747" s="163" t="s">
        <v>298</v>
      </c>
      <c r="U747" s="163" t="s">
        <v>298</v>
      </c>
      <c r="V747" s="163" t="s">
        <v>905</v>
      </c>
      <c r="W747" s="14" t="str">
        <f>IF(IFERROR(VLOOKUP($M747,'IMPORT GS-Tür OL FL 2S2 20'!$H$2:$H$847,1,0),"-")="-","","GS")</f>
        <v/>
      </c>
      <c r="X747" s="14" t="str">
        <f t="shared" si="53"/>
        <v>&gt;&lt;</v>
      </c>
      <c r="Y747" s="163" t="s">
        <v>906</v>
      </c>
      <c r="Z747" s="58" t="str">
        <f>IF(OR($M747="",NOT($O747="{array}")),"",IFERROR(MATCH(PARAMETERS!$M747,DEFAULT!$B$5:$CI$5,0),""))</f>
        <v/>
      </c>
      <c r="AA747" s="55" t="str">
        <f t="shared" si="49"/>
        <v/>
      </c>
      <c r="AB747" s="62" t="str">
        <f>IF(AND(OR($A747="G",$A747="P"),NOT($O747="{array}")),IF(VLOOKUP($K747,base!$B$2:$D$20,3,0)="S",IF(OR($O747="",ISTEXT($O747)),"","STRING!"),IF(VLOOKUP($K747,base!$B$2:$D$20,3,0)="","",IF(ISTEXT($O747),"NUMERIC!",""))),"")</f>
        <v/>
      </c>
      <c r="AC747" s="16" t="str">
        <f>IF($AA747="","",IF($B747="I",VLOOKUP($AA747,#REF!,53,0),INDEX(VALUES!$B$1:$GP$1,1,$AA747)))</f>
        <v/>
      </c>
    </row>
    <row r="748" spans="1:29" hidden="1" outlineLevel="1">
      <c r="A748" s="21" t="s">
        <v>86</v>
      </c>
      <c r="B748" s="40" t="str">
        <f t="shared" si="51"/>
        <v/>
      </c>
      <c r="C748" s="41">
        <f t="shared" si="52"/>
        <v>747</v>
      </c>
      <c r="D748" s="260" t="s">
        <v>9</v>
      </c>
      <c r="E748" s="37"/>
      <c r="F748" s="305"/>
      <c r="G748" s="188"/>
      <c r="H748" s="37"/>
      <c r="I748" s="37" t="s">
        <v>9</v>
      </c>
      <c r="J748" s="37"/>
      <c r="K748" s="163" t="s">
        <v>20</v>
      </c>
      <c r="L748" s="164" t="s">
        <v>23</v>
      </c>
      <c r="M748" s="189" t="s">
        <v>3410</v>
      </c>
      <c r="N748" s="163" t="s">
        <v>907</v>
      </c>
      <c r="O748" s="163" t="s">
        <v>3849</v>
      </c>
      <c r="P748" s="157" t="s">
        <v>298</v>
      </c>
      <c r="Q748" s="168" t="s">
        <v>9</v>
      </c>
      <c r="R748" s="168" t="s">
        <v>105</v>
      </c>
      <c r="S748" s="168" t="s">
        <v>114</v>
      </c>
      <c r="T748" s="163" t="s">
        <v>298</v>
      </c>
      <c r="U748" s="163" t="s">
        <v>298</v>
      </c>
      <c r="V748" s="163" t="s">
        <v>907</v>
      </c>
      <c r="W748" s="14" t="str">
        <f>IF(IFERROR(VLOOKUP($M748,'IMPORT GS-Tür OL FL 2S2 20'!$H$2:$H$847,1,0),"-")="-","","GS")</f>
        <v/>
      </c>
      <c r="X748" s="14" t="str">
        <f t="shared" si="53"/>
        <v>Funier</v>
      </c>
      <c r="Y748" s="163" t="s">
        <v>908</v>
      </c>
      <c r="Z748" s="58" t="str">
        <f>IF(OR($M748="",NOT($O748="{array}")),"",IFERROR(MATCH(PARAMETERS!$M748,DEFAULT!$B$5:$CI$5,0),""))</f>
        <v/>
      </c>
      <c r="AA748" s="55" t="str">
        <f t="shared" si="49"/>
        <v/>
      </c>
      <c r="AB748" s="62" t="str">
        <f>IF(AND(OR($A748="G",$A748="P"),NOT($O748="{array}")),IF(VLOOKUP($K748,base!$B$2:$D$20,3,0)="S",IF(OR($O748="",ISTEXT($O748)),"","STRING!"),IF(VLOOKUP($K748,base!$B$2:$D$20,3,0)="","",IF(ISTEXT($O748),"NUMERIC!",""))),"")</f>
        <v/>
      </c>
      <c r="AC748" s="16" t="str">
        <f>IF($AA748="","",IF($B748="I",VLOOKUP($AA748,#REF!,53,0),INDEX(VALUES!$B$1:$GP$1,1,$AA748)))</f>
        <v/>
      </c>
    </row>
    <row r="749" spans="1:29" hidden="1" outlineLevel="1">
      <c r="A749" s="21" t="s">
        <v>86</v>
      </c>
      <c r="B749" s="40" t="str">
        <f t="shared" si="51"/>
        <v/>
      </c>
      <c r="C749" s="41">
        <f t="shared" si="52"/>
        <v>748</v>
      </c>
      <c r="D749" s="260" t="s">
        <v>9</v>
      </c>
      <c r="E749" s="37"/>
      <c r="F749" s="305"/>
      <c r="G749" s="188"/>
      <c r="H749" s="37"/>
      <c r="I749" s="37" t="s">
        <v>9</v>
      </c>
      <c r="J749" s="37"/>
      <c r="K749" s="163" t="s">
        <v>20</v>
      </c>
      <c r="L749" s="164" t="s">
        <v>23</v>
      </c>
      <c r="M749" s="189" t="s">
        <v>3411</v>
      </c>
      <c r="N749" s="163" t="s">
        <v>909</v>
      </c>
      <c r="O749" s="163" t="s">
        <v>3849</v>
      </c>
      <c r="P749" s="157" t="s">
        <v>298</v>
      </c>
      <c r="Q749" s="168" t="s">
        <v>9</v>
      </c>
      <c r="R749" s="168" t="s">
        <v>105</v>
      </c>
      <c r="S749" s="168" t="s">
        <v>114</v>
      </c>
      <c r="T749" s="163" t="s">
        <v>298</v>
      </c>
      <c r="U749" s="163" t="s">
        <v>298</v>
      </c>
      <c r="V749" s="163" t="s">
        <v>909</v>
      </c>
      <c r="W749" s="14" t="str">
        <f>IF(IFERROR(VLOOKUP($M749,'IMPORT GS-Tür OL FL 2S2 20'!$H$2:$H$847,1,0),"-")="-","","GS")</f>
        <v/>
      </c>
      <c r="X749" s="14" t="str">
        <f t="shared" si="53"/>
        <v>Anstrich</v>
      </c>
      <c r="Y749" s="163" t="s">
        <v>910</v>
      </c>
      <c r="Z749" s="58" t="str">
        <f>IF(OR($M749="",NOT($O749="{array}")),"",IFERROR(MATCH(PARAMETERS!$M749,DEFAULT!$B$5:$CI$5,0),""))</f>
        <v/>
      </c>
      <c r="AA749" s="55" t="str">
        <f t="shared" si="49"/>
        <v/>
      </c>
      <c r="AB749" s="62" t="str">
        <f>IF(AND(OR($A749="G",$A749="P"),NOT($O749="{array}")),IF(VLOOKUP($K749,base!$B$2:$D$20,3,0)="S",IF(OR($O749="",ISTEXT($O749)),"","STRING!"),IF(VLOOKUP($K749,base!$B$2:$D$20,3,0)="","",IF(ISTEXT($O749),"NUMERIC!",""))),"")</f>
        <v/>
      </c>
      <c r="AC749" s="16" t="str">
        <f>IF($AA749="","",IF($B749="I",VLOOKUP($AA749,#REF!,53,0),INDEX(VALUES!$B$1:$GP$1,1,$AA749)))</f>
        <v/>
      </c>
    </row>
    <row r="750" spans="1:29" hidden="1" outlineLevel="1">
      <c r="A750" s="21" t="s">
        <v>86</v>
      </c>
      <c r="B750" s="40" t="str">
        <f t="shared" si="51"/>
        <v/>
      </c>
      <c r="C750" s="41">
        <f t="shared" si="52"/>
        <v>749</v>
      </c>
      <c r="D750" s="260" t="s">
        <v>9</v>
      </c>
      <c r="E750" s="37"/>
      <c r="F750" s="305"/>
      <c r="G750" s="188"/>
      <c r="H750" s="37"/>
      <c r="I750" s="37" t="s">
        <v>9</v>
      </c>
      <c r="J750" s="37"/>
      <c r="K750" s="163" t="s">
        <v>20</v>
      </c>
      <c r="L750" s="164" t="s">
        <v>23</v>
      </c>
      <c r="M750" s="189" t="s">
        <v>3835</v>
      </c>
      <c r="N750" s="163" t="s">
        <v>3836</v>
      </c>
      <c r="O750" s="163" t="s">
        <v>3849</v>
      </c>
      <c r="P750" s="157" t="s">
        <v>298</v>
      </c>
      <c r="Q750" s="168" t="s">
        <v>9</v>
      </c>
      <c r="R750" s="168" t="s">
        <v>105</v>
      </c>
      <c r="S750" s="168" t="s">
        <v>114</v>
      </c>
      <c r="T750" s="163" t="s">
        <v>298</v>
      </c>
      <c r="U750" s="163" t="s">
        <v>298</v>
      </c>
      <c r="V750" s="163"/>
      <c r="W750" s="14"/>
      <c r="X750" s="14" t="str">
        <f t="shared" si="53"/>
        <v>&gt;&lt;</v>
      </c>
      <c r="Y750" s="163"/>
      <c r="Z750" s="58" t="str">
        <f>IF(OR($M750="",NOT($O750="{array}")),"",IFERROR(MATCH(PARAMETERS!$M750,DEFAULT!$B$5:$CI$5,0),""))</f>
        <v/>
      </c>
      <c r="AA750" s="55" t="str">
        <f t="shared" si="49"/>
        <v/>
      </c>
      <c r="AB750" s="62" t="str">
        <f>IF(AND(OR($A750="G",$A750="P"),NOT($O750="{array}")),IF(VLOOKUP($K750,base!$B$2:$D$20,3,0)="S",IF(OR($O750="",ISTEXT($O750)),"","STRING!"),IF(VLOOKUP($K750,base!$B$2:$D$20,3,0)="","",IF(ISTEXT($O750),"NUMERIC!",""))),"")</f>
        <v/>
      </c>
      <c r="AC750" s="16" t="str">
        <f>IF($AA750="","",IF($B750="I",VLOOKUP($AA750,#REF!,53,0),INDEX(VALUES!$B$1:$GP$1,1,$AA750)))</f>
        <v/>
      </c>
    </row>
    <row r="751" spans="1:29" s="276" customFormat="1" hidden="1" outlineLevel="1">
      <c r="A751" s="263"/>
      <c r="B751" s="264" t="str">
        <f t="shared" si="51"/>
        <v/>
      </c>
      <c r="C751" s="265">
        <f t="shared" si="52"/>
        <v>750</v>
      </c>
      <c r="D751" s="266"/>
      <c r="E751" s="266"/>
      <c r="F751" s="305"/>
      <c r="G751" s="188"/>
      <c r="H751" s="266"/>
      <c r="I751" s="266" t="s">
        <v>9</v>
      </c>
      <c r="J751" s="266"/>
      <c r="K751" s="278" t="s">
        <v>20</v>
      </c>
      <c r="L751" s="278" t="s">
        <v>23</v>
      </c>
      <c r="M751" s="278"/>
      <c r="N751" s="278" t="s">
        <v>911</v>
      </c>
      <c r="O751" s="278" t="s">
        <v>298</v>
      </c>
      <c r="P751" s="284" t="s">
        <v>298</v>
      </c>
      <c r="Q751" s="279" t="s">
        <v>9</v>
      </c>
      <c r="R751" s="279" t="s">
        <v>105</v>
      </c>
      <c r="S751" s="279" t="s">
        <v>114</v>
      </c>
      <c r="T751" s="278" t="s">
        <v>298</v>
      </c>
      <c r="U751" s="278" t="s">
        <v>298</v>
      </c>
      <c r="V751" s="278" t="s">
        <v>911</v>
      </c>
      <c r="W751" s="272" t="str">
        <f>IF(IFERROR(VLOOKUP($M751,'IMPORT GS-Tür OL FL 2S2 20'!$H$2:$H$847,1,0),"-")="-","","GS")</f>
        <v/>
      </c>
      <c r="X751" s="272" t="str">
        <f t="shared" si="53"/>
        <v/>
      </c>
      <c r="Y751" s="278" t="s">
        <v>912</v>
      </c>
      <c r="Z751" s="273" t="str">
        <f>IF(OR($M751="",NOT($O751="{array}")),"",IFERROR(MATCH(PARAMETERS!$M751,DEFAULT!$B$5:$CI$5,0),""))</f>
        <v/>
      </c>
      <c r="AA751" s="272" t="str">
        <f t="shared" si="49"/>
        <v/>
      </c>
      <c r="AB751" s="274" t="str">
        <f>IF(AND(OR($A751="G",$A751="P"),NOT($O751="{array}")),IF(VLOOKUP($K751,base!$B$2:$D$20,3,0)="S",IF(OR($O751="",ISTEXT($O751)),"","STRING!"),IF(VLOOKUP($K751,base!$B$2:$D$20,3,0)="","",IF(ISTEXT($O751),"NUMERIC!",""))),"")</f>
        <v/>
      </c>
      <c r="AC751" s="275" t="str">
        <f>IF($AA751="","",IF($B751="I",VLOOKUP($AA751,#REF!,53,0),INDEX(VALUES!$B$1:$GP$1,1,$AA751)))</f>
        <v/>
      </c>
    </row>
    <row r="752" spans="1:29" hidden="1" outlineLevel="1">
      <c r="A752" s="21" t="s">
        <v>86</v>
      </c>
      <c r="B752" s="40" t="str">
        <f t="shared" si="51"/>
        <v/>
      </c>
      <c r="C752" s="41">
        <f t="shared" si="52"/>
        <v>751</v>
      </c>
      <c r="D752" s="260"/>
      <c r="E752" s="37"/>
      <c r="F752" s="305"/>
      <c r="G752" s="188"/>
      <c r="H752" s="37"/>
      <c r="I752" s="37" t="s">
        <v>9</v>
      </c>
      <c r="J752" s="37"/>
      <c r="K752" s="163" t="s">
        <v>46</v>
      </c>
      <c r="L752" s="164" t="s">
        <v>23</v>
      </c>
      <c r="M752" s="156" t="s">
        <v>3973</v>
      </c>
      <c r="N752" s="163" t="s">
        <v>913</v>
      </c>
      <c r="O752" s="163">
        <v>0</v>
      </c>
      <c r="P752" s="157" t="s">
        <v>298</v>
      </c>
      <c r="Q752" s="168"/>
      <c r="R752" s="168" t="s">
        <v>105</v>
      </c>
      <c r="S752" s="168" t="s">
        <v>114</v>
      </c>
      <c r="T752" s="163" t="s">
        <v>298</v>
      </c>
      <c r="U752" s="163" t="s">
        <v>298</v>
      </c>
      <c r="V752" s="163" t="s">
        <v>913</v>
      </c>
      <c r="W752" s="14" t="str">
        <f>IF(IFERROR(VLOOKUP($M752,'IMPORT GS-Tür OL FL 2S2 20'!$H$2:$H$847,1,0),"-")="-","","GS")</f>
        <v/>
      </c>
      <c r="X752" s="14" t="str">
        <f t="shared" si="53"/>
        <v>&gt;&lt;</v>
      </c>
      <c r="Y752" s="163" t="s">
        <v>914</v>
      </c>
      <c r="Z752" s="58" t="str">
        <f>IF(OR($M752="",NOT($O752="{array}")),"",IFERROR(MATCH(PARAMETERS!$M752,DEFAULT!$B$5:$CI$5,0),""))</f>
        <v/>
      </c>
      <c r="AA752" s="55" t="str">
        <f t="shared" si="49"/>
        <v/>
      </c>
      <c r="AB752" s="62" t="str">
        <f>IF(AND(OR($A752="G",$A752="P"),NOT($O752="{array}")),IF(VLOOKUP($K752,base!$B$2:$D$20,3,0)="S",IF(OR($O752="",ISTEXT($O752)),"","STRING!"),IF(VLOOKUP($K752,base!$B$2:$D$20,3,0)="","",IF(ISTEXT($O752),"NUMERIC!",""))),"")</f>
        <v/>
      </c>
      <c r="AC752" s="16" t="str">
        <f>IF($AA752="","",IF($B752="I",VLOOKUP($AA752,#REF!,53,0),INDEX(VALUES!$B$1:$GP$1,1,$AA752)))</f>
        <v/>
      </c>
    </row>
    <row r="753" spans="1:29" s="276" customFormat="1" hidden="1" outlineLevel="1">
      <c r="A753" s="263"/>
      <c r="B753" s="264" t="str">
        <f t="shared" si="51"/>
        <v/>
      </c>
      <c r="C753" s="265">
        <f t="shared" si="52"/>
        <v>752</v>
      </c>
      <c r="D753" s="266"/>
      <c r="E753" s="266"/>
      <c r="F753" s="305"/>
      <c r="G753" s="188"/>
      <c r="H753" s="266"/>
      <c r="I753" s="266" t="s">
        <v>9</v>
      </c>
      <c r="J753" s="266"/>
      <c r="K753" s="278" t="s">
        <v>20</v>
      </c>
      <c r="L753" s="278" t="s">
        <v>23</v>
      </c>
      <c r="M753" s="278"/>
      <c r="N753" s="278" t="s">
        <v>915</v>
      </c>
      <c r="O753" s="278" t="s">
        <v>298</v>
      </c>
      <c r="P753" s="284" t="s">
        <v>298</v>
      </c>
      <c r="Q753" s="279" t="s">
        <v>9</v>
      </c>
      <c r="R753" s="279" t="s">
        <v>105</v>
      </c>
      <c r="S753" s="279" t="s">
        <v>114</v>
      </c>
      <c r="T753" s="278" t="s">
        <v>298</v>
      </c>
      <c r="U753" s="278" t="s">
        <v>298</v>
      </c>
      <c r="V753" s="278" t="s">
        <v>915</v>
      </c>
      <c r="W753" s="272" t="str">
        <f>IF(IFERROR(VLOOKUP($M753,'IMPORT GS-Tür OL FL 2S2 20'!$H$2:$H$847,1,0),"-")="-","","GS")</f>
        <v/>
      </c>
      <c r="X753" s="272" t="str">
        <f t="shared" si="53"/>
        <v/>
      </c>
      <c r="Y753" s="278" t="s">
        <v>4061</v>
      </c>
      <c r="Z753" s="273" t="str">
        <f>IF(OR($M753="",NOT($O753="{array}")),"",IFERROR(MATCH(PARAMETERS!$M753,DEFAULT!$B$5:$CI$5,0),""))</f>
        <v/>
      </c>
      <c r="AA753" s="272" t="str">
        <f t="shared" si="49"/>
        <v/>
      </c>
      <c r="AB753" s="274" t="str">
        <f>IF(AND(OR($A753="G",$A753="P"),NOT($O753="{array}")),IF(VLOOKUP($K753,base!$B$2:$D$20,3,0)="S",IF(OR($O753="",ISTEXT($O753)),"","STRING!"),IF(VLOOKUP($K753,base!$B$2:$D$20,3,0)="","",IF(ISTEXT($O753),"NUMERIC!",""))),"")</f>
        <v/>
      </c>
      <c r="AC753" s="275" t="str">
        <f>IF($AA753="","",IF($B753="I",VLOOKUP($AA753,#REF!,53,0),INDEX(VALUES!$B$1:$GP$1,1,$AA753)))</f>
        <v/>
      </c>
    </row>
    <row r="754" spans="1:29" hidden="1" outlineLevel="1">
      <c r="A754" s="21" t="s">
        <v>86</v>
      </c>
      <c r="B754" s="40" t="str">
        <f t="shared" si="51"/>
        <v/>
      </c>
      <c r="C754" s="41">
        <f t="shared" si="52"/>
        <v>753</v>
      </c>
      <c r="D754" s="260"/>
      <c r="E754" s="37"/>
      <c r="F754" s="305"/>
      <c r="G754" s="188"/>
      <c r="H754" s="37"/>
      <c r="I754" s="37" t="s">
        <v>9</v>
      </c>
      <c r="J754" s="37"/>
      <c r="K754" s="163" t="s">
        <v>20</v>
      </c>
      <c r="L754" s="164" t="s">
        <v>23</v>
      </c>
      <c r="M754" s="189" t="s">
        <v>3423</v>
      </c>
      <c r="N754" s="163" t="s">
        <v>3838</v>
      </c>
      <c r="O754" s="163" t="s">
        <v>3429</v>
      </c>
      <c r="P754" s="157" t="s">
        <v>298</v>
      </c>
      <c r="Q754" s="168" t="s">
        <v>9</v>
      </c>
      <c r="R754" s="168" t="s">
        <v>105</v>
      </c>
      <c r="S754" s="168" t="s">
        <v>114</v>
      </c>
      <c r="T754" s="163" t="s">
        <v>298</v>
      </c>
      <c r="U754" s="163" t="s">
        <v>298</v>
      </c>
      <c r="V754" s="163" t="s">
        <v>916</v>
      </c>
      <c r="W754" s="14" t="str">
        <f>IF(IFERROR(VLOOKUP($M754,'IMPORT GS-Tür OL FL 2S2 20'!$H$2:$H$847,1,0),"-")="-","","GS")</f>
        <v/>
      </c>
      <c r="X754" s="14" t="str">
        <f t="shared" si="53"/>
        <v>Lärche</v>
      </c>
      <c r="Y754" s="163" t="s">
        <v>298</v>
      </c>
      <c r="Z754" s="58" t="str">
        <f>IF(OR($M754="",NOT($O754="{array}")),"",IFERROR(MATCH(PARAMETERS!$M754,DEFAULT!$B$5:$CI$5,0),""))</f>
        <v/>
      </c>
      <c r="AA754" s="55" t="str">
        <f t="shared" si="49"/>
        <v/>
      </c>
      <c r="AB754" s="62" t="str">
        <f>IF(AND(OR($A754="G",$A754="P"),NOT($O754="{array}")),IF(VLOOKUP($K754,base!$B$2:$D$20,3,0)="S",IF(OR($O754="",ISTEXT($O754)),"","STRING!"),IF(VLOOKUP($K754,base!$B$2:$D$20,3,0)="","",IF(ISTEXT($O754),"NUMERIC!",""))),"")</f>
        <v/>
      </c>
      <c r="AC754" s="16" t="str">
        <f>IF($AA754="","",IF($B754="I",VLOOKUP($AA754,#REF!,53,0),INDEX(VALUES!$B$1:$GP$1,1,$AA754)))</f>
        <v/>
      </c>
    </row>
    <row r="755" spans="1:29" hidden="1" outlineLevel="1">
      <c r="A755" s="21" t="s">
        <v>86</v>
      </c>
      <c r="B755" s="40" t="str">
        <f t="shared" si="51"/>
        <v/>
      </c>
      <c r="C755" s="41">
        <f t="shared" si="52"/>
        <v>754</v>
      </c>
      <c r="D755" s="260"/>
      <c r="E755" s="37"/>
      <c r="F755" s="305"/>
      <c r="G755" s="188"/>
      <c r="H755" s="37"/>
      <c r="I755" s="37" t="s">
        <v>9</v>
      </c>
      <c r="J755" s="37"/>
      <c r="K755" s="156" t="s">
        <v>20</v>
      </c>
      <c r="L755" s="164" t="s">
        <v>23</v>
      </c>
      <c r="M755" s="189" t="s">
        <v>3424</v>
      </c>
      <c r="N755" s="156" t="s">
        <v>3839</v>
      </c>
      <c r="O755" s="156" t="s">
        <v>3429</v>
      </c>
      <c r="P755" s="172" t="s">
        <v>298</v>
      </c>
      <c r="Q755" s="174" t="s">
        <v>9</v>
      </c>
      <c r="R755" s="174" t="s">
        <v>105</v>
      </c>
      <c r="S755" s="174" t="s">
        <v>114</v>
      </c>
      <c r="T755" s="156" t="s">
        <v>298</v>
      </c>
      <c r="U755" s="156" t="s">
        <v>298</v>
      </c>
      <c r="V755" s="156" t="s">
        <v>917</v>
      </c>
      <c r="W755" s="14" t="str">
        <f>IF(IFERROR(VLOOKUP($M755,'IMPORT GS-Tür OL FL 2S2 20'!$H$2:$H$847,1,0),"-")="-","","GS")</f>
        <v/>
      </c>
      <c r="X755" s="14" t="str">
        <f t="shared" si="53"/>
        <v>...</v>
      </c>
      <c r="Y755" s="156" t="s">
        <v>298</v>
      </c>
      <c r="Z755" s="58" t="str">
        <f>IF(OR($M755="",NOT($O755="{array}")),"",IFERROR(MATCH(PARAMETERS!$M755,DEFAULT!$B$5:$CI$5,0),""))</f>
        <v/>
      </c>
      <c r="AA755" s="55" t="str">
        <f t="shared" si="49"/>
        <v/>
      </c>
      <c r="AB755" s="62" t="str">
        <f>IF(AND(OR($A755="G",$A755="P"),NOT($O755="{array}")),IF(VLOOKUP($K755,base!$B$2:$D$20,3,0)="S",IF(OR($O755="",ISTEXT($O755)),"","STRING!"),IF(VLOOKUP($K755,base!$B$2:$D$20,3,0)="","",IF(ISTEXT($O755),"NUMERIC!",""))),"")</f>
        <v/>
      </c>
      <c r="AC755" s="16" t="str">
        <f>IF($AA755="","",IF($B755="I",VLOOKUP($AA755,#REF!,53,0),INDEX(VALUES!$B$1:$GP$1,1,$AA755)))</f>
        <v/>
      </c>
    </row>
    <row r="756" spans="1:29" hidden="1" outlineLevel="1">
      <c r="A756" s="21" t="s">
        <v>86</v>
      </c>
      <c r="B756" s="40" t="str">
        <f t="shared" si="51"/>
        <v/>
      </c>
      <c r="C756" s="41">
        <f t="shared" si="52"/>
        <v>755</v>
      </c>
      <c r="D756" s="260" t="s">
        <v>9</v>
      </c>
      <c r="E756" s="37"/>
      <c r="F756" s="305"/>
      <c r="G756" s="188"/>
      <c r="H756" s="37"/>
      <c r="I756" s="37" t="s">
        <v>9</v>
      </c>
      <c r="J756" s="37"/>
      <c r="K756" s="156" t="s">
        <v>20</v>
      </c>
      <c r="L756" s="164" t="s">
        <v>23</v>
      </c>
      <c r="M756" s="189" t="s">
        <v>3837</v>
      </c>
      <c r="N756" s="156" t="s">
        <v>3840</v>
      </c>
      <c r="O756" s="156" t="s">
        <v>3429</v>
      </c>
      <c r="P756" s="172" t="s">
        <v>298</v>
      </c>
      <c r="Q756" s="174" t="s">
        <v>9</v>
      </c>
      <c r="R756" s="174" t="s">
        <v>105</v>
      </c>
      <c r="S756" s="174" t="s">
        <v>114</v>
      </c>
      <c r="T756" s="156" t="s">
        <v>298</v>
      </c>
      <c r="U756" s="156" t="s">
        <v>298</v>
      </c>
      <c r="V756" s="156"/>
      <c r="W756" s="14"/>
      <c r="Y756" s="156"/>
      <c r="Z756" s="58" t="str">
        <f>IF(OR($M756="",NOT($O756="{array}")),"",IFERROR(MATCH(PARAMETERS!$M756,DEFAULT!$B$5:$CI$5,0),""))</f>
        <v/>
      </c>
      <c r="AA756" s="55" t="str">
        <f t="shared" si="49"/>
        <v/>
      </c>
      <c r="AB756" s="62" t="str">
        <f>IF(AND(OR($A756="G",$A756="P"),NOT($O756="{array}")),IF(VLOOKUP($K756,base!$B$2:$D$20,3,0)="S",IF(OR($O756="",ISTEXT($O756)),"","STRING!"),IF(VLOOKUP($K756,base!$B$2:$D$20,3,0)="","",IF(ISTEXT($O756),"NUMERIC!",""))),"")</f>
        <v/>
      </c>
      <c r="AC756" s="16" t="str">
        <f>IF($AA756="","",IF($B756="I",VLOOKUP($AA756,#REF!,53,0),INDEX(VALUES!$B$1:$GP$1,1,$AA756)))</f>
        <v/>
      </c>
    </row>
    <row r="757" spans="1:29" s="276" customFormat="1" hidden="1" outlineLevel="1">
      <c r="A757" s="263"/>
      <c r="B757" s="264" t="str">
        <f t="shared" si="51"/>
        <v/>
      </c>
      <c r="C757" s="265">
        <f t="shared" si="52"/>
        <v>756</v>
      </c>
      <c r="D757" s="266"/>
      <c r="E757" s="266"/>
      <c r="F757" s="305"/>
      <c r="G757" s="188"/>
      <c r="H757" s="266"/>
      <c r="I757" s="266" t="s">
        <v>9</v>
      </c>
      <c r="J757" s="266"/>
      <c r="K757" s="278" t="s">
        <v>20</v>
      </c>
      <c r="L757" s="278" t="s">
        <v>23</v>
      </c>
      <c r="M757" s="283"/>
      <c r="N757" s="283" t="s">
        <v>918</v>
      </c>
      <c r="O757" s="278" t="s">
        <v>298</v>
      </c>
      <c r="P757" s="284" t="s">
        <v>298</v>
      </c>
      <c r="Q757" s="279" t="s">
        <v>9</v>
      </c>
      <c r="R757" s="279" t="s">
        <v>105</v>
      </c>
      <c r="S757" s="279" t="s">
        <v>114</v>
      </c>
      <c r="T757" s="278" t="s">
        <v>298</v>
      </c>
      <c r="U757" s="278" t="s">
        <v>298</v>
      </c>
      <c r="V757" s="278" t="s">
        <v>918</v>
      </c>
      <c r="W757" s="272" t="str">
        <f>IF(IFERROR(VLOOKUP($M757,'IMPORT GS-Tür OL FL 2S2 20'!$H$2:$H$847,1,0),"-")="-","","GS")</f>
        <v/>
      </c>
      <c r="X757" s="272" t="str">
        <f t="shared" si="53"/>
        <v/>
      </c>
      <c r="Y757" s="278" t="s">
        <v>919</v>
      </c>
      <c r="Z757" s="273" t="str">
        <f>IF(OR($M757="",NOT($O757="{array}")),"",IFERROR(MATCH(PARAMETERS!$M757,DEFAULT!$B$5:$CI$5,0),""))</f>
        <v/>
      </c>
      <c r="AA757" s="272" t="str">
        <f t="shared" si="49"/>
        <v/>
      </c>
      <c r="AB757" s="274" t="str">
        <f>IF(AND(OR($A757="G",$A757="P"),NOT($O757="{array}")),IF(VLOOKUP($K757,base!$B$2:$D$20,3,0)="S",IF(OR($O757="",ISTEXT($O757)),"","STRING!"),IF(VLOOKUP($K757,base!$B$2:$D$20,3,0)="","",IF(ISTEXT($O757),"NUMERIC!",""))),"")</f>
        <v/>
      </c>
      <c r="AC757" s="275" t="str">
        <f>IF($AA757="","",IF($B757="I",VLOOKUP($AA757,#REF!,53,0),INDEX(VALUES!$B$1:$GP$1,1,$AA757)))</f>
        <v/>
      </c>
    </row>
    <row r="758" spans="1:29" s="276" customFormat="1" hidden="1" outlineLevel="1">
      <c r="A758" s="263"/>
      <c r="B758" s="264" t="str">
        <f t="shared" si="51"/>
        <v/>
      </c>
      <c r="C758" s="265">
        <f t="shared" si="52"/>
        <v>757</v>
      </c>
      <c r="D758" s="266"/>
      <c r="E758" s="266"/>
      <c r="F758" s="305"/>
      <c r="G758" s="188"/>
      <c r="H758" s="266"/>
      <c r="I758" s="266" t="s">
        <v>9</v>
      </c>
      <c r="J758" s="266"/>
      <c r="K758" s="278" t="s">
        <v>20</v>
      </c>
      <c r="L758" s="278" t="s">
        <v>23</v>
      </c>
      <c r="M758" s="278"/>
      <c r="N758" s="278" t="s">
        <v>920</v>
      </c>
      <c r="O758" s="278" t="s">
        <v>298</v>
      </c>
      <c r="P758" s="284" t="s">
        <v>298</v>
      </c>
      <c r="Q758" s="279" t="s">
        <v>9</v>
      </c>
      <c r="R758" s="279" t="s">
        <v>105</v>
      </c>
      <c r="S758" s="279" t="s">
        <v>114</v>
      </c>
      <c r="T758" s="278" t="s">
        <v>298</v>
      </c>
      <c r="U758" s="278" t="s">
        <v>298</v>
      </c>
      <c r="V758" s="278" t="s">
        <v>920</v>
      </c>
      <c r="W758" s="272" t="str">
        <f>IF(IFERROR(VLOOKUP($M758,'IMPORT GS-Tür OL FL 2S2 20'!$H$2:$H$847,1,0),"-")="-","","GS")</f>
        <v/>
      </c>
      <c r="X758" s="272" t="str">
        <f t="shared" si="53"/>
        <v/>
      </c>
      <c r="Y758" s="278"/>
      <c r="Z758" s="273" t="str">
        <f>IF(OR($M758="",NOT($O758="{array}")),"",IFERROR(MATCH(PARAMETERS!$M758,DEFAULT!$B$5:$CI$5,0),""))</f>
        <v/>
      </c>
      <c r="AA758" s="272" t="str">
        <f t="shared" si="49"/>
        <v/>
      </c>
      <c r="AB758" s="274" t="str">
        <f>IF(AND(OR($A758="G",$A758="P"),NOT($O758="{array}")),IF(VLOOKUP($K758,base!$B$2:$D$20,3,0)="S",IF(OR($O758="",ISTEXT($O758)),"","STRING!"),IF(VLOOKUP($K758,base!$B$2:$D$20,3,0)="","",IF(ISTEXT($O758),"NUMERIC!",""))),"")</f>
        <v/>
      </c>
      <c r="AC758" s="275" t="str">
        <f>IF($AA758="","",IF($B758="I",VLOOKUP($AA758,#REF!,53,0),INDEX(VALUES!$B$1:$GP$1,1,$AA758)))</f>
        <v/>
      </c>
    </row>
    <row r="759" spans="1:29" s="276" customFormat="1" hidden="1" outlineLevel="1">
      <c r="A759" s="263"/>
      <c r="B759" s="264" t="str">
        <f t="shared" si="51"/>
        <v/>
      </c>
      <c r="C759" s="265">
        <f t="shared" si="52"/>
        <v>758</v>
      </c>
      <c r="D759" s="266"/>
      <c r="E759" s="266"/>
      <c r="F759" s="305"/>
      <c r="G759" s="188"/>
      <c r="H759" s="266"/>
      <c r="I759" s="266" t="s">
        <v>9</v>
      </c>
      <c r="J759" s="266"/>
      <c r="K759" s="278" t="s">
        <v>20</v>
      </c>
      <c r="L759" s="278" t="s">
        <v>23</v>
      </c>
      <c r="M759" s="278"/>
      <c r="N759" s="278" t="s">
        <v>921</v>
      </c>
      <c r="O759" s="278" t="s">
        <v>298</v>
      </c>
      <c r="P759" s="284" t="s">
        <v>298</v>
      </c>
      <c r="Q759" s="279" t="s">
        <v>9</v>
      </c>
      <c r="R759" s="279" t="s">
        <v>105</v>
      </c>
      <c r="S759" s="279" t="s">
        <v>114</v>
      </c>
      <c r="T759" s="278" t="s">
        <v>298</v>
      </c>
      <c r="U759" s="278" t="s">
        <v>298</v>
      </c>
      <c r="V759" s="278" t="s">
        <v>921</v>
      </c>
      <c r="W759" s="272" t="str">
        <f>IF(IFERROR(VLOOKUP($M759,'IMPORT GS-Tür OL FL 2S2 20'!$H$2:$H$847,1,0),"-")="-","","GS")</f>
        <v/>
      </c>
      <c r="X759" s="272" t="str">
        <f t="shared" si="53"/>
        <v/>
      </c>
      <c r="Y759" s="278"/>
      <c r="Z759" s="273" t="str">
        <f>IF(OR($M759="",NOT($O759="{array}")),"",IFERROR(MATCH(PARAMETERS!$M759,DEFAULT!$B$5:$CI$5,0),""))</f>
        <v/>
      </c>
      <c r="AA759" s="272" t="str">
        <f t="shared" si="49"/>
        <v/>
      </c>
      <c r="AB759" s="274" t="str">
        <f>IF(AND(OR($A759="G",$A759="P"),NOT($O759="{array}")),IF(VLOOKUP($K759,base!$B$2:$D$20,3,0)="S",IF(OR($O759="",ISTEXT($O759)),"","STRING!"),IF(VLOOKUP($K759,base!$B$2:$D$20,3,0)="","",IF(ISTEXT($O759),"NUMERIC!",""))),"")</f>
        <v/>
      </c>
      <c r="AC759" s="275" t="str">
        <f>IF($AA759="","",IF($B759="I",VLOOKUP($AA759,#REF!,53,0),INDEX(VALUES!$B$1:$GP$1,1,$AA759)))</f>
        <v/>
      </c>
    </row>
    <row r="760" spans="1:29" hidden="1" outlineLevel="1">
      <c r="A760" s="21" t="s">
        <v>86</v>
      </c>
      <c r="B760" s="40" t="str">
        <f>IF($A760="P",IF(NOT($Z760=""),"A",IF(NOT($AA760=""),"I","")),IF(NOT($AA760=""),IF($A760="G","V","X"),IF(NOT($Z760=""),"A","")))</f>
        <v/>
      </c>
      <c r="C760" s="41">
        <f t="shared" si="52"/>
        <v>759</v>
      </c>
      <c r="D760" s="260" t="s">
        <v>9</v>
      </c>
      <c r="E760" s="37"/>
      <c r="F760" s="305" t="s">
        <v>9</v>
      </c>
      <c r="G760" s="188"/>
      <c r="H760" s="37"/>
      <c r="I760" s="37" t="s">
        <v>9</v>
      </c>
      <c r="J760" s="37"/>
      <c r="K760" s="156" t="s">
        <v>46</v>
      </c>
      <c r="L760" s="52" t="s">
        <v>29</v>
      </c>
      <c r="M760" s="178" t="s">
        <v>3448</v>
      </c>
      <c r="N760" s="52" t="s">
        <v>3447</v>
      </c>
      <c r="O760" s="156">
        <v>0</v>
      </c>
      <c r="P760" s="52"/>
      <c r="Q760" s="188"/>
      <c r="R760" s="174" t="s">
        <v>105</v>
      </c>
      <c r="S760" s="174" t="s">
        <v>114</v>
      </c>
      <c r="T760" s="163"/>
      <c r="U760" s="163"/>
      <c r="V760" s="163"/>
      <c r="W760" s="14"/>
      <c r="X760" s="14">
        <f t="shared" si="53"/>
        <v>3</v>
      </c>
      <c r="Y760" s="163"/>
      <c r="Z760" s="58" t="str">
        <f>IF(OR($M760="",NOT($O760="{array}")),"",IFERROR(MATCH(PARAMETERS!$M760,DEFAULT!$B$5:$CI$5,0),""))</f>
        <v/>
      </c>
      <c r="AA760" s="55" t="str">
        <f t="shared" si="49"/>
        <v/>
      </c>
      <c r="AB760" s="62" t="str">
        <f>IF(AND(OR($A760="G",$A760="P"),NOT($O760="{array}")),IF(VLOOKUP($K760,base!$B$2:$D$20,3,0)="S",IF(OR($O760="",ISTEXT($O760)),"","STRING!"),IF(VLOOKUP($K760,base!$B$2:$D$20,3,0)="","",IF(ISTEXT($O760),"NUMERIC!",""))),"")</f>
        <v/>
      </c>
      <c r="AC760" s="16" t="str">
        <f>IF($AA760="","",IF($B760="I",VLOOKUP($AA760,#REF!,53,0),INDEX(VALUES!$B$1:$GP$1,1,$AA760)))</f>
        <v/>
      </c>
    </row>
    <row r="761" spans="1:29" hidden="1" outlineLevel="1">
      <c r="A761" s="21" t="s">
        <v>86</v>
      </c>
      <c r="B761" s="40" t="str">
        <f>IF($A761="P",IF(NOT($Z761=""),"A",IF(NOT($AA761=""),"I","")),IF(NOT($AA761=""),IF($A761="G","V","X"),IF(NOT($Z761=""),"A","")))</f>
        <v/>
      </c>
      <c r="C761" s="41">
        <f t="shared" si="52"/>
        <v>760</v>
      </c>
      <c r="D761" s="260" t="s">
        <v>9</v>
      </c>
      <c r="E761" s="37"/>
      <c r="F761" s="305" t="s">
        <v>9</v>
      </c>
      <c r="G761" s="188"/>
      <c r="H761" s="37"/>
      <c r="I761" s="37" t="s">
        <v>9</v>
      </c>
      <c r="J761" s="37"/>
      <c r="K761" s="52" t="s">
        <v>46</v>
      </c>
      <c r="L761" s="52" t="s">
        <v>29</v>
      </c>
      <c r="M761" s="178" t="s">
        <v>3449</v>
      </c>
      <c r="N761" s="52" t="s">
        <v>3446</v>
      </c>
      <c r="O761" s="156">
        <v>0</v>
      </c>
      <c r="P761" s="52"/>
      <c r="Q761" s="188"/>
      <c r="R761" s="174" t="s">
        <v>105</v>
      </c>
      <c r="S761" s="174" t="s">
        <v>114</v>
      </c>
      <c r="T761" s="163"/>
      <c r="U761" s="163"/>
      <c r="V761" s="163"/>
      <c r="W761" s="14"/>
      <c r="X761" s="14" t="str">
        <f t="shared" si="53"/>
        <v>...</v>
      </c>
      <c r="Y761" s="163"/>
      <c r="Z761" s="58" t="str">
        <f>IF(OR($M761="",NOT($O761="{array}")),"",IFERROR(MATCH(PARAMETERS!$M761,DEFAULT!$B$5:$CI$5,0),""))</f>
        <v/>
      </c>
      <c r="AA761" s="55" t="str">
        <f t="shared" si="49"/>
        <v/>
      </c>
      <c r="AB761" s="62" t="str">
        <f>IF(AND(OR($A761="G",$A761="P"),NOT($O761="{array}")),IF(VLOOKUP($K761,base!$B$2:$D$20,3,0)="S",IF(OR($O761="",ISTEXT($O761)),"","STRING!"),IF(VLOOKUP($K761,base!$B$2:$D$20,3,0)="","",IF(ISTEXT($O761),"NUMERIC!",""))),"")</f>
        <v/>
      </c>
      <c r="AC761" s="16" t="str">
        <f>IF($AA761="","",IF($B761="I",VLOOKUP($AA761,#REF!,53,0),INDEX(VALUES!$B$1:$GP$1,1,$AA761)))</f>
        <v/>
      </c>
    </row>
    <row r="762" spans="1:29" hidden="1" outlineLevel="1">
      <c r="A762" s="21" t="s">
        <v>86</v>
      </c>
      <c r="B762" s="40" t="str">
        <f t="shared" si="51"/>
        <v>A</v>
      </c>
      <c r="C762" s="41">
        <f t="shared" si="52"/>
        <v>761</v>
      </c>
      <c r="D762" s="260" t="s">
        <v>9</v>
      </c>
      <c r="E762" s="37"/>
      <c r="F762" s="305" t="s">
        <v>9</v>
      </c>
      <c r="G762" s="188" t="s">
        <v>9</v>
      </c>
      <c r="H762" s="37"/>
      <c r="I762" s="37" t="s">
        <v>9</v>
      </c>
      <c r="J762" s="37"/>
      <c r="K762" s="52" t="s">
        <v>46</v>
      </c>
      <c r="L762" s="52" t="s">
        <v>29</v>
      </c>
      <c r="M762" s="178" t="s">
        <v>3450</v>
      </c>
      <c r="N762" s="52" t="s">
        <v>3445</v>
      </c>
      <c r="O762" s="153" t="s">
        <v>35</v>
      </c>
      <c r="P762" s="52"/>
      <c r="Q762" s="188" t="s">
        <v>9</v>
      </c>
      <c r="R762" s="174" t="s">
        <v>105</v>
      </c>
      <c r="S762" s="174" t="s">
        <v>114</v>
      </c>
      <c r="T762" s="163"/>
      <c r="U762" s="163"/>
      <c r="V762" s="163"/>
      <c r="W762" s="14"/>
      <c r="X762" s="14" t="str">
        <f t="shared" si="53"/>
        <v>...</v>
      </c>
      <c r="Y762" s="163"/>
      <c r="Z762" s="58">
        <f>IF(OR($M762="",NOT($O762="{array}")),"",IFERROR(MATCH(PARAMETERS!$M762,DEFAULT!$B$5:$CI$5,0),""))</f>
        <v>42</v>
      </c>
      <c r="AA762" s="55" t="str">
        <f t="shared" si="49"/>
        <v/>
      </c>
      <c r="AB762" s="62" t="str">
        <f>IF(AND(OR($A762="G",$A762="P"),NOT($O762="{array}")),IF(VLOOKUP($K762,base!$B$2:$D$20,3,0)="S",IF(OR($O762="",ISTEXT($O762)),"","STRING!"),IF(VLOOKUP($K762,base!$B$2:$D$20,3,0)="","",IF(ISTEXT($O762),"NUMERIC!",""))),"")</f>
        <v/>
      </c>
      <c r="AC762" s="16" t="str">
        <f>IF($AA762="","",IF($B762="I",VLOOKUP($AA762,#REF!,53,0),INDEX(VALUES!$B$1:$GP$1,1,$AA762)))</f>
        <v/>
      </c>
    </row>
    <row r="763" spans="1:29" hidden="1" outlineLevel="1">
      <c r="A763" s="21" t="s">
        <v>86</v>
      </c>
      <c r="B763" s="40" t="str">
        <f t="shared" si="51"/>
        <v>A</v>
      </c>
      <c r="C763" s="41">
        <f t="shared" si="52"/>
        <v>762</v>
      </c>
      <c r="D763" s="260" t="s">
        <v>9</v>
      </c>
      <c r="E763" s="37"/>
      <c r="F763" s="305" t="s">
        <v>9</v>
      </c>
      <c r="G763" s="188" t="s">
        <v>9</v>
      </c>
      <c r="H763" s="37"/>
      <c r="I763" s="37" t="s">
        <v>9</v>
      </c>
      <c r="J763" s="37"/>
      <c r="K763" s="52" t="s">
        <v>46</v>
      </c>
      <c r="L763" s="52" t="s">
        <v>29</v>
      </c>
      <c r="M763" s="178" t="s">
        <v>3451</v>
      </c>
      <c r="N763" s="52" t="s">
        <v>3444</v>
      </c>
      <c r="O763" s="153" t="s">
        <v>35</v>
      </c>
      <c r="P763" s="52"/>
      <c r="Q763" s="188" t="s">
        <v>9</v>
      </c>
      <c r="R763" s="174" t="s">
        <v>105</v>
      </c>
      <c r="S763" s="174" t="s">
        <v>114</v>
      </c>
      <c r="T763" s="163"/>
      <c r="U763" s="163"/>
      <c r="V763" s="163"/>
      <c r="W763" s="14"/>
      <c r="X763" s="14" t="str">
        <f t="shared" si="53"/>
        <v>...</v>
      </c>
      <c r="Y763" s="163"/>
      <c r="Z763" s="58">
        <f>IF(OR($M763="",NOT($O763="{array}")),"",IFERROR(MATCH(PARAMETERS!$M763,DEFAULT!$B$5:$CI$5,0),""))</f>
        <v>44</v>
      </c>
      <c r="AA763" s="55" t="str">
        <f t="shared" si="49"/>
        <v/>
      </c>
      <c r="AB763" s="62" t="str">
        <f>IF(AND(OR($A763="G",$A763="P"),NOT($O763="{array}")),IF(VLOOKUP($K763,base!$B$2:$D$20,3,0)="S",IF(OR($O763="",ISTEXT($O763)),"","STRING!"),IF(VLOOKUP($K763,base!$B$2:$D$20,3,0)="","",IF(ISTEXT($O763),"NUMERIC!",""))),"")</f>
        <v/>
      </c>
      <c r="AC763" s="16" t="str">
        <f>IF($AA763="","",IF($B763="I",VLOOKUP($AA763,#REF!,53,0),INDEX(VALUES!$B$1:$GP$1,1,$AA763)))</f>
        <v/>
      </c>
    </row>
    <row r="764" spans="1:29" hidden="1" outlineLevel="1">
      <c r="A764" s="21" t="s">
        <v>86</v>
      </c>
      <c r="B764" s="40" t="str">
        <f t="shared" si="51"/>
        <v>A</v>
      </c>
      <c r="C764" s="41">
        <f t="shared" si="52"/>
        <v>763</v>
      </c>
      <c r="D764" s="260" t="s">
        <v>9</v>
      </c>
      <c r="E764" s="37"/>
      <c r="F764" s="305" t="s">
        <v>9</v>
      </c>
      <c r="G764" s="188" t="s">
        <v>9</v>
      </c>
      <c r="H764" s="37"/>
      <c r="I764" s="37" t="s">
        <v>9</v>
      </c>
      <c r="J764" s="37"/>
      <c r="K764" s="52" t="s">
        <v>20</v>
      </c>
      <c r="L764" s="52" t="s">
        <v>29</v>
      </c>
      <c r="M764" s="178" t="s">
        <v>3437</v>
      </c>
      <c r="N764" s="52" t="s">
        <v>3443</v>
      </c>
      <c r="O764" s="153" t="s">
        <v>35</v>
      </c>
      <c r="P764" s="52"/>
      <c r="Q764" s="188"/>
      <c r="R764" s="174" t="s">
        <v>105</v>
      </c>
      <c r="S764" s="174" t="s">
        <v>114</v>
      </c>
      <c r="T764" s="163"/>
      <c r="U764" s="163"/>
      <c r="V764" s="163"/>
      <c r="W764" s="14"/>
      <c r="X764" s="14" t="str">
        <f t="shared" si="53"/>
        <v>...</v>
      </c>
      <c r="Y764" s="163"/>
      <c r="Z764" s="58">
        <f>IF(OR($M764="",NOT($O764="{array}")),"",IFERROR(MATCH(PARAMETERS!$M764,DEFAULT!$B$5:$CI$5,0),""))</f>
        <v>49</v>
      </c>
      <c r="AA764" s="55" t="str">
        <f t="shared" si="49"/>
        <v/>
      </c>
      <c r="AB764" s="62" t="str">
        <f>IF(AND(OR($A764="G",$A764="P"),NOT($O764="{array}")),IF(VLOOKUP($K764,base!$B$2:$D$20,3,0)="S",IF(OR($O764="",ISTEXT($O764)),"","STRING!"),IF(VLOOKUP($K764,base!$B$2:$D$20,3,0)="","",IF(ISTEXT($O764),"NUMERIC!",""))),"")</f>
        <v/>
      </c>
      <c r="AC764" s="16" t="str">
        <f>IF($AA764="","",IF($B764="I",VLOOKUP($AA764,#REF!,53,0),INDEX(VALUES!$B$1:$GP$1,1,$AA764)))</f>
        <v/>
      </c>
    </row>
    <row r="765" spans="1:29" hidden="1" outlineLevel="1">
      <c r="A765" s="21" t="s">
        <v>86</v>
      </c>
      <c r="B765" s="40" t="str">
        <f>IF($A765="P",IF(NOT($Z765=""),"A",IF(NOT($AA765=""),"I","")),IF(NOT($AA765=""),IF($A765="G","V","X"),IF(NOT($Z765=""),"A","")))</f>
        <v/>
      </c>
      <c r="C765" s="41">
        <f t="shared" si="52"/>
        <v>764</v>
      </c>
      <c r="D765" s="260"/>
      <c r="E765" s="37"/>
      <c r="F765" s="305" t="s">
        <v>9</v>
      </c>
      <c r="G765" s="188" t="s">
        <v>9</v>
      </c>
      <c r="H765" s="37"/>
      <c r="I765" s="37" t="s">
        <v>9</v>
      </c>
      <c r="J765" s="37"/>
      <c r="K765" s="52" t="s">
        <v>46</v>
      </c>
      <c r="L765" s="52" t="s">
        <v>29</v>
      </c>
      <c r="M765" s="178" t="s">
        <v>3473</v>
      </c>
      <c r="N765" s="52" t="s">
        <v>3937</v>
      </c>
      <c r="O765" s="156">
        <v>0</v>
      </c>
      <c r="P765" s="52"/>
      <c r="Q765" s="188"/>
      <c r="R765" s="174" t="s">
        <v>105</v>
      </c>
      <c r="S765" s="174" t="s">
        <v>114</v>
      </c>
      <c r="T765" s="163"/>
      <c r="U765" s="163"/>
      <c r="V765" s="163"/>
      <c r="W765" s="14"/>
      <c r="X765" s="14" t="str">
        <f t="shared" si="53"/>
        <v>...</v>
      </c>
      <c r="Y765" s="163"/>
      <c r="Z765" s="58" t="str">
        <f>IF(OR($M765="",NOT($O765="{array}")),"",IFERROR(MATCH(PARAMETERS!$M765,DEFAULT!$B$5:$CI$5,0),""))</f>
        <v/>
      </c>
      <c r="AA765" s="55" t="str">
        <f t="shared" si="49"/>
        <v/>
      </c>
      <c r="AB765" s="62" t="str">
        <f>IF(AND(OR($A765="G",$A765="P"),NOT($O765="{array}")),IF(VLOOKUP($K765,base!$B$2:$D$20,3,0)="S",IF(OR($O765="",ISTEXT($O765)),"","STRING!"),IF(VLOOKUP($K765,base!$B$2:$D$20,3,0)="","",IF(ISTEXT($O765),"NUMERIC!",""))),"")</f>
        <v/>
      </c>
      <c r="AC765" s="16" t="str">
        <f>IF($AA765="","",IF($B765="I",VLOOKUP($AA765,#REF!,53,0),INDEX(VALUES!$B$1:$GP$1,1,$AA765)))</f>
        <v/>
      </c>
    </row>
    <row r="766" spans="1:29" hidden="1" outlineLevel="1">
      <c r="A766" s="21" t="s">
        <v>86</v>
      </c>
      <c r="B766" s="40" t="str">
        <f t="shared" ref="B766:B773" si="54">IF($A766="P",IF(NOT($Z766=""),"A",IF(NOT($AA766=""),"I","")),IF(NOT($AA766=""),IF($A766="G","V","X"),IF(NOT($Z766=""),"A","")))</f>
        <v/>
      </c>
      <c r="C766" s="41">
        <f t="shared" si="52"/>
        <v>765</v>
      </c>
      <c r="D766" s="260" t="s">
        <v>9</v>
      </c>
      <c r="E766" s="37"/>
      <c r="F766" s="305"/>
      <c r="G766" s="188"/>
      <c r="H766" s="37"/>
      <c r="I766" s="37" t="s">
        <v>9</v>
      </c>
      <c r="J766" s="37"/>
      <c r="K766" s="163" t="s">
        <v>20</v>
      </c>
      <c r="L766" s="164" t="s">
        <v>23</v>
      </c>
      <c r="M766" s="178" t="s">
        <v>3452</v>
      </c>
      <c r="N766" s="156" t="s">
        <v>3441</v>
      </c>
      <c r="O766" s="156" t="s">
        <v>3849</v>
      </c>
      <c r="P766" s="172" t="s">
        <v>298</v>
      </c>
      <c r="Q766" s="174" t="s">
        <v>9</v>
      </c>
      <c r="R766" s="174" t="s">
        <v>105</v>
      </c>
      <c r="S766" s="174" t="s">
        <v>114</v>
      </c>
      <c r="T766" s="156" t="s">
        <v>298</v>
      </c>
      <c r="U766" s="156" t="s">
        <v>298</v>
      </c>
      <c r="V766" s="163"/>
      <c r="W766" s="14"/>
      <c r="X766" s="14" t="str">
        <f t="shared" si="53"/>
        <v>Funier</v>
      </c>
      <c r="Y766" s="163"/>
      <c r="Z766" s="58" t="str">
        <f>IF(OR($M766="",NOT($O766="{array}")),"",IFERROR(MATCH(PARAMETERS!$M766,DEFAULT!$B$5:$CI$5,0),""))</f>
        <v/>
      </c>
      <c r="AA766" s="55" t="str">
        <f t="shared" si="49"/>
        <v/>
      </c>
      <c r="AB766" s="62" t="str">
        <f>IF(AND(OR($A766="G",$A766="P"),NOT($O766="{array}")),IF(VLOOKUP($K766,base!$B$2:$D$20,3,0)="S",IF(OR($O766="",ISTEXT($O766)),"","STRING!"),IF(VLOOKUP($K766,base!$B$2:$D$20,3,0)="","",IF(ISTEXT($O766),"NUMERIC!",""))),"")</f>
        <v/>
      </c>
      <c r="AC766" s="16" t="str">
        <f>IF($AA766="","",IF($B766="I",VLOOKUP($AA766,#REF!,53,0),INDEX(VALUES!$B$1:$GP$1,1,$AA766)))</f>
        <v/>
      </c>
    </row>
    <row r="767" spans="1:29" hidden="1" outlineLevel="1">
      <c r="A767" s="21" t="s">
        <v>86</v>
      </c>
      <c r="B767" s="40" t="str">
        <f t="shared" si="54"/>
        <v/>
      </c>
      <c r="C767" s="41">
        <f t="shared" si="52"/>
        <v>766</v>
      </c>
      <c r="D767" s="260" t="s">
        <v>9</v>
      </c>
      <c r="E767" s="37"/>
      <c r="F767" s="305"/>
      <c r="G767" s="188"/>
      <c r="H767" s="37"/>
      <c r="I767" s="37" t="s">
        <v>9</v>
      </c>
      <c r="J767" s="37"/>
      <c r="K767" s="163" t="s">
        <v>20</v>
      </c>
      <c r="L767" s="164" t="s">
        <v>23</v>
      </c>
      <c r="M767" s="178" t="s">
        <v>3453</v>
      </c>
      <c r="N767" s="156" t="s">
        <v>3442</v>
      </c>
      <c r="O767" s="156" t="s">
        <v>3849</v>
      </c>
      <c r="P767" s="172" t="s">
        <v>298</v>
      </c>
      <c r="Q767" s="174" t="s">
        <v>9</v>
      </c>
      <c r="R767" s="174" t="s">
        <v>105</v>
      </c>
      <c r="S767" s="174" t="s">
        <v>114</v>
      </c>
      <c r="T767" s="156" t="s">
        <v>298</v>
      </c>
      <c r="U767" s="156" t="s">
        <v>298</v>
      </c>
      <c r="V767" s="163"/>
      <c r="W767" s="14"/>
      <c r="X767" s="14" t="str">
        <f>IF($A767="G",IF(IFERROR(VLOOKUP($M767,Reimport,1,0),"-")="-","&gt;&lt;",IF($O768=VLOOKUP($M767,Reimport,2,0),"...",VLOOKUP($M767,Reimport,2,0))),"")</f>
        <v>Anstrich</v>
      </c>
      <c r="Y767" s="163"/>
      <c r="Z767" s="58" t="str">
        <f>IF(OR($M767="",NOT($O768="{array}")),"",IFERROR(MATCH(PARAMETERS!$M767,DEFAULT!$B$5:$CI$5,0),""))</f>
        <v/>
      </c>
      <c r="AA767" s="55" t="str">
        <f t="shared" si="49"/>
        <v/>
      </c>
      <c r="AB767" s="62" t="str">
        <f>IF(AND(OR($A767="G",$A767="P"),NOT($O768="{array}")),IF(VLOOKUP($K767,base!$B$2:$D$20,3,0)="S",IF(OR($O768="",ISTEXT($O768)),"","STRING!"),IF(VLOOKUP($K767,base!$B$2:$D$20,3,0)="","",IF(ISTEXT($O768),"NUMERIC!",""))),"")</f>
        <v/>
      </c>
      <c r="AC767" s="16" t="str">
        <f>IF($AA767="","",IF($B767="I",VLOOKUP($AA767,#REF!,53,0),INDEX(VALUES!$B$1:$GP$1,1,$AA767)))</f>
        <v/>
      </c>
    </row>
    <row r="768" spans="1:29" hidden="1" outlineLevel="1">
      <c r="A768" s="21" t="s">
        <v>86</v>
      </c>
      <c r="B768" s="40" t="e">
        <f t="shared" si="54"/>
        <v>#REF!</v>
      </c>
      <c r="C768" s="41">
        <f t="shared" si="52"/>
        <v>767</v>
      </c>
      <c r="D768" s="260" t="s">
        <v>9</v>
      </c>
      <c r="E768" s="37"/>
      <c r="F768" s="305"/>
      <c r="G768" s="188"/>
      <c r="H768" s="37"/>
      <c r="I768" s="37" t="s">
        <v>9</v>
      </c>
      <c r="J768" s="37"/>
      <c r="K768" s="163" t="s">
        <v>20</v>
      </c>
      <c r="L768" s="164" t="s">
        <v>23</v>
      </c>
      <c r="M768" s="178" t="s">
        <v>3841</v>
      </c>
      <c r="N768" s="156" t="s">
        <v>3842</v>
      </c>
      <c r="O768" s="156" t="s">
        <v>3849</v>
      </c>
      <c r="P768" s="172" t="s">
        <v>298</v>
      </c>
      <c r="Q768" s="174" t="s">
        <v>9</v>
      </c>
      <c r="R768" s="174" t="s">
        <v>105</v>
      </c>
      <c r="S768" s="174" t="s">
        <v>114</v>
      </c>
      <c r="T768" s="156" t="s">
        <v>298</v>
      </c>
      <c r="U768" s="156" t="s">
        <v>298</v>
      </c>
      <c r="V768" s="163"/>
      <c r="W768" s="14"/>
      <c r="X768" s="14" t="str">
        <f>IF($A768="G",IF(IFERROR(VLOOKUP($M768,Reimport,1,0),"-")="-","&gt;&lt;",IF(#REF!=VLOOKUP($M768,Reimport,2,0),"...",VLOOKUP($M768,Reimport,2,0))),"")</f>
        <v>&gt;&lt;</v>
      </c>
      <c r="Y768" s="163"/>
      <c r="Z768" s="58" t="e">
        <f>IF(OR($M768="",NOT(#REF!="{array}")),"",IFERROR(MATCH(PARAMETERS!$M768,DEFAULT!$B$5:$CI$5,0),""))</f>
        <v>#REF!</v>
      </c>
      <c r="AA768" s="55" t="str">
        <f t="shared" si="49"/>
        <v/>
      </c>
      <c r="AB768" s="62" t="e">
        <f>IF(AND(OR($A768="G",$A768="P"),NOT(#REF!="{array}")),IF(VLOOKUP($K768,base!$B$2:$D$20,3,0)="S",IF(OR(#REF!="",ISTEXT(#REF!)),"","STRING!"),IF(VLOOKUP($K768,base!$B$2:$D$20,3,0)="","",IF(ISTEXT(#REF!),"NUMERIC!",""))),"")</f>
        <v>#REF!</v>
      </c>
      <c r="AC768" s="16" t="str">
        <f>IF($AA768="","",IF($B768="I",VLOOKUP($AA768,#REF!,53,0),INDEX(VALUES!$B$1:$GP$1,1,$AA768)))</f>
        <v/>
      </c>
    </row>
    <row r="769" spans="1:29" hidden="1" outlineLevel="1">
      <c r="A769" s="21" t="s">
        <v>86</v>
      </c>
      <c r="B769" s="40" t="str">
        <f t="shared" si="54"/>
        <v/>
      </c>
      <c r="C769" s="41">
        <f t="shared" si="52"/>
        <v>768</v>
      </c>
      <c r="D769" s="260"/>
      <c r="E769" s="37"/>
      <c r="F769" s="305"/>
      <c r="G769" s="188"/>
      <c r="H769" s="37"/>
      <c r="I769" s="37" t="s">
        <v>9</v>
      </c>
      <c r="J769" s="37"/>
      <c r="K769" s="163" t="s">
        <v>20</v>
      </c>
      <c r="L769" s="164" t="s">
        <v>23</v>
      </c>
      <c r="M769" s="178" t="s">
        <v>3454</v>
      </c>
      <c r="N769" s="156" t="s">
        <v>3845</v>
      </c>
      <c r="O769" s="156" t="s">
        <v>3429</v>
      </c>
      <c r="P769" s="172" t="s">
        <v>298</v>
      </c>
      <c r="Q769" s="174" t="s">
        <v>9</v>
      </c>
      <c r="R769" s="174" t="s">
        <v>105</v>
      </c>
      <c r="S769" s="174" t="s">
        <v>114</v>
      </c>
      <c r="T769" s="156" t="s">
        <v>298</v>
      </c>
      <c r="U769" s="156" t="s">
        <v>298</v>
      </c>
      <c r="V769" s="163"/>
      <c r="W769" s="14"/>
      <c r="X769" s="14" t="str">
        <f t="shared" si="53"/>
        <v>Lärche</v>
      </c>
      <c r="Y769" s="163" t="s">
        <v>298</v>
      </c>
      <c r="Z769" s="58" t="str">
        <f>IF(OR($M769="",NOT($O769="{array}")),"",IFERROR(MATCH(PARAMETERS!$M769,DEFAULT!$B$5:$CI$5,0),""))</f>
        <v/>
      </c>
      <c r="AA769" s="55" t="str">
        <f t="shared" si="49"/>
        <v/>
      </c>
      <c r="AB769" s="62" t="str">
        <f>IF(AND(OR($A769="G",$A769="P"),NOT($O769="{array}")),IF(VLOOKUP($K769,base!$B$2:$D$20,3,0)="S",IF(OR($O769="",ISTEXT($O769)),"","STRING!"),IF(VLOOKUP($K769,base!$B$2:$D$20,3,0)="","",IF(ISTEXT($O769),"NUMERIC!",""))),"")</f>
        <v/>
      </c>
      <c r="AC769" s="16" t="str">
        <f>IF($AA769="","",IF($B769="I",VLOOKUP($AA769,#REF!,53,0),INDEX(VALUES!$B$1:$GP$1,1,$AA769)))</f>
        <v/>
      </c>
    </row>
    <row r="770" spans="1:29" hidden="1" outlineLevel="1">
      <c r="A770" s="21" t="s">
        <v>86</v>
      </c>
      <c r="B770" s="40" t="str">
        <f t="shared" si="54"/>
        <v/>
      </c>
      <c r="C770" s="41">
        <f t="shared" si="52"/>
        <v>769</v>
      </c>
      <c r="D770" s="260"/>
      <c r="E770" s="37"/>
      <c r="F770" s="305"/>
      <c r="G770" s="188"/>
      <c r="H770" s="37"/>
      <c r="I770" s="37" t="s">
        <v>9</v>
      </c>
      <c r="J770" s="37"/>
      <c r="K770" s="156" t="s">
        <v>20</v>
      </c>
      <c r="L770" s="164" t="s">
        <v>23</v>
      </c>
      <c r="M770" s="178" t="s">
        <v>3455</v>
      </c>
      <c r="N770" s="156" t="s">
        <v>3846</v>
      </c>
      <c r="O770" s="156" t="s">
        <v>3429</v>
      </c>
      <c r="P770" s="172" t="s">
        <v>298</v>
      </c>
      <c r="Q770" s="174" t="s">
        <v>9</v>
      </c>
      <c r="R770" s="174" t="s">
        <v>105</v>
      </c>
      <c r="S770" s="174" t="s">
        <v>114</v>
      </c>
      <c r="T770" s="156" t="s">
        <v>298</v>
      </c>
      <c r="U770" s="156" t="s">
        <v>298</v>
      </c>
      <c r="V770" s="156"/>
      <c r="W770" s="14" t="str">
        <f>IF(IFERROR(VLOOKUP($M770,'IMPORT GS-Tür OL FL 2S2 20'!$H$2:$H$847,1,0),"-")="-","","GS")</f>
        <v/>
      </c>
      <c r="X770" s="14" t="str">
        <f t="shared" si="53"/>
        <v>...</v>
      </c>
      <c r="Y770" s="156" t="s">
        <v>298</v>
      </c>
      <c r="Z770" s="58" t="str">
        <f>IF(OR($M770="",NOT($O770="{array}")),"",IFERROR(MATCH(PARAMETERS!$M770,DEFAULT!$B$5:$CI$5,0),""))</f>
        <v/>
      </c>
      <c r="AA770" s="55" t="str">
        <f t="shared" si="49"/>
        <v/>
      </c>
      <c r="AB770" s="62" t="str">
        <f>IF(AND(OR($A770="G",$A770="P"),NOT($O770="{array}")),IF(VLOOKUP($K770,base!$B$2:$D$20,3,0)="S",IF(OR($O770="",ISTEXT($O770)),"","STRING!"),IF(VLOOKUP($K770,base!$B$2:$D$20,3,0)="","",IF(ISTEXT($O770),"NUMERIC!",""))),"")</f>
        <v/>
      </c>
      <c r="AC770" s="16" t="str">
        <f>IF($AA770="","",IF($B770="I",VLOOKUP($AA770,#REF!,53,0),INDEX(VALUES!$B$1:$GP$1,1,$AA770)))</f>
        <v/>
      </c>
    </row>
    <row r="771" spans="1:29" hidden="1" outlineLevel="1">
      <c r="A771" s="21" t="s">
        <v>86</v>
      </c>
      <c r="B771" s="40" t="str">
        <f t="shared" si="54"/>
        <v/>
      </c>
      <c r="C771" s="41">
        <f t="shared" si="52"/>
        <v>770</v>
      </c>
      <c r="D771" s="260" t="s">
        <v>9</v>
      </c>
      <c r="E771" s="37"/>
      <c r="F771" s="305"/>
      <c r="G771" s="188"/>
      <c r="H771" s="37"/>
      <c r="I771" s="37" t="s">
        <v>9</v>
      </c>
      <c r="J771" s="37"/>
      <c r="K771" s="156" t="s">
        <v>20</v>
      </c>
      <c r="L771" s="164" t="s">
        <v>23</v>
      </c>
      <c r="M771" s="178" t="s">
        <v>3843</v>
      </c>
      <c r="N771" s="156" t="s">
        <v>3844</v>
      </c>
      <c r="O771" s="156" t="s">
        <v>3429</v>
      </c>
      <c r="P771" s="172" t="s">
        <v>298</v>
      </c>
      <c r="Q771" s="174" t="s">
        <v>9</v>
      </c>
      <c r="R771" s="174" t="s">
        <v>105</v>
      </c>
      <c r="S771" s="174" t="s">
        <v>114</v>
      </c>
      <c r="T771" s="156" t="s">
        <v>298</v>
      </c>
      <c r="U771" s="156" t="s">
        <v>298</v>
      </c>
      <c r="V771" s="156"/>
      <c r="W771" s="14" t="str">
        <f>IF(IFERROR(VLOOKUP($M771,'IMPORT GS-Tür OL FL 2S2 20'!$H$2:$H$847,1,0),"-")="-","","GS")</f>
        <v/>
      </c>
      <c r="X771" s="14" t="str">
        <f t="shared" si="53"/>
        <v>&gt;&lt;</v>
      </c>
      <c r="Y771" s="156" t="s">
        <v>298</v>
      </c>
      <c r="Z771" s="58" t="str">
        <f>IF(OR($M771="",NOT($O771="{array}")),"",IFERROR(MATCH(PARAMETERS!$M771,DEFAULT!$B$5:$CI$5,0),""))</f>
        <v/>
      </c>
      <c r="AA771" s="55" t="str">
        <f t="shared" si="49"/>
        <v/>
      </c>
      <c r="AB771" s="62" t="str">
        <f>IF(AND(OR($A771="G",$A771="P"),NOT($O771="{array}")),IF(VLOOKUP($K771,base!$B$2:$D$20,3,0)="S",IF(OR($O771="",ISTEXT($O771)),"","STRING!"),IF(VLOOKUP($K771,base!$B$2:$D$20,3,0)="","",IF(ISTEXT($O771),"NUMERIC!",""))),"")</f>
        <v/>
      </c>
      <c r="AC771" s="16" t="str">
        <f>IF($AA771="","",IF($B771="I",VLOOKUP($AA771,#REF!,53,0),INDEX(VALUES!$B$1:$GP$1,1,$AA771)))</f>
        <v/>
      </c>
    </row>
    <row r="772" spans="1:29" hidden="1" outlineLevel="1">
      <c r="A772" s="21" t="s">
        <v>86</v>
      </c>
      <c r="B772" s="40" t="str">
        <f t="shared" si="54"/>
        <v/>
      </c>
      <c r="C772" s="41">
        <f t="shared" si="52"/>
        <v>771</v>
      </c>
      <c r="D772" s="260" t="s">
        <v>9</v>
      </c>
      <c r="E772" s="37"/>
      <c r="F772" s="305"/>
      <c r="G772" s="188"/>
      <c r="H772" s="37"/>
      <c r="I772" s="37" t="s">
        <v>9</v>
      </c>
      <c r="J772" s="37"/>
      <c r="K772" s="244" t="s">
        <v>38</v>
      </c>
      <c r="L772" s="247" t="s">
        <v>23</v>
      </c>
      <c r="M772" s="212" t="s">
        <v>3740</v>
      </c>
      <c r="N772" s="244" t="s">
        <v>3741</v>
      </c>
      <c r="O772" s="156">
        <v>0</v>
      </c>
      <c r="P772" s="172"/>
      <c r="Q772" s="174" t="s">
        <v>9</v>
      </c>
      <c r="R772" s="174" t="s">
        <v>105</v>
      </c>
      <c r="S772" s="174" t="s">
        <v>114</v>
      </c>
      <c r="T772" s="156" t="s">
        <v>298</v>
      </c>
      <c r="U772" s="156" t="s">
        <v>298</v>
      </c>
      <c r="V772" s="156"/>
      <c r="W772" s="14" t="str">
        <f>IF(IFERROR(VLOOKUP($M772,'IMPORT GS-Tür OL FL 2S2 20'!$H$2:$H$847,1,0),"-")="-","","GS")</f>
        <v/>
      </c>
      <c r="X772" s="14" t="str">
        <f t="shared" si="53"/>
        <v>&gt;&lt;</v>
      </c>
      <c r="Y772" s="156" t="s">
        <v>298</v>
      </c>
      <c r="Z772" s="58" t="str">
        <f>IF(OR($M772="",NOT($O772="{array}")),"",IFERROR(MATCH(PARAMETERS!$M772,DEFAULT!$B$5:$CI$5,0),""))</f>
        <v/>
      </c>
      <c r="AA772" s="55" t="str">
        <f t="shared" si="49"/>
        <v/>
      </c>
      <c r="AB772" s="62" t="str">
        <f>IF(AND(OR($A772="G",$A772="P"),NOT($O772="{array}")),IF(VLOOKUP($K772,base!$B$2:$D$20,3,0)="S",IF(OR($O772="",ISTEXT($O772)),"","STRING!"),IF(VLOOKUP($K772,base!$B$2:$D$20,3,0)="","",IF(ISTEXT($O772),"NUMERIC!",""))),"")</f>
        <v/>
      </c>
      <c r="AC772" s="16" t="str">
        <f>IF($AA772="","",IF($B772="I",VLOOKUP($AA772,#REF!,53,0),INDEX(VALUES!$B$1:$GP$1,1,$AA772)))</f>
        <v/>
      </c>
    </row>
    <row r="773" spans="1:29" hidden="1" outlineLevel="1">
      <c r="A773" s="21" t="s">
        <v>86</v>
      </c>
      <c r="B773" s="40" t="str">
        <f t="shared" si="54"/>
        <v/>
      </c>
      <c r="C773" s="41">
        <f t="shared" si="52"/>
        <v>772</v>
      </c>
      <c r="D773" s="260" t="s">
        <v>9</v>
      </c>
      <c r="E773" s="37"/>
      <c r="F773" s="305"/>
      <c r="G773" s="188"/>
      <c r="H773" s="37"/>
      <c r="I773" s="37" t="s">
        <v>9</v>
      </c>
      <c r="J773" s="37"/>
      <c r="K773" s="244" t="s">
        <v>38</v>
      </c>
      <c r="L773" s="247" t="s">
        <v>23</v>
      </c>
      <c r="M773" s="212" t="s">
        <v>3742</v>
      </c>
      <c r="N773" s="244" t="s">
        <v>3743</v>
      </c>
      <c r="O773" s="156">
        <v>0</v>
      </c>
      <c r="P773" s="172"/>
      <c r="Q773" s="174" t="s">
        <v>9</v>
      </c>
      <c r="R773" s="174" t="s">
        <v>105</v>
      </c>
      <c r="S773" s="174" t="s">
        <v>114</v>
      </c>
      <c r="T773" s="156" t="s">
        <v>298</v>
      </c>
      <c r="U773" s="156" t="s">
        <v>298</v>
      </c>
      <c r="V773" s="156"/>
      <c r="W773" s="14" t="str">
        <f>IF(IFERROR(VLOOKUP($M773,'IMPORT GS-Tür OL FL 2S2 20'!$H$2:$H$847,1,0),"-")="-","","GS")</f>
        <v/>
      </c>
      <c r="X773" s="14" t="str">
        <f t="shared" si="53"/>
        <v>&gt;&lt;</v>
      </c>
      <c r="Y773" s="156" t="s">
        <v>298</v>
      </c>
      <c r="Z773" s="58" t="str">
        <f>IF(OR($M773="",NOT($O773="{array}")),"",IFERROR(MATCH(PARAMETERS!$M773,DEFAULT!$B$5:$CI$5,0),""))</f>
        <v/>
      </c>
      <c r="AA773" s="55" t="str">
        <f t="shared" si="49"/>
        <v/>
      </c>
      <c r="AB773" s="62" t="str">
        <f>IF(AND(OR($A773="G",$A773="P"),NOT($O773="{array}")),IF(VLOOKUP($K773,base!$B$2:$D$20,3,0)="S",IF(OR($O773="",ISTEXT($O773)),"","STRING!"),IF(VLOOKUP($K773,base!$B$2:$D$20,3,0)="","",IF(ISTEXT($O773),"NUMERIC!",""))),"")</f>
        <v/>
      </c>
      <c r="AC773" s="16" t="str">
        <f>IF($AA773="","",IF($B773="I",VLOOKUP($AA773,#REF!,53,0),INDEX(VALUES!$B$1:$GP$1,1,$AA773)))</f>
        <v/>
      </c>
    </row>
    <row r="774" spans="1:29" collapsed="1">
      <c r="A774" s="21" t="s">
        <v>86</v>
      </c>
      <c r="B774" s="40" t="str">
        <f t="shared" si="51"/>
        <v/>
      </c>
      <c r="C774" s="41">
        <f t="shared" si="52"/>
        <v>773</v>
      </c>
      <c r="D774" s="260"/>
      <c r="E774" s="37"/>
      <c r="F774" s="305"/>
      <c r="G774" s="188"/>
      <c r="H774" s="37"/>
      <c r="I774" s="37"/>
      <c r="J774" s="37"/>
      <c r="K774" s="230" t="s">
        <v>59</v>
      </c>
      <c r="L774" s="230" t="s">
        <v>40</v>
      </c>
      <c r="M774" s="238" t="s">
        <v>931</v>
      </c>
      <c r="N774" s="232" t="s">
        <v>3412</v>
      </c>
      <c r="R774" s="37" t="s">
        <v>106</v>
      </c>
      <c r="S774" s="37"/>
      <c r="T774" s="37"/>
      <c r="W774" s="14" t="str">
        <f>IF(IFERROR(VLOOKUP($M774,'IMPORT GS-Tür OL FL 2S2 20'!$H$2:$H$847,1,0),"-")="-","","GS")</f>
        <v/>
      </c>
      <c r="X774" s="14" t="str">
        <f t="shared" si="53"/>
        <v>...</v>
      </c>
      <c r="Z774" s="58" t="str">
        <f>IF(OR($M774="",NOT($O774="{array}")),"",IFERROR(MATCH(PARAMETERS!$M774,DEFAULT!$B$5:$CI$5,0),""))</f>
        <v/>
      </c>
      <c r="AA774" s="55" t="str">
        <f t="shared" si="49"/>
        <v/>
      </c>
      <c r="AB774" s="62" t="str">
        <f>IF(AND(OR($A774="G",$A774="P"),NOT($O774="{array}")),IF(VLOOKUP($K774,base!$B$2:$D$20,3,0)="S",IF(OR($O774="",ISTEXT($O774)),"","STRING!"),IF(VLOOKUP($K774,base!$B$2:$D$20,3,0)="","",IF(ISTEXT($O774),"NUMERIC!",""))),"")</f>
        <v/>
      </c>
      <c r="AC774" s="16" t="str">
        <f>IF($AA774="","",IF($B774="I",VLOOKUP($AA774,#REF!,53,0),INDEX(VALUES!$B$1:$GP$1,1,$AA774)))</f>
        <v/>
      </c>
    </row>
    <row r="775" spans="1:29" hidden="1" outlineLevel="1">
      <c r="A775" s="21" t="s">
        <v>86</v>
      </c>
      <c r="B775" s="40" t="str">
        <f>IF($A775="P",IF(NOT($Z775=""),"A",IF(NOT($AA775=""),"I","")),IF(NOT($AA775=""),IF($A775="G","V","X"),IF(NOT($Z775=""),"A","")))</f>
        <v/>
      </c>
      <c r="C775" s="41">
        <f t="shared" si="52"/>
        <v>774</v>
      </c>
      <c r="D775" s="260"/>
      <c r="E775" s="37"/>
      <c r="F775" s="305" t="s">
        <v>9</v>
      </c>
      <c r="G775" s="188"/>
      <c r="H775" s="37"/>
      <c r="I775" s="37"/>
      <c r="J775" s="37"/>
      <c r="K775" s="213" t="s">
        <v>59</v>
      </c>
      <c r="L775" s="213" t="s">
        <v>40</v>
      </c>
      <c r="M775" s="236" t="s">
        <v>983</v>
      </c>
      <c r="N775" s="237" t="s">
        <v>984</v>
      </c>
      <c r="R775" s="37" t="s">
        <v>106</v>
      </c>
      <c r="S775" s="37"/>
      <c r="T775" s="37"/>
      <c r="W775" s="14" t="str">
        <f>IF(IFERROR(VLOOKUP($M775,'IMPORT GS-Tür OL FL 2S2 20'!$H$2:$H$847,1,0),"-")="-","","GS")</f>
        <v/>
      </c>
      <c r="X775" s="14" t="str">
        <f>IF($A775="G",IF(IFERROR(VLOOKUP($M775,Reimport,1,0),"-")="-","&gt;&lt;",IF($O775=VLOOKUP($M775,Reimport,2,0),"...",VLOOKUP($M775,Reimport,2,0))),"")</f>
        <v>...</v>
      </c>
      <c r="Z775" s="58" t="str">
        <f>IF(OR($M775="",NOT($O775="{array}")),"",IFERROR(MATCH(PARAMETERS!$M775,DEFAULT!$B$5:$CI$5,0),""))</f>
        <v/>
      </c>
      <c r="AA775" s="55" t="str">
        <f>IF($M775="","",IFERROR(MATCH($M775,VALUESnames,0),""))</f>
        <v/>
      </c>
      <c r="AB775" s="62" t="str">
        <f>IF(AND(OR($A775="G",$A775="P"),NOT($O775="{array}")),IF(VLOOKUP($K775,base!$B$2:$D$20,3,0)="S",IF(OR($O775="",ISTEXT($O775)),"","STRING!"),IF(VLOOKUP($K775,base!$B$2:$D$20,3,0)="","",IF(ISTEXT($O775),"NUMERIC!",""))),"")</f>
        <v/>
      </c>
      <c r="AC775" s="16" t="str">
        <f>IF($AA775="","",IF($B775="I",VLOOKUP($AA775,#REF!,53,0),INDEX(VALUES!$B$1:$GP$1,1,$AA775)))</f>
        <v/>
      </c>
    </row>
    <row r="776" spans="1:29" hidden="1" outlineLevel="1">
      <c r="A776" s="21"/>
      <c r="B776" s="40" t="str">
        <f t="shared" si="51"/>
        <v/>
      </c>
      <c r="C776" s="41">
        <f t="shared" si="52"/>
        <v>775</v>
      </c>
      <c r="D776" s="260"/>
      <c r="E776" s="37"/>
      <c r="F776" s="305"/>
      <c r="G776" s="188"/>
      <c r="H776" s="37"/>
      <c r="I776" s="37" t="s">
        <v>9</v>
      </c>
      <c r="J776" s="37"/>
      <c r="K776" s="13" t="s">
        <v>49</v>
      </c>
      <c r="L776" s="13" t="s">
        <v>29</v>
      </c>
      <c r="M776" s="235" t="s">
        <v>885</v>
      </c>
      <c r="N776" s="13" t="s">
        <v>886</v>
      </c>
      <c r="O776" s="42">
        <v>0</v>
      </c>
      <c r="R776" s="37" t="s">
        <v>106</v>
      </c>
      <c r="S776" s="37"/>
      <c r="T776" s="37"/>
      <c r="W776" s="14" t="str">
        <f>IF(IFERROR(VLOOKUP($M776,'IMPORT GS-Tür OL FL 2S2 20'!$H$2:$H$847,1,0),"-")="-","","GS")</f>
        <v>GS</v>
      </c>
      <c r="X776" s="14" t="str">
        <f t="shared" si="53"/>
        <v/>
      </c>
      <c r="Z776" s="58" t="str">
        <f>IF(OR($M776="",NOT($O776="{array}")),"",IFERROR(MATCH(PARAMETERS!$M776,DEFAULT!$B$5:$CI$5,0),""))</f>
        <v/>
      </c>
      <c r="AA776" s="55" t="str">
        <f t="shared" si="49"/>
        <v/>
      </c>
      <c r="AB776" s="62" t="str">
        <f>IF(AND(OR($A776="G",$A776="P"),NOT($O776="{array}")),IF(VLOOKUP($K776,base!$B$2:$D$20,3,0)="S",IF(OR($O776="",ISTEXT($O776)),"","STRING!"),IF(VLOOKUP($K776,base!$B$2:$D$20,3,0)="","",IF(ISTEXT($O776),"NUMERIC!",""))),"")</f>
        <v/>
      </c>
      <c r="AC776" s="16" t="str">
        <f>IF($AA776="","",IF($B776="I",VLOOKUP($AA776,#REF!,53,0),INDEX(VALUES!$B$1:$GP$1,1,$AA776)))</f>
        <v/>
      </c>
    </row>
    <row r="777" spans="1:29" hidden="1" outlineLevel="1">
      <c r="A777" s="21"/>
      <c r="B777" s="40" t="str">
        <f t="shared" si="51"/>
        <v/>
      </c>
      <c r="C777" s="41">
        <f t="shared" si="52"/>
        <v>776</v>
      </c>
      <c r="D777" s="260"/>
      <c r="E777" s="37"/>
      <c r="F777" s="305"/>
      <c r="G777" s="188"/>
      <c r="H777" s="37"/>
      <c r="I777" s="37" t="s">
        <v>9</v>
      </c>
      <c r="J777" s="37"/>
      <c r="K777" s="13" t="s">
        <v>49</v>
      </c>
      <c r="L777" s="13" t="s">
        <v>29</v>
      </c>
      <c r="M777" s="235" t="s">
        <v>887</v>
      </c>
      <c r="N777" s="13" t="s">
        <v>888</v>
      </c>
      <c r="O777" s="42">
        <v>0</v>
      </c>
      <c r="R777" s="37" t="s">
        <v>106</v>
      </c>
      <c r="S777" s="37"/>
      <c r="T777" s="37"/>
      <c r="W777" s="14" t="str">
        <f>IF(IFERROR(VLOOKUP($M777,'IMPORT GS-Tür OL FL 2S2 20'!$H$2:$H$847,1,0),"-")="-","","GS")</f>
        <v>GS</v>
      </c>
      <c r="X777" s="14" t="str">
        <f t="shared" si="53"/>
        <v/>
      </c>
      <c r="Z777" s="58" t="str">
        <f>IF(OR($M777="",NOT($O777="{array}")),"",IFERROR(MATCH(PARAMETERS!$M777,DEFAULT!$B$5:$CI$5,0),""))</f>
        <v/>
      </c>
      <c r="AA777" s="55" t="str">
        <f t="shared" si="49"/>
        <v/>
      </c>
      <c r="AB777" s="62" t="str">
        <f>IF(AND(OR($A777="G",$A777="P"),NOT($O777="{array}")),IF(VLOOKUP($K777,base!$B$2:$D$20,3,0)="S",IF(OR($O777="",ISTEXT($O777)),"","STRING!"),IF(VLOOKUP($K777,base!$B$2:$D$20,3,0)="","",IF(ISTEXT($O777),"NUMERIC!",""))),"")</f>
        <v/>
      </c>
      <c r="AC777" s="16" t="str">
        <f>IF($AA777="","",IF($B777="I",VLOOKUP($AA777,#REF!,53,0),INDEX(VALUES!$B$1:$GP$1,1,$AA777)))</f>
        <v/>
      </c>
    </row>
    <row r="778" spans="1:29" hidden="1" outlineLevel="1">
      <c r="A778" s="21" t="s">
        <v>86</v>
      </c>
      <c r="B778" s="40" t="str">
        <f t="shared" si="51"/>
        <v/>
      </c>
      <c r="C778" s="41">
        <f t="shared" si="52"/>
        <v>777</v>
      </c>
      <c r="D778" s="260" t="s">
        <v>9</v>
      </c>
      <c r="E778" s="37"/>
      <c r="F778" s="305"/>
      <c r="G778" s="188" t="s">
        <v>9</v>
      </c>
      <c r="H778" s="37"/>
      <c r="I778" s="37" t="s">
        <v>9</v>
      </c>
      <c r="J778" s="37"/>
      <c r="K778" s="13" t="s">
        <v>49</v>
      </c>
      <c r="L778" s="13" t="s">
        <v>29</v>
      </c>
      <c r="M778" s="19" t="s">
        <v>892</v>
      </c>
      <c r="N778" s="13" t="s">
        <v>893</v>
      </c>
      <c r="O778" s="42">
        <v>0</v>
      </c>
      <c r="Q778" s="37" t="s">
        <v>9</v>
      </c>
      <c r="R778" s="37" t="s">
        <v>106</v>
      </c>
      <c r="S778" s="37"/>
      <c r="T778" s="37"/>
      <c r="W778" s="14" t="str">
        <f>IF(IFERROR(VLOOKUP($M778,'IMPORT GS-Tür OL FL 2S2 20'!$H$2:$H$847,1,0),"-")="-","","GS")</f>
        <v>GS</v>
      </c>
      <c r="X778" s="14" t="str">
        <f t="shared" si="53"/>
        <v>...</v>
      </c>
      <c r="Z778" s="58" t="str">
        <f>IF(OR($M778="",NOT($O778="{array}")),"",IFERROR(MATCH(PARAMETERS!$M778,DEFAULT!$B$5:$CI$5,0),""))</f>
        <v/>
      </c>
      <c r="AA778" s="55" t="str">
        <f t="shared" si="49"/>
        <v/>
      </c>
      <c r="AB778" s="62" t="str">
        <f>IF(AND(OR($A778="G",$A778="P"),NOT($O778="{array}")),IF(VLOOKUP($K778,base!$B$2:$D$20,3,0)="S",IF(OR($O778="",ISTEXT($O778)),"","STRING!"),IF(VLOOKUP($K778,base!$B$2:$D$20,3,0)="","",IF(ISTEXT($O778),"NUMERIC!",""))),"")</f>
        <v/>
      </c>
      <c r="AC778" s="16" t="str">
        <f>IF($AA778="","",IF($B778="I",VLOOKUP($AA778,#REF!,53,0),INDEX(VALUES!$B$1:$GP$1,1,$AA778)))</f>
        <v/>
      </c>
    </row>
    <row r="779" spans="1:29" hidden="1" outlineLevel="1">
      <c r="A779" s="21" t="s">
        <v>86</v>
      </c>
      <c r="B779" s="40" t="str">
        <f t="shared" si="51"/>
        <v/>
      </c>
      <c r="C779" s="41">
        <f t="shared" si="52"/>
        <v>778</v>
      </c>
      <c r="D779" s="260" t="s">
        <v>9</v>
      </c>
      <c r="E779" s="37"/>
      <c r="F779" s="305"/>
      <c r="G779" s="188"/>
      <c r="H779" s="37"/>
      <c r="I779" s="37" t="s">
        <v>9</v>
      </c>
      <c r="J779" s="37"/>
      <c r="K779" s="13" t="s">
        <v>26</v>
      </c>
      <c r="L779" s="13" t="s">
        <v>29</v>
      </c>
      <c r="M779" s="214" t="s">
        <v>894</v>
      </c>
      <c r="N779" s="13" t="s">
        <v>895</v>
      </c>
      <c r="O779" s="42">
        <v>0</v>
      </c>
      <c r="R779" s="37" t="s">
        <v>106</v>
      </c>
      <c r="S779" s="37"/>
      <c r="T779" s="37"/>
      <c r="W779" s="14" t="str">
        <f>IF(IFERROR(VLOOKUP($M779,'IMPORT GS-Tür OL FL 2S2 20'!$H$2:$H$847,1,0),"-")="-","","GS")</f>
        <v>GS</v>
      </c>
      <c r="X779" s="14" t="str">
        <f t="shared" si="53"/>
        <v>...</v>
      </c>
      <c r="Z779" s="58" t="str">
        <f>IF(OR($M779="",NOT($O779="{array}")),"",IFERROR(MATCH(PARAMETERS!$M779,DEFAULT!$B$5:$CI$5,0),""))</f>
        <v/>
      </c>
      <c r="AA779" s="55" t="str">
        <f t="shared" si="49"/>
        <v/>
      </c>
      <c r="AB779" s="62" t="str">
        <f>IF(AND(OR($A779="G",$A779="P"),NOT($O779="{array}")),IF(VLOOKUP($K779,base!$B$2:$D$20,3,0)="S",IF(OR($O779="",ISTEXT($O779)),"","STRING!"),IF(VLOOKUP($K779,base!$B$2:$D$20,3,0)="","",IF(ISTEXT($O779),"NUMERIC!",""))),"")</f>
        <v/>
      </c>
      <c r="AC779" s="16" t="str">
        <f>IF($AA779="","",IF($B779="I",VLOOKUP($AA779,#REF!,53,0),INDEX(VALUES!$B$1:$GP$1,1,$AA779)))</f>
        <v/>
      </c>
    </row>
    <row r="780" spans="1:29" hidden="1" outlineLevel="1">
      <c r="A780" s="21" t="s">
        <v>86</v>
      </c>
      <c r="B780" s="40" t="str">
        <f t="shared" si="51"/>
        <v/>
      </c>
      <c r="C780" s="41">
        <f t="shared" si="52"/>
        <v>779</v>
      </c>
      <c r="D780" s="260" t="s">
        <v>9</v>
      </c>
      <c r="E780" s="37"/>
      <c r="F780" s="305"/>
      <c r="G780" s="188" t="s">
        <v>9</v>
      </c>
      <c r="H780" s="37"/>
      <c r="I780" s="37" t="s">
        <v>9</v>
      </c>
      <c r="J780" s="37"/>
      <c r="K780" s="156" t="s">
        <v>26</v>
      </c>
      <c r="L780" s="13" t="s">
        <v>29</v>
      </c>
      <c r="M780" s="178" t="s">
        <v>3474</v>
      </c>
      <c r="N780" s="156" t="s">
        <v>3475</v>
      </c>
      <c r="O780" s="156">
        <v>0.85</v>
      </c>
      <c r="P780" s="172"/>
      <c r="Q780" s="174" t="s">
        <v>9</v>
      </c>
      <c r="R780" s="174" t="s">
        <v>204</v>
      </c>
      <c r="S780" s="168"/>
      <c r="T780" s="163"/>
      <c r="U780" s="163"/>
      <c r="V780" s="163"/>
      <c r="W780" s="14"/>
      <c r="X780" s="14" t="str">
        <f t="shared" si="53"/>
        <v>...</v>
      </c>
      <c r="Y780" s="163"/>
      <c r="Z780" s="58" t="str">
        <f>IF(OR($M780="",NOT($O780="{array}")),"",IFERROR(MATCH(PARAMETERS!$M780,DEFAULT!$B$5:$CI$5,0),""))</f>
        <v/>
      </c>
      <c r="AA780" s="55" t="str">
        <f t="shared" si="49"/>
        <v/>
      </c>
      <c r="AB780" s="62" t="str">
        <f>IF(AND(OR($A780="G",$A780="P"),NOT($O780="{array}")),IF(VLOOKUP($K780,base!$B$2:$D$20,3,0)="S",IF(OR($O780="",ISTEXT($O780)),"","STRING!"),IF(VLOOKUP($K780,base!$B$2:$D$20,3,0)="","",IF(ISTEXT($O780),"NUMERIC!",""))),"")</f>
        <v/>
      </c>
      <c r="AC780" s="16" t="str">
        <f>IF($AA780="","",IF($B780="I",VLOOKUP($AA780,#REF!,53,0),INDEX(VALUES!$B$1:$GP$1,1,$AA780)))</f>
        <v/>
      </c>
    </row>
    <row r="781" spans="1:29" hidden="1" outlineLevel="1">
      <c r="A781" s="21" t="s">
        <v>86</v>
      </c>
      <c r="B781" s="40" t="str">
        <f t="shared" si="51"/>
        <v/>
      </c>
      <c r="C781" s="41">
        <f t="shared" si="52"/>
        <v>780</v>
      </c>
      <c r="D781" s="260" t="s">
        <v>9</v>
      </c>
      <c r="E781" s="37"/>
      <c r="F781" s="305"/>
      <c r="G781" s="188" t="s">
        <v>9</v>
      </c>
      <c r="H781" s="37"/>
      <c r="I781" s="37" t="s">
        <v>9</v>
      </c>
      <c r="J781" s="37"/>
      <c r="K781" s="156" t="s">
        <v>26</v>
      </c>
      <c r="L781" s="13" t="s">
        <v>29</v>
      </c>
      <c r="M781" s="178" t="s">
        <v>3476</v>
      </c>
      <c r="N781" s="156" t="s">
        <v>3481</v>
      </c>
      <c r="O781" s="156">
        <v>1.3</v>
      </c>
      <c r="P781" s="172"/>
      <c r="Q781" s="174" t="s">
        <v>9</v>
      </c>
      <c r="R781" s="174" t="s">
        <v>204</v>
      </c>
      <c r="S781" s="168"/>
      <c r="T781" s="163"/>
      <c r="U781" s="163"/>
      <c r="V781" s="163"/>
      <c r="W781" s="14"/>
      <c r="X781" s="14" t="str">
        <f t="shared" si="53"/>
        <v>...</v>
      </c>
      <c r="Y781" s="163"/>
      <c r="Z781" s="58" t="str">
        <f>IF(OR($M781="",NOT($O781="{array}")),"",IFERROR(MATCH(PARAMETERS!$M781,DEFAULT!$B$5:$CI$5,0),""))</f>
        <v/>
      </c>
      <c r="AA781" s="55" t="str">
        <f t="shared" si="49"/>
        <v/>
      </c>
      <c r="AB781" s="62" t="str">
        <f>IF(AND(OR($A781="G",$A781="P"),NOT($O781="{array}")),IF(VLOOKUP($K781,base!$B$2:$D$20,3,0)="S",IF(OR($O781="",ISTEXT($O781)),"","STRING!"),IF(VLOOKUP($K781,base!$B$2:$D$20,3,0)="","",IF(ISTEXT($O781),"NUMERIC!",""))),"")</f>
        <v/>
      </c>
      <c r="AC781" s="16" t="str">
        <f>IF($AA781="","",IF($B781="I",VLOOKUP($AA781,#REF!,53,0),INDEX(VALUES!$B$1:$GP$1,1,$AA781)))</f>
        <v/>
      </c>
    </row>
    <row r="782" spans="1:29" hidden="1" outlineLevel="1">
      <c r="A782" s="21" t="s">
        <v>86</v>
      </c>
      <c r="B782" s="40" t="str">
        <f>IF($A782="P",IF(NOT($Z782=""),"A",IF(NOT($AA782=""),"I","")),IF(NOT($AA782=""),IF($A782="G","V","X"),IF(NOT($Z782=""),"A","")))</f>
        <v/>
      </c>
      <c r="C782" s="41">
        <f t="shared" si="52"/>
        <v>781</v>
      </c>
      <c r="D782" s="260" t="s">
        <v>9</v>
      </c>
      <c r="E782" s="37"/>
      <c r="F782" s="305" t="s">
        <v>9</v>
      </c>
      <c r="G782" s="188" t="s">
        <v>9</v>
      </c>
      <c r="H782" s="37"/>
      <c r="I782" s="37" t="s">
        <v>9</v>
      </c>
      <c r="J782" s="37"/>
      <c r="K782" s="156" t="s">
        <v>46</v>
      </c>
      <c r="L782" s="52" t="s">
        <v>29</v>
      </c>
      <c r="M782" s="178" t="s">
        <v>3398</v>
      </c>
      <c r="N782" s="52" t="s">
        <v>3430</v>
      </c>
      <c r="O782" s="153">
        <v>1</v>
      </c>
      <c r="P782" s="52"/>
      <c r="Q782" s="188"/>
      <c r="R782" s="174" t="s">
        <v>105</v>
      </c>
      <c r="S782" s="168"/>
      <c r="T782" s="163"/>
      <c r="U782" s="163"/>
      <c r="V782" s="163"/>
      <c r="W782" s="14"/>
      <c r="X782" s="14" t="str">
        <f t="shared" si="53"/>
        <v>...</v>
      </c>
      <c r="Y782" s="163"/>
      <c r="Z782" s="58" t="str">
        <f>IF(OR($M782="",NOT($O782="{array}")),"",IFERROR(MATCH(PARAMETERS!$M782,DEFAULT!$B$5:$CI$5,0),""))</f>
        <v/>
      </c>
      <c r="AA782" s="55" t="str">
        <f t="shared" si="49"/>
        <v/>
      </c>
      <c r="AB782" s="62" t="str">
        <f>IF(AND(OR($A782="G",$A782="P"),NOT($O782="{array}")),IF(VLOOKUP($K782,base!$B$2:$D$20,3,0)="S",IF(OR($O782="",ISTEXT($O782)),"","STRING!"),IF(VLOOKUP($K782,base!$B$2:$D$20,3,0)="","",IF(ISTEXT($O782),"NUMERIC!",""))),"")</f>
        <v/>
      </c>
      <c r="AC782" s="16" t="str">
        <f>IF($AA782="","",IF($B782="I",VLOOKUP($AA782,#REF!,53,0),INDEX(VALUES!$B$1:$GP$1,1,$AA782)))</f>
        <v/>
      </c>
    </row>
    <row r="783" spans="1:29" hidden="1" outlineLevel="1">
      <c r="A783" s="21" t="s">
        <v>86</v>
      </c>
      <c r="B783" s="40" t="str">
        <f>IF($A783="P",IF(NOT($Z783=""),"A",IF(NOT($AA783=""),"I","")),IF(NOT($AA783=""),IF($A783="G","V","X"),IF(NOT($Z783=""),"A","")))</f>
        <v/>
      </c>
      <c r="C783" s="41">
        <f t="shared" si="52"/>
        <v>782</v>
      </c>
      <c r="D783" s="260" t="s">
        <v>9</v>
      </c>
      <c r="E783" s="37"/>
      <c r="F783" s="305" t="s">
        <v>9</v>
      </c>
      <c r="G783" s="188"/>
      <c r="H783" s="37"/>
      <c r="I783" s="37" t="s">
        <v>9</v>
      </c>
      <c r="J783" s="37"/>
      <c r="K783" s="156" t="s">
        <v>46</v>
      </c>
      <c r="L783" s="52" t="s">
        <v>29</v>
      </c>
      <c r="M783" s="178" t="s">
        <v>3434</v>
      </c>
      <c r="N783" s="52" t="s">
        <v>3435</v>
      </c>
      <c r="O783" s="153">
        <v>1</v>
      </c>
      <c r="P783" s="52"/>
      <c r="Q783" s="188"/>
      <c r="R783" s="174" t="s">
        <v>105</v>
      </c>
      <c r="S783" s="168"/>
      <c r="T783" s="163"/>
      <c r="U783" s="163"/>
      <c r="V783" s="163"/>
      <c r="W783" s="14"/>
      <c r="X783" s="14" t="str">
        <f t="shared" si="53"/>
        <v>...</v>
      </c>
      <c r="Y783" s="163"/>
      <c r="Z783" s="58" t="str">
        <f>IF(OR($M783="",NOT($O783="{array}")),"",IFERROR(MATCH(PARAMETERS!$M783,DEFAULT!$B$5:$CI$5,0),""))</f>
        <v/>
      </c>
      <c r="AA783" s="55" t="str">
        <f t="shared" si="49"/>
        <v/>
      </c>
      <c r="AB783" s="62" t="str">
        <f>IF(AND(OR($A783="G",$A783="P"),NOT($O783="{array}")),IF(VLOOKUP($K783,base!$B$2:$D$20,3,0)="S",IF(OR($O783="",ISTEXT($O783)),"","STRING!"),IF(VLOOKUP($K783,base!$B$2:$D$20,3,0)="","",IF(ISTEXT($O783),"NUMERIC!",""))),"")</f>
        <v/>
      </c>
      <c r="AC783" s="16" t="str">
        <f>IF($AA783="","",IF($B783="I",VLOOKUP($AA783,#REF!,53,0),INDEX(VALUES!$B$1:$GP$1,1,$AA783)))</f>
        <v/>
      </c>
    </row>
    <row r="784" spans="1:29" hidden="1" outlineLevel="1">
      <c r="A784" s="21" t="s">
        <v>86</v>
      </c>
      <c r="B784" s="40" t="str">
        <f>IF($A784="P",IF(NOT($Z784=""),"A",IF(NOT($AA784=""),"I","")),IF(NOT($AA784=""),IF($A784="G","V","X"),IF(NOT($Z784=""),"A","")))</f>
        <v/>
      </c>
      <c r="C784" s="41">
        <f t="shared" si="52"/>
        <v>783</v>
      </c>
      <c r="D784" s="260" t="s">
        <v>9</v>
      </c>
      <c r="E784" s="37"/>
      <c r="F784" s="305" t="s">
        <v>9</v>
      </c>
      <c r="G784" s="188"/>
      <c r="H784" s="37"/>
      <c r="I784" s="37" t="s">
        <v>9</v>
      </c>
      <c r="J784" s="37"/>
      <c r="K784" s="13" t="s">
        <v>26</v>
      </c>
      <c r="L784" s="13" t="s">
        <v>29</v>
      </c>
      <c r="M784" s="214" t="s">
        <v>922</v>
      </c>
      <c r="N784" s="13" t="s">
        <v>923</v>
      </c>
      <c r="O784" s="42">
        <v>5.0000000000000001E-3</v>
      </c>
      <c r="R784" s="37" t="s">
        <v>106</v>
      </c>
      <c r="S784" s="168" t="s">
        <v>114</v>
      </c>
      <c r="T784" s="163" t="s">
        <v>298</v>
      </c>
      <c r="U784" s="163" t="s">
        <v>298</v>
      </c>
      <c r="V784" s="163" t="s">
        <v>924</v>
      </c>
      <c r="W784" s="14" t="str">
        <f>IF(IFERROR(VLOOKUP($M784,'IMPORT GS-Tür OL FL 2S2 20'!$H$2:$H$847,1,0),"-")="-","","GS")</f>
        <v>GS</v>
      </c>
      <c r="X784" s="14" t="str">
        <f t="shared" si="53"/>
        <v>...</v>
      </c>
      <c r="Y784" s="163" t="s">
        <v>925</v>
      </c>
      <c r="Z784" s="58" t="str">
        <f>IF(OR($M784="",NOT($O784="{array}")),"",IFERROR(MATCH(PARAMETERS!$M784,DEFAULT!$B$5:$CI$5,0),""))</f>
        <v/>
      </c>
      <c r="AA784" s="55" t="str">
        <f t="shared" si="49"/>
        <v/>
      </c>
      <c r="AB784" s="62" t="str">
        <f>IF(AND(OR($A784="G",$A784="P"),NOT($O784="{array}")),IF(VLOOKUP($K784,base!$B$2:$D$20,3,0)="S",IF(OR($O784="",ISTEXT($O784)),"","STRING!"),IF(VLOOKUP($K784,base!$B$2:$D$20,3,0)="","",IF(ISTEXT($O784),"NUMERIC!",""))),"")</f>
        <v/>
      </c>
      <c r="AC784" s="16" t="str">
        <f>IF($AA784="","",IF($B784="I",VLOOKUP($AA784,#REF!,53,0),INDEX(VALUES!$B$1:$GP$1,1,$AA784)))</f>
        <v/>
      </c>
    </row>
    <row r="785" spans="1:29" hidden="1" outlineLevel="1">
      <c r="A785" s="21" t="s">
        <v>86</v>
      </c>
      <c r="B785" s="40" t="str">
        <f t="shared" si="51"/>
        <v/>
      </c>
      <c r="C785" s="41">
        <f t="shared" si="52"/>
        <v>784</v>
      </c>
      <c r="D785" s="260" t="s">
        <v>9</v>
      </c>
      <c r="E785" s="37"/>
      <c r="F785" s="305" t="s">
        <v>9</v>
      </c>
      <c r="G785" s="188"/>
      <c r="H785" s="37"/>
      <c r="I785" s="37" t="s">
        <v>9</v>
      </c>
      <c r="J785" s="37"/>
      <c r="K785" s="13" t="s">
        <v>26</v>
      </c>
      <c r="L785" s="13" t="s">
        <v>29</v>
      </c>
      <c r="M785" s="214" t="s">
        <v>896</v>
      </c>
      <c r="N785" s="13" t="s">
        <v>897</v>
      </c>
      <c r="O785" s="42">
        <v>5.6000000000000001E-2</v>
      </c>
      <c r="Q785" s="37" t="s">
        <v>9</v>
      </c>
      <c r="R785" s="37" t="s">
        <v>106</v>
      </c>
      <c r="S785" s="168" t="s">
        <v>114</v>
      </c>
      <c r="T785" s="163" t="s">
        <v>298</v>
      </c>
      <c r="U785" s="163" t="s">
        <v>298</v>
      </c>
      <c r="V785" s="163" t="s">
        <v>898</v>
      </c>
      <c r="W785" s="14" t="str">
        <f>IF(IFERROR(VLOOKUP($M785,'IMPORT GS-Tür OL FL 2S2 20'!$H$2:$H$847,1,0),"-")="-","","GS")</f>
        <v>GS</v>
      </c>
      <c r="X785" s="14">
        <f t="shared" si="53"/>
        <v>5.8000000000000003E-2</v>
      </c>
      <c r="Y785" s="163" t="s">
        <v>899</v>
      </c>
      <c r="Z785" s="58" t="str">
        <f>IF(OR($M785="",NOT($O785="{array}")),"",IFERROR(MATCH(PARAMETERS!$M785,DEFAULT!$B$5:$CI$5,0),""))</f>
        <v/>
      </c>
      <c r="AA785" s="55" t="str">
        <f t="shared" si="49"/>
        <v/>
      </c>
      <c r="AB785" s="62" t="str">
        <f>IF(AND(OR($A785="G",$A785="P"),NOT($O785="{array}")),IF(VLOOKUP($K785,base!$B$2:$D$20,3,0)="S",IF(OR($O785="",ISTEXT($O785)),"","STRING!"),IF(VLOOKUP($K785,base!$B$2:$D$20,3,0)="","",IF(ISTEXT($O785),"NUMERIC!",""))),"")</f>
        <v/>
      </c>
      <c r="AC785" s="16" t="str">
        <f>IF($AA785="","",IF($B785="I",VLOOKUP($AA785,#REF!,53,0),INDEX(VALUES!$B$1:$GP$1,1,$AA785)))</f>
        <v/>
      </c>
    </row>
    <row r="786" spans="1:29" hidden="1" outlineLevel="1">
      <c r="A786" s="21" t="s">
        <v>86</v>
      </c>
      <c r="B786" s="40" t="str">
        <f t="shared" si="51"/>
        <v>A</v>
      </c>
      <c r="C786" s="41">
        <f t="shared" si="52"/>
        <v>785</v>
      </c>
      <c r="D786" s="260" t="s">
        <v>9</v>
      </c>
      <c r="E786" s="37"/>
      <c r="F786" s="305"/>
      <c r="G786" s="188" t="s">
        <v>9</v>
      </c>
      <c r="H786" s="37"/>
      <c r="I786" s="37" t="s">
        <v>9</v>
      </c>
      <c r="J786" s="37"/>
      <c r="K786" s="156" t="s">
        <v>26</v>
      </c>
      <c r="L786" s="13" t="s">
        <v>29</v>
      </c>
      <c r="M786" s="178" t="s">
        <v>3433</v>
      </c>
      <c r="N786" s="156" t="s">
        <v>3436</v>
      </c>
      <c r="O786" s="156" t="s">
        <v>35</v>
      </c>
      <c r="P786" s="172"/>
      <c r="Q786" s="174" t="s">
        <v>9</v>
      </c>
      <c r="R786" s="174" t="s">
        <v>204</v>
      </c>
      <c r="S786" s="168"/>
      <c r="T786" s="163"/>
      <c r="U786" s="163"/>
      <c r="V786" s="163"/>
      <c r="W786" s="14"/>
      <c r="X786" s="14" t="str">
        <f t="shared" si="53"/>
        <v>...</v>
      </c>
      <c r="Y786" s="163"/>
      <c r="Z786" s="58">
        <f>IF(OR($M786="",NOT($O786="{array}")),"",IFERROR(MATCH(PARAMETERS!$M786,DEFAULT!$B$5:$CI$5,0),""))</f>
        <v>38</v>
      </c>
      <c r="AA786" s="55" t="str">
        <f t="shared" si="49"/>
        <v/>
      </c>
      <c r="AB786" s="62" t="str">
        <f>IF(AND(OR($A786="G",$A786="P"),NOT($O786="{array}")),IF(VLOOKUP($K786,base!$B$2:$D$20,3,0)="S",IF(OR($O786="",ISTEXT($O786)),"","STRING!"),IF(VLOOKUP($K786,base!$B$2:$D$20,3,0)="","",IF(ISTEXT($O786),"NUMERIC!",""))),"")</f>
        <v/>
      </c>
      <c r="AC786" s="16" t="str">
        <f>IF($AA786="","",IF($B786="I",VLOOKUP($AA786,#REF!,53,0),INDEX(VALUES!$B$1:$GP$1,1,$AA786)))</f>
        <v/>
      </c>
    </row>
    <row r="787" spans="1:29" s="276" customFormat="1" hidden="1" outlineLevel="1">
      <c r="A787" s="263"/>
      <c r="B787" s="264" t="str">
        <f t="shared" si="51"/>
        <v/>
      </c>
      <c r="C787" s="265">
        <f t="shared" si="52"/>
        <v>786</v>
      </c>
      <c r="D787" s="266"/>
      <c r="E787" s="266"/>
      <c r="F787" s="305"/>
      <c r="G787" s="188" t="s">
        <v>9</v>
      </c>
      <c r="H787" s="266"/>
      <c r="I787" s="266" t="s">
        <v>9</v>
      </c>
      <c r="J787" s="266"/>
      <c r="K787" s="267" t="s">
        <v>26</v>
      </c>
      <c r="L787" s="267" t="s">
        <v>29</v>
      </c>
      <c r="M787" s="293" t="s">
        <v>900</v>
      </c>
      <c r="N787" s="267" t="s">
        <v>901</v>
      </c>
      <c r="O787" s="269">
        <v>0</v>
      </c>
      <c r="Q787" s="266"/>
      <c r="R787" s="266" t="s">
        <v>106</v>
      </c>
      <c r="S787" s="266"/>
      <c r="T787" s="266"/>
      <c r="W787" s="272" t="str">
        <f>IF(IFERROR(VLOOKUP($M787,'IMPORT GS-Tür OL FL 2S2 20'!$H$2:$H$847,1,0),"-")="-","","GS")</f>
        <v/>
      </c>
      <c r="X787" s="272" t="str">
        <f t="shared" si="53"/>
        <v/>
      </c>
      <c r="Z787" s="273" t="str">
        <f>IF(OR($M787="",NOT($O787="{array}")),"",IFERROR(MATCH(PARAMETERS!$M787,DEFAULT!$B$5:$CI$5,0),""))</f>
        <v/>
      </c>
      <c r="AA787" s="272" t="str">
        <f t="shared" si="49"/>
        <v/>
      </c>
      <c r="AB787" s="274" t="str">
        <f>IF(AND(OR($A787="G",$A787="P"),NOT($O787="{array}")),IF(VLOOKUP($K787,base!$B$2:$D$20,3,0)="S",IF(OR($O787="",ISTEXT($O787)),"","STRING!"),IF(VLOOKUP($K787,base!$B$2:$D$20,3,0)="","",IF(ISTEXT($O787),"NUMERIC!",""))),"")</f>
        <v/>
      </c>
      <c r="AC787" s="275" t="str">
        <f>IF($AA787="","",IF($B787="I",VLOOKUP($AA787,#REF!,53,0),INDEX(VALUES!$B$1:$GP$1,1,$AA787)))</f>
        <v/>
      </c>
    </row>
    <row r="788" spans="1:29" hidden="1" outlineLevel="1">
      <c r="A788" s="21" t="s">
        <v>86</v>
      </c>
      <c r="B788" s="40" t="str">
        <f t="shared" si="51"/>
        <v/>
      </c>
      <c r="C788" s="41">
        <f t="shared" si="52"/>
        <v>787</v>
      </c>
      <c r="D788" s="260" t="s">
        <v>9</v>
      </c>
      <c r="E788" s="37"/>
      <c r="F788" s="305"/>
      <c r="G788" s="188"/>
      <c r="H788" s="37"/>
      <c r="I788" s="37" t="s">
        <v>9</v>
      </c>
      <c r="J788" s="37"/>
      <c r="K788" s="156" t="s">
        <v>26</v>
      </c>
      <c r="L788" s="13" t="s">
        <v>29</v>
      </c>
      <c r="M788" s="178" t="s">
        <v>902</v>
      </c>
      <c r="N788" s="156" t="s">
        <v>903</v>
      </c>
      <c r="O788" s="156">
        <v>1.2999999999999999E-2</v>
      </c>
      <c r="P788" s="172"/>
      <c r="Q788" s="174" t="s">
        <v>9</v>
      </c>
      <c r="R788" s="174" t="s">
        <v>105</v>
      </c>
      <c r="S788" s="168"/>
      <c r="T788" s="163"/>
      <c r="U788" s="163"/>
      <c r="V788" s="163"/>
      <c r="W788" s="14"/>
      <c r="X788" s="14" t="str">
        <f t="shared" si="53"/>
        <v>...</v>
      </c>
      <c r="Y788" s="163"/>
      <c r="Z788" s="58" t="str">
        <f>IF(OR($M788="",NOT($O788="{array}")),"",IFERROR(MATCH(PARAMETERS!$M788,DEFAULT!$B$5:$CI$5,0),""))</f>
        <v/>
      </c>
      <c r="AA788" s="55" t="str">
        <f t="shared" si="49"/>
        <v/>
      </c>
      <c r="AB788" s="62" t="str">
        <f>IF(AND(OR($A788="G",$A788="P"),NOT($O788="{array}")),IF(VLOOKUP($K788,base!$B$2:$D$20,3,0)="S",IF(OR($O788="",ISTEXT($O788)),"","STRING!"),IF(VLOOKUP($K788,base!$B$2:$D$20,3,0)="","",IF(ISTEXT($O788),"NUMERIC!",""))),"")</f>
        <v/>
      </c>
      <c r="AC788" s="16" t="str">
        <f>IF($AA788="","",IF($B788="I",VLOOKUP($AA788,#REF!,53,0),INDEX(VALUES!$B$1:$GP$1,1,$AA788)))</f>
        <v/>
      </c>
    </row>
    <row r="789" spans="1:29" hidden="1" outlineLevel="1">
      <c r="A789" s="21" t="s">
        <v>86</v>
      </c>
      <c r="B789" s="40" t="str">
        <f t="shared" si="51"/>
        <v/>
      </c>
      <c r="C789" s="41">
        <f t="shared" si="52"/>
        <v>788</v>
      </c>
      <c r="D789" s="260" t="s">
        <v>9</v>
      </c>
      <c r="E789" s="37"/>
      <c r="F789" s="305"/>
      <c r="G789" s="188"/>
      <c r="H789" s="37"/>
      <c r="I789" s="37" t="s">
        <v>9</v>
      </c>
      <c r="J789" s="37"/>
      <c r="K789" s="156" t="s">
        <v>26</v>
      </c>
      <c r="L789" s="13" t="s">
        <v>29</v>
      </c>
      <c r="M789" s="178" t="s">
        <v>3413</v>
      </c>
      <c r="N789" s="156" t="s">
        <v>3414</v>
      </c>
      <c r="O789" s="156">
        <v>1.6E-2</v>
      </c>
      <c r="P789" s="172"/>
      <c r="Q789" s="174" t="s">
        <v>9</v>
      </c>
      <c r="R789" s="174" t="s">
        <v>105</v>
      </c>
      <c r="S789" s="168"/>
      <c r="T789" s="163"/>
      <c r="U789" s="163"/>
      <c r="V789" s="163"/>
      <c r="W789" s="14"/>
      <c r="X789" s="14">
        <f t="shared" si="53"/>
        <v>1.7999999999999999E-2</v>
      </c>
      <c r="Y789" s="163"/>
      <c r="Z789" s="58" t="str">
        <f>IF(OR($M789="",NOT($O789="{array}")),"",IFERROR(MATCH(PARAMETERS!$M789,DEFAULT!$B$5:$CI$5,0),""))</f>
        <v/>
      </c>
      <c r="AA789" s="55" t="str">
        <f t="shared" si="49"/>
        <v/>
      </c>
      <c r="AB789" s="62" t="str">
        <f>IF(AND(OR($A789="G",$A789="P"),NOT($O789="{array}")),IF(VLOOKUP($K789,base!$B$2:$D$20,3,0)="S",IF(OR($O789="",ISTEXT($O789)),"","STRING!"),IF(VLOOKUP($K789,base!$B$2:$D$20,3,0)="","",IF(ISTEXT($O789),"NUMERIC!",""))),"")</f>
        <v/>
      </c>
      <c r="AC789" s="16" t="str">
        <f>IF($AA789="","",IF($B789="I",VLOOKUP($AA789,#REF!,53,0),INDEX(VALUES!$B$1:$GP$1,1,$AA789)))</f>
        <v/>
      </c>
    </row>
    <row r="790" spans="1:29" hidden="1" outlineLevel="1">
      <c r="A790" s="21" t="s">
        <v>86</v>
      </c>
      <c r="B790" s="40" t="str">
        <f t="shared" si="51"/>
        <v/>
      </c>
      <c r="C790" s="41">
        <f t="shared" si="52"/>
        <v>789</v>
      </c>
      <c r="D790" s="260" t="s">
        <v>9</v>
      </c>
      <c r="E790" s="37"/>
      <c r="F790" s="305"/>
      <c r="G790" s="188" t="s">
        <v>9</v>
      </c>
      <c r="H790" s="37"/>
      <c r="I790" s="37" t="s">
        <v>9</v>
      </c>
      <c r="J790" s="37"/>
      <c r="K790" s="156" t="s">
        <v>26</v>
      </c>
      <c r="L790" s="13" t="s">
        <v>29</v>
      </c>
      <c r="M790" s="178" t="s">
        <v>3827</v>
      </c>
      <c r="N790" s="156" t="s">
        <v>3826</v>
      </c>
      <c r="O790" s="156">
        <v>0.01</v>
      </c>
      <c r="P790" s="172"/>
      <c r="Q790" s="174" t="s">
        <v>9</v>
      </c>
      <c r="R790" s="37" t="s">
        <v>204</v>
      </c>
      <c r="S790" s="168"/>
      <c r="T790" s="163"/>
      <c r="U790" s="163"/>
      <c r="V790" s="163"/>
      <c r="W790" s="14"/>
      <c r="X790" s="14" t="str">
        <f t="shared" si="53"/>
        <v>&gt;&lt;</v>
      </c>
      <c r="Y790" s="163"/>
      <c r="Z790" s="58" t="str">
        <f>IF(OR($M790="",NOT($O790="{array}")),"",IFERROR(MATCH(PARAMETERS!$M790,DEFAULT!$B$5:$CI$5,0),""))</f>
        <v/>
      </c>
      <c r="AA790" s="55" t="str">
        <f t="shared" si="49"/>
        <v/>
      </c>
      <c r="AB790" s="62" t="str">
        <f>IF(AND(OR($A790="G",$A790="P"),NOT($O790="{array}")),IF(VLOOKUP($K790,base!$B$2:$D$20,3,0)="S",IF(OR($O790="",ISTEXT($O790)),"","STRING!"),IF(VLOOKUP($K790,base!$B$2:$D$20,3,0)="","",IF(ISTEXT($O790),"NUMERIC!",""))),"")</f>
        <v/>
      </c>
      <c r="AC790" s="16" t="str">
        <f>IF($AA790="","",IF($B790="I",VLOOKUP($AA790,#REF!,53,0),INDEX(VALUES!$B$1:$GP$1,1,$AA790)))</f>
        <v/>
      </c>
    </row>
    <row r="791" spans="1:29" hidden="1" outlineLevel="1">
      <c r="A791" s="21" t="s">
        <v>86</v>
      </c>
      <c r="B791" s="40" t="str">
        <f t="shared" si="51"/>
        <v/>
      </c>
      <c r="C791" s="41">
        <f t="shared" si="52"/>
        <v>790</v>
      </c>
      <c r="D791" s="260"/>
      <c r="E791" s="37"/>
      <c r="F791" s="305"/>
      <c r="G791" s="188" t="s">
        <v>9</v>
      </c>
      <c r="H791" s="37"/>
      <c r="I791" s="37" t="s">
        <v>9</v>
      </c>
      <c r="J791" s="37"/>
      <c r="K791" s="52" t="s">
        <v>26</v>
      </c>
      <c r="L791" s="52" t="s">
        <v>29</v>
      </c>
      <c r="M791" s="178" t="s">
        <v>926</v>
      </c>
      <c r="N791" s="52" t="s">
        <v>927</v>
      </c>
      <c r="O791" s="153">
        <v>0</v>
      </c>
      <c r="P791" s="52"/>
      <c r="Q791" s="188"/>
      <c r="R791" s="37" t="s">
        <v>204</v>
      </c>
      <c r="S791" s="37"/>
      <c r="T791" s="37"/>
      <c r="W791" s="14" t="str">
        <f>IF(IFERROR(VLOOKUP($M791,'IMPORT GS-Tür OL FL 2S2 20'!$H$2:$H$847,1,0),"-")="-","","GS")</f>
        <v/>
      </c>
      <c r="X791" s="14" t="str">
        <f t="shared" si="53"/>
        <v>...</v>
      </c>
      <c r="Y791" s="52" t="s">
        <v>928</v>
      </c>
      <c r="Z791" s="58" t="str">
        <f>IF(OR($M791="",NOT($O791="{array}")),"",IFERROR(MATCH(PARAMETERS!$M791,DEFAULT!$B$5:$CI$5,0),""))</f>
        <v/>
      </c>
      <c r="AA791" s="55" t="str">
        <f t="shared" ref="AA791:AA854" si="55">IF($M791="","",IFERROR(MATCH($M791,VALUESnames,0),""))</f>
        <v/>
      </c>
      <c r="AB791" s="62" t="str">
        <f>IF(AND(OR($A791="G",$A791="P"),NOT($O791="{array}")),IF(VLOOKUP($K791,base!$B$2:$D$20,3,0)="S",IF(OR($O791="",ISTEXT($O791)),"","STRING!"),IF(VLOOKUP($K791,base!$B$2:$D$20,3,0)="","",IF(ISTEXT($O791),"NUMERIC!",""))),"")</f>
        <v/>
      </c>
      <c r="AC791" s="16" t="str">
        <f>IF($AA791="","",IF($B791="I",VLOOKUP($AA791,#REF!,53,0),INDEX(VALUES!$B$1:$GP$1,1,$AA791)))</f>
        <v/>
      </c>
    </row>
    <row r="792" spans="1:29" hidden="1" outlineLevel="1">
      <c r="A792" s="21" t="s">
        <v>86</v>
      </c>
      <c r="B792" s="40" t="str">
        <f t="shared" si="51"/>
        <v/>
      </c>
      <c r="C792" s="41">
        <f t="shared" si="52"/>
        <v>791</v>
      </c>
      <c r="D792" s="260"/>
      <c r="E792" s="37"/>
      <c r="F792" s="305"/>
      <c r="G792" s="188" t="s">
        <v>9</v>
      </c>
      <c r="H792" s="37"/>
      <c r="I792" s="37" t="s">
        <v>9</v>
      </c>
      <c r="J792" s="37"/>
      <c r="K792" s="52" t="s">
        <v>26</v>
      </c>
      <c r="L792" s="52" t="s">
        <v>29</v>
      </c>
      <c r="M792" s="178" t="s">
        <v>929</v>
      </c>
      <c r="N792" s="52" t="s">
        <v>930</v>
      </c>
      <c r="O792" s="153">
        <v>0</v>
      </c>
      <c r="P792" s="52"/>
      <c r="Q792" s="188"/>
      <c r="R792" s="37" t="s">
        <v>204</v>
      </c>
      <c r="S792" s="37"/>
      <c r="T792" s="37"/>
      <c r="W792" s="14" t="str">
        <f>IF(IFERROR(VLOOKUP($M792,'IMPORT GS-Tür OL FL 2S2 20'!$H$2:$H$847,1,0),"-")="-","","GS")</f>
        <v/>
      </c>
      <c r="X792" s="14" t="str">
        <f t="shared" si="53"/>
        <v>...</v>
      </c>
      <c r="Y792" s="52" t="s">
        <v>928</v>
      </c>
      <c r="Z792" s="58" t="str">
        <f>IF(OR($M792="",NOT($O792="{array}")),"",IFERROR(MATCH(PARAMETERS!$M792,DEFAULT!$B$5:$CI$5,0),""))</f>
        <v/>
      </c>
      <c r="AA792" s="55" t="str">
        <f t="shared" si="55"/>
        <v/>
      </c>
      <c r="AB792" s="62" t="str">
        <f>IF(AND(OR($A792="G",$A792="P"),NOT($O792="{array}")),IF(VLOOKUP($K792,base!$B$2:$D$20,3,0)="S",IF(OR($O792="",ISTEXT($O792)),"","STRING!"),IF(VLOOKUP($K792,base!$B$2:$D$20,3,0)="","",IF(ISTEXT($O792),"NUMERIC!",""))),"")</f>
        <v/>
      </c>
      <c r="AC792" s="16" t="str">
        <f>IF($AA792="","",IF($B792="I",VLOOKUP($AA792,#REF!,53,0),INDEX(VALUES!$B$1:$GP$1,1,$AA792)))</f>
        <v/>
      </c>
    </row>
    <row r="793" spans="1:29" hidden="1" outlineLevel="1">
      <c r="A793" s="21" t="s">
        <v>86</v>
      </c>
      <c r="B793" s="40" t="str">
        <f t="shared" si="51"/>
        <v/>
      </c>
      <c r="C793" s="41">
        <f t="shared" si="52"/>
        <v>792</v>
      </c>
      <c r="D793" s="260" t="s">
        <v>9</v>
      </c>
      <c r="E793" s="37"/>
      <c r="F793" s="305"/>
      <c r="G793" s="188" t="s">
        <v>9</v>
      </c>
      <c r="H793" s="37"/>
      <c r="I793" s="37" t="s">
        <v>9</v>
      </c>
      <c r="J793" s="37"/>
      <c r="K793" s="52" t="s">
        <v>46</v>
      </c>
      <c r="L793" s="52" t="s">
        <v>29</v>
      </c>
      <c r="M793" s="178" t="s">
        <v>3810</v>
      </c>
      <c r="N793" s="52" t="s">
        <v>3811</v>
      </c>
      <c r="O793" s="153">
        <v>0</v>
      </c>
      <c r="P793" s="52"/>
      <c r="Q793" s="188"/>
      <c r="R793" s="37" t="s">
        <v>204</v>
      </c>
      <c r="S793" s="37"/>
      <c r="T793" s="37"/>
      <c r="W793" s="14" t="str">
        <f>IF(IFERROR(VLOOKUP($M793,'IMPORT GS-Tür OL FL 2S2 20'!$H$2:$H$847,1,0),"-")="-","","GS")</f>
        <v/>
      </c>
      <c r="X793" s="14" t="str">
        <f t="shared" si="53"/>
        <v>&gt;&lt;</v>
      </c>
      <c r="Y793" s="52"/>
      <c r="Z793" s="58" t="str">
        <f>IF(OR($M793="",NOT($O793="{array}")),"",IFERROR(MATCH(PARAMETERS!$M793,DEFAULT!$B$5:$CI$5,0),""))</f>
        <v/>
      </c>
      <c r="AA793" s="55" t="str">
        <f t="shared" si="55"/>
        <v/>
      </c>
      <c r="AB793" s="62" t="str">
        <f>IF(AND(OR($A793="G",$A793="P"),NOT($O793="{array}")),IF(VLOOKUP($K793,base!$B$2:$D$20,3,0)="S",IF(OR($O793="",ISTEXT($O793)),"","STRING!"),IF(VLOOKUP($K793,base!$B$2:$D$20,3,0)="","",IF(ISTEXT($O793),"NUMERIC!",""))),"")</f>
        <v/>
      </c>
      <c r="AC793" s="16" t="str">
        <f>IF($AA793="","",IF($B793="I",VLOOKUP($AA793,#REF!,53,0),INDEX(VALUES!$B$1:$GP$1,1,$AA793)))</f>
        <v/>
      </c>
    </row>
    <row r="794" spans="1:29" hidden="1" outlineLevel="1">
      <c r="A794" s="21" t="s">
        <v>86</v>
      </c>
      <c r="B794" s="40" t="str">
        <f>IF($A794="P",IF(NOT($Z794=""),"A",IF(NOT($AA794=""),"I","")),IF(NOT($AA794=""),IF($A794="G","V","X"),IF(NOT($Z794=""),"A","")))</f>
        <v/>
      </c>
      <c r="C794" s="41">
        <f t="shared" si="52"/>
        <v>793</v>
      </c>
      <c r="D794" s="260" t="s">
        <v>9</v>
      </c>
      <c r="E794" s="37"/>
      <c r="F794" s="305"/>
      <c r="G794" s="188"/>
      <c r="H794" s="37"/>
      <c r="I794" s="37" t="s">
        <v>9</v>
      </c>
      <c r="J794" s="37"/>
      <c r="K794" s="156" t="s">
        <v>26</v>
      </c>
      <c r="L794" s="52" t="s">
        <v>29</v>
      </c>
      <c r="M794" s="178" t="s">
        <v>3509</v>
      </c>
      <c r="N794" s="52" t="s">
        <v>3812</v>
      </c>
      <c r="O794" s="153">
        <v>0</v>
      </c>
      <c r="P794" s="52"/>
      <c r="Q794" s="188"/>
      <c r="R794" s="174" t="s">
        <v>105</v>
      </c>
      <c r="S794" s="37"/>
      <c r="T794" s="37"/>
      <c r="W794" s="14" t="str">
        <f>IF(IFERROR(VLOOKUP($M794,'IMPORT GS-Tür OL FL 2S2 20'!$H$2:$H$847,1,0),"-")="-","","GS")</f>
        <v/>
      </c>
      <c r="X794" s="14" t="str">
        <f>IF($A794="G",IF(IFERROR(VLOOKUP($M794,Reimport,1,0),"-")="-","&gt;&lt;",IF($O794=VLOOKUP($M794,Reimport,2,0),"...",VLOOKUP($M794,Reimport,2,0))),"")</f>
        <v>&gt;&lt;</v>
      </c>
      <c r="Y794" s="156" t="s">
        <v>3508</v>
      </c>
      <c r="Z794" s="58" t="str">
        <f>IF(OR($M794="",NOT($O794="{array}")),"",IFERROR(MATCH(PARAMETERS!$M794,DEFAULT!$B$5:$CI$5,0),""))</f>
        <v/>
      </c>
      <c r="AA794" s="55" t="str">
        <f>IF($M794="","",IFERROR(MATCH($M794,VALUESnames,0),""))</f>
        <v/>
      </c>
      <c r="AB794" s="62" t="str">
        <f>IF(AND(OR($A794="G",$A794="P"),NOT($O794="{array}")),IF(VLOOKUP($K794,base!$B$2:$D$20,3,0)="S",IF(OR($O794="",ISTEXT($O794)),"","STRING!"),IF(VLOOKUP($K794,base!$B$2:$D$20,3,0)="","",IF(ISTEXT($O794),"NUMERIC!",""))),"")</f>
        <v/>
      </c>
      <c r="AC794" s="16" t="str">
        <f>IF($AA794="","",IF($B794="I",VLOOKUP($AA794,#REF!,53,0),INDEX(VALUES!$B$1:$GP$1,1,$AA794)))</f>
        <v/>
      </c>
    </row>
    <row r="795" spans="1:29" s="276" customFormat="1" hidden="1" outlineLevel="1">
      <c r="A795" s="263"/>
      <c r="B795" s="264" t="str">
        <f t="shared" si="51"/>
        <v/>
      </c>
      <c r="C795" s="265">
        <f t="shared" ref="C795:C858" si="56">(ROW()-1)</f>
        <v>794</v>
      </c>
      <c r="D795" s="266"/>
      <c r="E795" s="266"/>
      <c r="F795" s="305" t="s">
        <v>9</v>
      </c>
      <c r="G795" s="188"/>
      <c r="H795" s="266"/>
      <c r="I795" s="266" t="s">
        <v>9</v>
      </c>
      <c r="J795" s="266"/>
      <c r="K795" s="267" t="s">
        <v>26</v>
      </c>
      <c r="L795" s="267" t="s">
        <v>29</v>
      </c>
      <c r="M795" s="293" t="s">
        <v>932</v>
      </c>
      <c r="N795" s="267" t="s">
        <v>933</v>
      </c>
      <c r="O795" s="269">
        <v>0.02</v>
      </c>
      <c r="P795" s="267"/>
      <c r="Q795" s="270"/>
      <c r="R795" s="270" t="s">
        <v>106</v>
      </c>
      <c r="S795" s="266"/>
      <c r="T795" s="266"/>
      <c r="W795" s="272" t="str">
        <f>IF(IFERROR(VLOOKUP($M795,'IMPORT GS-Tür OL FL 2S2 20'!$H$2:$H$847,1,0),"-")="-","","GS")</f>
        <v>GS</v>
      </c>
      <c r="X795" s="272" t="str">
        <f t="shared" si="53"/>
        <v/>
      </c>
      <c r="Z795" s="273" t="str">
        <f>IF(OR($M795="",NOT($O795="{array}")),"",IFERROR(MATCH(PARAMETERS!$M795,DEFAULT!$B$5:$CI$5,0),""))</f>
        <v/>
      </c>
      <c r="AA795" s="272" t="str">
        <f t="shared" si="55"/>
        <v/>
      </c>
      <c r="AB795" s="274" t="str">
        <f>IF(AND(OR($A795="G",$A795="P"),NOT($O795="{array}")),IF(VLOOKUP($K795,base!$B$2:$D$20,3,0)="S",IF(OR($O795="",ISTEXT($O795)),"","STRING!"),IF(VLOOKUP($K795,base!$B$2:$D$20,3,0)="","",IF(ISTEXT($O795),"NUMERIC!",""))),"")</f>
        <v/>
      </c>
      <c r="AC795" s="275" t="str">
        <f>IF($AA795="","",IF($B795="I",VLOOKUP($AA795,#REF!,53,0),INDEX(VALUES!$B$1:$GP$1,1,$AA795)))</f>
        <v/>
      </c>
    </row>
    <row r="796" spans="1:29" hidden="1" outlineLevel="1">
      <c r="A796" s="21" t="s">
        <v>86</v>
      </c>
      <c r="B796" s="40" t="str">
        <f t="shared" si="51"/>
        <v>A</v>
      </c>
      <c r="C796" s="41">
        <f t="shared" si="56"/>
        <v>795</v>
      </c>
      <c r="D796" s="260" t="s">
        <v>9</v>
      </c>
      <c r="E796" s="37"/>
      <c r="F796" s="305"/>
      <c r="G796" s="188" t="s">
        <v>9</v>
      </c>
      <c r="H796" s="37"/>
      <c r="I796" s="37" t="s">
        <v>9</v>
      </c>
      <c r="J796" s="37"/>
      <c r="K796" s="52" t="s">
        <v>26</v>
      </c>
      <c r="L796" s="52" t="s">
        <v>29</v>
      </c>
      <c r="M796" s="178" t="s">
        <v>3415</v>
      </c>
      <c r="N796" s="52" t="s">
        <v>933</v>
      </c>
      <c r="O796" s="153" t="s">
        <v>35</v>
      </c>
      <c r="P796" s="52"/>
      <c r="Q796" s="188" t="s">
        <v>9</v>
      </c>
      <c r="R796" s="174" t="s">
        <v>105</v>
      </c>
      <c r="S796" s="168"/>
      <c r="T796" s="163"/>
      <c r="U796" s="163"/>
      <c r="V796" s="163"/>
      <c r="W796" s="14"/>
      <c r="X796" s="14" t="str">
        <f t="shared" si="53"/>
        <v>...</v>
      </c>
      <c r="Y796" s="163"/>
      <c r="Z796" s="58">
        <f>IF(OR($M796="",NOT($O796="{array}")),"",IFERROR(MATCH(PARAMETERS!$M796,DEFAULT!$B$5:$CI$5,0),""))</f>
        <v>50</v>
      </c>
      <c r="AA796" s="55" t="str">
        <f t="shared" si="55"/>
        <v/>
      </c>
      <c r="AB796" s="62" t="str">
        <f>IF(AND(OR($A796="G",$A796="P"),NOT($O796="{array}")),IF(VLOOKUP($K796,base!$B$2:$D$20,3,0)="S",IF(OR($O796="",ISTEXT($O796)),"","STRING!"),IF(VLOOKUP($K796,base!$B$2:$D$20,3,0)="","",IF(ISTEXT($O796),"NUMERIC!",""))),"")</f>
        <v/>
      </c>
      <c r="AC796" s="16" t="str">
        <f>IF($AA796="","",IF($B796="I",VLOOKUP($AA796,#REF!,53,0),INDEX(VALUES!$B$1:$GP$1,1,$AA796)))</f>
        <v/>
      </c>
    </row>
    <row r="797" spans="1:29" hidden="1" outlineLevel="1">
      <c r="A797" s="21" t="s">
        <v>86</v>
      </c>
      <c r="B797" s="40" t="str">
        <f t="shared" si="51"/>
        <v/>
      </c>
      <c r="C797" s="41">
        <f t="shared" si="56"/>
        <v>796</v>
      </c>
      <c r="D797" s="260" t="s">
        <v>9</v>
      </c>
      <c r="E797" s="37"/>
      <c r="F797" s="305" t="s">
        <v>9</v>
      </c>
      <c r="G797" s="188" t="s">
        <v>9</v>
      </c>
      <c r="H797" s="37"/>
      <c r="I797" s="37" t="s">
        <v>9</v>
      </c>
      <c r="J797" s="37"/>
      <c r="K797" s="13" t="s">
        <v>26</v>
      </c>
      <c r="L797" s="13" t="s">
        <v>29</v>
      </c>
      <c r="M797" s="214" t="s">
        <v>998</v>
      </c>
      <c r="N797" s="13" t="s">
        <v>999</v>
      </c>
      <c r="O797" s="42">
        <v>0.16</v>
      </c>
      <c r="R797" s="37" t="s">
        <v>106</v>
      </c>
      <c r="S797" s="37"/>
      <c r="T797" s="37"/>
      <c r="W797" s="14" t="str">
        <f>IF(IFERROR(VLOOKUP($M797,'IMPORT GS-Tür OL FL 2S2 20'!$H$2:$H$847,1,0),"-")="-","","GS")</f>
        <v>GS</v>
      </c>
      <c r="X797" s="14" t="str">
        <f t="shared" si="53"/>
        <v>...</v>
      </c>
      <c r="Z797" s="58" t="str">
        <f>IF(OR($M797="",NOT($O797="{array}")),"",IFERROR(MATCH(PARAMETERS!$M797,DEFAULT!$B$5:$CI$5,0),""))</f>
        <v/>
      </c>
      <c r="AA797" s="55" t="str">
        <f t="shared" si="55"/>
        <v/>
      </c>
      <c r="AB797" s="62" t="str">
        <f>IF(AND(OR($A797="G",$A797="P"),NOT($O797="{array}")),IF(VLOOKUP($K797,base!$B$2:$D$20,3,0)="S",IF(OR($O797="",ISTEXT($O797)),"","STRING!"),IF(VLOOKUP($K797,base!$B$2:$D$20,3,0)="","",IF(ISTEXT($O797),"NUMERIC!",""))),"")</f>
        <v/>
      </c>
      <c r="AC797" s="16" t="str">
        <f>IF($AA797="","",IF($B797="I",VLOOKUP($AA797,#REF!,53,0),INDEX(VALUES!$B$1:$GP$1,1,$AA797)))</f>
        <v/>
      </c>
    </row>
    <row r="798" spans="1:29" hidden="1" outlineLevel="1">
      <c r="A798" s="21" t="s">
        <v>86</v>
      </c>
      <c r="B798" s="40" t="str">
        <f t="shared" si="51"/>
        <v/>
      </c>
      <c r="C798" s="41">
        <f t="shared" si="56"/>
        <v>797</v>
      </c>
      <c r="D798" s="260" t="s">
        <v>9</v>
      </c>
      <c r="E798" s="37"/>
      <c r="F798" s="305" t="s">
        <v>9</v>
      </c>
      <c r="G798" s="188" t="s">
        <v>9</v>
      </c>
      <c r="H798" s="37"/>
      <c r="I798" s="37" t="s">
        <v>9</v>
      </c>
      <c r="J798" s="37"/>
      <c r="K798" s="13" t="s">
        <v>26</v>
      </c>
      <c r="L798" s="13" t="s">
        <v>29</v>
      </c>
      <c r="M798" s="214" t="s">
        <v>1002</v>
      </c>
      <c r="N798" s="13" t="s">
        <v>1003</v>
      </c>
      <c r="O798" s="42">
        <v>0.16</v>
      </c>
      <c r="R798" s="37" t="s">
        <v>106</v>
      </c>
      <c r="S798" s="37"/>
      <c r="T798" s="37"/>
      <c r="W798" s="14" t="str">
        <f>IF(IFERROR(VLOOKUP($M798,'IMPORT GS-Tür OL FL 2S2 20'!$H$2:$H$847,1,0),"-")="-","","GS")</f>
        <v>GS</v>
      </c>
      <c r="X798" s="14" t="str">
        <f t="shared" si="53"/>
        <v>...</v>
      </c>
      <c r="Z798" s="58" t="str">
        <f>IF(OR($M798="",NOT($O798="{array}")),"",IFERROR(MATCH(PARAMETERS!$M798,DEFAULT!$B$5:$CI$5,0),""))</f>
        <v/>
      </c>
      <c r="AA798" s="55" t="str">
        <f t="shared" si="55"/>
        <v/>
      </c>
      <c r="AB798" s="62" t="str">
        <f>IF(AND(OR($A798="G",$A798="P"),NOT($O798="{array}")),IF(VLOOKUP($K798,base!$B$2:$D$20,3,0)="S",IF(OR($O798="",ISTEXT($O798)),"","STRING!"),IF(VLOOKUP($K798,base!$B$2:$D$20,3,0)="","",IF(ISTEXT($O798),"NUMERIC!",""))),"")</f>
        <v/>
      </c>
      <c r="AC798" s="16" t="str">
        <f>IF($AA798="","",IF($B798="I",VLOOKUP($AA798,#REF!,53,0),INDEX(VALUES!$B$1:$GP$1,1,$AA798)))</f>
        <v/>
      </c>
    </row>
    <row r="799" spans="1:29" hidden="1" outlineLevel="1">
      <c r="A799" s="21" t="s">
        <v>86</v>
      </c>
      <c r="B799" s="40" t="str">
        <f t="shared" si="51"/>
        <v/>
      </c>
      <c r="C799" s="41">
        <f t="shared" si="56"/>
        <v>798</v>
      </c>
      <c r="D799" s="260" t="s">
        <v>9</v>
      </c>
      <c r="E799" s="37"/>
      <c r="F799" s="305" t="s">
        <v>9</v>
      </c>
      <c r="G799" s="188" t="s">
        <v>9</v>
      </c>
      <c r="H799" s="37"/>
      <c r="I799" s="37" t="s">
        <v>9</v>
      </c>
      <c r="J799" s="37"/>
      <c r="K799" s="13" t="s">
        <v>26</v>
      </c>
      <c r="L799" s="13" t="s">
        <v>29</v>
      </c>
      <c r="M799" s="214" t="s">
        <v>1006</v>
      </c>
      <c r="N799" s="13" t="s">
        <v>1007</v>
      </c>
      <c r="O799" s="42">
        <v>0.2</v>
      </c>
      <c r="R799" s="37" t="s">
        <v>106</v>
      </c>
      <c r="S799" s="37"/>
      <c r="T799" s="37"/>
      <c r="W799" s="14" t="str">
        <f>IF(IFERROR(VLOOKUP($M799,'IMPORT GS-Tür OL FL 2S2 20'!$H$2:$H$847,1,0),"-")="-","","GS")</f>
        <v>GS</v>
      </c>
      <c r="X799" s="14">
        <f t="shared" si="53"/>
        <v>0.22</v>
      </c>
      <c r="Z799" s="58" t="str">
        <f>IF(OR($M799="",NOT($O799="{array}")),"",IFERROR(MATCH(PARAMETERS!$M799,DEFAULT!$B$5:$CI$5,0),""))</f>
        <v/>
      </c>
      <c r="AA799" s="55" t="str">
        <f t="shared" si="55"/>
        <v/>
      </c>
      <c r="AB799" s="62" t="str">
        <f>IF(AND(OR($A799="G",$A799="P"),NOT($O799="{array}")),IF(VLOOKUP($K799,base!$B$2:$D$20,3,0)="S",IF(OR($O799="",ISTEXT($O799)),"","STRING!"),IF(VLOOKUP($K799,base!$B$2:$D$20,3,0)="","",IF(ISTEXT($O799),"NUMERIC!",""))),"")</f>
        <v/>
      </c>
      <c r="AC799" s="16" t="str">
        <f>IF($AA799="","",IF($B799="I",VLOOKUP($AA799,#REF!,53,0),INDEX(VALUES!$B$1:$GP$1,1,$AA799)))</f>
        <v/>
      </c>
    </row>
    <row r="800" spans="1:29" hidden="1" outlineLevel="1">
      <c r="A800" s="21" t="s">
        <v>86</v>
      </c>
      <c r="B800" s="40" t="str">
        <f t="shared" si="51"/>
        <v/>
      </c>
      <c r="C800" s="41">
        <f t="shared" si="56"/>
        <v>799</v>
      </c>
      <c r="D800" s="260" t="s">
        <v>9</v>
      </c>
      <c r="E800" s="37"/>
      <c r="F800" s="305" t="s">
        <v>9</v>
      </c>
      <c r="G800" s="188" t="s">
        <v>9</v>
      </c>
      <c r="H800" s="37"/>
      <c r="I800" s="37" t="s">
        <v>9</v>
      </c>
      <c r="J800" s="37"/>
      <c r="K800" s="13" t="s">
        <v>26</v>
      </c>
      <c r="L800" s="13" t="s">
        <v>29</v>
      </c>
      <c r="M800" s="214" t="s">
        <v>1010</v>
      </c>
      <c r="N800" s="13" t="s">
        <v>1011</v>
      </c>
      <c r="O800" s="42">
        <v>0.16</v>
      </c>
      <c r="R800" s="37" t="s">
        <v>106</v>
      </c>
      <c r="S800" s="37"/>
      <c r="T800" s="37"/>
      <c r="W800" s="14" t="str">
        <f>IF(IFERROR(VLOOKUP($M800,'IMPORT GS-Tür OL FL 2S2 20'!$H$2:$H$847,1,0),"-")="-","","GS")</f>
        <v>GS</v>
      </c>
      <c r="X800" s="14" t="str">
        <f t="shared" si="53"/>
        <v>...</v>
      </c>
      <c r="Z800" s="58" t="str">
        <f>IF(OR($M800="",NOT($O800="{array}")),"",IFERROR(MATCH(PARAMETERS!$M800,DEFAULT!$B$5:$CI$5,0),""))</f>
        <v/>
      </c>
      <c r="AA800" s="55" t="str">
        <f t="shared" si="55"/>
        <v/>
      </c>
      <c r="AB800" s="62" t="str">
        <f>IF(AND(OR($A800="G",$A800="P"),NOT($O800="{array}")),IF(VLOOKUP($K800,base!$B$2:$D$20,3,0)="S",IF(OR($O800="",ISTEXT($O800)),"","STRING!"),IF(VLOOKUP($K800,base!$B$2:$D$20,3,0)="","",IF(ISTEXT($O800),"NUMERIC!",""))),"")</f>
        <v/>
      </c>
      <c r="AC800" s="16" t="str">
        <f>IF($AA800="","",IF($B800="I",VLOOKUP($AA800,#REF!,53,0),INDEX(VALUES!$B$1:$GP$1,1,$AA800)))</f>
        <v/>
      </c>
    </row>
    <row r="801" spans="1:29" s="276" customFormat="1" hidden="1" outlineLevel="1">
      <c r="A801" s="263"/>
      <c r="B801" s="264" t="str">
        <f t="shared" si="51"/>
        <v/>
      </c>
      <c r="C801" s="265">
        <f t="shared" si="56"/>
        <v>800</v>
      </c>
      <c r="D801" s="266"/>
      <c r="E801" s="266"/>
      <c r="F801" s="305" t="s">
        <v>9</v>
      </c>
      <c r="G801" s="188"/>
      <c r="H801" s="266"/>
      <c r="I801" s="266" t="s">
        <v>9</v>
      </c>
      <c r="J801" s="266"/>
      <c r="K801" s="267" t="s">
        <v>46</v>
      </c>
      <c r="L801" s="267" t="s">
        <v>29</v>
      </c>
      <c r="M801" s="293" t="s">
        <v>1014</v>
      </c>
      <c r="N801" s="267" t="s">
        <v>1015</v>
      </c>
      <c r="O801" s="269">
        <v>3</v>
      </c>
      <c r="P801" s="267"/>
      <c r="Q801" s="270"/>
      <c r="R801" s="270" t="s">
        <v>106</v>
      </c>
      <c r="S801" s="266"/>
      <c r="T801" s="266"/>
      <c r="W801" s="272" t="str">
        <f>IF(IFERROR(VLOOKUP($M801,'IMPORT GS-Tür OL FL 2S2 20'!$H$2:$H$847,1,0),"-")="-","","GS")</f>
        <v>GS</v>
      </c>
      <c r="X801" s="272" t="str">
        <f t="shared" si="53"/>
        <v/>
      </c>
      <c r="Z801" s="273" t="str">
        <f>IF(OR($M801="",NOT($O801="{array}")),"",IFERROR(MATCH(PARAMETERS!$M801,DEFAULT!$B$5:$CI$5,0),""))</f>
        <v/>
      </c>
      <c r="AA801" s="272" t="str">
        <f t="shared" si="55"/>
        <v/>
      </c>
      <c r="AB801" s="274" t="str">
        <f>IF(AND(OR($A801="G",$A801="P"),NOT($O801="{array}")),IF(VLOOKUP($K801,base!$B$2:$D$20,3,0)="S",IF(OR($O801="",ISTEXT($O801)),"","STRING!"),IF(VLOOKUP($K801,base!$B$2:$D$20,3,0)="","",IF(ISTEXT($O801),"NUMERIC!",""))),"")</f>
        <v/>
      </c>
      <c r="AC801" s="275" t="str">
        <f>IF($AA801="","",IF($B801="I",VLOOKUP($AA801,#REF!,53,0),INDEX(VALUES!$B$1:$GP$1,1,$AA801)))</f>
        <v/>
      </c>
    </row>
    <row r="802" spans="1:29" s="276" customFormat="1" hidden="1" outlineLevel="1">
      <c r="A802" s="263"/>
      <c r="B802" s="264" t="str">
        <f t="shared" si="51"/>
        <v/>
      </c>
      <c r="C802" s="265">
        <f t="shared" si="56"/>
        <v>801</v>
      </c>
      <c r="D802" s="266"/>
      <c r="E802" s="266"/>
      <c r="F802" s="305" t="s">
        <v>9</v>
      </c>
      <c r="G802" s="188"/>
      <c r="H802" s="266"/>
      <c r="I802" s="266" t="s">
        <v>9</v>
      </c>
      <c r="J802" s="266"/>
      <c r="K802" s="267" t="s">
        <v>46</v>
      </c>
      <c r="L802" s="267" t="s">
        <v>29</v>
      </c>
      <c r="M802" s="293" t="s">
        <v>1018</v>
      </c>
      <c r="N802" s="267" t="s">
        <v>1019</v>
      </c>
      <c r="O802" s="269">
        <v>2</v>
      </c>
      <c r="P802" s="267"/>
      <c r="Q802" s="270"/>
      <c r="R802" s="270" t="s">
        <v>106</v>
      </c>
      <c r="S802" s="266"/>
      <c r="T802" s="266"/>
      <c r="W802" s="272" t="str">
        <f>IF(IFERROR(VLOOKUP($M802,'IMPORT GS-Tür OL FL 2S2 20'!$H$2:$H$847,1,0),"-")="-","","GS")</f>
        <v>GS</v>
      </c>
      <c r="X802" s="272" t="str">
        <f t="shared" si="53"/>
        <v/>
      </c>
      <c r="Z802" s="273" t="str">
        <f>IF(OR($M802="",NOT($O802="{array}")),"",IFERROR(MATCH(PARAMETERS!$M802,DEFAULT!$B$5:$CI$5,0),""))</f>
        <v/>
      </c>
      <c r="AA802" s="272" t="str">
        <f t="shared" si="55"/>
        <v/>
      </c>
      <c r="AB802" s="274" t="str">
        <f>IF(AND(OR($A802="G",$A802="P"),NOT($O802="{array}")),IF(VLOOKUP($K802,base!$B$2:$D$20,3,0)="S",IF(OR($O802="",ISTEXT($O802)),"","STRING!"),IF(VLOOKUP($K802,base!$B$2:$D$20,3,0)="","",IF(ISTEXT($O802),"NUMERIC!",""))),"")</f>
        <v/>
      </c>
      <c r="AC802" s="275" t="str">
        <f>IF($AA802="","",IF($B802="I",VLOOKUP($AA802,#REF!,53,0),INDEX(VALUES!$B$1:$GP$1,1,$AA802)))</f>
        <v/>
      </c>
    </row>
    <row r="803" spans="1:29" hidden="1" outlineLevel="1">
      <c r="A803" s="21" t="s">
        <v>86</v>
      </c>
      <c r="B803" s="40" t="str">
        <f t="shared" si="51"/>
        <v/>
      </c>
      <c r="C803" s="41">
        <f t="shared" si="56"/>
        <v>802</v>
      </c>
      <c r="D803" s="260" t="s">
        <v>9</v>
      </c>
      <c r="E803" s="37"/>
      <c r="F803" s="305" t="s">
        <v>9</v>
      </c>
      <c r="G803" s="188" t="s">
        <v>9</v>
      </c>
      <c r="H803" s="37"/>
      <c r="I803" s="37" t="s">
        <v>9</v>
      </c>
      <c r="J803" s="37"/>
      <c r="K803" s="13" t="s">
        <v>26</v>
      </c>
      <c r="L803" s="13" t="s">
        <v>29</v>
      </c>
      <c r="M803" s="214" t="s">
        <v>1022</v>
      </c>
      <c r="N803" s="13" t="s">
        <v>1023</v>
      </c>
      <c r="O803" s="42">
        <v>2.1999999999999999E-2</v>
      </c>
      <c r="R803" s="37" t="s">
        <v>106</v>
      </c>
      <c r="S803" s="37"/>
      <c r="T803" s="37"/>
      <c r="W803" s="14" t="str">
        <f>IF(IFERROR(VLOOKUP($M803,'IMPORT GS-Tür OL FL 2S2 20'!$H$2:$H$847,1,0),"-")="-","","GS")</f>
        <v>GS</v>
      </c>
      <c r="X803" s="14" t="str">
        <f t="shared" si="53"/>
        <v>...</v>
      </c>
      <c r="Z803" s="58" t="str">
        <f>IF(OR($M803="",NOT($O803="{array}")),"",IFERROR(MATCH(PARAMETERS!$M803,DEFAULT!$B$5:$CI$5,0),""))</f>
        <v/>
      </c>
      <c r="AA803" s="55" t="str">
        <f t="shared" si="55"/>
        <v/>
      </c>
      <c r="AB803" s="62" t="str">
        <f>IF(AND(OR($A803="G",$A803="P"),NOT($O803="{array}")),IF(VLOOKUP($K803,base!$B$2:$D$20,3,0)="S",IF(OR($O803="",ISTEXT($O803)),"","STRING!"),IF(VLOOKUP($K803,base!$B$2:$D$20,3,0)="","",IF(ISTEXT($O803),"NUMERIC!",""))),"")</f>
        <v/>
      </c>
      <c r="AC803" s="16" t="str">
        <f>IF($AA803="","",IF($B803="I",VLOOKUP($AA803,#REF!,53,0),INDEX(VALUES!$B$1:$GP$1,1,$AA803)))</f>
        <v/>
      </c>
    </row>
    <row r="804" spans="1:29" hidden="1" outlineLevel="1">
      <c r="A804" s="21" t="s">
        <v>86</v>
      </c>
      <c r="B804" s="40" t="str">
        <f t="shared" si="51"/>
        <v/>
      </c>
      <c r="C804" s="41">
        <f t="shared" si="56"/>
        <v>803</v>
      </c>
      <c r="D804" s="260" t="s">
        <v>9</v>
      </c>
      <c r="E804" s="37"/>
      <c r="F804" s="305" t="s">
        <v>9</v>
      </c>
      <c r="G804" s="188" t="s">
        <v>9</v>
      </c>
      <c r="H804" s="37"/>
      <c r="I804" s="37" t="s">
        <v>9</v>
      </c>
      <c r="J804" s="37"/>
      <c r="K804" s="13" t="s">
        <v>26</v>
      </c>
      <c r="L804" s="13" t="s">
        <v>29</v>
      </c>
      <c r="M804" s="214" t="s">
        <v>1026</v>
      </c>
      <c r="N804" s="13" t="s">
        <v>1027</v>
      </c>
      <c r="O804" s="42">
        <v>1.2500000000000001E-2</v>
      </c>
      <c r="R804" s="37" t="s">
        <v>106</v>
      </c>
      <c r="S804" s="37"/>
      <c r="T804" s="37"/>
      <c r="W804" s="14" t="str">
        <f>IF(IFERROR(VLOOKUP($M804,'IMPORT GS-Tür OL FL 2S2 20'!$H$2:$H$847,1,0),"-")="-","","GS")</f>
        <v>GS</v>
      </c>
      <c r="X804" s="14" t="str">
        <f t="shared" si="53"/>
        <v>...</v>
      </c>
      <c r="Z804" s="58" t="str">
        <f>IF(OR($M804="",NOT($O804="{array}")),"",IFERROR(MATCH(PARAMETERS!$M804,DEFAULT!$B$5:$CI$5,0),""))</f>
        <v/>
      </c>
      <c r="AA804" s="55" t="str">
        <f t="shared" si="55"/>
        <v/>
      </c>
      <c r="AB804" s="62" t="str">
        <f>IF(AND(OR($A804="G",$A804="P"),NOT($O804="{array}")),IF(VLOOKUP($K804,base!$B$2:$D$20,3,0)="S",IF(OR($O804="",ISTEXT($O804)),"","STRING!"),IF(VLOOKUP($K804,base!$B$2:$D$20,3,0)="","",IF(ISTEXT($O804),"NUMERIC!",""))),"")</f>
        <v/>
      </c>
      <c r="AC804" s="16" t="str">
        <f>IF($AA804="","",IF($B804="I",VLOOKUP($AA804,#REF!,53,0),INDEX(VALUES!$B$1:$GP$1,1,$AA804)))</f>
        <v/>
      </c>
    </row>
    <row r="805" spans="1:29" s="276" customFormat="1" hidden="1" outlineLevel="1">
      <c r="A805" s="263"/>
      <c r="B805" s="264" t="str">
        <f t="shared" si="51"/>
        <v/>
      </c>
      <c r="C805" s="265">
        <f t="shared" si="56"/>
        <v>804</v>
      </c>
      <c r="D805" s="266"/>
      <c r="E805" s="266"/>
      <c r="F805" s="305" t="s">
        <v>9</v>
      </c>
      <c r="G805" s="188"/>
      <c r="H805" s="266"/>
      <c r="I805" s="266" t="s">
        <v>9</v>
      </c>
      <c r="J805" s="266"/>
      <c r="K805" s="267" t="s">
        <v>26</v>
      </c>
      <c r="L805" s="267" t="s">
        <v>29</v>
      </c>
      <c r="M805" s="293" t="s">
        <v>1030</v>
      </c>
      <c r="N805" s="267" t="s">
        <v>3416</v>
      </c>
      <c r="O805" s="269">
        <v>0.2</v>
      </c>
      <c r="P805" s="267"/>
      <c r="Q805" s="270"/>
      <c r="R805" s="270" t="s">
        <v>106</v>
      </c>
      <c r="S805" s="266"/>
      <c r="T805" s="266"/>
      <c r="W805" s="272" t="str">
        <f>IF(IFERROR(VLOOKUP($M805,'IMPORT GS-Tür OL FL 2S2 20'!$H$2:$H$847,1,0),"-")="-","","GS")</f>
        <v>GS</v>
      </c>
      <c r="X805" s="272" t="str">
        <f t="shared" si="53"/>
        <v/>
      </c>
      <c r="Z805" s="273" t="str">
        <f>IF(OR($M805="",NOT($O805="{array}")),"",IFERROR(MATCH(PARAMETERS!$M805,DEFAULT!$B$5:$CI$5,0),""))</f>
        <v/>
      </c>
      <c r="AA805" s="272" t="str">
        <f t="shared" si="55"/>
        <v/>
      </c>
      <c r="AB805" s="274" t="str">
        <f>IF(AND(OR($A805="G",$A805="P"),NOT($O805="{array}")),IF(VLOOKUP($K805,base!$B$2:$D$20,3,0)="S",IF(OR($O805="",ISTEXT($O805)),"","STRING!"),IF(VLOOKUP($K805,base!$B$2:$D$20,3,0)="","",IF(ISTEXT($O805),"NUMERIC!",""))),"")</f>
        <v/>
      </c>
      <c r="AC805" s="275" t="str">
        <f>IF($AA805="","",IF($B805="I",VLOOKUP($AA805,#REF!,53,0),INDEX(VALUES!$B$1:$GP$1,1,$AA805)))</f>
        <v/>
      </c>
    </row>
    <row r="806" spans="1:29" s="276" customFormat="1" hidden="1" outlineLevel="1">
      <c r="A806" s="263"/>
      <c r="B806" s="264" t="str">
        <f t="shared" si="51"/>
        <v/>
      </c>
      <c r="C806" s="265">
        <f t="shared" si="56"/>
        <v>805</v>
      </c>
      <c r="D806" s="266"/>
      <c r="E806" s="266"/>
      <c r="F806" s="305" t="s">
        <v>9</v>
      </c>
      <c r="G806" s="188"/>
      <c r="H806" s="266"/>
      <c r="I806" s="266" t="s">
        <v>9</v>
      </c>
      <c r="J806" s="266"/>
      <c r="K806" s="267" t="s">
        <v>26</v>
      </c>
      <c r="L806" s="267" t="s">
        <v>29</v>
      </c>
      <c r="M806" s="293" t="s">
        <v>1034</v>
      </c>
      <c r="N806" s="267" t="s">
        <v>1035</v>
      </c>
      <c r="O806" s="269">
        <v>0.35</v>
      </c>
      <c r="P806" s="267"/>
      <c r="Q806" s="270"/>
      <c r="R806" s="270" t="s">
        <v>106</v>
      </c>
      <c r="S806" s="266"/>
      <c r="T806" s="266"/>
      <c r="W806" s="272" t="str">
        <f>IF(IFERROR(VLOOKUP($M806,'IMPORT GS-Tür OL FL 2S2 20'!$H$2:$H$847,1,0),"-")="-","","GS")</f>
        <v>GS</v>
      </c>
      <c r="X806" s="272" t="str">
        <f t="shared" si="53"/>
        <v/>
      </c>
      <c r="Z806" s="273" t="str">
        <f>IF(OR($M806="",NOT($O806="{array}")),"",IFERROR(MATCH(PARAMETERS!$M806,DEFAULT!$B$5:$CI$5,0),""))</f>
        <v/>
      </c>
      <c r="AA806" s="272" t="str">
        <f t="shared" si="55"/>
        <v/>
      </c>
      <c r="AB806" s="274" t="str">
        <f>IF(AND(OR($A806="G",$A806="P"),NOT($O806="{array}")),IF(VLOOKUP($K806,base!$B$2:$D$20,3,0)="S",IF(OR($O806="",ISTEXT($O806)),"","STRING!"),IF(VLOOKUP($K806,base!$B$2:$D$20,3,0)="","",IF(ISTEXT($O806),"NUMERIC!",""))),"")</f>
        <v/>
      </c>
      <c r="AC806" s="275" t="str">
        <f>IF($AA806="","",IF($B806="I",VLOOKUP($AA806,#REF!,53,0),INDEX(VALUES!$B$1:$GP$1,1,$AA806)))</f>
        <v/>
      </c>
    </row>
    <row r="807" spans="1:29" s="276" customFormat="1" hidden="1" outlineLevel="1">
      <c r="A807" s="263"/>
      <c r="B807" s="264" t="str">
        <f t="shared" si="51"/>
        <v/>
      </c>
      <c r="C807" s="265">
        <f t="shared" si="56"/>
        <v>806</v>
      </c>
      <c r="D807" s="266"/>
      <c r="E807" s="266"/>
      <c r="F807" s="305" t="s">
        <v>9</v>
      </c>
      <c r="G807" s="188"/>
      <c r="H807" s="266"/>
      <c r="I807" s="266" t="s">
        <v>9</v>
      </c>
      <c r="J807" s="266"/>
      <c r="K807" s="267" t="s">
        <v>26</v>
      </c>
      <c r="L807" s="267" t="s">
        <v>29</v>
      </c>
      <c r="M807" s="293" t="s">
        <v>1038</v>
      </c>
      <c r="N807" s="267" t="s">
        <v>1039</v>
      </c>
      <c r="O807" s="269">
        <v>0.315</v>
      </c>
      <c r="P807" s="267"/>
      <c r="Q807" s="270"/>
      <c r="R807" s="270" t="s">
        <v>106</v>
      </c>
      <c r="S807" s="266"/>
      <c r="T807" s="266"/>
      <c r="W807" s="272" t="str">
        <f>IF(IFERROR(VLOOKUP($M807,'IMPORT GS-Tür OL FL 2S2 20'!$H$2:$H$847,1,0),"-")="-","","GS")</f>
        <v>GS</v>
      </c>
      <c r="X807" s="272" t="str">
        <f t="shared" si="53"/>
        <v/>
      </c>
      <c r="Z807" s="273" t="str">
        <f>IF(OR($M807="",NOT($O807="{array}")),"",IFERROR(MATCH(PARAMETERS!$M807,DEFAULT!$B$5:$CI$5,0),""))</f>
        <v/>
      </c>
      <c r="AA807" s="272" t="str">
        <f t="shared" si="55"/>
        <v/>
      </c>
      <c r="AB807" s="274" t="str">
        <f>IF(AND(OR($A807="G",$A807="P"),NOT($O807="{array}")),IF(VLOOKUP($K807,base!$B$2:$D$20,3,0)="S",IF(OR($O807="",ISTEXT($O807)),"","STRING!"),IF(VLOOKUP($K807,base!$B$2:$D$20,3,0)="","",IF(ISTEXT($O807),"NUMERIC!",""))),"")</f>
        <v/>
      </c>
      <c r="AC807" s="275" t="str">
        <f>IF($AA807="","",IF($B807="I",VLOOKUP($AA807,#REF!,53,0),INDEX(VALUES!$B$1:$GP$1,1,$AA807)))</f>
        <v/>
      </c>
    </row>
    <row r="808" spans="1:29" s="276" customFormat="1" hidden="1" outlineLevel="1">
      <c r="A808" s="263"/>
      <c r="B808" s="264" t="str">
        <f t="shared" si="51"/>
        <v/>
      </c>
      <c r="C808" s="265">
        <f t="shared" si="56"/>
        <v>807</v>
      </c>
      <c r="D808" s="266"/>
      <c r="E808" s="266"/>
      <c r="F808" s="305" t="s">
        <v>9</v>
      </c>
      <c r="G808" s="188"/>
      <c r="H808" s="266"/>
      <c r="I808" s="266" t="s">
        <v>9</v>
      </c>
      <c r="J808" s="266"/>
      <c r="K808" s="267" t="s">
        <v>26</v>
      </c>
      <c r="L808" s="267" t="s">
        <v>29</v>
      </c>
      <c r="M808" s="293" t="s">
        <v>1042</v>
      </c>
      <c r="N808" s="267" t="s">
        <v>1043</v>
      </c>
      <c r="O808" s="269">
        <v>1.4</v>
      </c>
      <c r="P808" s="267"/>
      <c r="Q808" s="270"/>
      <c r="R808" s="270" t="s">
        <v>106</v>
      </c>
      <c r="S808" s="266"/>
      <c r="T808" s="266"/>
      <c r="W808" s="272" t="str">
        <f>IF(IFERROR(VLOOKUP($M808,'IMPORT GS-Tür OL FL 2S2 20'!$H$2:$H$847,1,0),"-")="-","","GS")</f>
        <v>GS</v>
      </c>
      <c r="X808" s="272" t="str">
        <f t="shared" si="53"/>
        <v/>
      </c>
      <c r="Z808" s="273" t="str">
        <f>IF(OR($M808="",NOT($O808="{array}")),"",IFERROR(MATCH(PARAMETERS!$M808,DEFAULT!$B$5:$CI$5,0),""))</f>
        <v/>
      </c>
      <c r="AA808" s="272" t="str">
        <f t="shared" si="55"/>
        <v/>
      </c>
      <c r="AB808" s="274" t="str">
        <f>IF(AND(OR($A808="G",$A808="P"),NOT($O808="{array}")),IF(VLOOKUP($K808,base!$B$2:$D$20,3,0)="S",IF(OR($O808="",ISTEXT($O808)),"","STRING!"),IF(VLOOKUP($K808,base!$B$2:$D$20,3,0)="","",IF(ISTEXT($O808),"NUMERIC!",""))),"")</f>
        <v/>
      </c>
      <c r="AC808" s="275" t="str">
        <f>IF($AA808="","",IF($B808="I",VLOOKUP($AA808,#REF!,53,0),INDEX(VALUES!$B$1:$GP$1,1,$AA808)))</f>
        <v/>
      </c>
    </row>
    <row r="809" spans="1:29" s="276" customFormat="1" hidden="1" outlineLevel="1">
      <c r="A809" s="263"/>
      <c r="B809" s="264" t="str">
        <f t="shared" si="51"/>
        <v/>
      </c>
      <c r="C809" s="265">
        <f t="shared" si="56"/>
        <v>808</v>
      </c>
      <c r="D809" s="266"/>
      <c r="E809" s="266"/>
      <c r="F809" s="305" t="s">
        <v>9</v>
      </c>
      <c r="G809" s="188"/>
      <c r="H809" s="266"/>
      <c r="I809" s="266" t="s">
        <v>9</v>
      </c>
      <c r="J809" s="266"/>
      <c r="K809" s="267" t="s">
        <v>26</v>
      </c>
      <c r="L809" s="267" t="s">
        <v>29</v>
      </c>
      <c r="M809" s="293" t="s">
        <v>1046</v>
      </c>
      <c r="N809" s="267" t="s">
        <v>1047</v>
      </c>
      <c r="O809" s="269">
        <v>0.51500000000000001</v>
      </c>
      <c r="P809" s="267"/>
      <c r="Q809" s="270"/>
      <c r="R809" s="270" t="s">
        <v>106</v>
      </c>
      <c r="S809" s="266"/>
      <c r="T809" s="266"/>
      <c r="W809" s="272" t="str">
        <f>IF(IFERROR(VLOOKUP($M809,'IMPORT GS-Tür OL FL 2S2 20'!$H$2:$H$847,1,0),"-")="-","","GS")</f>
        <v>GS</v>
      </c>
      <c r="X809" s="272" t="str">
        <f t="shared" si="53"/>
        <v/>
      </c>
      <c r="Z809" s="273" t="str">
        <f>IF(OR($M809="",NOT($O809="{array}")),"",IFERROR(MATCH(PARAMETERS!$M809,DEFAULT!$B$5:$CI$5,0),""))</f>
        <v/>
      </c>
      <c r="AA809" s="272" t="str">
        <f t="shared" si="55"/>
        <v/>
      </c>
      <c r="AB809" s="274" t="str">
        <f>IF(AND(OR($A809="G",$A809="P"),NOT($O809="{array}")),IF(VLOOKUP($K809,base!$B$2:$D$20,3,0)="S",IF(OR($O809="",ISTEXT($O809)),"","STRING!"),IF(VLOOKUP($K809,base!$B$2:$D$20,3,0)="","",IF(ISTEXT($O809),"NUMERIC!",""))),"")</f>
        <v/>
      </c>
      <c r="AC809" s="275" t="str">
        <f>IF($AA809="","",IF($B809="I",VLOOKUP($AA809,#REF!,53,0),INDEX(VALUES!$B$1:$GP$1,1,$AA809)))</f>
        <v/>
      </c>
    </row>
    <row r="810" spans="1:29" hidden="1" outlineLevel="1">
      <c r="A810" s="21" t="s">
        <v>86</v>
      </c>
      <c r="B810" s="40" t="str">
        <f t="shared" si="51"/>
        <v/>
      </c>
      <c r="C810" s="41">
        <f t="shared" si="56"/>
        <v>809</v>
      </c>
      <c r="D810" s="260" t="s">
        <v>9</v>
      </c>
      <c r="E810" s="37"/>
      <c r="F810" s="305"/>
      <c r="G810" s="188" t="s">
        <v>9</v>
      </c>
      <c r="H810" s="37"/>
      <c r="I810" s="37" t="s">
        <v>9</v>
      </c>
      <c r="J810" s="37"/>
      <c r="K810" s="52" t="s">
        <v>26</v>
      </c>
      <c r="L810" s="52" t="s">
        <v>29</v>
      </c>
      <c r="M810" s="178" t="s">
        <v>3417</v>
      </c>
      <c r="N810" s="52" t="s">
        <v>3418</v>
      </c>
      <c r="O810" s="153">
        <v>0.1</v>
      </c>
      <c r="P810" s="52"/>
      <c r="Q810" s="188" t="s">
        <v>9</v>
      </c>
      <c r="R810" s="174" t="s">
        <v>105</v>
      </c>
      <c r="S810" s="168"/>
      <c r="T810" s="163"/>
      <c r="U810" s="163"/>
      <c r="V810" s="163"/>
      <c r="W810" s="14"/>
      <c r="X810" s="14">
        <f t="shared" ref="X810:X870" si="57">IF($A810="G",IF(IFERROR(VLOOKUP($M810,Reimport,1,0),"-")="-","&gt;&lt;",IF($O810=VLOOKUP($M810,Reimport,2,0),"...",VLOOKUP($M810,Reimport,2,0))),"")</f>
        <v>0.16</v>
      </c>
      <c r="Y810" s="163"/>
      <c r="Z810" s="58" t="str">
        <f>IF(OR($M810="",NOT($O810="{array}")),"",IFERROR(MATCH(PARAMETERS!$M810,DEFAULT!$B$5:$CI$5,0),""))</f>
        <v/>
      </c>
      <c r="AA810" s="55" t="str">
        <f t="shared" si="55"/>
        <v/>
      </c>
      <c r="AB810" s="62" t="str">
        <f>IF(AND(OR($A810="G",$A810="P"),NOT($O810="{array}")),IF(VLOOKUP($K810,base!$B$2:$D$20,3,0)="S",IF(OR($O810="",ISTEXT($O810)),"","STRING!"),IF(VLOOKUP($K810,base!$B$2:$D$20,3,0)="","",IF(ISTEXT($O810),"NUMERIC!",""))),"")</f>
        <v/>
      </c>
      <c r="AC810" s="16" t="str">
        <f>IF($AA810="","",IF($B810="I",VLOOKUP($AA810,#REF!,53,0),INDEX(VALUES!$B$1:$GP$1,1,$AA810)))</f>
        <v/>
      </c>
    </row>
    <row r="811" spans="1:29" hidden="1" outlineLevel="1">
      <c r="A811" s="21" t="s">
        <v>86</v>
      </c>
      <c r="B811" s="40" t="str">
        <f t="shared" si="51"/>
        <v/>
      </c>
      <c r="C811" s="41">
        <f t="shared" si="56"/>
        <v>810</v>
      </c>
      <c r="D811" s="260" t="s">
        <v>9</v>
      </c>
      <c r="E811" s="37"/>
      <c r="F811" s="305"/>
      <c r="G811" s="188" t="s">
        <v>9</v>
      </c>
      <c r="H811" s="37"/>
      <c r="I811" s="37" t="s">
        <v>9</v>
      </c>
      <c r="J811" s="37"/>
      <c r="K811" s="52" t="s">
        <v>26</v>
      </c>
      <c r="L811" s="52" t="s">
        <v>29</v>
      </c>
      <c r="M811" s="178" t="s">
        <v>3419</v>
      </c>
      <c r="N811" s="52" t="s">
        <v>3420</v>
      </c>
      <c r="O811" s="153">
        <v>0.1</v>
      </c>
      <c r="P811" s="52"/>
      <c r="Q811" s="188" t="s">
        <v>9</v>
      </c>
      <c r="R811" s="174" t="s">
        <v>105</v>
      </c>
      <c r="S811" s="168"/>
      <c r="T811" s="163"/>
      <c r="U811" s="163"/>
      <c r="V811" s="163"/>
      <c r="W811" s="14"/>
      <c r="X811" s="14">
        <f t="shared" si="57"/>
        <v>0.16</v>
      </c>
      <c r="Y811" s="163"/>
      <c r="Z811" s="58" t="str">
        <f>IF(OR($M811="",NOT($O811="{array}")),"",IFERROR(MATCH(PARAMETERS!$M811,DEFAULT!$B$5:$CI$5,0),""))</f>
        <v/>
      </c>
      <c r="AA811" s="55" t="str">
        <f t="shared" si="55"/>
        <v/>
      </c>
      <c r="AB811" s="62" t="str">
        <f>IF(AND(OR($A811="G",$A811="P"),NOT($O811="{array}")),IF(VLOOKUP($K811,base!$B$2:$D$20,3,0)="S",IF(OR($O811="",ISTEXT($O811)),"","STRING!"),IF(VLOOKUP($K811,base!$B$2:$D$20,3,0)="","",IF(ISTEXT($O811),"NUMERIC!",""))),"")</f>
        <v/>
      </c>
      <c r="AC811" s="16" t="str">
        <f>IF($AA811="","",IF($B811="I",VLOOKUP($AA811,#REF!,53,0),INDEX(VALUES!$B$1:$GP$1,1,$AA811)))</f>
        <v/>
      </c>
    </row>
    <row r="812" spans="1:29" hidden="1" outlineLevel="1">
      <c r="A812" s="21" t="s">
        <v>86</v>
      </c>
      <c r="B812" s="40" t="str">
        <f t="shared" si="51"/>
        <v/>
      </c>
      <c r="C812" s="41">
        <f t="shared" si="56"/>
        <v>811</v>
      </c>
      <c r="D812" s="260" t="s">
        <v>9</v>
      </c>
      <c r="E812" s="37"/>
      <c r="F812" s="305"/>
      <c r="G812" s="188" t="s">
        <v>9</v>
      </c>
      <c r="H812" s="37"/>
      <c r="I812" s="37" t="s">
        <v>9</v>
      </c>
      <c r="J812" s="37"/>
      <c r="K812" s="52" t="s">
        <v>26</v>
      </c>
      <c r="L812" s="52" t="s">
        <v>29</v>
      </c>
      <c r="M812" s="178" t="s">
        <v>3421</v>
      </c>
      <c r="N812" s="52" t="s">
        <v>3422</v>
      </c>
      <c r="O812" s="153">
        <v>0.1</v>
      </c>
      <c r="P812" s="52"/>
      <c r="Q812" s="188" t="s">
        <v>9</v>
      </c>
      <c r="R812" s="174" t="s">
        <v>105</v>
      </c>
      <c r="S812" s="168"/>
      <c r="T812" s="163"/>
      <c r="U812" s="163"/>
      <c r="V812" s="163"/>
      <c r="W812" s="14"/>
      <c r="X812" s="14">
        <f t="shared" si="57"/>
        <v>0</v>
      </c>
      <c r="Y812" s="163"/>
      <c r="Z812" s="58" t="str">
        <f>IF(OR($M812="",NOT($O812="{array}")),"",IFERROR(MATCH(PARAMETERS!$M812,DEFAULT!$B$5:$CI$5,0),""))</f>
        <v/>
      </c>
      <c r="AA812" s="55" t="str">
        <f t="shared" si="55"/>
        <v/>
      </c>
      <c r="AB812" s="62" t="str">
        <f>IF(AND(OR($A812="G",$A812="P"),NOT($O812="{array}")),IF(VLOOKUP($K812,base!$B$2:$D$20,3,0)="S",IF(OR($O812="",ISTEXT($O812)),"","STRING!"),IF(VLOOKUP($K812,base!$B$2:$D$20,3,0)="","",IF(ISTEXT($O812),"NUMERIC!",""))),"")</f>
        <v/>
      </c>
      <c r="AC812" s="16" t="str">
        <f>IF($AA812="","",IF($B812="I",VLOOKUP($AA812,#REF!,53,0),INDEX(VALUES!$B$1:$GP$1,1,$AA812)))</f>
        <v/>
      </c>
    </row>
    <row r="813" spans="1:29" hidden="1" outlineLevel="1">
      <c r="A813" s="21" t="s">
        <v>86</v>
      </c>
      <c r="B813" s="40" t="str">
        <f t="shared" si="51"/>
        <v/>
      </c>
      <c r="C813" s="41">
        <f t="shared" si="56"/>
        <v>812</v>
      </c>
      <c r="D813" s="260"/>
      <c r="E813" s="37"/>
      <c r="F813" s="305"/>
      <c r="G813" s="188"/>
      <c r="H813" s="37"/>
      <c r="I813" s="37" t="s">
        <v>9</v>
      </c>
      <c r="J813" s="37"/>
      <c r="K813" s="163" t="s">
        <v>46</v>
      </c>
      <c r="L813" s="13" t="s">
        <v>29</v>
      </c>
      <c r="M813" s="189" t="s">
        <v>3431</v>
      </c>
      <c r="N813" s="52" t="s">
        <v>3432</v>
      </c>
      <c r="O813" s="163">
        <v>1</v>
      </c>
      <c r="P813" s="157" t="s">
        <v>298</v>
      </c>
      <c r="Q813" s="167"/>
      <c r="R813" s="168" t="s">
        <v>105</v>
      </c>
      <c r="S813" s="168" t="s">
        <v>114</v>
      </c>
      <c r="T813" s="163" t="s">
        <v>298</v>
      </c>
      <c r="U813" s="163" t="s">
        <v>298</v>
      </c>
      <c r="V813" s="163" t="s">
        <v>802</v>
      </c>
      <c r="W813" s="14" t="str">
        <f>IF(IFERROR(VLOOKUP($M813,'IMPORT GS-Tür OL FL 2S2 20'!$H$2:$H$847,1,0),"-")="-","","GS")</f>
        <v/>
      </c>
      <c r="X813" s="14" t="str">
        <f t="shared" si="57"/>
        <v>...</v>
      </c>
      <c r="Y813" s="163" t="s">
        <v>803</v>
      </c>
      <c r="Z813" s="58" t="str">
        <f>IF(OR($M813="",NOT($O813="{array}")),"",IFERROR(MATCH(PARAMETERS!$M813,DEFAULT!$B$5:$CI$5,0),""))</f>
        <v/>
      </c>
      <c r="AA813" s="55" t="str">
        <f t="shared" si="55"/>
        <v/>
      </c>
      <c r="AB813" s="62" t="str">
        <f>IF(AND(OR($A813="G",$A813="P"),NOT($O813="{array}")),IF(VLOOKUP($K813,base!$B$2:$D$20,3,0)="S",IF(OR($O813="",ISTEXT($O813)),"","STRING!"),IF(VLOOKUP($K813,base!$B$2:$D$20,3,0)="","",IF(ISTEXT($O813),"NUMERIC!",""))),"")</f>
        <v/>
      </c>
      <c r="AC813" s="16" t="str">
        <f>IF($AA813="","",IF($B813="I",VLOOKUP($AA813,#REF!,53,0),INDEX(VALUES!$B$1:$GP$1,1,$AA813)))</f>
        <v/>
      </c>
    </row>
    <row r="814" spans="1:29" hidden="1" outlineLevel="1">
      <c r="A814" s="21" t="s">
        <v>86</v>
      </c>
      <c r="B814" s="40" t="str">
        <f t="shared" si="51"/>
        <v/>
      </c>
      <c r="C814" s="41">
        <f t="shared" si="56"/>
        <v>813</v>
      </c>
      <c r="D814" s="260" t="s">
        <v>9</v>
      </c>
      <c r="E814" s="37"/>
      <c r="F814" s="305"/>
      <c r="G814" s="188"/>
      <c r="H814" s="37"/>
      <c r="I814" s="37" t="s">
        <v>9</v>
      </c>
      <c r="J814" s="37"/>
      <c r="K814" s="244" t="s">
        <v>26</v>
      </c>
      <c r="L814" s="245" t="s">
        <v>29</v>
      </c>
      <c r="M814" s="212" t="s">
        <v>3510</v>
      </c>
      <c r="N814" s="245" t="s">
        <v>3511</v>
      </c>
      <c r="O814" s="246">
        <v>4.0000000000000001E-3</v>
      </c>
      <c r="P814" s="52"/>
      <c r="Q814" s="188"/>
      <c r="R814" s="174" t="s">
        <v>105</v>
      </c>
      <c r="S814" s="37"/>
      <c r="T814" s="37"/>
      <c r="W814" s="14" t="str">
        <f>IF(IFERROR(VLOOKUP($M814,'IMPORT GS-Tür OL FL 2S2 20'!$H$2:$H$847,1,0),"-")="-","","GS")</f>
        <v/>
      </c>
      <c r="X814" s="14" t="str">
        <f t="shared" si="57"/>
        <v>...</v>
      </c>
      <c r="Y814" s="156" t="s">
        <v>3508</v>
      </c>
      <c r="Z814" s="58" t="str">
        <f>IF(OR($M814="",NOT($O814="{array}")),"",IFERROR(MATCH(PARAMETERS!$M814,DEFAULT!$B$5:$CI$5,0),""))</f>
        <v/>
      </c>
      <c r="AA814" s="55" t="str">
        <f t="shared" si="55"/>
        <v/>
      </c>
      <c r="AB814" s="62" t="str">
        <f>IF(AND(OR($A814="G",$A814="P"),NOT($O814="{array}")),IF(VLOOKUP($K814,base!$B$2:$D$20,3,0)="S",IF(OR($O814="",ISTEXT($O814)),"","STRING!"),IF(VLOOKUP($K814,base!$B$2:$D$20,3,0)="","",IF(ISTEXT($O814),"NUMERIC!",""))),"")</f>
        <v/>
      </c>
      <c r="AC814" s="16" t="str">
        <f>IF($AA814="","",IF($B814="I",VLOOKUP($AA814,#REF!,53,0),INDEX(VALUES!$B$1:$GP$1,1,$AA814)))</f>
        <v/>
      </c>
    </row>
    <row r="815" spans="1:29" hidden="1" outlineLevel="1">
      <c r="A815" s="21" t="s">
        <v>86</v>
      </c>
      <c r="B815" s="40" t="str">
        <f t="shared" si="51"/>
        <v/>
      </c>
      <c r="C815" s="41">
        <f t="shared" si="56"/>
        <v>814</v>
      </c>
      <c r="D815" s="260" t="s">
        <v>9</v>
      </c>
      <c r="E815" s="37"/>
      <c r="F815" s="305"/>
      <c r="G815" s="188"/>
      <c r="H815" s="37"/>
      <c r="I815" s="37" t="s">
        <v>9</v>
      </c>
      <c r="J815" s="37"/>
      <c r="K815" s="244" t="s">
        <v>26</v>
      </c>
      <c r="L815" s="245" t="s">
        <v>29</v>
      </c>
      <c r="M815" s="212" t="s">
        <v>3512</v>
      </c>
      <c r="N815" s="245" t="s">
        <v>3507</v>
      </c>
      <c r="O815" s="246">
        <v>6.0000000000000001E-3</v>
      </c>
      <c r="P815" s="52"/>
      <c r="Q815" s="188"/>
      <c r="R815" s="174" t="s">
        <v>105</v>
      </c>
      <c r="S815" s="37"/>
      <c r="T815" s="37"/>
      <c r="W815" s="14" t="str">
        <f>IF(IFERROR(VLOOKUP($M815,'IMPORT GS-Tür OL FL 2S2 20'!$H$2:$H$847,1,0),"-")="-","","GS")</f>
        <v/>
      </c>
      <c r="X815" s="14" t="str">
        <f t="shared" si="57"/>
        <v>...</v>
      </c>
      <c r="Y815" s="156" t="s">
        <v>3508</v>
      </c>
      <c r="Z815" s="58" t="str">
        <f>IF(OR($M815="",NOT($O815="{array}")),"",IFERROR(MATCH(PARAMETERS!$M815,DEFAULT!$B$5:$CI$5,0),""))</f>
        <v/>
      </c>
      <c r="AA815" s="55" t="str">
        <f t="shared" si="55"/>
        <v/>
      </c>
      <c r="AB815" s="62" t="str">
        <f>IF(AND(OR($A815="G",$A815="P"),NOT($O815="{array}")),IF(VLOOKUP($K815,base!$B$2:$D$20,3,0)="S",IF(OR($O815="",ISTEXT($O815)),"","STRING!"),IF(VLOOKUP($K815,base!$B$2:$D$20,3,0)="","",IF(ISTEXT($O815),"NUMERIC!",""))),"")</f>
        <v/>
      </c>
      <c r="AC815" s="16" t="str">
        <f>IF($AA815="","",IF($B815="I",VLOOKUP($AA815,#REF!,53,0),INDEX(VALUES!$B$1:$GP$1,1,$AA815)))</f>
        <v/>
      </c>
    </row>
    <row r="816" spans="1:29" hidden="1" outlineLevel="1">
      <c r="A816" s="21"/>
      <c r="B816" s="40" t="str">
        <f t="shared" si="51"/>
        <v/>
      </c>
      <c r="C816" s="41">
        <f t="shared" si="56"/>
        <v>815</v>
      </c>
      <c r="D816" s="260"/>
      <c r="E816" s="37"/>
      <c r="F816" s="305"/>
      <c r="G816" s="188"/>
      <c r="H816" s="37"/>
      <c r="I816" s="37" t="s">
        <v>9</v>
      </c>
      <c r="J816" s="37"/>
      <c r="K816" s="244" t="s">
        <v>49</v>
      </c>
      <c r="L816" s="245" t="s">
        <v>29</v>
      </c>
      <c r="M816" s="212" t="s">
        <v>3513</v>
      </c>
      <c r="N816" s="245" t="s">
        <v>3514</v>
      </c>
      <c r="O816" s="246">
        <v>1</v>
      </c>
      <c r="P816" s="52"/>
      <c r="Q816" s="188"/>
      <c r="R816" s="174" t="s">
        <v>105</v>
      </c>
      <c r="S816" s="37"/>
      <c r="T816" s="37"/>
      <c r="W816" s="14" t="str">
        <f>IF(IFERROR(VLOOKUP($M816,'IMPORT GS-Tür OL FL 2S2 20'!$H$2:$H$847,1,0),"-")="-","","GS")</f>
        <v/>
      </c>
      <c r="X816" s="14" t="str">
        <f t="shared" si="57"/>
        <v/>
      </c>
      <c r="Y816" s="156" t="s">
        <v>3508</v>
      </c>
      <c r="Z816" s="58" t="str">
        <f>IF(OR($M816="",NOT($O816="{array}")),"",IFERROR(MATCH(PARAMETERS!$M816,DEFAULT!$B$5:$CI$5,0),""))</f>
        <v/>
      </c>
      <c r="AA816" s="55" t="str">
        <f t="shared" si="55"/>
        <v/>
      </c>
      <c r="AB816" s="62" t="str">
        <f>IF(AND(OR($A816="G",$A816="P"),NOT($O816="{array}")),IF(VLOOKUP($K816,base!$B$2:$D$20,3,0)="S",IF(OR($O816="",ISTEXT($O816)),"","STRING!"),IF(VLOOKUP($K816,base!$B$2:$D$20,3,0)="","",IF(ISTEXT($O816),"NUMERIC!",""))),"")</f>
        <v/>
      </c>
      <c r="AC816" s="16" t="str">
        <f>IF($AA816="","",IF($B816="I",VLOOKUP($AA816,#REF!,53,0),INDEX(VALUES!$B$1:$GP$1,1,$AA816)))</f>
        <v/>
      </c>
    </row>
    <row r="817" spans="1:29" hidden="1" outlineLevel="1">
      <c r="A817" s="21"/>
      <c r="B817" s="40" t="str">
        <f t="shared" si="51"/>
        <v/>
      </c>
      <c r="C817" s="41">
        <f t="shared" si="56"/>
        <v>816</v>
      </c>
      <c r="D817" s="260"/>
      <c r="E817" s="37"/>
      <c r="F817" s="305"/>
      <c r="G817" s="188" t="s">
        <v>9</v>
      </c>
      <c r="H817" s="37"/>
      <c r="I817" s="37" t="s">
        <v>9</v>
      </c>
      <c r="J817" s="37"/>
      <c r="K817" s="244" t="s">
        <v>26</v>
      </c>
      <c r="L817" s="245" t="s">
        <v>29</v>
      </c>
      <c r="M817" s="212" t="s">
        <v>3515</v>
      </c>
      <c r="N817" s="245" t="s">
        <v>3516</v>
      </c>
      <c r="O817" s="246">
        <v>4.0000000000000001E-3</v>
      </c>
      <c r="P817" s="52"/>
      <c r="Q817" s="188"/>
      <c r="R817" s="174" t="s">
        <v>105</v>
      </c>
      <c r="S817" s="37"/>
      <c r="T817" s="37"/>
      <c r="W817" s="14" t="str">
        <f>IF(IFERROR(VLOOKUP($M817,'IMPORT GS-Tür OL FL 2S2 20'!$H$2:$H$847,1,0),"-")="-","","GS")</f>
        <v/>
      </c>
      <c r="X817" s="14" t="str">
        <f t="shared" si="57"/>
        <v/>
      </c>
      <c r="Y817" s="156" t="s">
        <v>3508</v>
      </c>
      <c r="Z817" s="58" t="str">
        <f>IF(OR($M817="",NOT($O817="{array}")),"",IFERROR(MATCH(PARAMETERS!$M817,DEFAULT!$B$5:$CI$5,0),""))</f>
        <v/>
      </c>
      <c r="AA817" s="55" t="str">
        <f t="shared" si="55"/>
        <v/>
      </c>
      <c r="AB817" s="62" t="str">
        <f>IF(AND(OR($A817="G",$A817="P"),NOT($O817="{array}")),IF(VLOOKUP($K817,base!$B$2:$D$20,3,0)="S",IF(OR($O817="",ISTEXT($O817)),"","STRING!"),IF(VLOOKUP($K817,base!$B$2:$D$20,3,0)="","",IF(ISTEXT($O817),"NUMERIC!",""))),"")</f>
        <v/>
      </c>
      <c r="AC817" s="16" t="str">
        <f>IF($AA817="","",IF($B817="I",VLOOKUP($AA817,#REF!,53,0),INDEX(VALUES!$B$1:$GP$1,1,$AA817)))</f>
        <v/>
      </c>
    </row>
    <row r="818" spans="1:29" s="276" customFormat="1" hidden="1" outlineLevel="1">
      <c r="A818" s="263"/>
      <c r="B818" s="264" t="str">
        <f t="shared" si="51"/>
        <v/>
      </c>
      <c r="C818" s="265">
        <f t="shared" si="56"/>
        <v>817</v>
      </c>
      <c r="D818" s="266"/>
      <c r="E818" s="266"/>
      <c r="F818" s="305"/>
      <c r="G818" s="188"/>
      <c r="H818" s="266"/>
      <c r="I818" s="266" t="s">
        <v>9</v>
      </c>
      <c r="J818" s="266"/>
      <c r="K818" s="278" t="s">
        <v>46</v>
      </c>
      <c r="L818" s="278" t="s">
        <v>23</v>
      </c>
      <c r="M818" s="278"/>
      <c r="N818" s="278" t="s">
        <v>941</v>
      </c>
      <c r="O818" s="278" t="s">
        <v>298</v>
      </c>
      <c r="P818" s="284" t="s">
        <v>126</v>
      </c>
      <c r="Q818" s="279" t="s">
        <v>9</v>
      </c>
      <c r="R818" s="279" t="s">
        <v>105</v>
      </c>
      <c r="S818" s="279" t="s">
        <v>114</v>
      </c>
      <c r="T818" s="278" t="s">
        <v>298</v>
      </c>
      <c r="U818" s="278" t="s">
        <v>298</v>
      </c>
      <c r="V818" s="278" t="s">
        <v>941</v>
      </c>
      <c r="W818" s="272" t="str">
        <f>IF(IFERROR(VLOOKUP($M818,'IMPORT GS-Tür OL FL 2S2 20'!$H$2:$H$847,1,0),"-")="-","","GS")</f>
        <v/>
      </c>
      <c r="X818" s="272" t="str">
        <f t="shared" si="57"/>
        <v/>
      </c>
      <c r="Y818" s="278" t="s">
        <v>942</v>
      </c>
      <c r="Z818" s="273" t="str">
        <f>IF(OR($M818="",NOT($O818="{array}")),"",IFERROR(MATCH(PARAMETERS!$M818,DEFAULT!$B$5:$CI$5,0),""))</f>
        <v/>
      </c>
      <c r="AA818" s="272" t="str">
        <f t="shared" si="55"/>
        <v/>
      </c>
      <c r="AB818" s="274" t="str">
        <f>IF(AND(OR($A818="G",$A818="P"),NOT($O818="{array}")),IF(VLOOKUP($K818,base!$B$2:$D$20,3,0)="S",IF(OR($O818="",ISTEXT($O818)),"","STRING!"),IF(VLOOKUP($K818,base!$B$2:$D$20,3,0)="","",IF(ISTEXT($O818),"NUMERIC!",""))),"")</f>
        <v/>
      </c>
      <c r="AC818" s="275" t="str">
        <f>IF($AA818="","",IF($B818="I",VLOOKUP($AA818,#REF!,53,0),INDEX(VALUES!$B$1:$GP$1,1,$AA818)))</f>
        <v/>
      </c>
    </row>
    <row r="819" spans="1:29" s="276" customFormat="1" hidden="1" outlineLevel="1">
      <c r="A819" s="263"/>
      <c r="B819" s="264" t="str">
        <f t="shared" si="51"/>
        <v/>
      </c>
      <c r="C819" s="265">
        <f t="shared" si="56"/>
        <v>818</v>
      </c>
      <c r="D819" s="266"/>
      <c r="E819" s="266"/>
      <c r="F819" s="305"/>
      <c r="G819" s="188"/>
      <c r="H819" s="266"/>
      <c r="I819" s="266" t="s">
        <v>9</v>
      </c>
      <c r="J819" s="266"/>
      <c r="K819" s="278" t="s">
        <v>46</v>
      </c>
      <c r="L819" s="278" t="s">
        <v>23</v>
      </c>
      <c r="M819" s="278"/>
      <c r="N819" s="278" t="s">
        <v>943</v>
      </c>
      <c r="O819" s="278" t="s">
        <v>298</v>
      </c>
      <c r="P819" s="284" t="s">
        <v>126</v>
      </c>
      <c r="Q819" s="279" t="s">
        <v>9</v>
      </c>
      <c r="R819" s="279" t="s">
        <v>105</v>
      </c>
      <c r="S819" s="279" t="s">
        <v>114</v>
      </c>
      <c r="T819" s="278" t="s">
        <v>298</v>
      </c>
      <c r="U819" s="278" t="s">
        <v>298</v>
      </c>
      <c r="V819" s="278" t="s">
        <v>943</v>
      </c>
      <c r="W819" s="272" t="str">
        <f>IF(IFERROR(VLOOKUP($M819,'IMPORT GS-Tür OL FL 2S2 20'!$H$2:$H$847,1,0),"-")="-","","GS")</f>
        <v/>
      </c>
      <c r="X819" s="272" t="str">
        <f t="shared" si="57"/>
        <v/>
      </c>
      <c r="Y819" s="278" t="s">
        <v>944</v>
      </c>
      <c r="Z819" s="273" t="str">
        <f>IF(OR($M819="",NOT($O819="{array}")),"",IFERROR(MATCH(PARAMETERS!$M819,DEFAULT!$B$5:$CI$5,0),""))</f>
        <v/>
      </c>
      <c r="AA819" s="272" t="str">
        <f t="shared" si="55"/>
        <v/>
      </c>
      <c r="AB819" s="274" t="str">
        <f>IF(AND(OR($A819="G",$A819="P"),NOT($O819="{array}")),IF(VLOOKUP($K819,base!$B$2:$D$20,3,0)="S",IF(OR($O819="",ISTEXT($O819)),"","STRING!"),IF(VLOOKUP($K819,base!$B$2:$D$20,3,0)="","",IF(ISTEXT($O819),"NUMERIC!",""))),"")</f>
        <v/>
      </c>
      <c r="AC819" s="275" t="str">
        <f>IF($AA819="","",IF($B819="I",VLOOKUP($AA819,#REF!,53,0),INDEX(VALUES!$B$1:$GP$1,1,$AA819)))</f>
        <v/>
      </c>
    </row>
    <row r="820" spans="1:29" s="276" customFormat="1" hidden="1" outlineLevel="1">
      <c r="A820" s="263"/>
      <c r="B820" s="264" t="str">
        <f t="shared" si="51"/>
        <v/>
      </c>
      <c r="C820" s="265">
        <f t="shared" si="56"/>
        <v>819</v>
      </c>
      <c r="D820" s="266"/>
      <c r="E820" s="266"/>
      <c r="F820" s="305"/>
      <c r="G820" s="188"/>
      <c r="H820" s="266"/>
      <c r="I820" s="266" t="s">
        <v>9</v>
      </c>
      <c r="J820" s="266"/>
      <c r="K820" s="278" t="s">
        <v>38</v>
      </c>
      <c r="L820" s="278" t="s">
        <v>23</v>
      </c>
      <c r="M820" s="278"/>
      <c r="N820" s="278" t="s">
        <v>945</v>
      </c>
      <c r="O820" s="278" t="s">
        <v>298</v>
      </c>
      <c r="P820" s="284" t="s">
        <v>946</v>
      </c>
      <c r="Q820" s="279" t="s">
        <v>9</v>
      </c>
      <c r="R820" s="279" t="s">
        <v>105</v>
      </c>
      <c r="S820" s="279" t="s">
        <v>114</v>
      </c>
      <c r="T820" s="278" t="s">
        <v>298</v>
      </c>
      <c r="U820" s="278" t="s">
        <v>298</v>
      </c>
      <c r="V820" s="278" t="s">
        <v>945</v>
      </c>
      <c r="W820" s="272" t="str">
        <f>IF(IFERROR(VLOOKUP($M820,'IMPORT GS-Tür OL FL 2S2 20'!$H$2:$H$847,1,0),"-")="-","","GS")</f>
        <v/>
      </c>
      <c r="X820" s="272" t="str">
        <f t="shared" si="57"/>
        <v/>
      </c>
      <c r="Y820" s="278" t="s">
        <v>947</v>
      </c>
      <c r="Z820" s="273" t="str">
        <f>IF(OR($M820="",NOT($O820="{array}")),"",IFERROR(MATCH(PARAMETERS!$M820,DEFAULT!$B$5:$CI$5,0),""))</f>
        <v/>
      </c>
      <c r="AA820" s="272" t="str">
        <f t="shared" si="55"/>
        <v/>
      </c>
      <c r="AB820" s="274" t="str">
        <f>IF(AND(OR($A820="G",$A820="P"),NOT($O820="{array}")),IF(VLOOKUP($K820,base!$B$2:$D$20,3,0)="S",IF(OR($O820="",ISTEXT($O820)),"","STRING!"),IF(VLOOKUP($K820,base!$B$2:$D$20,3,0)="","",IF(ISTEXT($O820),"NUMERIC!",""))),"")</f>
        <v/>
      </c>
      <c r="AC820" s="275" t="str">
        <f>IF($AA820="","",IF($B820="I",VLOOKUP($AA820,#REF!,53,0),INDEX(VALUES!$B$1:$GP$1,1,$AA820)))</f>
        <v/>
      </c>
    </row>
    <row r="821" spans="1:29" s="276" customFormat="1" hidden="1" outlineLevel="1">
      <c r="A821" s="263"/>
      <c r="B821" s="264" t="str">
        <f t="shared" si="51"/>
        <v/>
      </c>
      <c r="C821" s="265">
        <f t="shared" si="56"/>
        <v>820</v>
      </c>
      <c r="D821" s="266"/>
      <c r="E821" s="266"/>
      <c r="F821" s="305"/>
      <c r="G821" s="188"/>
      <c r="H821" s="266"/>
      <c r="I821" s="266" t="s">
        <v>9</v>
      </c>
      <c r="J821" s="266"/>
      <c r="K821" s="278" t="s">
        <v>46</v>
      </c>
      <c r="L821" s="278" t="s">
        <v>23</v>
      </c>
      <c r="M821" s="278"/>
      <c r="N821" s="278" t="s">
        <v>948</v>
      </c>
      <c r="O821" s="278" t="s">
        <v>298</v>
      </c>
      <c r="P821" s="284" t="s">
        <v>126</v>
      </c>
      <c r="Q821" s="279" t="s">
        <v>9</v>
      </c>
      <c r="R821" s="279" t="s">
        <v>105</v>
      </c>
      <c r="S821" s="279" t="s">
        <v>114</v>
      </c>
      <c r="T821" s="278" t="s">
        <v>298</v>
      </c>
      <c r="U821" s="278" t="s">
        <v>298</v>
      </c>
      <c r="V821" s="278" t="s">
        <v>948</v>
      </c>
      <c r="W821" s="272" t="str">
        <f>IF(IFERROR(VLOOKUP($M821,'IMPORT GS-Tür OL FL 2S2 20'!$H$2:$H$847,1,0),"-")="-","","GS")</f>
        <v/>
      </c>
      <c r="X821" s="272" t="str">
        <f t="shared" si="57"/>
        <v/>
      </c>
      <c r="Y821" s="278" t="s">
        <v>949</v>
      </c>
      <c r="Z821" s="273" t="str">
        <f>IF(OR($M821="",NOT($O821="{array}")),"",IFERROR(MATCH(PARAMETERS!$M821,DEFAULT!$B$5:$CI$5,0),""))</f>
        <v/>
      </c>
      <c r="AA821" s="272" t="str">
        <f t="shared" si="55"/>
        <v/>
      </c>
      <c r="AB821" s="274" t="str">
        <f>IF(AND(OR($A821="G",$A821="P"),NOT($O821="{array}")),IF(VLOOKUP($K821,base!$B$2:$D$20,3,0)="S",IF(OR($O821="",ISTEXT($O821)),"","STRING!"),IF(VLOOKUP($K821,base!$B$2:$D$20,3,0)="","",IF(ISTEXT($O821),"NUMERIC!",""))),"")</f>
        <v/>
      </c>
      <c r="AC821" s="275" t="str">
        <f>IF($AA821="","",IF($B821="I",VLOOKUP($AA821,#REF!,53,0),INDEX(VALUES!$B$1:$GP$1,1,$AA821)))</f>
        <v/>
      </c>
    </row>
    <row r="822" spans="1:29" s="276" customFormat="1" hidden="1" outlineLevel="1">
      <c r="A822" s="263"/>
      <c r="B822" s="264" t="str">
        <f t="shared" si="51"/>
        <v/>
      </c>
      <c r="C822" s="265">
        <f t="shared" si="56"/>
        <v>821</v>
      </c>
      <c r="D822" s="266"/>
      <c r="E822" s="266"/>
      <c r="F822" s="305"/>
      <c r="G822" s="188"/>
      <c r="H822" s="266"/>
      <c r="I822" s="266" t="s">
        <v>9</v>
      </c>
      <c r="J822" s="266"/>
      <c r="K822" s="278" t="s">
        <v>49</v>
      </c>
      <c r="L822" s="278" t="s">
        <v>23</v>
      </c>
      <c r="M822" s="278"/>
      <c r="N822" s="278" t="s">
        <v>950</v>
      </c>
      <c r="O822" s="278" t="s">
        <v>298</v>
      </c>
      <c r="P822" s="284" t="s">
        <v>298</v>
      </c>
      <c r="Q822" s="279" t="s">
        <v>9</v>
      </c>
      <c r="R822" s="279" t="s">
        <v>105</v>
      </c>
      <c r="S822" s="279" t="s">
        <v>114</v>
      </c>
      <c r="T822" s="278" t="s">
        <v>298</v>
      </c>
      <c r="U822" s="278" t="s">
        <v>298</v>
      </c>
      <c r="V822" s="278" t="s">
        <v>950</v>
      </c>
      <c r="W822" s="272" t="str">
        <f>IF(IFERROR(VLOOKUP($M822,'IMPORT GS-Tür OL FL 2S2 20'!$H$2:$H$847,1,0),"-")="-","","GS")</f>
        <v/>
      </c>
      <c r="X822" s="272" t="str">
        <f t="shared" si="57"/>
        <v/>
      </c>
      <c r="Y822" s="278" t="s">
        <v>951</v>
      </c>
      <c r="Z822" s="273" t="str">
        <f>IF(OR($M822="",NOT($O822="{array}")),"",IFERROR(MATCH(PARAMETERS!$M822,DEFAULT!$B$5:$CI$5,0),""))</f>
        <v/>
      </c>
      <c r="AA822" s="272" t="str">
        <f t="shared" si="55"/>
        <v/>
      </c>
      <c r="AB822" s="274" t="str">
        <f>IF(AND(OR($A822="G",$A822="P"),NOT($O822="{array}")),IF(VLOOKUP($K822,base!$B$2:$D$20,3,0)="S",IF(OR($O822="",ISTEXT($O822)),"","STRING!"),IF(VLOOKUP($K822,base!$B$2:$D$20,3,0)="","",IF(ISTEXT($O822),"NUMERIC!",""))),"")</f>
        <v/>
      </c>
      <c r="AC822" s="275" t="str">
        <f>IF($AA822="","",IF($B822="I",VLOOKUP($AA822,#REF!,53,0),INDEX(VALUES!$B$1:$GP$1,1,$AA822)))</f>
        <v/>
      </c>
    </row>
    <row r="823" spans="1:29" s="276" customFormat="1" hidden="1" outlineLevel="1">
      <c r="A823" s="263"/>
      <c r="B823" s="264" t="str">
        <f t="shared" si="51"/>
        <v/>
      </c>
      <c r="C823" s="265">
        <f t="shared" si="56"/>
        <v>822</v>
      </c>
      <c r="D823" s="266"/>
      <c r="E823" s="266"/>
      <c r="F823" s="305"/>
      <c r="G823" s="188"/>
      <c r="H823" s="266"/>
      <c r="I823" s="266" t="s">
        <v>9</v>
      </c>
      <c r="J823" s="266"/>
      <c r="K823" s="278" t="s">
        <v>49</v>
      </c>
      <c r="L823" s="278" t="s">
        <v>23</v>
      </c>
      <c r="M823" s="278"/>
      <c r="N823" s="278" t="s">
        <v>952</v>
      </c>
      <c r="O823" s="278" t="s">
        <v>298</v>
      </c>
      <c r="P823" s="284" t="s">
        <v>298</v>
      </c>
      <c r="Q823" s="279" t="s">
        <v>9</v>
      </c>
      <c r="R823" s="279" t="s">
        <v>105</v>
      </c>
      <c r="S823" s="279" t="s">
        <v>114</v>
      </c>
      <c r="T823" s="278" t="s">
        <v>298</v>
      </c>
      <c r="U823" s="278" t="s">
        <v>298</v>
      </c>
      <c r="V823" s="278" t="s">
        <v>952</v>
      </c>
      <c r="W823" s="272" t="str">
        <f>IF(IFERROR(VLOOKUP($M823,'IMPORT GS-Tür OL FL 2S2 20'!$H$2:$H$847,1,0),"-")="-","","GS")</f>
        <v/>
      </c>
      <c r="X823" s="272" t="str">
        <f t="shared" si="57"/>
        <v/>
      </c>
      <c r="Y823" s="278" t="s">
        <v>953</v>
      </c>
      <c r="Z823" s="273" t="str">
        <f>IF(OR($M823="",NOT($O823="{array}")),"",IFERROR(MATCH(PARAMETERS!$M823,DEFAULT!$B$5:$CI$5,0),""))</f>
        <v/>
      </c>
      <c r="AA823" s="272" t="str">
        <f t="shared" si="55"/>
        <v/>
      </c>
      <c r="AB823" s="274" t="str">
        <f>IF(AND(OR($A823="G",$A823="P"),NOT($O823="{array}")),IF(VLOOKUP($K823,base!$B$2:$D$20,3,0)="S",IF(OR($O823="",ISTEXT($O823)),"","STRING!"),IF(VLOOKUP($K823,base!$B$2:$D$20,3,0)="","",IF(ISTEXT($O823),"NUMERIC!",""))),"")</f>
        <v/>
      </c>
      <c r="AC823" s="275" t="str">
        <f>IF($AA823="","",IF($B823="I",VLOOKUP($AA823,#REF!,53,0),INDEX(VALUES!$B$1:$GP$1,1,$AA823)))</f>
        <v/>
      </c>
    </row>
    <row r="824" spans="1:29" s="276" customFormat="1" hidden="1" outlineLevel="1">
      <c r="A824" s="263"/>
      <c r="B824" s="264" t="str">
        <f t="shared" si="51"/>
        <v/>
      </c>
      <c r="C824" s="265">
        <f t="shared" si="56"/>
        <v>823</v>
      </c>
      <c r="D824" s="266"/>
      <c r="E824" s="266"/>
      <c r="F824" s="305"/>
      <c r="G824" s="188"/>
      <c r="H824" s="266"/>
      <c r="I824" s="266" t="s">
        <v>9</v>
      </c>
      <c r="J824" s="266"/>
      <c r="K824" s="278" t="s">
        <v>20</v>
      </c>
      <c r="L824" s="278" t="s">
        <v>23</v>
      </c>
      <c r="M824" s="278"/>
      <c r="N824" s="278" t="s">
        <v>954</v>
      </c>
      <c r="O824" s="278" t="s">
        <v>955</v>
      </c>
      <c r="P824" s="284" t="s">
        <v>298</v>
      </c>
      <c r="Q824" s="279" t="s">
        <v>9</v>
      </c>
      <c r="R824" s="279" t="s">
        <v>105</v>
      </c>
      <c r="S824" s="279" t="s">
        <v>114</v>
      </c>
      <c r="T824" s="278" t="s">
        <v>298</v>
      </c>
      <c r="U824" s="278" t="s">
        <v>298</v>
      </c>
      <c r="V824" s="278" t="s">
        <v>954</v>
      </c>
      <c r="W824" s="272" t="str">
        <f>IF(IFERROR(VLOOKUP($M824,'IMPORT GS-Tür OL FL 2S2 20'!$H$2:$H$847,1,0),"-")="-","","GS")</f>
        <v/>
      </c>
      <c r="X824" s="272" t="str">
        <f t="shared" si="57"/>
        <v/>
      </c>
      <c r="Y824" s="278" t="s">
        <v>956</v>
      </c>
      <c r="Z824" s="273" t="str">
        <f>IF(OR($M824="",NOT($O824="{array}")),"",IFERROR(MATCH(PARAMETERS!$M824,DEFAULT!$B$5:$CI$5,0),""))</f>
        <v/>
      </c>
      <c r="AA824" s="272" t="str">
        <f t="shared" si="55"/>
        <v/>
      </c>
      <c r="AB824" s="274" t="str">
        <f>IF(AND(OR($A824="G",$A824="P"),NOT($O824="{array}")),IF(VLOOKUP($K824,base!$B$2:$D$20,3,0)="S",IF(OR($O824="",ISTEXT($O824)),"","STRING!"),IF(VLOOKUP($K824,base!$B$2:$D$20,3,0)="","",IF(ISTEXT($O824),"NUMERIC!",""))),"")</f>
        <v/>
      </c>
      <c r="AC824" s="275" t="str">
        <f>IF($AA824="","",IF($B824="I",VLOOKUP($AA824,#REF!,53,0),INDEX(VALUES!$B$1:$GP$1,1,$AA824)))</f>
        <v/>
      </c>
    </row>
    <row r="825" spans="1:29" s="276" customFormat="1" hidden="1" outlineLevel="1">
      <c r="A825" s="263"/>
      <c r="B825" s="264" t="str">
        <f t="shared" si="51"/>
        <v/>
      </c>
      <c r="C825" s="265">
        <f t="shared" si="56"/>
        <v>824</v>
      </c>
      <c r="D825" s="266"/>
      <c r="E825" s="266"/>
      <c r="F825" s="305"/>
      <c r="G825" s="188"/>
      <c r="H825" s="266"/>
      <c r="I825" s="266" t="s">
        <v>9</v>
      </c>
      <c r="J825" s="266"/>
      <c r="K825" s="278" t="s">
        <v>102</v>
      </c>
      <c r="L825" s="278" t="s">
        <v>23</v>
      </c>
      <c r="M825" s="278"/>
      <c r="N825" s="278" t="s">
        <v>957</v>
      </c>
      <c r="O825" s="278" t="s">
        <v>518</v>
      </c>
      <c r="P825" s="284" t="s">
        <v>298</v>
      </c>
      <c r="Q825" s="279" t="s">
        <v>9</v>
      </c>
      <c r="R825" s="279" t="s">
        <v>105</v>
      </c>
      <c r="S825" s="279" t="s">
        <v>114</v>
      </c>
      <c r="T825" s="278" t="s">
        <v>298</v>
      </c>
      <c r="U825" s="278" t="s">
        <v>298</v>
      </c>
      <c r="V825" s="278" t="s">
        <v>957</v>
      </c>
      <c r="W825" s="272" t="str">
        <f>IF(IFERROR(VLOOKUP($M825,'IMPORT GS-Tür OL FL 2S2 20'!$H$2:$H$847,1,0),"-")="-","","GS")</f>
        <v/>
      </c>
      <c r="X825" s="272" t="str">
        <f t="shared" si="57"/>
        <v/>
      </c>
      <c r="Y825" s="278" t="s">
        <v>958</v>
      </c>
      <c r="Z825" s="273" t="str">
        <f>IF(OR($M825="",NOT($O825="{array}")),"",IFERROR(MATCH(PARAMETERS!$M825,DEFAULT!$B$5:$CI$5,0),""))</f>
        <v/>
      </c>
      <c r="AA825" s="272" t="str">
        <f t="shared" si="55"/>
        <v/>
      </c>
      <c r="AB825" s="274" t="str">
        <f>IF(AND(OR($A825="G",$A825="P"),NOT($O825="{array}")),IF(VLOOKUP($K825,base!$B$2:$D$20,3,0)="S",IF(OR($O825="",ISTEXT($O825)),"","STRING!"),IF(VLOOKUP($K825,base!$B$2:$D$20,3,0)="","",IF(ISTEXT($O825),"NUMERIC!",""))),"")</f>
        <v/>
      </c>
      <c r="AC825" s="275" t="str">
        <f>IF($AA825="","",IF($B825="I",VLOOKUP($AA825,#REF!,53,0),INDEX(VALUES!$B$1:$GP$1,1,$AA825)))</f>
        <v/>
      </c>
    </row>
    <row r="826" spans="1:29" s="276" customFormat="1" hidden="1" outlineLevel="1">
      <c r="A826" s="263"/>
      <c r="B826" s="264" t="str">
        <f t="shared" si="51"/>
        <v/>
      </c>
      <c r="C826" s="265">
        <f t="shared" si="56"/>
        <v>825</v>
      </c>
      <c r="D826" s="266"/>
      <c r="E826" s="266"/>
      <c r="F826" s="305"/>
      <c r="G826" s="188"/>
      <c r="H826" s="266"/>
      <c r="I826" s="266" t="s">
        <v>9</v>
      </c>
      <c r="J826" s="266"/>
      <c r="K826" s="278" t="s">
        <v>46</v>
      </c>
      <c r="L826" s="278" t="s">
        <v>23</v>
      </c>
      <c r="M826" s="278"/>
      <c r="N826" s="278" t="s">
        <v>959</v>
      </c>
      <c r="O826" s="278" t="s">
        <v>298</v>
      </c>
      <c r="P826" s="284" t="s">
        <v>126</v>
      </c>
      <c r="Q826" s="279" t="s">
        <v>9</v>
      </c>
      <c r="R826" s="279" t="s">
        <v>105</v>
      </c>
      <c r="S826" s="279" t="s">
        <v>114</v>
      </c>
      <c r="T826" s="278" t="s">
        <v>298</v>
      </c>
      <c r="U826" s="278" t="s">
        <v>298</v>
      </c>
      <c r="V826" s="278" t="s">
        <v>959</v>
      </c>
      <c r="W826" s="272" t="str">
        <f>IF(IFERROR(VLOOKUP($M826,'IMPORT GS-Tür OL FL 2S2 20'!$H$2:$H$847,1,0),"-")="-","","GS")</f>
        <v/>
      </c>
      <c r="X826" s="272" t="str">
        <f t="shared" si="57"/>
        <v/>
      </c>
      <c r="Y826" s="278" t="s">
        <v>960</v>
      </c>
      <c r="Z826" s="273" t="str">
        <f>IF(OR($M826="",NOT($O826="{array}")),"",IFERROR(MATCH(PARAMETERS!$M826,DEFAULT!$B$5:$CI$5,0),""))</f>
        <v/>
      </c>
      <c r="AA826" s="272" t="str">
        <f t="shared" si="55"/>
        <v/>
      </c>
      <c r="AB826" s="274" t="str">
        <f>IF(AND(OR($A826="G",$A826="P"),NOT($O826="{array}")),IF(VLOOKUP($K826,base!$B$2:$D$20,3,0)="S",IF(OR($O826="",ISTEXT($O826)),"","STRING!"),IF(VLOOKUP($K826,base!$B$2:$D$20,3,0)="","",IF(ISTEXT($O826),"NUMERIC!",""))),"")</f>
        <v/>
      </c>
      <c r="AC826" s="275" t="str">
        <f>IF($AA826="","",IF($B826="I",VLOOKUP($AA826,#REF!,53,0),INDEX(VALUES!$B$1:$GP$1,1,$AA826)))</f>
        <v/>
      </c>
    </row>
    <row r="827" spans="1:29" s="276" customFormat="1" hidden="1" outlineLevel="1">
      <c r="A827" s="263"/>
      <c r="B827" s="264" t="str">
        <f t="shared" si="51"/>
        <v/>
      </c>
      <c r="C827" s="265">
        <f t="shared" si="56"/>
        <v>826</v>
      </c>
      <c r="D827" s="266"/>
      <c r="E827" s="266"/>
      <c r="F827" s="305"/>
      <c r="G827" s="188"/>
      <c r="H827" s="266"/>
      <c r="I827" s="266" t="s">
        <v>9</v>
      </c>
      <c r="J827" s="266"/>
      <c r="K827" s="278" t="s">
        <v>46</v>
      </c>
      <c r="L827" s="278" t="s">
        <v>23</v>
      </c>
      <c r="M827" s="278"/>
      <c r="N827" s="278" t="s">
        <v>961</v>
      </c>
      <c r="O827" s="278" t="s">
        <v>298</v>
      </c>
      <c r="P827" s="284" t="s">
        <v>126</v>
      </c>
      <c r="Q827" s="279" t="s">
        <v>9</v>
      </c>
      <c r="R827" s="279" t="s">
        <v>105</v>
      </c>
      <c r="S827" s="279" t="s">
        <v>114</v>
      </c>
      <c r="T827" s="278" t="s">
        <v>298</v>
      </c>
      <c r="U827" s="278" t="s">
        <v>298</v>
      </c>
      <c r="V827" s="278" t="s">
        <v>961</v>
      </c>
      <c r="W827" s="272" t="str">
        <f>IF(IFERROR(VLOOKUP($M827,'IMPORT GS-Tür OL FL 2S2 20'!$H$2:$H$847,1,0),"-")="-","","GS")</f>
        <v/>
      </c>
      <c r="X827" s="272" t="str">
        <f t="shared" si="57"/>
        <v/>
      </c>
      <c r="Y827" s="278" t="s">
        <v>962</v>
      </c>
      <c r="Z827" s="273" t="str">
        <f>IF(OR($M827="",NOT($O827="{array}")),"",IFERROR(MATCH(PARAMETERS!$M827,DEFAULT!$B$5:$CI$5,0),""))</f>
        <v/>
      </c>
      <c r="AA827" s="272" t="str">
        <f t="shared" si="55"/>
        <v/>
      </c>
      <c r="AB827" s="274" t="str">
        <f>IF(AND(OR($A827="G",$A827="P"),NOT($O827="{array}")),IF(VLOOKUP($K827,base!$B$2:$D$20,3,0)="S",IF(OR($O827="",ISTEXT($O827)),"","STRING!"),IF(VLOOKUP($K827,base!$B$2:$D$20,3,0)="","",IF(ISTEXT($O827),"NUMERIC!",""))),"")</f>
        <v/>
      </c>
      <c r="AC827" s="275" t="str">
        <f>IF($AA827="","",IF($B827="I",VLOOKUP($AA827,#REF!,53,0),INDEX(VALUES!$B$1:$GP$1,1,$AA827)))</f>
        <v/>
      </c>
    </row>
    <row r="828" spans="1:29" s="276" customFormat="1" hidden="1" outlineLevel="1">
      <c r="A828" s="263"/>
      <c r="B828" s="264" t="str">
        <f t="shared" si="51"/>
        <v/>
      </c>
      <c r="C828" s="265">
        <f t="shared" si="56"/>
        <v>827</v>
      </c>
      <c r="D828" s="266"/>
      <c r="E828" s="266"/>
      <c r="F828" s="305"/>
      <c r="G828" s="188"/>
      <c r="H828" s="266"/>
      <c r="I828" s="266" t="s">
        <v>9</v>
      </c>
      <c r="J828" s="266"/>
      <c r="K828" s="278" t="s">
        <v>46</v>
      </c>
      <c r="L828" s="278" t="s">
        <v>23</v>
      </c>
      <c r="M828" s="278"/>
      <c r="N828" s="278" t="s">
        <v>963</v>
      </c>
      <c r="O828" s="278" t="s">
        <v>298</v>
      </c>
      <c r="P828" s="284" t="s">
        <v>126</v>
      </c>
      <c r="Q828" s="279" t="s">
        <v>9</v>
      </c>
      <c r="R828" s="279" t="s">
        <v>105</v>
      </c>
      <c r="S828" s="279" t="s">
        <v>114</v>
      </c>
      <c r="T828" s="278" t="s">
        <v>298</v>
      </c>
      <c r="U828" s="278" t="s">
        <v>298</v>
      </c>
      <c r="V828" s="278" t="s">
        <v>963</v>
      </c>
      <c r="W828" s="272" t="str">
        <f>IF(IFERROR(VLOOKUP($M828,'IMPORT GS-Tür OL FL 2S2 20'!$H$2:$H$847,1,0),"-")="-","","GS")</f>
        <v/>
      </c>
      <c r="X828" s="272" t="str">
        <f t="shared" si="57"/>
        <v/>
      </c>
      <c r="Y828" s="278" t="s">
        <v>964</v>
      </c>
      <c r="Z828" s="273" t="str">
        <f>IF(OR($M828="",NOT($O828="{array}")),"",IFERROR(MATCH(PARAMETERS!$M828,DEFAULT!$B$5:$CI$5,0),""))</f>
        <v/>
      </c>
      <c r="AA828" s="272" t="str">
        <f t="shared" si="55"/>
        <v/>
      </c>
      <c r="AB828" s="274" t="str">
        <f>IF(AND(OR($A828="G",$A828="P"),NOT($O828="{array}")),IF(VLOOKUP($K828,base!$B$2:$D$20,3,0)="S",IF(OR($O828="",ISTEXT($O828)),"","STRING!"),IF(VLOOKUP($K828,base!$B$2:$D$20,3,0)="","",IF(ISTEXT($O828),"NUMERIC!",""))),"")</f>
        <v/>
      </c>
      <c r="AC828" s="275" t="str">
        <f>IF($AA828="","",IF($B828="I",VLOOKUP($AA828,#REF!,53,0),INDEX(VALUES!$B$1:$GP$1,1,$AA828)))</f>
        <v/>
      </c>
    </row>
    <row r="829" spans="1:29" s="276" customFormat="1" hidden="1" outlineLevel="1">
      <c r="A829" s="263"/>
      <c r="B829" s="264" t="str">
        <f t="shared" si="51"/>
        <v/>
      </c>
      <c r="C829" s="265">
        <f t="shared" si="56"/>
        <v>828</v>
      </c>
      <c r="D829" s="266"/>
      <c r="E829" s="266"/>
      <c r="F829" s="305"/>
      <c r="G829" s="188"/>
      <c r="H829" s="266"/>
      <c r="I829" s="266" t="s">
        <v>9</v>
      </c>
      <c r="J829" s="266"/>
      <c r="K829" s="278" t="s">
        <v>46</v>
      </c>
      <c r="L829" s="278" t="s">
        <v>23</v>
      </c>
      <c r="M829" s="278"/>
      <c r="N829" s="278" t="s">
        <v>965</v>
      </c>
      <c r="O829" s="278" t="s">
        <v>298</v>
      </c>
      <c r="P829" s="284" t="s">
        <v>126</v>
      </c>
      <c r="Q829" s="279" t="s">
        <v>9</v>
      </c>
      <c r="R829" s="279" t="s">
        <v>105</v>
      </c>
      <c r="S829" s="279" t="s">
        <v>114</v>
      </c>
      <c r="T829" s="278" t="s">
        <v>298</v>
      </c>
      <c r="U829" s="278" t="s">
        <v>298</v>
      </c>
      <c r="V829" s="278" t="s">
        <v>965</v>
      </c>
      <c r="W829" s="272" t="str">
        <f>IF(IFERROR(VLOOKUP($M829,'IMPORT GS-Tür OL FL 2S2 20'!$H$2:$H$847,1,0),"-")="-","","GS")</f>
        <v/>
      </c>
      <c r="X829" s="272" t="str">
        <f t="shared" si="57"/>
        <v/>
      </c>
      <c r="Y829" s="278" t="s">
        <v>966</v>
      </c>
      <c r="Z829" s="273" t="str">
        <f>IF(OR($M829="",NOT($O829="{array}")),"",IFERROR(MATCH(PARAMETERS!$M829,DEFAULT!$B$5:$CI$5,0),""))</f>
        <v/>
      </c>
      <c r="AA829" s="272" t="str">
        <f t="shared" si="55"/>
        <v/>
      </c>
      <c r="AB829" s="274" t="str">
        <f>IF(AND(OR($A829="G",$A829="P"),NOT($O829="{array}")),IF(VLOOKUP($K829,base!$B$2:$D$20,3,0)="S",IF(OR($O829="",ISTEXT($O829)),"","STRING!"),IF(VLOOKUP($K829,base!$B$2:$D$20,3,0)="","",IF(ISTEXT($O829),"NUMERIC!",""))),"")</f>
        <v/>
      </c>
      <c r="AC829" s="275" t="str">
        <f>IF($AA829="","",IF($B829="I",VLOOKUP($AA829,#REF!,53,0),INDEX(VALUES!$B$1:$GP$1,1,$AA829)))</f>
        <v/>
      </c>
    </row>
    <row r="830" spans="1:29" s="276" customFormat="1" hidden="1" outlineLevel="1">
      <c r="A830" s="263"/>
      <c r="B830" s="264" t="str">
        <f t="shared" si="51"/>
        <v/>
      </c>
      <c r="C830" s="265">
        <f t="shared" si="56"/>
        <v>829</v>
      </c>
      <c r="D830" s="266"/>
      <c r="E830" s="266"/>
      <c r="F830" s="305"/>
      <c r="G830" s="188"/>
      <c r="H830" s="266"/>
      <c r="I830" s="266" t="s">
        <v>9</v>
      </c>
      <c r="J830" s="266"/>
      <c r="K830" s="278" t="s">
        <v>20</v>
      </c>
      <c r="L830" s="278" t="s">
        <v>23</v>
      </c>
      <c r="M830" s="278"/>
      <c r="N830" s="278" t="s">
        <v>967</v>
      </c>
      <c r="O830" s="278" t="s">
        <v>968</v>
      </c>
      <c r="P830" s="284" t="s">
        <v>298</v>
      </c>
      <c r="Q830" s="279" t="s">
        <v>9</v>
      </c>
      <c r="R830" s="279" t="s">
        <v>105</v>
      </c>
      <c r="S830" s="279" t="s">
        <v>114</v>
      </c>
      <c r="T830" s="278" t="s">
        <v>298</v>
      </c>
      <c r="U830" s="278" t="s">
        <v>298</v>
      </c>
      <c r="V830" s="278" t="s">
        <v>967</v>
      </c>
      <c r="W830" s="272" t="str">
        <f>IF(IFERROR(VLOOKUP($M830,'IMPORT GS-Tür OL FL 2S2 20'!$H$2:$H$847,1,0),"-")="-","","GS")</f>
        <v/>
      </c>
      <c r="X830" s="272" t="str">
        <f t="shared" si="57"/>
        <v/>
      </c>
      <c r="Y830" s="278" t="s">
        <v>969</v>
      </c>
      <c r="Z830" s="273" t="str">
        <f>IF(OR($M830="",NOT($O830="{array}")),"",IFERROR(MATCH(PARAMETERS!$M830,DEFAULT!$B$5:$CI$5,0),""))</f>
        <v/>
      </c>
      <c r="AA830" s="272" t="str">
        <f t="shared" si="55"/>
        <v/>
      </c>
      <c r="AB830" s="274" t="str">
        <f>IF(AND(OR($A830="G",$A830="P"),NOT($O830="{array}")),IF(VLOOKUP($K830,base!$B$2:$D$20,3,0)="S",IF(OR($O830="",ISTEXT($O830)),"","STRING!"),IF(VLOOKUP($K830,base!$B$2:$D$20,3,0)="","",IF(ISTEXT($O830),"NUMERIC!",""))),"")</f>
        <v/>
      </c>
      <c r="AC830" s="275" t="str">
        <f>IF($AA830="","",IF($B830="I",VLOOKUP($AA830,#REF!,53,0),INDEX(VALUES!$B$1:$GP$1,1,$AA830)))</f>
        <v/>
      </c>
    </row>
    <row r="831" spans="1:29" s="276" customFormat="1" hidden="1" outlineLevel="1">
      <c r="A831" s="263"/>
      <c r="B831" s="264" t="str">
        <f t="shared" si="51"/>
        <v/>
      </c>
      <c r="C831" s="265">
        <f t="shared" si="56"/>
        <v>830</v>
      </c>
      <c r="D831" s="266"/>
      <c r="E831" s="266"/>
      <c r="F831" s="305"/>
      <c r="G831" s="188"/>
      <c r="H831" s="266"/>
      <c r="I831" s="266" t="s">
        <v>9</v>
      </c>
      <c r="J831" s="266"/>
      <c r="K831" s="278" t="s">
        <v>20</v>
      </c>
      <c r="L831" s="278" t="s">
        <v>23</v>
      </c>
      <c r="M831" s="278"/>
      <c r="N831" s="278" t="s">
        <v>970</v>
      </c>
      <c r="O831" s="278" t="s">
        <v>971</v>
      </c>
      <c r="P831" s="284" t="s">
        <v>298</v>
      </c>
      <c r="Q831" s="279" t="s">
        <v>9</v>
      </c>
      <c r="R831" s="279" t="s">
        <v>105</v>
      </c>
      <c r="S831" s="279" t="s">
        <v>114</v>
      </c>
      <c r="T831" s="278" t="s">
        <v>298</v>
      </c>
      <c r="U831" s="278" t="s">
        <v>298</v>
      </c>
      <c r="V831" s="278" t="s">
        <v>970</v>
      </c>
      <c r="W831" s="272" t="str">
        <f>IF(IFERROR(VLOOKUP($M831,'IMPORT GS-Tür OL FL 2S2 20'!$H$2:$H$847,1,0),"-")="-","","GS")</f>
        <v/>
      </c>
      <c r="X831" s="272" t="str">
        <f t="shared" si="57"/>
        <v/>
      </c>
      <c r="Y831" s="278" t="s">
        <v>972</v>
      </c>
      <c r="Z831" s="273" t="str">
        <f>IF(OR($M831="",NOT($O831="{array}")),"",IFERROR(MATCH(PARAMETERS!$M831,DEFAULT!$B$5:$CI$5,0),""))</f>
        <v/>
      </c>
      <c r="AA831" s="272" t="str">
        <f t="shared" si="55"/>
        <v/>
      </c>
      <c r="AB831" s="274" t="str">
        <f>IF(AND(OR($A831="G",$A831="P"),NOT($O831="{array}")),IF(VLOOKUP($K831,base!$B$2:$D$20,3,0)="S",IF(OR($O831="",ISTEXT($O831)),"","STRING!"),IF(VLOOKUP($K831,base!$B$2:$D$20,3,0)="","",IF(ISTEXT($O831),"NUMERIC!",""))),"")</f>
        <v/>
      </c>
      <c r="AC831" s="275" t="str">
        <f>IF($AA831="","",IF($B831="I",VLOOKUP($AA831,#REF!,53,0),INDEX(VALUES!$B$1:$GP$1,1,$AA831)))</f>
        <v/>
      </c>
    </row>
    <row r="832" spans="1:29" s="276" customFormat="1" hidden="1" outlineLevel="1">
      <c r="A832" s="263"/>
      <c r="B832" s="264" t="str">
        <f t="shared" ref="B832:B863" si="58">IF($A832="P",IF(NOT($Z832=""),"A",IF(NOT($AA832=""),"I","")),IF(NOT($AA832=""),IF($A832="G","V","X"),IF(NOT($Z832=""),"A","")))</f>
        <v/>
      </c>
      <c r="C832" s="265">
        <f t="shared" si="56"/>
        <v>831</v>
      </c>
      <c r="D832" s="266"/>
      <c r="E832" s="266"/>
      <c r="F832" s="305"/>
      <c r="G832" s="188"/>
      <c r="H832" s="266"/>
      <c r="I832" s="266" t="s">
        <v>9</v>
      </c>
      <c r="J832" s="266"/>
      <c r="K832" s="278" t="s">
        <v>102</v>
      </c>
      <c r="L832" s="278" t="s">
        <v>23</v>
      </c>
      <c r="M832" s="278"/>
      <c r="N832" s="278" t="s">
        <v>973</v>
      </c>
      <c r="O832" s="278" t="s">
        <v>974</v>
      </c>
      <c r="P832" s="284" t="s">
        <v>298</v>
      </c>
      <c r="Q832" s="279" t="s">
        <v>9</v>
      </c>
      <c r="R832" s="279" t="s">
        <v>105</v>
      </c>
      <c r="S832" s="279" t="s">
        <v>114</v>
      </c>
      <c r="T832" s="278" t="s">
        <v>298</v>
      </c>
      <c r="U832" s="278" t="s">
        <v>298</v>
      </c>
      <c r="V832" s="278" t="s">
        <v>973</v>
      </c>
      <c r="W832" s="272" t="str">
        <f>IF(IFERROR(VLOOKUP($M832,'IMPORT GS-Tür OL FL 2S2 20'!$H$2:$H$847,1,0),"-")="-","","GS")</f>
        <v/>
      </c>
      <c r="X832" s="272" t="str">
        <f t="shared" si="57"/>
        <v/>
      </c>
      <c r="Y832" s="278" t="s">
        <v>975</v>
      </c>
      <c r="Z832" s="273" t="str">
        <f>IF(OR($M832="",NOT($O832="{array}")),"",IFERROR(MATCH(PARAMETERS!$M832,DEFAULT!$B$5:$CI$5,0),""))</f>
        <v/>
      </c>
      <c r="AA832" s="272" t="str">
        <f t="shared" si="55"/>
        <v/>
      </c>
      <c r="AB832" s="274" t="str">
        <f>IF(AND(OR($A832="G",$A832="P"),NOT($O832="{array}")),IF(VLOOKUP($K832,base!$B$2:$D$20,3,0)="S",IF(OR($O832="",ISTEXT($O832)),"","STRING!"),IF(VLOOKUP($K832,base!$B$2:$D$20,3,0)="","",IF(ISTEXT($O832),"NUMERIC!",""))),"")</f>
        <v/>
      </c>
      <c r="AC832" s="275" t="str">
        <f>IF($AA832="","",IF($B832="I",VLOOKUP($AA832,#REF!,53,0),INDEX(VALUES!$B$1:$GP$1,1,$AA832)))</f>
        <v/>
      </c>
    </row>
    <row r="833" spans="1:29" s="276" customFormat="1" hidden="1" outlineLevel="1">
      <c r="A833" s="263"/>
      <c r="B833" s="264" t="str">
        <f t="shared" si="58"/>
        <v/>
      </c>
      <c r="C833" s="265">
        <f t="shared" si="56"/>
        <v>832</v>
      </c>
      <c r="D833" s="266"/>
      <c r="E833" s="266"/>
      <c r="F833" s="305"/>
      <c r="G833" s="188"/>
      <c r="H833" s="266"/>
      <c r="I833" s="266" t="s">
        <v>9</v>
      </c>
      <c r="J833" s="266"/>
      <c r="K833" s="278" t="s">
        <v>102</v>
      </c>
      <c r="L833" s="278" t="s">
        <v>23</v>
      </c>
      <c r="M833" s="278"/>
      <c r="N833" s="278" t="s">
        <v>976</v>
      </c>
      <c r="O833" s="278" t="s">
        <v>977</v>
      </c>
      <c r="P833" s="284" t="s">
        <v>298</v>
      </c>
      <c r="Q833" s="279" t="s">
        <v>9</v>
      </c>
      <c r="R833" s="279" t="s">
        <v>105</v>
      </c>
      <c r="S833" s="279" t="s">
        <v>114</v>
      </c>
      <c r="T833" s="278" t="s">
        <v>298</v>
      </c>
      <c r="U833" s="278" t="s">
        <v>298</v>
      </c>
      <c r="V833" s="278" t="s">
        <v>976</v>
      </c>
      <c r="W833" s="272" t="str">
        <f>IF(IFERROR(VLOOKUP($M833,'IMPORT GS-Tür OL FL 2S2 20'!$H$2:$H$847,1,0),"-")="-","","GS")</f>
        <v/>
      </c>
      <c r="X833" s="272" t="str">
        <f t="shared" si="57"/>
        <v/>
      </c>
      <c r="Y833" s="278" t="s">
        <v>978</v>
      </c>
      <c r="Z833" s="273" t="str">
        <f>IF(OR($M833="",NOT($O833="{array}")),"",IFERROR(MATCH(PARAMETERS!$M833,DEFAULT!$B$5:$CI$5,0),""))</f>
        <v/>
      </c>
      <c r="AA833" s="272" t="str">
        <f t="shared" si="55"/>
        <v/>
      </c>
      <c r="AB833" s="274" t="str">
        <f>IF(AND(OR($A833="G",$A833="P"),NOT($O833="{array}")),IF(VLOOKUP($K833,base!$B$2:$D$20,3,0)="S",IF(OR($O833="",ISTEXT($O833)),"","STRING!"),IF(VLOOKUP($K833,base!$B$2:$D$20,3,0)="","",IF(ISTEXT($O833),"NUMERIC!",""))),"")</f>
        <v/>
      </c>
      <c r="AC833" s="275" t="str">
        <f>IF($AA833="","",IF($B833="I",VLOOKUP($AA833,#REF!,53,0),INDEX(VALUES!$B$1:$GP$1,1,$AA833)))</f>
        <v/>
      </c>
    </row>
    <row r="834" spans="1:29" s="276" customFormat="1" hidden="1" outlineLevel="1">
      <c r="A834" s="263"/>
      <c r="B834" s="264" t="str">
        <f t="shared" si="58"/>
        <v/>
      </c>
      <c r="C834" s="265">
        <f t="shared" si="56"/>
        <v>833</v>
      </c>
      <c r="D834" s="266"/>
      <c r="E834" s="266"/>
      <c r="F834" s="305"/>
      <c r="G834" s="188"/>
      <c r="H834" s="266"/>
      <c r="I834" s="266" t="s">
        <v>9</v>
      </c>
      <c r="J834" s="266"/>
      <c r="K834" s="278" t="s">
        <v>20</v>
      </c>
      <c r="L834" s="278" t="s">
        <v>23</v>
      </c>
      <c r="M834" s="278"/>
      <c r="N834" s="278" t="s">
        <v>979</v>
      </c>
      <c r="O834" s="278" t="s">
        <v>298</v>
      </c>
      <c r="P834" s="284" t="s">
        <v>298</v>
      </c>
      <c r="Q834" s="279" t="s">
        <v>9</v>
      </c>
      <c r="R834" s="279" t="s">
        <v>105</v>
      </c>
      <c r="S834" s="279" t="s">
        <v>114</v>
      </c>
      <c r="T834" s="278" t="s">
        <v>298</v>
      </c>
      <c r="U834" s="278" t="s">
        <v>298</v>
      </c>
      <c r="V834" s="278" t="s">
        <v>979</v>
      </c>
      <c r="W834" s="272" t="str">
        <f>IF(IFERROR(VLOOKUP($M834,'IMPORT GS-Tür OL FL 2S2 20'!$H$2:$H$847,1,0),"-")="-","","GS")</f>
        <v/>
      </c>
      <c r="X834" s="272" t="str">
        <f t="shared" si="57"/>
        <v/>
      </c>
      <c r="Y834" s="278" t="s">
        <v>980</v>
      </c>
      <c r="Z834" s="273" t="str">
        <f>IF(OR($M834="",NOT($O834="{array}")),"",IFERROR(MATCH(PARAMETERS!$M834,DEFAULT!$B$5:$CI$5,0),""))</f>
        <v/>
      </c>
      <c r="AA834" s="272" t="str">
        <f t="shared" si="55"/>
        <v/>
      </c>
      <c r="AB834" s="274" t="str">
        <f>IF(AND(OR($A834="G",$A834="P"),NOT($O834="{array}")),IF(VLOOKUP($K834,base!$B$2:$D$20,3,0)="S",IF(OR($O834="",ISTEXT($O834)),"","STRING!"),IF(VLOOKUP($K834,base!$B$2:$D$20,3,0)="","",IF(ISTEXT($O834),"NUMERIC!",""))),"")</f>
        <v/>
      </c>
      <c r="AC834" s="275" t="str">
        <f>IF($AA834="","",IF($B834="I",VLOOKUP($AA834,#REF!,53,0),INDEX(VALUES!$B$1:$GP$1,1,$AA834)))</f>
        <v/>
      </c>
    </row>
    <row r="835" spans="1:29" s="276" customFormat="1" hidden="1" outlineLevel="1">
      <c r="A835" s="263"/>
      <c r="B835" s="264" t="str">
        <f t="shared" si="58"/>
        <v/>
      </c>
      <c r="C835" s="265">
        <f t="shared" si="56"/>
        <v>834</v>
      </c>
      <c r="D835" s="266"/>
      <c r="E835" s="266"/>
      <c r="F835" s="305"/>
      <c r="G835" s="188"/>
      <c r="H835" s="266"/>
      <c r="I835" s="266" t="s">
        <v>9</v>
      </c>
      <c r="J835" s="266"/>
      <c r="K835" s="278" t="s">
        <v>20</v>
      </c>
      <c r="L835" s="278" t="s">
        <v>23</v>
      </c>
      <c r="M835" s="278"/>
      <c r="N835" s="278" t="s">
        <v>981</v>
      </c>
      <c r="O835" s="278" t="s">
        <v>298</v>
      </c>
      <c r="P835" s="284" t="s">
        <v>298</v>
      </c>
      <c r="Q835" s="279" t="s">
        <v>9</v>
      </c>
      <c r="R835" s="279" t="s">
        <v>105</v>
      </c>
      <c r="S835" s="279" t="s">
        <v>114</v>
      </c>
      <c r="T835" s="278" t="s">
        <v>298</v>
      </c>
      <c r="U835" s="278" t="s">
        <v>298</v>
      </c>
      <c r="V835" s="278" t="s">
        <v>981</v>
      </c>
      <c r="W835" s="272" t="str">
        <f>IF(IFERROR(VLOOKUP($M835,'IMPORT GS-Tür OL FL 2S2 20'!$H$2:$H$847,1,0),"-")="-","","GS")</f>
        <v/>
      </c>
      <c r="X835" s="272" t="str">
        <f t="shared" si="57"/>
        <v/>
      </c>
      <c r="Y835" s="278" t="s">
        <v>298</v>
      </c>
      <c r="Z835" s="273" t="str">
        <f>IF(OR($M835="",NOT($O835="{array}")),"",IFERROR(MATCH(PARAMETERS!$M835,DEFAULT!$B$5:$CI$5,0),""))</f>
        <v/>
      </c>
      <c r="AA835" s="272" t="str">
        <f t="shared" si="55"/>
        <v/>
      </c>
      <c r="AB835" s="274" t="str">
        <f>IF(AND(OR($A835="G",$A835="P"),NOT($O835="{array}")),IF(VLOOKUP($K835,base!$B$2:$D$20,3,0)="S",IF(OR($O835="",ISTEXT($O835)),"","STRING!"),IF(VLOOKUP($K835,base!$B$2:$D$20,3,0)="","",IF(ISTEXT($O835),"NUMERIC!",""))),"")</f>
        <v/>
      </c>
      <c r="AC835" s="275" t="str">
        <f>IF($AA835="","",IF($B835="I",VLOOKUP($AA835,#REF!,53,0),INDEX(VALUES!$B$1:$GP$1,1,$AA835)))</f>
        <v/>
      </c>
    </row>
    <row r="836" spans="1:29" s="276" customFormat="1" hidden="1" outlineLevel="1">
      <c r="A836" s="263"/>
      <c r="B836" s="264" t="str">
        <f t="shared" si="58"/>
        <v/>
      </c>
      <c r="C836" s="265">
        <f t="shared" si="56"/>
        <v>835</v>
      </c>
      <c r="D836" s="266"/>
      <c r="E836" s="266"/>
      <c r="F836" s="305"/>
      <c r="G836" s="188"/>
      <c r="H836" s="266"/>
      <c r="I836" s="266" t="s">
        <v>9</v>
      </c>
      <c r="J836" s="266"/>
      <c r="K836" s="278" t="s">
        <v>20</v>
      </c>
      <c r="L836" s="278" t="s">
        <v>23</v>
      </c>
      <c r="M836" s="278"/>
      <c r="N836" s="278" t="s">
        <v>982</v>
      </c>
      <c r="O836" s="278" t="s">
        <v>298</v>
      </c>
      <c r="P836" s="284" t="s">
        <v>298</v>
      </c>
      <c r="Q836" s="279" t="s">
        <v>9</v>
      </c>
      <c r="R836" s="279" t="s">
        <v>105</v>
      </c>
      <c r="S836" s="279" t="s">
        <v>114</v>
      </c>
      <c r="T836" s="278" t="s">
        <v>298</v>
      </c>
      <c r="U836" s="278" t="s">
        <v>298</v>
      </c>
      <c r="V836" s="278" t="s">
        <v>982</v>
      </c>
      <c r="W836" s="272" t="str">
        <f>IF(IFERROR(VLOOKUP($M836,'IMPORT GS-Tür OL FL 2S2 20'!$H$2:$H$847,1,0),"-")="-","","GS")</f>
        <v/>
      </c>
      <c r="X836" s="272" t="str">
        <f t="shared" si="57"/>
        <v/>
      </c>
      <c r="Y836" s="278" t="s">
        <v>298</v>
      </c>
      <c r="Z836" s="273" t="str">
        <f>IF(OR($M836="",NOT($O836="{array}")),"",IFERROR(MATCH(PARAMETERS!$M836,DEFAULT!$B$5:$CI$5,0),""))</f>
        <v/>
      </c>
      <c r="AA836" s="272" t="str">
        <f t="shared" si="55"/>
        <v/>
      </c>
      <c r="AB836" s="274" t="str">
        <f>IF(AND(OR($A836="G",$A836="P"),NOT($O836="{array}")),IF(VLOOKUP($K836,base!$B$2:$D$20,3,0)="S",IF(OR($O836="",ISTEXT($O836)),"","STRING!"),IF(VLOOKUP($K836,base!$B$2:$D$20,3,0)="","",IF(ISTEXT($O836),"NUMERIC!",""))),"")</f>
        <v/>
      </c>
      <c r="AC836" s="275" t="str">
        <f>IF($AA836="","",IF($B836="I",VLOOKUP($AA836,#REF!,53,0),INDEX(VALUES!$B$1:$GP$1,1,$AA836)))</f>
        <v/>
      </c>
    </row>
    <row r="837" spans="1:29" s="276" customFormat="1" hidden="1" outlineLevel="1">
      <c r="A837" s="263"/>
      <c r="B837" s="264" t="str">
        <f t="shared" si="58"/>
        <v/>
      </c>
      <c r="C837" s="265">
        <f t="shared" si="56"/>
        <v>836</v>
      </c>
      <c r="D837" s="266"/>
      <c r="E837" s="266"/>
      <c r="F837" s="305"/>
      <c r="G837" s="188"/>
      <c r="H837" s="266"/>
      <c r="I837" s="266"/>
      <c r="J837" s="266"/>
      <c r="K837" s="278" t="s">
        <v>20</v>
      </c>
      <c r="L837" s="278" t="s">
        <v>23</v>
      </c>
      <c r="M837" s="278"/>
      <c r="N837" s="278" t="s">
        <v>985</v>
      </c>
      <c r="O837" s="278" t="s">
        <v>298</v>
      </c>
      <c r="P837" s="284" t="s">
        <v>298</v>
      </c>
      <c r="Q837" s="279" t="s">
        <v>9</v>
      </c>
      <c r="R837" s="279" t="s">
        <v>105</v>
      </c>
      <c r="S837" s="279" t="s">
        <v>114</v>
      </c>
      <c r="T837" s="278" t="s">
        <v>298</v>
      </c>
      <c r="U837" s="278" t="s">
        <v>298</v>
      </c>
      <c r="V837" s="278" t="s">
        <v>985</v>
      </c>
      <c r="W837" s="272" t="str">
        <f>IF(IFERROR(VLOOKUP($M837,'IMPORT GS-Tür OL FL 2S2 20'!$H$2:$H$847,1,0),"-")="-","","GS")</f>
        <v/>
      </c>
      <c r="X837" s="272" t="str">
        <f t="shared" si="57"/>
        <v/>
      </c>
      <c r="Y837" s="278" t="s">
        <v>986</v>
      </c>
      <c r="Z837" s="273" t="str">
        <f>IF(OR($M837="",NOT($O837="{array}")),"",IFERROR(MATCH(PARAMETERS!$M837,DEFAULT!$B$5:$CI$5,0),""))</f>
        <v/>
      </c>
      <c r="AA837" s="272" t="str">
        <f t="shared" si="55"/>
        <v/>
      </c>
      <c r="AB837" s="274" t="str">
        <f>IF(AND(OR($A837="G",$A837="P"),NOT($O837="{array}")),IF(VLOOKUP($K837,base!$B$2:$D$20,3,0)="S",IF(OR($O837="",ISTEXT($O837)),"","STRING!"),IF(VLOOKUP($K837,base!$B$2:$D$20,3,0)="","",IF(ISTEXT($O837),"NUMERIC!",""))),"")</f>
        <v/>
      </c>
      <c r="AC837" s="275" t="str">
        <f>IF($AA837="","",IF($B837="I",VLOOKUP($AA837,#REF!,53,0),INDEX(VALUES!$B$1:$GP$1,1,$AA837)))</f>
        <v/>
      </c>
    </row>
    <row r="838" spans="1:29" s="276" customFormat="1" hidden="1" outlineLevel="1">
      <c r="A838" s="263"/>
      <c r="B838" s="264" t="str">
        <f t="shared" si="58"/>
        <v/>
      </c>
      <c r="C838" s="265">
        <f t="shared" si="56"/>
        <v>837</v>
      </c>
      <c r="D838" s="266"/>
      <c r="E838" s="266"/>
      <c r="F838" s="305"/>
      <c r="G838" s="188"/>
      <c r="H838" s="266"/>
      <c r="I838" s="266"/>
      <c r="J838" s="266"/>
      <c r="K838" s="278" t="s">
        <v>20</v>
      </c>
      <c r="L838" s="278" t="s">
        <v>23</v>
      </c>
      <c r="M838" s="278"/>
      <c r="N838" s="278" t="s">
        <v>987</v>
      </c>
      <c r="O838" s="278" t="s">
        <v>298</v>
      </c>
      <c r="P838" s="284" t="s">
        <v>298</v>
      </c>
      <c r="Q838" s="279" t="s">
        <v>9</v>
      </c>
      <c r="R838" s="279" t="s">
        <v>105</v>
      </c>
      <c r="S838" s="279" t="s">
        <v>114</v>
      </c>
      <c r="T838" s="278" t="s">
        <v>298</v>
      </c>
      <c r="U838" s="278" t="s">
        <v>298</v>
      </c>
      <c r="V838" s="278" t="s">
        <v>987</v>
      </c>
      <c r="W838" s="272" t="str">
        <f>IF(IFERROR(VLOOKUP($M838,'IMPORT GS-Tür OL FL 2S2 20'!$H$2:$H$847,1,0),"-")="-","","GS")</f>
        <v/>
      </c>
      <c r="X838" s="272" t="str">
        <f t="shared" si="57"/>
        <v/>
      </c>
      <c r="Y838" s="278" t="s">
        <v>988</v>
      </c>
      <c r="Z838" s="273" t="str">
        <f>IF(OR($M838="",NOT($O838="{array}")),"",IFERROR(MATCH(PARAMETERS!$M838,DEFAULT!$B$5:$CI$5,0),""))</f>
        <v/>
      </c>
      <c r="AA838" s="272" t="str">
        <f t="shared" si="55"/>
        <v/>
      </c>
      <c r="AB838" s="274" t="str">
        <f>IF(AND(OR($A838="G",$A838="P"),NOT($O838="{array}")),IF(VLOOKUP($K838,base!$B$2:$D$20,3,0)="S",IF(OR($O838="",ISTEXT($O838)),"","STRING!"),IF(VLOOKUP($K838,base!$B$2:$D$20,3,0)="","",IF(ISTEXT($O838),"NUMERIC!",""))),"")</f>
        <v/>
      </c>
      <c r="AC838" s="275" t="str">
        <f>IF($AA838="","",IF($B838="I",VLOOKUP($AA838,#REF!,53,0),INDEX(VALUES!$B$1:$GP$1,1,$AA838)))</f>
        <v/>
      </c>
    </row>
    <row r="839" spans="1:29" s="276" customFormat="1" hidden="1" outlineLevel="1">
      <c r="A839" s="263"/>
      <c r="B839" s="264" t="str">
        <f t="shared" si="58"/>
        <v/>
      </c>
      <c r="C839" s="265">
        <f t="shared" si="56"/>
        <v>838</v>
      </c>
      <c r="D839" s="266"/>
      <c r="E839" s="266"/>
      <c r="F839" s="305"/>
      <c r="G839" s="188"/>
      <c r="H839" s="266"/>
      <c r="I839" s="266"/>
      <c r="J839" s="266"/>
      <c r="K839" s="278" t="s">
        <v>102</v>
      </c>
      <c r="L839" s="278" t="s">
        <v>23</v>
      </c>
      <c r="M839" s="278"/>
      <c r="N839" s="278" t="s">
        <v>989</v>
      </c>
      <c r="O839" s="278" t="s">
        <v>990</v>
      </c>
      <c r="P839" s="284" t="s">
        <v>298</v>
      </c>
      <c r="Q839" s="279" t="s">
        <v>9</v>
      </c>
      <c r="R839" s="279" t="s">
        <v>105</v>
      </c>
      <c r="S839" s="279" t="s">
        <v>114</v>
      </c>
      <c r="T839" s="278" t="s">
        <v>298</v>
      </c>
      <c r="U839" s="278" t="s">
        <v>298</v>
      </c>
      <c r="V839" s="278" t="s">
        <v>989</v>
      </c>
      <c r="W839" s="272" t="str">
        <f>IF(IFERROR(VLOOKUP($M839,'IMPORT GS-Tür OL FL 2S2 20'!$H$2:$H$847,1,0),"-")="-","","GS")</f>
        <v/>
      </c>
      <c r="X839" s="272" t="str">
        <f t="shared" si="57"/>
        <v/>
      </c>
      <c r="Y839" s="278" t="s">
        <v>991</v>
      </c>
      <c r="Z839" s="273" t="str">
        <f>IF(OR($M839="",NOT($O839="{array}")),"",IFERROR(MATCH(PARAMETERS!$M839,DEFAULT!$B$5:$CI$5,0),""))</f>
        <v/>
      </c>
      <c r="AA839" s="272" t="str">
        <f t="shared" si="55"/>
        <v/>
      </c>
      <c r="AB839" s="274" t="str">
        <f>IF(AND(OR($A839="G",$A839="P"),NOT($O839="{array}")),IF(VLOOKUP($K839,base!$B$2:$D$20,3,0)="S",IF(OR($O839="",ISTEXT($O839)),"","STRING!"),IF(VLOOKUP($K839,base!$B$2:$D$20,3,0)="","",IF(ISTEXT($O839),"NUMERIC!",""))),"")</f>
        <v/>
      </c>
      <c r="AC839" s="275" t="str">
        <f>IF($AA839="","",IF($B839="I",VLOOKUP($AA839,#REF!,53,0),INDEX(VALUES!$B$1:$GP$1,1,$AA839)))</f>
        <v/>
      </c>
    </row>
    <row r="840" spans="1:29" s="276" customFormat="1" hidden="1" outlineLevel="1">
      <c r="A840" s="263"/>
      <c r="B840" s="264" t="str">
        <f t="shared" si="58"/>
        <v/>
      </c>
      <c r="C840" s="265">
        <f t="shared" si="56"/>
        <v>839</v>
      </c>
      <c r="D840" s="266"/>
      <c r="E840" s="266"/>
      <c r="F840" s="305"/>
      <c r="G840" s="188"/>
      <c r="H840" s="266"/>
      <c r="I840" s="266"/>
      <c r="J840" s="266"/>
      <c r="K840" s="278" t="s">
        <v>46</v>
      </c>
      <c r="L840" s="278" t="s">
        <v>23</v>
      </c>
      <c r="M840" s="278"/>
      <c r="N840" s="278" t="s">
        <v>992</v>
      </c>
      <c r="O840" s="278" t="s">
        <v>298</v>
      </c>
      <c r="P840" s="284" t="s">
        <v>126</v>
      </c>
      <c r="Q840" s="279" t="s">
        <v>9</v>
      </c>
      <c r="R840" s="279" t="s">
        <v>105</v>
      </c>
      <c r="S840" s="279" t="s">
        <v>114</v>
      </c>
      <c r="T840" s="278" t="s">
        <v>298</v>
      </c>
      <c r="U840" s="278" t="s">
        <v>298</v>
      </c>
      <c r="V840" s="278" t="s">
        <v>992</v>
      </c>
      <c r="W840" s="272" t="str">
        <f>IF(IFERROR(VLOOKUP($M840,'IMPORT GS-Tür OL FL 2S2 20'!$H$2:$H$847,1,0),"-")="-","","GS")</f>
        <v/>
      </c>
      <c r="X840" s="272" t="str">
        <f t="shared" si="57"/>
        <v/>
      </c>
      <c r="Y840" s="278" t="s">
        <v>993</v>
      </c>
      <c r="Z840" s="273" t="str">
        <f>IF(OR($M840="",NOT($O840="{array}")),"",IFERROR(MATCH(PARAMETERS!$M840,DEFAULT!$B$5:$CI$5,0),""))</f>
        <v/>
      </c>
      <c r="AA840" s="272" t="str">
        <f t="shared" si="55"/>
        <v/>
      </c>
      <c r="AB840" s="274" t="str">
        <f>IF(AND(OR($A840="G",$A840="P"),NOT($O840="{array}")),IF(VLOOKUP($K840,base!$B$2:$D$20,3,0)="S",IF(OR($O840="",ISTEXT($O840)),"","STRING!"),IF(VLOOKUP($K840,base!$B$2:$D$20,3,0)="","",IF(ISTEXT($O840),"NUMERIC!",""))),"")</f>
        <v/>
      </c>
      <c r="AC840" s="275" t="str">
        <f>IF($AA840="","",IF($B840="I",VLOOKUP($AA840,#REF!,53,0),INDEX(VALUES!$B$1:$GP$1,1,$AA840)))</f>
        <v/>
      </c>
    </row>
    <row r="841" spans="1:29" s="276" customFormat="1" hidden="1" outlineLevel="1">
      <c r="A841" s="263"/>
      <c r="B841" s="264" t="str">
        <f t="shared" si="58"/>
        <v/>
      </c>
      <c r="C841" s="265">
        <f t="shared" si="56"/>
        <v>840</v>
      </c>
      <c r="D841" s="266"/>
      <c r="E841" s="266"/>
      <c r="F841" s="305"/>
      <c r="G841" s="188"/>
      <c r="H841" s="266"/>
      <c r="I841" s="266"/>
      <c r="J841" s="266"/>
      <c r="K841" s="278" t="s">
        <v>49</v>
      </c>
      <c r="L841" s="278" t="s">
        <v>23</v>
      </c>
      <c r="M841" s="278"/>
      <c r="N841" s="278" t="s">
        <v>952</v>
      </c>
      <c r="O841" s="278" t="s">
        <v>298</v>
      </c>
      <c r="P841" s="284" t="s">
        <v>298</v>
      </c>
      <c r="Q841" s="279" t="s">
        <v>9</v>
      </c>
      <c r="R841" s="279" t="s">
        <v>105</v>
      </c>
      <c r="S841" s="279" t="s">
        <v>114</v>
      </c>
      <c r="T841" s="278" t="s">
        <v>298</v>
      </c>
      <c r="U841" s="278" t="s">
        <v>298</v>
      </c>
      <c r="V841" s="278" t="s">
        <v>952</v>
      </c>
      <c r="W841" s="272" t="str">
        <f>IF(IFERROR(VLOOKUP($M841,'IMPORT GS-Tür OL FL 2S2 20'!$H$2:$H$847,1,0),"-")="-","","GS")</f>
        <v/>
      </c>
      <c r="X841" s="272" t="str">
        <f t="shared" si="57"/>
        <v/>
      </c>
      <c r="Y841" s="278" t="s">
        <v>953</v>
      </c>
      <c r="Z841" s="273" t="str">
        <f>IF(OR($M841="",NOT($O841="{array}")),"",IFERROR(MATCH(PARAMETERS!$M841,DEFAULT!$B$5:$CI$5,0),""))</f>
        <v/>
      </c>
      <c r="AA841" s="272" t="str">
        <f t="shared" si="55"/>
        <v/>
      </c>
      <c r="AB841" s="274" t="str">
        <f>IF(AND(OR($A841="G",$A841="P"),NOT($O841="{array}")),IF(VLOOKUP($K841,base!$B$2:$D$20,3,0)="S",IF(OR($O841="",ISTEXT($O841)),"","STRING!"),IF(VLOOKUP($K841,base!$B$2:$D$20,3,0)="","",IF(ISTEXT($O841),"NUMERIC!",""))),"")</f>
        <v/>
      </c>
      <c r="AC841" s="275" t="str">
        <f>IF($AA841="","",IF($B841="I",VLOOKUP($AA841,#REF!,53,0),INDEX(VALUES!$B$1:$GP$1,1,$AA841)))</f>
        <v/>
      </c>
    </row>
    <row r="842" spans="1:29" s="276" customFormat="1" hidden="1" outlineLevel="1">
      <c r="A842" s="263"/>
      <c r="B842" s="264" t="str">
        <f t="shared" si="58"/>
        <v/>
      </c>
      <c r="C842" s="265">
        <f t="shared" si="56"/>
        <v>841</v>
      </c>
      <c r="D842" s="266"/>
      <c r="E842" s="266"/>
      <c r="F842" s="305"/>
      <c r="G842" s="188"/>
      <c r="H842" s="266"/>
      <c r="I842" s="266"/>
      <c r="J842" s="266"/>
      <c r="K842" s="278" t="s">
        <v>20</v>
      </c>
      <c r="L842" s="278" t="s">
        <v>23</v>
      </c>
      <c r="M842" s="278"/>
      <c r="N842" s="278" t="s">
        <v>994</v>
      </c>
      <c r="O842" s="278" t="s">
        <v>298</v>
      </c>
      <c r="P842" s="284" t="s">
        <v>298</v>
      </c>
      <c r="Q842" s="279" t="s">
        <v>9</v>
      </c>
      <c r="R842" s="279" t="s">
        <v>105</v>
      </c>
      <c r="S842" s="279" t="s">
        <v>114</v>
      </c>
      <c r="T842" s="278" t="s">
        <v>298</v>
      </c>
      <c r="U842" s="278" t="s">
        <v>298</v>
      </c>
      <c r="V842" s="278" t="s">
        <v>994</v>
      </c>
      <c r="W842" s="272" t="str">
        <f>IF(IFERROR(VLOOKUP($M842,'IMPORT GS-Tür OL FL 2S2 20'!$H$2:$H$847,1,0),"-")="-","","GS")</f>
        <v/>
      </c>
      <c r="X842" s="272" t="str">
        <f t="shared" si="57"/>
        <v/>
      </c>
      <c r="Y842" s="278" t="s">
        <v>995</v>
      </c>
      <c r="Z842" s="273" t="str">
        <f>IF(OR($M842="",NOT($O842="{array}")),"",IFERROR(MATCH(PARAMETERS!$M842,DEFAULT!$B$5:$CI$5,0),""))</f>
        <v/>
      </c>
      <c r="AA842" s="272" t="str">
        <f t="shared" si="55"/>
        <v/>
      </c>
      <c r="AB842" s="274" t="str">
        <f>IF(AND(OR($A842="G",$A842="P"),NOT($O842="{array}")),IF(VLOOKUP($K842,base!$B$2:$D$20,3,0)="S",IF(OR($O842="",ISTEXT($O842)),"","STRING!"),IF(VLOOKUP($K842,base!$B$2:$D$20,3,0)="","",IF(ISTEXT($O842),"NUMERIC!",""))),"")</f>
        <v/>
      </c>
      <c r="AC842" s="275" t="str">
        <f>IF($AA842="","",IF($B842="I",VLOOKUP($AA842,#REF!,53,0),INDEX(VALUES!$B$1:$GP$1,1,$AA842)))</f>
        <v/>
      </c>
    </row>
    <row r="843" spans="1:29" s="276" customFormat="1" hidden="1" outlineLevel="1">
      <c r="A843" s="263"/>
      <c r="B843" s="264" t="str">
        <f t="shared" si="58"/>
        <v/>
      </c>
      <c r="C843" s="265">
        <f t="shared" si="56"/>
        <v>842</v>
      </c>
      <c r="D843" s="266"/>
      <c r="E843" s="266"/>
      <c r="F843" s="305"/>
      <c r="G843" s="188"/>
      <c r="H843" s="266"/>
      <c r="I843" s="266"/>
      <c r="J843" s="266"/>
      <c r="K843" s="278" t="s">
        <v>46</v>
      </c>
      <c r="L843" s="278" t="s">
        <v>23</v>
      </c>
      <c r="M843" s="278"/>
      <c r="N843" s="278" t="s">
        <v>996</v>
      </c>
      <c r="O843" s="278" t="s">
        <v>298</v>
      </c>
      <c r="P843" s="284" t="s">
        <v>126</v>
      </c>
      <c r="Q843" s="279" t="s">
        <v>9</v>
      </c>
      <c r="R843" s="279" t="s">
        <v>105</v>
      </c>
      <c r="S843" s="279" t="s">
        <v>114</v>
      </c>
      <c r="T843" s="278" t="s">
        <v>298</v>
      </c>
      <c r="U843" s="278" t="s">
        <v>298</v>
      </c>
      <c r="V843" s="278" t="s">
        <v>996</v>
      </c>
      <c r="W843" s="272" t="str">
        <f>IF(IFERROR(VLOOKUP($M843,'IMPORT GS-Tür OL FL 2S2 20'!$H$2:$H$847,1,0),"-")="-","","GS")</f>
        <v/>
      </c>
      <c r="X843" s="272" t="str">
        <f t="shared" si="57"/>
        <v/>
      </c>
      <c r="Y843" s="278" t="s">
        <v>997</v>
      </c>
      <c r="Z843" s="273" t="str">
        <f>IF(OR($M843="",NOT($O843="{array}")),"",IFERROR(MATCH(PARAMETERS!$M843,DEFAULT!$B$5:$CI$5,0),""))</f>
        <v/>
      </c>
      <c r="AA843" s="272" t="str">
        <f t="shared" si="55"/>
        <v/>
      </c>
      <c r="AB843" s="274" t="str">
        <f>IF(AND(OR($A843="G",$A843="P"),NOT($O843="{array}")),IF(VLOOKUP($K843,base!$B$2:$D$20,3,0)="S",IF(OR($O843="",ISTEXT($O843)),"","STRING!"),IF(VLOOKUP($K843,base!$B$2:$D$20,3,0)="","",IF(ISTEXT($O843),"NUMERIC!",""))),"")</f>
        <v/>
      </c>
      <c r="AC843" s="275" t="str">
        <f>IF($AA843="","",IF($B843="I",VLOOKUP($AA843,#REF!,53,0),INDEX(VALUES!$B$1:$GP$1,1,$AA843)))</f>
        <v/>
      </c>
    </row>
    <row r="844" spans="1:29" hidden="1" outlineLevel="1">
      <c r="A844" s="21" t="s">
        <v>86</v>
      </c>
      <c r="B844" s="40" t="str">
        <f t="shared" si="58"/>
        <v/>
      </c>
      <c r="C844" s="41">
        <f t="shared" si="56"/>
        <v>843</v>
      </c>
      <c r="D844" s="260" t="s">
        <v>9</v>
      </c>
      <c r="E844" s="37"/>
      <c r="F844" s="305"/>
      <c r="G844" s="188" t="s">
        <v>9</v>
      </c>
      <c r="H844" s="37"/>
      <c r="I844" s="37" t="s">
        <v>9</v>
      </c>
      <c r="J844" s="37"/>
      <c r="K844" s="156" t="s">
        <v>26</v>
      </c>
      <c r="L844" s="13" t="s">
        <v>29</v>
      </c>
      <c r="M844" s="156" t="s">
        <v>3477</v>
      </c>
      <c r="N844" s="156" t="s">
        <v>3479</v>
      </c>
      <c r="O844" s="156">
        <v>0.85</v>
      </c>
      <c r="P844" s="172"/>
      <c r="Q844" s="174" t="s">
        <v>9</v>
      </c>
      <c r="R844" s="174" t="s">
        <v>204</v>
      </c>
      <c r="S844" s="168"/>
      <c r="T844" s="163"/>
      <c r="U844" s="163"/>
      <c r="V844" s="163"/>
      <c r="W844" s="14"/>
      <c r="X844" s="14" t="str">
        <f t="shared" si="57"/>
        <v>...</v>
      </c>
      <c r="Y844" s="163"/>
      <c r="Z844" s="58" t="str">
        <f>IF(OR($M844="",NOT($O844="{array}")),"",IFERROR(MATCH(PARAMETERS!$M844,DEFAULT!$B$5:$CI$5,0),""))</f>
        <v/>
      </c>
      <c r="AA844" s="55" t="str">
        <f t="shared" si="55"/>
        <v/>
      </c>
      <c r="AB844" s="62" t="str">
        <f>IF(AND(OR($A844="G",$A844="P"),NOT($O844="{array}")),IF(VLOOKUP($K844,base!$B$2:$D$20,3,0)="S",IF(OR($O844="",ISTEXT($O844)),"","STRING!"),IF(VLOOKUP($K844,base!$B$2:$D$20,3,0)="","",IF(ISTEXT($O844),"NUMERIC!",""))),"")</f>
        <v/>
      </c>
      <c r="AC844" s="16" t="str">
        <f>IF($AA844="","",IF($B844="I",VLOOKUP($AA844,#REF!,53,0),INDEX(VALUES!$B$1:$GP$1,1,$AA844)))</f>
        <v/>
      </c>
    </row>
    <row r="845" spans="1:29" hidden="1" outlineLevel="1">
      <c r="A845" s="21" t="s">
        <v>86</v>
      </c>
      <c r="B845" s="40" t="str">
        <f t="shared" si="58"/>
        <v/>
      </c>
      <c r="C845" s="41">
        <f t="shared" si="56"/>
        <v>844</v>
      </c>
      <c r="D845" s="260" t="s">
        <v>9</v>
      </c>
      <c r="E845" s="37"/>
      <c r="F845" s="305"/>
      <c r="G845" s="188" t="s">
        <v>9</v>
      </c>
      <c r="H845" s="37"/>
      <c r="I845" s="37" t="s">
        <v>9</v>
      </c>
      <c r="J845" s="37"/>
      <c r="K845" s="156" t="s">
        <v>26</v>
      </c>
      <c r="L845" s="13" t="s">
        <v>29</v>
      </c>
      <c r="M845" s="156" t="s">
        <v>3478</v>
      </c>
      <c r="N845" s="156" t="s">
        <v>3480</v>
      </c>
      <c r="O845" s="156">
        <v>1.3</v>
      </c>
      <c r="P845" s="172"/>
      <c r="Q845" s="174" t="s">
        <v>9</v>
      </c>
      <c r="R845" s="174" t="s">
        <v>204</v>
      </c>
      <c r="S845" s="168"/>
      <c r="T845" s="163"/>
      <c r="U845" s="163"/>
      <c r="V845" s="163"/>
      <c r="W845" s="14"/>
      <c r="X845" s="14" t="str">
        <f t="shared" si="57"/>
        <v>...</v>
      </c>
      <c r="Y845" s="163"/>
      <c r="Z845" s="58" t="str">
        <f>IF(OR($M845="",NOT($O845="{array}")),"",IFERROR(MATCH(PARAMETERS!$M845,DEFAULT!$B$5:$CI$5,0),""))</f>
        <v/>
      </c>
      <c r="AA845" s="55" t="str">
        <f t="shared" si="55"/>
        <v/>
      </c>
      <c r="AB845" s="62" t="str">
        <f>IF(AND(OR($A845="G",$A845="P"),NOT($O845="{array}")),IF(VLOOKUP($K845,base!$B$2:$D$20,3,0)="S",IF(OR($O845="",ISTEXT($O845)),"","STRING!"),IF(VLOOKUP($K845,base!$B$2:$D$20,3,0)="","",IF(ISTEXT($O845),"NUMERIC!",""))),"")</f>
        <v/>
      </c>
      <c r="AC845" s="16" t="str">
        <f>IF($AA845="","",IF($B845="I",VLOOKUP($AA845,#REF!,53,0),INDEX(VALUES!$B$1:$GP$1,1,$AA845)))</f>
        <v/>
      </c>
    </row>
    <row r="846" spans="1:29" s="276" customFormat="1" hidden="1" outlineLevel="1">
      <c r="A846" s="263"/>
      <c r="B846" s="264" t="str">
        <f>IF($A846="P",IF(NOT($Z846=""),"A",IF(NOT($AA846=""),"I","")),IF(NOT($AA846=""),IF($A846="G","V","X"),IF(NOT($Z846=""),"A","")))</f>
        <v/>
      </c>
      <c r="C846" s="265">
        <f t="shared" si="56"/>
        <v>845</v>
      </c>
      <c r="D846" s="266"/>
      <c r="E846" s="266"/>
      <c r="F846" s="305"/>
      <c r="G846" s="188"/>
      <c r="H846" s="266"/>
      <c r="I846" s="266" t="s">
        <v>9</v>
      </c>
      <c r="J846" s="266"/>
      <c r="K846" s="267" t="s">
        <v>26</v>
      </c>
      <c r="L846" s="267" t="s">
        <v>29</v>
      </c>
      <c r="M846" s="293" t="s">
        <v>934</v>
      </c>
      <c r="N846" s="267" t="s">
        <v>935</v>
      </c>
      <c r="O846" s="269">
        <v>0.02</v>
      </c>
      <c r="P846" s="267"/>
      <c r="Q846" s="270"/>
      <c r="R846" s="270" t="s">
        <v>106</v>
      </c>
      <c r="S846" s="266"/>
      <c r="T846" s="266"/>
      <c r="W846" s="272" t="str">
        <f>IF(IFERROR(VLOOKUP($M846,'IMPORT GS-Tür OL FL 2S2 20'!$H$2:$H$847,1,0),"-")="-","","GS")</f>
        <v>GS</v>
      </c>
      <c r="X846" s="272" t="str">
        <f t="shared" si="57"/>
        <v/>
      </c>
      <c r="Z846" s="273" t="str">
        <f>IF(OR($M846="",NOT($O846="{array}")),"",IFERROR(MATCH(PARAMETERS!$M846,DEFAULT!$B$5:$CI$5,0),""))</f>
        <v/>
      </c>
      <c r="AA846" s="272" t="str">
        <f t="shared" si="55"/>
        <v/>
      </c>
      <c r="AB846" s="274" t="str">
        <f>IF(AND(OR($A846="G",$A846="P"),NOT($O846="{array}")),IF(VLOOKUP($K846,base!$B$2:$D$20,3,0)="S",IF(OR($O846="",ISTEXT($O846)),"","STRING!"),IF(VLOOKUP($K846,base!$B$2:$D$20,3,0)="","",IF(ISTEXT($O846),"NUMERIC!",""))),"")</f>
        <v/>
      </c>
      <c r="AC846" s="275" t="str">
        <f>IF($AA846="","",IF($B846="I",VLOOKUP($AA846,#REF!,53,0),INDEX(VALUES!$B$1:$GP$1,1,$AA846)))</f>
        <v/>
      </c>
    </row>
    <row r="847" spans="1:29" hidden="1" outlineLevel="1">
      <c r="A847" s="21" t="s">
        <v>86</v>
      </c>
      <c r="B847" s="40" t="str">
        <f>IF($A847="P",IF(NOT($Z847=""),"A",IF(NOT($AA847=""),"I","")),IF(NOT($AA847=""),IF($A847="G","V","X"),IF(NOT($Z847=""),"A","")))</f>
        <v>A</v>
      </c>
      <c r="C847" s="41">
        <f t="shared" si="56"/>
        <v>846</v>
      </c>
      <c r="D847" s="260" t="s">
        <v>9</v>
      </c>
      <c r="E847" s="37"/>
      <c r="F847" s="305"/>
      <c r="G847" s="188" t="s">
        <v>9</v>
      </c>
      <c r="H847" s="37"/>
      <c r="I847" s="37" t="s">
        <v>9</v>
      </c>
      <c r="J847" s="37"/>
      <c r="K847" s="52" t="s">
        <v>26</v>
      </c>
      <c r="L847" s="52" t="s">
        <v>29</v>
      </c>
      <c r="M847" s="178" t="s">
        <v>3438</v>
      </c>
      <c r="N847" s="52" t="s">
        <v>3490</v>
      </c>
      <c r="O847" s="153" t="s">
        <v>35</v>
      </c>
      <c r="P847" s="52"/>
      <c r="Q847" s="188" t="s">
        <v>9</v>
      </c>
      <c r="R847" s="174" t="s">
        <v>105</v>
      </c>
      <c r="S847" s="168"/>
      <c r="T847" s="163"/>
      <c r="U847" s="163"/>
      <c r="V847" s="163"/>
      <c r="W847" s="14"/>
      <c r="X847" s="14" t="str">
        <f t="shared" si="57"/>
        <v>...</v>
      </c>
      <c r="Y847" s="163"/>
      <c r="Z847" s="58">
        <f>IF(OR($M847="",NOT($O847="{array}")),"",IFERROR(MATCH(PARAMETERS!$M847,DEFAULT!$B$5:$CI$5,0),""))</f>
        <v>51</v>
      </c>
      <c r="AA847" s="55" t="str">
        <f t="shared" si="55"/>
        <v/>
      </c>
      <c r="AB847" s="62" t="str">
        <f>IF(AND(OR($A847="G",$A847="P"),NOT($O847="{array}")),IF(VLOOKUP($K847,base!$B$2:$D$20,3,0)="S",IF(OR($O847="",ISTEXT($O847)),"","STRING!"),IF(VLOOKUP($K847,base!$B$2:$D$20,3,0)="","",IF(ISTEXT($O847),"NUMERIC!",""))),"")</f>
        <v/>
      </c>
      <c r="AC847" s="16" t="str">
        <f>IF($AA847="","",IF($B847="I",VLOOKUP($AA847,#REF!,53,0),INDEX(VALUES!$B$1:$GP$1,1,$AA847)))</f>
        <v/>
      </c>
    </row>
    <row r="848" spans="1:29" hidden="1" outlineLevel="1">
      <c r="A848" s="21" t="s">
        <v>86</v>
      </c>
      <c r="B848" s="40" t="str">
        <f t="shared" si="58"/>
        <v/>
      </c>
      <c r="C848" s="41">
        <f t="shared" si="56"/>
        <v>847</v>
      </c>
      <c r="D848" s="260" t="s">
        <v>9</v>
      </c>
      <c r="E848" s="37"/>
      <c r="F848" s="305"/>
      <c r="G848" s="188" t="s">
        <v>9</v>
      </c>
      <c r="H848" s="37"/>
      <c r="I848" s="37" t="s">
        <v>9</v>
      </c>
      <c r="J848" s="37"/>
      <c r="K848" s="13" t="s">
        <v>26</v>
      </c>
      <c r="L848" s="13" t="s">
        <v>29</v>
      </c>
      <c r="M848" s="214" t="s">
        <v>1000</v>
      </c>
      <c r="N848" s="13" t="s">
        <v>1001</v>
      </c>
      <c r="O848" s="42">
        <v>0.16</v>
      </c>
      <c r="R848" s="37" t="s">
        <v>106</v>
      </c>
      <c r="S848" s="37"/>
      <c r="T848" s="37"/>
      <c r="W848" s="14" t="str">
        <f>IF(IFERROR(VLOOKUP($M848,'IMPORT GS-Tür OL FL 2S2 20'!$H$2:$H$847,1,0),"-")="-","","GS")</f>
        <v>GS</v>
      </c>
      <c r="X848" s="14" t="str">
        <f t="shared" si="57"/>
        <v>...</v>
      </c>
      <c r="Z848" s="58" t="str">
        <f>IF(OR($M848="",NOT($O848="{array}")),"",IFERROR(MATCH(PARAMETERS!$M848,DEFAULT!$B$5:$CI$5,0),""))</f>
        <v/>
      </c>
      <c r="AA848" s="55" t="str">
        <f t="shared" si="55"/>
        <v/>
      </c>
      <c r="AB848" s="62" t="str">
        <f>IF(AND(OR($A848="G",$A848="P"),NOT($O848="{array}")),IF(VLOOKUP($K848,base!$B$2:$D$20,3,0)="S",IF(OR($O848="",ISTEXT($O848)),"","STRING!"),IF(VLOOKUP($K848,base!$B$2:$D$20,3,0)="","",IF(ISTEXT($O848),"NUMERIC!",""))),"")</f>
        <v/>
      </c>
      <c r="AC848" s="16" t="str">
        <f>IF($AA848="","",IF($B848="I",VLOOKUP($AA848,#REF!,53,0),INDEX(VALUES!$B$1:$GP$1,1,$AA848)))</f>
        <v/>
      </c>
    </row>
    <row r="849" spans="1:29" hidden="1" outlineLevel="1">
      <c r="A849" s="21" t="s">
        <v>86</v>
      </c>
      <c r="B849" s="40" t="str">
        <f t="shared" si="58"/>
        <v/>
      </c>
      <c r="C849" s="41">
        <f t="shared" si="56"/>
        <v>848</v>
      </c>
      <c r="D849" s="260" t="s">
        <v>9</v>
      </c>
      <c r="E849" s="37"/>
      <c r="F849" s="305"/>
      <c r="G849" s="188" t="s">
        <v>9</v>
      </c>
      <c r="H849" s="37"/>
      <c r="I849" s="37" t="s">
        <v>9</v>
      </c>
      <c r="J849" s="37"/>
      <c r="K849" s="13" t="s">
        <v>26</v>
      </c>
      <c r="L849" s="13" t="s">
        <v>29</v>
      </c>
      <c r="M849" s="214" t="s">
        <v>1004</v>
      </c>
      <c r="N849" s="13" t="s">
        <v>1005</v>
      </c>
      <c r="O849" s="42">
        <v>0.16</v>
      </c>
      <c r="R849" s="37" t="s">
        <v>106</v>
      </c>
      <c r="S849" s="37"/>
      <c r="T849" s="37"/>
      <c r="W849" s="14" t="str">
        <f>IF(IFERROR(VLOOKUP($M849,'IMPORT GS-Tür OL FL 2S2 20'!$H$2:$H$847,1,0),"-")="-","","GS")</f>
        <v>GS</v>
      </c>
      <c r="X849" s="14" t="str">
        <f t="shared" si="57"/>
        <v>...</v>
      </c>
      <c r="Z849" s="58" t="str">
        <f>IF(OR($M849="",NOT($O849="{array}")),"",IFERROR(MATCH(PARAMETERS!$M849,DEFAULT!$B$5:$CI$5,0),""))</f>
        <v/>
      </c>
      <c r="AA849" s="55" t="str">
        <f t="shared" si="55"/>
        <v/>
      </c>
      <c r="AB849" s="62" t="str">
        <f>IF(AND(OR($A849="G",$A849="P"),NOT($O849="{array}")),IF(VLOOKUP($K849,base!$B$2:$D$20,3,0)="S",IF(OR($O849="",ISTEXT($O849)),"","STRING!"),IF(VLOOKUP($K849,base!$B$2:$D$20,3,0)="","",IF(ISTEXT($O849),"NUMERIC!",""))),"")</f>
        <v/>
      </c>
      <c r="AC849" s="16" t="str">
        <f>IF($AA849="","",IF($B849="I",VLOOKUP($AA849,#REF!,53,0),INDEX(VALUES!$B$1:$GP$1,1,$AA849)))</f>
        <v/>
      </c>
    </row>
    <row r="850" spans="1:29" hidden="1" outlineLevel="1">
      <c r="A850" s="21" t="s">
        <v>86</v>
      </c>
      <c r="B850" s="40" t="str">
        <f t="shared" si="58"/>
        <v/>
      </c>
      <c r="C850" s="41">
        <f t="shared" si="56"/>
        <v>849</v>
      </c>
      <c r="D850" s="260" t="s">
        <v>9</v>
      </c>
      <c r="E850" s="37"/>
      <c r="F850" s="305"/>
      <c r="G850" s="188" t="s">
        <v>9</v>
      </c>
      <c r="H850" s="37"/>
      <c r="I850" s="37" t="s">
        <v>9</v>
      </c>
      <c r="J850" s="37"/>
      <c r="K850" s="13" t="s">
        <v>26</v>
      </c>
      <c r="L850" s="13" t="s">
        <v>29</v>
      </c>
      <c r="M850" s="214" t="s">
        <v>1008</v>
      </c>
      <c r="N850" s="13" t="s">
        <v>1009</v>
      </c>
      <c r="O850" s="42">
        <v>0.2</v>
      </c>
      <c r="R850" s="37" t="s">
        <v>106</v>
      </c>
      <c r="S850" s="37"/>
      <c r="T850" s="37"/>
      <c r="W850" s="14" t="str">
        <f>IF(IFERROR(VLOOKUP($M850,'IMPORT GS-Tür OL FL 2S2 20'!$H$2:$H$847,1,0),"-")="-","","GS")</f>
        <v>GS</v>
      </c>
      <c r="X850" s="14">
        <f t="shared" si="57"/>
        <v>0.16</v>
      </c>
      <c r="Z850" s="58" t="str">
        <f>IF(OR($M850="",NOT($O850="{array}")),"",IFERROR(MATCH(PARAMETERS!$M850,DEFAULT!$B$5:$CI$5,0),""))</f>
        <v/>
      </c>
      <c r="AA850" s="55" t="str">
        <f t="shared" si="55"/>
        <v/>
      </c>
      <c r="AB850" s="62" t="str">
        <f>IF(AND(OR($A850="G",$A850="P"),NOT($O850="{array}")),IF(VLOOKUP($K850,base!$B$2:$D$20,3,0)="S",IF(OR($O850="",ISTEXT($O850)),"","STRING!"),IF(VLOOKUP($K850,base!$B$2:$D$20,3,0)="","",IF(ISTEXT($O850),"NUMERIC!",""))),"")</f>
        <v/>
      </c>
      <c r="AC850" s="16" t="str">
        <f>IF($AA850="","",IF($B850="I",VLOOKUP($AA850,#REF!,53,0),INDEX(VALUES!$B$1:$GP$1,1,$AA850)))</f>
        <v/>
      </c>
    </row>
    <row r="851" spans="1:29" hidden="1" outlineLevel="1">
      <c r="A851" s="21" t="s">
        <v>86</v>
      </c>
      <c r="B851" s="40" t="str">
        <f t="shared" si="58"/>
        <v/>
      </c>
      <c r="C851" s="41">
        <f t="shared" si="56"/>
        <v>850</v>
      </c>
      <c r="D851" s="260" t="s">
        <v>9</v>
      </c>
      <c r="E851" s="37"/>
      <c r="F851" s="305"/>
      <c r="G851" s="188" t="s">
        <v>9</v>
      </c>
      <c r="H851" s="37"/>
      <c r="I851" s="37" t="s">
        <v>9</v>
      </c>
      <c r="J851" s="37"/>
      <c r="K851" s="13" t="s">
        <v>26</v>
      </c>
      <c r="L851" s="13" t="s">
        <v>29</v>
      </c>
      <c r="M851" s="214" t="s">
        <v>1012</v>
      </c>
      <c r="N851" s="13" t="s">
        <v>1013</v>
      </c>
      <c r="O851" s="42">
        <v>0.16</v>
      </c>
      <c r="R851" s="37" t="s">
        <v>106</v>
      </c>
      <c r="S851" s="37"/>
      <c r="T851" s="37"/>
      <c r="W851" s="14" t="str">
        <f>IF(IFERROR(VLOOKUP($M851,'IMPORT GS-Tür OL FL 2S2 20'!$H$2:$H$847,1,0),"-")="-","","GS")</f>
        <v>GS</v>
      </c>
      <c r="X851" s="14" t="str">
        <f t="shared" si="57"/>
        <v>...</v>
      </c>
      <c r="Z851" s="58" t="str">
        <f>IF(OR($M851="",NOT($O851="{array}")),"",IFERROR(MATCH(PARAMETERS!$M851,DEFAULT!$B$5:$CI$5,0),""))</f>
        <v/>
      </c>
      <c r="AA851" s="55" t="str">
        <f t="shared" si="55"/>
        <v/>
      </c>
      <c r="AB851" s="62" t="str">
        <f>IF(AND(OR($A851="G",$A851="P"),NOT($O851="{array}")),IF(VLOOKUP($K851,base!$B$2:$D$20,3,0)="S",IF(OR($O851="",ISTEXT($O851)),"","STRING!"),IF(VLOOKUP($K851,base!$B$2:$D$20,3,0)="","",IF(ISTEXT($O851),"NUMERIC!",""))),"")</f>
        <v/>
      </c>
      <c r="AC851" s="16" t="str">
        <f>IF($AA851="","",IF($B851="I",VLOOKUP($AA851,#REF!,53,0),INDEX(VALUES!$B$1:$GP$1,1,$AA851)))</f>
        <v/>
      </c>
    </row>
    <row r="852" spans="1:29" s="276" customFormat="1" hidden="1" outlineLevel="1">
      <c r="A852" s="263"/>
      <c r="B852" s="264" t="str">
        <f t="shared" si="58"/>
        <v/>
      </c>
      <c r="C852" s="265">
        <f t="shared" si="56"/>
        <v>851</v>
      </c>
      <c r="D852" s="266"/>
      <c r="E852" s="266"/>
      <c r="F852" s="305"/>
      <c r="G852" s="188"/>
      <c r="H852" s="266"/>
      <c r="I852" s="266" t="s">
        <v>9</v>
      </c>
      <c r="J852" s="266"/>
      <c r="K852" s="267" t="s">
        <v>46</v>
      </c>
      <c r="L852" s="267" t="s">
        <v>29</v>
      </c>
      <c r="M852" s="293" t="s">
        <v>1016</v>
      </c>
      <c r="N852" s="267" t="s">
        <v>1017</v>
      </c>
      <c r="O852" s="269">
        <v>3</v>
      </c>
      <c r="P852" s="267"/>
      <c r="Q852" s="270"/>
      <c r="R852" s="270" t="s">
        <v>106</v>
      </c>
      <c r="S852" s="266"/>
      <c r="T852" s="266"/>
      <c r="W852" s="272" t="str">
        <f>IF(IFERROR(VLOOKUP($M852,'IMPORT GS-Tür OL FL 2S2 20'!$H$2:$H$847,1,0),"-")="-","","GS")</f>
        <v>GS</v>
      </c>
      <c r="X852" s="272" t="str">
        <f t="shared" si="57"/>
        <v/>
      </c>
      <c r="Z852" s="273" t="str">
        <f>IF(OR($M852="",NOT($O852="{array}")),"",IFERROR(MATCH(PARAMETERS!$M852,DEFAULT!$B$5:$CI$5,0),""))</f>
        <v/>
      </c>
      <c r="AA852" s="272" t="str">
        <f t="shared" si="55"/>
        <v/>
      </c>
      <c r="AB852" s="274" t="str">
        <f>IF(AND(OR($A852="G",$A852="P"),NOT($O852="{array}")),IF(VLOOKUP($K852,base!$B$2:$D$20,3,0)="S",IF(OR($O852="",ISTEXT($O852)),"","STRING!"),IF(VLOOKUP($K852,base!$B$2:$D$20,3,0)="","",IF(ISTEXT($O852),"NUMERIC!",""))),"")</f>
        <v/>
      </c>
      <c r="AC852" s="275" t="str">
        <f>IF($AA852="","",IF($B852="I",VLOOKUP($AA852,#REF!,53,0),INDEX(VALUES!$B$1:$GP$1,1,$AA852)))</f>
        <v/>
      </c>
    </row>
    <row r="853" spans="1:29" s="276" customFormat="1" hidden="1" outlineLevel="1">
      <c r="A853" s="263"/>
      <c r="B853" s="264" t="str">
        <f t="shared" si="58"/>
        <v/>
      </c>
      <c r="C853" s="265">
        <f t="shared" si="56"/>
        <v>852</v>
      </c>
      <c r="D853" s="266"/>
      <c r="E853" s="266"/>
      <c r="F853" s="305"/>
      <c r="G853" s="188"/>
      <c r="H853" s="266"/>
      <c r="I853" s="266" t="s">
        <v>9</v>
      </c>
      <c r="J853" s="266"/>
      <c r="K853" s="267" t="s">
        <v>46</v>
      </c>
      <c r="L853" s="267" t="s">
        <v>29</v>
      </c>
      <c r="M853" s="293" t="s">
        <v>1020</v>
      </c>
      <c r="N853" s="267" t="s">
        <v>1021</v>
      </c>
      <c r="O853" s="269">
        <v>2</v>
      </c>
      <c r="P853" s="267"/>
      <c r="Q853" s="270"/>
      <c r="R853" s="270" t="s">
        <v>106</v>
      </c>
      <c r="S853" s="266"/>
      <c r="T853" s="266"/>
      <c r="W853" s="272" t="str">
        <f>IF(IFERROR(VLOOKUP($M853,'IMPORT GS-Tür OL FL 2S2 20'!$H$2:$H$847,1,0),"-")="-","","GS")</f>
        <v>GS</v>
      </c>
      <c r="X853" s="272" t="str">
        <f t="shared" si="57"/>
        <v/>
      </c>
      <c r="Z853" s="273" t="str">
        <f>IF(OR($M853="",NOT($O853="{array}")),"",IFERROR(MATCH(PARAMETERS!$M853,DEFAULT!$B$5:$CI$5,0),""))</f>
        <v/>
      </c>
      <c r="AA853" s="272" t="str">
        <f t="shared" si="55"/>
        <v/>
      </c>
      <c r="AB853" s="274" t="str">
        <f>IF(AND(OR($A853="G",$A853="P"),NOT($O853="{array}")),IF(VLOOKUP($K853,base!$B$2:$D$20,3,0)="S",IF(OR($O853="",ISTEXT($O853)),"","STRING!"),IF(VLOOKUP($K853,base!$B$2:$D$20,3,0)="","",IF(ISTEXT($O853),"NUMERIC!",""))),"")</f>
        <v/>
      </c>
      <c r="AC853" s="275" t="str">
        <f>IF($AA853="","",IF($B853="I",VLOOKUP($AA853,#REF!,53,0),INDEX(VALUES!$B$1:$GP$1,1,$AA853)))</f>
        <v/>
      </c>
    </row>
    <row r="854" spans="1:29" hidden="1" outlineLevel="1">
      <c r="A854" s="21" t="s">
        <v>86</v>
      </c>
      <c r="B854" s="40" t="str">
        <f t="shared" si="58"/>
        <v/>
      </c>
      <c r="C854" s="41">
        <f t="shared" si="56"/>
        <v>853</v>
      </c>
      <c r="D854" s="260" t="s">
        <v>9</v>
      </c>
      <c r="E854" s="37"/>
      <c r="F854" s="305"/>
      <c r="G854" s="188" t="s">
        <v>9</v>
      </c>
      <c r="H854" s="37"/>
      <c r="I854" s="37" t="s">
        <v>9</v>
      </c>
      <c r="J854" s="37"/>
      <c r="K854" s="13" t="s">
        <v>26</v>
      </c>
      <c r="L854" s="13" t="s">
        <v>29</v>
      </c>
      <c r="M854" s="214" t="s">
        <v>1024</v>
      </c>
      <c r="N854" s="13" t="s">
        <v>1025</v>
      </c>
      <c r="O854" s="42">
        <v>2.5000000000000001E-2</v>
      </c>
      <c r="R854" s="37" t="s">
        <v>106</v>
      </c>
      <c r="S854" s="37"/>
      <c r="T854" s="37"/>
      <c r="W854" s="14" t="str">
        <f>IF(IFERROR(VLOOKUP($M854,'IMPORT GS-Tür OL FL 2S2 20'!$H$2:$H$847,1,0),"-")="-","","GS")</f>
        <v>GS</v>
      </c>
      <c r="X854" s="14" t="str">
        <f t="shared" si="57"/>
        <v>...</v>
      </c>
      <c r="Z854" s="58" t="str">
        <f>IF(OR($M854="",NOT($O854="{array}")),"",IFERROR(MATCH(PARAMETERS!$M854,DEFAULT!$B$5:$CI$5,0),""))</f>
        <v/>
      </c>
      <c r="AA854" s="55" t="str">
        <f t="shared" si="55"/>
        <v/>
      </c>
      <c r="AB854" s="62" t="str">
        <f>IF(AND(OR($A854="G",$A854="P"),NOT($O854="{array}")),IF(VLOOKUP($K854,base!$B$2:$D$20,3,0)="S",IF(OR($O854="",ISTEXT($O854)),"","STRING!"),IF(VLOOKUP($K854,base!$B$2:$D$20,3,0)="","",IF(ISTEXT($O854),"NUMERIC!",""))),"")</f>
        <v/>
      </c>
      <c r="AC854" s="16" t="str">
        <f>IF($AA854="","",IF($B854="I",VLOOKUP($AA854,#REF!,53,0),INDEX(VALUES!$B$1:$GP$1,1,$AA854)))</f>
        <v/>
      </c>
    </row>
    <row r="855" spans="1:29" hidden="1" outlineLevel="1">
      <c r="A855" s="21" t="s">
        <v>86</v>
      </c>
      <c r="B855" s="40" t="str">
        <f t="shared" si="58"/>
        <v/>
      </c>
      <c r="C855" s="41">
        <f t="shared" si="56"/>
        <v>854</v>
      </c>
      <c r="D855" s="260" t="s">
        <v>9</v>
      </c>
      <c r="E855" s="37"/>
      <c r="F855" s="305"/>
      <c r="G855" s="188" t="s">
        <v>9</v>
      </c>
      <c r="H855" s="37"/>
      <c r="I855" s="37" t="s">
        <v>9</v>
      </c>
      <c r="J855" s="37"/>
      <c r="K855" s="13" t="s">
        <v>26</v>
      </c>
      <c r="L855" s="13" t="s">
        <v>29</v>
      </c>
      <c r="M855" s="214" t="s">
        <v>1028</v>
      </c>
      <c r="N855" s="13" t="s">
        <v>1029</v>
      </c>
      <c r="O855" s="42">
        <v>2.5000000000000001E-2</v>
      </c>
      <c r="R855" s="37" t="s">
        <v>106</v>
      </c>
      <c r="S855" s="37"/>
      <c r="T855" s="37"/>
      <c r="W855" s="14" t="str">
        <f>IF(IFERROR(VLOOKUP($M855,'IMPORT GS-Tür OL FL 2S2 20'!$H$2:$H$847,1,0),"-")="-","","GS")</f>
        <v>GS</v>
      </c>
      <c r="X855" s="14" t="str">
        <f t="shared" si="57"/>
        <v>...</v>
      </c>
      <c r="Z855" s="58" t="str">
        <f>IF(OR($M855="",NOT($O855="{array}")),"",IFERROR(MATCH(PARAMETERS!$M855,DEFAULT!$B$5:$CI$5,0),""))</f>
        <v/>
      </c>
      <c r="AA855" s="55" t="str">
        <f t="shared" ref="AA855:AA864" si="59">IF($M855="","",IFERROR(MATCH($M855,VALUESnames,0),""))</f>
        <v/>
      </c>
      <c r="AB855" s="62" t="str">
        <f>IF(AND(OR($A855="G",$A855="P"),NOT($O855="{array}")),IF(VLOOKUP($K855,base!$B$2:$D$20,3,0)="S",IF(OR($O855="",ISTEXT($O855)),"","STRING!"),IF(VLOOKUP($K855,base!$B$2:$D$20,3,0)="","",IF(ISTEXT($O855),"NUMERIC!",""))),"")</f>
        <v/>
      </c>
      <c r="AC855" s="16" t="str">
        <f>IF($AA855="","",IF($B855="I",VLOOKUP($AA855,#REF!,53,0),INDEX(VALUES!$B$1:$GP$1,1,$AA855)))</f>
        <v/>
      </c>
    </row>
    <row r="856" spans="1:29" s="276" customFormat="1" hidden="1" outlineLevel="1">
      <c r="A856" s="263"/>
      <c r="B856" s="264" t="str">
        <f t="shared" si="58"/>
        <v/>
      </c>
      <c r="C856" s="265">
        <f t="shared" si="56"/>
        <v>855</v>
      </c>
      <c r="D856" s="266"/>
      <c r="E856" s="266"/>
      <c r="F856" s="305"/>
      <c r="G856" s="188"/>
      <c r="H856" s="266"/>
      <c r="I856" s="266" t="s">
        <v>9</v>
      </c>
      <c r="J856" s="266"/>
      <c r="K856" s="267" t="s">
        <v>26</v>
      </c>
      <c r="L856" s="267" t="s">
        <v>29</v>
      </c>
      <c r="M856" s="293" t="s">
        <v>1032</v>
      </c>
      <c r="N856" s="267" t="s">
        <v>1033</v>
      </c>
      <c r="O856" s="269">
        <v>0.2</v>
      </c>
      <c r="Q856" s="266"/>
      <c r="R856" s="266" t="s">
        <v>106</v>
      </c>
      <c r="S856" s="266"/>
      <c r="T856" s="266"/>
      <c r="W856" s="272" t="str">
        <f>IF(IFERROR(VLOOKUP($M856,'IMPORT GS-Tür OL FL 2S2 20'!$H$2:$H$847,1,0),"-")="-","","GS")</f>
        <v>GS</v>
      </c>
      <c r="X856" s="272" t="str">
        <f t="shared" si="57"/>
        <v/>
      </c>
      <c r="Z856" s="273" t="str">
        <f>IF(OR($M856="",NOT($O856="{array}")),"",IFERROR(MATCH(PARAMETERS!$M856,DEFAULT!$B$5:$CI$5,0),""))</f>
        <v/>
      </c>
      <c r="AA856" s="272" t="str">
        <f t="shared" si="59"/>
        <v/>
      </c>
      <c r="AB856" s="274" t="str">
        <f>IF(AND(OR($A856="G",$A856="P"),NOT($O856="{array}")),IF(VLOOKUP($K856,base!$B$2:$D$20,3,0)="S",IF(OR($O856="",ISTEXT($O856)),"","STRING!"),IF(VLOOKUP($K856,base!$B$2:$D$20,3,0)="","",IF(ISTEXT($O856),"NUMERIC!",""))),"")</f>
        <v/>
      </c>
      <c r="AC856" s="275" t="str">
        <f>IF($AA856="","",IF($B856="I",VLOOKUP($AA856,#REF!,53,0),INDEX(VALUES!$B$1:$GP$1,1,$AA856)))</f>
        <v/>
      </c>
    </row>
    <row r="857" spans="1:29" s="276" customFormat="1" hidden="1" outlineLevel="1">
      <c r="A857" s="263"/>
      <c r="B857" s="264" t="str">
        <f t="shared" si="58"/>
        <v/>
      </c>
      <c r="C857" s="265">
        <f t="shared" si="56"/>
        <v>856</v>
      </c>
      <c r="D857" s="266"/>
      <c r="E857" s="266"/>
      <c r="F857" s="305"/>
      <c r="G857" s="188"/>
      <c r="H857" s="266"/>
      <c r="I857" s="266" t="s">
        <v>9</v>
      </c>
      <c r="J857" s="266"/>
      <c r="K857" s="267" t="s">
        <v>26</v>
      </c>
      <c r="L857" s="267" t="s">
        <v>29</v>
      </c>
      <c r="M857" s="293" t="s">
        <v>1036</v>
      </c>
      <c r="N857" s="267" t="s">
        <v>1037</v>
      </c>
      <c r="O857" s="269">
        <v>0.35</v>
      </c>
      <c r="Q857" s="266"/>
      <c r="R857" s="266" t="s">
        <v>106</v>
      </c>
      <c r="S857" s="266"/>
      <c r="T857" s="266"/>
      <c r="W857" s="272" t="str">
        <f>IF(IFERROR(VLOOKUP($M857,'IMPORT GS-Tür OL FL 2S2 20'!$H$2:$H$847,1,0),"-")="-","","GS")</f>
        <v>GS</v>
      </c>
      <c r="X857" s="272" t="str">
        <f t="shared" si="57"/>
        <v/>
      </c>
      <c r="Z857" s="273" t="str">
        <f>IF(OR($M857="",NOT($O857="{array}")),"",IFERROR(MATCH(PARAMETERS!$M857,DEFAULT!$B$5:$CI$5,0),""))</f>
        <v/>
      </c>
      <c r="AA857" s="272" t="str">
        <f t="shared" si="59"/>
        <v/>
      </c>
      <c r="AB857" s="274" t="str">
        <f>IF(AND(OR($A857="G",$A857="P"),NOT($O857="{array}")),IF(VLOOKUP($K857,base!$B$2:$D$20,3,0)="S",IF(OR($O857="",ISTEXT($O857)),"","STRING!"),IF(VLOOKUP($K857,base!$B$2:$D$20,3,0)="","",IF(ISTEXT($O857),"NUMERIC!",""))),"")</f>
        <v/>
      </c>
      <c r="AC857" s="275" t="str">
        <f>IF($AA857="","",IF($B857="I",VLOOKUP($AA857,#REF!,53,0),INDEX(VALUES!$B$1:$GP$1,1,$AA857)))</f>
        <v/>
      </c>
    </row>
    <row r="858" spans="1:29" s="276" customFormat="1" hidden="1" outlineLevel="1">
      <c r="A858" s="263"/>
      <c r="B858" s="264" t="str">
        <f t="shared" si="58"/>
        <v/>
      </c>
      <c r="C858" s="265">
        <f t="shared" si="56"/>
        <v>857</v>
      </c>
      <c r="D858" s="266"/>
      <c r="E858" s="266"/>
      <c r="F858" s="305"/>
      <c r="G858" s="188"/>
      <c r="H858" s="266"/>
      <c r="I858" s="266" t="s">
        <v>9</v>
      </c>
      <c r="J858" s="266"/>
      <c r="K858" s="267" t="s">
        <v>26</v>
      </c>
      <c r="L858" s="267" t="s">
        <v>29</v>
      </c>
      <c r="M858" s="293" t="s">
        <v>1040</v>
      </c>
      <c r="N858" s="267" t="s">
        <v>1041</v>
      </c>
      <c r="O858" s="269">
        <v>0.315</v>
      </c>
      <c r="Q858" s="266"/>
      <c r="R858" s="266" t="s">
        <v>106</v>
      </c>
      <c r="S858" s="266"/>
      <c r="T858" s="266"/>
      <c r="W858" s="272" t="str">
        <f>IF(IFERROR(VLOOKUP($M858,'IMPORT GS-Tür OL FL 2S2 20'!$H$2:$H$847,1,0),"-")="-","","GS")</f>
        <v>GS</v>
      </c>
      <c r="X858" s="272" t="str">
        <f t="shared" si="57"/>
        <v/>
      </c>
      <c r="Z858" s="273" t="str">
        <f>IF(OR($M858="",NOT($O858="{array}")),"",IFERROR(MATCH(PARAMETERS!$M858,DEFAULT!$B$5:$CI$5,0),""))</f>
        <v/>
      </c>
      <c r="AA858" s="272" t="str">
        <f t="shared" si="59"/>
        <v/>
      </c>
      <c r="AB858" s="274" t="str">
        <f>IF(AND(OR($A858="G",$A858="P"),NOT($O858="{array}")),IF(VLOOKUP($K858,base!$B$2:$D$20,3,0)="S",IF(OR($O858="",ISTEXT($O858)),"","STRING!"),IF(VLOOKUP($K858,base!$B$2:$D$20,3,0)="","",IF(ISTEXT($O858),"NUMERIC!",""))),"")</f>
        <v/>
      </c>
      <c r="AC858" s="275" t="str">
        <f>IF($AA858="","",IF($B858="I",VLOOKUP($AA858,#REF!,53,0),INDEX(VALUES!$B$1:$GP$1,1,$AA858)))</f>
        <v/>
      </c>
    </row>
    <row r="859" spans="1:29" s="276" customFormat="1" hidden="1" outlineLevel="1">
      <c r="A859" s="263"/>
      <c r="B859" s="264" t="str">
        <f>IF($A859="P",IF(NOT($Z859=""),"A",IF(NOT($AA859=""),"I","")),IF(NOT($AA859=""),IF($A859="G","V","X"),IF(NOT($Z859=""),"A","")))</f>
        <v/>
      </c>
      <c r="C859" s="265">
        <f t="shared" ref="C859:C923" si="60">(ROW()-1)</f>
        <v>858</v>
      </c>
      <c r="D859" s="266"/>
      <c r="E859" s="266"/>
      <c r="F859" s="305"/>
      <c r="G859" s="188"/>
      <c r="H859" s="266"/>
      <c r="I859" s="266" t="s">
        <v>9</v>
      </c>
      <c r="J859" s="266"/>
      <c r="K859" s="267" t="s">
        <v>26</v>
      </c>
      <c r="L859" s="267" t="s">
        <v>29</v>
      </c>
      <c r="M859" s="293" t="s">
        <v>1044</v>
      </c>
      <c r="N859" s="267" t="s">
        <v>1045</v>
      </c>
      <c r="O859" s="269">
        <v>1.4</v>
      </c>
      <c r="Q859" s="266"/>
      <c r="R859" s="266" t="s">
        <v>106</v>
      </c>
      <c r="S859" s="266"/>
      <c r="T859" s="266"/>
      <c r="W859" s="272" t="str">
        <f>IF(IFERROR(VLOOKUP($M859,'IMPORT GS-Tür OL FL 2S2 20'!$H$2:$H$847,1,0),"-")="-","","GS")</f>
        <v>GS</v>
      </c>
      <c r="X859" s="272" t="str">
        <f t="shared" si="57"/>
        <v/>
      </c>
      <c r="Z859" s="273" t="str">
        <f>IF(OR($M859="",NOT($O859="{array}")),"",IFERROR(MATCH(PARAMETERS!$M859,DEFAULT!$B$5:$CI$5,0),""))</f>
        <v/>
      </c>
      <c r="AA859" s="272" t="str">
        <f t="shared" si="59"/>
        <v/>
      </c>
      <c r="AB859" s="274" t="str">
        <f>IF(AND(OR($A859="G",$A859="P"),NOT($O859="{array}")),IF(VLOOKUP($K859,base!$B$2:$D$20,3,0)="S",IF(OR($O859="",ISTEXT($O859)),"","STRING!"),IF(VLOOKUP($K859,base!$B$2:$D$20,3,0)="","",IF(ISTEXT($O859),"NUMERIC!",""))),"")</f>
        <v/>
      </c>
      <c r="AC859" s="275" t="str">
        <f>IF($AA859="","",IF($B859="I",VLOOKUP($AA859,#REF!,53,0),INDEX(VALUES!$B$1:$GP$1,1,$AA859)))</f>
        <v/>
      </c>
    </row>
    <row r="860" spans="1:29" s="276" customFormat="1" hidden="1" outlineLevel="1">
      <c r="A860" s="263"/>
      <c r="B860" s="264" t="str">
        <f t="shared" si="58"/>
        <v/>
      </c>
      <c r="C860" s="265">
        <f t="shared" si="60"/>
        <v>859</v>
      </c>
      <c r="D860" s="266"/>
      <c r="E860" s="266"/>
      <c r="F860" s="305"/>
      <c r="G860" s="188"/>
      <c r="H860" s="266"/>
      <c r="I860" s="266" t="s">
        <v>9</v>
      </c>
      <c r="J860" s="266"/>
      <c r="K860" s="267" t="s">
        <v>26</v>
      </c>
      <c r="L860" s="267" t="s">
        <v>29</v>
      </c>
      <c r="M860" s="293" t="s">
        <v>1048</v>
      </c>
      <c r="N860" s="267" t="s">
        <v>1049</v>
      </c>
      <c r="O860" s="269">
        <v>0.51500000000000001</v>
      </c>
      <c r="Q860" s="266"/>
      <c r="R860" s="266" t="s">
        <v>106</v>
      </c>
      <c r="S860" s="266"/>
      <c r="T860" s="266"/>
      <c r="W860" s="272" t="str">
        <f>IF(IFERROR(VLOOKUP($M860,'IMPORT GS-Tür OL FL 2S2 20'!$H$2:$H$847,1,0),"-")="-","","GS")</f>
        <v>GS</v>
      </c>
      <c r="X860" s="272" t="str">
        <f t="shared" si="57"/>
        <v/>
      </c>
      <c r="Z860" s="273" t="str">
        <f>IF(OR($M860="",NOT($O860="{array}")),"",IFERROR(MATCH(PARAMETERS!$M860,DEFAULT!$B$5:$CI$5,0),""))</f>
        <v/>
      </c>
      <c r="AA860" s="272" t="str">
        <f t="shared" si="59"/>
        <v/>
      </c>
      <c r="AB860" s="274" t="str">
        <f>IF(AND(OR($A860="G",$A860="P"),NOT($O860="{array}")),IF(VLOOKUP($K860,base!$B$2:$D$20,3,0)="S",IF(OR($O860="",ISTEXT($O860)),"","STRING!"),IF(VLOOKUP($K860,base!$B$2:$D$20,3,0)="","",IF(ISTEXT($O860),"NUMERIC!",""))),"")</f>
        <v/>
      </c>
      <c r="AC860" s="275" t="str">
        <f>IF($AA860="","",IF($B860="I",VLOOKUP($AA860,#REF!,53,0),INDEX(VALUES!$B$1:$GP$1,1,$AA860)))</f>
        <v/>
      </c>
    </row>
    <row r="861" spans="1:29" hidden="1" outlineLevel="1">
      <c r="A861" s="21" t="s">
        <v>86</v>
      </c>
      <c r="B861" s="40" t="str">
        <f t="shared" si="58"/>
        <v/>
      </c>
      <c r="C861" s="41">
        <f t="shared" si="60"/>
        <v>860</v>
      </c>
      <c r="D861" s="260" t="s">
        <v>9</v>
      </c>
      <c r="E861" s="37"/>
      <c r="F861" s="305"/>
      <c r="G861" s="188" t="s">
        <v>9</v>
      </c>
      <c r="H861" s="37"/>
      <c r="I861" s="37" t="s">
        <v>9</v>
      </c>
      <c r="J861" s="37"/>
      <c r="K861" s="52" t="s">
        <v>26</v>
      </c>
      <c r="L861" s="52" t="s">
        <v>29</v>
      </c>
      <c r="M861" s="178" t="s">
        <v>3482</v>
      </c>
      <c r="N861" s="52" t="s">
        <v>3485</v>
      </c>
      <c r="O861" s="153">
        <v>0.1</v>
      </c>
      <c r="P861" s="52"/>
      <c r="Q861" s="188" t="s">
        <v>9</v>
      </c>
      <c r="R861" s="174" t="s">
        <v>204</v>
      </c>
      <c r="S861" s="168"/>
      <c r="T861" s="163"/>
      <c r="U861" s="163"/>
      <c r="V861" s="163"/>
      <c r="W861" s="14"/>
      <c r="X861" s="14">
        <f t="shared" si="57"/>
        <v>0.16</v>
      </c>
      <c r="Y861" s="163"/>
      <c r="Z861" s="58" t="str">
        <f>IF(OR($M861="",NOT($O861="{array}")),"",IFERROR(MATCH(PARAMETERS!$M861,DEFAULT!$B$5:$CI$5,0),""))</f>
        <v/>
      </c>
      <c r="AA861" s="55" t="str">
        <f t="shared" si="59"/>
        <v/>
      </c>
      <c r="AB861" s="62" t="str">
        <f>IF(AND(OR($A861="G",$A861="P"),NOT($O861="{array}")),IF(VLOOKUP($K861,base!$B$2:$D$20,3,0)="S",IF(OR($O861="",ISTEXT($O861)),"","STRING!"),IF(VLOOKUP($K861,base!$B$2:$D$20,3,0)="","",IF(ISTEXT($O861),"NUMERIC!",""))),"")</f>
        <v/>
      </c>
      <c r="AC861" s="16" t="str">
        <f>IF($AA861="","",IF($B861="I",VLOOKUP($AA861,#REF!,53,0),INDEX(VALUES!$B$1:$GP$1,1,$AA861)))</f>
        <v/>
      </c>
    </row>
    <row r="862" spans="1:29" hidden="1" outlineLevel="1">
      <c r="A862" s="21" t="s">
        <v>86</v>
      </c>
      <c r="B862" s="40" t="str">
        <f t="shared" si="58"/>
        <v/>
      </c>
      <c r="C862" s="41">
        <f t="shared" si="60"/>
        <v>861</v>
      </c>
      <c r="D862" s="260" t="s">
        <v>9</v>
      </c>
      <c r="E862" s="37"/>
      <c r="F862" s="305"/>
      <c r="G862" s="188" t="s">
        <v>9</v>
      </c>
      <c r="H862" s="37"/>
      <c r="I862" s="37" t="s">
        <v>9</v>
      </c>
      <c r="J862" s="37"/>
      <c r="K862" s="52" t="s">
        <v>26</v>
      </c>
      <c r="L862" s="52" t="s">
        <v>29</v>
      </c>
      <c r="M862" s="178" t="s">
        <v>3483</v>
      </c>
      <c r="N862" s="52" t="s">
        <v>3486</v>
      </c>
      <c r="O862" s="153">
        <v>0.1</v>
      </c>
      <c r="P862" s="52"/>
      <c r="Q862" s="188" t="s">
        <v>9</v>
      </c>
      <c r="R862" s="174" t="s">
        <v>204</v>
      </c>
      <c r="S862" s="168"/>
      <c r="T862" s="163"/>
      <c r="U862" s="163"/>
      <c r="V862" s="163"/>
      <c r="W862" s="14"/>
      <c r="X862" s="14">
        <f t="shared" si="57"/>
        <v>0.16</v>
      </c>
      <c r="Y862" s="163"/>
      <c r="Z862" s="58" t="str">
        <f>IF(OR($M862="",NOT($O862="{array}")),"",IFERROR(MATCH(PARAMETERS!$M862,DEFAULT!$B$5:$CI$5,0),""))</f>
        <v/>
      </c>
      <c r="AA862" s="55" t="str">
        <f t="shared" si="59"/>
        <v/>
      </c>
      <c r="AB862" s="62" t="str">
        <f>IF(AND(OR($A862="G",$A862="P"),NOT($O862="{array}")),IF(VLOOKUP($K862,base!$B$2:$D$20,3,0)="S",IF(OR($O862="",ISTEXT($O862)),"","STRING!"),IF(VLOOKUP($K862,base!$B$2:$D$20,3,0)="","",IF(ISTEXT($O862),"NUMERIC!",""))),"")</f>
        <v/>
      </c>
      <c r="AC862" s="16" t="str">
        <f>IF($AA862="","",IF($B862="I",VLOOKUP($AA862,#REF!,53,0),INDEX(VALUES!$B$1:$GP$1,1,$AA862)))</f>
        <v/>
      </c>
    </row>
    <row r="863" spans="1:29" hidden="1" outlineLevel="1">
      <c r="A863" s="21" t="s">
        <v>86</v>
      </c>
      <c r="B863" s="40" t="str">
        <f t="shared" si="58"/>
        <v/>
      </c>
      <c r="C863" s="41">
        <f t="shared" si="60"/>
        <v>862</v>
      </c>
      <c r="D863" s="260" t="s">
        <v>9</v>
      </c>
      <c r="E863" s="37"/>
      <c r="F863" s="305"/>
      <c r="G863" s="188" t="s">
        <v>9</v>
      </c>
      <c r="H863" s="37"/>
      <c r="I863" s="37" t="s">
        <v>9</v>
      </c>
      <c r="J863" s="37"/>
      <c r="K863" s="52" t="s">
        <v>26</v>
      </c>
      <c r="L863" s="52" t="s">
        <v>29</v>
      </c>
      <c r="M863" s="178" t="s">
        <v>3484</v>
      </c>
      <c r="N863" s="52" t="s">
        <v>3487</v>
      </c>
      <c r="O863" s="153">
        <v>0.1</v>
      </c>
      <c r="P863" s="52"/>
      <c r="Q863" s="188" t="s">
        <v>9</v>
      </c>
      <c r="R863" s="174" t="s">
        <v>204</v>
      </c>
      <c r="S863" s="168"/>
      <c r="T863" s="163"/>
      <c r="U863" s="163"/>
      <c r="V863" s="163"/>
      <c r="W863" s="14"/>
      <c r="X863" s="14" t="str">
        <f t="shared" si="57"/>
        <v>...</v>
      </c>
      <c r="Y863" s="163"/>
      <c r="Z863" s="58" t="str">
        <f>IF(OR($M863="",NOT($O863="{array}")),"",IFERROR(MATCH(PARAMETERS!$M863,DEFAULT!$B$5:$CI$5,0),""))</f>
        <v/>
      </c>
      <c r="AA863" s="55" t="str">
        <f t="shared" si="59"/>
        <v/>
      </c>
      <c r="AB863" s="62" t="str">
        <f>IF(AND(OR($A863="G",$A863="P"),NOT($O863="{array}")),IF(VLOOKUP($K863,base!$B$2:$D$20,3,0)="S",IF(OR($O863="",ISTEXT($O863)),"","STRING!"),IF(VLOOKUP($K863,base!$B$2:$D$20,3,0)="","",IF(ISTEXT($O863),"NUMERIC!",""))),"")</f>
        <v/>
      </c>
      <c r="AC863" s="16" t="str">
        <f>IF($AA863="","",IF($B863="I",VLOOKUP($AA863,#REF!,53,0),INDEX(VALUES!$B$1:$GP$1,1,$AA863)))</f>
        <v/>
      </c>
    </row>
    <row r="864" spans="1:29" s="276" customFormat="1" collapsed="1">
      <c r="A864" s="263"/>
      <c r="B864" s="264" t="str">
        <f t="shared" ref="B864:B872" si="61">IF($A864="P",IF(NOT($Z864=""),"A",IF(NOT($AA864=""),"I","")),IF(NOT($AA864=""),IF($A864="G","V","X"),IF(NOT($Z864=""),"A","")))</f>
        <v/>
      </c>
      <c r="C864" s="265">
        <f t="shared" si="60"/>
        <v>863</v>
      </c>
      <c r="D864" s="266"/>
      <c r="E864" s="266"/>
      <c r="F864" s="305"/>
      <c r="G864" s="188"/>
      <c r="H864" s="266"/>
      <c r="I864" s="266"/>
      <c r="J864" s="266"/>
      <c r="K864" s="294" t="s">
        <v>59</v>
      </c>
      <c r="L864" s="294" t="s">
        <v>40</v>
      </c>
      <c r="M864" s="295" t="s">
        <v>1050</v>
      </c>
      <c r="N864" s="296" t="s">
        <v>1051</v>
      </c>
      <c r="O864" s="286"/>
      <c r="Q864" s="266"/>
      <c r="R864" s="266" t="s">
        <v>106</v>
      </c>
      <c r="S864" s="266"/>
      <c r="T864" s="266"/>
      <c r="W864" s="272" t="str">
        <f>IF(IFERROR(VLOOKUP($M864,'IMPORT GS-Tür OL FL 2S2 20'!$H$2:$H$847,1,0),"-")="-","","GS")</f>
        <v/>
      </c>
      <c r="X864" s="272" t="str">
        <f t="shared" si="57"/>
        <v/>
      </c>
      <c r="Z864" s="273" t="str">
        <f>IF(OR($M864="",NOT($O864="{array}")),"",IFERROR(MATCH(PARAMETERS!$M864,DEFAULT!$B$5:$CI$5,0),""))</f>
        <v/>
      </c>
      <c r="AA864" s="272" t="str">
        <f t="shared" si="59"/>
        <v/>
      </c>
      <c r="AB864" s="274" t="str">
        <f>IF(AND(OR($A864="G",$A864="P"),NOT($O864="{array}")),IF(VLOOKUP($K864,base!$B$2:$D$20,3,0)="S",IF(OR($O864="",ISTEXT($O864)),"","STRING!"),IF(VLOOKUP($K864,base!$B$2:$D$20,3,0)="","",IF(ISTEXT($O864),"NUMERIC!",""))),"")</f>
        <v/>
      </c>
      <c r="AC864" s="275" t="str">
        <f>IF($AA864="","",IF($B864="I",VLOOKUP($AA864,#REF!,53,0),INDEX(VALUES!$B$1:$GP$1,1,$AA864)))</f>
        <v/>
      </c>
    </row>
    <row r="865" spans="1:29" s="276" customFormat="1" hidden="1" outlineLevel="1">
      <c r="A865" s="263"/>
      <c r="B865" s="264" t="str">
        <f t="shared" si="61"/>
        <v/>
      </c>
      <c r="C865" s="265">
        <f t="shared" si="60"/>
        <v>864</v>
      </c>
      <c r="D865" s="266"/>
      <c r="E865" s="266"/>
      <c r="F865" s="305"/>
      <c r="G865" s="188"/>
      <c r="H865" s="266"/>
      <c r="I865" s="266"/>
      <c r="J865" s="266"/>
      <c r="K865" s="278" t="s">
        <v>20</v>
      </c>
      <c r="L865" s="278" t="s">
        <v>23</v>
      </c>
      <c r="M865" s="278"/>
      <c r="N865" s="278" t="s">
        <v>1052</v>
      </c>
      <c r="O865" s="278" t="s">
        <v>298</v>
      </c>
      <c r="P865" s="284" t="s">
        <v>298</v>
      </c>
      <c r="Q865" s="279" t="s">
        <v>9</v>
      </c>
      <c r="R865" s="279" t="s">
        <v>105</v>
      </c>
      <c r="S865" s="279" t="s">
        <v>114</v>
      </c>
      <c r="T865" s="278" t="s">
        <v>298</v>
      </c>
      <c r="U865" s="278" t="s">
        <v>298</v>
      </c>
      <c r="V865" s="278" t="s">
        <v>1052</v>
      </c>
      <c r="W865" s="272" t="str">
        <f>IF(IFERROR(VLOOKUP($M865,'IMPORT GS-Tür OL FL 2S2 20'!$H$2:$H$847,1,0),"-")="-","","GS")</f>
        <v/>
      </c>
      <c r="X865" s="272" t="str">
        <f t="shared" si="57"/>
        <v/>
      </c>
      <c r="Y865" s="278" t="s">
        <v>1053</v>
      </c>
      <c r="Z865" s="273" t="str">
        <f>IF(OR($M865="",NOT($O865="{array}")),"",IFERROR(MATCH(PARAMETERS!$M865,DEFAULT!$B$5:$CI$5,0),""))</f>
        <v/>
      </c>
      <c r="AA865" s="272" t="str">
        <f t="shared" ref="AA865:AA880" si="62">IF($M865="","",IFERROR(MATCH($M865,VALUESnames,0),""))</f>
        <v/>
      </c>
      <c r="AB865" s="274" t="str">
        <f>IF(AND(OR($A865="G",$A865="P"),NOT($O865="{array}")),IF(VLOOKUP($K865,base!$B$2:$D$20,3,0)="S",IF(OR($O865="",ISTEXT($O865)),"","STRING!"),IF(VLOOKUP($K865,base!$B$2:$D$20,3,0)="","",IF(ISTEXT($O865),"NUMERIC!",""))),"")</f>
        <v/>
      </c>
      <c r="AC865" s="275" t="str">
        <f>IF($AA865="","",IF($B865="I",VLOOKUP($AA865,#REF!,53,0),INDEX(VALUES!$B$1:$GP$1,1,$AA865)))</f>
        <v/>
      </c>
    </row>
    <row r="866" spans="1:29" s="276" customFormat="1" hidden="1" outlineLevel="1">
      <c r="A866" s="263"/>
      <c r="B866" s="264" t="str">
        <f t="shared" si="61"/>
        <v/>
      </c>
      <c r="C866" s="265">
        <f t="shared" si="60"/>
        <v>865</v>
      </c>
      <c r="D866" s="266"/>
      <c r="E866" s="266"/>
      <c r="F866" s="305"/>
      <c r="G866" s="188"/>
      <c r="H866" s="266"/>
      <c r="I866" s="266"/>
      <c r="J866" s="266"/>
      <c r="K866" s="278" t="s">
        <v>20</v>
      </c>
      <c r="L866" s="278" t="s">
        <v>23</v>
      </c>
      <c r="M866" s="278"/>
      <c r="N866" s="278" t="s">
        <v>1054</v>
      </c>
      <c r="O866" s="278" t="s">
        <v>298</v>
      </c>
      <c r="P866" s="284" t="s">
        <v>298</v>
      </c>
      <c r="Q866" s="279" t="s">
        <v>9</v>
      </c>
      <c r="R866" s="279" t="s">
        <v>105</v>
      </c>
      <c r="S866" s="279" t="s">
        <v>114</v>
      </c>
      <c r="T866" s="278" t="s">
        <v>298</v>
      </c>
      <c r="U866" s="278" t="s">
        <v>298</v>
      </c>
      <c r="V866" s="278" t="s">
        <v>1054</v>
      </c>
      <c r="W866" s="272" t="str">
        <f>IF(IFERROR(VLOOKUP($M866,'IMPORT GS-Tür OL FL 2S2 20'!$H$2:$H$847,1,0),"-")="-","","GS")</f>
        <v/>
      </c>
      <c r="X866" s="272" t="str">
        <f t="shared" si="57"/>
        <v/>
      </c>
      <c r="Y866" s="278" t="s">
        <v>1055</v>
      </c>
      <c r="Z866" s="273" t="str">
        <f>IF(OR($M866="",NOT($O866="{array}")),"",IFERROR(MATCH(PARAMETERS!$M866,DEFAULT!$B$5:$CI$5,0),""))</f>
        <v/>
      </c>
      <c r="AA866" s="272" t="str">
        <f t="shared" si="62"/>
        <v/>
      </c>
      <c r="AB866" s="274" t="str">
        <f>IF(AND(OR($A866="G",$A866="P"),NOT($O866="{array}")),IF(VLOOKUP($K866,base!$B$2:$D$20,3,0)="S",IF(OR($O866="",ISTEXT($O866)),"","STRING!"),IF(VLOOKUP($K866,base!$B$2:$D$20,3,0)="","",IF(ISTEXT($O866),"NUMERIC!",""))),"")</f>
        <v/>
      </c>
      <c r="AC866" s="275" t="str">
        <f>IF($AA866="","",IF($B866="I",VLOOKUP($AA866,#REF!,53,0),INDEX(VALUES!$B$1:$GP$1,1,$AA866)))</f>
        <v/>
      </c>
    </row>
    <row r="867" spans="1:29" s="276" customFormat="1" hidden="1" outlineLevel="1">
      <c r="A867" s="263"/>
      <c r="B867" s="264" t="str">
        <f t="shared" si="61"/>
        <v/>
      </c>
      <c r="C867" s="265">
        <f t="shared" si="60"/>
        <v>866</v>
      </c>
      <c r="D867" s="266"/>
      <c r="E867" s="266"/>
      <c r="F867" s="305"/>
      <c r="G867" s="188"/>
      <c r="H867" s="266"/>
      <c r="I867" s="266"/>
      <c r="J867" s="266"/>
      <c r="K867" s="278" t="s">
        <v>20</v>
      </c>
      <c r="L867" s="278" t="s">
        <v>23</v>
      </c>
      <c r="M867" s="278"/>
      <c r="N867" s="278" t="s">
        <v>1056</v>
      </c>
      <c r="O867" s="278" t="s">
        <v>298</v>
      </c>
      <c r="P867" s="284" t="s">
        <v>298</v>
      </c>
      <c r="Q867" s="279" t="s">
        <v>9</v>
      </c>
      <c r="R867" s="279" t="s">
        <v>105</v>
      </c>
      <c r="S867" s="279" t="s">
        <v>114</v>
      </c>
      <c r="T867" s="278" t="s">
        <v>298</v>
      </c>
      <c r="U867" s="278" t="s">
        <v>298</v>
      </c>
      <c r="V867" s="278" t="s">
        <v>1056</v>
      </c>
      <c r="W867" s="272" t="str">
        <f>IF(IFERROR(VLOOKUP($M867,'IMPORT GS-Tür OL FL 2S2 20'!$H$2:$H$847,1,0),"-")="-","","GS")</f>
        <v/>
      </c>
      <c r="X867" s="272" t="str">
        <f t="shared" si="57"/>
        <v/>
      </c>
      <c r="Y867" s="278" t="s">
        <v>1057</v>
      </c>
      <c r="Z867" s="273" t="str">
        <f>IF(OR($M867="",NOT($O867="{array}")),"",IFERROR(MATCH(PARAMETERS!$M867,DEFAULT!$B$5:$CI$5,0),""))</f>
        <v/>
      </c>
      <c r="AA867" s="272" t="str">
        <f t="shared" si="62"/>
        <v/>
      </c>
      <c r="AB867" s="274" t="str">
        <f>IF(AND(OR($A867="G",$A867="P"),NOT($O867="{array}")),IF(VLOOKUP($K867,base!$B$2:$D$20,3,0)="S",IF(OR($O867="",ISTEXT($O867)),"","STRING!"),IF(VLOOKUP($K867,base!$B$2:$D$20,3,0)="","",IF(ISTEXT($O867),"NUMERIC!",""))),"")</f>
        <v/>
      </c>
      <c r="AC867" s="275" t="str">
        <f>IF($AA867="","",IF($B867="I",VLOOKUP($AA867,#REF!,53,0),INDEX(VALUES!$B$1:$GP$1,1,$AA867)))</f>
        <v/>
      </c>
    </row>
    <row r="868" spans="1:29" s="276" customFormat="1" hidden="1" outlineLevel="1">
      <c r="A868" s="263"/>
      <c r="B868" s="264" t="str">
        <f t="shared" si="61"/>
        <v/>
      </c>
      <c r="C868" s="265">
        <f t="shared" si="60"/>
        <v>867</v>
      </c>
      <c r="D868" s="266"/>
      <c r="E868" s="266"/>
      <c r="F868" s="305"/>
      <c r="G868" s="188"/>
      <c r="H868" s="266"/>
      <c r="I868" s="266"/>
      <c r="J868" s="266"/>
      <c r="K868" s="278" t="s">
        <v>20</v>
      </c>
      <c r="L868" s="278" t="s">
        <v>23</v>
      </c>
      <c r="M868" s="278"/>
      <c r="N868" s="278" t="s">
        <v>1058</v>
      </c>
      <c r="O868" s="278" t="s">
        <v>298</v>
      </c>
      <c r="P868" s="284" t="s">
        <v>298</v>
      </c>
      <c r="Q868" s="279" t="s">
        <v>9</v>
      </c>
      <c r="R868" s="279" t="s">
        <v>105</v>
      </c>
      <c r="S868" s="279" t="s">
        <v>114</v>
      </c>
      <c r="T868" s="278" t="s">
        <v>298</v>
      </c>
      <c r="U868" s="278" t="s">
        <v>298</v>
      </c>
      <c r="V868" s="278" t="s">
        <v>1058</v>
      </c>
      <c r="W868" s="272" t="str">
        <f>IF(IFERROR(VLOOKUP($M868,'IMPORT GS-Tür OL FL 2S2 20'!$H$2:$H$847,1,0),"-")="-","","GS")</f>
        <v/>
      </c>
      <c r="X868" s="272" t="str">
        <f t="shared" si="57"/>
        <v/>
      </c>
      <c r="Y868" s="278" t="s">
        <v>1059</v>
      </c>
      <c r="Z868" s="273" t="str">
        <f>IF(OR($M868="",NOT($O868="{array}")),"",IFERROR(MATCH(PARAMETERS!$M868,DEFAULT!$B$5:$CI$5,0),""))</f>
        <v/>
      </c>
      <c r="AA868" s="272" t="str">
        <f t="shared" si="62"/>
        <v/>
      </c>
      <c r="AB868" s="274" t="str">
        <f>IF(AND(OR($A868="G",$A868="P"),NOT($O868="{array}")),IF(VLOOKUP($K868,base!$B$2:$D$20,3,0)="S",IF(OR($O868="",ISTEXT($O868)),"","STRING!"),IF(VLOOKUP($K868,base!$B$2:$D$20,3,0)="","",IF(ISTEXT($O868),"NUMERIC!",""))),"")</f>
        <v/>
      </c>
      <c r="AC868" s="275" t="str">
        <f>IF($AA868="","",IF($B868="I",VLOOKUP($AA868,#REF!,53,0),INDEX(VALUES!$B$1:$GP$1,1,$AA868)))</f>
        <v/>
      </c>
    </row>
    <row r="869" spans="1:29" s="276" customFormat="1" hidden="1" outlineLevel="1">
      <c r="A869" s="263"/>
      <c r="B869" s="264" t="str">
        <f t="shared" si="61"/>
        <v/>
      </c>
      <c r="C869" s="265">
        <f t="shared" si="60"/>
        <v>868</v>
      </c>
      <c r="D869" s="266"/>
      <c r="E869" s="266"/>
      <c r="F869" s="305"/>
      <c r="G869" s="188"/>
      <c r="H869" s="266"/>
      <c r="I869" s="266"/>
      <c r="J869" s="266"/>
      <c r="K869" s="278" t="s">
        <v>20</v>
      </c>
      <c r="L869" s="278" t="s">
        <v>23</v>
      </c>
      <c r="M869" s="278"/>
      <c r="N869" s="278" t="s">
        <v>1060</v>
      </c>
      <c r="O869" s="278" t="s">
        <v>298</v>
      </c>
      <c r="P869" s="284" t="s">
        <v>298</v>
      </c>
      <c r="Q869" s="279" t="s">
        <v>9</v>
      </c>
      <c r="R869" s="279" t="s">
        <v>105</v>
      </c>
      <c r="S869" s="279" t="s">
        <v>114</v>
      </c>
      <c r="T869" s="278" t="s">
        <v>298</v>
      </c>
      <c r="U869" s="278" t="s">
        <v>298</v>
      </c>
      <c r="V869" s="278" t="s">
        <v>1060</v>
      </c>
      <c r="W869" s="272" t="str">
        <f>IF(IFERROR(VLOOKUP($M869,'IMPORT GS-Tür OL FL 2S2 20'!$H$2:$H$847,1,0),"-")="-","","GS")</f>
        <v/>
      </c>
      <c r="X869" s="272" t="str">
        <f t="shared" si="57"/>
        <v/>
      </c>
      <c r="Y869" s="278" t="s">
        <v>1061</v>
      </c>
      <c r="Z869" s="273" t="str">
        <f>IF(OR($M869="",NOT($O869="{array}")),"",IFERROR(MATCH(PARAMETERS!$M869,DEFAULT!$B$5:$CI$5,0),""))</f>
        <v/>
      </c>
      <c r="AA869" s="272" t="str">
        <f t="shared" si="62"/>
        <v/>
      </c>
      <c r="AB869" s="274" t="str">
        <f>IF(AND(OR($A869="G",$A869="P"),NOT($O869="{array}")),IF(VLOOKUP($K869,base!$B$2:$D$20,3,0)="S",IF(OR($O869="",ISTEXT($O869)),"","STRING!"),IF(VLOOKUP($K869,base!$B$2:$D$20,3,0)="","",IF(ISTEXT($O869),"NUMERIC!",""))),"")</f>
        <v/>
      </c>
      <c r="AC869" s="275" t="str">
        <f>IF($AA869="","",IF($B869="I",VLOOKUP($AA869,#REF!,53,0),INDEX(VALUES!$B$1:$GP$1,1,$AA869)))</f>
        <v/>
      </c>
    </row>
    <row r="870" spans="1:29" s="276" customFormat="1" hidden="1" outlineLevel="1">
      <c r="A870" s="263"/>
      <c r="B870" s="264" t="str">
        <f t="shared" si="61"/>
        <v/>
      </c>
      <c r="C870" s="265">
        <f t="shared" si="60"/>
        <v>869</v>
      </c>
      <c r="D870" s="266"/>
      <c r="E870" s="266"/>
      <c r="F870" s="305"/>
      <c r="G870" s="188"/>
      <c r="H870" s="266"/>
      <c r="I870" s="266"/>
      <c r="J870" s="266"/>
      <c r="K870" s="278" t="s">
        <v>20</v>
      </c>
      <c r="L870" s="278" t="s">
        <v>23</v>
      </c>
      <c r="M870" s="278"/>
      <c r="N870" s="278" t="s">
        <v>1062</v>
      </c>
      <c r="O870" s="278" t="s">
        <v>298</v>
      </c>
      <c r="P870" s="284" t="s">
        <v>298</v>
      </c>
      <c r="Q870" s="279" t="s">
        <v>9</v>
      </c>
      <c r="R870" s="279" t="s">
        <v>105</v>
      </c>
      <c r="S870" s="279" t="s">
        <v>114</v>
      </c>
      <c r="T870" s="278" t="s">
        <v>298</v>
      </c>
      <c r="U870" s="278" t="s">
        <v>298</v>
      </c>
      <c r="V870" s="278" t="s">
        <v>1062</v>
      </c>
      <c r="W870" s="272" t="str">
        <f>IF(IFERROR(VLOOKUP($M870,'IMPORT GS-Tür OL FL 2S2 20'!$H$2:$H$847,1,0),"-")="-","","GS")</f>
        <v/>
      </c>
      <c r="X870" s="272" t="str">
        <f t="shared" si="57"/>
        <v/>
      </c>
      <c r="Y870" s="278" t="s">
        <v>1063</v>
      </c>
      <c r="Z870" s="273" t="str">
        <f>IF(OR($M870="",NOT($O870="{array}")),"",IFERROR(MATCH(PARAMETERS!$M870,DEFAULT!$B$5:$CI$5,0),""))</f>
        <v/>
      </c>
      <c r="AA870" s="272" t="str">
        <f t="shared" si="62"/>
        <v/>
      </c>
      <c r="AB870" s="274" t="str">
        <f>IF(AND(OR($A870="G",$A870="P"),NOT($O870="{array}")),IF(VLOOKUP($K870,base!$B$2:$D$20,3,0)="S",IF(OR($O870="",ISTEXT($O870)),"","STRING!"),IF(VLOOKUP($K870,base!$B$2:$D$20,3,0)="","",IF(ISTEXT($O870),"NUMERIC!",""))),"")</f>
        <v/>
      </c>
      <c r="AC870" s="275" t="str">
        <f>IF($AA870="","",IF($B870="I",VLOOKUP($AA870,#REF!,53,0),INDEX(VALUES!$B$1:$GP$1,1,$AA870)))</f>
        <v/>
      </c>
    </row>
    <row r="871" spans="1:29" s="276" customFormat="1" hidden="1" outlineLevel="1">
      <c r="A871" s="263"/>
      <c r="B871" s="264" t="str">
        <f t="shared" si="61"/>
        <v/>
      </c>
      <c r="C871" s="265">
        <f t="shared" si="60"/>
        <v>870</v>
      </c>
      <c r="D871" s="266"/>
      <c r="E871" s="266"/>
      <c r="F871" s="305"/>
      <c r="G871" s="188"/>
      <c r="H871" s="266"/>
      <c r="I871" s="266"/>
      <c r="J871" s="266"/>
      <c r="K871" s="278" t="s">
        <v>20</v>
      </c>
      <c r="L871" s="278" t="s">
        <v>23</v>
      </c>
      <c r="M871" s="278"/>
      <c r="N871" s="278" t="s">
        <v>1064</v>
      </c>
      <c r="O871" s="278" t="s">
        <v>298</v>
      </c>
      <c r="P871" s="284" t="s">
        <v>298</v>
      </c>
      <c r="Q871" s="279" t="s">
        <v>9</v>
      </c>
      <c r="R871" s="279" t="s">
        <v>105</v>
      </c>
      <c r="S871" s="279" t="s">
        <v>114</v>
      </c>
      <c r="T871" s="278" t="s">
        <v>298</v>
      </c>
      <c r="U871" s="278" t="s">
        <v>298</v>
      </c>
      <c r="V871" s="278" t="s">
        <v>1064</v>
      </c>
      <c r="W871" s="272" t="str">
        <f>IF(IFERROR(VLOOKUP($M871,'IMPORT GS-Tür OL FL 2S2 20'!$H$2:$H$847,1,0),"-")="-","","GS")</f>
        <v/>
      </c>
      <c r="X871" s="272" t="str">
        <f t="shared" ref="X871:X920" si="63">IF($A871="G",IF(IFERROR(VLOOKUP($M871,Reimport,1,0),"-")="-","&gt;&lt;",IF($O871=VLOOKUP($M871,Reimport,2,0),"...",VLOOKUP($M871,Reimport,2,0))),"")</f>
        <v/>
      </c>
      <c r="Y871" s="278" t="s">
        <v>1065</v>
      </c>
      <c r="Z871" s="273" t="str">
        <f>IF(OR($M871="",NOT($O871="{array}")),"",IFERROR(MATCH(PARAMETERS!$M871,DEFAULT!$B$5:$CI$5,0),""))</f>
        <v/>
      </c>
      <c r="AA871" s="272" t="str">
        <f t="shared" si="62"/>
        <v/>
      </c>
      <c r="AB871" s="274" t="str">
        <f>IF(AND(OR($A871="G",$A871="P"),NOT($O871="{array}")),IF(VLOOKUP($K871,base!$B$2:$D$20,3,0)="S",IF(OR($O871="",ISTEXT($O871)),"","STRING!"),IF(VLOOKUP($K871,base!$B$2:$D$20,3,0)="","",IF(ISTEXT($O871),"NUMERIC!",""))),"")</f>
        <v/>
      </c>
      <c r="AC871" s="275" t="str">
        <f>IF($AA871="","",IF($B871="I",VLOOKUP($AA871,#REF!,53,0),INDEX(VALUES!$B$1:$GP$1,1,$AA871)))</f>
        <v/>
      </c>
    </row>
    <row r="872" spans="1:29" s="276" customFormat="1" hidden="1" outlineLevel="1">
      <c r="A872" s="263"/>
      <c r="B872" s="264" t="str">
        <f t="shared" si="61"/>
        <v/>
      </c>
      <c r="C872" s="265">
        <f t="shared" si="60"/>
        <v>871</v>
      </c>
      <c r="D872" s="266"/>
      <c r="E872" s="266"/>
      <c r="F872" s="305"/>
      <c r="G872" s="188"/>
      <c r="H872" s="266"/>
      <c r="I872" s="266"/>
      <c r="J872" s="266"/>
      <c r="K872" s="278" t="s">
        <v>20</v>
      </c>
      <c r="L872" s="278" t="s">
        <v>23</v>
      </c>
      <c r="M872" s="278"/>
      <c r="N872" s="278" t="s">
        <v>1066</v>
      </c>
      <c r="O872" s="278" t="s">
        <v>298</v>
      </c>
      <c r="P872" s="284" t="s">
        <v>298</v>
      </c>
      <c r="Q872" s="279" t="s">
        <v>9</v>
      </c>
      <c r="R872" s="279" t="s">
        <v>105</v>
      </c>
      <c r="S872" s="279" t="s">
        <v>114</v>
      </c>
      <c r="T872" s="278" t="s">
        <v>298</v>
      </c>
      <c r="U872" s="278" t="s">
        <v>298</v>
      </c>
      <c r="V872" s="278" t="s">
        <v>1066</v>
      </c>
      <c r="W872" s="272" t="str">
        <f>IF(IFERROR(VLOOKUP($M872,'IMPORT GS-Tür OL FL 2S2 20'!$H$2:$H$847,1,0),"-")="-","","GS")</f>
        <v/>
      </c>
      <c r="X872" s="272" t="str">
        <f t="shared" si="63"/>
        <v/>
      </c>
      <c r="Y872" s="278" t="s">
        <v>1067</v>
      </c>
      <c r="Z872" s="273" t="str">
        <f>IF(OR($M872="",NOT($O872="{array}")),"",IFERROR(MATCH(PARAMETERS!$M872,DEFAULT!$B$5:$CI$5,0),""))</f>
        <v/>
      </c>
      <c r="AA872" s="272" t="str">
        <f t="shared" si="62"/>
        <v/>
      </c>
      <c r="AB872" s="274" t="str">
        <f>IF(AND(OR($A872="G",$A872="P"),NOT($O872="{array}")),IF(VLOOKUP($K872,base!$B$2:$D$20,3,0)="S",IF(OR($O872="",ISTEXT($O872)),"","STRING!"),IF(VLOOKUP($K872,base!$B$2:$D$20,3,0)="","",IF(ISTEXT($O872),"NUMERIC!",""))),"")</f>
        <v/>
      </c>
      <c r="AC872" s="275" t="str">
        <f>IF($AA872="","",IF($B872="I",VLOOKUP($AA872,#REF!,53,0),INDEX(VALUES!$B$1:$GP$1,1,$AA872)))</f>
        <v/>
      </c>
    </row>
    <row r="873" spans="1:29" s="276" customFormat="1" collapsed="1">
      <c r="A873" s="263"/>
      <c r="B873" s="264" t="str">
        <f t="shared" ref="B873:B922" si="64">IF($A873="P",IF(NOT($Z873=""),"A",IF(NOT($AA873=""),"I","")),IF(NOT($AA873=""),IF($A873="G","V","X"),IF(NOT($Z873=""),"A","")))</f>
        <v/>
      </c>
      <c r="C873" s="265">
        <f t="shared" si="60"/>
        <v>872</v>
      </c>
      <c r="D873" s="266"/>
      <c r="E873" s="266"/>
      <c r="F873" s="305"/>
      <c r="G873" s="188"/>
      <c r="H873" s="266"/>
      <c r="I873" s="266"/>
      <c r="J873" s="266"/>
      <c r="K873" s="294" t="s">
        <v>59</v>
      </c>
      <c r="L873" s="294" t="s">
        <v>40</v>
      </c>
      <c r="M873" s="295" t="s">
        <v>1068</v>
      </c>
      <c r="N873" s="296" t="s">
        <v>1069</v>
      </c>
      <c r="O873" s="286"/>
      <c r="Q873" s="266"/>
      <c r="R873" s="266" t="s">
        <v>106</v>
      </c>
      <c r="S873" s="266"/>
      <c r="T873" s="266"/>
      <c r="W873" s="272" t="str">
        <f>IF(IFERROR(VLOOKUP($M873,'IMPORT GS-Tür OL FL 2S2 20'!$H$2:$H$847,1,0),"-")="-","","GS")</f>
        <v/>
      </c>
      <c r="X873" s="272" t="str">
        <f t="shared" si="63"/>
        <v/>
      </c>
      <c r="Z873" s="273" t="str">
        <f>IF(OR($M873="",NOT($O873="{array}")),"",IFERROR(MATCH(PARAMETERS!$M873,DEFAULT!$B$5:$CI$5,0),""))</f>
        <v/>
      </c>
      <c r="AA873" s="272" t="str">
        <f t="shared" si="62"/>
        <v/>
      </c>
      <c r="AB873" s="274" t="str">
        <f>IF(AND(OR($A873="G",$A873="P"),NOT($O873="{array}")),IF(VLOOKUP($K873,base!$B$2:$D$20,3,0)="S",IF(OR($O873="",ISTEXT($O873)),"","STRING!"),IF(VLOOKUP($K873,base!$B$2:$D$20,3,0)="","",IF(ISTEXT($O873),"NUMERIC!",""))),"")</f>
        <v/>
      </c>
      <c r="AC873" s="275" t="str">
        <f>IF($AA873="","",IF($B873="I",VLOOKUP($AA873,#REF!,53,0),INDEX(VALUES!$B$1:$GP$1,1,$AA873)))</f>
        <v/>
      </c>
    </row>
    <row r="874" spans="1:29" s="276" customFormat="1" hidden="1" outlineLevel="1">
      <c r="A874" s="263"/>
      <c r="B874" s="264" t="str">
        <f t="shared" si="64"/>
        <v/>
      </c>
      <c r="C874" s="265">
        <f t="shared" si="60"/>
        <v>873</v>
      </c>
      <c r="D874" s="266"/>
      <c r="E874" s="266"/>
      <c r="F874" s="305"/>
      <c r="G874" s="188"/>
      <c r="H874" s="266"/>
      <c r="I874" s="266"/>
      <c r="J874" s="266"/>
      <c r="K874" s="278" t="s">
        <v>20</v>
      </c>
      <c r="L874" s="278" t="s">
        <v>23</v>
      </c>
      <c r="M874" s="278"/>
      <c r="N874" s="278" t="s">
        <v>489</v>
      </c>
      <c r="O874" s="278" t="s">
        <v>298</v>
      </c>
      <c r="P874" s="284" t="s">
        <v>298</v>
      </c>
      <c r="Q874" s="279" t="s">
        <v>9</v>
      </c>
      <c r="R874" s="279" t="s">
        <v>105</v>
      </c>
      <c r="S874" s="279" t="s">
        <v>114</v>
      </c>
      <c r="T874" s="278" t="s">
        <v>298</v>
      </c>
      <c r="U874" s="278" t="s">
        <v>298</v>
      </c>
      <c r="V874" s="278" t="s">
        <v>489</v>
      </c>
      <c r="W874" s="272" t="str">
        <f>IF(IFERROR(VLOOKUP($M874,'IMPORT GS-Tür OL FL 2S2 20'!$H$2:$H$847,1,0),"-")="-","","GS")</f>
        <v/>
      </c>
      <c r="X874" s="272" t="str">
        <f t="shared" si="63"/>
        <v/>
      </c>
      <c r="Y874" s="278" t="s">
        <v>298</v>
      </c>
      <c r="Z874" s="273" t="str">
        <f>IF(OR($M874="",NOT($O874="{array}")),"",IFERROR(MATCH(PARAMETERS!$M874,DEFAULT!$B$5:$CI$5,0),""))</f>
        <v/>
      </c>
      <c r="AA874" s="272" t="str">
        <f t="shared" si="62"/>
        <v/>
      </c>
      <c r="AB874" s="274" t="str">
        <f>IF(AND(OR($A874="G",$A874="P"),NOT($O874="{array}")),IF(VLOOKUP($K874,base!$B$2:$D$20,3,0)="S",IF(OR($O874="",ISTEXT($O874)),"","STRING!"),IF(VLOOKUP($K874,base!$B$2:$D$20,3,0)="","",IF(ISTEXT($O874),"NUMERIC!",""))),"")</f>
        <v/>
      </c>
      <c r="AC874" s="275" t="str">
        <f>IF($AA874="","",IF($B874="I",VLOOKUP($AA874,#REF!,53,0),INDEX(VALUES!$B$1:$GP$1,1,$AA874)))</f>
        <v/>
      </c>
    </row>
    <row r="875" spans="1:29" s="276" customFormat="1" hidden="1" outlineLevel="1">
      <c r="A875" s="263"/>
      <c r="B875" s="264" t="str">
        <f t="shared" si="64"/>
        <v/>
      </c>
      <c r="C875" s="265">
        <f t="shared" si="60"/>
        <v>874</v>
      </c>
      <c r="D875" s="266"/>
      <c r="E875" s="266"/>
      <c r="F875" s="305"/>
      <c r="G875" s="188"/>
      <c r="H875" s="266"/>
      <c r="I875" s="266"/>
      <c r="J875" s="266"/>
      <c r="K875" s="278" t="s">
        <v>20</v>
      </c>
      <c r="L875" s="278" t="s">
        <v>23</v>
      </c>
      <c r="M875" s="278"/>
      <c r="N875" s="278" t="s">
        <v>490</v>
      </c>
      <c r="O875" s="278" t="s">
        <v>298</v>
      </c>
      <c r="P875" s="284" t="s">
        <v>298</v>
      </c>
      <c r="Q875" s="279" t="s">
        <v>9</v>
      </c>
      <c r="R875" s="279" t="s">
        <v>105</v>
      </c>
      <c r="S875" s="279" t="s">
        <v>114</v>
      </c>
      <c r="T875" s="278" t="s">
        <v>298</v>
      </c>
      <c r="U875" s="278" t="s">
        <v>298</v>
      </c>
      <c r="V875" s="278" t="s">
        <v>490</v>
      </c>
      <c r="W875" s="272" t="str">
        <f>IF(IFERROR(VLOOKUP($M875,'IMPORT GS-Tür OL FL 2S2 20'!$H$2:$H$847,1,0),"-")="-","","GS")</f>
        <v/>
      </c>
      <c r="X875" s="272" t="str">
        <f t="shared" si="63"/>
        <v/>
      </c>
      <c r="Y875" s="278" t="s">
        <v>298</v>
      </c>
      <c r="Z875" s="273" t="str">
        <f>IF(OR($M875="",NOT($O875="{array}")),"",IFERROR(MATCH(PARAMETERS!$M875,DEFAULT!$B$5:$CI$5,0),""))</f>
        <v/>
      </c>
      <c r="AA875" s="272" t="str">
        <f t="shared" si="62"/>
        <v/>
      </c>
      <c r="AB875" s="274" t="str">
        <f>IF(AND(OR($A875="G",$A875="P"),NOT($O875="{array}")),IF(VLOOKUP($K875,base!$B$2:$D$20,3,0)="S",IF(OR($O875="",ISTEXT($O875)),"","STRING!"),IF(VLOOKUP($K875,base!$B$2:$D$20,3,0)="","",IF(ISTEXT($O875),"NUMERIC!",""))),"")</f>
        <v/>
      </c>
      <c r="AC875" s="275" t="str">
        <f>IF($AA875="","",IF($B875="I",VLOOKUP($AA875,#REF!,53,0),INDEX(VALUES!$B$1:$GP$1,1,$AA875)))</f>
        <v/>
      </c>
    </row>
    <row r="876" spans="1:29" s="276" customFormat="1" hidden="1" outlineLevel="1">
      <c r="A876" s="263"/>
      <c r="B876" s="264" t="str">
        <f t="shared" si="64"/>
        <v/>
      </c>
      <c r="C876" s="265">
        <f t="shared" si="60"/>
        <v>875</v>
      </c>
      <c r="D876" s="266"/>
      <c r="E876" s="266"/>
      <c r="F876" s="305"/>
      <c r="G876" s="188"/>
      <c r="H876" s="266"/>
      <c r="I876" s="266"/>
      <c r="J876" s="266"/>
      <c r="K876" s="278" t="s">
        <v>20</v>
      </c>
      <c r="L876" s="278" t="s">
        <v>23</v>
      </c>
      <c r="M876" s="278"/>
      <c r="N876" s="278" t="s">
        <v>491</v>
      </c>
      <c r="O876" s="278" t="s">
        <v>298</v>
      </c>
      <c r="P876" s="284" t="s">
        <v>298</v>
      </c>
      <c r="Q876" s="279" t="s">
        <v>9</v>
      </c>
      <c r="R876" s="279" t="s">
        <v>105</v>
      </c>
      <c r="S876" s="279" t="s">
        <v>114</v>
      </c>
      <c r="T876" s="278" t="s">
        <v>298</v>
      </c>
      <c r="U876" s="278" t="s">
        <v>298</v>
      </c>
      <c r="V876" s="278" t="s">
        <v>491</v>
      </c>
      <c r="W876" s="272" t="str">
        <f>IF(IFERROR(VLOOKUP($M876,'IMPORT GS-Tür OL FL 2S2 20'!$H$2:$H$847,1,0),"-")="-","","GS")</f>
        <v/>
      </c>
      <c r="X876" s="272" t="str">
        <f t="shared" si="63"/>
        <v/>
      </c>
      <c r="Y876" s="278" t="s">
        <v>298</v>
      </c>
      <c r="Z876" s="273" t="str">
        <f>IF(OR($M876="",NOT($O876="{array}")),"",IFERROR(MATCH(PARAMETERS!$M876,DEFAULT!$B$5:$CI$5,0),""))</f>
        <v/>
      </c>
      <c r="AA876" s="272" t="str">
        <f t="shared" si="62"/>
        <v/>
      </c>
      <c r="AB876" s="274" t="str">
        <f>IF(AND(OR($A876="G",$A876="P"),NOT($O876="{array}")),IF(VLOOKUP($K876,base!$B$2:$D$20,3,0)="S",IF(OR($O876="",ISTEXT($O876)),"","STRING!"),IF(VLOOKUP($K876,base!$B$2:$D$20,3,0)="","",IF(ISTEXT($O876),"NUMERIC!",""))),"")</f>
        <v/>
      </c>
      <c r="AC876" s="275" t="str">
        <f>IF($AA876="","",IF($B876="I",VLOOKUP($AA876,#REF!,53,0),INDEX(VALUES!$B$1:$GP$1,1,$AA876)))</f>
        <v/>
      </c>
    </row>
    <row r="877" spans="1:29" s="276" customFormat="1" hidden="1" outlineLevel="1">
      <c r="A877" s="263"/>
      <c r="B877" s="264" t="str">
        <f t="shared" si="64"/>
        <v/>
      </c>
      <c r="C877" s="265">
        <f t="shared" si="60"/>
        <v>876</v>
      </c>
      <c r="D877" s="266"/>
      <c r="E877" s="266"/>
      <c r="F877" s="305"/>
      <c r="G877" s="188"/>
      <c r="H877" s="266"/>
      <c r="I877" s="266"/>
      <c r="J877" s="266"/>
      <c r="K877" s="278" t="s">
        <v>20</v>
      </c>
      <c r="L877" s="278" t="s">
        <v>23</v>
      </c>
      <c r="M877" s="278"/>
      <c r="N877" s="278" t="s">
        <v>492</v>
      </c>
      <c r="O877" s="278" t="s">
        <v>298</v>
      </c>
      <c r="P877" s="284" t="s">
        <v>298</v>
      </c>
      <c r="Q877" s="279" t="s">
        <v>9</v>
      </c>
      <c r="R877" s="279" t="s">
        <v>105</v>
      </c>
      <c r="S877" s="279" t="s">
        <v>114</v>
      </c>
      <c r="T877" s="278" t="s">
        <v>298</v>
      </c>
      <c r="U877" s="278" t="s">
        <v>298</v>
      </c>
      <c r="V877" s="278" t="s">
        <v>492</v>
      </c>
      <c r="W877" s="272" t="str">
        <f>IF(IFERROR(VLOOKUP($M877,'IMPORT GS-Tür OL FL 2S2 20'!$H$2:$H$847,1,0),"-")="-","","GS")</f>
        <v/>
      </c>
      <c r="X877" s="272" t="str">
        <f t="shared" si="63"/>
        <v/>
      </c>
      <c r="Y877" s="278" t="s">
        <v>298</v>
      </c>
      <c r="Z877" s="273" t="str">
        <f>IF(OR($M877="",NOT($O877="{array}")),"",IFERROR(MATCH(PARAMETERS!$M877,DEFAULT!$B$5:$CI$5,0),""))</f>
        <v/>
      </c>
      <c r="AA877" s="272" t="str">
        <f t="shared" si="62"/>
        <v/>
      </c>
      <c r="AB877" s="274" t="str">
        <f>IF(AND(OR($A877="G",$A877="P"),NOT($O877="{array}")),IF(VLOOKUP($K877,base!$B$2:$D$20,3,0)="S",IF(OR($O877="",ISTEXT($O877)),"","STRING!"),IF(VLOOKUP($K877,base!$B$2:$D$20,3,0)="","",IF(ISTEXT($O877),"NUMERIC!",""))),"")</f>
        <v/>
      </c>
      <c r="AC877" s="275" t="str">
        <f>IF($AA877="","",IF($B877="I",VLOOKUP($AA877,#REF!,53,0),INDEX(VALUES!$B$1:$GP$1,1,$AA877)))</f>
        <v/>
      </c>
    </row>
    <row r="878" spans="1:29" s="276" customFormat="1" hidden="1" outlineLevel="1">
      <c r="A878" s="263"/>
      <c r="B878" s="264" t="str">
        <f t="shared" si="64"/>
        <v/>
      </c>
      <c r="C878" s="265">
        <f t="shared" si="60"/>
        <v>877</v>
      </c>
      <c r="D878" s="266"/>
      <c r="E878" s="266"/>
      <c r="F878" s="305"/>
      <c r="G878" s="188"/>
      <c r="H878" s="266"/>
      <c r="I878" s="266"/>
      <c r="J878" s="266"/>
      <c r="K878" s="278" t="s">
        <v>20</v>
      </c>
      <c r="L878" s="278" t="s">
        <v>23</v>
      </c>
      <c r="M878" s="278"/>
      <c r="N878" s="278" t="s">
        <v>493</v>
      </c>
      <c r="O878" s="278" t="s">
        <v>298</v>
      </c>
      <c r="P878" s="284" t="s">
        <v>298</v>
      </c>
      <c r="Q878" s="279" t="s">
        <v>9</v>
      </c>
      <c r="R878" s="279" t="s">
        <v>105</v>
      </c>
      <c r="S878" s="279" t="s">
        <v>114</v>
      </c>
      <c r="T878" s="278" t="s">
        <v>298</v>
      </c>
      <c r="U878" s="278" t="s">
        <v>298</v>
      </c>
      <c r="V878" s="278" t="s">
        <v>493</v>
      </c>
      <c r="W878" s="272" t="str">
        <f>IF(IFERROR(VLOOKUP($M878,'IMPORT GS-Tür OL FL 2S2 20'!$H$2:$H$847,1,0),"-")="-","","GS")</f>
        <v/>
      </c>
      <c r="X878" s="272" t="str">
        <f t="shared" si="63"/>
        <v/>
      </c>
      <c r="Y878" s="278" t="s">
        <v>298</v>
      </c>
      <c r="Z878" s="273" t="str">
        <f>IF(OR($M878="",NOT($O878="{array}")),"",IFERROR(MATCH(PARAMETERS!$M878,DEFAULT!$B$5:$CI$5,0),""))</f>
        <v/>
      </c>
      <c r="AA878" s="272" t="str">
        <f t="shared" si="62"/>
        <v/>
      </c>
      <c r="AB878" s="274" t="str">
        <f>IF(AND(OR($A878="G",$A878="P"),NOT($O878="{array}")),IF(VLOOKUP($K878,base!$B$2:$D$20,3,0)="S",IF(OR($O878="",ISTEXT($O878)),"","STRING!"),IF(VLOOKUP($K878,base!$B$2:$D$20,3,0)="","",IF(ISTEXT($O878),"NUMERIC!",""))),"")</f>
        <v/>
      </c>
      <c r="AC878" s="275" t="str">
        <f>IF($AA878="","",IF($B878="I",VLOOKUP($AA878,#REF!,53,0),INDEX(VALUES!$B$1:$GP$1,1,$AA878)))</f>
        <v/>
      </c>
    </row>
    <row r="879" spans="1:29" s="276" customFormat="1" hidden="1" outlineLevel="1">
      <c r="A879" s="263"/>
      <c r="B879" s="264" t="str">
        <f t="shared" si="64"/>
        <v/>
      </c>
      <c r="C879" s="265">
        <f t="shared" si="60"/>
        <v>878</v>
      </c>
      <c r="D879" s="266"/>
      <c r="E879" s="266"/>
      <c r="F879" s="305"/>
      <c r="G879" s="188"/>
      <c r="H879" s="266"/>
      <c r="I879" s="266"/>
      <c r="J879" s="266"/>
      <c r="K879" s="278" t="s">
        <v>20</v>
      </c>
      <c r="L879" s="278" t="s">
        <v>23</v>
      </c>
      <c r="M879" s="278"/>
      <c r="N879" s="278" t="s">
        <v>494</v>
      </c>
      <c r="O879" s="278" t="s">
        <v>298</v>
      </c>
      <c r="P879" s="284" t="s">
        <v>298</v>
      </c>
      <c r="Q879" s="279" t="s">
        <v>9</v>
      </c>
      <c r="R879" s="279" t="s">
        <v>105</v>
      </c>
      <c r="S879" s="279" t="s">
        <v>114</v>
      </c>
      <c r="T879" s="278" t="s">
        <v>298</v>
      </c>
      <c r="U879" s="278" t="s">
        <v>298</v>
      </c>
      <c r="V879" s="278" t="s">
        <v>494</v>
      </c>
      <c r="W879" s="272" t="str">
        <f>IF(IFERROR(VLOOKUP($M879,'IMPORT GS-Tür OL FL 2S2 20'!$H$2:$H$847,1,0),"-")="-","","GS")</f>
        <v/>
      </c>
      <c r="X879" s="272" t="str">
        <f t="shared" si="63"/>
        <v/>
      </c>
      <c r="Y879" s="278" t="s">
        <v>298</v>
      </c>
      <c r="Z879" s="273" t="str">
        <f>IF(OR($M879="",NOT($O879="{array}")),"",IFERROR(MATCH(PARAMETERS!$M879,DEFAULT!$B$5:$CI$5,0),""))</f>
        <v/>
      </c>
      <c r="AA879" s="272" t="str">
        <f t="shared" si="62"/>
        <v/>
      </c>
      <c r="AB879" s="274" t="str">
        <f>IF(AND(OR($A879="G",$A879="P"),NOT($O879="{array}")),IF(VLOOKUP($K879,base!$B$2:$D$20,3,0)="S",IF(OR($O879="",ISTEXT($O879)),"","STRING!"),IF(VLOOKUP($K879,base!$B$2:$D$20,3,0)="","",IF(ISTEXT($O879),"NUMERIC!",""))),"")</f>
        <v/>
      </c>
      <c r="AC879" s="275" t="str">
        <f>IF($AA879="","",IF($B879="I",VLOOKUP($AA879,#REF!,53,0),INDEX(VALUES!$B$1:$GP$1,1,$AA879)))</f>
        <v/>
      </c>
    </row>
    <row r="880" spans="1:29" s="276" customFormat="1" hidden="1" outlineLevel="1">
      <c r="A880" s="263"/>
      <c r="B880" s="264" t="str">
        <f t="shared" si="64"/>
        <v/>
      </c>
      <c r="C880" s="265">
        <f t="shared" si="60"/>
        <v>879</v>
      </c>
      <c r="D880" s="266"/>
      <c r="E880" s="266"/>
      <c r="F880" s="305"/>
      <c r="G880" s="188"/>
      <c r="H880" s="266"/>
      <c r="I880" s="266"/>
      <c r="J880" s="266"/>
      <c r="K880" s="278" t="s">
        <v>20</v>
      </c>
      <c r="L880" s="278" t="s">
        <v>23</v>
      </c>
      <c r="M880" s="278"/>
      <c r="N880" s="278" t="s">
        <v>495</v>
      </c>
      <c r="O880" s="278" t="s">
        <v>298</v>
      </c>
      <c r="P880" s="284" t="s">
        <v>298</v>
      </c>
      <c r="Q880" s="279" t="s">
        <v>9</v>
      </c>
      <c r="R880" s="279" t="s">
        <v>105</v>
      </c>
      <c r="S880" s="279" t="s">
        <v>114</v>
      </c>
      <c r="T880" s="278" t="s">
        <v>298</v>
      </c>
      <c r="U880" s="278" t="s">
        <v>298</v>
      </c>
      <c r="V880" s="278" t="s">
        <v>495</v>
      </c>
      <c r="W880" s="272" t="str">
        <f>IF(IFERROR(VLOOKUP($M880,'IMPORT GS-Tür OL FL 2S2 20'!$H$2:$H$847,1,0),"-")="-","","GS")</f>
        <v/>
      </c>
      <c r="X880" s="272" t="str">
        <f t="shared" si="63"/>
        <v/>
      </c>
      <c r="Y880" s="278" t="s">
        <v>298</v>
      </c>
      <c r="Z880" s="273" t="str">
        <f>IF(OR($M880="",NOT($O880="{array}")),"",IFERROR(MATCH(PARAMETERS!$M880,DEFAULT!$B$5:$CI$5,0),""))</f>
        <v/>
      </c>
      <c r="AA880" s="272" t="str">
        <f t="shared" si="62"/>
        <v/>
      </c>
      <c r="AB880" s="274" t="str">
        <f>IF(AND(OR($A880="G",$A880="P"),NOT($O880="{array}")),IF(VLOOKUP($K880,base!$B$2:$D$20,3,0)="S",IF(OR($O880="",ISTEXT($O880)),"","STRING!"),IF(VLOOKUP($K880,base!$B$2:$D$20,3,0)="","",IF(ISTEXT($O880),"NUMERIC!",""))),"")</f>
        <v/>
      </c>
      <c r="AC880" s="275" t="str">
        <f>IF($AA880="","",IF($B880="I",VLOOKUP($AA880,#REF!,53,0),INDEX(VALUES!$B$1:$GP$1,1,$AA880)))</f>
        <v/>
      </c>
    </row>
    <row r="881" spans="1:29" collapsed="1">
      <c r="A881" s="21" t="s">
        <v>86</v>
      </c>
      <c r="B881" s="40" t="str">
        <f t="shared" si="64"/>
        <v/>
      </c>
      <c r="C881" s="41">
        <f t="shared" si="60"/>
        <v>880</v>
      </c>
      <c r="D881" s="260"/>
      <c r="E881" s="37"/>
      <c r="F881" s="305" t="s">
        <v>9</v>
      </c>
      <c r="G881" s="188"/>
      <c r="H881" s="37"/>
      <c r="I881" s="37"/>
      <c r="J881" s="37"/>
      <c r="K881" s="230" t="s">
        <v>59</v>
      </c>
      <c r="L881" s="230" t="s">
        <v>40</v>
      </c>
      <c r="M881" s="231" t="s">
        <v>1071</v>
      </c>
      <c r="N881" s="232" t="s">
        <v>1072</v>
      </c>
      <c r="R881" s="37" t="s">
        <v>106</v>
      </c>
      <c r="S881" s="37"/>
      <c r="T881" s="37"/>
      <c r="W881" s="14" t="str">
        <f>IF(IFERROR(VLOOKUP($M881,'IMPORT GS-Tür OL FL 2S2 20'!$H$2:$H$847,1,0),"-")="-","","GS")</f>
        <v>GS</v>
      </c>
      <c r="X881" s="14" t="str">
        <f t="shared" si="63"/>
        <v>...</v>
      </c>
      <c r="Z881" s="58" t="str">
        <f>IF(OR($M881="",NOT($O881="{array}")),"",IFERROR(MATCH(PARAMETERS!$M881,DEFAULT!$B$5:$CI$5,0),""))</f>
        <v/>
      </c>
      <c r="AA881" s="55" t="str">
        <f t="shared" ref="AA881:AA913" si="65">IF($M881="","",IFERROR(MATCH($M881,VALUESnames,0),""))</f>
        <v/>
      </c>
      <c r="AB881" s="62" t="str">
        <f>IF(AND(OR($A881="G",$A881="P"),NOT($O881="{array}")),IF(VLOOKUP($K881,base!$B$2:$D$20,3,0)="S",IF(OR($O881="",ISTEXT($O881)),"","STRING!"),IF(VLOOKUP($K881,base!$B$2:$D$20,3,0)="","",IF(ISTEXT($O881),"NUMERIC!",""))),"")</f>
        <v/>
      </c>
      <c r="AC881" s="16" t="str">
        <f>IF($AA881="","",IF($B881="I",VLOOKUP($AA881,#REF!,53,0),INDEX(VALUES!$B$1:$GP$1,1,$AA881)))</f>
        <v/>
      </c>
    </row>
    <row r="882" spans="1:29" hidden="1" outlineLevel="1">
      <c r="A882" s="21" t="s">
        <v>86</v>
      </c>
      <c r="B882" s="40" t="str">
        <f t="shared" si="64"/>
        <v/>
      </c>
      <c r="C882" s="41">
        <f t="shared" si="60"/>
        <v>881</v>
      </c>
      <c r="D882" s="260" t="s">
        <v>9</v>
      </c>
      <c r="E882" s="37"/>
      <c r="F882" s="305"/>
      <c r="G882" s="188"/>
      <c r="H882" s="37"/>
      <c r="I882" s="37" t="s">
        <v>9</v>
      </c>
      <c r="J882" s="37"/>
      <c r="K882" s="163" t="s">
        <v>20</v>
      </c>
      <c r="L882" s="164" t="s">
        <v>23</v>
      </c>
      <c r="M882" s="189" t="s">
        <v>4469</v>
      </c>
      <c r="N882" s="160" t="s">
        <v>1160</v>
      </c>
      <c r="O882" s="160" t="s">
        <v>4457</v>
      </c>
      <c r="P882" s="157" t="s">
        <v>298</v>
      </c>
      <c r="R882" s="159" t="s">
        <v>105</v>
      </c>
      <c r="S882" s="37"/>
      <c r="T882" s="37"/>
      <c r="W882" s="14" t="str">
        <f>IF(IFERROR(VLOOKUP($M882,'IMPORT GS-Tür OL FL 2S2 20'!$H$2:$H$847,1,0),"-")="-","","GS")</f>
        <v/>
      </c>
      <c r="X882" s="14" t="str">
        <f t="shared" si="63"/>
        <v>&gt;&lt;</v>
      </c>
      <c r="Z882" s="58" t="str">
        <f>IF(OR($M882="",NOT($O882="{array}")),"",IFERROR(MATCH(PARAMETERS!$M882,DEFAULT!$B$5:$CI$5,0),""))</f>
        <v/>
      </c>
      <c r="AA882" s="55" t="str">
        <f t="shared" si="65"/>
        <v/>
      </c>
      <c r="AB882" s="62" t="str">
        <f>IF(AND(OR($A882="G",$A882="P"),NOT($O882="{array}")),IF(VLOOKUP($K882,base!$B$2:$D$20,3,0)="S",IF(OR($O882="",ISTEXT($O882)),"","STRING!"),IF(VLOOKUP($K882,base!$B$2:$D$20,3,0)="","",IF(ISTEXT($O882),"NUMERIC!",""))),"")</f>
        <v/>
      </c>
      <c r="AC882" s="16" t="str">
        <f>IF($AA882="","",IF($B882="I",VLOOKUP($AA882,#REF!,53,0),INDEX(VALUES!$B$1:$GP$1,1,$AA882)))</f>
        <v/>
      </c>
    </row>
    <row r="883" spans="1:29" hidden="1" outlineLevel="1">
      <c r="A883" s="21" t="s">
        <v>86</v>
      </c>
      <c r="B883" s="40" t="str">
        <f t="shared" si="64"/>
        <v/>
      </c>
      <c r="C883" s="41">
        <f t="shared" si="60"/>
        <v>882</v>
      </c>
      <c r="D883" s="260" t="s">
        <v>9</v>
      </c>
      <c r="E883" s="37"/>
      <c r="F883" s="305"/>
      <c r="G883" s="188"/>
      <c r="H883" s="37"/>
      <c r="I883" s="37" t="s">
        <v>9</v>
      </c>
      <c r="J883" s="37"/>
      <c r="K883" s="163" t="s">
        <v>20</v>
      </c>
      <c r="L883" s="164" t="s">
        <v>23</v>
      </c>
      <c r="M883" s="189" t="s">
        <v>1073</v>
      </c>
      <c r="N883" s="160" t="s">
        <v>1074</v>
      </c>
      <c r="O883" s="160" t="s">
        <v>1075</v>
      </c>
      <c r="P883" s="157" t="s">
        <v>298</v>
      </c>
      <c r="Q883" s="159" t="s">
        <v>9</v>
      </c>
      <c r="R883" s="159" t="s">
        <v>105</v>
      </c>
      <c r="S883" s="159" t="s">
        <v>114</v>
      </c>
      <c r="T883" s="160" t="s">
        <v>298</v>
      </c>
      <c r="U883" s="163" t="s">
        <v>298</v>
      </c>
      <c r="V883" s="160" t="s">
        <v>1074</v>
      </c>
      <c r="W883" s="14" t="str">
        <f>IF(IFERROR(VLOOKUP($M883,'IMPORT GS-Tür OL FL 2S2 20'!$H$2:$H$847,1,0),"-")="-","","GS")</f>
        <v/>
      </c>
      <c r="X883" s="14" t="str">
        <f t="shared" si="63"/>
        <v>...</v>
      </c>
      <c r="Y883" s="163"/>
      <c r="Z883" s="58" t="str">
        <f>IF(OR($M883="",NOT($O883="{array}")),"",IFERROR(MATCH(PARAMETERS!$M883,DEFAULT!$B$5:$CI$5,0),""))</f>
        <v/>
      </c>
      <c r="AA883" s="55" t="str">
        <f t="shared" si="65"/>
        <v/>
      </c>
      <c r="AB883" s="62" t="str">
        <f>IF(AND(OR($A883="G",$A883="P"),NOT($O883="{array}")),IF(VLOOKUP($K883,base!$B$2:$D$20,3,0)="S",IF(OR($O883="",ISTEXT($O883)),"","STRING!"),IF(VLOOKUP($K883,base!$B$2:$D$20,3,0)="","",IF(ISTEXT($O883),"NUMERIC!",""))),"")</f>
        <v/>
      </c>
      <c r="AC883" s="16" t="str">
        <f>IF($AA883="","",IF($B883="I",VLOOKUP($AA883,#REF!,53,0),INDEX(VALUES!$B$1:$GP$1,1,$AA883)))</f>
        <v/>
      </c>
    </row>
    <row r="884" spans="1:29" hidden="1" outlineLevel="1">
      <c r="A884" s="21" t="s">
        <v>86</v>
      </c>
      <c r="B884" s="40" t="str">
        <f t="shared" si="64"/>
        <v/>
      </c>
      <c r="C884" s="41">
        <f t="shared" si="60"/>
        <v>883</v>
      </c>
      <c r="D884" s="260" t="s">
        <v>9</v>
      </c>
      <c r="E884" s="37"/>
      <c r="F884" s="305" t="s">
        <v>9</v>
      </c>
      <c r="G884" s="188"/>
      <c r="H884" s="37"/>
      <c r="I884" s="37" t="s">
        <v>9</v>
      </c>
      <c r="J884" s="37"/>
      <c r="K884" s="13" t="s">
        <v>20</v>
      </c>
      <c r="L884" s="13" t="s">
        <v>29</v>
      </c>
      <c r="M884" s="19" t="s">
        <v>1076</v>
      </c>
      <c r="N884" s="13" t="s">
        <v>1077</v>
      </c>
      <c r="O884" s="42" t="s">
        <v>1078</v>
      </c>
      <c r="R884" s="37" t="s">
        <v>106</v>
      </c>
      <c r="S884" s="37"/>
      <c r="T884" s="37"/>
      <c r="V884" s="160" t="s">
        <v>1079</v>
      </c>
      <c r="W884" s="14" t="str">
        <f>IF(IFERROR(VLOOKUP($M884,'IMPORT GS-Tür OL FL 2S2 20'!$H$2:$H$847,1,0),"-")="-","","GS")</f>
        <v>GS</v>
      </c>
      <c r="X884" s="14" t="str">
        <f t="shared" si="63"/>
        <v>...</v>
      </c>
      <c r="Y884" s="160" t="s">
        <v>1080</v>
      </c>
      <c r="Z884" s="58" t="str">
        <f>IF(OR($M884="",NOT($O884="{array}")),"",IFERROR(MATCH(PARAMETERS!$M884,DEFAULT!$B$5:$CI$5,0),""))</f>
        <v/>
      </c>
      <c r="AA884" s="55" t="str">
        <f t="shared" si="65"/>
        <v/>
      </c>
      <c r="AB884" s="62" t="str">
        <f>IF(AND(OR($A884="G",$A884="P"),NOT($O884="{array}")),IF(VLOOKUP($K884,base!$B$2:$D$20,3,0)="S",IF(OR($O884="",ISTEXT($O884)),"","STRING!"),IF(VLOOKUP($K884,base!$B$2:$D$20,3,0)="","",IF(ISTEXT($O884),"NUMERIC!",""))),"")</f>
        <v/>
      </c>
      <c r="AC884" s="16" t="str">
        <f>IF($AA884="","",IF($B884="I",VLOOKUP($AA884,#REF!,53,0),INDEX(VALUES!$B$1:$GP$1,1,$AA884)))</f>
        <v/>
      </c>
    </row>
    <row r="885" spans="1:29" s="276" customFormat="1" hidden="1" outlineLevel="1">
      <c r="A885" s="263"/>
      <c r="B885" s="264" t="str">
        <f t="shared" si="64"/>
        <v/>
      </c>
      <c r="C885" s="265">
        <f t="shared" si="60"/>
        <v>884</v>
      </c>
      <c r="D885" s="266"/>
      <c r="E885" s="266"/>
      <c r="F885" s="305"/>
      <c r="G885" s="188" t="s">
        <v>9</v>
      </c>
      <c r="H885" s="266"/>
      <c r="I885" s="266" t="s">
        <v>9</v>
      </c>
      <c r="J885" s="266"/>
      <c r="K885" s="267" t="s">
        <v>46</v>
      </c>
      <c r="L885" s="267" t="s">
        <v>29</v>
      </c>
      <c r="M885" s="268" t="s">
        <v>1081</v>
      </c>
      <c r="N885" s="267" t="s">
        <v>1082</v>
      </c>
      <c r="O885" s="269">
        <v>4</v>
      </c>
      <c r="P885" s="267"/>
      <c r="Q885" s="270"/>
      <c r="R885" s="270" t="s">
        <v>106</v>
      </c>
      <c r="S885" s="270"/>
      <c r="T885" s="270"/>
      <c r="U885" s="267"/>
      <c r="V885" s="267"/>
      <c r="W885" s="271" t="str">
        <f>IF(IFERROR(VLOOKUP($M885,'IMPORT GS-Tür OL FL 2S2 20'!$H$2:$H$847,1,0),"-")="-","","GS")</f>
        <v>GS</v>
      </c>
      <c r="X885" s="272" t="str">
        <f t="shared" si="63"/>
        <v/>
      </c>
      <c r="Y885" s="267"/>
      <c r="Z885" s="273" t="str">
        <f>IF(OR($M885="",NOT($O885="{array}")),"",IFERROR(MATCH(PARAMETERS!$M885,DEFAULT!$B$5:$CI$5,0),""))</f>
        <v/>
      </c>
      <c r="AA885" s="272" t="str">
        <f t="shared" si="65"/>
        <v/>
      </c>
      <c r="AB885" s="274" t="str">
        <f>IF(AND(OR($A885="G",$A885="P"),NOT($O885="{array}")),IF(VLOOKUP($K885,base!$B$2:$D$20,3,0)="S",IF(OR($O885="",ISTEXT($O885)),"","STRING!"),IF(VLOOKUP($K885,base!$B$2:$D$20,3,0)="","",IF(ISTEXT($O885),"NUMERIC!",""))),"")</f>
        <v/>
      </c>
      <c r="AC885" s="275" t="str">
        <f>IF($AA885="","",IF($B885="I",VLOOKUP($AA885,#REF!,53,0),INDEX(VALUES!$B$1:$GP$1,1,$AA885)))</f>
        <v/>
      </c>
    </row>
    <row r="886" spans="1:29" hidden="1" outlineLevel="1">
      <c r="A886" s="21" t="s">
        <v>86</v>
      </c>
      <c r="B886" s="40" t="str">
        <f t="shared" si="64"/>
        <v/>
      </c>
      <c r="C886" s="41">
        <f t="shared" si="60"/>
        <v>885</v>
      </c>
      <c r="D886" s="260" t="s">
        <v>9</v>
      </c>
      <c r="E886" s="37"/>
      <c r="F886" s="305"/>
      <c r="G886" s="188"/>
      <c r="H886" s="37"/>
      <c r="I886" s="37" t="s">
        <v>9</v>
      </c>
      <c r="J886" s="37"/>
      <c r="K886" s="163" t="s">
        <v>20</v>
      </c>
      <c r="L886" s="164" t="s">
        <v>23</v>
      </c>
      <c r="M886" s="189" t="s">
        <v>1083</v>
      </c>
      <c r="N886" s="156" t="s">
        <v>1084</v>
      </c>
      <c r="O886" s="42" t="str">
        <f>"8100"</f>
        <v>8100</v>
      </c>
      <c r="P886" s="157" t="s">
        <v>298</v>
      </c>
      <c r="Q886" s="168"/>
      <c r="R886" s="159" t="s">
        <v>105</v>
      </c>
      <c r="S886" s="159" t="s">
        <v>114</v>
      </c>
      <c r="T886" s="160" t="s">
        <v>298</v>
      </c>
      <c r="U886" s="160" t="s">
        <v>298</v>
      </c>
      <c r="V886" s="160" t="s">
        <v>1086</v>
      </c>
      <c r="W886" s="161" t="str">
        <f>IF(IFERROR(VLOOKUP($M886,'IMPORT GS-Tür OL FL 2S2 20'!$H$2:$H$847,1,0),"-")="-","","GS")</f>
        <v/>
      </c>
      <c r="X886" s="14">
        <f t="shared" si="63"/>
        <v>8100</v>
      </c>
      <c r="Y886" s="160" t="s">
        <v>1087</v>
      </c>
      <c r="Z886" s="58" t="str">
        <f>IF(OR($M886="",NOT($O886="{array}")),"",IFERROR(MATCH(PARAMETERS!$M886,DEFAULT!$B$5:$CI$5,0),""))</f>
        <v/>
      </c>
      <c r="AA886" s="55" t="str">
        <f t="shared" si="65"/>
        <v/>
      </c>
      <c r="AB886" s="62" t="str">
        <f>IF(AND(OR($A886="G",$A886="P"),NOT($O886="{array}")),IF(VLOOKUP($K886,base!$B$2:$D$20,3,0)="S",IF(OR($O886="",ISTEXT($O886)),"","STRING!"),IF(VLOOKUP($K886,base!$B$2:$D$20,3,0)="","",IF(ISTEXT($O886),"NUMERIC!",""))),"")</f>
        <v/>
      </c>
      <c r="AC886" s="16" t="str">
        <f>IF($AA886="","",IF($B886="I",VLOOKUP($AA886,#REF!,53,0),INDEX(VALUES!$B$1:$GP$1,1,$AA886)))</f>
        <v/>
      </c>
    </row>
    <row r="887" spans="1:29" hidden="1" outlineLevel="1">
      <c r="A887" s="21" t="s">
        <v>86</v>
      </c>
      <c r="B887" s="40" t="str">
        <f t="shared" si="64"/>
        <v/>
      </c>
      <c r="C887" s="41">
        <f t="shared" si="60"/>
        <v>886</v>
      </c>
      <c r="D887" s="260" t="s">
        <v>9</v>
      </c>
      <c r="E887" s="37"/>
      <c r="F887" s="305"/>
      <c r="G887" s="188"/>
      <c r="H887" s="37"/>
      <c r="I887" s="37" t="s">
        <v>9</v>
      </c>
      <c r="J887" s="37"/>
      <c r="K887" s="13" t="s">
        <v>20</v>
      </c>
      <c r="L887" s="13" t="s">
        <v>29</v>
      </c>
      <c r="M887" s="19" t="s">
        <v>1088</v>
      </c>
      <c r="N887" s="13" t="s">
        <v>3931</v>
      </c>
      <c r="R887" s="37" t="s">
        <v>106</v>
      </c>
      <c r="S887" s="37"/>
      <c r="T887" s="37"/>
      <c r="W887" s="14" t="str">
        <f>IF(IFERROR(VLOOKUP($M887,'IMPORT GS-Tür OL FL 2S2 20'!$H$2:$H$847,1,0),"-")="-","","GS")</f>
        <v>GS</v>
      </c>
      <c r="X887" s="14" t="str">
        <f t="shared" si="63"/>
        <v>...</v>
      </c>
      <c r="Z887" s="58" t="str">
        <f>IF(OR($M887="",NOT($O887="{array}")),"",IFERROR(MATCH(PARAMETERS!$M887,DEFAULT!$B$5:$CI$5,0),""))</f>
        <v/>
      </c>
      <c r="AA887" s="55" t="str">
        <f t="shared" si="65"/>
        <v/>
      </c>
      <c r="AB887" s="62" t="str">
        <f>IF(AND(OR($A887="G",$A887="P"),NOT($O887="{array}")),IF(VLOOKUP($K887,base!$B$2:$D$20,3,0)="S",IF(OR($O887="",ISTEXT($O887)),"","STRING!"),IF(VLOOKUP($K887,base!$B$2:$D$20,3,0)="","",IF(ISTEXT($O887),"NUMERIC!",""))),"")</f>
        <v/>
      </c>
      <c r="AC887" s="16" t="str">
        <f>IF($AA887="","",IF($B887="I",VLOOKUP($AA887,#REF!,53,0),INDEX(VALUES!$B$1:$GP$1,1,$AA887)))</f>
        <v/>
      </c>
    </row>
    <row r="888" spans="1:29" hidden="1" outlineLevel="1">
      <c r="A888" s="21" t="s">
        <v>86</v>
      </c>
      <c r="B888" s="40" t="str">
        <f t="shared" si="64"/>
        <v/>
      </c>
      <c r="C888" s="41">
        <f t="shared" si="60"/>
        <v>887</v>
      </c>
      <c r="D888" s="260" t="s">
        <v>9</v>
      </c>
      <c r="E888" s="37"/>
      <c r="F888" s="305"/>
      <c r="G888" s="188"/>
      <c r="H888" s="37"/>
      <c r="I888" s="37" t="s">
        <v>9</v>
      </c>
      <c r="J888" s="37"/>
      <c r="K888" s="156" t="s">
        <v>20</v>
      </c>
      <c r="L888" s="164" t="s">
        <v>23</v>
      </c>
      <c r="M888" s="189" t="s">
        <v>1089</v>
      </c>
      <c r="N888" s="156" t="s">
        <v>1090</v>
      </c>
      <c r="O888" s="156" t="s">
        <v>1091</v>
      </c>
      <c r="P888" s="172" t="s">
        <v>298</v>
      </c>
      <c r="Q888" s="172"/>
      <c r="R888" s="174" t="s">
        <v>204</v>
      </c>
      <c r="S888" s="168"/>
      <c r="T888" s="163"/>
      <c r="U888" s="163"/>
      <c r="V888" s="163"/>
      <c r="W888" s="14"/>
      <c r="X888" s="14" t="str">
        <f t="shared" si="63"/>
        <v>...</v>
      </c>
      <c r="Y888" s="163"/>
      <c r="Z888" s="58" t="str">
        <f>IF(OR($M888="",NOT($O888="{array}")),"",IFERROR(MATCH(PARAMETERS!$M888,DEFAULT!$B$5:$CI$5,0),""))</f>
        <v/>
      </c>
      <c r="AA888" s="55" t="str">
        <f t="shared" si="65"/>
        <v/>
      </c>
      <c r="AB888" s="62" t="str">
        <f>IF(AND(OR($A888="G",$A888="P"),NOT($O888="{array}")),IF(VLOOKUP($K888,base!$B$2:$D$20,3,0)="S",IF(OR($O888="",ISTEXT($O888)),"","STRING!"),IF(VLOOKUP($K888,base!$B$2:$D$20,3,0)="","",IF(ISTEXT($O888),"NUMERIC!",""))),"")</f>
        <v/>
      </c>
      <c r="AC888" s="16" t="str">
        <f>IF($AA888="","",IF($B888="I",VLOOKUP($AA888,#REF!,53,0),INDEX(VALUES!$B$1:$GP$1,1,$AA888)))</f>
        <v/>
      </c>
    </row>
    <row r="889" spans="1:29" hidden="1" outlineLevel="1">
      <c r="A889" s="21" t="s">
        <v>86</v>
      </c>
      <c r="B889" s="40" t="str">
        <f t="shared" si="64"/>
        <v/>
      </c>
      <c r="C889" s="41">
        <f t="shared" si="60"/>
        <v>888</v>
      </c>
      <c r="D889" s="260" t="s">
        <v>9</v>
      </c>
      <c r="E889" s="37"/>
      <c r="F889" s="305"/>
      <c r="G889" s="188"/>
      <c r="H889" s="37"/>
      <c r="I889" s="37" t="s">
        <v>9</v>
      </c>
      <c r="J889" s="37"/>
      <c r="K889" s="156" t="s">
        <v>20</v>
      </c>
      <c r="L889" s="164" t="s">
        <v>23</v>
      </c>
      <c r="M889" s="189" t="s">
        <v>1092</v>
      </c>
      <c r="N889" s="156" t="s">
        <v>1093</v>
      </c>
      <c r="O889" s="156"/>
      <c r="P889" s="172" t="s">
        <v>298</v>
      </c>
      <c r="Q889" s="172"/>
      <c r="R889" s="174" t="s">
        <v>204</v>
      </c>
      <c r="S889" s="168"/>
      <c r="T889" s="163"/>
      <c r="U889" s="163"/>
      <c r="V889" s="163"/>
      <c r="W889" s="14"/>
      <c r="X889" s="14" t="str">
        <f t="shared" si="63"/>
        <v>...</v>
      </c>
      <c r="Y889" s="163"/>
      <c r="Z889" s="58" t="str">
        <f>IF(OR($M889="",NOT($O889="{array}")),"",IFERROR(MATCH(PARAMETERS!$M889,DEFAULT!$B$5:$CI$5,0),""))</f>
        <v/>
      </c>
      <c r="AA889" s="55" t="str">
        <f t="shared" si="65"/>
        <v/>
      </c>
      <c r="AB889" s="62" t="str">
        <f>IF(AND(OR($A889="G",$A889="P"),NOT($O889="{array}")),IF(VLOOKUP($K889,base!$B$2:$D$20,3,0)="S",IF(OR($O889="",ISTEXT($O889)),"","STRING!"),IF(VLOOKUP($K889,base!$B$2:$D$20,3,0)="","",IF(ISTEXT($O889),"NUMERIC!",""))),"")</f>
        <v/>
      </c>
      <c r="AC889" s="16" t="str">
        <f>IF($AA889="","",IF($B889="I",VLOOKUP($AA889,#REF!,53,0),INDEX(VALUES!$B$1:$GP$1,1,$AA889)))</f>
        <v/>
      </c>
    </row>
    <row r="890" spans="1:29" hidden="1" outlineLevel="1">
      <c r="A890" s="21" t="s">
        <v>86</v>
      </c>
      <c r="B890" s="40" t="str">
        <f t="shared" si="64"/>
        <v/>
      </c>
      <c r="C890" s="41">
        <f t="shared" si="60"/>
        <v>889</v>
      </c>
      <c r="D890" s="260" t="s">
        <v>9</v>
      </c>
      <c r="E890" s="37"/>
      <c r="F890" s="305"/>
      <c r="G890" s="188"/>
      <c r="H890" s="37"/>
      <c r="I890" s="37" t="s">
        <v>9</v>
      </c>
      <c r="J890" s="37"/>
      <c r="K890" s="163" t="s">
        <v>20</v>
      </c>
      <c r="L890" s="164" t="s">
        <v>23</v>
      </c>
      <c r="M890" s="189" t="s">
        <v>1094</v>
      </c>
      <c r="N890" s="160" t="s">
        <v>1095</v>
      </c>
      <c r="O890" s="163" t="s">
        <v>1096</v>
      </c>
      <c r="P890" s="157" t="s">
        <v>298</v>
      </c>
      <c r="Q890" s="159" t="s">
        <v>9</v>
      </c>
      <c r="R890" s="159" t="s">
        <v>105</v>
      </c>
      <c r="S890" s="159" t="s">
        <v>114</v>
      </c>
      <c r="T890" s="160" t="s">
        <v>298</v>
      </c>
      <c r="U890" s="160" t="s">
        <v>298</v>
      </c>
      <c r="V890" s="160" t="s">
        <v>1097</v>
      </c>
      <c r="W890" s="161" t="str">
        <f>IF(IFERROR(VLOOKUP($M890,'IMPORT GS-Tür OL FL 2S2 20'!$H$2:$H$847,1,0),"-")="-","","GS")</f>
        <v/>
      </c>
      <c r="X890" s="14" t="str">
        <f t="shared" si="63"/>
        <v>...</v>
      </c>
      <c r="Y890" s="160" t="s">
        <v>1098</v>
      </c>
      <c r="Z890" s="58" t="str">
        <f>IF(OR($M890="",NOT($O890="{array}")),"",IFERROR(MATCH(PARAMETERS!$M890,DEFAULT!$B$5:$CI$5,0),""))</f>
        <v/>
      </c>
      <c r="AA890" s="55" t="str">
        <f t="shared" si="65"/>
        <v/>
      </c>
      <c r="AB890" s="62" t="str">
        <f>IF(AND(OR($A890="G",$A890="P"),NOT($O890="{array}")),IF(VLOOKUP($K890,base!$B$2:$D$20,3,0)="S",IF(OR($O890="",ISTEXT($O890)),"","STRING!"),IF(VLOOKUP($K890,base!$B$2:$D$20,3,0)="","",IF(ISTEXT($O890),"NUMERIC!",""))),"")</f>
        <v/>
      </c>
      <c r="AC890" s="16" t="str">
        <f>IF($AA890="","",IF($B890="I",VLOOKUP($AA890,#REF!,53,0),INDEX(VALUES!$B$1:$GP$1,1,$AA890)))</f>
        <v/>
      </c>
    </row>
    <row r="891" spans="1:29" hidden="1" outlineLevel="1">
      <c r="A891" s="21" t="s">
        <v>86</v>
      </c>
      <c r="B891" s="40" t="str">
        <f t="shared" si="64"/>
        <v/>
      </c>
      <c r="C891" s="41">
        <f t="shared" si="60"/>
        <v>890</v>
      </c>
      <c r="D891" s="260" t="s">
        <v>9</v>
      </c>
      <c r="E891" s="37"/>
      <c r="F891" s="305"/>
      <c r="G891" s="188"/>
      <c r="H891" s="37"/>
      <c r="I891" s="37" t="s">
        <v>9</v>
      </c>
      <c r="J891" s="37"/>
      <c r="K891" s="163" t="s">
        <v>20</v>
      </c>
      <c r="L891" s="164" t="s">
        <v>23</v>
      </c>
      <c r="M891" s="189" t="s">
        <v>1099</v>
      </c>
      <c r="N891" s="160" t="s">
        <v>1100</v>
      </c>
      <c r="O891" s="163" t="s">
        <v>50</v>
      </c>
      <c r="P891" s="157" t="s">
        <v>298</v>
      </c>
      <c r="Q891" s="159" t="s">
        <v>9</v>
      </c>
      <c r="R891" s="159" t="s">
        <v>105</v>
      </c>
      <c r="S891" s="159" t="s">
        <v>114</v>
      </c>
      <c r="T891" s="160" t="s">
        <v>298</v>
      </c>
      <c r="U891" s="160" t="s">
        <v>298</v>
      </c>
      <c r="V891" s="160" t="s">
        <v>1101</v>
      </c>
      <c r="W891" s="161" t="str">
        <f>IF(IFERROR(VLOOKUP($M891,'IMPORT GS-Tür OL FL 2S2 20'!$H$2:$H$847,1,0),"-")="-","","GS")</f>
        <v/>
      </c>
      <c r="X891" s="14" t="str">
        <f t="shared" si="63"/>
        <v xml:space="preserve"> </v>
      </c>
      <c r="Y891" s="160" t="s">
        <v>1102</v>
      </c>
      <c r="Z891" s="58" t="str">
        <f>IF(OR($M891="",NOT($O891="{array}")),"",IFERROR(MATCH(PARAMETERS!$M891,DEFAULT!$B$5:$CI$5,0),""))</f>
        <v/>
      </c>
      <c r="AA891" s="55" t="str">
        <f t="shared" si="65"/>
        <v/>
      </c>
      <c r="AB891" s="62" t="str">
        <f>IF(AND(OR($A891="G",$A891="P"),NOT($O891="{array}")),IF(VLOOKUP($K891,base!$B$2:$D$20,3,0)="S",IF(OR($O891="",ISTEXT($O891)),"","STRING!"),IF(VLOOKUP($K891,base!$B$2:$D$20,3,0)="","",IF(ISTEXT($O891),"NUMERIC!",""))),"")</f>
        <v/>
      </c>
      <c r="AC891" s="16" t="str">
        <f>IF($AA891="","",IF($B891="I",VLOOKUP($AA891,#REF!,53,0),INDEX(VALUES!$B$1:$GP$1,1,$AA891)))</f>
        <v/>
      </c>
    </row>
    <row r="892" spans="1:29" hidden="1" outlineLevel="1">
      <c r="A892" s="21" t="s">
        <v>86</v>
      </c>
      <c r="B892" s="40" t="str">
        <f t="shared" si="64"/>
        <v/>
      </c>
      <c r="C892" s="41">
        <f t="shared" si="60"/>
        <v>891</v>
      </c>
      <c r="D892" s="260" t="s">
        <v>9</v>
      </c>
      <c r="E892" s="37"/>
      <c r="F892" s="305" t="s">
        <v>9</v>
      </c>
      <c r="G892" s="188"/>
      <c r="H892" s="37"/>
      <c r="I892" s="37" t="s">
        <v>9</v>
      </c>
      <c r="J892" s="37"/>
      <c r="K892" s="13" t="s">
        <v>20</v>
      </c>
      <c r="L892" s="13" t="s">
        <v>29</v>
      </c>
      <c r="M892" s="19" t="s">
        <v>1103</v>
      </c>
      <c r="N892" s="13" t="s">
        <v>1104</v>
      </c>
      <c r="O892" s="42" t="s">
        <v>1078</v>
      </c>
      <c r="R892" s="37" t="s">
        <v>106</v>
      </c>
      <c r="S892" s="37"/>
      <c r="T892" s="37"/>
      <c r="V892" s="160" t="s">
        <v>1105</v>
      </c>
      <c r="W892" s="161" t="str">
        <f>IF(IFERROR(VLOOKUP($M892,'IMPORT GS-Tür OL FL 2S2 20'!$H$2:$H$847,1,0),"-")="-","","GS")</f>
        <v/>
      </c>
      <c r="X892" s="14" t="str">
        <f t="shared" si="63"/>
        <v>...</v>
      </c>
      <c r="Y892" s="160" t="s">
        <v>1106</v>
      </c>
      <c r="Z892" s="58" t="str">
        <f>IF(OR($M892="",NOT($O892="{array}")),"",IFERROR(MATCH(PARAMETERS!$M892,DEFAULT!$B$5:$CI$5,0),""))</f>
        <v/>
      </c>
      <c r="AA892" s="55" t="str">
        <f t="shared" si="65"/>
        <v/>
      </c>
      <c r="AB892" s="62" t="str">
        <f>IF(AND(OR($A892="G",$A892="P"),NOT($O892="{array}")),IF(VLOOKUP($K892,base!$B$2:$D$20,3,0)="S",IF(OR($O892="",ISTEXT($O892)),"","STRING!"),IF(VLOOKUP($K892,base!$B$2:$D$20,3,0)="","",IF(ISTEXT($O892),"NUMERIC!",""))),"")</f>
        <v/>
      </c>
      <c r="AC892" s="16" t="str">
        <f>IF($AA892="","",IF($B892="I",VLOOKUP($AA892,#REF!,53,0),INDEX(VALUES!$B$1:$GP$1,1,$AA892)))</f>
        <v/>
      </c>
    </row>
    <row r="893" spans="1:29" s="276" customFormat="1" hidden="1" outlineLevel="1">
      <c r="A893" s="263"/>
      <c r="B893" s="264" t="str">
        <f t="shared" si="64"/>
        <v/>
      </c>
      <c r="C893" s="265">
        <f t="shared" si="60"/>
        <v>892</v>
      </c>
      <c r="D893" s="266"/>
      <c r="E893" s="266"/>
      <c r="F893" s="305"/>
      <c r="G893" s="188" t="s">
        <v>9</v>
      </c>
      <c r="H893" s="266"/>
      <c r="I893" s="266" t="s">
        <v>9</v>
      </c>
      <c r="J893" s="266"/>
      <c r="K893" s="267" t="s">
        <v>46</v>
      </c>
      <c r="L893" s="267" t="s">
        <v>29</v>
      </c>
      <c r="M893" s="268" t="s">
        <v>1107</v>
      </c>
      <c r="N893" s="267" t="s">
        <v>1108</v>
      </c>
      <c r="O893" s="269">
        <v>2</v>
      </c>
      <c r="P893" s="267"/>
      <c r="Q893" s="270"/>
      <c r="R893" s="270" t="s">
        <v>106</v>
      </c>
      <c r="S893" s="270"/>
      <c r="T893" s="270"/>
      <c r="U893" s="267"/>
      <c r="V893" s="267"/>
      <c r="W893" s="271" t="str">
        <f>IF(IFERROR(VLOOKUP($M893,'IMPORT GS-Tür OL FL 2S2 20'!$H$2:$H$847,1,0),"-")="-","","GS")</f>
        <v>GS</v>
      </c>
      <c r="X893" s="272" t="str">
        <f t="shared" si="63"/>
        <v/>
      </c>
      <c r="Y893" s="267"/>
      <c r="Z893" s="273" t="str">
        <f>IF(OR($M893="",NOT($O893="{array}")),"",IFERROR(MATCH(PARAMETERS!$M893,DEFAULT!$B$5:$CI$5,0),""))</f>
        <v/>
      </c>
      <c r="AA893" s="272" t="str">
        <f t="shared" si="65"/>
        <v/>
      </c>
      <c r="AB893" s="274" t="str">
        <f>IF(AND(OR($A893="G",$A893="P"),NOT($O893="{array}")),IF(VLOOKUP($K893,base!$B$2:$D$20,3,0)="S",IF(OR($O893="",ISTEXT($O893)),"","STRING!"),IF(VLOOKUP($K893,base!$B$2:$D$20,3,0)="","",IF(ISTEXT($O893),"NUMERIC!",""))),"")</f>
        <v/>
      </c>
      <c r="AC893" s="275" t="str">
        <f>IF($AA893="","",IF($B893="I",VLOOKUP($AA893,#REF!,53,0),INDEX(VALUES!$B$1:$GP$1,1,$AA893)))</f>
        <v/>
      </c>
    </row>
    <row r="894" spans="1:29" hidden="1" outlineLevel="1">
      <c r="A894" s="21" t="s">
        <v>86</v>
      </c>
      <c r="B894" s="40" t="str">
        <f t="shared" si="64"/>
        <v/>
      </c>
      <c r="C894" s="41">
        <f t="shared" si="60"/>
        <v>893</v>
      </c>
      <c r="D894" s="260" t="s">
        <v>9</v>
      </c>
      <c r="E894" s="37"/>
      <c r="F894" s="305"/>
      <c r="G894" s="188"/>
      <c r="H894" s="37"/>
      <c r="I894" s="37" t="s">
        <v>9</v>
      </c>
      <c r="J894" s="37"/>
      <c r="K894" s="163" t="s">
        <v>20</v>
      </c>
      <c r="L894" s="164" t="s">
        <v>23</v>
      </c>
      <c r="M894" s="189" t="s">
        <v>1109</v>
      </c>
      <c r="N894" s="156" t="s">
        <v>1110</v>
      </c>
      <c r="O894" s="42" t="str">
        <f>"8100"</f>
        <v>8100</v>
      </c>
      <c r="P894" s="157" t="s">
        <v>298</v>
      </c>
      <c r="Q894" s="168"/>
      <c r="R894" s="159" t="s">
        <v>105</v>
      </c>
      <c r="S894" s="159" t="s">
        <v>114</v>
      </c>
      <c r="T894" s="160" t="s">
        <v>298</v>
      </c>
      <c r="U894" s="160" t="s">
        <v>298</v>
      </c>
      <c r="V894" s="160" t="s">
        <v>1111</v>
      </c>
      <c r="W894" s="161" t="str">
        <f>IF(IFERROR(VLOOKUP($M894,'IMPORT GS-Tür OL FL 2S2 20'!$H$2:$H$847,1,0),"-")="-","","GS")</f>
        <v/>
      </c>
      <c r="X894" s="14">
        <f t="shared" si="63"/>
        <v>8100</v>
      </c>
      <c r="Y894" s="160" t="s">
        <v>1112</v>
      </c>
      <c r="Z894" s="58" t="str">
        <f>IF(OR($M894="",NOT($O894="{array}")),"",IFERROR(MATCH(PARAMETERS!$M894,DEFAULT!$B$5:$CI$5,0),""))</f>
        <v/>
      </c>
      <c r="AA894" s="55" t="str">
        <f t="shared" si="65"/>
        <v/>
      </c>
      <c r="AB894" s="62" t="str">
        <f>IF(AND(OR($A894="G",$A894="P"),NOT($O894="{array}")),IF(VLOOKUP($K894,base!$B$2:$D$20,3,0)="S",IF(OR($O894="",ISTEXT($O894)),"","STRING!"),IF(VLOOKUP($K894,base!$B$2:$D$20,3,0)="","",IF(ISTEXT($O894),"NUMERIC!",""))),"")</f>
        <v/>
      </c>
      <c r="AC894" s="16" t="str">
        <f>IF($AA894="","",IF($B894="I",VLOOKUP($AA894,#REF!,53,0),INDEX(VALUES!$B$1:$GP$1,1,$AA894)))</f>
        <v/>
      </c>
    </row>
    <row r="895" spans="1:29" hidden="1" outlineLevel="1">
      <c r="A895" s="21" t="s">
        <v>86</v>
      </c>
      <c r="B895" s="40" t="str">
        <f t="shared" si="64"/>
        <v/>
      </c>
      <c r="C895" s="41">
        <f t="shared" si="60"/>
        <v>894</v>
      </c>
      <c r="D895" s="260" t="s">
        <v>9</v>
      </c>
      <c r="E895" s="37"/>
      <c r="F895" s="305"/>
      <c r="G895" s="188"/>
      <c r="H895" s="37"/>
      <c r="I895" s="37" t="s">
        <v>9</v>
      </c>
      <c r="J895" s="37"/>
      <c r="K895" s="13" t="s">
        <v>20</v>
      </c>
      <c r="L895" s="13" t="s">
        <v>29</v>
      </c>
      <c r="M895" s="184" t="s">
        <v>1113</v>
      </c>
      <c r="N895" s="52" t="s">
        <v>3932</v>
      </c>
      <c r="R895" s="188" t="s">
        <v>204</v>
      </c>
      <c r="S895" s="190"/>
      <c r="T895" s="37"/>
      <c r="W895" s="14" t="str">
        <f>IF(IFERROR(VLOOKUP($M895,'IMPORT GS-Tür OL FL 2S2 20'!$H$2:$H$847,1,0),"-")="-","","GS")</f>
        <v>GS</v>
      </c>
      <c r="X895" s="14" t="str">
        <f t="shared" si="63"/>
        <v>...</v>
      </c>
      <c r="Z895" s="58" t="str">
        <f>IF(OR($M895="",NOT($O895="{array}")),"",IFERROR(MATCH(PARAMETERS!$M895,DEFAULT!$B$5:$CI$5,0),""))</f>
        <v/>
      </c>
      <c r="AA895" s="55" t="str">
        <f t="shared" si="65"/>
        <v/>
      </c>
      <c r="AB895" s="62" t="str">
        <f>IF(AND(OR($A895="G",$A895="P"),NOT($O895="{array}")),IF(VLOOKUP($K895,base!$B$2:$D$20,3,0)="S",IF(OR($O895="",ISTEXT($O895)),"","STRING!"),IF(VLOOKUP($K895,base!$B$2:$D$20,3,0)="","",IF(ISTEXT($O895),"NUMERIC!",""))),"")</f>
        <v/>
      </c>
      <c r="AC895" s="16" t="str">
        <f>IF($AA895="","",IF($B895="I",VLOOKUP($AA895,#REF!,53,0),INDEX(VALUES!$B$1:$GP$1,1,$AA895)))</f>
        <v/>
      </c>
    </row>
    <row r="896" spans="1:29" hidden="1" outlineLevel="1">
      <c r="A896" s="21" t="s">
        <v>86</v>
      </c>
      <c r="B896" s="40" t="str">
        <f t="shared" si="64"/>
        <v/>
      </c>
      <c r="C896" s="41">
        <f t="shared" si="60"/>
        <v>895</v>
      </c>
      <c r="D896" s="260" t="s">
        <v>9</v>
      </c>
      <c r="E896" s="37"/>
      <c r="F896" s="305"/>
      <c r="G896" s="188"/>
      <c r="H896" s="37"/>
      <c r="I896" s="37" t="s">
        <v>9</v>
      </c>
      <c r="J896" s="37"/>
      <c r="K896" s="156" t="s">
        <v>20</v>
      </c>
      <c r="L896" s="164" t="s">
        <v>23</v>
      </c>
      <c r="M896" s="189" t="s">
        <v>1114</v>
      </c>
      <c r="N896" s="156" t="s">
        <v>1115</v>
      </c>
      <c r="O896" s="156" t="s">
        <v>1091</v>
      </c>
      <c r="P896" s="172" t="s">
        <v>298</v>
      </c>
      <c r="Q896" s="172"/>
      <c r="R896" s="174" t="s">
        <v>204</v>
      </c>
      <c r="S896" s="168"/>
      <c r="T896" s="163"/>
      <c r="U896" s="163"/>
      <c r="V896" s="163"/>
      <c r="W896" s="14"/>
      <c r="X896" s="14" t="str">
        <f t="shared" si="63"/>
        <v>...</v>
      </c>
      <c r="Y896" s="163"/>
      <c r="Z896" s="58" t="str">
        <f>IF(OR($M896="",NOT($O896="{array}")),"",IFERROR(MATCH(PARAMETERS!$M896,DEFAULT!$B$5:$CI$5,0),""))</f>
        <v/>
      </c>
      <c r="AA896" s="55" t="str">
        <f t="shared" si="65"/>
        <v/>
      </c>
      <c r="AB896" s="62" t="str">
        <f>IF(AND(OR($A896="G",$A896="P"),NOT($O896="{array}")),IF(VLOOKUP($K896,base!$B$2:$D$20,3,0)="S",IF(OR($O896="",ISTEXT($O896)),"","STRING!"),IF(VLOOKUP($K896,base!$B$2:$D$20,3,0)="","",IF(ISTEXT($O896),"NUMERIC!",""))),"")</f>
        <v/>
      </c>
      <c r="AC896" s="16" t="str">
        <f>IF($AA896="","",IF($B896="I",VLOOKUP($AA896,#REF!,53,0),INDEX(VALUES!$B$1:$GP$1,1,$AA896)))</f>
        <v/>
      </c>
    </row>
    <row r="897" spans="1:29" hidden="1" outlineLevel="1">
      <c r="A897" s="21" t="s">
        <v>86</v>
      </c>
      <c r="B897" s="40" t="str">
        <f t="shared" si="64"/>
        <v/>
      </c>
      <c r="C897" s="41">
        <f t="shared" si="60"/>
        <v>896</v>
      </c>
      <c r="D897" s="260" t="s">
        <v>9</v>
      </c>
      <c r="E897" s="37"/>
      <c r="F897" s="305"/>
      <c r="G897" s="188"/>
      <c r="H897" s="37"/>
      <c r="I897" s="37" t="s">
        <v>9</v>
      </c>
      <c r="J897" s="37"/>
      <c r="K897" s="156" t="s">
        <v>20</v>
      </c>
      <c r="L897" s="164" t="s">
        <v>23</v>
      </c>
      <c r="M897" s="189" t="s">
        <v>1116</v>
      </c>
      <c r="N897" s="156" t="s">
        <v>1117</v>
      </c>
      <c r="O897" s="156"/>
      <c r="P897" s="172" t="s">
        <v>298</v>
      </c>
      <c r="Q897" s="172"/>
      <c r="R897" s="174" t="s">
        <v>204</v>
      </c>
      <c r="S897" s="168"/>
      <c r="T897" s="163"/>
      <c r="U897" s="163"/>
      <c r="V897" s="163"/>
      <c r="W897" s="14"/>
      <c r="X897" s="14" t="str">
        <f t="shared" si="63"/>
        <v>...</v>
      </c>
      <c r="Y897" s="163"/>
      <c r="Z897" s="58" t="str">
        <f>IF(OR($M897="",NOT($O897="{array}")),"",IFERROR(MATCH(PARAMETERS!$M897,DEFAULT!$B$5:$CI$5,0),""))</f>
        <v/>
      </c>
      <c r="AA897" s="55" t="str">
        <f t="shared" si="65"/>
        <v/>
      </c>
      <c r="AB897" s="62" t="str">
        <f>IF(AND(OR($A897="G",$A897="P"),NOT($O897="{array}")),IF(VLOOKUP($K897,base!$B$2:$D$20,3,0)="S",IF(OR($O897="",ISTEXT($O897)),"","STRING!"),IF(VLOOKUP($K897,base!$B$2:$D$20,3,0)="","",IF(ISTEXT($O897),"NUMERIC!",""))),"")</f>
        <v/>
      </c>
      <c r="AC897" s="16" t="str">
        <f>IF($AA897="","",IF($B897="I",VLOOKUP($AA897,#REF!,53,0),INDEX(VALUES!$B$1:$GP$1,1,$AA897)))</f>
        <v/>
      </c>
    </row>
    <row r="898" spans="1:29" hidden="1" outlineLevel="1">
      <c r="A898" s="21" t="s">
        <v>86</v>
      </c>
      <c r="B898" s="40" t="str">
        <f t="shared" si="64"/>
        <v/>
      </c>
      <c r="C898" s="41">
        <f t="shared" si="60"/>
        <v>897</v>
      </c>
      <c r="D898" s="260" t="s">
        <v>9</v>
      </c>
      <c r="E898" s="37"/>
      <c r="F898" s="305"/>
      <c r="G898" s="188"/>
      <c r="H898" s="37"/>
      <c r="I898" s="37" t="s">
        <v>9</v>
      </c>
      <c r="J898" s="37"/>
      <c r="K898" s="163" t="s">
        <v>20</v>
      </c>
      <c r="L898" s="164" t="s">
        <v>23</v>
      </c>
      <c r="M898" s="189" t="s">
        <v>1118</v>
      </c>
      <c r="N898" s="160" t="s">
        <v>1119</v>
      </c>
      <c r="O898" s="163" t="s">
        <v>1096</v>
      </c>
      <c r="P898" s="157" t="s">
        <v>298</v>
      </c>
      <c r="Q898" s="159" t="s">
        <v>9</v>
      </c>
      <c r="R898" s="159" t="s">
        <v>105</v>
      </c>
      <c r="S898" s="159" t="s">
        <v>114</v>
      </c>
      <c r="T898" s="160" t="s">
        <v>298</v>
      </c>
      <c r="U898" s="160" t="s">
        <v>298</v>
      </c>
      <c r="V898" s="160" t="s">
        <v>1120</v>
      </c>
      <c r="W898" s="161" t="str">
        <f>IF(IFERROR(VLOOKUP($M898,'IMPORT GS-Tür OL FL 2S2 20'!$H$2:$H$847,1,0),"-")="-","","GS")</f>
        <v/>
      </c>
      <c r="X898" s="14" t="str">
        <f t="shared" si="63"/>
        <v>...</v>
      </c>
      <c r="Y898" s="160" t="s">
        <v>1121</v>
      </c>
      <c r="Z898" s="58" t="str">
        <f>IF(OR($M898="",NOT($O898="{array}")),"",IFERROR(MATCH(PARAMETERS!$M898,DEFAULT!$B$5:$CI$5,0),""))</f>
        <v/>
      </c>
      <c r="AA898" s="55" t="str">
        <f t="shared" si="65"/>
        <v/>
      </c>
      <c r="AB898" s="62" t="str">
        <f>IF(AND(OR($A898="G",$A898="P"),NOT($O898="{array}")),IF(VLOOKUP($K898,base!$B$2:$D$20,3,0)="S",IF(OR($O898="",ISTEXT($O898)),"","STRING!"),IF(VLOOKUP($K898,base!$B$2:$D$20,3,0)="","",IF(ISTEXT($O898),"NUMERIC!",""))),"")</f>
        <v/>
      </c>
      <c r="AC898" s="16" t="str">
        <f>IF($AA898="","",IF($B898="I",VLOOKUP($AA898,#REF!,53,0),INDEX(VALUES!$B$1:$GP$1,1,$AA898)))</f>
        <v/>
      </c>
    </row>
    <row r="899" spans="1:29" hidden="1" outlineLevel="1">
      <c r="A899" s="21" t="s">
        <v>86</v>
      </c>
      <c r="B899" s="40" t="str">
        <f t="shared" si="64"/>
        <v/>
      </c>
      <c r="C899" s="41">
        <f t="shared" si="60"/>
        <v>898</v>
      </c>
      <c r="D899" s="260" t="s">
        <v>9</v>
      </c>
      <c r="E899" s="37"/>
      <c r="F899" s="305"/>
      <c r="G899" s="188"/>
      <c r="H899" s="37"/>
      <c r="I899" s="37" t="s">
        <v>9</v>
      </c>
      <c r="J899" s="37"/>
      <c r="K899" s="163" t="s">
        <v>20</v>
      </c>
      <c r="L899" s="164" t="s">
        <v>23</v>
      </c>
      <c r="M899" s="189" t="s">
        <v>1122</v>
      </c>
      <c r="N899" s="160" t="s">
        <v>1123</v>
      </c>
      <c r="O899" s="163" t="s">
        <v>50</v>
      </c>
      <c r="P899" s="157" t="s">
        <v>298</v>
      </c>
      <c r="Q899" s="159" t="s">
        <v>9</v>
      </c>
      <c r="R899" s="159" t="s">
        <v>105</v>
      </c>
      <c r="S899" s="159" t="s">
        <v>114</v>
      </c>
      <c r="T899" s="160" t="s">
        <v>298</v>
      </c>
      <c r="U899" s="160" t="s">
        <v>298</v>
      </c>
      <c r="V899" s="160" t="s">
        <v>1124</v>
      </c>
      <c r="W899" s="161" t="str">
        <f>IF(IFERROR(VLOOKUP($M899,'IMPORT GS-Tür OL FL 2S2 20'!$H$2:$H$847,1,0),"-")="-","","GS")</f>
        <v/>
      </c>
      <c r="X899" s="14" t="str">
        <f t="shared" si="63"/>
        <v xml:space="preserve"> </v>
      </c>
      <c r="Y899" s="160" t="s">
        <v>1125</v>
      </c>
      <c r="Z899" s="58" t="str">
        <f>IF(OR($M899="",NOT($O899="{array}")),"",IFERROR(MATCH(PARAMETERS!$M899,DEFAULT!$B$5:$CI$5,0),""))</f>
        <v/>
      </c>
      <c r="AA899" s="55" t="str">
        <f t="shared" si="65"/>
        <v/>
      </c>
      <c r="AB899" s="62" t="str">
        <f>IF(AND(OR($A899="G",$A899="P"),NOT($O899="{array}")),IF(VLOOKUP($K899,base!$B$2:$D$20,3,0)="S",IF(OR($O899="",ISTEXT($O899)),"","STRING!"),IF(VLOOKUP($K899,base!$B$2:$D$20,3,0)="","",IF(ISTEXT($O899),"NUMERIC!",""))),"")</f>
        <v/>
      </c>
      <c r="AC899" s="16" t="str">
        <f>IF($AA899="","",IF($B899="I",VLOOKUP($AA899,#REF!,53,0),INDEX(VALUES!$B$1:$GP$1,1,$AA899)))</f>
        <v/>
      </c>
    </row>
    <row r="900" spans="1:29" hidden="1" outlineLevel="1">
      <c r="A900" s="21" t="s">
        <v>86</v>
      </c>
      <c r="B900" s="40" t="str">
        <f t="shared" si="64"/>
        <v/>
      </c>
      <c r="C900" s="41">
        <f t="shared" si="60"/>
        <v>899</v>
      </c>
      <c r="D900" s="260" t="s">
        <v>9</v>
      </c>
      <c r="E900" s="37"/>
      <c r="F900" s="305"/>
      <c r="G900" s="188"/>
      <c r="H900" s="37"/>
      <c r="I900" s="37" t="s">
        <v>9</v>
      </c>
      <c r="J900" s="37"/>
      <c r="K900" s="13" t="s">
        <v>20</v>
      </c>
      <c r="L900" s="13" t="s">
        <v>29</v>
      </c>
      <c r="M900" s="19" t="s">
        <v>1126</v>
      </c>
      <c r="N900" s="13" t="s">
        <v>1127</v>
      </c>
      <c r="O900" s="42" t="s">
        <v>1078</v>
      </c>
      <c r="R900" s="37" t="s">
        <v>106</v>
      </c>
      <c r="S900" s="37"/>
      <c r="T900" s="37"/>
      <c r="W900" s="14" t="str">
        <f>IF(IFERROR(VLOOKUP($M900,'IMPORT GS-Tür OL FL 2S2 20'!$H$2:$H$847,1,0),"-")="-","","GS")</f>
        <v/>
      </c>
      <c r="X900" s="14" t="str">
        <f t="shared" si="63"/>
        <v>...</v>
      </c>
      <c r="Z900" s="58" t="str">
        <f>IF(OR($M900="",NOT($O900="{array}")),"",IFERROR(MATCH(PARAMETERS!$M900,DEFAULT!$B$5:$CI$5,0),""))</f>
        <v/>
      </c>
      <c r="AA900" s="55" t="str">
        <f t="shared" si="65"/>
        <v/>
      </c>
      <c r="AB900" s="62" t="str">
        <f>IF(AND(OR($A900="G",$A900="P"),NOT($O900="{array}")),IF(VLOOKUP($K900,base!$B$2:$D$20,3,0)="S",IF(OR($O900="",ISTEXT($O900)),"","STRING!"),IF(VLOOKUP($K900,base!$B$2:$D$20,3,0)="","",IF(ISTEXT($O900),"NUMERIC!",""))),"")</f>
        <v/>
      </c>
      <c r="AC900" s="16" t="str">
        <f>IF($AA900="","",IF($B900="I",VLOOKUP($AA900,#REF!,53,0),INDEX(VALUES!$B$1:$GP$1,1,$AA900)))</f>
        <v/>
      </c>
    </row>
    <row r="901" spans="1:29" hidden="1" outlineLevel="1">
      <c r="A901" s="21" t="s">
        <v>86</v>
      </c>
      <c r="B901" s="40" t="str">
        <f t="shared" si="64"/>
        <v/>
      </c>
      <c r="C901" s="41">
        <f t="shared" si="60"/>
        <v>900</v>
      </c>
      <c r="D901" s="260" t="s">
        <v>9</v>
      </c>
      <c r="E901" s="37"/>
      <c r="F901" s="305"/>
      <c r="G901" s="188"/>
      <c r="H901" s="37"/>
      <c r="I901" s="37" t="s">
        <v>9</v>
      </c>
      <c r="J901" s="37"/>
      <c r="K901" s="156" t="s">
        <v>20</v>
      </c>
      <c r="L901" s="164" t="s">
        <v>23</v>
      </c>
      <c r="M901" s="189" t="s">
        <v>1128</v>
      </c>
      <c r="N901" s="156" t="s">
        <v>1129</v>
      </c>
      <c r="O901" s="42" t="str">
        <f>"8100"</f>
        <v>8100</v>
      </c>
      <c r="P901" s="157" t="s">
        <v>298</v>
      </c>
      <c r="Q901" s="168"/>
      <c r="R901" s="188" t="s">
        <v>204</v>
      </c>
      <c r="S901" s="159"/>
      <c r="T901" s="163" t="s">
        <v>298</v>
      </c>
      <c r="U901" s="163" t="s">
        <v>298</v>
      </c>
      <c r="V901" s="163"/>
      <c r="W901" s="14"/>
      <c r="X901" s="14">
        <f t="shared" si="63"/>
        <v>8100</v>
      </c>
      <c r="Y901" s="163"/>
      <c r="Z901" s="58" t="str">
        <f>IF(OR($M901="",NOT($O901="{array}")),"",IFERROR(MATCH(PARAMETERS!$M901,DEFAULT!$B$5:$CI$5,0),""))</f>
        <v/>
      </c>
      <c r="AA901" s="55" t="str">
        <f t="shared" si="65"/>
        <v/>
      </c>
      <c r="AB901" s="62" t="str">
        <f>IF(AND(OR($A901="G",$A901="P"),NOT($O901="{array}")),IF(VLOOKUP($K901,base!$B$2:$D$20,3,0)="S",IF(OR($O901="",ISTEXT($O901)),"","STRING!"),IF(VLOOKUP($K901,base!$B$2:$D$20,3,0)="","",IF(ISTEXT($O901),"NUMERIC!",""))),"")</f>
        <v/>
      </c>
      <c r="AC901" s="16" t="str">
        <f>IF($AA901="","",IF($B901="I",VLOOKUP($AA901,#REF!,53,0),INDEX(VALUES!$B$1:$GP$1,1,$AA901)))</f>
        <v/>
      </c>
    </row>
    <row r="902" spans="1:29" hidden="1" outlineLevel="1">
      <c r="A902" s="21" t="s">
        <v>86</v>
      </c>
      <c r="B902" s="40" t="str">
        <f t="shared" si="64"/>
        <v/>
      </c>
      <c r="C902" s="41">
        <f t="shared" si="60"/>
        <v>901</v>
      </c>
      <c r="D902" s="260" t="s">
        <v>9</v>
      </c>
      <c r="E902" s="37"/>
      <c r="F902" s="305"/>
      <c r="G902" s="188"/>
      <c r="H902" s="37"/>
      <c r="I902" s="37" t="s">
        <v>9</v>
      </c>
      <c r="J902" s="37"/>
      <c r="K902" s="13" t="s">
        <v>20</v>
      </c>
      <c r="L902" s="13" t="s">
        <v>29</v>
      </c>
      <c r="M902" s="184" t="s">
        <v>1130</v>
      </c>
      <c r="N902" s="52" t="s">
        <v>3933</v>
      </c>
      <c r="R902" s="188" t="s">
        <v>204</v>
      </c>
      <c r="S902" s="37"/>
      <c r="T902" s="37"/>
      <c r="W902" s="14" t="str">
        <f>IF(IFERROR(VLOOKUP($M902,'IMPORT GS-Tür OL FL 2S2 20'!$H$2:$H$847,1,0),"-")="-","","GS")</f>
        <v/>
      </c>
      <c r="X902" s="14" t="str">
        <f t="shared" si="63"/>
        <v>...</v>
      </c>
      <c r="Z902" s="58" t="str">
        <f>IF(OR($M902="",NOT($O902="{array}")),"",IFERROR(MATCH(PARAMETERS!$M902,DEFAULT!$B$5:$CI$5,0),""))</f>
        <v/>
      </c>
      <c r="AA902" s="55" t="str">
        <f t="shared" si="65"/>
        <v/>
      </c>
      <c r="AB902" s="62" t="str">
        <f>IF(AND(OR($A902="G",$A902="P"),NOT($O902="{array}")),IF(VLOOKUP($K902,base!$B$2:$D$20,3,0)="S",IF(OR($O902="",ISTEXT($O902)),"","STRING!"),IF(VLOOKUP($K902,base!$B$2:$D$20,3,0)="","",IF(ISTEXT($O902),"NUMERIC!",""))),"")</f>
        <v/>
      </c>
      <c r="AC902" s="16" t="str">
        <f>IF($AA902="","",IF($B902="I",VLOOKUP($AA902,#REF!,53,0),INDEX(VALUES!$B$1:$GP$1,1,$AA902)))</f>
        <v/>
      </c>
    </row>
    <row r="903" spans="1:29" hidden="1" outlineLevel="1">
      <c r="A903" s="21" t="s">
        <v>86</v>
      </c>
      <c r="B903" s="40" t="str">
        <f t="shared" si="64"/>
        <v/>
      </c>
      <c r="C903" s="41">
        <f t="shared" si="60"/>
        <v>902</v>
      </c>
      <c r="D903" s="260" t="s">
        <v>9</v>
      </c>
      <c r="E903" s="37"/>
      <c r="F903" s="305"/>
      <c r="G903" s="188"/>
      <c r="H903" s="37"/>
      <c r="I903" s="37" t="s">
        <v>9</v>
      </c>
      <c r="J903" s="37"/>
      <c r="K903" s="13" t="s">
        <v>46</v>
      </c>
      <c r="L903" s="13" t="s">
        <v>29</v>
      </c>
      <c r="M903" s="19" t="s">
        <v>1131</v>
      </c>
      <c r="N903" s="13" t="s">
        <v>1132</v>
      </c>
      <c r="O903" s="42">
        <v>1</v>
      </c>
      <c r="R903" s="188" t="s">
        <v>204</v>
      </c>
      <c r="S903" s="37"/>
      <c r="T903" s="37"/>
      <c r="W903" s="14" t="str">
        <f>IF(IFERROR(VLOOKUP($M903,'IMPORT GS-Tür OL FL 2S2 20'!$H$2:$H$847,1,0),"-")="-","","GS")</f>
        <v/>
      </c>
      <c r="X903" s="14" t="str">
        <f t="shared" si="63"/>
        <v>...</v>
      </c>
      <c r="Z903" s="58" t="str">
        <f>IF(OR($M903="",NOT($O903="{array}")),"",IFERROR(MATCH(PARAMETERS!$M903,DEFAULT!$B$5:$CI$5,0),""))</f>
        <v/>
      </c>
      <c r="AA903" s="55" t="str">
        <f t="shared" si="65"/>
        <v/>
      </c>
      <c r="AB903" s="62" t="str">
        <f>IF(AND(OR($A903="G",$A903="P"),NOT($O903="{array}")),IF(VLOOKUP($K903,base!$B$2:$D$20,3,0)="S",IF(OR($O903="",ISTEXT($O903)),"","STRING!"),IF(VLOOKUP($K903,base!$B$2:$D$20,3,0)="","",IF(ISTEXT($O903),"NUMERIC!",""))),"")</f>
        <v/>
      </c>
      <c r="AC903" s="16" t="str">
        <f>IF($AA903="","",IF($B903="I",VLOOKUP($AA903,#REF!,53,0),INDEX(VALUES!$B$1:$GP$1,1,$AA903)))</f>
        <v/>
      </c>
    </row>
    <row r="904" spans="1:29" hidden="1" outlineLevel="1">
      <c r="A904" s="21" t="s">
        <v>86</v>
      </c>
      <c r="B904" s="40" t="str">
        <f t="shared" si="64"/>
        <v/>
      </c>
      <c r="C904" s="41">
        <f t="shared" si="60"/>
        <v>903</v>
      </c>
      <c r="D904" s="260" t="s">
        <v>9</v>
      </c>
      <c r="E904" s="37"/>
      <c r="F904" s="305"/>
      <c r="G904" s="188"/>
      <c r="H904" s="37"/>
      <c r="I904" s="37" t="s">
        <v>9</v>
      </c>
      <c r="J904" s="37"/>
      <c r="K904" s="156" t="s">
        <v>20</v>
      </c>
      <c r="L904" s="164" t="s">
        <v>23</v>
      </c>
      <c r="M904" s="189" t="s">
        <v>1133</v>
      </c>
      <c r="N904" s="156" t="s">
        <v>1134</v>
      </c>
      <c r="O904" s="156" t="s">
        <v>1091</v>
      </c>
      <c r="P904" s="172" t="s">
        <v>298</v>
      </c>
      <c r="Q904" s="172"/>
      <c r="R904" s="174" t="s">
        <v>204</v>
      </c>
      <c r="S904" s="168"/>
      <c r="T904" s="163"/>
      <c r="U904" s="163"/>
      <c r="V904" s="163"/>
      <c r="W904" s="14"/>
      <c r="X904" s="14" t="str">
        <f t="shared" si="63"/>
        <v>...</v>
      </c>
      <c r="Y904" s="163"/>
      <c r="Z904" s="58" t="str">
        <f>IF(OR($M904="",NOT($O904="{array}")),"",IFERROR(MATCH(PARAMETERS!$M904,DEFAULT!$B$5:$CI$5,0),""))</f>
        <v/>
      </c>
      <c r="AA904" s="55" t="str">
        <f t="shared" si="65"/>
        <v/>
      </c>
      <c r="AB904" s="62" t="str">
        <f>IF(AND(OR($A904="G",$A904="P"),NOT($O904="{array}")),IF(VLOOKUP($K904,base!$B$2:$D$20,3,0)="S",IF(OR($O904="",ISTEXT($O904)),"","STRING!"),IF(VLOOKUP($K904,base!$B$2:$D$20,3,0)="","",IF(ISTEXT($O904),"NUMERIC!",""))),"")</f>
        <v/>
      </c>
      <c r="AC904" s="16" t="str">
        <f>IF($AA904="","",IF($B904="I",VLOOKUP($AA904,#REF!,53,0),INDEX(VALUES!$B$1:$GP$1,1,$AA904)))</f>
        <v/>
      </c>
    </row>
    <row r="905" spans="1:29" hidden="1" outlineLevel="1">
      <c r="A905" s="21" t="s">
        <v>86</v>
      </c>
      <c r="B905" s="40" t="str">
        <f t="shared" si="64"/>
        <v/>
      </c>
      <c r="C905" s="41">
        <f t="shared" si="60"/>
        <v>904</v>
      </c>
      <c r="D905" s="260" t="s">
        <v>9</v>
      </c>
      <c r="E905" s="37"/>
      <c r="F905" s="305"/>
      <c r="G905" s="188"/>
      <c r="H905" s="37"/>
      <c r="I905" s="37" t="s">
        <v>9</v>
      </c>
      <c r="J905" s="37"/>
      <c r="K905" s="163" t="s">
        <v>20</v>
      </c>
      <c r="L905" s="164" t="s">
        <v>23</v>
      </c>
      <c r="M905" s="189" t="s">
        <v>1135</v>
      </c>
      <c r="N905" s="156" t="s">
        <v>1136</v>
      </c>
      <c r="O905" s="156" t="s">
        <v>1096</v>
      </c>
      <c r="P905" s="172" t="s">
        <v>298</v>
      </c>
      <c r="Q905" s="174" t="s">
        <v>9</v>
      </c>
      <c r="R905" s="174" t="s">
        <v>105</v>
      </c>
      <c r="S905" s="174" t="s">
        <v>114</v>
      </c>
      <c r="T905" s="156" t="s">
        <v>298</v>
      </c>
      <c r="U905" s="156" t="s">
        <v>298</v>
      </c>
      <c r="V905" s="156" t="s">
        <v>1120</v>
      </c>
      <c r="W905" s="191" t="str">
        <f>IF(IFERROR(VLOOKUP($M905,'IMPORT GS-Tür OL FL 2S2 20'!$H$2:$H$847,1,0),"-")="-","","GS")</f>
        <v/>
      </c>
      <c r="X905" s="14" t="str">
        <f t="shared" si="63"/>
        <v>...</v>
      </c>
      <c r="Y905" s="156" t="s">
        <v>1121</v>
      </c>
      <c r="Z905" s="58" t="str">
        <f>IF(OR($M905="",NOT($O905="{array}")),"",IFERROR(MATCH(PARAMETERS!$M905,DEFAULT!$B$5:$CI$5,0),""))</f>
        <v/>
      </c>
      <c r="AA905" s="55" t="str">
        <f t="shared" si="65"/>
        <v/>
      </c>
      <c r="AB905" s="62" t="str">
        <f>IF(AND(OR($A905="G",$A905="P"),NOT($O905="{array}")),IF(VLOOKUP($K905,base!$B$2:$D$20,3,0)="S",IF(OR($O905="",ISTEXT($O905)),"","STRING!"),IF(VLOOKUP($K905,base!$B$2:$D$20,3,0)="","",IF(ISTEXT($O905),"NUMERIC!",""))),"")</f>
        <v/>
      </c>
      <c r="AC905" s="16" t="str">
        <f>IF($AA905="","",IF($B905="I",VLOOKUP($AA905,#REF!,53,0),INDEX(VALUES!$B$1:$GP$1,1,$AA905)))</f>
        <v/>
      </c>
    </row>
    <row r="906" spans="1:29" hidden="1" outlineLevel="1">
      <c r="A906" s="21" t="s">
        <v>86</v>
      </c>
      <c r="B906" s="40" t="str">
        <f t="shared" si="64"/>
        <v/>
      </c>
      <c r="C906" s="41">
        <f t="shared" si="60"/>
        <v>905</v>
      </c>
      <c r="D906" s="260" t="s">
        <v>9</v>
      </c>
      <c r="E906" s="37"/>
      <c r="F906" s="305"/>
      <c r="G906" s="188"/>
      <c r="H906" s="37"/>
      <c r="I906" s="37" t="s">
        <v>9</v>
      </c>
      <c r="J906" s="37"/>
      <c r="K906" s="163" t="s">
        <v>20</v>
      </c>
      <c r="L906" s="164" t="s">
        <v>23</v>
      </c>
      <c r="M906" s="189" t="s">
        <v>1137</v>
      </c>
      <c r="N906" s="156" t="s">
        <v>1138</v>
      </c>
      <c r="O906" s="156" t="s">
        <v>50</v>
      </c>
      <c r="P906" s="172" t="s">
        <v>298</v>
      </c>
      <c r="Q906" s="174" t="s">
        <v>9</v>
      </c>
      <c r="R906" s="174" t="s">
        <v>105</v>
      </c>
      <c r="S906" s="174" t="s">
        <v>114</v>
      </c>
      <c r="T906" s="156" t="s">
        <v>298</v>
      </c>
      <c r="U906" s="156" t="s">
        <v>298</v>
      </c>
      <c r="V906" s="156" t="s">
        <v>1124</v>
      </c>
      <c r="W906" s="191" t="str">
        <f>IF(IFERROR(VLOOKUP($M906,'IMPORT GS-Tür OL FL 2S2 20'!$H$2:$H$847,1,0),"-")="-","","GS")</f>
        <v/>
      </c>
      <c r="X906" s="14" t="str">
        <f t="shared" si="63"/>
        <v>S</v>
      </c>
      <c r="Y906" s="156" t="s">
        <v>1125</v>
      </c>
      <c r="Z906" s="58" t="str">
        <f>IF(OR($M906="",NOT($O906="{array}")),"",IFERROR(MATCH(PARAMETERS!$M906,DEFAULT!$B$5:$CI$5,0),""))</f>
        <v/>
      </c>
      <c r="AA906" s="55" t="str">
        <f t="shared" si="65"/>
        <v/>
      </c>
      <c r="AB906" s="62" t="str">
        <f>IF(AND(OR($A906="G",$A906="P"),NOT($O906="{array}")),IF(VLOOKUP($K906,base!$B$2:$D$20,3,0)="S",IF(OR($O906="",ISTEXT($O906)),"","STRING!"),IF(VLOOKUP($K906,base!$B$2:$D$20,3,0)="","",IF(ISTEXT($O906),"NUMERIC!",""))),"")</f>
        <v/>
      </c>
      <c r="AC906" s="16" t="str">
        <f>IF($AA906="","",IF($B906="I",VLOOKUP($AA906,#REF!,53,0),INDEX(VALUES!$B$1:$GP$1,1,$AA906)))</f>
        <v/>
      </c>
    </row>
    <row r="907" spans="1:29" s="276" customFormat="1" hidden="1" outlineLevel="1">
      <c r="A907" s="263"/>
      <c r="B907" s="264" t="str">
        <f t="shared" si="64"/>
        <v/>
      </c>
      <c r="C907" s="265">
        <f t="shared" si="60"/>
        <v>906</v>
      </c>
      <c r="D907" s="266"/>
      <c r="E907" s="266"/>
      <c r="F907" s="305"/>
      <c r="G907" s="188"/>
      <c r="H907" s="266"/>
      <c r="I907" s="266" t="s">
        <v>9</v>
      </c>
      <c r="J907" s="266"/>
      <c r="K907" s="267" t="s">
        <v>20</v>
      </c>
      <c r="L907" s="267" t="s">
        <v>29</v>
      </c>
      <c r="M907" s="268" t="s">
        <v>1139</v>
      </c>
      <c r="N907" s="267" t="s">
        <v>1140</v>
      </c>
      <c r="O907" s="269" t="s">
        <v>1141</v>
      </c>
      <c r="P907" s="267"/>
      <c r="Q907" s="270"/>
      <c r="R907" s="270" t="s">
        <v>106</v>
      </c>
      <c r="S907" s="270"/>
      <c r="T907" s="270"/>
      <c r="U907" s="267"/>
      <c r="V907" s="267"/>
      <c r="W907" s="271" t="str">
        <f>IF(IFERROR(VLOOKUP($M907,'IMPORT GS-Tür OL FL 2S2 20'!$H$2:$H$847,1,0),"-")="-","","GS")</f>
        <v/>
      </c>
      <c r="X907" s="272" t="str">
        <f t="shared" si="63"/>
        <v/>
      </c>
      <c r="Y907" s="267"/>
      <c r="Z907" s="273" t="str">
        <f>IF(OR($M907="",NOT($O907="{array}")),"",IFERROR(MATCH(PARAMETERS!$M907,DEFAULT!$B$5:$CI$5,0),""))</f>
        <v/>
      </c>
      <c r="AA907" s="272" t="str">
        <f t="shared" si="65"/>
        <v/>
      </c>
      <c r="AB907" s="274" t="str">
        <f>IF(AND(OR($A907="G",$A907="P"),NOT($O907="{array}")),IF(VLOOKUP($K907,base!$B$2:$D$20,3,0)="S",IF(OR($O907="",ISTEXT($O907)),"","STRING!"),IF(VLOOKUP($K907,base!$B$2:$D$20,3,0)="","",IF(ISTEXT($O907),"NUMERIC!",""))),"")</f>
        <v/>
      </c>
      <c r="AC907" s="275" t="str">
        <f>IF($AA907="","",IF($B907="I",VLOOKUP($AA907,#REF!,53,0),INDEX(VALUES!$B$1:$GP$1,1,$AA907)))</f>
        <v/>
      </c>
    </row>
    <row r="908" spans="1:29" s="276" customFormat="1" hidden="1" outlineLevel="1">
      <c r="A908" s="263"/>
      <c r="B908" s="264" t="str">
        <f t="shared" si="64"/>
        <v/>
      </c>
      <c r="C908" s="265">
        <f t="shared" si="60"/>
        <v>907</v>
      </c>
      <c r="D908" s="266"/>
      <c r="E908" s="266"/>
      <c r="F908" s="305"/>
      <c r="G908" s="188" t="s">
        <v>9</v>
      </c>
      <c r="H908" s="266"/>
      <c r="I908" s="266" t="s">
        <v>9</v>
      </c>
      <c r="J908" s="266"/>
      <c r="K908" s="267" t="s">
        <v>46</v>
      </c>
      <c r="L908" s="267" t="s">
        <v>29</v>
      </c>
      <c r="M908" s="268" t="s">
        <v>1142</v>
      </c>
      <c r="N908" s="267" t="s">
        <v>1143</v>
      </c>
      <c r="O908" s="269">
        <v>2</v>
      </c>
      <c r="P908" s="267"/>
      <c r="Q908" s="270"/>
      <c r="R908" s="270" t="s">
        <v>106</v>
      </c>
      <c r="S908" s="270"/>
      <c r="T908" s="270"/>
      <c r="U908" s="267"/>
      <c r="V908" s="267"/>
      <c r="W908" s="271" t="str">
        <f>IF(IFERROR(VLOOKUP($M908,'IMPORT GS-Tür OL FL 2S2 20'!$H$2:$H$847,1,0),"-")="-","","GS")</f>
        <v/>
      </c>
      <c r="X908" s="272" t="str">
        <f t="shared" si="63"/>
        <v/>
      </c>
      <c r="Y908" s="267"/>
      <c r="Z908" s="273" t="str">
        <f>IF(OR($M908="",NOT($O908="{array}")),"",IFERROR(MATCH(PARAMETERS!$M908,DEFAULT!$B$5:$CI$5,0),""))</f>
        <v/>
      </c>
      <c r="AA908" s="272" t="str">
        <f t="shared" si="65"/>
        <v/>
      </c>
      <c r="AB908" s="274" t="str">
        <f>IF(AND(OR($A908="G",$A908="P"),NOT($O908="{array}")),IF(VLOOKUP($K908,base!$B$2:$D$20,3,0)="S",IF(OR($O908="",ISTEXT($O908)),"","STRING!"),IF(VLOOKUP($K908,base!$B$2:$D$20,3,0)="","",IF(ISTEXT($O908),"NUMERIC!",""))),"")</f>
        <v/>
      </c>
      <c r="AC908" s="275" t="str">
        <f>IF($AA908="","",IF($B908="I",VLOOKUP($AA908,#REF!,53,0),INDEX(VALUES!$B$1:$GP$1,1,$AA908)))</f>
        <v/>
      </c>
    </row>
    <row r="909" spans="1:29" s="276" customFormat="1" hidden="1" outlineLevel="1">
      <c r="A909" s="263"/>
      <c r="B909" s="264" t="str">
        <f t="shared" si="64"/>
        <v/>
      </c>
      <c r="C909" s="265">
        <f t="shared" si="60"/>
        <v>908</v>
      </c>
      <c r="D909" s="266"/>
      <c r="E909" s="266"/>
      <c r="F909" s="305"/>
      <c r="G909" s="188"/>
      <c r="H909" s="266"/>
      <c r="I909" s="266" t="s">
        <v>9</v>
      </c>
      <c r="J909" s="266"/>
      <c r="K909" s="267" t="s">
        <v>20</v>
      </c>
      <c r="L909" s="267" t="s">
        <v>29</v>
      </c>
      <c r="M909" s="268" t="s">
        <v>1144</v>
      </c>
      <c r="N909" s="267" t="s">
        <v>1145</v>
      </c>
      <c r="O909" s="269"/>
      <c r="P909" s="267"/>
      <c r="Q909" s="270"/>
      <c r="R909" s="270" t="s">
        <v>106</v>
      </c>
      <c r="S909" s="270"/>
      <c r="T909" s="270"/>
      <c r="U909" s="267"/>
      <c r="V909" s="267"/>
      <c r="W909" s="271" t="str">
        <f>IF(IFERROR(VLOOKUP($M909,'IMPORT GS-Tür OL FL 2S2 20'!$H$2:$H$847,1,0),"-")="-","","GS")</f>
        <v/>
      </c>
      <c r="X909" s="272" t="str">
        <f t="shared" si="63"/>
        <v/>
      </c>
      <c r="Y909" s="267"/>
      <c r="Z909" s="273" t="str">
        <f>IF(OR($M909="",NOT($O909="{array}")),"",IFERROR(MATCH(PARAMETERS!$M909,DEFAULT!$B$5:$CI$5,0),""))</f>
        <v/>
      </c>
      <c r="AA909" s="272" t="str">
        <f t="shared" si="65"/>
        <v/>
      </c>
      <c r="AB909" s="274" t="str">
        <f>IF(AND(OR($A909="G",$A909="P"),NOT($O909="{array}")),IF(VLOOKUP($K909,base!$B$2:$D$20,3,0)="S",IF(OR($O909="",ISTEXT($O909)),"","STRING!"),IF(VLOOKUP($K909,base!$B$2:$D$20,3,0)="","",IF(ISTEXT($O909),"NUMERIC!",""))),"")</f>
        <v/>
      </c>
      <c r="AC909" s="275" t="str">
        <f>IF($AA909="","",IF($B909="I",VLOOKUP($AA909,#REF!,53,0),INDEX(VALUES!$B$1:$GP$1,1,$AA909)))</f>
        <v/>
      </c>
    </row>
    <row r="910" spans="1:29" hidden="1" outlineLevel="1">
      <c r="A910" s="21" t="s">
        <v>86</v>
      </c>
      <c r="B910" s="40" t="str">
        <f t="shared" si="64"/>
        <v/>
      </c>
      <c r="C910" s="41">
        <f t="shared" si="60"/>
        <v>909</v>
      </c>
      <c r="D910" s="260" t="s">
        <v>9</v>
      </c>
      <c r="E910" s="37"/>
      <c r="F910" s="305"/>
      <c r="G910" s="188"/>
      <c r="H910" s="37"/>
      <c r="I910" s="37" t="s">
        <v>9</v>
      </c>
      <c r="J910" s="37"/>
      <c r="K910" s="13" t="s">
        <v>26</v>
      </c>
      <c r="L910" s="13" t="s">
        <v>29</v>
      </c>
      <c r="M910" s="19" t="s">
        <v>1146</v>
      </c>
      <c r="N910" s="52" t="s">
        <v>1147</v>
      </c>
      <c r="O910" s="42">
        <v>1.05</v>
      </c>
      <c r="R910" s="37" t="s">
        <v>106</v>
      </c>
      <c r="S910" s="37"/>
      <c r="T910" s="37"/>
      <c r="V910" s="163" t="s">
        <v>1148</v>
      </c>
      <c r="W910" s="14" t="str">
        <f>IF(IFERROR(VLOOKUP($M910,'IMPORT GS-Tür OL FL 2S2 20'!$H$2:$H$847,1,0),"-")="-","","GS")</f>
        <v>GS</v>
      </c>
      <c r="X910" s="14" t="str">
        <f t="shared" si="63"/>
        <v>...</v>
      </c>
      <c r="Y910" s="163" t="s">
        <v>1149</v>
      </c>
      <c r="Z910" s="58" t="str">
        <f>IF(OR($M910="",NOT($O910="{array}")),"",IFERROR(MATCH(PARAMETERS!$M910,DEFAULT!$B$5:$CI$5,0),""))</f>
        <v/>
      </c>
      <c r="AA910" s="55" t="str">
        <f t="shared" si="65"/>
        <v/>
      </c>
      <c r="AB910" s="62" t="str">
        <f>IF(AND(OR($A910="G",$A910="P"),NOT($O910="{array}")),IF(VLOOKUP($K910,base!$B$2:$D$20,3,0)="S",IF(OR($O910="",ISTEXT($O910)),"","STRING!"),IF(VLOOKUP($K910,base!$B$2:$D$20,3,0)="","",IF(ISTEXT($O910),"NUMERIC!",""))),"")</f>
        <v/>
      </c>
      <c r="AC910" s="16" t="str">
        <f>IF($AA910="","",IF($B910="I",VLOOKUP($AA910,#REF!,53,0),INDEX(VALUES!$B$1:$GP$1,1,$AA910)))</f>
        <v/>
      </c>
    </row>
    <row r="911" spans="1:29" hidden="1" outlineLevel="1">
      <c r="A911" s="21" t="s">
        <v>86</v>
      </c>
      <c r="B911" s="40" t="str">
        <f t="shared" si="64"/>
        <v/>
      </c>
      <c r="C911" s="41">
        <f t="shared" si="60"/>
        <v>910</v>
      </c>
      <c r="D911" s="260" t="s">
        <v>9</v>
      </c>
      <c r="E911" s="37"/>
      <c r="F911" s="305"/>
      <c r="G911" s="188"/>
      <c r="H911" s="37"/>
      <c r="I911" s="37" t="s">
        <v>9</v>
      </c>
      <c r="J911" s="37"/>
      <c r="K911" s="13" t="s">
        <v>26</v>
      </c>
      <c r="L911" s="13" t="s">
        <v>29</v>
      </c>
      <c r="M911" s="19" t="s">
        <v>1150</v>
      </c>
      <c r="N911" s="52" t="s">
        <v>1151</v>
      </c>
      <c r="O911" s="42">
        <v>1.05</v>
      </c>
      <c r="R911" s="37" t="s">
        <v>106</v>
      </c>
      <c r="S911" s="37"/>
      <c r="T911" s="37"/>
      <c r="W911" s="14" t="str">
        <f>IF(IFERROR(VLOOKUP($M911,'IMPORT GS-Tür OL FL 2S2 20'!$H$2:$H$847,1,0),"-")="-","","GS")</f>
        <v>GS</v>
      </c>
      <c r="X911" s="14" t="str">
        <f t="shared" si="63"/>
        <v>...</v>
      </c>
      <c r="Z911" s="58" t="str">
        <f>IF(OR($M911="",NOT($O911="{array}")),"",IFERROR(MATCH(PARAMETERS!$M911,DEFAULT!$B$5:$CI$5,0),""))</f>
        <v/>
      </c>
      <c r="AA911" s="55" t="str">
        <f t="shared" si="65"/>
        <v/>
      </c>
      <c r="AB911" s="62" t="str">
        <f>IF(AND(OR($A911="G",$A911="P"),NOT($O911="{array}")),IF(VLOOKUP($K911,base!$B$2:$D$20,3,0)="S",IF(OR($O911="",ISTEXT($O911)),"","STRING!"),IF(VLOOKUP($K911,base!$B$2:$D$20,3,0)="","",IF(ISTEXT($O911),"NUMERIC!",""))),"")</f>
        <v/>
      </c>
      <c r="AC911" s="16" t="str">
        <f>IF($AA911="","",IF($B911="I",VLOOKUP($AA911,#REF!,53,0),INDEX(VALUES!$B$1:$GP$1,1,$AA911)))</f>
        <v/>
      </c>
    </row>
    <row r="912" spans="1:29" hidden="1" outlineLevel="1">
      <c r="A912" s="21"/>
      <c r="B912" s="40" t="str">
        <f t="shared" si="64"/>
        <v/>
      </c>
      <c r="C912" s="41">
        <f t="shared" si="60"/>
        <v>911</v>
      </c>
      <c r="D912" s="260"/>
      <c r="E912" s="37"/>
      <c r="F912" s="305"/>
      <c r="G912" s="188"/>
      <c r="H912" s="37"/>
      <c r="I912" s="37" t="s">
        <v>9</v>
      </c>
      <c r="J912" s="37"/>
      <c r="K912" s="52" t="s">
        <v>55</v>
      </c>
      <c r="L912" s="52" t="s">
        <v>29</v>
      </c>
      <c r="M912" s="184" t="s">
        <v>1152</v>
      </c>
      <c r="N912" s="52" t="s">
        <v>1153</v>
      </c>
      <c r="O912" s="153">
        <v>1</v>
      </c>
      <c r="R912" s="37" t="s">
        <v>106</v>
      </c>
      <c r="S912" s="37"/>
      <c r="T912" s="37"/>
      <c r="W912" s="14" t="str">
        <f>IF(IFERROR(VLOOKUP($M912,'IMPORT GS-Tür OL FL 2S2 20'!$H$2:$H$847,1,0),"-")="-","","GS")</f>
        <v/>
      </c>
      <c r="X912" s="14" t="str">
        <f t="shared" si="63"/>
        <v/>
      </c>
      <c r="Z912" s="58" t="str">
        <f>IF(OR($M912="",NOT($O912="{array}")),"",IFERROR(MATCH(PARAMETERS!$M912,DEFAULT!$B$5:$CI$5,0),""))</f>
        <v/>
      </c>
      <c r="AA912" s="55" t="str">
        <f t="shared" si="65"/>
        <v/>
      </c>
      <c r="AB912" s="62" t="str">
        <f>IF(AND(OR($A912="G",$A912="P"),NOT($O912="{array}")),IF(VLOOKUP($K912,base!$B$2:$D$20,3,0)="S",IF(OR($O912="",ISTEXT($O912)),"","STRING!"),IF(VLOOKUP($K912,base!$B$2:$D$20,3,0)="","",IF(ISTEXT($O912),"NUMERIC!",""))),"")</f>
        <v/>
      </c>
      <c r="AC912" s="16" t="str">
        <f>IF($AA912="","",IF($B912="I",VLOOKUP($AA912,#REF!,53,0),INDEX(VALUES!$B$1:$GP$1,1,$AA912)))</f>
        <v/>
      </c>
    </row>
    <row r="913" spans="1:29" hidden="1" outlineLevel="1">
      <c r="A913" s="21"/>
      <c r="B913" s="40" t="str">
        <f t="shared" si="64"/>
        <v/>
      </c>
      <c r="C913" s="41">
        <f t="shared" si="60"/>
        <v>912</v>
      </c>
      <c r="D913" s="260"/>
      <c r="E913" s="37"/>
      <c r="F913" s="305"/>
      <c r="G913" s="188"/>
      <c r="H913" s="37"/>
      <c r="I913" s="37" t="s">
        <v>9</v>
      </c>
      <c r="J913" s="37"/>
      <c r="K913" s="52" t="s">
        <v>55</v>
      </c>
      <c r="L913" s="52" t="s">
        <v>29</v>
      </c>
      <c r="M913" s="184" t="s">
        <v>1154</v>
      </c>
      <c r="N913" s="52" t="s">
        <v>1155</v>
      </c>
      <c r="O913" s="153">
        <v>20</v>
      </c>
      <c r="R913" s="37" t="s">
        <v>106</v>
      </c>
      <c r="S913" s="37"/>
      <c r="T913" s="37"/>
      <c r="W913" s="14" t="str">
        <f>IF(IFERROR(VLOOKUP($M913,'IMPORT GS-Tür OL FL 2S2 20'!$H$2:$H$847,1,0),"-")="-","","GS")</f>
        <v/>
      </c>
      <c r="X913" s="14" t="str">
        <f t="shared" si="63"/>
        <v/>
      </c>
      <c r="Z913" s="58" t="str">
        <f>IF(OR($M913="",NOT($O913="{array}")),"",IFERROR(MATCH(PARAMETERS!$M913,DEFAULT!$B$5:$CI$5,0),""))</f>
        <v/>
      </c>
      <c r="AA913" s="55" t="str">
        <f t="shared" si="65"/>
        <v/>
      </c>
      <c r="AB913" s="62" t="str">
        <f>IF(AND(OR($A913="G",$A913="P"),NOT($O913="{array}")),IF(VLOOKUP($K913,base!$B$2:$D$20,3,0)="S",IF(OR($O913="",ISTEXT($O913)),"","STRING!"),IF(VLOOKUP($K913,base!$B$2:$D$20,3,0)="","",IF(ISTEXT($O913),"NUMERIC!",""))),"")</f>
        <v/>
      </c>
      <c r="AC913" s="16" t="str">
        <f>IF($AA913="","",IF($B913="I",VLOOKUP($AA913,#REF!,53,0),INDEX(VALUES!$B$1:$GP$1,1,$AA913)))</f>
        <v/>
      </c>
    </row>
    <row r="914" spans="1:29" hidden="1" outlineLevel="1">
      <c r="A914" s="21" t="s">
        <v>87</v>
      </c>
      <c r="B914" s="40" t="str">
        <f t="shared" si="64"/>
        <v/>
      </c>
      <c r="C914" s="41">
        <f t="shared" si="60"/>
        <v>913</v>
      </c>
      <c r="D914" s="260"/>
      <c r="E914" s="37"/>
      <c r="F914" s="305"/>
      <c r="G914" s="188"/>
      <c r="H914" s="37"/>
      <c r="I914" s="37"/>
      <c r="J914" s="37"/>
      <c r="K914" s="163" t="s">
        <v>20</v>
      </c>
      <c r="L914" s="164" t="s">
        <v>23</v>
      </c>
      <c r="M914" s="163" t="s">
        <v>1158</v>
      </c>
      <c r="N914" s="163" t="s">
        <v>1159</v>
      </c>
      <c r="O914" s="163" t="s">
        <v>298</v>
      </c>
      <c r="P914" s="157" t="s">
        <v>298</v>
      </c>
      <c r="Q914" s="168" t="s">
        <v>9</v>
      </c>
      <c r="R914" s="168" t="s">
        <v>105</v>
      </c>
      <c r="S914" s="168" t="s">
        <v>114</v>
      </c>
      <c r="T914" s="163" t="s">
        <v>298</v>
      </c>
      <c r="U914" s="163" t="s">
        <v>298</v>
      </c>
      <c r="V914" s="163" t="s">
        <v>1160</v>
      </c>
      <c r="W914" s="14" t="str">
        <f>IF(IFERROR(VLOOKUP($M914,'IMPORT GS-Tür OL FL 2S2 20'!$H$2:$H$847,1,0),"-")="-","","GS")</f>
        <v/>
      </c>
      <c r="X914" s="14" t="str">
        <f t="shared" si="63"/>
        <v/>
      </c>
      <c r="Z914" s="58" t="str">
        <f>IF(OR($M914="",NOT($O914="{array}")),"",IFERROR(MATCH(PARAMETERS!$M914,DEFAULT!$B$5:$CI$5,0),""))</f>
        <v/>
      </c>
      <c r="AA914" s="55" t="str">
        <f t="shared" ref="AA914:AA944" si="66">IF($M914="","",IFERROR(MATCH($M914,VALUESnames,0),""))</f>
        <v/>
      </c>
      <c r="AB914" s="62" t="str">
        <f>IF(AND(OR($A914="G",$A914="P"),NOT($O914="{array}")),IF(VLOOKUP($K914,base!$B$2:$D$20,3,0)="S",IF(OR($O914="",ISTEXT($O914)),"","STRING!"),IF(VLOOKUP($K914,base!$B$2:$D$20,3,0)="","",IF(ISTEXT($O914),"NUMERIC!",""))),"")</f>
        <v/>
      </c>
      <c r="AC914" s="16" t="str">
        <f>IF($AA914="","",IF($B914="I",VLOOKUP($AA914,#REF!,53,0),INDEX(VALUES!$B$1:$GP$1,1,$AA914)))</f>
        <v/>
      </c>
    </row>
    <row r="915" spans="1:29" hidden="1" outlineLevel="1">
      <c r="A915" s="21" t="s">
        <v>87</v>
      </c>
      <c r="B915" s="40" t="str">
        <f t="shared" si="64"/>
        <v/>
      </c>
      <c r="C915" s="41">
        <f t="shared" si="60"/>
        <v>914</v>
      </c>
      <c r="D915" s="260"/>
      <c r="E915" s="37"/>
      <c r="F915" s="305"/>
      <c r="G915" s="188"/>
      <c r="H915" s="37"/>
      <c r="I915" s="37"/>
      <c r="J915" s="37"/>
      <c r="K915" s="163" t="s">
        <v>20</v>
      </c>
      <c r="L915" s="164" t="s">
        <v>23</v>
      </c>
      <c r="M915" s="163" t="s">
        <v>1161</v>
      </c>
      <c r="N915" s="163" t="s">
        <v>1162</v>
      </c>
      <c r="O915" s="163" t="s">
        <v>298</v>
      </c>
      <c r="P915" s="157" t="s">
        <v>298</v>
      </c>
      <c r="Q915" s="168" t="s">
        <v>9</v>
      </c>
      <c r="R915" s="168" t="s">
        <v>105</v>
      </c>
      <c r="S915" s="168" t="s">
        <v>114</v>
      </c>
      <c r="T915" s="163" t="s">
        <v>298</v>
      </c>
      <c r="U915" s="163" t="s">
        <v>298</v>
      </c>
      <c r="V915" s="163" t="s">
        <v>1163</v>
      </c>
      <c r="W915" s="14" t="str">
        <f>IF(IFERROR(VLOOKUP($M915,'IMPORT GS-Tür OL FL 2S2 20'!$H$2:$H$847,1,0),"-")="-","","GS")</f>
        <v/>
      </c>
      <c r="X915" s="14" t="str">
        <f t="shared" si="63"/>
        <v/>
      </c>
      <c r="Z915" s="58" t="str">
        <f>IF(OR($M915="",NOT($O915="{array}")),"",IFERROR(MATCH(PARAMETERS!$M915,DEFAULT!$B$5:$CI$5,0),""))</f>
        <v/>
      </c>
      <c r="AA915" s="55" t="str">
        <f t="shared" si="66"/>
        <v/>
      </c>
      <c r="AB915" s="62" t="str">
        <f>IF(AND(OR($A915="G",$A915="P"),NOT($O915="{array}")),IF(VLOOKUP($K915,base!$B$2:$D$20,3,0)="S",IF(OR($O915="",ISTEXT($O915)),"","STRING!"),IF(VLOOKUP($K915,base!$B$2:$D$20,3,0)="","",IF(ISTEXT($O915),"NUMERIC!",""))),"")</f>
        <v/>
      </c>
      <c r="AC915" s="16" t="str">
        <f>IF($AA915="","",IF($B915="I",VLOOKUP($AA915,#REF!,53,0),INDEX(VALUES!$B$1:$GP$1,1,$AA915)))</f>
        <v/>
      </c>
    </row>
    <row r="916" spans="1:29" hidden="1" outlineLevel="1">
      <c r="A916" s="21" t="s">
        <v>87</v>
      </c>
      <c r="B916" s="40" t="str">
        <f t="shared" si="64"/>
        <v/>
      </c>
      <c r="C916" s="41">
        <f t="shared" si="60"/>
        <v>915</v>
      </c>
      <c r="D916" s="260"/>
      <c r="E916" s="37"/>
      <c r="F916" s="305"/>
      <c r="G916" s="188"/>
      <c r="H916" s="37"/>
      <c r="I916" s="37"/>
      <c r="J916" s="37"/>
      <c r="K916" s="163" t="s">
        <v>20</v>
      </c>
      <c r="L916" s="164" t="s">
        <v>23</v>
      </c>
      <c r="M916" s="163" t="s">
        <v>1164</v>
      </c>
      <c r="N916" s="163" t="s">
        <v>1165</v>
      </c>
      <c r="O916" s="163" t="s">
        <v>298</v>
      </c>
      <c r="P916" s="157" t="s">
        <v>298</v>
      </c>
      <c r="Q916" s="168" t="s">
        <v>9</v>
      </c>
      <c r="R916" s="168" t="s">
        <v>105</v>
      </c>
      <c r="S916" s="168" t="s">
        <v>114</v>
      </c>
      <c r="T916" s="163" t="s">
        <v>298</v>
      </c>
      <c r="U916" s="163" t="s">
        <v>298</v>
      </c>
      <c r="V916" s="163" t="s">
        <v>1166</v>
      </c>
      <c r="W916" s="14" t="str">
        <f>IF(IFERROR(VLOOKUP($M916,'IMPORT GS-Tür OL FL 2S2 20'!$H$2:$H$847,1,0),"-")="-","","GS")</f>
        <v/>
      </c>
      <c r="X916" s="14" t="str">
        <f t="shared" si="63"/>
        <v/>
      </c>
      <c r="Z916" s="58" t="str">
        <f>IF(OR($M916="",NOT($O916="{array}")),"",IFERROR(MATCH(PARAMETERS!$M916,DEFAULT!$B$5:$CI$5,0),""))</f>
        <v/>
      </c>
      <c r="AA916" s="55" t="str">
        <f t="shared" si="66"/>
        <v/>
      </c>
      <c r="AB916" s="62" t="str">
        <f>IF(AND(OR($A916="G",$A916="P"),NOT($O916="{array}")),IF(VLOOKUP($K916,base!$B$2:$D$20,3,0)="S",IF(OR($O916="",ISTEXT($O916)),"","STRING!"),IF(VLOOKUP($K916,base!$B$2:$D$20,3,0)="","",IF(ISTEXT($O916),"NUMERIC!",""))),"")</f>
        <v/>
      </c>
      <c r="AC916" s="16" t="str">
        <f>IF($AA916="","",IF($B916="I",VLOOKUP($AA916,#REF!,53,0),INDEX(VALUES!$B$1:$GP$1,1,$AA916)))</f>
        <v/>
      </c>
    </row>
    <row r="917" spans="1:29" s="276" customFormat="1" hidden="1" outlineLevel="1">
      <c r="A917" s="263"/>
      <c r="B917" s="264" t="str">
        <f t="shared" si="64"/>
        <v/>
      </c>
      <c r="C917" s="265">
        <f t="shared" si="60"/>
        <v>916</v>
      </c>
      <c r="D917" s="266"/>
      <c r="E917" s="266"/>
      <c r="F917" s="305"/>
      <c r="G917" s="188"/>
      <c r="H917" s="266"/>
      <c r="I917" s="266"/>
      <c r="J917" s="266"/>
      <c r="K917" s="277" t="s">
        <v>20</v>
      </c>
      <c r="L917" s="277" t="s">
        <v>23</v>
      </c>
      <c r="M917" s="277" t="s">
        <v>1167</v>
      </c>
      <c r="N917" s="277" t="s">
        <v>298</v>
      </c>
      <c r="O917" s="277" t="s">
        <v>298</v>
      </c>
      <c r="P917" s="287" t="s">
        <v>298</v>
      </c>
      <c r="Q917" s="280" t="s">
        <v>9</v>
      </c>
      <c r="R917" s="280" t="s">
        <v>105</v>
      </c>
      <c r="S917" s="280" t="s">
        <v>114</v>
      </c>
      <c r="T917" s="277" t="s">
        <v>298</v>
      </c>
      <c r="U917" s="277" t="s">
        <v>298</v>
      </c>
      <c r="V917" s="277" t="s">
        <v>1168</v>
      </c>
      <c r="W917" s="271" t="str">
        <f>IF(IFERROR(VLOOKUP($M917,'IMPORT GS-Tür OL FL 2S2 20'!$H$2:$H$847,1,0),"-")="-","","GS")</f>
        <v/>
      </c>
      <c r="X917" s="272" t="str">
        <f t="shared" si="63"/>
        <v/>
      </c>
      <c r="Y917" s="277" t="s">
        <v>1169</v>
      </c>
      <c r="Z917" s="273" t="str">
        <f>IF(OR($M917="",NOT($O917="{array}")),"",IFERROR(MATCH(PARAMETERS!$M917,DEFAULT!$B$5:$CI$5,0),""))</f>
        <v/>
      </c>
      <c r="AA917" s="272" t="str">
        <f t="shared" si="66"/>
        <v/>
      </c>
      <c r="AB917" s="274" t="str">
        <f>IF(AND(OR($A917="G",$A917="P"),NOT($O917="{array}")),IF(VLOOKUP($K917,base!$B$2:$D$20,3,0)="S",IF(OR($O917="",ISTEXT($O917)),"","STRING!"),IF(VLOOKUP($K917,base!$B$2:$D$20,3,0)="","",IF(ISTEXT($O917),"NUMERIC!",""))),"")</f>
        <v/>
      </c>
      <c r="AC917" s="275" t="str">
        <f>IF($AA917="","",IF($B917="I",VLOOKUP($AA917,#REF!,53,0),INDEX(VALUES!$B$1:$GP$1,1,$AA917)))</f>
        <v/>
      </c>
    </row>
    <row r="918" spans="1:29" hidden="1" outlineLevel="1">
      <c r="A918" s="21" t="s">
        <v>87</v>
      </c>
      <c r="B918" s="40" t="str">
        <f t="shared" si="64"/>
        <v/>
      </c>
      <c r="C918" s="41">
        <f t="shared" si="60"/>
        <v>917</v>
      </c>
      <c r="D918" s="260"/>
      <c r="E918" s="37"/>
      <c r="F918" s="305"/>
      <c r="G918" s="188"/>
      <c r="H918" s="37"/>
      <c r="I918" s="37"/>
      <c r="J918" s="37"/>
      <c r="K918" s="163" t="s">
        <v>20</v>
      </c>
      <c r="L918" s="164" t="s">
        <v>23</v>
      </c>
      <c r="M918" s="163" t="s">
        <v>1170</v>
      </c>
      <c r="N918" s="163" t="s">
        <v>298</v>
      </c>
      <c r="O918" s="163" t="s">
        <v>1171</v>
      </c>
      <c r="P918" s="157" t="s">
        <v>298</v>
      </c>
      <c r="Q918" s="168" t="s">
        <v>9</v>
      </c>
      <c r="R918" s="168" t="s">
        <v>105</v>
      </c>
      <c r="S918" s="168" t="s">
        <v>114</v>
      </c>
      <c r="T918" s="163" t="s">
        <v>298</v>
      </c>
      <c r="U918" s="163" t="s">
        <v>298</v>
      </c>
      <c r="V918" s="163" t="s">
        <v>1172</v>
      </c>
      <c r="W918" s="14" t="str">
        <f>IF(IFERROR(VLOOKUP($M918,'IMPORT GS-Tür OL FL 2S2 20'!$H$2:$H$847,1,0),"-")="-","","GS")</f>
        <v/>
      </c>
      <c r="X918" s="14" t="str">
        <f t="shared" si="63"/>
        <v/>
      </c>
      <c r="Y918" s="163" t="s">
        <v>1173</v>
      </c>
      <c r="Z918" s="58" t="str">
        <f>IF(OR($M918="",NOT($O918="{array}")),"",IFERROR(MATCH(PARAMETERS!$M918,DEFAULT!$B$5:$CI$5,0),""))</f>
        <v/>
      </c>
      <c r="AA918" s="55" t="str">
        <f t="shared" si="66"/>
        <v/>
      </c>
      <c r="AB918" s="62" t="str">
        <f>IF(AND(OR($A918="G",$A918="P"),NOT($O918="{array}")),IF(VLOOKUP($K918,base!$B$2:$D$20,3,0)="S",IF(OR($O918="",ISTEXT($O918)),"","STRING!"),IF(VLOOKUP($K918,base!$B$2:$D$20,3,0)="","",IF(ISTEXT($O918),"NUMERIC!",""))),"")</f>
        <v/>
      </c>
      <c r="AC918" s="16" t="str">
        <f>IF($AA918="","",IF($B918="I",VLOOKUP($AA918,#REF!,53,0),INDEX(VALUES!$B$1:$GP$1,1,$AA918)))</f>
        <v/>
      </c>
    </row>
    <row r="919" spans="1:29" hidden="1" outlineLevel="1">
      <c r="A919" s="21" t="s">
        <v>87</v>
      </c>
      <c r="B919" s="40" t="str">
        <f t="shared" si="64"/>
        <v/>
      </c>
      <c r="C919" s="41">
        <f t="shared" si="60"/>
        <v>918</v>
      </c>
      <c r="D919" s="260"/>
      <c r="E919" s="37"/>
      <c r="F919" s="305"/>
      <c r="G919" s="188"/>
      <c r="H919" s="37"/>
      <c r="I919" s="37"/>
      <c r="J919" s="37"/>
      <c r="K919" s="163" t="s">
        <v>20</v>
      </c>
      <c r="L919" s="164" t="s">
        <v>23</v>
      </c>
      <c r="M919" s="163" t="s">
        <v>1174</v>
      </c>
      <c r="N919" s="163" t="s">
        <v>298</v>
      </c>
      <c r="O919" s="163" t="s">
        <v>298</v>
      </c>
      <c r="P919" s="157" t="s">
        <v>298</v>
      </c>
      <c r="Q919" s="168" t="s">
        <v>9</v>
      </c>
      <c r="R919" s="168" t="s">
        <v>105</v>
      </c>
      <c r="S919" s="168" t="s">
        <v>114</v>
      </c>
      <c r="T919" s="163" t="s">
        <v>298</v>
      </c>
      <c r="U919" s="163" t="s">
        <v>298</v>
      </c>
      <c r="V919" s="163" t="s">
        <v>1175</v>
      </c>
      <c r="W919" s="14" t="str">
        <f>IF(IFERROR(VLOOKUP($M919,'IMPORT GS-Tür OL FL 2S2 20'!$H$2:$H$847,1,0),"-")="-","","GS")</f>
        <v/>
      </c>
      <c r="X919" s="14" t="str">
        <f t="shared" si="63"/>
        <v/>
      </c>
      <c r="Y919" s="163" t="s">
        <v>1176</v>
      </c>
      <c r="Z919" s="58" t="str">
        <f>IF(OR($M919="",NOT($O919="{array}")),"",IFERROR(MATCH(PARAMETERS!$M919,DEFAULT!$B$5:$CI$5,0),""))</f>
        <v/>
      </c>
      <c r="AA919" s="55" t="str">
        <f t="shared" si="66"/>
        <v/>
      </c>
      <c r="AB919" s="62" t="str">
        <f>IF(AND(OR($A919="G",$A919="P"),NOT($O919="{array}")),IF(VLOOKUP($K919,base!$B$2:$D$20,3,0)="S",IF(OR($O919="",ISTEXT($O919)),"","STRING!"),IF(VLOOKUP($K919,base!$B$2:$D$20,3,0)="","",IF(ISTEXT($O919),"NUMERIC!",""))),"")</f>
        <v/>
      </c>
      <c r="AC919" s="16" t="str">
        <f>IF($AA919="","",IF($B919="I",VLOOKUP($AA919,#REF!,53,0),INDEX(VALUES!$B$1:$GP$1,1,$AA919)))</f>
        <v/>
      </c>
    </row>
    <row r="920" spans="1:29" hidden="1" outlineLevel="1">
      <c r="A920" s="21" t="s">
        <v>87</v>
      </c>
      <c r="B920" s="40" t="str">
        <f t="shared" si="64"/>
        <v/>
      </c>
      <c r="C920" s="41">
        <f t="shared" si="60"/>
        <v>919</v>
      </c>
      <c r="D920" s="260"/>
      <c r="E920" s="37"/>
      <c r="F920" s="305"/>
      <c r="G920" s="188"/>
      <c r="H920" s="37"/>
      <c r="I920" s="37"/>
      <c r="J920" s="37"/>
      <c r="K920" s="163" t="s">
        <v>20</v>
      </c>
      <c r="L920" s="164" t="s">
        <v>23</v>
      </c>
      <c r="M920" s="163" t="s">
        <v>1177</v>
      </c>
      <c r="N920" s="163" t="s">
        <v>298</v>
      </c>
      <c r="O920" s="163" t="s">
        <v>298</v>
      </c>
      <c r="P920" s="157" t="s">
        <v>298</v>
      </c>
      <c r="Q920" s="168" t="s">
        <v>9</v>
      </c>
      <c r="R920" s="168" t="s">
        <v>105</v>
      </c>
      <c r="S920" s="168" t="s">
        <v>114</v>
      </c>
      <c r="T920" s="163" t="s">
        <v>298</v>
      </c>
      <c r="U920" s="163" t="s">
        <v>298</v>
      </c>
      <c r="V920" s="163" t="s">
        <v>1178</v>
      </c>
      <c r="W920" s="14" t="str">
        <f>IF(IFERROR(VLOOKUP($M920,'IMPORT GS-Tür OL FL 2S2 20'!$H$2:$H$847,1,0),"-")="-","","GS")</f>
        <v/>
      </c>
      <c r="X920" s="14" t="str">
        <f t="shared" si="63"/>
        <v/>
      </c>
      <c r="Y920" s="163" t="s">
        <v>1179</v>
      </c>
      <c r="Z920" s="58" t="str">
        <f>IF(OR($M920="",NOT($O920="{array}")),"",IFERROR(MATCH(PARAMETERS!$M920,DEFAULT!$B$5:$CI$5,0),""))</f>
        <v/>
      </c>
      <c r="AA920" s="55" t="str">
        <f t="shared" si="66"/>
        <v/>
      </c>
      <c r="AB920" s="62" t="str">
        <f>IF(AND(OR($A920="G",$A920="P"),NOT($O920="{array}")),IF(VLOOKUP($K920,base!$B$2:$D$20,3,0)="S",IF(OR($O920="",ISTEXT($O920)),"","STRING!"),IF(VLOOKUP($K920,base!$B$2:$D$20,3,0)="","",IF(ISTEXT($O920),"NUMERIC!",""))),"")</f>
        <v/>
      </c>
      <c r="AC920" s="16" t="str">
        <f>IF($AA920="","",IF($B920="I",VLOOKUP($AA920,#REF!,53,0),INDEX(VALUES!$B$1:$GP$1,1,$AA920)))</f>
        <v/>
      </c>
    </row>
    <row r="921" spans="1:29" hidden="1" outlineLevel="1">
      <c r="A921" s="21" t="s">
        <v>87</v>
      </c>
      <c r="B921" s="40" t="str">
        <f t="shared" si="64"/>
        <v/>
      </c>
      <c r="C921" s="41">
        <f t="shared" si="60"/>
        <v>920</v>
      </c>
      <c r="D921" s="260"/>
      <c r="E921" s="37"/>
      <c r="F921" s="305"/>
      <c r="G921" s="188"/>
      <c r="H921" s="37"/>
      <c r="I921" s="37"/>
      <c r="J921" s="37"/>
      <c r="K921" s="163" t="s">
        <v>20</v>
      </c>
      <c r="L921" s="164" t="s">
        <v>23</v>
      </c>
      <c r="M921" s="163" t="s">
        <v>1180</v>
      </c>
      <c r="N921" s="163" t="s">
        <v>298</v>
      </c>
      <c r="O921" s="163" t="s">
        <v>298</v>
      </c>
      <c r="P921" s="157" t="s">
        <v>298</v>
      </c>
      <c r="Q921" s="168" t="s">
        <v>9</v>
      </c>
      <c r="R921" s="168" t="s">
        <v>105</v>
      </c>
      <c r="S921" s="168" t="s">
        <v>114</v>
      </c>
      <c r="T921" s="163" t="s">
        <v>298</v>
      </c>
      <c r="U921" s="163" t="s">
        <v>298</v>
      </c>
      <c r="V921" s="163" t="s">
        <v>1181</v>
      </c>
      <c r="W921" s="14" t="str">
        <f>IF(IFERROR(VLOOKUP($M921,'IMPORT GS-Tür OL FL 2S2 20'!$H$2:$H$847,1,0),"-")="-","","GS")</f>
        <v/>
      </c>
      <c r="X921" s="14" t="str">
        <f t="shared" ref="X921:X1024" si="67">IF($A921="G",IF(IFERROR(VLOOKUP($M921,Reimport,1,0),"-")="-","&gt;&lt;",IF($O921=VLOOKUP($M921,Reimport,2,0),"...",VLOOKUP($M921,Reimport,2,0))),"")</f>
        <v/>
      </c>
      <c r="Y921" s="163" t="s">
        <v>1182</v>
      </c>
      <c r="Z921" s="58" t="str">
        <f>IF(OR($M921="",NOT($O921="{array}")),"",IFERROR(MATCH(PARAMETERS!$M921,DEFAULT!$B$5:$CI$5,0),""))</f>
        <v/>
      </c>
      <c r="AA921" s="55" t="str">
        <f t="shared" si="66"/>
        <v/>
      </c>
      <c r="AB921" s="62" t="str">
        <f>IF(AND(OR($A921="G",$A921="P"),NOT($O921="{array}")),IF(VLOOKUP($K921,base!$B$2:$D$20,3,0)="S",IF(OR($O921="",ISTEXT($O921)),"","STRING!"),IF(VLOOKUP($K921,base!$B$2:$D$20,3,0)="","",IF(ISTEXT($O921),"NUMERIC!",""))),"")</f>
        <v/>
      </c>
      <c r="AC921" s="16" t="str">
        <f>IF($AA921="","",IF($B921="I",VLOOKUP($AA921,#REF!,53,0),INDEX(VALUES!$B$1:$GP$1,1,$AA921)))</f>
        <v/>
      </c>
    </row>
    <row r="922" spans="1:29" hidden="1" outlineLevel="1">
      <c r="A922" s="21" t="s">
        <v>87</v>
      </c>
      <c r="B922" s="40" t="str">
        <f t="shared" si="64"/>
        <v/>
      </c>
      <c r="C922" s="41">
        <f t="shared" si="60"/>
        <v>921</v>
      </c>
      <c r="D922" s="260"/>
      <c r="E922" s="37"/>
      <c r="F922" s="305"/>
      <c r="G922" s="188"/>
      <c r="H922" s="37"/>
      <c r="I922" s="37"/>
      <c r="J922" s="37"/>
      <c r="K922" s="163" t="s">
        <v>20</v>
      </c>
      <c r="L922" s="164" t="s">
        <v>23</v>
      </c>
      <c r="M922" s="163" t="s">
        <v>1183</v>
      </c>
      <c r="N922" s="163" t="s">
        <v>298</v>
      </c>
      <c r="O922" s="163" t="s">
        <v>298</v>
      </c>
      <c r="P922" s="157" t="s">
        <v>298</v>
      </c>
      <c r="Q922" s="168" t="s">
        <v>9</v>
      </c>
      <c r="R922" s="168" t="s">
        <v>105</v>
      </c>
      <c r="S922" s="168" t="s">
        <v>114</v>
      </c>
      <c r="T922" s="163" t="s">
        <v>298</v>
      </c>
      <c r="U922" s="163" t="s">
        <v>298</v>
      </c>
      <c r="V922" s="163" t="s">
        <v>1184</v>
      </c>
      <c r="W922" s="14" t="str">
        <f>IF(IFERROR(VLOOKUP($M922,'IMPORT GS-Tür OL FL 2S2 20'!$H$2:$H$847,1,0),"-")="-","","GS")</f>
        <v/>
      </c>
      <c r="X922" s="14" t="str">
        <f t="shared" si="67"/>
        <v/>
      </c>
      <c r="Y922" s="163" t="s">
        <v>1185</v>
      </c>
      <c r="Z922" s="58" t="str">
        <f>IF(OR($M922="",NOT($O922="{array}")),"",IFERROR(MATCH(PARAMETERS!$M922,DEFAULT!$B$5:$CI$5,0),""))</f>
        <v/>
      </c>
      <c r="AA922" s="55" t="str">
        <f t="shared" si="66"/>
        <v/>
      </c>
      <c r="AB922" s="62" t="str">
        <f>IF(AND(OR($A922="G",$A922="P"),NOT($O922="{array}")),IF(VLOOKUP($K922,base!$B$2:$D$20,3,0)="S",IF(OR($O922="",ISTEXT($O922)),"","STRING!"),IF(VLOOKUP($K922,base!$B$2:$D$20,3,0)="","",IF(ISTEXT($O922),"NUMERIC!",""))),"")</f>
        <v/>
      </c>
      <c r="AC922" s="16" t="str">
        <f>IF($AA922="","",IF($B922="I",VLOOKUP($AA922,#REF!,53,0),INDEX(VALUES!$B$1:$GP$1,1,$AA922)))</f>
        <v/>
      </c>
    </row>
    <row r="923" spans="1:29" s="276" customFormat="1" hidden="1" outlineLevel="1">
      <c r="A923" s="297"/>
      <c r="B923" s="264" t="str">
        <f t="shared" ref="B923:B1006" si="68">IF($A923="P",IF(NOT($Z923=""),"A",IF(NOT($AA923=""),"I","")),IF(NOT($AA923=""),IF($A923="G","V","X"),IF(NOT($Z923=""),"A","")))</f>
        <v/>
      </c>
      <c r="C923" s="298">
        <f t="shared" si="60"/>
        <v>922</v>
      </c>
      <c r="D923" s="270"/>
      <c r="E923" s="270"/>
      <c r="F923" s="306"/>
      <c r="G923" s="309"/>
      <c r="H923" s="270"/>
      <c r="I923" s="270"/>
      <c r="J923" s="270"/>
      <c r="K923" s="277" t="s">
        <v>20</v>
      </c>
      <c r="L923" s="277" t="s">
        <v>23</v>
      </c>
      <c r="M923" s="277" t="s">
        <v>1186</v>
      </c>
      <c r="N923" s="277" t="s">
        <v>298</v>
      </c>
      <c r="O923" s="277" t="s">
        <v>298</v>
      </c>
      <c r="P923" s="287" t="s">
        <v>298</v>
      </c>
      <c r="Q923" s="280" t="s">
        <v>9</v>
      </c>
      <c r="R923" s="280" t="s">
        <v>105</v>
      </c>
      <c r="S923" s="280" t="s">
        <v>114</v>
      </c>
      <c r="T923" s="277" t="s">
        <v>298</v>
      </c>
      <c r="U923" s="277" t="s">
        <v>298</v>
      </c>
      <c r="V923" s="277" t="s">
        <v>1186</v>
      </c>
      <c r="W923" s="271" t="str">
        <f>IF(IFERROR(VLOOKUP($M923,'IMPORT GS-Tür OL FL 2S2 20'!$H$2:$H$847,1,0),"-")="-","","GS")</f>
        <v/>
      </c>
      <c r="X923" s="272" t="str">
        <f t="shared" si="67"/>
        <v/>
      </c>
      <c r="Y923" s="277" t="s">
        <v>1187</v>
      </c>
      <c r="Z923" s="273" t="str">
        <f>IF(OR($M923="",NOT($O923="{array}")),"",IFERROR(MATCH(PARAMETERS!$M923,DEFAULT!$B$5:$CI$5,0),""))</f>
        <v/>
      </c>
      <c r="AA923" s="272" t="str">
        <f t="shared" si="66"/>
        <v/>
      </c>
      <c r="AB923" s="274" t="str">
        <f>IF(AND(OR($A923="G",$A923="P"),NOT($O923="{array}")),IF(VLOOKUP($K923,base!$B$2:$D$20,3,0)="S",IF(OR($O923="",ISTEXT($O923)),"","STRING!"),IF(VLOOKUP($K923,base!$B$2:$D$20,3,0)="","",IF(ISTEXT($O923),"NUMERIC!",""))),"")</f>
        <v/>
      </c>
      <c r="AC923" s="275" t="str">
        <f>IF($AA923="","",IF($B923="I",VLOOKUP($AA923,#REF!,53,0),INDEX(VALUES!$B$1:$GP$1,1,$AA923)))</f>
        <v/>
      </c>
    </row>
    <row r="924" spans="1:29" s="276" customFormat="1" hidden="1" outlineLevel="1">
      <c r="A924" s="297"/>
      <c r="B924" s="264" t="str">
        <f t="shared" si="68"/>
        <v/>
      </c>
      <c r="C924" s="298">
        <f t="shared" ref="C924:C1009" si="69">(ROW()-1)</f>
        <v>923</v>
      </c>
      <c r="D924" s="270"/>
      <c r="E924" s="270"/>
      <c r="F924" s="306"/>
      <c r="G924" s="309"/>
      <c r="H924" s="270"/>
      <c r="I924" s="270"/>
      <c r="J924" s="270"/>
      <c r="K924" s="277" t="s">
        <v>298</v>
      </c>
      <c r="L924" s="277" t="s">
        <v>23</v>
      </c>
      <c r="M924" s="277" t="s">
        <v>1188</v>
      </c>
      <c r="N924" s="277" t="s">
        <v>298</v>
      </c>
      <c r="O924" s="277" t="s">
        <v>298</v>
      </c>
      <c r="P924" s="287" t="s">
        <v>298</v>
      </c>
      <c r="Q924" s="280" t="s">
        <v>9</v>
      </c>
      <c r="R924" s="280" t="s">
        <v>105</v>
      </c>
      <c r="S924" s="280" t="s">
        <v>114</v>
      </c>
      <c r="T924" s="277" t="s">
        <v>298</v>
      </c>
      <c r="U924" s="277" t="s">
        <v>298</v>
      </c>
      <c r="V924" s="277" t="s">
        <v>1188</v>
      </c>
      <c r="W924" s="271" t="str">
        <f>IF(IFERROR(VLOOKUP($M924,'IMPORT GS-Tür OL FL 2S2 20'!$H$2:$H$847,1,0),"-")="-","","GS")</f>
        <v/>
      </c>
      <c r="X924" s="272" t="str">
        <f t="shared" si="67"/>
        <v/>
      </c>
      <c r="Y924" s="277" t="s">
        <v>298</v>
      </c>
      <c r="Z924" s="273" t="str">
        <f>IF(OR($M924="",NOT($O924="{array}")),"",IFERROR(MATCH(PARAMETERS!$M924,DEFAULT!$B$5:$CI$5,0),""))</f>
        <v/>
      </c>
      <c r="AA924" s="272" t="str">
        <f t="shared" si="66"/>
        <v/>
      </c>
      <c r="AB924" s="274" t="str">
        <f>IF(AND(OR($A924="G",$A924="P"),NOT($O924="{array}")),IF(VLOOKUP($K924,base!$B$2:$D$20,3,0)="S",IF(OR($O924="",ISTEXT($O924)),"","STRING!"),IF(VLOOKUP($K924,base!$B$2:$D$20,3,0)="","",IF(ISTEXT($O924),"NUMERIC!",""))),"")</f>
        <v/>
      </c>
      <c r="AC924" s="275" t="str">
        <f>IF($AA924="","",IF($B924="I",VLOOKUP($AA924,#REF!,53,0),INDEX(VALUES!$B$1:$GP$1,1,$AA924)))</f>
        <v/>
      </c>
    </row>
    <row r="925" spans="1:29" s="276" customFormat="1" hidden="1" outlineLevel="1">
      <c r="A925" s="297"/>
      <c r="B925" s="264" t="str">
        <f t="shared" si="68"/>
        <v/>
      </c>
      <c r="C925" s="298">
        <f t="shared" si="69"/>
        <v>924</v>
      </c>
      <c r="D925" s="270"/>
      <c r="E925" s="270"/>
      <c r="F925" s="306"/>
      <c r="G925" s="309"/>
      <c r="H925" s="270"/>
      <c r="I925" s="270"/>
      <c r="J925" s="270"/>
      <c r="K925" s="277" t="s">
        <v>298</v>
      </c>
      <c r="L925" s="277" t="s">
        <v>23</v>
      </c>
      <c r="M925" s="277" t="s">
        <v>1189</v>
      </c>
      <c r="N925" s="277" t="s">
        <v>298</v>
      </c>
      <c r="O925" s="277" t="s">
        <v>298</v>
      </c>
      <c r="P925" s="287" t="s">
        <v>298</v>
      </c>
      <c r="Q925" s="280" t="s">
        <v>9</v>
      </c>
      <c r="R925" s="280" t="s">
        <v>105</v>
      </c>
      <c r="S925" s="280" t="s">
        <v>114</v>
      </c>
      <c r="T925" s="277" t="s">
        <v>298</v>
      </c>
      <c r="U925" s="277" t="s">
        <v>298</v>
      </c>
      <c r="V925" s="277" t="s">
        <v>1189</v>
      </c>
      <c r="W925" s="271" t="str">
        <f>IF(IFERROR(VLOOKUP($M925,'IMPORT GS-Tür OL FL 2S2 20'!$H$2:$H$847,1,0),"-")="-","","GS")</f>
        <v/>
      </c>
      <c r="X925" s="272" t="str">
        <f t="shared" si="67"/>
        <v/>
      </c>
      <c r="Y925" s="277" t="s">
        <v>298</v>
      </c>
      <c r="Z925" s="273" t="str">
        <f>IF(OR($M925="",NOT($O925="{array}")),"",IFERROR(MATCH(PARAMETERS!$M925,DEFAULT!$B$5:$CI$5,0),""))</f>
        <v/>
      </c>
      <c r="AA925" s="272" t="str">
        <f t="shared" si="66"/>
        <v/>
      </c>
      <c r="AB925" s="274" t="str">
        <f>IF(AND(OR($A925="G",$A925="P"),NOT($O925="{array}")),IF(VLOOKUP($K925,base!$B$2:$D$20,3,0)="S",IF(OR($O925="",ISTEXT($O925)),"","STRING!"),IF(VLOOKUP($K925,base!$B$2:$D$20,3,0)="","",IF(ISTEXT($O925),"NUMERIC!",""))),"")</f>
        <v/>
      </c>
      <c r="AC925" s="275" t="str">
        <f>IF($AA925="","",IF($B925="I",VLOOKUP($AA925,#REF!,53,0),INDEX(VALUES!$B$1:$GP$1,1,$AA925)))</f>
        <v/>
      </c>
    </row>
    <row r="926" spans="1:29" s="276" customFormat="1" hidden="1" outlineLevel="1">
      <c r="A926" s="297"/>
      <c r="B926" s="264" t="str">
        <f t="shared" si="68"/>
        <v/>
      </c>
      <c r="C926" s="298">
        <f t="shared" si="69"/>
        <v>925</v>
      </c>
      <c r="D926" s="270"/>
      <c r="E926" s="270"/>
      <c r="F926" s="306"/>
      <c r="G926" s="309"/>
      <c r="H926" s="270"/>
      <c r="I926" s="270"/>
      <c r="J926" s="270"/>
      <c r="K926" s="277" t="s">
        <v>298</v>
      </c>
      <c r="L926" s="277" t="s">
        <v>23</v>
      </c>
      <c r="M926" s="277" t="s">
        <v>1190</v>
      </c>
      <c r="N926" s="277" t="s">
        <v>298</v>
      </c>
      <c r="O926" s="277" t="s">
        <v>298</v>
      </c>
      <c r="P926" s="287" t="s">
        <v>298</v>
      </c>
      <c r="Q926" s="280" t="s">
        <v>9</v>
      </c>
      <c r="R926" s="280" t="s">
        <v>105</v>
      </c>
      <c r="S926" s="280" t="s">
        <v>114</v>
      </c>
      <c r="T926" s="277" t="s">
        <v>298</v>
      </c>
      <c r="U926" s="277" t="s">
        <v>298</v>
      </c>
      <c r="V926" s="277" t="s">
        <v>1190</v>
      </c>
      <c r="W926" s="271" t="str">
        <f>IF(IFERROR(VLOOKUP($M926,'IMPORT GS-Tür OL FL 2S2 20'!$H$2:$H$847,1,0),"-")="-","","GS")</f>
        <v/>
      </c>
      <c r="X926" s="272" t="str">
        <f t="shared" si="67"/>
        <v/>
      </c>
      <c r="Y926" s="277" t="s">
        <v>298</v>
      </c>
      <c r="Z926" s="273" t="str">
        <f>IF(OR($M926="",NOT($O926="{array}")),"",IFERROR(MATCH(PARAMETERS!$M926,DEFAULT!$B$5:$CI$5,0),""))</f>
        <v/>
      </c>
      <c r="AA926" s="272" t="str">
        <f t="shared" si="66"/>
        <v/>
      </c>
      <c r="AB926" s="274" t="str">
        <f>IF(AND(OR($A926="G",$A926="P"),NOT($O926="{array}")),IF(VLOOKUP($K926,base!$B$2:$D$20,3,0)="S",IF(OR($O926="",ISTEXT($O926)),"","STRING!"),IF(VLOOKUP($K926,base!$B$2:$D$20,3,0)="","",IF(ISTEXT($O926),"NUMERIC!",""))),"")</f>
        <v/>
      </c>
      <c r="AC926" s="275" t="str">
        <f>IF($AA926="","",IF($B926="I",VLOOKUP($AA926,#REF!,53,0),INDEX(VALUES!$B$1:$GP$1,1,$AA926)))</f>
        <v/>
      </c>
    </row>
    <row r="927" spans="1:29" s="276" customFormat="1" hidden="1" outlineLevel="1">
      <c r="A927" s="297"/>
      <c r="B927" s="264" t="str">
        <f t="shared" si="68"/>
        <v/>
      </c>
      <c r="C927" s="298">
        <f t="shared" si="69"/>
        <v>926</v>
      </c>
      <c r="D927" s="270"/>
      <c r="E927" s="270"/>
      <c r="F927" s="306"/>
      <c r="G927" s="309"/>
      <c r="H927" s="270"/>
      <c r="I927" s="270"/>
      <c r="J927" s="270"/>
      <c r="K927" s="277" t="s">
        <v>298</v>
      </c>
      <c r="L927" s="277" t="s">
        <v>23</v>
      </c>
      <c r="M927" s="277" t="s">
        <v>1191</v>
      </c>
      <c r="N927" s="277" t="s">
        <v>298</v>
      </c>
      <c r="O927" s="277" t="s">
        <v>298</v>
      </c>
      <c r="P927" s="287" t="s">
        <v>298</v>
      </c>
      <c r="Q927" s="280" t="s">
        <v>9</v>
      </c>
      <c r="R927" s="280" t="s">
        <v>105</v>
      </c>
      <c r="S927" s="280" t="s">
        <v>114</v>
      </c>
      <c r="T927" s="277" t="s">
        <v>298</v>
      </c>
      <c r="U927" s="277" t="s">
        <v>298</v>
      </c>
      <c r="V927" s="277" t="s">
        <v>1191</v>
      </c>
      <c r="W927" s="271" t="str">
        <f>IF(IFERROR(VLOOKUP($M927,'IMPORT GS-Tür OL FL 2S2 20'!$H$2:$H$847,1,0),"-")="-","","GS")</f>
        <v/>
      </c>
      <c r="X927" s="272" t="str">
        <f t="shared" si="67"/>
        <v/>
      </c>
      <c r="Y927" s="277" t="s">
        <v>298</v>
      </c>
      <c r="Z927" s="273" t="str">
        <f>IF(OR($M927="",NOT($O927="{array}")),"",IFERROR(MATCH(PARAMETERS!$M927,DEFAULT!$B$5:$CI$5,0),""))</f>
        <v/>
      </c>
      <c r="AA927" s="272" t="str">
        <f t="shared" si="66"/>
        <v/>
      </c>
      <c r="AB927" s="274" t="str">
        <f>IF(AND(OR($A927="G",$A927="P"),NOT($O927="{array}")),IF(VLOOKUP($K927,base!$B$2:$D$20,3,0)="S",IF(OR($O927="",ISTEXT($O927)),"","STRING!"),IF(VLOOKUP($K927,base!$B$2:$D$20,3,0)="","",IF(ISTEXT($O927),"NUMERIC!",""))),"")</f>
        <v/>
      </c>
      <c r="AC927" s="275" t="str">
        <f>IF($AA927="","",IF($B927="I",VLOOKUP($AA927,#REF!,53,0),INDEX(VALUES!$B$1:$GP$1,1,$AA927)))</f>
        <v/>
      </c>
    </row>
    <row r="928" spans="1:29" s="276" customFormat="1" hidden="1" outlineLevel="1">
      <c r="A928" s="297"/>
      <c r="B928" s="264" t="str">
        <f t="shared" si="68"/>
        <v/>
      </c>
      <c r="C928" s="298">
        <f t="shared" si="69"/>
        <v>927</v>
      </c>
      <c r="D928" s="270"/>
      <c r="E928" s="270"/>
      <c r="F928" s="306"/>
      <c r="G928" s="309"/>
      <c r="H928" s="270"/>
      <c r="I928" s="270"/>
      <c r="J928" s="270"/>
      <c r="K928" s="277" t="s">
        <v>298</v>
      </c>
      <c r="L928" s="277" t="s">
        <v>23</v>
      </c>
      <c r="M928" s="277" t="s">
        <v>1192</v>
      </c>
      <c r="N928" s="277" t="s">
        <v>298</v>
      </c>
      <c r="O928" s="277" t="s">
        <v>298</v>
      </c>
      <c r="P928" s="287" t="s">
        <v>298</v>
      </c>
      <c r="Q928" s="280" t="s">
        <v>9</v>
      </c>
      <c r="R928" s="280" t="s">
        <v>105</v>
      </c>
      <c r="S928" s="280" t="s">
        <v>114</v>
      </c>
      <c r="T928" s="277" t="s">
        <v>298</v>
      </c>
      <c r="U928" s="277" t="s">
        <v>298</v>
      </c>
      <c r="V928" s="277" t="s">
        <v>1192</v>
      </c>
      <c r="W928" s="271" t="str">
        <f>IF(IFERROR(VLOOKUP($M928,'IMPORT GS-Tür OL FL 2S2 20'!$H$2:$H$847,1,0),"-")="-","","GS")</f>
        <v/>
      </c>
      <c r="X928" s="272" t="str">
        <f t="shared" si="67"/>
        <v/>
      </c>
      <c r="Y928" s="277" t="s">
        <v>298</v>
      </c>
      <c r="Z928" s="273" t="str">
        <f>IF(OR($M928="",NOT($O928="{array}")),"",IFERROR(MATCH(PARAMETERS!$M928,DEFAULT!$B$5:$CI$5,0),""))</f>
        <v/>
      </c>
      <c r="AA928" s="272" t="str">
        <f t="shared" si="66"/>
        <v/>
      </c>
      <c r="AB928" s="274" t="str">
        <f>IF(AND(OR($A928="G",$A928="P"),NOT($O928="{array}")),IF(VLOOKUP($K928,base!$B$2:$D$20,3,0)="S",IF(OR($O928="",ISTEXT($O928)),"","STRING!"),IF(VLOOKUP($K928,base!$B$2:$D$20,3,0)="","",IF(ISTEXT($O928),"NUMERIC!",""))),"")</f>
        <v/>
      </c>
      <c r="AC928" s="275" t="str">
        <f>IF($AA928="","",IF($B928="I",VLOOKUP($AA928,#REF!,53,0),INDEX(VALUES!$B$1:$GP$1,1,$AA928)))</f>
        <v/>
      </c>
    </row>
    <row r="929" spans="1:29" collapsed="1">
      <c r="A929" s="21" t="s">
        <v>86</v>
      </c>
      <c r="B929" s="40" t="str">
        <f t="shared" si="68"/>
        <v/>
      </c>
      <c r="C929" s="41">
        <f t="shared" si="69"/>
        <v>928</v>
      </c>
      <c r="D929" s="260"/>
      <c r="E929" s="37"/>
      <c r="F929" s="305"/>
      <c r="G929" s="188"/>
      <c r="H929" s="37"/>
      <c r="I929" s="37"/>
      <c r="J929" s="37"/>
      <c r="K929" s="230" t="s">
        <v>59</v>
      </c>
      <c r="L929" s="230" t="s">
        <v>40</v>
      </c>
      <c r="M929" s="231" t="s">
        <v>1193</v>
      </c>
      <c r="N929" s="232" t="s">
        <v>1194</v>
      </c>
      <c r="R929" s="37" t="s">
        <v>106</v>
      </c>
      <c r="S929" s="37"/>
      <c r="T929" s="37"/>
      <c r="W929" s="14" t="str">
        <f>IF(IFERROR(VLOOKUP($M929,'IMPORT GS-Tür OL FL 2S2 20'!$H$2:$H$847,1,0),"-")="-","","GS")</f>
        <v/>
      </c>
      <c r="X929" s="14" t="str">
        <f t="shared" si="67"/>
        <v>...</v>
      </c>
      <c r="Z929" s="58" t="str">
        <f>IF(OR($M929="",NOT($O929="{array}")),"",IFERROR(MATCH(PARAMETERS!$M929,DEFAULT!$B$5:$CI$5,0),""))</f>
        <v/>
      </c>
      <c r="AA929" s="55" t="str">
        <f t="shared" si="66"/>
        <v/>
      </c>
      <c r="AB929" s="62" t="str">
        <f>IF(AND(OR($A929="G",$A929="P"),NOT($O929="{array}")),IF(VLOOKUP($K929,base!$B$2:$D$20,3,0)="S",IF(OR($O929="",ISTEXT($O929)),"","STRING!"),IF(VLOOKUP($K929,base!$B$2:$D$20,3,0)="","",IF(ISTEXT($O929),"NUMERIC!",""))),"")</f>
        <v/>
      </c>
      <c r="AC929" s="16" t="str">
        <f>IF($AA929="","",IF($B929="I",VLOOKUP($AA929,#REF!,53,0),INDEX(VALUES!$B$1:$GP$1,1,$AA929)))</f>
        <v/>
      </c>
    </row>
    <row r="930" spans="1:29" hidden="1" outlineLevel="1">
      <c r="A930" s="21" t="s">
        <v>86</v>
      </c>
      <c r="B930" s="40" t="str">
        <f t="shared" si="68"/>
        <v/>
      </c>
      <c r="C930" s="41">
        <f t="shared" si="69"/>
        <v>929</v>
      </c>
      <c r="D930" s="260"/>
      <c r="E930" s="37"/>
      <c r="F930" s="305"/>
      <c r="G930" s="188"/>
      <c r="H930" s="37"/>
      <c r="I930" s="37" t="s">
        <v>9</v>
      </c>
      <c r="J930" s="37"/>
      <c r="K930" s="163" t="s">
        <v>20</v>
      </c>
      <c r="L930" s="164" t="s">
        <v>23</v>
      </c>
      <c r="M930" s="189" t="s">
        <v>1195</v>
      </c>
      <c r="N930" s="160" t="s">
        <v>1074</v>
      </c>
      <c r="O930" s="163" t="s">
        <v>298</v>
      </c>
      <c r="P930" s="157" t="s">
        <v>298</v>
      </c>
      <c r="Q930" s="168" t="s">
        <v>9</v>
      </c>
      <c r="R930" s="168" t="s">
        <v>105</v>
      </c>
      <c r="S930" s="168" t="s">
        <v>114</v>
      </c>
      <c r="T930" s="163" t="s">
        <v>298</v>
      </c>
      <c r="U930" s="163" t="s">
        <v>298</v>
      </c>
      <c r="V930" s="163" t="s">
        <v>1074</v>
      </c>
      <c r="W930" s="14" t="str">
        <f>IF(IFERROR(VLOOKUP($M930,'IMPORT GS-Tür OL FL 2S2 20'!$H$2:$H$847,1,0),"-")="-","","GS")</f>
        <v/>
      </c>
      <c r="X930" s="14" t="str">
        <f t="shared" si="67"/>
        <v>...</v>
      </c>
      <c r="Y930" s="163"/>
      <c r="Z930" s="58" t="str">
        <f>IF(OR($M930="",NOT($O930="{array}")),"",IFERROR(MATCH(PARAMETERS!$M930,DEFAULT!$B$5:$CI$5,0),""))</f>
        <v/>
      </c>
      <c r="AA930" s="55" t="str">
        <f t="shared" si="66"/>
        <v/>
      </c>
      <c r="AB930" s="62" t="str">
        <f>IF(AND(OR($A930="G",$A930="P"),NOT($O930="{array}")),IF(VLOOKUP($K930,base!$B$2:$D$20,3,0)="S",IF(OR($O930="",ISTEXT($O930)),"","STRING!"),IF(VLOOKUP($K930,base!$B$2:$D$20,3,0)="","",IF(ISTEXT($O930),"NUMERIC!",""))),"")</f>
        <v/>
      </c>
      <c r="AC930" s="16" t="str">
        <f>IF($AA930="","",IF($B930="I",VLOOKUP($AA930,#REF!,53,0),INDEX(VALUES!$B$1:$GP$1,1,$AA930)))</f>
        <v/>
      </c>
    </row>
    <row r="931" spans="1:29" hidden="1" outlineLevel="1">
      <c r="A931" s="21" t="s">
        <v>86</v>
      </c>
      <c r="B931" s="40" t="str">
        <f t="shared" si="68"/>
        <v/>
      </c>
      <c r="C931" s="41">
        <f t="shared" si="69"/>
        <v>930</v>
      </c>
      <c r="D931" s="260" t="s">
        <v>9</v>
      </c>
      <c r="E931" s="37"/>
      <c r="F931" s="305"/>
      <c r="G931" s="188"/>
      <c r="H931" s="37"/>
      <c r="I931" s="37" t="s">
        <v>9</v>
      </c>
      <c r="J931" s="37"/>
      <c r="K931" s="163" t="s">
        <v>20</v>
      </c>
      <c r="L931" s="164" t="s">
        <v>34</v>
      </c>
      <c r="M931" s="189" t="s">
        <v>1196</v>
      </c>
      <c r="N931" s="156" t="s">
        <v>1197</v>
      </c>
      <c r="O931" s="160" t="s">
        <v>3681</v>
      </c>
      <c r="P931" s="162" t="s">
        <v>298</v>
      </c>
      <c r="Q931" s="159" t="s">
        <v>9</v>
      </c>
      <c r="R931" s="159" t="s">
        <v>105</v>
      </c>
      <c r="S931" s="159" t="s">
        <v>114</v>
      </c>
      <c r="T931" s="160" t="s">
        <v>298</v>
      </c>
      <c r="U931" s="160" t="s">
        <v>298</v>
      </c>
      <c r="V931" s="160" t="s">
        <v>1199</v>
      </c>
      <c r="W931" s="161" t="str">
        <f>IF(IFERROR(VLOOKUP($M931,'IMPORT GS-Tür OL FL 2S2 20'!$H$2:$H$847,1,0),"-")="-","","GS")</f>
        <v/>
      </c>
      <c r="X931" s="14" t="str">
        <f t="shared" si="67"/>
        <v>...</v>
      </c>
      <c r="Y931" s="160" t="s">
        <v>1200</v>
      </c>
      <c r="Z931" s="58" t="str">
        <f>IF(OR($M931="",NOT($O931="{array}")),"",IFERROR(MATCH(PARAMETERS!$M931,DEFAULT!$B$5:$CI$5,0),""))</f>
        <v/>
      </c>
      <c r="AA931" s="55" t="str">
        <f t="shared" si="66"/>
        <v/>
      </c>
      <c r="AB931" s="62" t="str">
        <f>IF(AND(OR($A931="G",$A931="P"),NOT($O931="{array}")),IF(VLOOKUP($K931,base!$B$2:$D$20,3,0)="S",IF(OR($O931="",ISTEXT($O931)),"","STRING!"),IF(VLOOKUP($K931,base!$B$2:$D$20,3,0)="","",IF(ISTEXT($O931),"NUMERIC!",""))),"")</f>
        <v/>
      </c>
      <c r="AC931" s="16" t="str">
        <f>IF($AA931="","",IF($B931="I",VLOOKUP($AA931,#REF!,53,0),INDEX(VALUES!$B$1:$GP$1,1,$AA931)))</f>
        <v/>
      </c>
    </row>
    <row r="932" spans="1:29" hidden="1" outlineLevel="1">
      <c r="A932" s="21" t="s">
        <v>86</v>
      </c>
      <c r="B932" s="40" t="str">
        <f t="shared" si="68"/>
        <v/>
      </c>
      <c r="C932" s="41">
        <f t="shared" si="69"/>
        <v>931</v>
      </c>
      <c r="D932" s="260"/>
      <c r="E932" s="37"/>
      <c r="F932" s="305"/>
      <c r="G932" s="188"/>
      <c r="H932" s="37"/>
      <c r="I932" s="37" t="s">
        <v>9</v>
      </c>
      <c r="J932" s="37"/>
      <c r="K932" s="163" t="s">
        <v>20</v>
      </c>
      <c r="L932" s="164" t="s">
        <v>23</v>
      </c>
      <c r="M932" s="189" t="s">
        <v>1201</v>
      </c>
      <c r="N932" s="156" t="s">
        <v>1202</v>
      </c>
      <c r="O932" s="156" t="s">
        <v>1085</v>
      </c>
      <c r="P932" s="157" t="s">
        <v>298</v>
      </c>
      <c r="Q932" s="168"/>
      <c r="R932" s="159" t="s">
        <v>105</v>
      </c>
      <c r="S932" s="159" t="s">
        <v>114</v>
      </c>
      <c r="T932" s="160" t="s">
        <v>298</v>
      </c>
      <c r="U932" s="160" t="s">
        <v>298</v>
      </c>
      <c r="V932" s="160" t="s">
        <v>1203</v>
      </c>
      <c r="W932" s="161" t="str">
        <f>IF(IFERROR(VLOOKUP($M932,'IMPORT GS-Tür OL FL 2S2 20'!$H$2:$H$847,1,0),"-")="-","","GS")</f>
        <v/>
      </c>
      <c r="X932" s="14" t="str">
        <f t="shared" si="67"/>
        <v>...</v>
      </c>
      <c r="Y932" s="160"/>
      <c r="Z932" s="58" t="str">
        <f>IF(OR($M932="",NOT($O932="{array}")),"",IFERROR(MATCH(PARAMETERS!$M932,DEFAULT!$B$5:$CI$5,0),""))</f>
        <v/>
      </c>
      <c r="AA932" s="55" t="str">
        <f t="shared" si="66"/>
        <v/>
      </c>
      <c r="AB932" s="62" t="str">
        <f>IF(AND(OR($A932="G",$A932="P"),NOT($O932="{array}")),IF(VLOOKUP($K932,base!$B$2:$D$20,3,0)="S",IF(OR($O932="",ISTEXT($O932)),"","STRING!"),IF(VLOOKUP($K932,base!$B$2:$D$20,3,0)="","",IF(ISTEXT($O932),"NUMERIC!",""))),"")</f>
        <v/>
      </c>
      <c r="AC932" s="16" t="str">
        <f>IF($AA932="","",IF($B932="I",VLOOKUP($AA932,#REF!,53,0),INDEX(VALUES!$B$1:$GP$1,1,$AA932)))</f>
        <v/>
      </c>
    </row>
    <row r="933" spans="1:29" hidden="1" outlineLevel="1">
      <c r="A933" s="21" t="s">
        <v>86</v>
      </c>
      <c r="B933" s="40" t="str">
        <f t="shared" si="68"/>
        <v/>
      </c>
      <c r="C933" s="41">
        <f t="shared" si="69"/>
        <v>932</v>
      </c>
      <c r="D933" s="260" t="s">
        <v>9</v>
      </c>
      <c r="E933" s="37"/>
      <c r="F933" s="305"/>
      <c r="G933" s="188"/>
      <c r="H933" s="37"/>
      <c r="I933" s="37" t="s">
        <v>9</v>
      </c>
      <c r="J933" s="37"/>
      <c r="K933" s="163" t="s">
        <v>20</v>
      </c>
      <c r="L933" s="164" t="s">
        <v>34</v>
      </c>
      <c r="M933" s="189" t="s">
        <v>1204</v>
      </c>
      <c r="N933" s="156" t="s">
        <v>1205</v>
      </c>
      <c r="O933" s="160" t="s">
        <v>1206</v>
      </c>
      <c r="P933" s="162" t="s">
        <v>298</v>
      </c>
      <c r="Q933" s="159" t="s">
        <v>9</v>
      </c>
      <c r="R933" s="159" t="s">
        <v>105</v>
      </c>
      <c r="S933" s="159" t="s">
        <v>114</v>
      </c>
      <c r="T933" s="160" t="s">
        <v>298</v>
      </c>
      <c r="U933" s="160" t="s">
        <v>298</v>
      </c>
      <c r="V933" s="160" t="s">
        <v>1207</v>
      </c>
      <c r="W933" s="161" t="str">
        <f>IF(IFERROR(VLOOKUP($M933,'IMPORT GS-Tür OL FL 2S2 20'!$H$2:$H$847,1,0),"-")="-","","GS")</f>
        <v/>
      </c>
      <c r="X933" s="14" t="str">
        <f t="shared" si="67"/>
        <v>...</v>
      </c>
      <c r="Y933" s="160" t="s">
        <v>1208</v>
      </c>
      <c r="Z933" s="58" t="str">
        <f>IF(OR($M933="",NOT($O933="{array}")),"",IFERROR(MATCH(PARAMETERS!$M933,DEFAULT!$B$5:$CI$5,0),""))</f>
        <v/>
      </c>
      <c r="AA933" s="55" t="str">
        <f t="shared" si="66"/>
        <v/>
      </c>
      <c r="AB933" s="62" t="str">
        <f>IF(AND(OR($A933="G",$A933="P"),NOT($O933="{array}")),IF(VLOOKUP($K933,base!$B$2:$D$20,3,0)="S",IF(OR($O933="",ISTEXT($O933)),"","STRING!"),IF(VLOOKUP($K933,base!$B$2:$D$20,3,0)="","",IF(ISTEXT($O933),"NUMERIC!",""))),"")</f>
        <v/>
      </c>
      <c r="AC933" s="16" t="str">
        <f>IF($AA933="","",IF($B933="I",VLOOKUP($AA933,#REF!,53,0),INDEX(VALUES!$B$1:$GP$1,1,$AA933)))</f>
        <v/>
      </c>
    </row>
    <row r="934" spans="1:29" hidden="1" outlineLevel="1">
      <c r="A934" s="21" t="s">
        <v>86</v>
      </c>
      <c r="B934" s="40" t="str">
        <f t="shared" si="68"/>
        <v/>
      </c>
      <c r="C934" s="41">
        <f t="shared" si="69"/>
        <v>933</v>
      </c>
      <c r="D934" s="260" t="s">
        <v>9</v>
      </c>
      <c r="E934" s="37"/>
      <c r="F934" s="305"/>
      <c r="G934" s="188"/>
      <c r="H934" s="37"/>
      <c r="I934" s="37" t="s">
        <v>9</v>
      </c>
      <c r="J934" s="37"/>
      <c r="K934" s="163" t="s">
        <v>20</v>
      </c>
      <c r="L934" s="164" t="s">
        <v>34</v>
      </c>
      <c r="M934" s="189" t="s">
        <v>1209</v>
      </c>
      <c r="N934" s="160" t="s">
        <v>1210</v>
      </c>
      <c r="O934" s="163" t="s">
        <v>1096</v>
      </c>
      <c r="P934" s="162" t="s">
        <v>298</v>
      </c>
      <c r="Q934" s="159" t="s">
        <v>9</v>
      </c>
      <c r="R934" s="159" t="s">
        <v>105</v>
      </c>
      <c r="S934" s="159" t="s">
        <v>114</v>
      </c>
      <c r="T934" s="160" t="s">
        <v>298</v>
      </c>
      <c r="U934" s="160" t="s">
        <v>298</v>
      </c>
      <c r="V934" s="160" t="s">
        <v>1097</v>
      </c>
      <c r="W934" s="161" t="str">
        <f>IF(IFERROR(VLOOKUP($M934,'IMPORT GS-Tür OL FL 2S2 20'!$H$2:$H$847,1,0),"-")="-","","GS")</f>
        <v/>
      </c>
      <c r="X934" s="14" t="str">
        <f t="shared" si="67"/>
        <v xml:space="preserve"> </v>
      </c>
      <c r="Y934" s="160" t="s">
        <v>1098</v>
      </c>
      <c r="Z934" s="58" t="str">
        <f>IF(OR($M934="",NOT($O934="{array}")),"",IFERROR(MATCH(PARAMETERS!$M934,DEFAULT!$B$5:$CI$5,0),""))</f>
        <v/>
      </c>
      <c r="AA934" s="55" t="str">
        <f t="shared" si="66"/>
        <v/>
      </c>
      <c r="AB934" s="62" t="str">
        <f>IF(AND(OR($A934="G",$A934="P"),NOT($O934="{array}")),IF(VLOOKUP($K934,base!$B$2:$D$20,3,0)="S",IF(OR($O934="",ISTEXT($O934)),"","STRING!"),IF(VLOOKUP($K934,base!$B$2:$D$20,3,0)="","",IF(ISTEXT($O934),"NUMERIC!",""))),"")</f>
        <v/>
      </c>
      <c r="AC934" s="16" t="str">
        <f>IF($AA934="","",IF($B934="I",VLOOKUP($AA934,#REF!,53,0),INDEX(VALUES!$B$1:$GP$1,1,$AA934)))</f>
        <v/>
      </c>
    </row>
    <row r="935" spans="1:29" hidden="1" outlineLevel="1">
      <c r="A935" s="21" t="s">
        <v>86</v>
      </c>
      <c r="B935" s="40" t="str">
        <f t="shared" si="68"/>
        <v/>
      </c>
      <c r="C935" s="41">
        <f t="shared" si="69"/>
        <v>934</v>
      </c>
      <c r="D935" s="260" t="s">
        <v>9</v>
      </c>
      <c r="E935" s="37"/>
      <c r="F935" s="305"/>
      <c r="G935" s="188"/>
      <c r="H935" s="37"/>
      <c r="I935" s="37" t="s">
        <v>9</v>
      </c>
      <c r="J935" s="37"/>
      <c r="K935" s="163" t="s">
        <v>20</v>
      </c>
      <c r="L935" s="164" t="s">
        <v>23</v>
      </c>
      <c r="M935" s="189" t="s">
        <v>1211</v>
      </c>
      <c r="N935" s="160" t="s">
        <v>1212</v>
      </c>
      <c r="O935" s="163" t="s">
        <v>50</v>
      </c>
      <c r="P935" s="162" t="s">
        <v>298</v>
      </c>
      <c r="Q935" s="159" t="s">
        <v>9</v>
      </c>
      <c r="R935" s="159" t="s">
        <v>105</v>
      </c>
      <c r="S935" s="159" t="s">
        <v>114</v>
      </c>
      <c r="T935" s="160" t="s">
        <v>298</v>
      </c>
      <c r="U935" s="160" t="s">
        <v>298</v>
      </c>
      <c r="V935" s="160" t="s">
        <v>1101</v>
      </c>
      <c r="W935" s="161" t="str">
        <f>IF(IFERROR(VLOOKUP($M935,'IMPORT GS-Tür OL FL 2S2 20'!$H$2:$H$847,1,0),"-")="-","","GS")</f>
        <v/>
      </c>
      <c r="X935" s="14" t="str">
        <f t="shared" si="67"/>
        <v xml:space="preserve"> </v>
      </c>
      <c r="Y935" s="160" t="s">
        <v>1102</v>
      </c>
      <c r="Z935" s="58" t="str">
        <f>IF(OR($M935="",NOT($O935="{array}")),"",IFERROR(MATCH(PARAMETERS!$M935,DEFAULT!$B$5:$CI$5,0),""))</f>
        <v/>
      </c>
      <c r="AA935" s="55" t="str">
        <f t="shared" si="66"/>
        <v/>
      </c>
      <c r="AB935" s="62" t="str">
        <f>IF(AND(OR($A935="G",$A935="P"),NOT($O935="{array}")),IF(VLOOKUP($K935,base!$B$2:$D$20,3,0)="S",IF(OR($O935="",ISTEXT($O935)),"","STRING!"),IF(VLOOKUP($K935,base!$B$2:$D$20,3,0)="","",IF(ISTEXT($O935),"NUMERIC!",""))),"")</f>
        <v/>
      </c>
      <c r="AC935" s="16" t="str">
        <f>IF($AA935="","",IF($B935="I",VLOOKUP($AA935,#REF!,53,0),INDEX(VALUES!$B$1:$GP$1,1,$AA935)))</f>
        <v/>
      </c>
    </row>
    <row r="936" spans="1:29" hidden="1" outlineLevel="1">
      <c r="A936" s="21" t="s">
        <v>86</v>
      </c>
      <c r="B936" s="40" t="str">
        <f t="shared" si="68"/>
        <v/>
      </c>
      <c r="C936" s="41">
        <f t="shared" si="69"/>
        <v>935</v>
      </c>
      <c r="D936" s="260" t="s">
        <v>9</v>
      </c>
      <c r="E936" s="37"/>
      <c r="F936" s="305"/>
      <c r="G936" s="188"/>
      <c r="H936" s="37"/>
      <c r="I936" s="37" t="s">
        <v>9</v>
      </c>
      <c r="J936" s="37"/>
      <c r="K936" s="163" t="s">
        <v>20</v>
      </c>
      <c r="L936" s="164" t="s">
        <v>34</v>
      </c>
      <c r="M936" s="189" t="s">
        <v>1213</v>
      </c>
      <c r="N936" s="156" t="s">
        <v>1214</v>
      </c>
      <c r="O936" s="160" t="s">
        <v>3681</v>
      </c>
      <c r="P936" s="162" t="s">
        <v>298</v>
      </c>
      <c r="Q936" s="159" t="s">
        <v>9</v>
      </c>
      <c r="R936" s="159" t="s">
        <v>105</v>
      </c>
      <c r="S936" s="159" t="s">
        <v>114</v>
      </c>
      <c r="T936" s="160" t="s">
        <v>298</v>
      </c>
      <c r="U936" s="160" t="s">
        <v>298</v>
      </c>
      <c r="V936" s="160" t="s">
        <v>1215</v>
      </c>
      <c r="W936" s="161" t="str">
        <f>IF(IFERROR(VLOOKUP($M936,'IMPORT GS-Tür OL FL 2S2 20'!$H$2:$H$847,1,0),"-")="-","","GS")</f>
        <v/>
      </c>
      <c r="X936" s="14" t="str">
        <f t="shared" si="67"/>
        <v>...</v>
      </c>
      <c r="Y936" s="160" t="s">
        <v>1216</v>
      </c>
      <c r="Z936" s="58" t="str">
        <f>IF(OR($M936="",NOT($O936="{array}")),"",IFERROR(MATCH(PARAMETERS!$M936,DEFAULT!$B$5:$CI$5,0),""))</f>
        <v/>
      </c>
      <c r="AA936" s="55" t="str">
        <f t="shared" si="66"/>
        <v/>
      </c>
      <c r="AB936" s="62" t="str">
        <f>IF(AND(OR($A936="G",$A936="P"),NOT($O936="{array}")),IF(VLOOKUP($K936,base!$B$2:$D$20,3,0)="S",IF(OR($O936="",ISTEXT($O936)),"","STRING!"),IF(VLOOKUP($K936,base!$B$2:$D$20,3,0)="","",IF(ISTEXT($O936),"NUMERIC!",""))),"")</f>
        <v/>
      </c>
      <c r="AC936" s="16" t="str">
        <f>IF($AA936="","",IF($B936="I",VLOOKUP($AA936,#REF!,53,0),INDEX(VALUES!$B$1:$GP$1,1,$AA936)))</f>
        <v/>
      </c>
    </row>
    <row r="937" spans="1:29" hidden="1" outlineLevel="1">
      <c r="A937" s="21" t="s">
        <v>86</v>
      </c>
      <c r="B937" s="40" t="str">
        <f t="shared" si="68"/>
        <v/>
      </c>
      <c r="C937" s="41">
        <f t="shared" si="69"/>
        <v>936</v>
      </c>
      <c r="D937" s="260"/>
      <c r="E937" s="37"/>
      <c r="F937" s="305"/>
      <c r="G937" s="188"/>
      <c r="H937" s="37"/>
      <c r="I937" s="37" t="s">
        <v>9</v>
      </c>
      <c r="J937" s="37"/>
      <c r="K937" s="163" t="s">
        <v>20</v>
      </c>
      <c r="L937" s="164" t="s">
        <v>23</v>
      </c>
      <c r="M937" s="189" t="s">
        <v>1217</v>
      </c>
      <c r="N937" s="156" t="s">
        <v>1218</v>
      </c>
      <c r="O937" s="156" t="s">
        <v>1085</v>
      </c>
      <c r="P937" s="157" t="s">
        <v>298</v>
      </c>
      <c r="Q937" s="168"/>
      <c r="R937" s="159" t="s">
        <v>105</v>
      </c>
      <c r="S937" s="159" t="s">
        <v>114</v>
      </c>
      <c r="T937" s="160" t="s">
        <v>298</v>
      </c>
      <c r="U937" s="160" t="s">
        <v>298</v>
      </c>
      <c r="V937" s="160" t="s">
        <v>1203</v>
      </c>
      <c r="W937" s="161" t="str">
        <f>IF(IFERROR(VLOOKUP($M937,'IMPORT GS-Tür OL FL 2S2 20'!$H$2:$H$847,1,0),"-")="-","","GS")</f>
        <v/>
      </c>
      <c r="X937" s="14" t="str">
        <f t="shared" si="67"/>
        <v>...</v>
      </c>
      <c r="Y937" s="160"/>
      <c r="Z937" s="58" t="str">
        <f>IF(OR($M937="",NOT($O937="{array}")),"",IFERROR(MATCH(PARAMETERS!$M937,DEFAULT!$B$5:$CI$5,0),""))</f>
        <v/>
      </c>
      <c r="AA937" s="55" t="str">
        <f t="shared" si="66"/>
        <v/>
      </c>
      <c r="AB937" s="62" t="str">
        <f>IF(AND(OR($A937="G",$A937="P"),NOT($O937="{array}")),IF(VLOOKUP($K937,base!$B$2:$D$20,3,0)="S",IF(OR($O937="",ISTEXT($O937)),"","STRING!"),IF(VLOOKUP($K937,base!$B$2:$D$20,3,0)="","",IF(ISTEXT($O937),"NUMERIC!",""))),"")</f>
        <v/>
      </c>
      <c r="AC937" s="16" t="str">
        <f>IF($AA937="","",IF($B937="I",VLOOKUP($AA937,#REF!,53,0),INDEX(VALUES!$B$1:$GP$1,1,$AA937)))</f>
        <v/>
      </c>
    </row>
    <row r="938" spans="1:29" hidden="1" outlineLevel="1">
      <c r="A938" s="21" t="s">
        <v>86</v>
      </c>
      <c r="B938" s="40" t="str">
        <f t="shared" si="68"/>
        <v/>
      </c>
      <c r="C938" s="41">
        <f t="shared" si="69"/>
        <v>937</v>
      </c>
      <c r="D938" s="260" t="s">
        <v>9</v>
      </c>
      <c r="E938" s="37"/>
      <c r="F938" s="305"/>
      <c r="G938" s="188"/>
      <c r="H938" s="37"/>
      <c r="I938" s="37" t="s">
        <v>9</v>
      </c>
      <c r="J938" s="37"/>
      <c r="K938" s="163" t="s">
        <v>20</v>
      </c>
      <c r="L938" s="164" t="s">
        <v>34</v>
      </c>
      <c r="M938" s="189" t="s">
        <v>1219</v>
      </c>
      <c r="N938" s="156" t="s">
        <v>1220</v>
      </c>
      <c r="O938" s="160" t="s">
        <v>1206</v>
      </c>
      <c r="P938" s="162" t="s">
        <v>298</v>
      </c>
      <c r="Q938" s="159" t="s">
        <v>9</v>
      </c>
      <c r="R938" s="159" t="s">
        <v>105</v>
      </c>
      <c r="S938" s="159" t="s">
        <v>114</v>
      </c>
      <c r="T938" s="160" t="s">
        <v>298</v>
      </c>
      <c r="U938" s="160" t="s">
        <v>298</v>
      </c>
      <c r="V938" s="160" t="s">
        <v>1207</v>
      </c>
      <c r="W938" s="161" t="str">
        <f>IF(IFERROR(VLOOKUP($M938,'IMPORT GS-Tür OL FL 2S2 20'!$H$2:$H$847,1,0),"-")="-","","GS")</f>
        <v/>
      </c>
      <c r="X938" s="14" t="str">
        <f t="shared" si="67"/>
        <v>...</v>
      </c>
      <c r="Y938" s="160" t="s">
        <v>1208</v>
      </c>
      <c r="Z938" s="58" t="str">
        <f>IF(OR($M938="",NOT($O938="{array}")),"",IFERROR(MATCH(PARAMETERS!$M938,DEFAULT!$B$5:$CI$5,0),""))</f>
        <v/>
      </c>
      <c r="AA938" s="55" t="str">
        <f t="shared" si="66"/>
        <v/>
      </c>
      <c r="AB938" s="62" t="str">
        <f>IF(AND(OR($A938="G",$A938="P"),NOT($O938="{array}")),IF(VLOOKUP($K938,base!$B$2:$D$20,3,0)="S",IF(OR($O938="",ISTEXT($O938)),"","STRING!"),IF(VLOOKUP($K938,base!$B$2:$D$20,3,0)="","",IF(ISTEXT($O938),"NUMERIC!",""))),"")</f>
        <v/>
      </c>
      <c r="AC938" s="16" t="str">
        <f>IF($AA938="","",IF($B938="I",VLOOKUP($AA938,#REF!,53,0),INDEX(VALUES!$B$1:$GP$1,1,$AA938)))</f>
        <v/>
      </c>
    </row>
    <row r="939" spans="1:29" hidden="1" outlineLevel="1">
      <c r="A939" s="21" t="s">
        <v>86</v>
      </c>
      <c r="B939" s="40" t="str">
        <f t="shared" si="68"/>
        <v/>
      </c>
      <c r="C939" s="41">
        <f t="shared" si="69"/>
        <v>938</v>
      </c>
      <c r="D939" s="260" t="s">
        <v>9</v>
      </c>
      <c r="E939" s="37"/>
      <c r="F939" s="305"/>
      <c r="G939" s="188"/>
      <c r="H939" s="37"/>
      <c r="I939" s="37" t="s">
        <v>9</v>
      </c>
      <c r="J939" s="37"/>
      <c r="K939" s="163" t="s">
        <v>20</v>
      </c>
      <c r="L939" s="164" t="s">
        <v>34</v>
      </c>
      <c r="M939" s="189" t="s">
        <v>1221</v>
      </c>
      <c r="N939" s="160" t="s">
        <v>1222</v>
      </c>
      <c r="O939" s="163" t="s">
        <v>1096</v>
      </c>
      <c r="P939" s="162" t="s">
        <v>298</v>
      </c>
      <c r="Q939" s="159" t="s">
        <v>9</v>
      </c>
      <c r="R939" s="159" t="s">
        <v>105</v>
      </c>
      <c r="S939" s="159" t="s">
        <v>114</v>
      </c>
      <c r="T939" s="160" t="s">
        <v>298</v>
      </c>
      <c r="U939" s="160" t="s">
        <v>298</v>
      </c>
      <c r="V939" s="160" t="s">
        <v>1120</v>
      </c>
      <c r="W939" s="161" t="str">
        <f>IF(IFERROR(VLOOKUP($M939,'IMPORT GS-Tür OL FL 2S2 20'!$H$2:$H$847,1,0),"-")="-","","GS")</f>
        <v/>
      </c>
      <c r="X939" s="14" t="str">
        <f t="shared" si="67"/>
        <v xml:space="preserve"> </v>
      </c>
      <c r="Y939" s="160" t="s">
        <v>1121</v>
      </c>
      <c r="Z939" s="58" t="str">
        <f>IF(OR($M939="",NOT($O939="{array}")),"",IFERROR(MATCH(PARAMETERS!$M939,DEFAULT!$B$5:$CI$5,0),""))</f>
        <v/>
      </c>
      <c r="AA939" s="55" t="str">
        <f t="shared" si="66"/>
        <v/>
      </c>
      <c r="AB939" s="62" t="str">
        <f>IF(AND(OR($A939="G",$A939="P"),NOT($O939="{array}")),IF(VLOOKUP($K939,base!$B$2:$D$20,3,0)="S",IF(OR($O939="",ISTEXT($O939)),"","STRING!"),IF(VLOOKUP($K939,base!$B$2:$D$20,3,0)="","",IF(ISTEXT($O939),"NUMERIC!",""))),"")</f>
        <v/>
      </c>
      <c r="AC939" s="16" t="str">
        <f>IF($AA939="","",IF($B939="I",VLOOKUP($AA939,#REF!,53,0),INDEX(VALUES!$B$1:$GP$1,1,$AA939)))</f>
        <v/>
      </c>
    </row>
    <row r="940" spans="1:29" hidden="1" outlineLevel="1">
      <c r="A940" s="21" t="s">
        <v>86</v>
      </c>
      <c r="B940" s="40" t="str">
        <f t="shared" si="68"/>
        <v/>
      </c>
      <c r="C940" s="41">
        <f t="shared" si="69"/>
        <v>939</v>
      </c>
      <c r="D940" s="260" t="s">
        <v>9</v>
      </c>
      <c r="E940" s="37"/>
      <c r="F940" s="305"/>
      <c r="G940" s="188"/>
      <c r="H940" s="37"/>
      <c r="I940" s="37" t="s">
        <v>9</v>
      </c>
      <c r="J940" s="37"/>
      <c r="K940" s="163" t="s">
        <v>20</v>
      </c>
      <c r="L940" s="164" t="s">
        <v>23</v>
      </c>
      <c r="M940" s="189" t="s">
        <v>1223</v>
      </c>
      <c r="N940" s="160" t="s">
        <v>1224</v>
      </c>
      <c r="O940" s="163" t="s">
        <v>50</v>
      </c>
      <c r="P940" s="162" t="s">
        <v>298</v>
      </c>
      <c r="Q940" s="159" t="s">
        <v>9</v>
      </c>
      <c r="R940" s="159" t="s">
        <v>105</v>
      </c>
      <c r="S940" s="159" t="s">
        <v>114</v>
      </c>
      <c r="T940" s="160" t="s">
        <v>298</v>
      </c>
      <c r="U940" s="160" t="s">
        <v>298</v>
      </c>
      <c r="V940" s="160" t="s">
        <v>1124</v>
      </c>
      <c r="W940" s="161" t="str">
        <f>IF(IFERROR(VLOOKUP($M940,'IMPORT GS-Tür OL FL 2S2 20'!$H$2:$H$847,1,0),"-")="-","","GS")</f>
        <v/>
      </c>
      <c r="X940" s="14" t="str">
        <f t="shared" si="67"/>
        <v xml:space="preserve"> </v>
      </c>
      <c r="Y940" s="160" t="s">
        <v>1125</v>
      </c>
      <c r="Z940" s="58" t="str">
        <f>IF(OR($M940="",NOT($O940="{array}")),"",IFERROR(MATCH(PARAMETERS!$M940,DEFAULT!$B$5:$CI$5,0),""))</f>
        <v/>
      </c>
      <c r="AA940" s="55" t="str">
        <f t="shared" si="66"/>
        <v/>
      </c>
      <c r="AB940" s="62" t="str">
        <f>IF(AND(OR($A940="G",$A940="P"),NOT($O940="{array}")),IF(VLOOKUP($K940,base!$B$2:$D$20,3,0)="S",IF(OR($O940="",ISTEXT($O940)),"","STRING!"),IF(VLOOKUP($K940,base!$B$2:$D$20,3,0)="","",IF(ISTEXT($O940),"NUMERIC!",""))),"")</f>
        <v/>
      </c>
      <c r="AC940" s="16" t="str">
        <f>IF($AA940="","",IF($B940="I",VLOOKUP($AA940,#REF!,53,0),INDEX(VALUES!$B$1:$GP$1,1,$AA940)))</f>
        <v/>
      </c>
    </row>
    <row r="941" spans="1:29" hidden="1" outlineLevel="1">
      <c r="A941" s="21" t="s">
        <v>86</v>
      </c>
      <c r="B941" s="40" t="str">
        <f t="shared" si="68"/>
        <v/>
      </c>
      <c r="C941" s="41">
        <f t="shared" si="69"/>
        <v>940</v>
      </c>
      <c r="D941" s="260" t="s">
        <v>9</v>
      </c>
      <c r="E941" s="37"/>
      <c r="F941" s="305"/>
      <c r="G941" s="188"/>
      <c r="H941" s="37"/>
      <c r="I941" s="37" t="s">
        <v>9</v>
      </c>
      <c r="J941" s="37"/>
      <c r="K941" s="163" t="s">
        <v>20</v>
      </c>
      <c r="L941" s="164" t="s">
        <v>34</v>
      </c>
      <c r="M941" s="189" t="s">
        <v>1225</v>
      </c>
      <c r="N941" s="156" t="s">
        <v>1226</v>
      </c>
      <c r="O941" s="160" t="s">
        <v>3682</v>
      </c>
      <c r="P941" s="162" t="s">
        <v>298</v>
      </c>
      <c r="Q941" s="159" t="s">
        <v>9</v>
      </c>
      <c r="R941" s="159" t="s">
        <v>105</v>
      </c>
      <c r="S941" s="159" t="s">
        <v>114</v>
      </c>
      <c r="T941" s="160" t="s">
        <v>298</v>
      </c>
      <c r="U941" s="160" t="s">
        <v>298</v>
      </c>
      <c r="V941" s="160" t="s">
        <v>1215</v>
      </c>
      <c r="W941" s="161" t="str">
        <f>IF(IFERROR(VLOOKUP($M941,'IMPORT GS-Tür OL FL 2S2 20'!$H$2:$H$847,1,0),"-")="-","","GS")</f>
        <v/>
      </c>
      <c r="X941" s="14" t="str">
        <f t="shared" si="67"/>
        <v>...</v>
      </c>
      <c r="Y941" s="160" t="s">
        <v>1216</v>
      </c>
      <c r="Z941" s="58" t="str">
        <f>IF(OR($M941="",NOT($O941="{array}")),"",IFERROR(MATCH(PARAMETERS!$M941,DEFAULT!$B$5:$CI$5,0),""))</f>
        <v/>
      </c>
      <c r="AA941" s="55" t="str">
        <f t="shared" si="66"/>
        <v/>
      </c>
      <c r="AB941" s="62" t="str">
        <f>IF(AND(OR($A941="G",$A941="P"),NOT($O941="{array}")),IF(VLOOKUP($K941,base!$B$2:$D$20,3,0)="S",IF(OR($O941="",ISTEXT($O941)),"","STRING!"),IF(VLOOKUP($K941,base!$B$2:$D$20,3,0)="","",IF(ISTEXT($O941),"NUMERIC!",""))),"")</f>
        <v/>
      </c>
      <c r="AC941" s="16" t="str">
        <f>IF($AA941="","",IF($B941="I",VLOOKUP($AA941,#REF!,53,0),INDEX(VALUES!$B$1:$GP$1,1,$AA941)))</f>
        <v/>
      </c>
    </row>
    <row r="942" spans="1:29" hidden="1" outlineLevel="1">
      <c r="A942" s="21" t="s">
        <v>86</v>
      </c>
      <c r="B942" s="40" t="str">
        <f t="shared" si="68"/>
        <v/>
      </c>
      <c r="C942" s="41">
        <f t="shared" si="69"/>
        <v>941</v>
      </c>
      <c r="D942" s="260" t="s">
        <v>9</v>
      </c>
      <c r="E942" s="37"/>
      <c r="F942" s="305"/>
      <c r="G942" s="188"/>
      <c r="H942" s="37"/>
      <c r="I942" s="37" t="s">
        <v>9</v>
      </c>
      <c r="J942" s="37"/>
      <c r="K942" s="163" t="s">
        <v>20</v>
      </c>
      <c r="L942" s="164" t="s">
        <v>23</v>
      </c>
      <c r="M942" s="189" t="s">
        <v>1227</v>
      </c>
      <c r="N942" s="156" t="s">
        <v>1228</v>
      </c>
      <c r="O942" s="156" t="s">
        <v>1085</v>
      </c>
      <c r="P942" s="157" t="s">
        <v>298</v>
      </c>
      <c r="Q942" s="168"/>
      <c r="R942" s="159" t="s">
        <v>105</v>
      </c>
      <c r="S942" s="159" t="s">
        <v>114</v>
      </c>
      <c r="T942" s="160" t="s">
        <v>298</v>
      </c>
      <c r="U942" s="160" t="s">
        <v>298</v>
      </c>
      <c r="V942" s="160" t="s">
        <v>1203</v>
      </c>
      <c r="W942" s="161" t="str">
        <f>IF(IFERROR(VLOOKUP($M942,'IMPORT GS-Tür OL FL 2S2 20'!$H$2:$H$847,1,0),"-")="-","","GS")</f>
        <v/>
      </c>
      <c r="X942" s="14" t="str">
        <f t="shared" si="67"/>
        <v>...</v>
      </c>
      <c r="Y942" s="160"/>
      <c r="Z942" s="58" t="str">
        <f>IF(OR($M942="",NOT($O942="{array}")),"",IFERROR(MATCH(PARAMETERS!$M942,DEFAULT!$B$5:$CI$5,0),""))</f>
        <v/>
      </c>
      <c r="AA942" s="55" t="str">
        <f t="shared" si="66"/>
        <v/>
      </c>
      <c r="AB942" s="62" t="str">
        <f>IF(AND(OR($A942="G",$A942="P"),NOT($O942="{array}")),IF(VLOOKUP($K942,base!$B$2:$D$20,3,0)="S",IF(OR($O942="",ISTEXT($O942)),"","STRING!"),IF(VLOOKUP($K942,base!$B$2:$D$20,3,0)="","",IF(ISTEXT($O942),"NUMERIC!",""))),"")</f>
        <v/>
      </c>
      <c r="AC942" s="16" t="str">
        <f>IF($AA942="","",IF($B942="I",VLOOKUP($AA942,#REF!,53,0),INDEX(VALUES!$B$1:$GP$1,1,$AA942)))</f>
        <v/>
      </c>
    </row>
    <row r="943" spans="1:29" hidden="1" outlineLevel="1">
      <c r="A943" s="21" t="s">
        <v>86</v>
      </c>
      <c r="B943" s="40" t="str">
        <f t="shared" si="68"/>
        <v/>
      </c>
      <c r="C943" s="41">
        <f t="shared" si="69"/>
        <v>942</v>
      </c>
      <c r="D943" s="260" t="s">
        <v>9</v>
      </c>
      <c r="E943" s="37"/>
      <c r="F943" s="305"/>
      <c r="G943" s="188"/>
      <c r="H943" s="37"/>
      <c r="I943" s="37" t="s">
        <v>9</v>
      </c>
      <c r="J943" s="37"/>
      <c r="K943" s="163" t="s">
        <v>20</v>
      </c>
      <c r="L943" s="164" t="s">
        <v>23</v>
      </c>
      <c r="M943" s="189" t="s">
        <v>1229</v>
      </c>
      <c r="N943" s="156" t="s">
        <v>1230</v>
      </c>
      <c r="O943" s="160" t="s">
        <v>3192</v>
      </c>
      <c r="P943" s="162" t="s">
        <v>298</v>
      </c>
      <c r="Q943" s="159" t="s">
        <v>9</v>
      </c>
      <c r="R943" s="159" t="s">
        <v>105</v>
      </c>
      <c r="S943" s="159" t="s">
        <v>114</v>
      </c>
      <c r="T943" s="160" t="s">
        <v>298</v>
      </c>
      <c r="U943" s="160" t="s">
        <v>298</v>
      </c>
      <c r="V943" s="160" t="s">
        <v>1207</v>
      </c>
      <c r="W943" s="161" t="str">
        <f>IF(IFERROR(VLOOKUP($M943,'IMPORT GS-Tür OL FL 2S2 20'!$H$2:$H$847,1,0),"-")="-","","GS")</f>
        <v/>
      </c>
      <c r="X943" s="14" t="str">
        <f t="shared" si="67"/>
        <v>...</v>
      </c>
      <c r="Y943" s="160" t="s">
        <v>1208</v>
      </c>
      <c r="Z943" s="58" t="str">
        <f>IF(OR($M943="",NOT($O943="{array}")),"",IFERROR(MATCH(PARAMETERS!$M943,DEFAULT!$B$5:$CI$5,0),""))</f>
        <v/>
      </c>
      <c r="AA943" s="55" t="str">
        <f t="shared" si="66"/>
        <v/>
      </c>
      <c r="AB943" s="62" t="str">
        <f>IF(AND(OR($A943="G",$A943="P"),NOT($O943="{array}")),IF(VLOOKUP($K943,base!$B$2:$D$20,3,0)="S",IF(OR($O943="",ISTEXT($O943)),"","STRING!"),IF(VLOOKUP($K943,base!$B$2:$D$20,3,0)="","",IF(ISTEXT($O943),"NUMERIC!",""))),"")</f>
        <v/>
      </c>
      <c r="AC943" s="16" t="str">
        <f>IF($AA943="","",IF($B943="I",VLOOKUP($AA943,#REF!,53,0),INDEX(VALUES!$B$1:$GP$1,1,$AA943)))</f>
        <v/>
      </c>
    </row>
    <row r="944" spans="1:29" hidden="1" outlineLevel="1">
      <c r="A944" s="21" t="s">
        <v>86</v>
      </c>
      <c r="B944" s="40" t="str">
        <f t="shared" si="68"/>
        <v/>
      </c>
      <c r="C944" s="41">
        <f t="shared" si="69"/>
        <v>943</v>
      </c>
      <c r="D944" s="260" t="s">
        <v>9</v>
      </c>
      <c r="E944" s="37"/>
      <c r="F944" s="305"/>
      <c r="G944" s="188"/>
      <c r="H944" s="37"/>
      <c r="I944" s="37" t="s">
        <v>9</v>
      </c>
      <c r="J944" s="37"/>
      <c r="K944" s="163" t="s">
        <v>20</v>
      </c>
      <c r="L944" s="164" t="s">
        <v>34</v>
      </c>
      <c r="M944" s="189" t="s">
        <v>1231</v>
      </c>
      <c r="N944" s="156" t="s">
        <v>1232</v>
      </c>
      <c r="O944" s="163" t="s">
        <v>1096</v>
      </c>
      <c r="P944" s="172" t="s">
        <v>298</v>
      </c>
      <c r="Q944" s="174" t="s">
        <v>9</v>
      </c>
      <c r="R944" s="174" t="s">
        <v>105</v>
      </c>
      <c r="S944" s="174" t="s">
        <v>114</v>
      </c>
      <c r="T944" s="156" t="s">
        <v>298</v>
      </c>
      <c r="U944" s="156" t="s">
        <v>298</v>
      </c>
      <c r="V944" s="156" t="s">
        <v>1120</v>
      </c>
      <c r="W944" s="191" t="str">
        <f>IF(IFERROR(VLOOKUP($M944,'IMPORT GS-Tür OL FL 2S2 20'!$H$2:$H$847,1,0),"-")="-","","GS")</f>
        <v/>
      </c>
      <c r="X944" s="14" t="str">
        <f t="shared" si="67"/>
        <v xml:space="preserve"> </v>
      </c>
      <c r="Y944" s="156" t="s">
        <v>1121</v>
      </c>
      <c r="Z944" s="58" t="str">
        <f>IF(OR($M944="",NOT($O944="{array}")),"",IFERROR(MATCH(PARAMETERS!$M944,DEFAULT!$B$5:$CI$5,0),""))</f>
        <v/>
      </c>
      <c r="AA944" s="55" t="str">
        <f t="shared" si="66"/>
        <v/>
      </c>
      <c r="AB944" s="62" t="str">
        <f>IF(AND(OR($A944="G",$A944="P"),NOT($O944="{array}")),IF(VLOOKUP($K944,base!$B$2:$D$20,3,0)="S",IF(OR($O944="",ISTEXT($O944)),"","STRING!"),IF(VLOOKUP($K944,base!$B$2:$D$20,3,0)="","",IF(ISTEXT($O944),"NUMERIC!",""))),"")</f>
        <v/>
      </c>
      <c r="AC944" s="16" t="str">
        <f>IF($AA944="","",IF($B944="I",VLOOKUP($AA944,#REF!,53,0),INDEX(VALUES!$B$1:$GP$1,1,$AA944)))</f>
        <v/>
      </c>
    </row>
    <row r="945" spans="1:29" hidden="1" outlineLevel="1">
      <c r="A945" s="21" t="s">
        <v>86</v>
      </c>
      <c r="B945" s="40" t="str">
        <f t="shared" si="68"/>
        <v/>
      </c>
      <c r="C945" s="41">
        <f t="shared" si="69"/>
        <v>944</v>
      </c>
      <c r="D945" s="260" t="s">
        <v>9</v>
      </c>
      <c r="E945" s="37"/>
      <c r="F945" s="305"/>
      <c r="G945" s="188"/>
      <c r="H945" s="37"/>
      <c r="I945" s="37" t="s">
        <v>9</v>
      </c>
      <c r="J945" s="37"/>
      <c r="K945" s="163" t="s">
        <v>20</v>
      </c>
      <c r="L945" s="164" t="s">
        <v>23</v>
      </c>
      <c r="M945" s="189" t="s">
        <v>1233</v>
      </c>
      <c r="N945" s="156" t="s">
        <v>1234</v>
      </c>
      <c r="O945" s="163" t="s">
        <v>50</v>
      </c>
      <c r="P945" s="172" t="s">
        <v>298</v>
      </c>
      <c r="Q945" s="174" t="s">
        <v>9</v>
      </c>
      <c r="R945" s="174" t="s">
        <v>105</v>
      </c>
      <c r="S945" s="174" t="s">
        <v>114</v>
      </c>
      <c r="T945" s="156" t="s">
        <v>298</v>
      </c>
      <c r="U945" s="156" t="s">
        <v>298</v>
      </c>
      <c r="V945" s="156" t="s">
        <v>1124</v>
      </c>
      <c r="W945" s="191" t="str">
        <f>IF(IFERROR(VLOOKUP($M945,'IMPORT GS-Tür OL FL 2S2 20'!$H$2:$H$847,1,0),"-")="-","","GS")</f>
        <v/>
      </c>
      <c r="X945" s="14" t="str">
        <f t="shared" si="67"/>
        <v xml:space="preserve"> </v>
      </c>
      <c r="Y945" s="156" t="s">
        <v>1125</v>
      </c>
      <c r="Z945" s="58" t="str">
        <f>IF(OR($M945="",NOT($O945="{array}")),"",IFERROR(MATCH(PARAMETERS!$M945,DEFAULT!$B$5:$CI$5,0),""))</f>
        <v/>
      </c>
      <c r="AA945" s="55" t="str">
        <f>IF($M945="","",IFERROR(MATCH($M945,VALUESnames,0),""))</f>
        <v/>
      </c>
      <c r="AB945" s="62" t="str">
        <f>IF(AND(OR($A945="G",$A945="P"),NOT($O945="{array}")),IF(VLOOKUP($K945,base!$B$2:$D$20,3,0)="S",IF(OR($O945="",ISTEXT($O945)),"","STRING!"),IF(VLOOKUP($K945,base!$B$2:$D$20,3,0)="","",IF(ISTEXT($O945),"NUMERIC!",""))),"")</f>
        <v/>
      </c>
      <c r="AC945" s="16" t="str">
        <f>IF($AA945="","",IF($B945="I",VLOOKUP($AA945,#REF!,53,0),INDEX(VALUES!$B$1:$GP$1,1,$AA945)))</f>
        <v/>
      </c>
    </row>
    <row r="946" spans="1:29" s="276" customFormat="1" hidden="1" outlineLevel="1">
      <c r="A946" s="263"/>
      <c r="B946" s="264" t="str">
        <f t="shared" si="68"/>
        <v/>
      </c>
      <c r="C946" s="265">
        <f t="shared" si="69"/>
        <v>945</v>
      </c>
      <c r="D946" s="266"/>
      <c r="E946" s="266"/>
      <c r="F946" s="305"/>
      <c r="G946" s="188"/>
      <c r="H946" s="266"/>
      <c r="I946" s="266" t="s">
        <v>9</v>
      </c>
      <c r="J946" s="266"/>
      <c r="K946" s="277" t="s">
        <v>102</v>
      </c>
      <c r="L946" s="277" t="s">
        <v>23</v>
      </c>
      <c r="M946" s="277" t="s">
        <v>1235</v>
      </c>
      <c r="N946" s="277" t="s">
        <v>298</v>
      </c>
      <c r="O946" s="277" t="s">
        <v>1236</v>
      </c>
      <c r="P946" s="287" t="s">
        <v>298</v>
      </c>
      <c r="Q946" s="280" t="s">
        <v>9</v>
      </c>
      <c r="R946" s="280" t="s">
        <v>105</v>
      </c>
      <c r="S946" s="280" t="s">
        <v>114</v>
      </c>
      <c r="T946" s="277" t="s">
        <v>298</v>
      </c>
      <c r="U946" s="277" t="s">
        <v>298</v>
      </c>
      <c r="V946" s="277" t="s">
        <v>1235</v>
      </c>
      <c r="W946" s="271" t="str">
        <f>IF(IFERROR(VLOOKUP($M946,'IMPORT GS-Tür OL FL 2S2 20'!$H$2:$H$847,1,0),"-")="-","","GS")</f>
        <v/>
      </c>
      <c r="X946" s="272" t="str">
        <f t="shared" si="67"/>
        <v/>
      </c>
      <c r="Y946" s="277" t="s">
        <v>1237</v>
      </c>
      <c r="Z946" s="273" t="str">
        <f>IF(OR($M946="",NOT($O946="{array}")),"",IFERROR(MATCH(PARAMETERS!$M946,DEFAULT!$B$5:$CI$5,0),""))</f>
        <v/>
      </c>
      <c r="AA946" s="272" t="str">
        <f>IF($M946="","",IFERROR(MATCH($M946,VALUESnames,0),""))</f>
        <v/>
      </c>
      <c r="AB946" s="274" t="str">
        <f>IF(AND(OR($A946="G",$A946="P"),NOT($O946="{array}")),IF(VLOOKUP($K946,base!$B$2:$D$20,3,0)="S",IF(OR($O946="",ISTEXT($O946)),"","STRING!"),IF(VLOOKUP($K946,base!$B$2:$D$20,3,0)="","",IF(ISTEXT($O946),"NUMERIC!",""))),"")</f>
        <v/>
      </c>
      <c r="AC946" s="275" t="str">
        <f>IF($AA946="","",IF($B946="I",VLOOKUP($AA946,#REF!,53,0),INDEX(VALUES!$B$1:$GP$1,1,$AA946)))</f>
        <v/>
      </c>
    </row>
    <row r="947" spans="1:29" hidden="1" outlineLevel="1">
      <c r="A947" s="21" t="s">
        <v>87</v>
      </c>
      <c r="B947" s="40" t="str">
        <f t="shared" si="68"/>
        <v/>
      </c>
      <c r="C947" s="41">
        <f t="shared" si="69"/>
        <v>946</v>
      </c>
      <c r="D947" s="260"/>
      <c r="E947" s="37"/>
      <c r="F947" s="305"/>
      <c r="G947" s="188"/>
      <c r="H947" s="37"/>
      <c r="I947" s="37"/>
      <c r="J947" s="37"/>
      <c r="K947" s="163" t="s">
        <v>20</v>
      </c>
      <c r="L947" s="164" t="s">
        <v>23</v>
      </c>
      <c r="M947" s="163" t="s">
        <v>1240</v>
      </c>
      <c r="N947" s="163" t="s">
        <v>1159</v>
      </c>
      <c r="O947" s="163" t="s">
        <v>298</v>
      </c>
      <c r="P947" s="157" t="s">
        <v>298</v>
      </c>
      <c r="Q947" s="168" t="s">
        <v>9</v>
      </c>
      <c r="R947" s="168" t="s">
        <v>105</v>
      </c>
      <c r="S947" s="168" t="s">
        <v>114</v>
      </c>
      <c r="T947" s="163" t="s">
        <v>298</v>
      </c>
      <c r="U947" s="163" t="s">
        <v>298</v>
      </c>
      <c r="V947" s="163" t="s">
        <v>1160</v>
      </c>
      <c r="W947" s="14" t="str">
        <f>IF(IFERROR(VLOOKUP($M947,'IMPORT GS-Tür OL FL 2S2 20'!$H$2:$H$847,1,0),"-")="-","","GS")</f>
        <v/>
      </c>
      <c r="X947" s="14" t="str">
        <f t="shared" si="67"/>
        <v/>
      </c>
      <c r="Z947" s="58" t="str">
        <f>IF(OR($M947="",NOT($O947="{array}")),"",IFERROR(MATCH(PARAMETERS!$M947,DEFAULT!$B$5:$CI$5,0),""))</f>
        <v/>
      </c>
      <c r="AA947" s="55" t="str">
        <f>IF($M947="","",IFERROR(MATCH($M947,VALUESnames,0),""))</f>
        <v/>
      </c>
      <c r="AB947" s="62" t="str">
        <f>IF(AND(OR($A947="G",$A947="P"),NOT($O947="{array}")),IF(VLOOKUP($K947,base!$B$2:$D$20,3,0)="S",IF(OR($O947="",ISTEXT($O947)),"","STRING!"),IF(VLOOKUP($K947,base!$B$2:$D$20,3,0)="","",IF(ISTEXT($O947),"NUMERIC!",""))),"")</f>
        <v/>
      </c>
      <c r="AC947" s="16" t="str">
        <f>IF($AA947="","",IF($B947="I",VLOOKUP($AA947,#REF!,53,0),INDEX(VALUES!$B$1:$GP$1,1,$AA947)))</f>
        <v/>
      </c>
    </row>
    <row r="948" spans="1:29" hidden="1" outlineLevel="1">
      <c r="A948" s="21" t="s">
        <v>87</v>
      </c>
      <c r="B948" s="40" t="str">
        <f t="shared" si="68"/>
        <v/>
      </c>
      <c r="C948" s="41">
        <f t="shared" si="69"/>
        <v>947</v>
      </c>
      <c r="D948" s="260"/>
      <c r="E948" s="37"/>
      <c r="F948" s="305"/>
      <c r="G948" s="188"/>
      <c r="H948" s="37"/>
      <c r="I948" s="37"/>
      <c r="J948" s="37"/>
      <c r="K948" s="163" t="s">
        <v>20</v>
      </c>
      <c r="L948" s="164" t="s">
        <v>23</v>
      </c>
      <c r="M948" s="163" t="s">
        <v>1241</v>
      </c>
      <c r="N948" s="163" t="s">
        <v>1162</v>
      </c>
      <c r="O948" s="163" t="s">
        <v>298</v>
      </c>
      <c r="P948" s="157" t="s">
        <v>298</v>
      </c>
      <c r="Q948" s="168" t="s">
        <v>9</v>
      </c>
      <c r="R948" s="168" t="s">
        <v>105</v>
      </c>
      <c r="S948" s="168" t="s">
        <v>114</v>
      </c>
      <c r="T948" s="163" t="s">
        <v>298</v>
      </c>
      <c r="U948" s="163" t="s">
        <v>298</v>
      </c>
      <c r="V948" s="163" t="s">
        <v>1163</v>
      </c>
      <c r="W948" s="14" t="str">
        <f>IF(IFERROR(VLOOKUP($M948,'IMPORT GS-Tür OL FL 2S2 20'!$H$2:$H$847,1,0),"-")="-","","GS")</f>
        <v/>
      </c>
      <c r="X948" s="14" t="str">
        <f t="shared" si="67"/>
        <v/>
      </c>
      <c r="Z948" s="58" t="str">
        <f>IF(OR($M948="",NOT($O948="{array}")),"",IFERROR(MATCH(PARAMETERS!$M948,DEFAULT!$B$5:$CI$5,0),""))</f>
        <v/>
      </c>
      <c r="AA948" s="55" t="str">
        <f>IF($M948="","",IFERROR(MATCH($M948,VALUESnames,0),""))</f>
        <v/>
      </c>
      <c r="AB948" s="62" t="str">
        <f>IF(AND(OR($A948="G",$A948="P"),NOT($O948="{array}")),IF(VLOOKUP($K948,base!$B$2:$D$20,3,0)="S",IF(OR($O948="",ISTEXT($O948)),"","STRING!"),IF(VLOOKUP($K948,base!$B$2:$D$20,3,0)="","",IF(ISTEXT($O948),"NUMERIC!",""))),"")</f>
        <v/>
      </c>
      <c r="AC948" s="16" t="str">
        <f>IF($AA948="","",IF($B948="I",VLOOKUP($AA948,#REF!,53,0),INDEX(VALUES!$B$1:$GP$1,1,$AA948)))</f>
        <v/>
      </c>
    </row>
    <row r="949" spans="1:29" hidden="1" outlineLevel="1">
      <c r="A949" s="21" t="s">
        <v>87</v>
      </c>
      <c r="B949" s="40" t="str">
        <f t="shared" si="68"/>
        <v/>
      </c>
      <c r="C949" s="41">
        <f t="shared" si="69"/>
        <v>948</v>
      </c>
      <c r="D949" s="260"/>
      <c r="E949" s="37"/>
      <c r="F949" s="305"/>
      <c r="G949" s="188"/>
      <c r="H949" s="37"/>
      <c r="I949" s="37"/>
      <c r="J949" s="37"/>
      <c r="K949" s="163" t="s">
        <v>20</v>
      </c>
      <c r="L949" s="164" t="s">
        <v>23</v>
      </c>
      <c r="M949" s="163" t="s">
        <v>1242</v>
      </c>
      <c r="N949" s="163" t="s">
        <v>1165</v>
      </c>
      <c r="O949" s="163" t="s">
        <v>298</v>
      </c>
      <c r="P949" s="157" t="s">
        <v>298</v>
      </c>
      <c r="Q949" s="168" t="s">
        <v>9</v>
      </c>
      <c r="R949" s="168" t="s">
        <v>105</v>
      </c>
      <c r="S949" s="168" t="s">
        <v>114</v>
      </c>
      <c r="T949" s="163" t="s">
        <v>298</v>
      </c>
      <c r="U949" s="163" t="s">
        <v>298</v>
      </c>
      <c r="V949" s="163" t="s">
        <v>1166</v>
      </c>
      <c r="W949" s="14" t="str">
        <f>IF(IFERROR(VLOOKUP($M949,'IMPORT GS-Tür OL FL 2S2 20'!$H$2:$H$847,1,0),"-")="-","","GS")</f>
        <v/>
      </c>
      <c r="X949" s="14" t="str">
        <f t="shared" si="67"/>
        <v/>
      </c>
      <c r="Z949" s="58" t="str">
        <f>IF(OR($M949="",NOT($O949="{array}")),"",IFERROR(MATCH(PARAMETERS!$M949,DEFAULT!$B$5:$CI$5,0),""))</f>
        <v/>
      </c>
      <c r="AA949" s="55" t="str">
        <f>IF($M949="","",IFERROR(MATCH($M949,VALUESnames,0),""))</f>
        <v/>
      </c>
      <c r="AB949" s="62" t="str">
        <f>IF(AND(OR($A949="G",$A949="P"),NOT($O949="{array}")),IF(VLOOKUP($K949,base!$B$2:$D$20,3,0)="S",IF(OR($O949="",ISTEXT($O949)),"","STRING!"),IF(VLOOKUP($K949,base!$B$2:$D$20,3,0)="","",IF(ISTEXT($O949),"NUMERIC!",""))),"")</f>
        <v/>
      </c>
      <c r="AC949" s="16" t="str">
        <f>IF($AA949="","",IF($B949="I",VLOOKUP($AA949,#REF!,53,0),INDEX(VALUES!$B$1:$GP$1,1,$AA949)))</f>
        <v/>
      </c>
    </row>
    <row r="950" spans="1:29" collapsed="1">
      <c r="A950" s="21" t="s">
        <v>86</v>
      </c>
      <c r="B950" s="40" t="str">
        <f t="shared" si="68"/>
        <v/>
      </c>
      <c r="C950" s="41">
        <f t="shared" si="69"/>
        <v>949</v>
      </c>
      <c r="D950" s="260"/>
      <c r="E950" s="37"/>
      <c r="F950" s="305"/>
      <c r="G950" s="188"/>
      <c r="H950" s="37"/>
      <c r="I950" s="37"/>
      <c r="J950" s="37"/>
      <c r="K950" s="230" t="s">
        <v>59</v>
      </c>
      <c r="L950" s="230" t="s">
        <v>40</v>
      </c>
      <c r="M950" s="231" t="s">
        <v>1243</v>
      </c>
      <c r="N950" s="232" t="s">
        <v>1244</v>
      </c>
      <c r="R950" s="37" t="s">
        <v>105</v>
      </c>
      <c r="S950" s="37"/>
      <c r="T950" s="37"/>
      <c r="W950" s="14" t="str">
        <f>IF(IFERROR(VLOOKUP($M950,'IMPORT GS-Tür OL FL 2S2 20'!$H$2:$H$847,1,0),"-")="-","","GS")</f>
        <v/>
      </c>
      <c r="X950" s="14" t="str">
        <f t="shared" si="67"/>
        <v>...</v>
      </c>
      <c r="Z950" s="58" t="str">
        <f>IF(OR($M950="",NOT($O950="{array}")),"",IFERROR(MATCH(PARAMETERS!$M950,DEFAULT!$B$5:$CI$5,0),""))</f>
        <v/>
      </c>
      <c r="AA950" s="55" t="str">
        <f t="shared" ref="AA950:AA959" si="70">IF($M950="","",IFERROR(MATCH($M950,VALUESnames,0),""))</f>
        <v/>
      </c>
      <c r="AB950" s="62" t="str">
        <f>IF(AND(OR($A950="G",$A950="P"),NOT($O950="{array}")),IF(VLOOKUP($K950,base!$B$2:$D$20,3,0)="S",IF(OR($O950="",ISTEXT($O950)),"","STRING!"),IF(VLOOKUP($K950,base!$B$2:$D$20,3,0)="","",IF(ISTEXT($O950),"NUMERIC!",""))),"")</f>
        <v/>
      </c>
      <c r="AC950" s="16" t="str">
        <f>IF($AA950="","",IF($B950="I",VLOOKUP($AA950,#REF!,53,0),INDEX(VALUES!$B$1:$GP$1,1,$AA950)))</f>
        <v/>
      </c>
    </row>
    <row r="951" spans="1:29" hidden="1" outlineLevel="1">
      <c r="A951" s="21" t="s">
        <v>86</v>
      </c>
      <c r="B951" s="40" t="str">
        <f>IF($A951="P",IF(NOT($Z951=""),"A",IF(NOT($AA951=""),"I","")),IF(NOT($AA951=""),IF($A951="G","V","X"),IF(NOT($Z951=""),"A","")))</f>
        <v/>
      </c>
      <c r="C951" s="41">
        <f t="shared" si="69"/>
        <v>950</v>
      </c>
      <c r="D951" s="260"/>
      <c r="E951" s="37"/>
      <c r="F951" s="305"/>
      <c r="G951" s="188"/>
      <c r="H951" s="37"/>
      <c r="I951" s="37" t="s">
        <v>9</v>
      </c>
      <c r="J951" s="37"/>
      <c r="K951" s="52" t="s">
        <v>20</v>
      </c>
      <c r="L951" s="52" t="s">
        <v>23</v>
      </c>
      <c r="M951" s="184" t="s">
        <v>3820</v>
      </c>
      <c r="N951" s="52" t="s">
        <v>3816</v>
      </c>
      <c r="O951" s="153"/>
      <c r="Q951" s="168" t="s">
        <v>9</v>
      </c>
      <c r="R951" s="168" t="s">
        <v>105</v>
      </c>
      <c r="S951" s="168" t="s">
        <v>114</v>
      </c>
      <c r="T951" s="163" t="s">
        <v>298</v>
      </c>
      <c r="U951" s="163" t="s">
        <v>298</v>
      </c>
      <c r="V951" s="163"/>
      <c r="W951" s="14"/>
      <c r="X951" s="14" t="str">
        <f>IF($A951="G",IF(IFERROR(VLOOKUP($M951,Reimport,1,0),"-")="-","&gt;&lt;",IF($O951=VLOOKUP($M951,Reimport,2,0),"...",VLOOKUP($M951,Reimport,2,0))),"")</f>
        <v>&gt;&lt;</v>
      </c>
      <c r="Z951" s="58" t="str">
        <f>IF(OR($M951="",NOT($O951="{array}")),"",IFERROR(MATCH(PARAMETERS!$M951,DEFAULT!$B$5:$CI$5,0),""))</f>
        <v/>
      </c>
      <c r="AA951" s="55" t="str">
        <f t="shared" si="70"/>
        <v/>
      </c>
      <c r="AB951" s="62" t="str">
        <f>IF(AND(OR($A951="G",$A951="P"),NOT($O951="{array}")),IF(VLOOKUP($K951,base!$B$2:$D$20,3,0)="S",IF(OR($O951="",ISTEXT($O951)),"","STRING!"),IF(VLOOKUP($K951,base!$B$2:$D$20,3,0)="","",IF(ISTEXT($O951),"NUMERIC!",""))),"")</f>
        <v/>
      </c>
      <c r="AC951" s="16" t="str">
        <f>IF($AA951="","",IF($B951="I",VLOOKUP($AA951,#REF!,53,0),INDEX(VALUES!$B$1:$GP$1,1,$AA951)))</f>
        <v/>
      </c>
    </row>
    <row r="952" spans="1:29" hidden="1" outlineLevel="1">
      <c r="A952" s="21" t="s">
        <v>86</v>
      </c>
      <c r="B952" s="40" t="str">
        <f>IF($A952="P",IF(NOT($Z952=""),"A",IF(NOT($AA952=""),"I","")),IF(NOT($AA952=""),IF($A952="G","V","X"),IF(NOT($Z952=""),"A","")))</f>
        <v/>
      </c>
      <c r="C952" s="41">
        <f t="shared" si="69"/>
        <v>951</v>
      </c>
      <c r="D952" s="260"/>
      <c r="E952" s="37"/>
      <c r="F952" s="305"/>
      <c r="G952" s="188"/>
      <c r="H952" s="37"/>
      <c r="I952" s="37" t="s">
        <v>9</v>
      </c>
      <c r="J952" s="37"/>
      <c r="K952" s="52" t="s">
        <v>20</v>
      </c>
      <c r="L952" s="52" t="s">
        <v>34</v>
      </c>
      <c r="M952" s="184" t="s">
        <v>3821</v>
      </c>
      <c r="N952" s="52" t="s">
        <v>3817</v>
      </c>
      <c r="O952" s="153"/>
      <c r="Q952" s="168" t="s">
        <v>9</v>
      </c>
      <c r="R952" s="168" t="s">
        <v>105</v>
      </c>
      <c r="S952" s="168" t="s">
        <v>114</v>
      </c>
      <c r="T952" s="163" t="s">
        <v>298</v>
      </c>
      <c r="U952" s="163" t="s">
        <v>298</v>
      </c>
      <c r="V952" s="163" t="s">
        <v>499</v>
      </c>
      <c r="W952" s="14"/>
      <c r="X952" s="14" t="str">
        <f>IF($A952="G",IF(IFERROR(VLOOKUP($M952,Reimport,1,0),"-")="-","&gt;&lt;",IF($O952=VLOOKUP($M952,Reimport,2,0),"...",VLOOKUP($M952,Reimport,2,0))),"")</f>
        <v>&gt;&lt;</v>
      </c>
      <c r="Z952" s="58" t="str">
        <f>IF(OR($M952="",NOT($O952="{array}")),"",IFERROR(MATCH(PARAMETERS!$M952,DEFAULT!$B$5:$CI$5,0),""))</f>
        <v/>
      </c>
      <c r="AA952" s="55" t="str">
        <f t="shared" si="70"/>
        <v/>
      </c>
      <c r="AB952" s="62" t="str">
        <f>IF(AND(OR($A952="G",$A952="P"),NOT($O952="{array}")),IF(VLOOKUP($K952,base!$B$2:$D$20,3,0)="S",IF(OR($O952="",ISTEXT($O952)),"","STRING!"),IF(VLOOKUP($K952,base!$B$2:$D$20,3,0)="","",IF(ISTEXT($O952),"NUMERIC!",""))),"")</f>
        <v/>
      </c>
      <c r="AC952" s="16" t="str">
        <f>IF($AA952="","",IF($B952="I",VLOOKUP($AA952,#REF!,53,0),INDEX(VALUES!$B$1:$GP$1,1,$AA952)))</f>
        <v/>
      </c>
    </row>
    <row r="953" spans="1:29" hidden="1" outlineLevel="1">
      <c r="A953" s="21" t="s">
        <v>86</v>
      </c>
      <c r="B953" s="40" t="str">
        <f>IF($A953="P",IF(NOT($Z953=""),"A",IF(NOT($AA953=""),"I","")),IF(NOT($AA953=""),IF($A953="G","V","X"),IF(NOT($Z953=""),"A","")))</f>
        <v/>
      </c>
      <c r="C953" s="41">
        <f t="shared" si="69"/>
        <v>952</v>
      </c>
      <c r="D953" s="260" t="s">
        <v>9</v>
      </c>
      <c r="E953" s="37"/>
      <c r="F953" s="305"/>
      <c r="G953" s="188"/>
      <c r="H953" s="37"/>
      <c r="I953" s="37" t="s">
        <v>9</v>
      </c>
      <c r="J953" s="37"/>
      <c r="K953" s="163" t="s">
        <v>20</v>
      </c>
      <c r="L953" s="164" t="s">
        <v>34</v>
      </c>
      <c r="M953" s="184" t="s">
        <v>3763</v>
      </c>
      <c r="N953" s="163" t="s">
        <v>500</v>
      </c>
      <c r="O953" s="163" t="s">
        <v>3775</v>
      </c>
      <c r="P953" s="157" t="s">
        <v>298</v>
      </c>
      <c r="Q953" s="168"/>
      <c r="R953" s="168" t="s">
        <v>105</v>
      </c>
      <c r="S953" s="168" t="s">
        <v>114</v>
      </c>
      <c r="T953" s="163" t="s">
        <v>298</v>
      </c>
      <c r="U953" s="163" t="s">
        <v>298</v>
      </c>
      <c r="V953" s="163" t="s">
        <v>500</v>
      </c>
      <c r="W953" s="14" t="str">
        <f>IF(IFERROR(VLOOKUP($M953,'IMPORT GS-Tür OL FL 2S2 20'!$H$2:$H$847,1,0),"-")="-","","GS")</f>
        <v/>
      </c>
      <c r="X953" s="14" t="str">
        <f>IF($A953="G",IF(IFERROR(VLOOKUP($M953,Reimport,1,0),"-")="-","&gt;&lt;",IF($O953=VLOOKUP($M953,Reimport,2,0),"...",VLOOKUP($M953,Reimport,2,0))),"")</f>
        <v>&gt;&lt;</v>
      </c>
      <c r="Y953" s="163" t="s">
        <v>3761</v>
      </c>
      <c r="Z953" s="58" t="str">
        <f>IF(OR($M953="",NOT($O953="{array}")),"",IFERROR(MATCH(PARAMETERS!$M953,DEFAULT!$B$5:$CI$5,0),""))</f>
        <v/>
      </c>
      <c r="AA953" s="55" t="str">
        <f t="shared" si="70"/>
        <v/>
      </c>
      <c r="AB953" s="62" t="str">
        <f>IF(AND(OR($A953="G",$A953="P"),NOT($O953="{array}")),IF(VLOOKUP($K953,base!$B$2:$D$20,3,0)="S",IF(OR($O953="",ISTEXT($O953)),"","STRING!"),IF(VLOOKUP($K953,base!$B$2:$D$20,3,0)="","",IF(ISTEXT($O953),"NUMERIC!",""))),"")</f>
        <v/>
      </c>
      <c r="AC953" s="16" t="str">
        <f>IF($AA953="","",IF($B953="I",VLOOKUP($AA953,#REF!,53,0),INDEX(VALUES!$B$1:$GP$1,1,$AA953)))</f>
        <v/>
      </c>
    </row>
    <row r="954" spans="1:29" hidden="1" outlineLevel="1">
      <c r="A954" s="21" t="s">
        <v>86</v>
      </c>
      <c r="B954" s="40" t="str">
        <f t="shared" si="68"/>
        <v/>
      </c>
      <c r="C954" s="41">
        <f t="shared" si="69"/>
        <v>953</v>
      </c>
      <c r="D954" s="260" t="s">
        <v>9</v>
      </c>
      <c r="E954" s="37"/>
      <c r="F954" s="305"/>
      <c r="G954" s="188"/>
      <c r="H954" s="37"/>
      <c r="I954" s="37" t="s">
        <v>9</v>
      </c>
      <c r="J954" s="37"/>
      <c r="K954" s="13" t="s">
        <v>26</v>
      </c>
      <c r="L954" s="13" t="s">
        <v>29</v>
      </c>
      <c r="M954" s="19" t="s">
        <v>1245</v>
      </c>
      <c r="N954" s="52" t="s">
        <v>1246</v>
      </c>
      <c r="O954" s="42">
        <v>5.5E-2</v>
      </c>
      <c r="Q954" s="168" t="s">
        <v>9</v>
      </c>
      <c r="R954" s="37" t="s">
        <v>106</v>
      </c>
      <c r="S954" s="37"/>
      <c r="T954" s="37"/>
      <c r="W954" s="14"/>
      <c r="X954" s="14">
        <f t="shared" si="67"/>
        <v>0.06</v>
      </c>
      <c r="Z954" s="58" t="str">
        <f>IF(OR($M954="",NOT($O954="{array}")),"",IFERROR(MATCH(PARAMETERS!$M954,DEFAULT!$B$5:$CI$5,0),""))</f>
        <v/>
      </c>
      <c r="AA954" s="55" t="str">
        <f t="shared" si="70"/>
        <v/>
      </c>
      <c r="AB954" s="62" t="str">
        <f>IF(AND(OR($A954="G",$A954="P"),NOT($O954="{array}")),IF(VLOOKUP($K954,base!$B$2:$D$20,3,0)="S",IF(OR($O954="",ISTEXT($O954)),"","STRING!"),IF(VLOOKUP($K954,base!$B$2:$D$20,3,0)="","",IF(ISTEXT($O954),"NUMERIC!",""))),"")</f>
        <v/>
      </c>
      <c r="AC954" s="16" t="str">
        <f>IF($AA954="","",IF($B954="I",VLOOKUP($AA954,#REF!,53,0),INDEX(VALUES!$B$1:$GP$1,1,$AA954)))</f>
        <v/>
      </c>
    </row>
    <row r="955" spans="1:29" hidden="1" outlineLevel="1">
      <c r="A955" s="21" t="s">
        <v>86</v>
      </c>
      <c r="B955" s="40" t="str">
        <f t="shared" si="68"/>
        <v>V</v>
      </c>
      <c r="C955" s="41">
        <f t="shared" si="69"/>
        <v>954</v>
      </c>
      <c r="D955" s="260"/>
      <c r="E955" s="37"/>
      <c r="F955" s="305"/>
      <c r="G955" s="188"/>
      <c r="H955" s="37"/>
      <c r="I955" s="37" t="s">
        <v>9</v>
      </c>
      <c r="J955" s="37"/>
      <c r="K955" s="13" t="s">
        <v>26</v>
      </c>
      <c r="L955" s="13" t="s">
        <v>29</v>
      </c>
      <c r="M955" s="184" t="s">
        <v>1247</v>
      </c>
      <c r="N955" s="52" t="s">
        <v>1248</v>
      </c>
      <c r="O955" s="42">
        <v>8.0000000000000002E-3</v>
      </c>
      <c r="Q955" s="168" t="s">
        <v>9</v>
      </c>
      <c r="R955" s="37" t="s">
        <v>106</v>
      </c>
      <c r="S955" s="37"/>
      <c r="T955" s="37"/>
      <c r="W955" s="14"/>
      <c r="X955" s="14" t="str">
        <f t="shared" si="67"/>
        <v>...</v>
      </c>
      <c r="Z955" s="58" t="str">
        <f>IF(OR($M955="",NOT($O955="{array}")),"",IFERROR(MATCH(PARAMETERS!$M955,DEFAULT!$B$5:$CI$5,0),""))</f>
        <v/>
      </c>
      <c r="AA955" s="55">
        <f t="shared" si="70"/>
        <v>164</v>
      </c>
      <c r="AB955" s="62" t="str">
        <f>IF(AND(OR($A955="G",$A955="P"),NOT($O955="{array}")),IF(VLOOKUP($K955,base!$B$2:$D$20,3,0)="S",IF(OR($O955="",ISTEXT($O955)),"","STRING!"),IF(VLOOKUP($K955,base!$B$2:$D$20,3,0)="","",IF(ISTEXT($O955),"NUMERIC!",""))),"")</f>
        <v/>
      </c>
      <c r="AC955" s="16" t="str">
        <f>IF($AA955="","",IF($B955="I",VLOOKUP($AA955,#REF!,53,0),INDEX(VALUES!$B$1:$GP$1,1,$AA955)))</f>
        <v>0,008 | 0,009 | 0,01</v>
      </c>
    </row>
    <row r="956" spans="1:29" hidden="1" outlineLevel="1">
      <c r="A956" s="21" t="s">
        <v>86</v>
      </c>
      <c r="B956" s="40" t="str">
        <f t="shared" si="68"/>
        <v/>
      </c>
      <c r="C956" s="41">
        <f t="shared" si="69"/>
        <v>955</v>
      </c>
      <c r="D956" s="260" t="s">
        <v>9</v>
      </c>
      <c r="E956" s="37"/>
      <c r="F956" s="305"/>
      <c r="G956" s="188"/>
      <c r="H956" s="37"/>
      <c r="I956" s="37" t="s">
        <v>9</v>
      </c>
      <c r="J956" s="37"/>
      <c r="K956" s="13" t="s">
        <v>26</v>
      </c>
      <c r="L956" s="13" t="s">
        <v>29</v>
      </c>
      <c r="M956" s="184" t="s">
        <v>1249</v>
      </c>
      <c r="N956" s="52" t="s">
        <v>1250</v>
      </c>
      <c r="O956" s="42">
        <v>7.1999999999999995E-2</v>
      </c>
      <c r="Q956" s="168" t="s">
        <v>9</v>
      </c>
      <c r="R956" s="37" t="s">
        <v>106</v>
      </c>
      <c r="S956" s="37"/>
      <c r="T956" s="37"/>
      <c r="W956" s="14"/>
      <c r="X956" s="14" t="str">
        <f t="shared" si="67"/>
        <v>...</v>
      </c>
      <c r="Z956" s="58" t="str">
        <f>IF(OR($M956="",NOT($O956="{array}")),"",IFERROR(MATCH(PARAMETERS!$M956,DEFAULT!$B$5:$CI$5,0),""))</f>
        <v/>
      </c>
      <c r="AA956" s="55" t="str">
        <f t="shared" si="70"/>
        <v/>
      </c>
      <c r="AB956" s="62" t="str">
        <f>IF(AND(OR($A956="G",$A956="P"),NOT($O956="{array}")),IF(VLOOKUP($K956,base!$B$2:$D$20,3,0)="S",IF(OR($O956="",ISTEXT($O956)),"","STRING!"),IF(VLOOKUP($K956,base!$B$2:$D$20,3,0)="","",IF(ISTEXT($O956),"NUMERIC!",""))),"")</f>
        <v/>
      </c>
      <c r="AC956" s="16" t="str">
        <f>IF($AA956="","",IF($B956="I",VLOOKUP($AA956,#REF!,53,0),INDEX(VALUES!$B$1:$GP$1,1,$AA956)))</f>
        <v/>
      </c>
    </row>
    <row r="957" spans="1:29" hidden="1" outlineLevel="1">
      <c r="A957" s="21" t="s">
        <v>86</v>
      </c>
      <c r="B957" s="40" t="str">
        <f t="shared" si="68"/>
        <v/>
      </c>
      <c r="C957" s="41">
        <f t="shared" si="69"/>
        <v>956</v>
      </c>
      <c r="D957" s="260" t="s">
        <v>9</v>
      </c>
      <c r="E957" s="37"/>
      <c r="F957" s="305"/>
      <c r="G957" s="188"/>
      <c r="H957" s="37"/>
      <c r="I957" s="37" t="s">
        <v>9</v>
      </c>
      <c r="J957" s="37"/>
      <c r="K957" s="13" t="s">
        <v>26</v>
      </c>
      <c r="L957" s="13" t="s">
        <v>29</v>
      </c>
      <c r="M957" s="19" t="s">
        <v>1251</v>
      </c>
      <c r="N957" s="52" t="s">
        <v>1252</v>
      </c>
      <c r="O957" s="42">
        <v>5.5E-2</v>
      </c>
      <c r="Q957" s="168" t="s">
        <v>9</v>
      </c>
      <c r="R957" s="37" t="s">
        <v>106</v>
      </c>
      <c r="S957" s="37"/>
      <c r="T957" s="37"/>
      <c r="W957" s="14"/>
      <c r="X957" s="14">
        <f t="shared" si="67"/>
        <v>0.06</v>
      </c>
      <c r="Y957" s="52" t="s">
        <v>919</v>
      </c>
      <c r="Z957" s="58" t="str">
        <f>IF(OR($M957="",NOT($O957="{array}")),"",IFERROR(MATCH(PARAMETERS!$M957,DEFAULT!$B$5:$CI$5,0),""))</f>
        <v/>
      </c>
      <c r="AA957" s="55" t="str">
        <f t="shared" si="70"/>
        <v/>
      </c>
      <c r="AB957" s="62" t="str">
        <f>IF(AND(OR($A957="G",$A957="P"),NOT($O957="{array}")),IF(VLOOKUP($K957,base!$B$2:$D$20,3,0)="S",IF(OR($O957="",ISTEXT($O957)),"","STRING!"),IF(VLOOKUP($K957,base!$B$2:$D$20,3,0)="","",IF(ISTEXT($O957),"NUMERIC!",""))),"")</f>
        <v/>
      </c>
      <c r="AC957" s="16" t="str">
        <f>IF($AA957="","",IF($B957="I",VLOOKUP($AA957,#REF!,53,0),INDEX(VALUES!$B$1:$GP$1,1,$AA957)))</f>
        <v/>
      </c>
    </row>
    <row r="958" spans="1:29" hidden="1" outlineLevel="1">
      <c r="A958" s="21" t="s">
        <v>86</v>
      </c>
      <c r="B958" s="40" t="str">
        <f t="shared" si="68"/>
        <v>V</v>
      </c>
      <c r="C958" s="41">
        <f t="shared" si="69"/>
        <v>957</v>
      </c>
      <c r="D958" s="260"/>
      <c r="E958" s="37"/>
      <c r="F958" s="305"/>
      <c r="G958" s="188"/>
      <c r="H958" s="37"/>
      <c r="I958" s="37" t="s">
        <v>9</v>
      </c>
      <c r="J958" s="37"/>
      <c r="K958" s="13" t="s">
        <v>26</v>
      </c>
      <c r="L958" s="13" t="s">
        <v>29</v>
      </c>
      <c r="M958" s="184" t="s">
        <v>1253</v>
      </c>
      <c r="N958" s="52" t="s">
        <v>1254</v>
      </c>
      <c r="O958" s="42">
        <v>8.0000000000000002E-3</v>
      </c>
      <c r="Q958" s="168" t="s">
        <v>9</v>
      </c>
      <c r="R958" s="37" t="s">
        <v>106</v>
      </c>
      <c r="S958" s="37"/>
      <c r="T958" s="37"/>
      <c r="W958" s="14"/>
      <c r="X958" s="14" t="str">
        <f t="shared" si="67"/>
        <v>...</v>
      </c>
      <c r="Y958" s="52" t="s">
        <v>919</v>
      </c>
      <c r="Z958" s="58" t="str">
        <f>IF(OR($M958="",NOT($O958="{array}")),"",IFERROR(MATCH(PARAMETERS!$M958,DEFAULT!$B$5:$CI$5,0),""))</f>
        <v/>
      </c>
      <c r="AA958" s="55">
        <f t="shared" si="70"/>
        <v>165</v>
      </c>
      <c r="AB958" s="62" t="str">
        <f>IF(AND(OR($A958="G",$A958="P"),NOT($O958="{array}")),IF(VLOOKUP($K958,base!$B$2:$D$20,3,0)="S",IF(OR($O958="",ISTEXT($O958)),"","STRING!"),IF(VLOOKUP($K958,base!$B$2:$D$20,3,0)="","",IF(ISTEXT($O958),"NUMERIC!",""))),"")</f>
        <v/>
      </c>
      <c r="AC958" s="16" t="str">
        <f>IF($AA958="","",IF($B958="I",VLOOKUP($AA958,#REF!,53,0),INDEX(VALUES!$B$1:$GP$1,1,$AA958)))</f>
        <v>0,008 | 0,009 | 0,01</v>
      </c>
    </row>
    <row r="959" spans="1:29" hidden="1" outlineLevel="1">
      <c r="A959" s="21" t="s">
        <v>86</v>
      </c>
      <c r="B959" s="40" t="str">
        <f t="shared" si="68"/>
        <v/>
      </c>
      <c r="C959" s="41">
        <f t="shared" si="69"/>
        <v>958</v>
      </c>
      <c r="D959" s="260" t="s">
        <v>9</v>
      </c>
      <c r="E959" s="37"/>
      <c r="F959" s="305"/>
      <c r="G959" s="188"/>
      <c r="H959" s="37"/>
      <c r="I959" s="37" t="s">
        <v>9</v>
      </c>
      <c r="J959" s="37"/>
      <c r="K959" s="13" t="s">
        <v>26</v>
      </c>
      <c r="L959" s="13" t="s">
        <v>29</v>
      </c>
      <c r="M959" s="184" t="s">
        <v>1255</v>
      </c>
      <c r="N959" s="52" t="s">
        <v>1256</v>
      </c>
      <c r="O959" s="42">
        <v>7.1999999999999995E-2</v>
      </c>
      <c r="Q959" s="168" t="s">
        <v>9</v>
      </c>
      <c r="R959" s="37" t="s">
        <v>106</v>
      </c>
      <c r="S959" s="37"/>
      <c r="T959" s="37"/>
      <c r="W959" s="14"/>
      <c r="X959" s="14" t="str">
        <f t="shared" si="67"/>
        <v>...</v>
      </c>
      <c r="Y959" s="52" t="s">
        <v>919</v>
      </c>
      <c r="Z959" s="58" t="str">
        <f>IF(OR($M959="",NOT($O959="{array}")),"",IFERROR(MATCH(PARAMETERS!$M959,DEFAULT!$B$5:$CI$5,0),""))</f>
        <v/>
      </c>
      <c r="AA959" s="55" t="str">
        <f t="shared" si="70"/>
        <v/>
      </c>
      <c r="AB959" s="62" t="str">
        <f>IF(AND(OR($A959="G",$A959="P"),NOT($O959="{array}")),IF(VLOOKUP($K959,base!$B$2:$D$20,3,0)="S",IF(OR($O959="",ISTEXT($O959)),"","STRING!"),IF(VLOOKUP($K959,base!$B$2:$D$20,3,0)="","",IF(ISTEXT($O959),"NUMERIC!",""))),"")</f>
        <v/>
      </c>
      <c r="AC959" s="16" t="str">
        <f>IF($AA959="","",IF($B959="I",VLOOKUP($AA959,#REF!,53,0),INDEX(VALUES!$B$1:$GP$1,1,$AA959)))</f>
        <v/>
      </c>
    </row>
    <row r="960" spans="1:29" hidden="1" outlineLevel="1">
      <c r="A960" s="21" t="s">
        <v>86</v>
      </c>
      <c r="B960" s="40" t="str">
        <f t="shared" ref="B960:B976" si="71">IF($A960="P",IF(NOT($Z960=""),"A",IF(NOT($AA960=""),"I","")),IF(NOT($AA960=""),IF($A960="G","V","X"),IF(NOT($Z960=""),"A","")))</f>
        <v/>
      </c>
      <c r="C960" s="41">
        <f t="shared" si="69"/>
        <v>959</v>
      </c>
      <c r="D960" s="260"/>
      <c r="E960" s="37"/>
      <c r="F960" s="305"/>
      <c r="G960" s="188"/>
      <c r="H960" s="37"/>
      <c r="I960" s="37" t="s">
        <v>9</v>
      </c>
      <c r="J960" s="37"/>
      <c r="K960" s="163" t="s">
        <v>20</v>
      </c>
      <c r="L960" s="164" t="s">
        <v>23</v>
      </c>
      <c r="M960" s="184" t="s">
        <v>3776</v>
      </c>
      <c r="N960" s="163" t="s">
        <v>3777</v>
      </c>
      <c r="O960" s="163" t="s">
        <v>478</v>
      </c>
      <c r="P960" s="157" t="s">
        <v>298</v>
      </c>
      <c r="Q960" s="168"/>
      <c r="R960" s="168" t="s">
        <v>204</v>
      </c>
      <c r="S960" s="168" t="s">
        <v>114</v>
      </c>
      <c r="T960" s="163" t="s">
        <v>298</v>
      </c>
      <c r="U960" s="163" t="s">
        <v>298</v>
      </c>
      <c r="V960" s="163"/>
      <c r="W960" s="14" t="str">
        <f>IF(IFERROR(VLOOKUP($M960,'IMPORT GS-Tür OL FL 2S2 20'!$H$2:$H$847,1,0),"-")="-","","GS")</f>
        <v/>
      </c>
      <c r="X960" s="14" t="str">
        <f t="shared" ref="X960:X972" si="72">IF($A960="G",IF(IFERROR(VLOOKUP($M960,Reimport,1,0),"-")="-","&gt;&lt;",IF($O960=VLOOKUP($M960,Reimport,2,0),"...",VLOOKUP($M960,Reimport,2,0))),"")</f>
        <v>&gt;&lt;</v>
      </c>
      <c r="Y960" s="163"/>
      <c r="Z960" s="58" t="str">
        <f>IF(OR($M960="",NOT($O960="{array}")),"",IFERROR(MATCH(PARAMETERS!$M960,DEFAULT!$B$5:$CI$5,0),""))</f>
        <v/>
      </c>
      <c r="AA960" s="55" t="str">
        <f t="shared" ref="AA960:AA1044" si="73">IF($M960="","",IFERROR(MATCH($M960,VALUESnames,0),""))</f>
        <v/>
      </c>
      <c r="AB960" s="62" t="str">
        <f>IF(AND(OR($A960="G",$A960="P"),NOT($O960="{array}")),IF(VLOOKUP($K960,base!$B$2:$D$20,3,0)="S",IF(OR($O960="",ISTEXT($O960)),"","STRING!"),IF(VLOOKUP($K960,base!$B$2:$D$20,3,0)="","",IF(ISTEXT($O960),"NUMERIC!",""))),"")</f>
        <v/>
      </c>
      <c r="AC960" s="16" t="str">
        <f>IF($AA960="","",IF($B960="I",VLOOKUP($AA960,#REF!,53,0),INDEX(VALUES!$B$1:$GP$1,1,$AA960)))</f>
        <v/>
      </c>
    </row>
    <row r="961" spans="1:29" hidden="1" outlineLevel="1">
      <c r="A961" s="21" t="s">
        <v>86</v>
      </c>
      <c r="B961" s="40" t="str">
        <f t="shared" si="71"/>
        <v/>
      </c>
      <c r="C961" s="41">
        <f t="shared" si="69"/>
        <v>960</v>
      </c>
      <c r="D961" s="260" t="s">
        <v>9</v>
      </c>
      <c r="E961" s="37"/>
      <c r="F961" s="305"/>
      <c r="G961" s="188"/>
      <c r="H961" s="37"/>
      <c r="I961" s="37" t="s">
        <v>9</v>
      </c>
      <c r="J961" s="37"/>
      <c r="K961" s="163" t="s">
        <v>20</v>
      </c>
      <c r="L961" s="164" t="s">
        <v>23</v>
      </c>
      <c r="M961" s="184" t="s">
        <v>3853</v>
      </c>
      <c r="N961" s="156" t="s">
        <v>3852</v>
      </c>
      <c r="O961" s="163" t="s">
        <v>3848</v>
      </c>
      <c r="P961" s="157" t="s">
        <v>298</v>
      </c>
      <c r="Q961" s="168" t="s">
        <v>9</v>
      </c>
      <c r="R961" s="168" t="s">
        <v>105</v>
      </c>
      <c r="S961" s="168" t="s">
        <v>114</v>
      </c>
      <c r="T961" s="37"/>
      <c r="X961" s="14" t="str">
        <f t="shared" si="72"/>
        <v>&gt;&lt;</v>
      </c>
      <c r="Z961" s="58" t="str">
        <f>IF(OR($M961="",NOT($O961="{array}")),"",IFERROR(MATCH(PARAMETERS!$M961,DEFAULT!$B$5:$CI$5,0),""))</f>
        <v/>
      </c>
      <c r="AA961" s="55" t="str">
        <f t="shared" si="73"/>
        <v/>
      </c>
      <c r="AB961" s="62" t="str">
        <f>IF(AND(OR($A961="G",$A961="P"),NOT($O961="{array}")),IF(VLOOKUP($K961,base!$B$2:$D$20,3,0)="S",IF(OR($O961="",ISTEXT($O961)),"","STRING!"),IF(VLOOKUP($K961,base!$B$2:$D$20,3,0)="","",IF(ISTEXT($O961),"NUMERIC!",""))),"")</f>
        <v/>
      </c>
      <c r="AC961" s="16" t="str">
        <f>IF($AA961="","",IF($B961="I",VLOOKUP($AA961,#REF!,53,0),INDEX(VALUES!$B$1:$GP$1,1,$AA961)))</f>
        <v/>
      </c>
    </row>
    <row r="962" spans="1:29" hidden="1" outlineLevel="1">
      <c r="A962" s="21" t="s">
        <v>86</v>
      </c>
      <c r="B962" s="40" t="str">
        <f t="shared" si="71"/>
        <v/>
      </c>
      <c r="C962" s="41">
        <f t="shared" si="69"/>
        <v>961</v>
      </c>
      <c r="D962" s="260" t="s">
        <v>9</v>
      </c>
      <c r="E962" s="37"/>
      <c r="F962" s="305"/>
      <c r="G962" s="188"/>
      <c r="H962" s="37"/>
      <c r="I962" s="37" t="s">
        <v>9</v>
      </c>
      <c r="J962" s="37"/>
      <c r="K962" s="163" t="s">
        <v>20</v>
      </c>
      <c r="L962" s="164" t="s">
        <v>23</v>
      </c>
      <c r="M962" s="184" t="s">
        <v>3854</v>
      </c>
      <c r="N962" s="163" t="s">
        <v>501</v>
      </c>
      <c r="O962" s="163" t="s">
        <v>3192</v>
      </c>
      <c r="P962" s="157" t="s">
        <v>298</v>
      </c>
      <c r="Q962" s="168" t="s">
        <v>9</v>
      </c>
      <c r="R962" s="168" t="s">
        <v>105</v>
      </c>
      <c r="S962" s="168" t="s">
        <v>114</v>
      </c>
      <c r="T962" s="163" t="s">
        <v>298</v>
      </c>
      <c r="U962" s="163" t="s">
        <v>298</v>
      </c>
      <c r="V962" s="163" t="s">
        <v>501</v>
      </c>
      <c r="W962" s="14" t="str">
        <f>IF(IFERROR(VLOOKUP($M962,'IMPORT GS-Tür OL FL 2S2 20'!$H$2:$H$847,1,0),"-")="-","","GS")</f>
        <v/>
      </c>
      <c r="X962" s="14" t="str">
        <f t="shared" si="72"/>
        <v>&gt;&lt;</v>
      </c>
      <c r="Y962" s="163" t="s">
        <v>502</v>
      </c>
      <c r="Z962" s="58" t="str">
        <f>IF(OR($M962="",NOT($O962="{array}")),"",IFERROR(MATCH(PARAMETERS!$M962,DEFAULT!$B$5:$CI$5,0),""))</f>
        <v/>
      </c>
      <c r="AA962" s="55" t="str">
        <f t="shared" si="73"/>
        <v/>
      </c>
      <c r="AB962" s="62" t="str">
        <f>IF(AND(OR($A962="G",$A962="P"),NOT($O962="{array}")),IF(VLOOKUP($K962,base!$B$2:$D$20,3,0)="S",IF(OR($O962="",ISTEXT($O962)),"","STRING!"),IF(VLOOKUP($K962,base!$B$2:$D$20,3,0)="","",IF(ISTEXT($O962),"NUMERIC!",""))),"")</f>
        <v/>
      </c>
      <c r="AC962" s="16" t="str">
        <f>IF($AA962="","",IF($B962="I",VLOOKUP($AA962,#REF!,53,0),INDEX(VALUES!$B$1:$GP$1,1,$AA962)))</f>
        <v/>
      </c>
    </row>
    <row r="963" spans="1:29" hidden="1" outlineLevel="1">
      <c r="A963" s="21" t="s">
        <v>86</v>
      </c>
      <c r="B963" s="40" t="str">
        <f t="shared" si="71"/>
        <v/>
      </c>
      <c r="C963" s="41">
        <f t="shared" si="69"/>
        <v>962</v>
      </c>
      <c r="D963" s="260" t="s">
        <v>9</v>
      </c>
      <c r="E963" s="37"/>
      <c r="F963" s="305"/>
      <c r="G963" s="188"/>
      <c r="H963" s="37"/>
      <c r="I963" s="37" t="s">
        <v>9</v>
      </c>
      <c r="J963" s="37"/>
      <c r="K963" s="163" t="s">
        <v>46</v>
      </c>
      <c r="L963" s="164" t="s">
        <v>34</v>
      </c>
      <c r="M963" s="184" t="s">
        <v>3764</v>
      </c>
      <c r="N963" s="163" t="s">
        <v>3814</v>
      </c>
      <c r="O963" s="163">
        <v>0</v>
      </c>
      <c r="P963" s="157" t="s">
        <v>298</v>
      </c>
      <c r="Q963" s="168"/>
      <c r="R963" s="168" t="s">
        <v>105</v>
      </c>
      <c r="S963" s="168" t="s">
        <v>114</v>
      </c>
      <c r="T963" s="163" t="s">
        <v>298</v>
      </c>
      <c r="U963" s="163" t="s">
        <v>298</v>
      </c>
      <c r="V963" s="163" t="s">
        <v>503</v>
      </c>
      <c r="W963" s="14" t="str">
        <f>IF(IFERROR(VLOOKUP($M963,'IMPORT GS-Tür OL FL 2S2 20'!$H$2:$H$847,1,0),"-")="-","","GS")</f>
        <v/>
      </c>
      <c r="X963" s="14" t="str">
        <f t="shared" si="72"/>
        <v>&gt;&lt;</v>
      </c>
      <c r="Y963" s="163" t="s">
        <v>504</v>
      </c>
      <c r="Z963" s="58" t="str">
        <f>IF(OR($M963="",NOT($O963="{array}")),"",IFERROR(MATCH(PARAMETERS!$M963,DEFAULT!$B$5:$CI$5,0),""))</f>
        <v/>
      </c>
      <c r="AA963" s="55" t="str">
        <f t="shared" si="73"/>
        <v/>
      </c>
      <c r="AB963" s="62" t="str">
        <f>IF(AND(OR($A963="G",$A963="P"),NOT($O963="{array}")),IF(VLOOKUP($K963,base!$B$2:$D$20,3,0)="S",IF(OR($O963="",ISTEXT($O963)),"","STRING!"),IF(VLOOKUP($K963,base!$B$2:$D$20,3,0)="","",IF(ISTEXT($O963),"NUMERIC!",""))),"")</f>
        <v/>
      </c>
      <c r="AC963" s="16" t="str">
        <f>IF($AA963="","",IF($B963="I",VLOOKUP($AA963,#REF!,53,0),INDEX(VALUES!$B$1:$GP$1,1,$AA963)))</f>
        <v/>
      </c>
    </row>
    <row r="964" spans="1:29" hidden="1" outlineLevel="1">
      <c r="A964" s="21" t="s">
        <v>86</v>
      </c>
      <c r="B964" s="40" t="str">
        <f t="shared" si="71"/>
        <v/>
      </c>
      <c r="C964" s="41">
        <f t="shared" si="69"/>
        <v>963</v>
      </c>
      <c r="D964" s="260" t="s">
        <v>9</v>
      </c>
      <c r="E964" s="37"/>
      <c r="F964" s="305"/>
      <c r="G964" s="188"/>
      <c r="H964" s="37"/>
      <c r="I964" s="37" t="s">
        <v>9</v>
      </c>
      <c r="J964" s="37"/>
      <c r="K964" s="163" t="s">
        <v>46</v>
      </c>
      <c r="L964" s="164" t="s">
        <v>34</v>
      </c>
      <c r="M964" s="184" t="s">
        <v>3765</v>
      </c>
      <c r="N964" s="163" t="s">
        <v>505</v>
      </c>
      <c r="O964" s="163">
        <v>0</v>
      </c>
      <c r="P964" s="157" t="s">
        <v>298</v>
      </c>
      <c r="Q964" s="168"/>
      <c r="R964" s="168" t="s">
        <v>105</v>
      </c>
      <c r="S964" s="168" t="s">
        <v>114</v>
      </c>
      <c r="T964" s="163" t="s">
        <v>298</v>
      </c>
      <c r="U964" s="163" t="s">
        <v>298</v>
      </c>
      <c r="V964" s="163" t="s">
        <v>505</v>
      </c>
      <c r="W964" s="14" t="str">
        <f>IF(IFERROR(VLOOKUP($M964,'IMPORT GS-Tür OL FL 2S2 20'!$H$2:$H$847,1,0),"-")="-","","GS")</f>
        <v/>
      </c>
      <c r="X964" s="14" t="str">
        <f t="shared" si="72"/>
        <v>&gt;&lt;</v>
      </c>
      <c r="Y964" s="163" t="s">
        <v>506</v>
      </c>
      <c r="Z964" s="58" t="str">
        <f>IF(OR($M964="",NOT($O964="{array}")),"",IFERROR(MATCH(PARAMETERS!$M964,DEFAULT!$B$5:$CI$5,0),""))</f>
        <v/>
      </c>
      <c r="AA964" s="55" t="str">
        <f t="shared" si="73"/>
        <v/>
      </c>
      <c r="AB964" s="62" t="str">
        <f>IF(AND(OR($A964="G",$A964="P"),NOT($O964="{array}")),IF(VLOOKUP($K964,base!$B$2:$D$20,3,0)="S",IF(OR($O964="",ISTEXT($O964)),"","STRING!"),IF(VLOOKUP($K964,base!$B$2:$D$20,3,0)="","",IF(ISTEXT($O964),"NUMERIC!",""))),"")</f>
        <v/>
      </c>
      <c r="AC964" s="16" t="str">
        <f>IF($AA964="","",IF($B964="I",VLOOKUP($AA964,#REF!,53,0),INDEX(VALUES!$B$1:$GP$1,1,$AA964)))</f>
        <v/>
      </c>
    </row>
    <row r="965" spans="1:29" hidden="1" outlineLevel="1">
      <c r="A965" s="21" t="s">
        <v>86</v>
      </c>
      <c r="B965" s="40" t="str">
        <f t="shared" si="71"/>
        <v/>
      </c>
      <c r="C965" s="41">
        <f t="shared" si="69"/>
        <v>964</v>
      </c>
      <c r="D965" s="260"/>
      <c r="E965" s="37"/>
      <c r="F965" s="305"/>
      <c r="G965" s="188"/>
      <c r="H965" s="37"/>
      <c r="I965" s="37" t="s">
        <v>9</v>
      </c>
      <c r="J965" s="37"/>
      <c r="K965" s="163" t="s">
        <v>20</v>
      </c>
      <c r="L965" s="164" t="s">
        <v>23</v>
      </c>
      <c r="M965" s="184" t="s">
        <v>3766</v>
      </c>
      <c r="N965" s="163" t="s">
        <v>507</v>
      </c>
      <c r="O965" s="163" t="s">
        <v>3774</v>
      </c>
      <c r="P965" s="157" t="s">
        <v>298</v>
      </c>
      <c r="Q965" s="168"/>
      <c r="R965" s="168" t="s">
        <v>105</v>
      </c>
      <c r="S965" s="168" t="s">
        <v>114</v>
      </c>
      <c r="T965" s="163" t="s">
        <v>298</v>
      </c>
      <c r="U965" s="163" t="s">
        <v>298</v>
      </c>
      <c r="V965" s="163" t="s">
        <v>507</v>
      </c>
      <c r="W965" s="14" t="str">
        <f>IF(IFERROR(VLOOKUP($M965,'IMPORT GS-Tür OL FL 2S2 20'!$H$2:$H$847,1,0),"-")="-","","GS")</f>
        <v/>
      </c>
      <c r="X965" s="14" t="str">
        <f t="shared" si="72"/>
        <v>&gt;&lt;</v>
      </c>
      <c r="Y965" s="163" t="s">
        <v>508</v>
      </c>
      <c r="Z965" s="58" t="str">
        <f>IF(OR($M965="",NOT($O965="{array}")),"",IFERROR(MATCH(PARAMETERS!$M965,DEFAULT!$B$5:$CI$5,0),""))</f>
        <v/>
      </c>
      <c r="AA965" s="55" t="str">
        <f t="shared" si="73"/>
        <v/>
      </c>
      <c r="AB965" s="62" t="str">
        <f>IF(AND(OR($A965="G",$A965="P"),NOT($O965="{array}")),IF(VLOOKUP($K965,base!$B$2:$D$20,3,0)="S",IF(OR($O965="",ISTEXT($O965)),"","STRING!"),IF(VLOOKUP($K965,base!$B$2:$D$20,3,0)="","",IF(ISTEXT($O965),"NUMERIC!",""))),"")</f>
        <v/>
      </c>
      <c r="AC965" s="16" t="str">
        <f>IF($AA965="","",IF($B965="I",VLOOKUP($AA965,#REF!,53,0),INDEX(VALUES!$B$1:$GP$1,1,$AA965)))</f>
        <v/>
      </c>
    </row>
    <row r="966" spans="1:29" hidden="1" outlineLevel="1">
      <c r="A966" s="21" t="s">
        <v>86</v>
      </c>
      <c r="B966" s="40" t="str">
        <f t="shared" si="71"/>
        <v/>
      </c>
      <c r="C966" s="41">
        <f t="shared" si="69"/>
        <v>965</v>
      </c>
      <c r="D966" s="260" t="s">
        <v>9</v>
      </c>
      <c r="E966" s="37"/>
      <c r="F966" s="305"/>
      <c r="G966" s="188"/>
      <c r="H966" s="37"/>
      <c r="I966" s="37" t="s">
        <v>9</v>
      </c>
      <c r="J966" s="37"/>
      <c r="K966" s="163" t="s">
        <v>46</v>
      </c>
      <c r="L966" s="164" t="s">
        <v>23</v>
      </c>
      <c r="M966" s="184" t="s">
        <v>3767</v>
      </c>
      <c r="N966" s="163" t="s">
        <v>509</v>
      </c>
      <c r="O966" s="163">
        <v>0</v>
      </c>
      <c r="P966" s="157" t="s">
        <v>298</v>
      </c>
      <c r="Q966" s="168"/>
      <c r="R966" s="168" t="s">
        <v>105</v>
      </c>
      <c r="S966" s="168" t="s">
        <v>114</v>
      </c>
      <c r="T966" s="163" t="s">
        <v>298</v>
      </c>
      <c r="U966" s="163" t="s">
        <v>298</v>
      </c>
      <c r="V966" s="163" t="s">
        <v>509</v>
      </c>
      <c r="W966" s="14" t="str">
        <f>IF(IFERROR(VLOOKUP($M966,'IMPORT GS-Tür OL FL 2S2 20'!$H$2:$H$847,1,0),"-")="-","","GS")</f>
        <v/>
      </c>
      <c r="X966" s="14" t="str">
        <f t="shared" si="72"/>
        <v>&gt;&lt;</v>
      </c>
      <c r="Y966" s="163" t="s">
        <v>510</v>
      </c>
      <c r="Z966" s="58" t="str">
        <f>IF(OR($M966="",NOT($O966="{array}")),"",IFERROR(MATCH(PARAMETERS!$M966,DEFAULT!$B$5:$CI$5,0),""))</f>
        <v/>
      </c>
      <c r="AA966" s="55" t="str">
        <f t="shared" si="73"/>
        <v/>
      </c>
      <c r="AB966" s="62" t="str">
        <f>IF(AND(OR($A966="G",$A966="P"),NOT($O966="{array}")),IF(VLOOKUP($K966,base!$B$2:$D$20,3,0)="S",IF(OR($O966="",ISTEXT($O966)),"","STRING!"),IF(VLOOKUP($K966,base!$B$2:$D$20,3,0)="","",IF(ISTEXT($O966),"NUMERIC!",""))),"")</f>
        <v/>
      </c>
      <c r="AC966" s="16" t="str">
        <f>IF($AA966="","",IF($B966="I",VLOOKUP($AA966,#REF!,53,0),INDEX(VALUES!$B$1:$GP$1,1,$AA966)))</f>
        <v/>
      </c>
    </row>
    <row r="967" spans="1:29" hidden="1" outlineLevel="1">
      <c r="A967" s="21" t="s">
        <v>86</v>
      </c>
      <c r="B967" s="40" t="str">
        <f t="shared" si="71"/>
        <v/>
      </c>
      <c r="C967" s="41">
        <f t="shared" si="69"/>
        <v>966</v>
      </c>
      <c r="D967" s="260" t="s">
        <v>9</v>
      </c>
      <c r="E967" s="37"/>
      <c r="F967" s="305"/>
      <c r="G967" s="188"/>
      <c r="H967" s="37"/>
      <c r="I967" s="37" t="s">
        <v>9</v>
      </c>
      <c r="J967" s="37"/>
      <c r="K967" s="163" t="s">
        <v>46</v>
      </c>
      <c r="L967" s="164" t="s">
        <v>23</v>
      </c>
      <c r="M967" s="184" t="s">
        <v>3772</v>
      </c>
      <c r="N967" s="163" t="s">
        <v>511</v>
      </c>
      <c r="O967" s="163">
        <v>0</v>
      </c>
      <c r="P967" s="157" t="s">
        <v>298</v>
      </c>
      <c r="Q967" s="168"/>
      <c r="R967" s="168" t="s">
        <v>105</v>
      </c>
      <c r="S967" s="168" t="s">
        <v>114</v>
      </c>
      <c r="T967" s="163" t="s">
        <v>298</v>
      </c>
      <c r="U967" s="163" t="s">
        <v>298</v>
      </c>
      <c r="V967" s="163" t="s">
        <v>511</v>
      </c>
      <c r="W967" s="14" t="str">
        <f>IF(IFERROR(VLOOKUP($M967,'IMPORT GS-Tür OL FL 2S2 20'!$H$2:$H$847,1,0),"-")="-","","GS")</f>
        <v/>
      </c>
      <c r="X967" s="14" t="str">
        <f t="shared" si="72"/>
        <v>&gt;&lt;</v>
      </c>
      <c r="Y967" s="163" t="s">
        <v>512</v>
      </c>
      <c r="Z967" s="58" t="str">
        <f>IF(OR($M967="",NOT($O967="{array}")),"",IFERROR(MATCH(PARAMETERS!$M967,DEFAULT!$B$5:$CI$5,0),""))</f>
        <v/>
      </c>
      <c r="AA967" s="55" t="str">
        <f t="shared" si="73"/>
        <v/>
      </c>
      <c r="AB967" s="62" t="str">
        <f>IF(AND(OR($A967="G",$A967="P"),NOT($O967="{array}")),IF(VLOOKUP($K967,base!$B$2:$D$20,3,0)="S",IF(OR($O967="",ISTEXT($O967)),"","STRING!"),IF(VLOOKUP($K967,base!$B$2:$D$20,3,0)="","",IF(ISTEXT($O967),"NUMERIC!",""))),"")</f>
        <v/>
      </c>
      <c r="AC967" s="16" t="str">
        <f>IF($AA967="","",IF($B967="I",VLOOKUP($AA967,#REF!,53,0),INDEX(VALUES!$B$1:$GP$1,1,$AA967)))</f>
        <v/>
      </c>
    </row>
    <row r="968" spans="1:29" hidden="1" outlineLevel="1">
      <c r="A968" s="21" t="s">
        <v>86</v>
      </c>
      <c r="B968" s="40" t="str">
        <f t="shared" si="71"/>
        <v/>
      </c>
      <c r="C968" s="41">
        <f t="shared" si="69"/>
        <v>967</v>
      </c>
      <c r="D968" s="260" t="s">
        <v>9</v>
      </c>
      <c r="E968" s="37"/>
      <c r="F968" s="305"/>
      <c r="G968" s="188"/>
      <c r="H968" s="37"/>
      <c r="I968" s="37" t="s">
        <v>9</v>
      </c>
      <c r="J968" s="37"/>
      <c r="K968" s="163" t="s">
        <v>46</v>
      </c>
      <c r="L968" s="164" t="s">
        <v>23</v>
      </c>
      <c r="M968" s="184" t="s">
        <v>3768</v>
      </c>
      <c r="N968" s="163" t="s">
        <v>513</v>
      </c>
      <c r="O968" s="163">
        <v>0</v>
      </c>
      <c r="P968" s="157" t="s">
        <v>298</v>
      </c>
      <c r="Q968" s="168"/>
      <c r="R968" s="168" t="s">
        <v>105</v>
      </c>
      <c r="S968" s="168" t="s">
        <v>114</v>
      </c>
      <c r="T968" s="163" t="s">
        <v>298</v>
      </c>
      <c r="U968" s="163" t="s">
        <v>298</v>
      </c>
      <c r="V968" s="163" t="s">
        <v>513</v>
      </c>
      <c r="W968" s="14" t="str">
        <f>IF(IFERROR(VLOOKUP($M968,'IMPORT GS-Tür OL FL 2S2 20'!$H$2:$H$847,1,0),"-")="-","","GS")</f>
        <v/>
      </c>
      <c r="X968" s="14" t="str">
        <f t="shared" si="72"/>
        <v>&gt;&lt;</v>
      </c>
      <c r="Y968" s="163" t="s">
        <v>514</v>
      </c>
      <c r="Z968" s="58" t="str">
        <f>IF(OR($M968="",NOT($O968="{array}")),"",IFERROR(MATCH(PARAMETERS!$M968,DEFAULT!$B$5:$CI$5,0),""))</f>
        <v/>
      </c>
      <c r="AA968" s="55" t="str">
        <f t="shared" si="73"/>
        <v/>
      </c>
      <c r="AB968" s="62" t="str">
        <f>IF(AND(OR($A968="G",$A968="P"),NOT($O968="{array}")),IF(VLOOKUP($K968,base!$B$2:$D$20,3,0)="S",IF(OR($O968="",ISTEXT($O968)),"","STRING!"),IF(VLOOKUP($K968,base!$B$2:$D$20,3,0)="","",IF(ISTEXT($O968),"NUMERIC!",""))),"")</f>
        <v/>
      </c>
      <c r="AC968" s="16" t="str">
        <f>IF($AA968="","",IF($B968="I",VLOOKUP($AA968,#REF!,53,0),INDEX(VALUES!$B$1:$GP$1,1,$AA968)))</f>
        <v/>
      </c>
    </row>
    <row r="969" spans="1:29" hidden="1" outlineLevel="1">
      <c r="A969" s="21" t="s">
        <v>86</v>
      </c>
      <c r="B969" s="40" t="str">
        <f t="shared" si="71"/>
        <v/>
      </c>
      <c r="C969" s="41">
        <f t="shared" si="69"/>
        <v>968</v>
      </c>
      <c r="D969" s="260" t="s">
        <v>9</v>
      </c>
      <c r="E969" s="37"/>
      <c r="F969" s="305"/>
      <c r="G969" s="188"/>
      <c r="H969" s="37"/>
      <c r="I969" s="37" t="s">
        <v>9</v>
      </c>
      <c r="J969" s="37"/>
      <c r="K969" s="163" t="s">
        <v>20</v>
      </c>
      <c r="L969" s="164" t="s">
        <v>23</v>
      </c>
      <c r="M969" s="184" t="s">
        <v>3770</v>
      </c>
      <c r="N969" s="163" t="s">
        <v>517</v>
      </c>
      <c r="O969" s="163" t="s">
        <v>3762</v>
      </c>
      <c r="P969" s="157" t="s">
        <v>298</v>
      </c>
      <c r="Q969" s="168"/>
      <c r="R969" s="168" t="s">
        <v>105</v>
      </c>
      <c r="S969" s="168" t="s">
        <v>114</v>
      </c>
      <c r="T969" s="163" t="s">
        <v>298</v>
      </c>
      <c r="U969" s="163" t="s">
        <v>298</v>
      </c>
      <c r="V969" s="163" t="s">
        <v>517</v>
      </c>
      <c r="W969" s="14" t="str">
        <f>IF(IFERROR(VLOOKUP($M969,'IMPORT GS-Tür OL FL 2S2 20'!$H$2:$H$847,1,0),"-")="-","","GS")</f>
        <v/>
      </c>
      <c r="X969" s="14" t="str">
        <f t="shared" si="72"/>
        <v>&gt;&lt;</v>
      </c>
      <c r="Y969" s="163" t="s">
        <v>519</v>
      </c>
      <c r="Z969" s="58" t="str">
        <f>IF(OR($M969="",NOT($O969="{array}")),"",IFERROR(MATCH(PARAMETERS!$M969,DEFAULT!$B$5:$CI$5,0),""))</f>
        <v/>
      </c>
      <c r="AA969" s="55" t="str">
        <f t="shared" si="73"/>
        <v/>
      </c>
      <c r="AB969" s="62" t="str">
        <f>IF(AND(OR($A969="G",$A969="P"),NOT($O969="{array}")),IF(VLOOKUP($K969,base!$B$2:$D$20,3,0)="S",IF(OR($O969="",ISTEXT($O969)),"","STRING!"),IF(VLOOKUP($K969,base!$B$2:$D$20,3,0)="","",IF(ISTEXT($O969),"NUMERIC!",""))),"")</f>
        <v/>
      </c>
      <c r="AC969" s="16" t="str">
        <f>IF($AA969="","",IF($B969="I",VLOOKUP($AA969,#REF!,53,0),INDEX(VALUES!$B$1:$GP$1,1,$AA969)))</f>
        <v/>
      </c>
    </row>
    <row r="970" spans="1:29" hidden="1" outlineLevel="1">
      <c r="A970" s="21" t="s">
        <v>86</v>
      </c>
      <c r="B970" s="40" t="str">
        <f t="shared" si="71"/>
        <v/>
      </c>
      <c r="C970" s="41">
        <f t="shared" si="69"/>
        <v>969</v>
      </c>
      <c r="D970" s="260"/>
      <c r="E970" s="37"/>
      <c r="F970" s="305"/>
      <c r="G970" s="188"/>
      <c r="H970" s="37"/>
      <c r="I970" s="37" t="s">
        <v>9</v>
      </c>
      <c r="J970" s="37"/>
      <c r="K970" s="163" t="s">
        <v>46</v>
      </c>
      <c r="L970" s="164" t="s">
        <v>34</v>
      </c>
      <c r="M970" s="184" t="s">
        <v>3818</v>
      </c>
      <c r="N970" s="163" t="s">
        <v>3819</v>
      </c>
      <c r="O970" s="163">
        <v>0</v>
      </c>
      <c r="P970" s="157" t="s">
        <v>298</v>
      </c>
      <c r="Q970" s="168"/>
      <c r="R970" s="168" t="s">
        <v>105</v>
      </c>
      <c r="S970" s="168" t="s">
        <v>114</v>
      </c>
      <c r="T970" s="163" t="s">
        <v>298</v>
      </c>
      <c r="U970" s="163" t="s">
        <v>298</v>
      </c>
      <c r="V970" s="163"/>
      <c r="W970" s="14" t="str">
        <f>IF(IFERROR(VLOOKUP($M970,'IMPORT GS-Tür OL FL 2S2 20'!$H$2:$H$847,1,0),"-")="-","","GS")</f>
        <v/>
      </c>
      <c r="X970" s="14" t="str">
        <f t="shared" si="72"/>
        <v>&gt;&lt;</v>
      </c>
      <c r="Y970" s="163"/>
      <c r="Z970" s="58" t="str">
        <f>IF(OR($M970="",NOT($O970="{array}")),"",IFERROR(MATCH(PARAMETERS!$M970,DEFAULT!$B$5:$CI$5,0),""))</f>
        <v/>
      </c>
      <c r="AA970" s="55" t="str">
        <f t="shared" si="73"/>
        <v/>
      </c>
      <c r="AB970" s="62" t="str">
        <f>IF(AND(OR($A970="G",$A970="P"),NOT($O970="{array}")),IF(VLOOKUP($K970,base!$B$2:$D$20,3,0)="S",IF(OR($O970="",ISTEXT($O970)),"","STRING!"),IF(VLOOKUP($K970,base!$B$2:$D$20,3,0)="","",IF(ISTEXT($O970),"NUMERIC!",""))),"")</f>
        <v/>
      </c>
      <c r="AC970" s="16" t="str">
        <f>IF($AA970="","",IF($B970="I",VLOOKUP($AA970,#REF!,53,0),INDEX(VALUES!$B$1:$GP$1,1,$AA970)))</f>
        <v/>
      </c>
    </row>
    <row r="971" spans="1:29" hidden="1" outlineLevel="1">
      <c r="A971" s="21" t="s">
        <v>86</v>
      </c>
      <c r="B971" s="40" t="str">
        <f t="shared" si="71"/>
        <v/>
      </c>
      <c r="C971" s="41">
        <f t="shared" si="69"/>
        <v>970</v>
      </c>
      <c r="D971" s="260" t="s">
        <v>9</v>
      </c>
      <c r="E971" s="37"/>
      <c r="F971" s="305"/>
      <c r="G971" s="188"/>
      <c r="H971" s="37"/>
      <c r="I971" s="37" t="s">
        <v>9</v>
      </c>
      <c r="J971" s="37"/>
      <c r="K971" s="163" t="s">
        <v>46</v>
      </c>
      <c r="L971" s="164" t="s">
        <v>34</v>
      </c>
      <c r="M971" s="184" t="s">
        <v>3771</v>
      </c>
      <c r="N971" s="163" t="s">
        <v>3815</v>
      </c>
      <c r="O971" s="163">
        <v>0</v>
      </c>
      <c r="P971" s="157" t="s">
        <v>298</v>
      </c>
      <c r="Q971" s="168" t="s">
        <v>9</v>
      </c>
      <c r="R971" s="168" t="s">
        <v>105</v>
      </c>
      <c r="S971" s="168" t="s">
        <v>114</v>
      </c>
      <c r="T971" s="163" t="s">
        <v>298</v>
      </c>
      <c r="U971" s="163" t="s">
        <v>298</v>
      </c>
      <c r="V971" s="163" t="s">
        <v>520</v>
      </c>
      <c r="W971" s="14" t="str">
        <f>IF(IFERROR(VLOOKUP($M971,'IMPORT GS-Tür OL FL 2S2 20'!$H$2:$H$847,1,0),"-")="-","","GS")</f>
        <v/>
      </c>
      <c r="X971" s="14" t="str">
        <f t="shared" si="72"/>
        <v>&gt;&lt;</v>
      </c>
      <c r="Y971" s="163" t="s">
        <v>521</v>
      </c>
      <c r="Z971" s="58" t="str">
        <f>IF(OR($M971="",NOT($O971="{array}")),"",IFERROR(MATCH(PARAMETERS!$M971,DEFAULT!$B$5:$CI$5,0),""))</f>
        <v/>
      </c>
      <c r="AA971" s="55" t="str">
        <f t="shared" si="73"/>
        <v/>
      </c>
      <c r="AB971" s="62" t="str">
        <f>IF(AND(OR($A971="G",$A971="P"),NOT($O971="{array}")),IF(VLOOKUP($K971,base!$B$2:$D$20,3,0)="S",IF(OR($O971="",ISTEXT($O971)),"","STRING!"),IF(VLOOKUP($K971,base!$B$2:$D$20,3,0)="","",IF(ISTEXT($O971),"NUMERIC!",""))),"")</f>
        <v/>
      </c>
      <c r="AC971" s="16" t="str">
        <f>IF($AA971="","",IF($B971="I",VLOOKUP($AA971,#REF!,53,0),INDEX(VALUES!$B$1:$GP$1,1,$AA971)))</f>
        <v/>
      </c>
    </row>
    <row r="972" spans="1:29" collapsed="1">
      <c r="A972" s="21" t="s">
        <v>86</v>
      </c>
      <c r="B972" s="40" t="str">
        <f t="shared" si="71"/>
        <v/>
      </c>
      <c r="C972" s="41">
        <f t="shared" si="69"/>
        <v>971</v>
      </c>
      <c r="D972" s="260"/>
      <c r="E972" s="37"/>
      <c r="F972" s="305"/>
      <c r="G972" s="188"/>
      <c r="H972" s="37"/>
      <c r="I972" s="37"/>
      <c r="J972" s="37"/>
      <c r="K972" s="230" t="s">
        <v>59</v>
      </c>
      <c r="L972" s="230" t="s">
        <v>40</v>
      </c>
      <c r="M972" s="231" t="s">
        <v>496</v>
      </c>
      <c r="N972" s="232" t="s">
        <v>3822</v>
      </c>
      <c r="R972" s="37" t="s">
        <v>106</v>
      </c>
      <c r="S972" s="37"/>
      <c r="T972" s="37"/>
      <c r="W972" s="14" t="str">
        <f>IF(IFERROR(VLOOKUP($M972,'IMPORT GS-Tür OL FL 2S2 20'!$H$2:$H$847,1,0),"-")="-","","GS")</f>
        <v/>
      </c>
      <c r="X972" s="14" t="str">
        <f t="shared" si="72"/>
        <v>...</v>
      </c>
      <c r="Z972" s="58" t="str">
        <f>IF(OR($M972="",NOT($O972="{array}")),"",IFERROR(MATCH(PARAMETERS!$M972,DEFAULT!$B$5:$CI$5,0),""))</f>
        <v/>
      </c>
      <c r="AA972" s="55" t="str">
        <f t="shared" si="73"/>
        <v/>
      </c>
      <c r="AB972" s="62" t="str">
        <f>IF(AND(OR($A972="G",$A972="P"),NOT($O972="{array}")),IF(VLOOKUP($K972,base!$B$2:$D$20,3,0)="S",IF(OR($O972="",ISTEXT($O972)),"","STRING!"),IF(VLOOKUP($K972,base!$B$2:$D$20,3,0)="","",IF(ISTEXT($O972),"NUMERIC!",""))),"")</f>
        <v/>
      </c>
      <c r="AC972" s="16" t="str">
        <f>IF($AA972="","",IF($B972="I",VLOOKUP($AA972,#REF!,53,0),INDEX(VALUES!$B$1:$GP$1,1,$AA972)))</f>
        <v/>
      </c>
    </row>
    <row r="973" spans="1:29" outlineLevel="1">
      <c r="A973" s="21" t="s">
        <v>86</v>
      </c>
      <c r="B973" s="40" t="str">
        <f t="shared" si="71"/>
        <v/>
      </c>
      <c r="C973" s="41">
        <f t="shared" si="69"/>
        <v>972</v>
      </c>
      <c r="D973" s="260" t="s">
        <v>9</v>
      </c>
      <c r="E973" s="37"/>
      <c r="F973" s="305"/>
      <c r="G973" s="188"/>
      <c r="H973" s="37"/>
      <c r="I973" s="37" t="s">
        <v>9</v>
      </c>
      <c r="J973" s="37"/>
      <c r="K973" s="52" t="s">
        <v>20</v>
      </c>
      <c r="L973" s="52" t="s">
        <v>34</v>
      </c>
      <c r="M973" s="184" t="s">
        <v>497</v>
      </c>
      <c r="N973" s="52" t="s">
        <v>4460</v>
      </c>
      <c r="O973" s="153" t="s">
        <v>21</v>
      </c>
      <c r="R973" s="168" t="s">
        <v>105</v>
      </c>
      <c r="S973" s="168" t="s">
        <v>114</v>
      </c>
      <c r="T973" s="163" t="s">
        <v>298</v>
      </c>
      <c r="U973" s="163" t="s">
        <v>298</v>
      </c>
      <c r="V973" s="163"/>
      <c r="W973" s="14"/>
      <c r="X973" s="14" t="str">
        <f>IF($A973="G",IF(IFERROR(VLOOKUP($M973,Reimport,1,0),"-")="-","&gt;&lt;",IF($O973=VLOOKUP($M973,Reimport,2,0),"...",VLOOKUP($M973,Reimport,2,0))),"")</f>
        <v>generic</v>
      </c>
      <c r="Y973" s="13" t="s">
        <v>3773</v>
      </c>
      <c r="Z973" s="58" t="str">
        <f>IF(OR($M973="",NOT($O973="{array}")),"",IFERROR(MATCH([1]PARAMETERS!$M973,[1]DEFAULT!$B$5:$CI$5,0),""))</f>
        <v/>
      </c>
      <c r="AA973" s="55" t="str">
        <f t="shared" ref="AA973:AA996" si="74">IF($M973="","",IFERROR(MATCH($M973,VALUESnames,0),""))</f>
        <v/>
      </c>
      <c r="AB973" s="62" t="str">
        <f>IF(AND(OR($A973="G",$A973="P"),NOT($O973="{array}")),IF(VLOOKUP($K973,[1]base!$B$2:$D$20,3,0)="S",IF(OR($O973="",ISTEXT($O973)),"","STRING!"),IF(VLOOKUP($K973,[1]base!$B$2:$D$20,3,0)="","",IF(ISTEXT($O973),"NUMERIC!",""))),"")</f>
        <v/>
      </c>
      <c r="AC973" s="16" t="str">
        <f>IF($AA973="","",IF($B973="I",VLOOKUP($AA973,#REF!,53,0),INDEX([1]VALUES!$B$1:$BF$1,1,$AA973)))</f>
        <v/>
      </c>
    </row>
    <row r="974" spans="1:29" outlineLevel="1">
      <c r="A974" s="21" t="s">
        <v>86</v>
      </c>
      <c r="B974" s="40" t="str">
        <f>IF($A974="P",IF(NOT($Z974=""),"A",IF(NOT($AA974=""),"I","")),IF(NOT($AA974=""),IF($A974="G","V","X"),IF(NOT($Z974=""),"A","")))</f>
        <v/>
      </c>
      <c r="C974" s="41">
        <f t="shared" si="69"/>
        <v>973</v>
      </c>
      <c r="D974" s="260" t="s">
        <v>9</v>
      </c>
      <c r="E974" s="37"/>
      <c r="F974" s="305"/>
      <c r="G974" s="188"/>
      <c r="H974" s="37"/>
      <c r="I974" s="37" t="s">
        <v>9</v>
      </c>
      <c r="J974" s="37"/>
      <c r="K974" s="163" t="s">
        <v>20</v>
      </c>
      <c r="L974" s="164" t="s">
        <v>34</v>
      </c>
      <c r="M974" s="184" t="s">
        <v>3769</v>
      </c>
      <c r="N974" s="163" t="s">
        <v>3813</v>
      </c>
      <c r="O974" s="163" t="s">
        <v>3192</v>
      </c>
      <c r="P974" s="157" t="s">
        <v>298</v>
      </c>
      <c r="Q974" s="168"/>
      <c r="R974" s="168" t="s">
        <v>105</v>
      </c>
      <c r="S974" s="168" t="s">
        <v>114</v>
      </c>
      <c r="T974" s="163" t="s">
        <v>298</v>
      </c>
      <c r="U974" s="163" t="s">
        <v>298</v>
      </c>
      <c r="V974" s="163" t="s">
        <v>515</v>
      </c>
      <c r="W974" s="14" t="str">
        <f>IF(IFERROR(VLOOKUP($M974,'IMPORT GS-Tür OL FL 2S2 20'!$H$2:$H$847,1,0),"-")="-","","GS")</f>
        <v/>
      </c>
      <c r="X974" s="14" t="str">
        <f>IF($A974="G",IF(IFERROR(VLOOKUP($M974,Reimport,1,0),"-")="-","&gt;&lt;",IF($O974=VLOOKUP($M974,Reimport,2,0),"...",VLOOKUP($M974,Reimport,2,0))),"")</f>
        <v>&gt;&lt;</v>
      </c>
      <c r="Y974" s="163" t="s">
        <v>516</v>
      </c>
      <c r="Z974" s="58" t="str">
        <f>IF(OR($M974="",NOT($O974="{array}")),"",IFERROR(MATCH([1]PARAMETERS!$M974,[1]DEFAULT!$B$5:$CI$5,0),""))</f>
        <v/>
      </c>
      <c r="AA974" s="55" t="str">
        <f t="shared" si="74"/>
        <v/>
      </c>
      <c r="AB974" s="62" t="str">
        <f>IF(AND(OR($A974="G",$A974="P"),NOT($O974="{array}")),IF(VLOOKUP($K974,[1]base!$B$2:$D$20,3,0)="S",IF(OR($O974="",ISTEXT($O974)),"","STRING!"),IF(VLOOKUP($K974,[1]base!$B$2:$D$20,3,0)="","",IF(ISTEXT($O974),"NUMERIC!",""))),"")</f>
        <v/>
      </c>
      <c r="AC974" s="16" t="str">
        <f>IF($AA974="","",IF($B974="I",VLOOKUP($AA974,#REF!,53,0),INDEX([1]VALUES!$B$1:$BF$1,1,$AA974)))</f>
        <v/>
      </c>
    </row>
    <row r="975" spans="1:29" outlineLevel="1">
      <c r="A975" s="21" t="s">
        <v>86</v>
      </c>
      <c r="B975" s="40" t="str">
        <f>IF($A975="P",IF(NOT($Z975=""),"A",IF(NOT($AA975=""),"I","")),IF(NOT($AA975=""),IF($A975="G","V","X"),IF(NOT($Z975=""),"A","")))</f>
        <v/>
      </c>
      <c r="C975" s="41">
        <f t="shared" si="69"/>
        <v>974</v>
      </c>
      <c r="D975" s="260" t="s">
        <v>9</v>
      </c>
      <c r="E975" s="37"/>
      <c r="F975" s="305"/>
      <c r="G975" s="188"/>
      <c r="H975" s="37"/>
      <c r="I975" s="37" t="s">
        <v>9</v>
      </c>
      <c r="J975" s="37"/>
      <c r="K975" s="52" t="s">
        <v>20</v>
      </c>
      <c r="L975" s="52" t="s">
        <v>34</v>
      </c>
      <c r="M975" s="184" t="s">
        <v>4465</v>
      </c>
      <c r="N975" s="52" t="s">
        <v>4466</v>
      </c>
      <c r="O975" s="153" t="s">
        <v>3192</v>
      </c>
      <c r="Q975" s="168"/>
      <c r="R975" s="168" t="s">
        <v>105</v>
      </c>
      <c r="S975" s="168" t="s">
        <v>114</v>
      </c>
      <c r="T975" s="163"/>
      <c r="U975" s="163"/>
      <c r="V975" s="163"/>
      <c r="W975" s="14"/>
      <c r="Y975" s="163"/>
      <c r="Z975" s="58" t="str">
        <f>IF(OR($M975="",NOT($O975="{array}")),"",IFERROR(MATCH([1]PARAMETERS!$M975,[1]DEFAULT!$B$5:$CI$5,0),""))</f>
        <v/>
      </c>
      <c r="AA975" s="55" t="str">
        <f t="shared" si="74"/>
        <v/>
      </c>
      <c r="AB975" s="62" t="str">
        <f>IF(AND(OR($A975="G",$A975="P"),NOT($O975="{array}")),IF(VLOOKUP($K975,[1]base!$B$2:$D$20,3,0)="S",IF(OR($O975="",ISTEXT($O975)),"","STRING!"),IF(VLOOKUP($K975,[1]base!$B$2:$D$20,3,0)="","",IF(ISTEXT($O975),"NUMERIC!",""))),"")</f>
        <v/>
      </c>
      <c r="AC975" s="16" t="str">
        <f>IF($AA975="","",IF($B975="I",VLOOKUP($AA975,#REF!,53,0),INDEX([1]VALUES!$B$1:$BF$1,1,$AA975)))</f>
        <v/>
      </c>
    </row>
    <row r="976" spans="1:29" outlineLevel="1">
      <c r="A976" s="21" t="s">
        <v>86</v>
      </c>
      <c r="B976" s="40" t="str">
        <f t="shared" si="71"/>
        <v/>
      </c>
      <c r="C976" s="41">
        <f t="shared" si="69"/>
        <v>975</v>
      </c>
      <c r="D976" s="260" t="s">
        <v>9</v>
      </c>
      <c r="E976" s="37"/>
      <c r="F976" s="305"/>
      <c r="G976" s="188"/>
      <c r="H976" s="37"/>
      <c r="I976" s="37" t="s">
        <v>9</v>
      </c>
      <c r="J976" s="37"/>
      <c r="K976" s="52" t="s">
        <v>20</v>
      </c>
      <c r="L976" s="52" t="s">
        <v>34</v>
      </c>
      <c r="M976" s="184" t="s">
        <v>4442</v>
      </c>
      <c r="N976" s="52" t="s">
        <v>4459</v>
      </c>
      <c r="O976" s="153" t="s">
        <v>4470</v>
      </c>
      <c r="R976" s="168" t="s">
        <v>105</v>
      </c>
      <c r="S976" s="168" t="s">
        <v>114</v>
      </c>
      <c r="T976" s="163" t="s">
        <v>298</v>
      </c>
      <c r="U976" s="163" t="s">
        <v>298</v>
      </c>
      <c r="V976" s="163"/>
      <c r="W976" s="14"/>
      <c r="X976" s="14" t="str">
        <f t="shared" ref="X976:X986" si="75">IF($A976="G",IF(IFERROR(VLOOKUP($M976,Reimport,1,0),"-")="-","&gt;&lt;",IF($O976=VLOOKUP($M976,Reimport,2,0),"...",VLOOKUP($M976,Reimport,2,0))),"")</f>
        <v>&gt;&lt;</v>
      </c>
      <c r="Y976" s="13" t="s">
        <v>3773</v>
      </c>
      <c r="Z976" s="58" t="str">
        <f>IF(OR($M976="",NOT($O976="{array}")),"",IFERROR(MATCH([1]PARAMETERS!$M976,[1]DEFAULT!$B$5:$CI$5,0),""))</f>
        <v/>
      </c>
      <c r="AA976" s="55" t="str">
        <f t="shared" si="74"/>
        <v/>
      </c>
      <c r="AB976" s="62" t="str">
        <f>IF(AND(OR($A976="G",$A976="P"),NOT($O976="{array}")),IF(VLOOKUP($K976,[1]base!$B$2:$D$20,3,0)="S",IF(OR($O976="",ISTEXT($O976)),"","STRING!"),IF(VLOOKUP($K976,[1]base!$B$2:$D$20,3,0)="","",IF(ISTEXT($O976),"NUMERIC!",""))),"")</f>
        <v/>
      </c>
      <c r="AC976" s="16" t="str">
        <f>IF($AA976="","",IF($B976="I",VLOOKUP($AA976,#REF!,53,0),INDEX([1]VALUES!$B$1:$BF$1,1,$AA976)))</f>
        <v/>
      </c>
    </row>
    <row r="977" spans="1:29" outlineLevel="1">
      <c r="A977" s="21" t="s">
        <v>86</v>
      </c>
      <c r="B977" s="40" t="str">
        <f>IF($A977="P",IF(NOT($Z977=""),"A",IF(NOT($AA977=""),"I","")),IF(NOT($AA977=""),IF($A977="G","V","X"),IF(NOT($Z977=""),"A","")))</f>
        <v/>
      </c>
      <c r="C977" s="41">
        <f t="shared" si="69"/>
        <v>976</v>
      </c>
      <c r="D977" s="260" t="s">
        <v>9</v>
      </c>
      <c r="E977" s="37"/>
      <c r="F977" s="305"/>
      <c r="G977" s="188"/>
      <c r="H977" s="37"/>
      <c r="I977" s="37" t="s">
        <v>9</v>
      </c>
      <c r="J977" s="37"/>
      <c r="K977" s="52" t="s">
        <v>20</v>
      </c>
      <c r="L977" s="52" t="s">
        <v>23</v>
      </c>
      <c r="M977" s="184" t="s">
        <v>4458</v>
      </c>
      <c r="N977" s="52" t="s">
        <v>4456</v>
      </c>
      <c r="O977" s="163" t="s">
        <v>4457</v>
      </c>
      <c r="Q977" s="168"/>
      <c r="R977" s="168" t="s">
        <v>105</v>
      </c>
      <c r="S977" s="168" t="s">
        <v>114</v>
      </c>
      <c r="T977" s="163" t="s">
        <v>298</v>
      </c>
      <c r="U977" s="163" t="s">
        <v>298</v>
      </c>
      <c r="V977" s="163"/>
      <c r="W977" s="14"/>
      <c r="X977" s="14" t="str">
        <f t="shared" si="75"/>
        <v>&gt;&lt;</v>
      </c>
      <c r="Z977" s="58" t="str">
        <f>IF(OR($M977="",NOT($O977="{array}")),"",IFERROR(MATCH([1]PARAMETERS!$M977,[1]DEFAULT!$B$5:$CI$5,0),""))</f>
        <v/>
      </c>
      <c r="AA977" s="55" t="str">
        <f t="shared" si="74"/>
        <v/>
      </c>
      <c r="AB977" s="62" t="str">
        <f>IF(AND(OR($A977="G",$A977="P"),NOT($O977="{array}")),IF(VLOOKUP($K977,[1]base!$B$2:$D$20,3,0)="S",IF(OR($O977="",ISTEXT($O977)),"","STRING!"),IF(VLOOKUP($K977,[1]base!$B$2:$D$20,3,0)="","",IF(ISTEXT($O977),"NUMERIC!",""))),"")</f>
        <v/>
      </c>
      <c r="AC977" s="16" t="str">
        <f>IF($AA977="","",IF($B977="I",VLOOKUP($AA977,#REF!,53,0),INDEX([1]VALUES!$B$1:$BF$1,1,$AA977)))</f>
        <v/>
      </c>
    </row>
    <row r="978" spans="1:29" outlineLevel="1">
      <c r="A978" s="21" t="s">
        <v>86</v>
      </c>
      <c r="B978" s="40" t="str">
        <f>IF($A978="P",IF(NOT($Z978=""),"A",IF(NOT($AA978=""),"I","")),IF(NOT($AA978=""),IF($A978="G","V","X"),IF(NOT($Z978=""),"A","")))</f>
        <v/>
      </c>
      <c r="C978" s="41">
        <f t="shared" si="69"/>
        <v>977</v>
      </c>
      <c r="D978" s="260" t="s">
        <v>9</v>
      </c>
      <c r="E978" s="37"/>
      <c r="F978" s="305"/>
      <c r="G978" s="188"/>
      <c r="H978" s="37"/>
      <c r="I978" s="37" t="s">
        <v>9</v>
      </c>
      <c r="J978" s="37"/>
      <c r="K978" s="52" t="s">
        <v>20</v>
      </c>
      <c r="L978" s="52" t="s">
        <v>34</v>
      </c>
      <c r="M978" s="184" t="s">
        <v>4443</v>
      </c>
      <c r="N978" s="52" t="s">
        <v>4435</v>
      </c>
      <c r="O978" s="153"/>
      <c r="Q978" s="168"/>
      <c r="R978" s="168" t="s">
        <v>105</v>
      </c>
      <c r="S978" s="168" t="s">
        <v>114</v>
      </c>
      <c r="T978" s="163" t="s">
        <v>298</v>
      </c>
      <c r="U978" s="163" t="s">
        <v>298</v>
      </c>
      <c r="V978" s="163"/>
      <c r="W978" s="14"/>
      <c r="X978" s="14" t="str">
        <f t="shared" si="75"/>
        <v>&gt;&lt;</v>
      </c>
      <c r="Z978" s="58" t="str">
        <f>IF(OR($M978="",NOT($O978="{array}")),"",IFERROR(MATCH([1]PARAMETERS!$M978,[1]DEFAULT!$B$5:$CI$5,0),""))</f>
        <v/>
      </c>
      <c r="AA978" s="55" t="str">
        <f t="shared" si="74"/>
        <v/>
      </c>
      <c r="AB978" s="62" t="str">
        <f>IF(AND(OR($A978="G",$A978="P"),NOT($O978="{array}")),IF(VLOOKUP($K978,[1]base!$B$2:$D$20,3,0)="S",IF(OR($O978="",ISTEXT($O978)),"","STRING!"),IF(VLOOKUP($K978,[1]base!$B$2:$D$20,3,0)="","",IF(ISTEXT($O978),"NUMERIC!",""))),"")</f>
        <v/>
      </c>
      <c r="AC978" s="16" t="str">
        <f>IF($AA978="","",IF($B978="I",VLOOKUP($AA978,#REF!,53,0),INDEX([1]VALUES!$B$1:$BF$1,1,$AA978)))</f>
        <v/>
      </c>
    </row>
    <row r="979" spans="1:29" outlineLevel="1">
      <c r="A979" s="21" t="s">
        <v>86</v>
      </c>
      <c r="B979" s="40" t="str">
        <f t="shared" ref="B979:B996" si="76">IF($A979="P",IF(NOT($Z979=""),"A",IF(NOT($AA979=""),"I","")),IF(NOT($AA979=""),IF($A979="G","V","X"),IF(NOT($Z979=""),"A","")))</f>
        <v/>
      </c>
      <c r="C979" s="41">
        <f t="shared" si="69"/>
        <v>978</v>
      </c>
      <c r="D979" s="260" t="s">
        <v>9</v>
      </c>
      <c r="E979" s="37"/>
      <c r="F979" s="305"/>
      <c r="G979" s="188"/>
      <c r="H979" s="37"/>
      <c r="I979" s="37" t="s">
        <v>9</v>
      </c>
      <c r="J979" s="37"/>
      <c r="K979" s="52" t="s">
        <v>20</v>
      </c>
      <c r="L979" s="52" t="s">
        <v>34</v>
      </c>
      <c r="M979" s="184" t="s">
        <v>4461</v>
      </c>
      <c r="N979" s="52" t="s">
        <v>4463</v>
      </c>
      <c r="O979" s="153" t="str">
        <f>"2"</f>
        <v>2</v>
      </c>
      <c r="Q979" s="168"/>
      <c r="R979" s="168" t="s">
        <v>105</v>
      </c>
      <c r="S979" s="168" t="s">
        <v>114</v>
      </c>
      <c r="T979" s="163" t="s">
        <v>298</v>
      </c>
      <c r="U979" s="163" t="s">
        <v>298</v>
      </c>
      <c r="V979" s="163"/>
      <c r="W979" s="14"/>
      <c r="X979" s="14" t="str">
        <f t="shared" si="75"/>
        <v>&gt;&lt;</v>
      </c>
      <c r="Z979" s="58" t="str">
        <f>IF(OR($M979="",NOT($O979="{array}")),"",IFERROR(MATCH([1]PARAMETERS!$M979,[1]DEFAULT!$B$5:$CI$5,0),""))</f>
        <v/>
      </c>
      <c r="AA979" s="55" t="str">
        <f t="shared" si="74"/>
        <v/>
      </c>
      <c r="AB979" s="62" t="str">
        <f>IF(AND(OR($A979="G",$A979="P"),NOT($O979="{array}")),IF(VLOOKUP($K979,[1]base!$B$2:$D$20,3,0)="S",IF(OR($O979="",ISTEXT($O979)),"","STRING!"),IF(VLOOKUP($K979,[1]base!$B$2:$D$20,3,0)="","",IF(ISTEXT($O979),"NUMERIC!",""))),"")</f>
        <v/>
      </c>
      <c r="AC979" s="16" t="str">
        <f>IF($AA979="","",IF($B979="I",VLOOKUP($AA979,#REF!,53,0),INDEX([1]VALUES!$B$1:$BF$1,1,$AA979)))</f>
        <v/>
      </c>
    </row>
    <row r="980" spans="1:29" outlineLevel="1">
      <c r="A980" s="21" t="s">
        <v>86</v>
      </c>
      <c r="B980" s="40" t="str">
        <f t="shared" si="76"/>
        <v/>
      </c>
      <c r="C980" s="41">
        <f t="shared" si="69"/>
        <v>979</v>
      </c>
      <c r="D980" s="260" t="s">
        <v>9</v>
      </c>
      <c r="E980" s="37"/>
      <c r="F980" s="305"/>
      <c r="G980" s="188"/>
      <c r="H980" s="37"/>
      <c r="I980" s="37" t="s">
        <v>9</v>
      </c>
      <c r="J980" s="37"/>
      <c r="K980" s="52" t="s">
        <v>46</v>
      </c>
      <c r="L980" s="52" t="s">
        <v>34</v>
      </c>
      <c r="M980" s="184" t="s">
        <v>4462</v>
      </c>
      <c r="N980" s="52" t="s">
        <v>4464</v>
      </c>
      <c r="O980" s="153">
        <v>1</v>
      </c>
      <c r="Q980" s="168"/>
      <c r="R980" s="168" t="s">
        <v>105</v>
      </c>
      <c r="S980" s="168" t="s">
        <v>114</v>
      </c>
      <c r="T980" s="163" t="s">
        <v>298</v>
      </c>
      <c r="U980" s="163" t="s">
        <v>298</v>
      </c>
      <c r="V980" s="163"/>
      <c r="W980" s="14"/>
      <c r="X980" s="14" t="str">
        <f t="shared" si="75"/>
        <v>&gt;&lt;</v>
      </c>
      <c r="Z980" s="58" t="str">
        <f>IF(OR($M980="",NOT($O980="{array}")),"",IFERROR(MATCH([1]PARAMETERS!$M980,[1]DEFAULT!$B$5:$CI$5,0),""))</f>
        <v/>
      </c>
      <c r="AA980" s="55" t="str">
        <f t="shared" si="74"/>
        <v/>
      </c>
      <c r="AB980" s="62" t="str">
        <f>IF(AND(OR($A980="G",$A980="P"),NOT($O980="{array}")),IF(VLOOKUP($K980,[1]base!$B$2:$D$20,3,0)="S",IF(OR($O980="",ISTEXT($O980)),"","STRING!"),IF(VLOOKUP($K980,[1]base!$B$2:$D$20,3,0)="","",IF(ISTEXT($O980),"NUMERIC!",""))),"")</f>
        <v/>
      </c>
      <c r="AC980" s="16" t="str">
        <f>IF($AA980="","",IF($B980="I",VLOOKUP($AA980,#REF!,53,0),INDEX([1]VALUES!$B$1:$BF$1,1,$AA980)))</f>
        <v/>
      </c>
    </row>
    <row r="981" spans="1:29" outlineLevel="1">
      <c r="A981" s="21" t="s">
        <v>86</v>
      </c>
      <c r="B981" s="40" t="str">
        <f t="shared" si="76"/>
        <v/>
      </c>
      <c r="C981" s="41">
        <f t="shared" si="69"/>
        <v>980</v>
      </c>
      <c r="D981" s="260" t="s">
        <v>9</v>
      </c>
      <c r="E981" s="37"/>
      <c r="F981" s="305"/>
      <c r="G981" s="188"/>
      <c r="H981" s="37"/>
      <c r="I981" s="37" t="s">
        <v>9</v>
      </c>
      <c r="J981" s="37"/>
      <c r="K981" s="52" t="s">
        <v>20</v>
      </c>
      <c r="L981" s="52" t="s">
        <v>34</v>
      </c>
      <c r="M981" s="184" t="s">
        <v>4444</v>
      </c>
      <c r="N981" s="52" t="s">
        <v>4441</v>
      </c>
      <c r="O981" s="153" t="str">
        <f>"3"</f>
        <v>3</v>
      </c>
      <c r="Q981" s="168"/>
      <c r="R981" s="168" t="s">
        <v>105</v>
      </c>
      <c r="S981" s="168" t="s">
        <v>114</v>
      </c>
      <c r="T981" s="163" t="s">
        <v>298</v>
      </c>
      <c r="U981" s="163" t="s">
        <v>298</v>
      </c>
      <c r="V981" s="163"/>
      <c r="W981" s="14"/>
      <c r="X981" s="14" t="str">
        <f t="shared" si="75"/>
        <v>&gt;&lt;</v>
      </c>
      <c r="Z981" s="58" t="str">
        <f>IF(OR($M981="",NOT($O981="{array}")),"",IFERROR(MATCH([1]PARAMETERS!$M981,[1]DEFAULT!$B$5:$CI$5,0),""))</f>
        <v/>
      </c>
      <c r="AA981" s="55" t="str">
        <f t="shared" si="74"/>
        <v/>
      </c>
      <c r="AB981" s="62" t="str">
        <f>IF(AND(OR($A981="G",$A981="P"),NOT($O981="{array}")),IF(VLOOKUP($K981,[1]base!$B$2:$D$20,3,0)="S",IF(OR($O981="",ISTEXT($O981)),"","STRING!"),IF(VLOOKUP($K981,[1]base!$B$2:$D$20,3,0)="","",IF(ISTEXT($O981),"NUMERIC!",""))),"")</f>
        <v/>
      </c>
      <c r="AC981" s="16" t="str">
        <f>IF($AA981="","",IF($B981="I",VLOOKUP($AA981,#REF!,53,0),INDEX([1]VALUES!$B$1:$BF$1,1,$AA981)))</f>
        <v/>
      </c>
    </row>
    <row r="982" spans="1:29" outlineLevel="1">
      <c r="A982" s="21" t="s">
        <v>86</v>
      </c>
      <c r="B982" s="40" t="str">
        <f t="shared" si="76"/>
        <v/>
      </c>
      <c r="C982" s="41">
        <f t="shared" si="69"/>
        <v>981</v>
      </c>
      <c r="D982" s="260" t="s">
        <v>9</v>
      </c>
      <c r="E982" s="37"/>
      <c r="F982" s="305"/>
      <c r="G982" s="188"/>
      <c r="H982" s="37"/>
      <c r="I982" s="37" t="s">
        <v>9</v>
      </c>
      <c r="J982" s="37"/>
      <c r="K982" s="52" t="s">
        <v>20</v>
      </c>
      <c r="L982" s="52" t="s">
        <v>34</v>
      </c>
      <c r="M982" s="184" t="s">
        <v>4445</v>
      </c>
      <c r="N982" s="52" t="s">
        <v>4440</v>
      </c>
      <c r="O982" s="153" t="s">
        <v>1091</v>
      </c>
      <c r="Q982" s="168"/>
      <c r="R982" s="168" t="s">
        <v>105</v>
      </c>
      <c r="S982" s="168" t="s">
        <v>114</v>
      </c>
      <c r="T982" s="163"/>
      <c r="U982" s="163"/>
      <c r="V982" s="163"/>
      <c r="W982" s="14"/>
      <c r="X982" s="14" t="str">
        <f t="shared" si="75"/>
        <v>&gt;&lt;</v>
      </c>
      <c r="Z982" s="58" t="str">
        <f>IF(OR($M982="",NOT($O982="{array}")),"",IFERROR(MATCH([1]PARAMETERS!$M982,[1]DEFAULT!$B$5:$CI$5,0),""))</f>
        <v/>
      </c>
      <c r="AA982" s="55" t="str">
        <f t="shared" si="74"/>
        <v/>
      </c>
      <c r="AB982" s="62" t="str">
        <f>IF(AND(OR($A982="G",$A982="P"),NOT($O982="{array}")),IF(VLOOKUP($K982,[1]base!$B$2:$D$20,3,0)="S",IF(OR($O982="",ISTEXT($O982)),"","STRING!"),IF(VLOOKUP($K982,[1]base!$B$2:$D$20,3,0)="","",IF(ISTEXT($O982),"NUMERIC!",""))),"")</f>
        <v/>
      </c>
      <c r="AC982" s="16" t="str">
        <f>IF($AA982="","",IF($B982="I",VLOOKUP($AA982,#REF!,53,0),INDEX([1]VALUES!$B$1:$BF$1,1,$AA982)))</f>
        <v/>
      </c>
    </row>
    <row r="983" spans="1:29" outlineLevel="1">
      <c r="A983" s="21" t="s">
        <v>86</v>
      </c>
      <c r="B983" s="40" t="str">
        <f t="shared" si="76"/>
        <v/>
      </c>
      <c r="C983" s="41">
        <f t="shared" si="69"/>
        <v>982</v>
      </c>
      <c r="D983" s="260" t="s">
        <v>9</v>
      </c>
      <c r="E983" s="37"/>
      <c r="F983" s="305"/>
      <c r="G983" s="188"/>
      <c r="H983" s="37"/>
      <c r="I983" s="37" t="s">
        <v>9</v>
      </c>
      <c r="J983" s="37"/>
      <c r="K983" s="52" t="s">
        <v>20</v>
      </c>
      <c r="L983" s="52" t="s">
        <v>34</v>
      </c>
      <c r="M983" s="184" t="s">
        <v>4446</v>
      </c>
      <c r="N983" s="52" t="s">
        <v>4439</v>
      </c>
      <c r="O983" s="153" t="s">
        <v>4471</v>
      </c>
      <c r="Q983" s="168"/>
      <c r="R983" s="168" t="s">
        <v>105</v>
      </c>
      <c r="S983" s="168" t="s">
        <v>114</v>
      </c>
      <c r="T983" s="163"/>
      <c r="U983" s="163"/>
      <c r="V983" s="163"/>
      <c r="W983" s="14"/>
      <c r="X983" s="14" t="str">
        <f t="shared" si="75"/>
        <v>&gt;&lt;</v>
      </c>
      <c r="Z983" s="58" t="str">
        <f>IF(OR($M983="",NOT($O983="{array}")),"",IFERROR(MATCH([1]PARAMETERS!$M983,[1]DEFAULT!$B$5:$CI$5,0),""))</f>
        <v/>
      </c>
      <c r="AA983" s="55" t="str">
        <f t="shared" si="74"/>
        <v/>
      </c>
      <c r="AB983" s="62" t="str">
        <f>IF(AND(OR($A983="G",$A983="P"),NOT($O983="{array}")),IF(VLOOKUP($K983,[1]base!$B$2:$D$20,3,0)="S",IF(OR($O983="",ISTEXT($O983)),"","STRING!"),IF(VLOOKUP($K983,[1]base!$B$2:$D$20,3,0)="","",IF(ISTEXT($O983),"NUMERIC!",""))),"")</f>
        <v/>
      </c>
      <c r="AC983" s="16" t="str">
        <f>IF($AA983="","",IF($B983="I",VLOOKUP($AA983,#REF!,53,0),INDEX([1]VALUES!$B$1:$BF$1,1,$AA983)))</f>
        <v/>
      </c>
    </row>
    <row r="984" spans="1:29" outlineLevel="1">
      <c r="A984" s="21" t="s">
        <v>86</v>
      </c>
      <c r="B984" s="40" t="str">
        <f t="shared" si="76"/>
        <v/>
      </c>
      <c r="C984" s="41">
        <f t="shared" si="69"/>
        <v>983</v>
      </c>
      <c r="D984" s="260" t="s">
        <v>9</v>
      </c>
      <c r="E984" s="37"/>
      <c r="F984" s="305"/>
      <c r="G984" s="188"/>
      <c r="H984" s="37"/>
      <c r="I984" s="37" t="s">
        <v>9</v>
      </c>
      <c r="J984" s="37"/>
      <c r="K984" s="52" t="s">
        <v>20</v>
      </c>
      <c r="L984" s="52" t="s">
        <v>34</v>
      </c>
      <c r="M984" s="184" t="s">
        <v>4447</v>
      </c>
      <c r="N984" s="52" t="s">
        <v>4438</v>
      </c>
      <c r="O984" s="153" t="s">
        <v>4450</v>
      </c>
      <c r="Q984" s="168"/>
      <c r="R984" s="168" t="s">
        <v>105</v>
      </c>
      <c r="S984" s="168" t="s">
        <v>114</v>
      </c>
      <c r="T984" s="163"/>
      <c r="U984" s="163"/>
      <c r="V984" s="163"/>
      <c r="W984" s="14"/>
      <c r="X984" s="14" t="str">
        <f t="shared" si="75"/>
        <v>&gt;&lt;</v>
      </c>
      <c r="Z984" s="58" t="str">
        <f>IF(OR($M984="",NOT($O984="{array}")),"",IFERROR(MATCH([1]PARAMETERS!$M984,[1]DEFAULT!$B$5:$CI$5,0),""))</f>
        <v/>
      </c>
      <c r="AA984" s="55" t="str">
        <f t="shared" si="74"/>
        <v/>
      </c>
      <c r="AB984" s="62" t="str">
        <f>IF(AND(OR($A984="G",$A984="P"),NOT($O984="{array}")),IF(VLOOKUP($K984,[1]base!$B$2:$D$20,3,0)="S",IF(OR($O984="",ISTEXT($O984)),"","STRING!"),IF(VLOOKUP($K984,[1]base!$B$2:$D$20,3,0)="","",IF(ISTEXT($O984),"NUMERIC!",""))),"")</f>
        <v/>
      </c>
      <c r="AC984" s="16" t="str">
        <f>IF($AA984="","",IF($B984="I",VLOOKUP($AA984,#REF!,53,0),INDEX([1]VALUES!$B$1:$BF$1,1,$AA984)))</f>
        <v/>
      </c>
    </row>
    <row r="985" spans="1:29" outlineLevel="1">
      <c r="A985" s="21" t="s">
        <v>86</v>
      </c>
      <c r="B985" s="40" t="str">
        <f t="shared" si="76"/>
        <v/>
      </c>
      <c r="C985" s="41">
        <f t="shared" si="69"/>
        <v>984</v>
      </c>
      <c r="D985" s="260" t="s">
        <v>9</v>
      </c>
      <c r="E985" s="37"/>
      <c r="F985" s="305"/>
      <c r="G985" s="188"/>
      <c r="H985" s="37"/>
      <c r="I985" s="37" t="s">
        <v>9</v>
      </c>
      <c r="J985" s="37"/>
      <c r="K985" s="52" t="s">
        <v>20</v>
      </c>
      <c r="L985" s="52" t="s">
        <v>34</v>
      </c>
      <c r="M985" s="184" t="s">
        <v>4448</v>
      </c>
      <c r="N985" s="52" t="s">
        <v>4437</v>
      </c>
      <c r="O985" s="153" t="s">
        <v>50</v>
      </c>
      <c r="Q985" s="168"/>
      <c r="R985" s="168" t="s">
        <v>105</v>
      </c>
      <c r="S985" s="168" t="s">
        <v>114</v>
      </c>
      <c r="T985" s="163"/>
      <c r="U985" s="163"/>
      <c r="V985" s="163"/>
      <c r="W985" s="14"/>
      <c r="X985" s="14" t="str">
        <f t="shared" si="75"/>
        <v>&gt;&lt;</v>
      </c>
      <c r="Z985" s="58" t="str">
        <f>IF(OR($M985="",NOT($O985="{array}")),"",IFERROR(MATCH([1]PARAMETERS!$M985,[1]DEFAULT!$B$5:$CI$5,0),""))</f>
        <v/>
      </c>
      <c r="AA985" s="55" t="str">
        <f t="shared" si="74"/>
        <v/>
      </c>
      <c r="AB985" s="62" t="str">
        <f>IF(AND(OR($A985="G",$A985="P"),NOT($O985="{array}")),IF(VLOOKUP($K985,[1]base!$B$2:$D$20,3,0)="S",IF(OR($O985="",ISTEXT($O985)),"","STRING!"),IF(VLOOKUP($K985,[1]base!$B$2:$D$20,3,0)="","",IF(ISTEXT($O985),"NUMERIC!",""))),"")</f>
        <v/>
      </c>
      <c r="AC985" s="16" t="str">
        <f>IF($AA985="","",IF($B985="I",VLOOKUP($AA985,#REF!,53,0),INDEX([1]VALUES!$B$1:$BF$1,1,$AA985)))</f>
        <v/>
      </c>
    </row>
    <row r="986" spans="1:29" outlineLevel="1">
      <c r="A986" s="21" t="s">
        <v>86</v>
      </c>
      <c r="B986" s="40" t="str">
        <f t="shared" si="76"/>
        <v/>
      </c>
      <c r="C986" s="41">
        <f t="shared" si="69"/>
        <v>985</v>
      </c>
      <c r="D986" s="260" t="s">
        <v>9</v>
      </c>
      <c r="E986" s="37"/>
      <c r="F986" s="305"/>
      <c r="G986" s="188"/>
      <c r="H986" s="37"/>
      <c r="I986" s="37" t="s">
        <v>9</v>
      </c>
      <c r="J986" s="37"/>
      <c r="K986" s="52" t="s">
        <v>20</v>
      </c>
      <c r="L986" s="52" t="s">
        <v>34</v>
      </c>
      <c r="M986" s="184" t="s">
        <v>4449</v>
      </c>
      <c r="N986" s="52" t="s">
        <v>4436</v>
      </c>
      <c r="O986" s="153" t="s">
        <v>36</v>
      </c>
      <c r="Q986" s="168"/>
      <c r="R986" s="168" t="s">
        <v>105</v>
      </c>
      <c r="S986" s="168" t="s">
        <v>114</v>
      </c>
      <c r="T986" s="163"/>
      <c r="U986" s="163"/>
      <c r="V986" s="163"/>
      <c r="W986" s="14"/>
      <c r="X986" s="14" t="str">
        <f t="shared" si="75"/>
        <v>&gt;&lt;</v>
      </c>
      <c r="Z986" s="58" t="str">
        <f>IF(OR($M986="",NOT($O986="{array}")),"",IFERROR(MATCH([1]PARAMETERS!$M986,[1]DEFAULT!$B$5:$CI$5,0),""))</f>
        <v/>
      </c>
      <c r="AA986" s="55" t="str">
        <f t="shared" si="74"/>
        <v/>
      </c>
      <c r="AB986" s="62" t="str">
        <f>IF(AND(OR($A986="G",$A986="P"),NOT($O986="{array}")),IF(VLOOKUP($K986,[1]base!$B$2:$D$20,3,0)="S",IF(OR($O986="",ISTEXT($O986)),"","STRING!"),IF(VLOOKUP($K986,[1]base!$B$2:$D$20,3,0)="","",IF(ISTEXT($O986),"NUMERIC!",""))),"")</f>
        <v/>
      </c>
      <c r="AC986" s="16" t="str">
        <f>IF($AA986="","",IF($B986="I",VLOOKUP($AA986,#REF!,53,0),INDEX([1]VALUES!$B$1:$BF$1,1,$AA986)))</f>
        <v/>
      </c>
    </row>
    <row r="987" spans="1:29" outlineLevel="1">
      <c r="A987" s="21" t="s">
        <v>86</v>
      </c>
      <c r="B987" s="40" t="str">
        <f t="shared" si="76"/>
        <v/>
      </c>
      <c r="C987" s="41">
        <f t="shared" si="69"/>
        <v>986</v>
      </c>
      <c r="D987" s="260" t="s">
        <v>9</v>
      </c>
      <c r="E987" s="37"/>
      <c r="F987" s="305"/>
      <c r="G987" s="188"/>
      <c r="H987" s="37"/>
      <c r="I987" s="37" t="s">
        <v>9</v>
      </c>
      <c r="J987" s="37"/>
      <c r="K987" s="163" t="s">
        <v>20</v>
      </c>
      <c r="L987" s="164" t="s">
        <v>23</v>
      </c>
      <c r="M987" s="184" t="s">
        <v>4452</v>
      </c>
      <c r="N987" s="156" t="s">
        <v>4454</v>
      </c>
      <c r="O987" s="163" t="s">
        <v>3848</v>
      </c>
      <c r="P987" s="157" t="s">
        <v>298</v>
      </c>
      <c r="Q987" s="168" t="s">
        <v>9</v>
      </c>
      <c r="R987" s="168" t="s">
        <v>105</v>
      </c>
      <c r="S987" s="168" t="s">
        <v>114</v>
      </c>
      <c r="T987" s="37"/>
      <c r="X987" s="14" t="str">
        <f t="shared" ref="X987:X996" si="77">IF($A987="G",IF(IFERROR(VLOOKUP($M987,Reimport,1,0),"-")="-","&gt;&lt;",IF($O987=VLOOKUP($M987,Reimport,2,0),"...",VLOOKUP($M987,Reimport,2,0))),"")</f>
        <v>&gt;&lt;</v>
      </c>
      <c r="Z987" s="58" t="str">
        <f>IF(OR($M987="",NOT($O987="{array}")),"",IFERROR(MATCH([1]PARAMETERS!$M987,[1]DEFAULT!$B$5:$CI$5,0),""))</f>
        <v/>
      </c>
      <c r="AA987" s="55" t="str">
        <f t="shared" si="74"/>
        <v/>
      </c>
      <c r="AB987" s="62" t="str">
        <f>IF(AND(OR($A987="G",$A987="P"),NOT($O987="{array}")),IF(VLOOKUP($K987,[1]base!$B$2:$D$20,3,0)="S",IF(OR($O987="",ISTEXT($O987)),"","STRING!"),IF(VLOOKUP($K987,[1]base!$B$2:$D$20,3,0)="","",IF(ISTEXT($O987),"NUMERIC!",""))),"")</f>
        <v/>
      </c>
      <c r="AC987" s="16" t="str">
        <f>IF($AA987="","",IF($B987="I",VLOOKUP($AA987,#REF!,53,0),INDEX([1]VALUES!$B$1:$BF$1,1,$AA987)))</f>
        <v/>
      </c>
    </row>
    <row r="988" spans="1:29" outlineLevel="1">
      <c r="A988" s="21" t="s">
        <v>86</v>
      </c>
      <c r="B988" s="40" t="str">
        <f t="shared" si="76"/>
        <v/>
      </c>
      <c r="C988" s="41">
        <f t="shared" si="69"/>
        <v>987</v>
      </c>
      <c r="D988" s="260" t="s">
        <v>9</v>
      </c>
      <c r="E988" s="37"/>
      <c r="F988" s="305"/>
      <c r="G988" s="188"/>
      <c r="H988" s="37"/>
      <c r="I988" s="37" t="s">
        <v>9</v>
      </c>
      <c r="J988" s="37"/>
      <c r="K988" s="163" t="s">
        <v>20</v>
      </c>
      <c r="L988" s="164" t="s">
        <v>23</v>
      </c>
      <c r="M988" s="184" t="s">
        <v>4453</v>
      </c>
      <c r="N988" s="163" t="s">
        <v>4455</v>
      </c>
      <c r="O988" s="163" t="s">
        <v>21</v>
      </c>
      <c r="P988" s="157" t="s">
        <v>298</v>
      </c>
      <c r="Q988" s="168" t="s">
        <v>9</v>
      </c>
      <c r="R988" s="168" t="s">
        <v>105</v>
      </c>
      <c r="S988" s="168" t="s">
        <v>114</v>
      </c>
      <c r="T988" s="163" t="s">
        <v>298</v>
      </c>
      <c r="U988" s="163" t="s">
        <v>298</v>
      </c>
      <c r="V988" s="163"/>
      <c r="W988" s="14" t="str">
        <f>IF(IFERROR(VLOOKUP($M988,'IMPORT GS-Tür OL FL 2S2 20'!$H$2:$H$847,1,0),"-")="-","","GS")</f>
        <v/>
      </c>
      <c r="X988" s="14" t="str">
        <f t="shared" si="77"/>
        <v>&gt;&lt;</v>
      </c>
      <c r="Y988" s="163"/>
      <c r="Z988" s="58" t="str">
        <f>IF(OR($M988="",NOT($O988="{array}")),"",IFERROR(MATCH([1]PARAMETERS!$M988,[1]DEFAULT!$B$5:$CI$5,0),""))</f>
        <v/>
      </c>
      <c r="AA988" s="55" t="str">
        <f t="shared" si="74"/>
        <v/>
      </c>
      <c r="AB988" s="62" t="str">
        <f>IF(AND(OR($A988="G",$A988="P"),NOT($O988="{array}")),IF(VLOOKUP($K988,[1]base!$B$2:$D$20,3,0)="S",IF(OR($O988="",ISTEXT($O988)),"","STRING!"),IF(VLOOKUP($K988,[1]base!$B$2:$D$20,3,0)="","",IF(ISTEXT($O988),"NUMERIC!",""))),"")</f>
        <v/>
      </c>
      <c r="AC988" s="16" t="str">
        <f>IF($AA988="","",IF($B988="I",VLOOKUP($AA988,#REF!,53,0),INDEX([1]VALUES!$B$1:$BF$1,1,$AA988)))</f>
        <v/>
      </c>
    </row>
    <row r="989" spans="1:29" outlineLevel="1">
      <c r="A989" s="21" t="s">
        <v>86</v>
      </c>
      <c r="B989" s="40" t="str">
        <f t="shared" si="76"/>
        <v/>
      </c>
      <c r="C989" s="41">
        <f t="shared" si="69"/>
        <v>988</v>
      </c>
      <c r="D989" s="260" t="s">
        <v>9</v>
      </c>
      <c r="E989" s="37"/>
      <c r="F989" s="305"/>
      <c r="G989" s="188"/>
      <c r="H989" s="37"/>
      <c r="I989" s="37" t="s">
        <v>9</v>
      </c>
      <c r="J989" s="37"/>
      <c r="K989" s="52" t="s">
        <v>46</v>
      </c>
      <c r="L989" s="52" t="s">
        <v>34</v>
      </c>
      <c r="M989" s="184" t="s">
        <v>4467</v>
      </c>
      <c r="N989" s="52" t="s">
        <v>4468</v>
      </c>
      <c r="O989" s="153">
        <v>0</v>
      </c>
      <c r="P989" s="157" t="s">
        <v>298</v>
      </c>
      <c r="Q989" s="168" t="s">
        <v>9</v>
      </c>
      <c r="R989" s="168" t="s">
        <v>105</v>
      </c>
      <c r="S989" s="168" t="s">
        <v>114</v>
      </c>
      <c r="T989" s="163" t="s">
        <v>298</v>
      </c>
      <c r="U989" s="163" t="s">
        <v>298</v>
      </c>
      <c r="V989" s="163"/>
      <c r="W989" s="14" t="str">
        <f>IF(IFERROR(VLOOKUP($M989,'IMPORT GS-Tür OL FL 2S2 20'!$H$2:$H$847,1,0),"-")="-","","GS")</f>
        <v/>
      </c>
      <c r="X989" s="14" t="str">
        <f t="shared" si="77"/>
        <v>&gt;&lt;</v>
      </c>
      <c r="Y989" s="163"/>
      <c r="Z989" s="58" t="str">
        <f>IF(OR($M989="",NOT($O989="{array}")),"",IFERROR(MATCH([1]PARAMETERS!$M989,[1]DEFAULT!$B$5:$CI$5,0),""))</f>
        <v/>
      </c>
      <c r="AA989" s="55" t="str">
        <f t="shared" si="74"/>
        <v/>
      </c>
      <c r="AB989" s="62" t="str">
        <f>IF(AND(OR($A989="G",$A989="P"),NOT($O989="{array}")),IF(VLOOKUP($K989,[1]base!$B$2:$D$20,3,0)="S",IF(OR($O989="",ISTEXT($O989)),"","STRING!"),IF(VLOOKUP($K989,[1]base!$B$2:$D$20,3,0)="","",IF(ISTEXT($O989),"NUMERIC!",""))),"")</f>
        <v/>
      </c>
      <c r="AC989" s="16" t="str">
        <f>IF($AA989="","",IF($B989="I",VLOOKUP($AA989,#REF!,53,0),INDEX([1]VALUES!$B$1:$BF$1,1,$AA989)))</f>
        <v/>
      </c>
    </row>
    <row r="990" spans="1:29" outlineLevel="1">
      <c r="A990" s="21" t="s">
        <v>86</v>
      </c>
      <c r="B990" s="40" t="str">
        <f t="shared" si="76"/>
        <v/>
      </c>
      <c r="C990" s="41">
        <f t="shared" si="69"/>
        <v>989</v>
      </c>
      <c r="D990" s="260" t="s">
        <v>9</v>
      </c>
      <c r="E990" s="37"/>
      <c r="F990" s="305"/>
      <c r="G990" s="188"/>
      <c r="H990" s="37"/>
      <c r="I990" s="37" t="s">
        <v>9</v>
      </c>
      <c r="J990" s="37"/>
      <c r="K990" s="163" t="s">
        <v>20</v>
      </c>
      <c r="L990" s="52" t="s">
        <v>34</v>
      </c>
      <c r="M990" s="184" t="s">
        <v>4472</v>
      </c>
      <c r="N990" s="52" t="s">
        <v>4473</v>
      </c>
      <c r="O990" s="153" t="s">
        <v>4474</v>
      </c>
      <c r="P990" s="157" t="s">
        <v>298</v>
      </c>
      <c r="Q990" s="168" t="s">
        <v>9</v>
      </c>
      <c r="R990" s="168" t="s">
        <v>105</v>
      </c>
      <c r="S990" s="168" t="s">
        <v>114</v>
      </c>
      <c r="T990" s="163" t="s">
        <v>298</v>
      </c>
      <c r="U990" s="163" t="s">
        <v>298</v>
      </c>
      <c r="V990" s="163"/>
      <c r="W990" s="14" t="str">
        <f>IF(IFERROR(VLOOKUP($M990,'IMPORT GS-Tür OL FL 2S2 20'!$H$2:$H$847,1,0),"-")="-","","GS")</f>
        <v/>
      </c>
      <c r="X990" s="14" t="str">
        <f t="shared" si="77"/>
        <v>&gt;&lt;</v>
      </c>
      <c r="Y990" s="163"/>
      <c r="Z990" s="58" t="str">
        <f>IF(OR($M990="",NOT($O990="{array}")),"",IFERROR(MATCH([1]PARAMETERS!$M990,[1]DEFAULT!$B$5:$CI$5,0),""))</f>
        <v/>
      </c>
      <c r="AA990" s="55" t="str">
        <f t="shared" si="74"/>
        <v/>
      </c>
      <c r="AB990" s="62" t="str">
        <f>IF(AND(OR($A990="G",$A990="P"),NOT($O990="{array}")),IF(VLOOKUP($K990,[1]base!$B$2:$D$20,3,0)="S",IF(OR($O990="",ISTEXT($O990)),"","STRING!"),IF(VLOOKUP($K990,[1]base!$B$2:$D$20,3,0)="","",IF(ISTEXT($O990),"NUMERIC!",""))),"")</f>
        <v/>
      </c>
      <c r="AC990" s="16" t="str">
        <f>IF($AA990="","",IF($B990="I",VLOOKUP($AA990,#REF!,53,0),INDEX([1]VALUES!$B$1:$BF$1,1,$AA990)))</f>
        <v/>
      </c>
    </row>
    <row r="991" spans="1:29" outlineLevel="1">
      <c r="A991" s="21" t="s">
        <v>86</v>
      </c>
      <c r="B991" s="40" t="str">
        <f t="shared" si="76"/>
        <v/>
      </c>
      <c r="C991" s="41">
        <f t="shared" si="69"/>
        <v>990</v>
      </c>
      <c r="D991" s="260" t="s">
        <v>9</v>
      </c>
      <c r="E991" s="37"/>
      <c r="F991" s="305"/>
      <c r="G991" s="188"/>
      <c r="H991" s="37"/>
      <c r="I991" s="37" t="s">
        <v>9</v>
      </c>
      <c r="J991" s="37"/>
      <c r="K991" s="163" t="s">
        <v>20</v>
      </c>
      <c r="L991" s="52" t="s">
        <v>34</v>
      </c>
      <c r="M991" s="184" t="s">
        <v>4475</v>
      </c>
      <c r="N991" s="52" t="s">
        <v>4476</v>
      </c>
      <c r="O991" s="153" t="str">
        <f>"0000"</f>
        <v>0000</v>
      </c>
      <c r="P991" s="157" t="s">
        <v>298</v>
      </c>
      <c r="Q991" s="168" t="s">
        <v>9</v>
      </c>
      <c r="R991" s="168" t="s">
        <v>105</v>
      </c>
      <c r="S991" s="168" t="s">
        <v>114</v>
      </c>
      <c r="T991" s="163" t="s">
        <v>298</v>
      </c>
      <c r="U991" s="163" t="s">
        <v>298</v>
      </c>
      <c r="V991" s="163"/>
      <c r="W991" s="14" t="str">
        <f>IF(IFERROR(VLOOKUP($M991,'IMPORT GS-Tür OL FL 2S2 20'!$H$2:$H$847,1,0),"-")="-","","GS")</f>
        <v/>
      </c>
      <c r="X991" s="14" t="str">
        <f t="shared" si="77"/>
        <v>&gt;&lt;</v>
      </c>
      <c r="Y991" s="163"/>
      <c r="Z991" s="58" t="str">
        <f>IF(OR($M991="",NOT($O991="{array}")),"",IFERROR(MATCH([1]PARAMETERS!$M991,[1]DEFAULT!$B$5:$CI$5,0),""))</f>
        <v/>
      </c>
      <c r="AA991" s="55" t="str">
        <f t="shared" si="74"/>
        <v/>
      </c>
      <c r="AB991" s="62" t="str">
        <f>IF(AND(OR($A991="G",$A991="P"),NOT($O991="{array}")),IF(VLOOKUP($K991,[1]base!$B$2:$D$20,3,0)="S",IF(OR($O991="",ISTEXT($O991)),"","STRING!"),IF(VLOOKUP($K991,[1]base!$B$2:$D$20,3,0)="","",IF(ISTEXT($O991),"NUMERIC!",""))),"")</f>
        <v/>
      </c>
      <c r="AC991" s="16" t="str">
        <f>IF($AA991="","",IF($B991="I",VLOOKUP($AA991,#REF!,53,0),INDEX([1]VALUES!$B$1:$BF$1,1,$AA991)))</f>
        <v/>
      </c>
    </row>
    <row r="992" spans="1:29" outlineLevel="1">
      <c r="A992" s="21" t="s">
        <v>86</v>
      </c>
      <c r="B992" s="40" t="str">
        <f t="shared" si="76"/>
        <v/>
      </c>
      <c r="C992" s="41">
        <f t="shared" si="69"/>
        <v>991</v>
      </c>
      <c r="D992" s="260" t="s">
        <v>9</v>
      </c>
      <c r="E992" s="37"/>
      <c r="F992" s="305"/>
      <c r="G992" s="188"/>
      <c r="H992" s="37"/>
      <c r="I992" s="37" t="s">
        <v>9</v>
      </c>
      <c r="J992" s="37"/>
      <c r="K992" s="163" t="s">
        <v>20</v>
      </c>
      <c r="L992" s="52" t="s">
        <v>34</v>
      </c>
      <c r="M992" s="184" t="s">
        <v>4477</v>
      </c>
      <c r="N992" s="52" t="s">
        <v>4478</v>
      </c>
      <c r="O992" s="153" t="str">
        <f>"0000"</f>
        <v>0000</v>
      </c>
      <c r="P992" s="157" t="s">
        <v>298</v>
      </c>
      <c r="Q992" s="168" t="s">
        <v>9</v>
      </c>
      <c r="R992" s="168" t="s">
        <v>105</v>
      </c>
      <c r="S992" s="168" t="s">
        <v>114</v>
      </c>
      <c r="T992" s="163" t="s">
        <v>298</v>
      </c>
      <c r="U992" s="163" t="s">
        <v>298</v>
      </c>
      <c r="V992" s="163"/>
      <c r="W992" s="14" t="str">
        <f>IF(IFERROR(VLOOKUP($M992,'IMPORT GS-Tür OL FL 2S2 20'!$H$2:$H$847,1,0),"-")="-","","GS")</f>
        <v/>
      </c>
      <c r="X992" s="14" t="str">
        <f t="shared" si="77"/>
        <v>&gt;&lt;</v>
      </c>
      <c r="Y992" s="163"/>
      <c r="Z992" s="58" t="str">
        <f>IF(OR($M992="",NOT($O992="{array}")),"",IFERROR(MATCH([1]PARAMETERS!$M992,[1]DEFAULT!$B$5:$CI$5,0),""))</f>
        <v/>
      </c>
      <c r="AA992" s="55" t="str">
        <f t="shared" si="74"/>
        <v/>
      </c>
      <c r="AB992" s="62" t="str">
        <f>IF(AND(OR($A992="G",$A992="P"),NOT($O992="{array}")),IF(VLOOKUP($K992,[1]base!$B$2:$D$20,3,0)="S",IF(OR($O992="",ISTEXT($O992)),"","STRING!"),IF(VLOOKUP($K992,[1]base!$B$2:$D$20,3,0)="","",IF(ISTEXT($O992),"NUMERIC!",""))),"")</f>
        <v/>
      </c>
      <c r="AC992" s="16" t="str">
        <f>IF($AA992="","",IF($B992="I",VLOOKUP($AA992,#REF!,53,0),INDEX([1]VALUES!$B$1:$BF$1,1,$AA992)))</f>
        <v/>
      </c>
    </row>
    <row r="993" spans="1:29" outlineLevel="1">
      <c r="A993" s="21" t="s">
        <v>86</v>
      </c>
      <c r="B993" s="40" t="str">
        <f t="shared" si="76"/>
        <v/>
      </c>
      <c r="C993" s="41">
        <f t="shared" si="69"/>
        <v>992</v>
      </c>
      <c r="D993" s="260" t="s">
        <v>9</v>
      </c>
      <c r="E993" s="37"/>
      <c r="F993" s="305"/>
      <c r="G993" s="188"/>
      <c r="H993" s="37"/>
      <c r="I993" s="37" t="s">
        <v>9</v>
      </c>
      <c r="J993" s="37"/>
      <c r="K993" s="52" t="s">
        <v>46</v>
      </c>
      <c r="L993" s="52" t="s">
        <v>34</v>
      </c>
      <c r="M993" s="184" t="s">
        <v>4479</v>
      </c>
      <c r="N993" s="52" t="s">
        <v>4487</v>
      </c>
      <c r="O993" s="153">
        <v>30</v>
      </c>
      <c r="P993" s="157" t="s">
        <v>298</v>
      </c>
      <c r="Q993" s="168" t="s">
        <v>9</v>
      </c>
      <c r="R993" s="168" t="s">
        <v>105</v>
      </c>
      <c r="S993" s="168" t="s">
        <v>114</v>
      </c>
      <c r="T993" s="163" t="s">
        <v>298</v>
      </c>
      <c r="U993" s="163" t="s">
        <v>298</v>
      </c>
      <c r="V993" s="163"/>
      <c r="W993" s="14" t="str">
        <f>IF(IFERROR(VLOOKUP($M993,'IMPORT GS-Tür OL FL 2S2 20'!$H$2:$H$847,1,0),"-")="-","","GS")</f>
        <v/>
      </c>
      <c r="X993" s="14" t="str">
        <f t="shared" si="77"/>
        <v>&gt;&lt;</v>
      </c>
      <c r="Y993" s="163"/>
      <c r="Z993" s="58" t="str">
        <f>IF(OR($M993="",NOT($O993="{array}")),"",IFERROR(MATCH([1]PARAMETERS!$M993,[1]DEFAULT!$B$5:$CI$5,0),""))</f>
        <v/>
      </c>
      <c r="AA993" s="55" t="str">
        <f t="shared" si="74"/>
        <v/>
      </c>
      <c r="AB993" s="62" t="str">
        <f>IF(AND(OR($A993="G",$A993="P"),NOT($O993="{array}")),IF(VLOOKUP($K993,[1]base!$B$2:$D$20,3,0)="S",IF(OR($O993="",ISTEXT($O993)),"","STRING!"),IF(VLOOKUP($K993,[1]base!$B$2:$D$20,3,0)="","",IF(ISTEXT($O993),"NUMERIC!",""))),"")</f>
        <v/>
      </c>
      <c r="AC993" s="16" t="str">
        <f>IF($AA993="","",IF($B993="I",VLOOKUP($AA993,#REF!,53,0),INDEX([1]VALUES!$B$1:$BF$1,1,$AA993)))</f>
        <v/>
      </c>
    </row>
    <row r="994" spans="1:29" outlineLevel="1">
      <c r="A994" s="21" t="s">
        <v>86</v>
      </c>
      <c r="B994" s="40" t="str">
        <f t="shared" si="76"/>
        <v/>
      </c>
      <c r="C994" s="41">
        <f t="shared" si="69"/>
        <v>993</v>
      </c>
      <c r="D994" s="260" t="s">
        <v>9</v>
      </c>
      <c r="E994" s="37"/>
      <c r="F994" s="305"/>
      <c r="G994" s="188"/>
      <c r="H994" s="37"/>
      <c r="I994" s="37" t="s">
        <v>9</v>
      </c>
      <c r="J994" s="37"/>
      <c r="K994" s="52" t="s">
        <v>46</v>
      </c>
      <c r="L994" s="52" t="s">
        <v>34</v>
      </c>
      <c r="M994" s="184" t="s">
        <v>4480</v>
      </c>
      <c r="N994" s="52" t="s">
        <v>4488</v>
      </c>
      <c r="O994" s="153">
        <v>30</v>
      </c>
      <c r="P994" s="157" t="s">
        <v>298</v>
      </c>
      <c r="Q994" s="168" t="s">
        <v>9</v>
      </c>
      <c r="R994" s="168" t="s">
        <v>105</v>
      </c>
      <c r="S994" s="168" t="s">
        <v>114</v>
      </c>
      <c r="T994" s="163" t="s">
        <v>298</v>
      </c>
      <c r="U994" s="163" t="s">
        <v>298</v>
      </c>
      <c r="V994" s="163"/>
      <c r="W994" s="14" t="str">
        <f>IF(IFERROR(VLOOKUP($M994,'IMPORT GS-Tür OL FL 2S2 20'!$H$2:$H$847,1,0),"-")="-","","GS")</f>
        <v/>
      </c>
      <c r="X994" s="14" t="str">
        <f t="shared" si="77"/>
        <v>&gt;&lt;</v>
      </c>
      <c r="Y994" s="163"/>
      <c r="Z994" s="58" t="str">
        <f>IF(OR($M994="",NOT($O994="{array}")),"",IFERROR(MATCH([1]PARAMETERS!$M994,[1]DEFAULT!$B$5:$CI$5,0),""))</f>
        <v/>
      </c>
      <c r="AA994" s="55" t="str">
        <f t="shared" si="74"/>
        <v/>
      </c>
      <c r="AB994" s="62" t="str">
        <f>IF(AND(OR($A994="G",$A994="P"),NOT($O994="{array}")),IF(VLOOKUP($K994,[1]base!$B$2:$D$20,3,0)="S",IF(OR($O994="",ISTEXT($O994)),"","STRING!"),IF(VLOOKUP($K994,[1]base!$B$2:$D$20,3,0)="","",IF(ISTEXT($O994),"NUMERIC!",""))),"")</f>
        <v/>
      </c>
      <c r="AC994" s="16" t="str">
        <f>IF($AA994="","",IF($B994="I",VLOOKUP($AA994,#REF!,53,0),INDEX([1]VALUES!$B$1:$BF$1,1,$AA994)))</f>
        <v/>
      </c>
    </row>
    <row r="995" spans="1:29" outlineLevel="1">
      <c r="A995" s="21" t="s">
        <v>86</v>
      </c>
      <c r="B995" s="40" t="str">
        <f t="shared" si="76"/>
        <v/>
      </c>
      <c r="C995" s="41">
        <f t="shared" si="69"/>
        <v>994</v>
      </c>
      <c r="D995" s="260" t="s">
        <v>9</v>
      </c>
      <c r="E995" s="37"/>
      <c r="F995" s="305"/>
      <c r="G995" s="188"/>
      <c r="H995" s="37"/>
      <c r="I995" s="37" t="s">
        <v>9</v>
      </c>
      <c r="J995" s="37"/>
      <c r="K995" s="163" t="s">
        <v>20</v>
      </c>
      <c r="L995" s="52" t="s">
        <v>34</v>
      </c>
      <c r="M995" s="184" t="s">
        <v>4481</v>
      </c>
      <c r="N995" s="52" t="s">
        <v>4482</v>
      </c>
      <c r="O995" s="153"/>
      <c r="P995" s="157" t="s">
        <v>298</v>
      </c>
      <c r="Q995" s="168" t="s">
        <v>9</v>
      </c>
      <c r="R995" s="168" t="s">
        <v>105</v>
      </c>
      <c r="S995" s="168" t="s">
        <v>114</v>
      </c>
      <c r="T995" s="163" t="s">
        <v>298</v>
      </c>
      <c r="U995" s="163" t="s">
        <v>298</v>
      </c>
      <c r="V995" s="163"/>
      <c r="W995" s="14" t="str">
        <f>IF(IFERROR(VLOOKUP($M995,'IMPORT GS-Tür OL FL 2S2 20'!$H$2:$H$847,1,0),"-")="-","","GS")</f>
        <v/>
      </c>
      <c r="X995" s="14" t="str">
        <f t="shared" si="77"/>
        <v>&gt;&lt;</v>
      </c>
      <c r="Y995" s="163"/>
      <c r="Z995" s="58" t="str">
        <f>IF(OR($M995="",NOT($O995="{array}")),"",IFERROR(MATCH([1]PARAMETERS!$M995,[1]DEFAULT!$B$5:$CI$5,0),""))</f>
        <v/>
      </c>
      <c r="AA995" s="55" t="str">
        <f t="shared" si="74"/>
        <v/>
      </c>
      <c r="AB995" s="62" t="str">
        <f>IF(AND(OR($A995="G",$A995="P"),NOT($O995="{array}")),IF(VLOOKUP($K995,[1]base!$B$2:$D$20,3,0)="S",IF(OR($O995="",ISTEXT($O995)),"","STRING!"),IF(VLOOKUP($K995,[1]base!$B$2:$D$20,3,0)="","",IF(ISTEXT($O995),"NUMERIC!",""))),"")</f>
        <v/>
      </c>
      <c r="AC995" s="16" t="str">
        <f>IF($AA995="","",IF($B995="I",VLOOKUP($AA995,#REF!,53,0),INDEX([1]VALUES!$B$1:$BF$1,1,$AA995)))</f>
        <v/>
      </c>
    </row>
    <row r="996" spans="1:29" outlineLevel="1">
      <c r="A996" s="21" t="s">
        <v>86</v>
      </c>
      <c r="B996" s="40" t="str">
        <f t="shared" si="76"/>
        <v/>
      </c>
      <c r="C996" s="41">
        <f t="shared" si="69"/>
        <v>995</v>
      </c>
      <c r="D996" s="260" t="s">
        <v>9</v>
      </c>
      <c r="E996" s="37"/>
      <c r="F996" s="305"/>
      <c r="G996" s="188"/>
      <c r="H996" s="37"/>
      <c r="I996" s="37" t="s">
        <v>9</v>
      </c>
      <c r="J996" s="37"/>
      <c r="K996" s="52" t="s">
        <v>20</v>
      </c>
      <c r="L996" s="52" t="s">
        <v>34</v>
      </c>
      <c r="M996" s="184" t="s">
        <v>4483</v>
      </c>
      <c r="N996" s="52" t="s">
        <v>4484</v>
      </c>
      <c r="O996" s="153"/>
      <c r="P996" s="157" t="s">
        <v>298</v>
      </c>
      <c r="Q996" s="168" t="s">
        <v>9</v>
      </c>
      <c r="R996" s="168" t="s">
        <v>105</v>
      </c>
      <c r="S996" s="168" t="s">
        <v>114</v>
      </c>
      <c r="T996" s="163" t="s">
        <v>298</v>
      </c>
      <c r="U996" s="163" t="s">
        <v>298</v>
      </c>
      <c r="V996" s="163"/>
      <c r="W996" s="14" t="str">
        <f>IF(IFERROR(VLOOKUP($M996,'IMPORT GS-Tür OL FL 2S2 20'!$H$2:$H$847,1,0),"-")="-","","GS")</f>
        <v/>
      </c>
      <c r="X996" s="14" t="str">
        <f t="shared" si="77"/>
        <v>&gt;&lt;</v>
      </c>
      <c r="Y996" s="163"/>
      <c r="Z996" s="58" t="str">
        <f>IF(OR($M996="",NOT($O996="{array}")),"",IFERROR(MATCH([1]PARAMETERS!$M996,[1]DEFAULT!$B$5:$CI$5,0),""))</f>
        <v/>
      </c>
      <c r="AA996" s="55" t="str">
        <f t="shared" si="74"/>
        <v/>
      </c>
      <c r="AB996" s="62" t="str">
        <f>IF(AND(OR($A996="G",$A996="P"),NOT($O996="{array}")),IF(VLOOKUP($K996,[1]base!$B$2:$D$20,3,0)="S",IF(OR($O996="",ISTEXT($O996)),"","STRING!"),IF(VLOOKUP($K996,[1]base!$B$2:$D$20,3,0)="","",IF(ISTEXT($O996),"NUMERIC!",""))),"")</f>
        <v/>
      </c>
      <c r="AC996" s="16" t="str">
        <f>IF($AA996="","",IF($B996="I",VLOOKUP($AA996,#REF!,53,0),INDEX([1]VALUES!$B$1:$BF$1,1,$AA996)))</f>
        <v/>
      </c>
    </row>
    <row r="997" spans="1:29">
      <c r="A997" s="21" t="s">
        <v>86</v>
      </c>
      <c r="B997" s="40" t="str">
        <f t="shared" si="68"/>
        <v/>
      </c>
      <c r="C997" s="41">
        <f t="shared" si="69"/>
        <v>996</v>
      </c>
      <c r="D997" s="260"/>
      <c r="E997" s="37"/>
      <c r="F997" s="305"/>
      <c r="G997" s="188"/>
      <c r="H997" s="37"/>
      <c r="I997" s="37"/>
      <c r="J997" s="37"/>
      <c r="K997" s="230" t="s">
        <v>59</v>
      </c>
      <c r="L997" s="230" t="s">
        <v>40</v>
      </c>
      <c r="M997" s="231" t="s">
        <v>1257</v>
      </c>
      <c r="N997" s="232" t="s">
        <v>1258</v>
      </c>
      <c r="R997" s="37" t="s">
        <v>105</v>
      </c>
      <c r="S997" s="37"/>
      <c r="T997" s="37"/>
      <c r="W997" s="14" t="str">
        <f>IF(IFERROR(VLOOKUP($M997,'IMPORT GS-Tür OL FL 2S2 20'!$H$2:$H$847,1,0),"-")="-","","GS")</f>
        <v/>
      </c>
      <c r="X997" s="14" t="str">
        <f t="shared" si="67"/>
        <v>...</v>
      </c>
      <c r="Z997" s="58" t="str">
        <f>IF(OR($M997="",NOT($O997="{array}")),"",IFERROR(MATCH(PARAMETERS!$M997,DEFAULT!$B$5:$CI$5,0),""))</f>
        <v/>
      </c>
      <c r="AA997" s="55" t="str">
        <f t="shared" si="73"/>
        <v/>
      </c>
      <c r="AB997" s="62" t="str">
        <f>IF(AND(OR($A997="G",$A997="P"),NOT($O997="{array}")),IF(VLOOKUP($K997,base!$B$2:$D$20,3,0)="S",IF(OR($O997="",ISTEXT($O997)),"","STRING!"),IF(VLOOKUP($K997,base!$B$2:$D$20,3,0)="","",IF(ISTEXT($O997),"NUMERIC!",""))),"")</f>
        <v/>
      </c>
      <c r="AC997" s="16" t="str">
        <f>IF($AA997="","",IF($B997="I",VLOOKUP($AA997,#REF!,53,0),INDEX(VALUES!$B$1:$GP$1,1,$AA997)))</f>
        <v/>
      </c>
    </row>
    <row r="998" spans="1:29" outlineLevel="1">
      <c r="A998" s="21" t="s">
        <v>86</v>
      </c>
      <c r="B998" s="40" t="str">
        <f t="shared" si="68"/>
        <v/>
      </c>
      <c r="C998" s="41">
        <f t="shared" si="69"/>
        <v>997</v>
      </c>
      <c r="D998" s="260" t="s">
        <v>9</v>
      </c>
      <c r="E998" s="37"/>
      <c r="F998" s="305"/>
      <c r="G998" s="188"/>
      <c r="H998" s="37"/>
      <c r="I998" s="37" t="s">
        <v>9</v>
      </c>
      <c r="J998" s="37"/>
      <c r="K998" s="163" t="s">
        <v>20</v>
      </c>
      <c r="L998" s="164" t="s">
        <v>29</v>
      </c>
      <c r="M998" s="184" t="s">
        <v>3794</v>
      </c>
      <c r="N998" s="163" t="s">
        <v>3778</v>
      </c>
      <c r="O998" s="223" t="s">
        <v>3192</v>
      </c>
      <c r="P998" s="157" t="s">
        <v>298</v>
      </c>
      <c r="Q998" s="168"/>
      <c r="R998" s="168" t="s">
        <v>105</v>
      </c>
      <c r="S998" s="168" t="s">
        <v>114</v>
      </c>
      <c r="T998" s="163" t="s">
        <v>298</v>
      </c>
      <c r="U998" s="163" t="s">
        <v>298</v>
      </c>
      <c r="V998" s="163" t="s">
        <v>1259</v>
      </c>
      <c r="W998" s="14" t="str">
        <f>IF(IFERROR(VLOOKUP($M998,'IMPORT GS-Tür OL FL 2S2 20'!$H$2:$H$847,1,0),"-")="-","","GS")</f>
        <v/>
      </c>
      <c r="X998" s="14" t="str">
        <f t="shared" si="67"/>
        <v>&gt;&lt;</v>
      </c>
      <c r="Y998" s="163" t="s">
        <v>1260</v>
      </c>
      <c r="Z998" s="58" t="str">
        <f>IF(OR($M998="",NOT($O998="{array}")),"",IFERROR(MATCH(PARAMETERS!$M998,DEFAULT!$B$5:$CI$5,0),""))</f>
        <v/>
      </c>
      <c r="AA998" s="55" t="str">
        <f t="shared" si="73"/>
        <v/>
      </c>
      <c r="AB998" s="62" t="str">
        <f>IF(AND(OR($A998="G",$A998="P"),NOT($O998="{array}")),IF(VLOOKUP($K998,base!$B$2:$D$20,3,0)="S",IF(OR($O998="",ISTEXT($O998)),"","STRING!"),IF(VLOOKUP($K998,base!$B$2:$D$20,3,0)="","",IF(ISTEXT($O998),"NUMERIC!",""))),"")</f>
        <v/>
      </c>
      <c r="AC998" s="16" t="str">
        <f>IF($AA998="","",IF($B998="I",VLOOKUP($AA998,#REF!,53,0),INDEX(VALUES!$B$1:$GP$1,1,$AA998)))</f>
        <v/>
      </c>
    </row>
    <row r="999" spans="1:29" outlineLevel="1">
      <c r="A999" s="21" t="s">
        <v>86</v>
      </c>
      <c r="B999" s="40" t="str">
        <f t="shared" si="68"/>
        <v/>
      </c>
      <c r="C999" s="41">
        <f t="shared" si="69"/>
        <v>998</v>
      </c>
      <c r="D999" s="260" t="s">
        <v>9</v>
      </c>
      <c r="E999" s="37"/>
      <c r="F999" s="305"/>
      <c r="G999" s="188"/>
      <c r="H999" s="37"/>
      <c r="I999" s="37" t="s">
        <v>9</v>
      </c>
      <c r="J999" s="37"/>
      <c r="K999" s="156" t="s">
        <v>26</v>
      </c>
      <c r="L999" s="164" t="s">
        <v>29</v>
      </c>
      <c r="M999" s="184" t="s">
        <v>3795</v>
      </c>
      <c r="N999" s="163" t="s">
        <v>3790</v>
      </c>
      <c r="O999" s="163">
        <v>0.2</v>
      </c>
      <c r="P999" s="157" t="s">
        <v>298</v>
      </c>
      <c r="Q999" s="168" t="s">
        <v>9</v>
      </c>
      <c r="R999" s="168" t="s">
        <v>105</v>
      </c>
      <c r="S999" s="168" t="s">
        <v>114</v>
      </c>
      <c r="T999" s="163" t="s">
        <v>298</v>
      </c>
      <c r="U999" s="163" t="s">
        <v>298</v>
      </c>
      <c r="V999" s="163" t="s">
        <v>1261</v>
      </c>
      <c r="W999" s="14" t="str">
        <f>IF(IFERROR(VLOOKUP($M999,'IMPORT GS-Tür OL FL 2S2 20'!$H$2:$H$847,1,0),"-")="-","","GS")</f>
        <v/>
      </c>
      <c r="X999" s="14" t="str">
        <f t="shared" si="67"/>
        <v>&gt;&lt;</v>
      </c>
      <c r="Y999" s="163" t="s">
        <v>1262</v>
      </c>
      <c r="Z999" s="58" t="str">
        <f>IF(OR($M999="",NOT($O999="{array}")),"",IFERROR(MATCH(PARAMETERS!$M999,DEFAULT!$B$5:$CI$5,0),""))</f>
        <v/>
      </c>
      <c r="AA999" s="55" t="str">
        <f t="shared" si="73"/>
        <v/>
      </c>
      <c r="AB999" s="62" t="str">
        <f>IF(AND(OR($A999="G",$A999="P"),NOT($O999="{array}")),IF(VLOOKUP($K999,base!$B$2:$D$20,3,0)="S",IF(OR($O999="",ISTEXT($O999)),"","STRING!"),IF(VLOOKUP($K999,base!$B$2:$D$20,3,0)="","",IF(ISTEXT($O999),"NUMERIC!",""))),"")</f>
        <v/>
      </c>
      <c r="AC999" s="16" t="str">
        <f>IF($AA999="","",IF($B999="I",VLOOKUP($AA999,#REF!,53,0),INDEX(VALUES!$B$1:$GP$1,1,$AA999)))</f>
        <v/>
      </c>
    </row>
    <row r="1000" spans="1:29" outlineLevel="1">
      <c r="A1000" s="21" t="s">
        <v>86</v>
      </c>
      <c r="B1000" s="40" t="str">
        <f t="shared" si="68"/>
        <v/>
      </c>
      <c r="C1000" s="41">
        <f t="shared" si="69"/>
        <v>999</v>
      </c>
      <c r="D1000" s="260" t="s">
        <v>9</v>
      </c>
      <c r="E1000" s="37"/>
      <c r="F1000" s="305"/>
      <c r="G1000" s="188"/>
      <c r="H1000" s="37"/>
      <c r="I1000" s="37" t="s">
        <v>9</v>
      </c>
      <c r="J1000" s="37"/>
      <c r="K1000" s="156" t="s">
        <v>26</v>
      </c>
      <c r="L1000" s="164" t="s">
        <v>29</v>
      </c>
      <c r="M1000" s="184" t="s">
        <v>3796</v>
      </c>
      <c r="N1000" s="163" t="s">
        <v>3791</v>
      </c>
      <c r="O1000" s="163">
        <v>0.85</v>
      </c>
      <c r="P1000" s="157" t="s">
        <v>298</v>
      </c>
      <c r="Q1000" s="168" t="s">
        <v>9</v>
      </c>
      <c r="R1000" s="168" t="s">
        <v>105</v>
      </c>
      <c r="S1000" s="168" t="s">
        <v>114</v>
      </c>
      <c r="T1000" s="163" t="s">
        <v>298</v>
      </c>
      <c r="U1000" s="163" t="s">
        <v>298</v>
      </c>
      <c r="V1000" s="163" t="s">
        <v>1263</v>
      </c>
      <c r="W1000" s="14" t="str">
        <f>IF(IFERROR(VLOOKUP($M1000,'IMPORT GS-Tür OL FL 2S2 20'!$H$2:$H$847,1,0),"-")="-","","GS")</f>
        <v/>
      </c>
      <c r="X1000" s="14" t="str">
        <f t="shared" si="67"/>
        <v>&gt;&lt;</v>
      </c>
      <c r="Y1000" s="163" t="s">
        <v>1264</v>
      </c>
      <c r="Z1000" s="58" t="str">
        <f>IF(OR($M1000="",NOT($O1000="{array}")),"",IFERROR(MATCH(PARAMETERS!$M1000,DEFAULT!$B$5:$CI$5,0),""))</f>
        <v/>
      </c>
      <c r="AA1000" s="55" t="str">
        <f t="shared" si="73"/>
        <v/>
      </c>
      <c r="AB1000" s="62" t="str">
        <f>IF(AND(OR($A1000="G",$A1000="P"),NOT($O1000="{array}")),IF(VLOOKUP($K1000,base!$B$2:$D$20,3,0)="S",IF(OR($O1000="",ISTEXT($O1000)),"","STRING!"),IF(VLOOKUP($K1000,base!$B$2:$D$20,3,0)="","",IF(ISTEXT($O1000),"NUMERIC!",""))),"")</f>
        <v/>
      </c>
      <c r="AC1000" s="16" t="str">
        <f>IF($AA1000="","",IF($B1000="I",VLOOKUP($AA1000,#REF!,53,0),INDEX(VALUES!$B$1:$GP$1,1,$AA1000)))</f>
        <v/>
      </c>
    </row>
    <row r="1001" spans="1:29" outlineLevel="1">
      <c r="A1001" s="21" t="s">
        <v>86</v>
      </c>
      <c r="B1001" s="40" t="str">
        <f t="shared" si="68"/>
        <v/>
      </c>
      <c r="C1001" s="41">
        <f t="shared" si="69"/>
        <v>1000</v>
      </c>
      <c r="D1001" s="260" t="s">
        <v>9</v>
      </c>
      <c r="E1001" s="37"/>
      <c r="F1001" s="305"/>
      <c r="G1001" s="188"/>
      <c r="H1001" s="37"/>
      <c r="I1001" s="37" t="s">
        <v>9</v>
      </c>
      <c r="J1001" s="37"/>
      <c r="K1001" s="163" t="s">
        <v>20</v>
      </c>
      <c r="L1001" s="164" t="s">
        <v>29</v>
      </c>
      <c r="M1001" s="184" t="s">
        <v>3797</v>
      </c>
      <c r="N1001" s="163" t="s">
        <v>3779</v>
      </c>
      <c r="O1001" s="163" t="s">
        <v>31</v>
      </c>
      <c r="P1001" s="157" t="s">
        <v>298</v>
      </c>
      <c r="Q1001" s="168" t="s">
        <v>9</v>
      </c>
      <c r="R1001" s="168" t="s">
        <v>105</v>
      </c>
      <c r="S1001" s="168" t="s">
        <v>114</v>
      </c>
      <c r="T1001" s="163" t="s">
        <v>298</v>
      </c>
      <c r="U1001" s="163" t="s">
        <v>298</v>
      </c>
      <c r="V1001" s="163" t="s">
        <v>1265</v>
      </c>
      <c r="W1001" s="14" t="str">
        <f>IF(IFERROR(VLOOKUP($M1001,'IMPORT GS-Tür OL FL 2S2 20'!$H$2:$H$847,1,0),"-")="-","","GS")</f>
        <v/>
      </c>
      <c r="X1001" s="14" t="str">
        <f t="shared" si="67"/>
        <v>&gt;&lt;</v>
      </c>
      <c r="Y1001" s="163" t="s">
        <v>1266</v>
      </c>
      <c r="Z1001" s="58" t="str">
        <f>IF(OR($M1001="",NOT($O1001="{array}")),"",IFERROR(MATCH(PARAMETERS!$M1001,DEFAULT!$B$5:$CI$5,0),""))</f>
        <v/>
      </c>
      <c r="AA1001" s="55" t="str">
        <f t="shared" si="73"/>
        <v/>
      </c>
      <c r="AB1001" s="62" t="str">
        <f>IF(AND(OR($A1001="G",$A1001="P"),NOT($O1001="{array}")),IF(VLOOKUP($K1001,base!$B$2:$D$20,3,0)="S",IF(OR($O1001="",ISTEXT($O1001)),"","STRING!"),IF(VLOOKUP($K1001,base!$B$2:$D$20,3,0)="","",IF(ISTEXT($O1001),"NUMERIC!",""))),"")</f>
        <v/>
      </c>
      <c r="AC1001" s="16" t="str">
        <f>IF($AA1001="","",IF($B1001="I",VLOOKUP($AA1001,#REF!,53,0),INDEX(VALUES!$B$1:$GP$1,1,$AA1001)))</f>
        <v/>
      </c>
    </row>
    <row r="1002" spans="1:29" outlineLevel="1">
      <c r="A1002" s="21" t="s">
        <v>86</v>
      </c>
      <c r="B1002" s="40" t="str">
        <f t="shared" si="68"/>
        <v/>
      </c>
      <c r="C1002" s="41">
        <f t="shared" si="69"/>
        <v>1001</v>
      </c>
      <c r="D1002" s="260" t="s">
        <v>9</v>
      </c>
      <c r="E1002" s="37"/>
      <c r="F1002" s="305"/>
      <c r="G1002" s="188"/>
      <c r="H1002" s="37"/>
      <c r="I1002" s="37" t="s">
        <v>9</v>
      </c>
      <c r="J1002" s="37"/>
      <c r="K1002" s="163" t="s">
        <v>20</v>
      </c>
      <c r="L1002" s="164" t="s">
        <v>29</v>
      </c>
      <c r="M1002" s="184" t="s">
        <v>3798</v>
      </c>
      <c r="N1002" s="163" t="s">
        <v>3789</v>
      </c>
      <c r="O1002" s="163" t="s">
        <v>3192</v>
      </c>
      <c r="P1002" s="157" t="s">
        <v>298</v>
      </c>
      <c r="Q1002" s="168"/>
      <c r="R1002" s="168" t="s">
        <v>105</v>
      </c>
      <c r="S1002" s="168" t="s">
        <v>114</v>
      </c>
      <c r="T1002" s="163" t="s">
        <v>298</v>
      </c>
      <c r="U1002" s="163" t="s">
        <v>298</v>
      </c>
      <c r="V1002" s="163" t="s">
        <v>1267</v>
      </c>
      <c r="W1002" s="14" t="str">
        <f>IF(IFERROR(VLOOKUP($M1002,'IMPORT GS-Tür OL FL 2S2 20'!$H$2:$H$847,1,0),"-")="-","","GS")</f>
        <v/>
      </c>
      <c r="X1002" s="14" t="str">
        <f t="shared" si="67"/>
        <v>&gt;&lt;</v>
      </c>
      <c r="Y1002" s="163" t="s">
        <v>1268</v>
      </c>
      <c r="Z1002" s="58" t="str">
        <f>IF(OR($M1002="",NOT($O1002="{array}")),"",IFERROR(MATCH(PARAMETERS!$M1002,DEFAULT!$B$5:$CI$5,0),""))</f>
        <v/>
      </c>
      <c r="AA1002" s="55" t="str">
        <f t="shared" si="73"/>
        <v/>
      </c>
      <c r="AB1002" s="62" t="str">
        <f>IF(AND(OR($A1002="G",$A1002="P"),NOT($O1002="{array}")),IF(VLOOKUP($K1002,base!$B$2:$D$20,3,0)="S",IF(OR($O1002="",ISTEXT($O1002)),"","STRING!"),IF(VLOOKUP($K1002,base!$B$2:$D$20,3,0)="","",IF(ISTEXT($O1002),"NUMERIC!",""))),"")</f>
        <v/>
      </c>
      <c r="AC1002" s="16" t="str">
        <f>IF($AA1002="","",IF($B1002="I",VLOOKUP($AA1002,#REF!,53,0),INDEX(VALUES!$B$1:$GP$1,1,$AA1002)))</f>
        <v/>
      </c>
    </row>
    <row r="1003" spans="1:29" outlineLevel="1">
      <c r="A1003" s="21" t="s">
        <v>86</v>
      </c>
      <c r="B1003" s="40" t="str">
        <f t="shared" si="68"/>
        <v/>
      </c>
      <c r="C1003" s="41">
        <f t="shared" si="69"/>
        <v>1002</v>
      </c>
      <c r="D1003" s="260" t="s">
        <v>9</v>
      </c>
      <c r="E1003" s="37"/>
      <c r="F1003" s="305"/>
      <c r="G1003" s="188"/>
      <c r="H1003" s="37"/>
      <c r="I1003" s="37" t="s">
        <v>9</v>
      </c>
      <c r="J1003" s="37"/>
      <c r="K1003" s="156" t="s">
        <v>26</v>
      </c>
      <c r="L1003" s="164" t="s">
        <v>29</v>
      </c>
      <c r="M1003" s="184" t="s">
        <v>3799</v>
      </c>
      <c r="N1003" s="163" t="s">
        <v>3790</v>
      </c>
      <c r="O1003" s="163">
        <v>0.2</v>
      </c>
      <c r="P1003" s="157" t="s">
        <v>298</v>
      </c>
      <c r="Q1003" s="168" t="s">
        <v>9</v>
      </c>
      <c r="R1003" s="168" t="s">
        <v>105</v>
      </c>
      <c r="S1003" s="168" t="s">
        <v>114</v>
      </c>
      <c r="T1003" s="163" t="s">
        <v>298</v>
      </c>
      <c r="U1003" s="163" t="s">
        <v>298</v>
      </c>
      <c r="V1003" s="163" t="s">
        <v>1269</v>
      </c>
      <c r="W1003" s="14" t="str">
        <f>IF(IFERROR(VLOOKUP($M1003,'IMPORT GS-Tür OL FL 2S2 20'!$H$2:$H$847,1,0),"-")="-","","GS")</f>
        <v/>
      </c>
      <c r="X1003" s="14" t="str">
        <f t="shared" si="67"/>
        <v>&gt;&lt;</v>
      </c>
      <c r="Y1003" s="163" t="s">
        <v>1270</v>
      </c>
      <c r="Z1003" s="58" t="str">
        <f>IF(OR($M1003="",NOT($O1003="{array}")),"",IFERROR(MATCH(PARAMETERS!$M1003,DEFAULT!$B$5:$CI$5,0),""))</f>
        <v/>
      </c>
      <c r="AA1003" s="55" t="str">
        <f t="shared" si="73"/>
        <v/>
      </c>
      <c r="AB1003" s="62" t="str">
        <f>IF(AND(OR($A1003="G",$A1003="P"),NOT($O1003="{array}")),IF(VLOOKUP($K1003,base!$B$2:$D$20,3,0)="S",IF(OR($O1003="",ISTEXT($O1003)),"","STRING!"),IF(VLOOKUP($K1003,base!$B$2:$D$20,3,0)="","",IF(ISTEXT($O1003),"NUMERIC!",""))),"")</f>
        <v/>
      </c>
      <c r="AC1003" s="16" t="str">
        <f>IF($AA1003="","",IF($B1003="I",VLOOKUP($AA1003,#REF!,53,0),INDEX(VALUES!$B$1:$GP$1,1,$AA1003)))</f>
        <v/>
      </c>
    </row>
    <row r="1004" spans="1:29" outlineLevel="1">
      <c r="A1004" s="21" t="s">
        <v>86</v>
      </c>
      <c r="B1004" s="40" t="str">
        <f t="shared" si="68"/>
        <v/>
      </c>
      <c r="C1004" s="41">
        <f t="shared" si="69"/>
        <v>1003</v>
      </c>
      <c r="D1004" s="260" t="s">
        <v>9</v>
      </c>
      <c r="E1004" s="37"/>
      <c r="F1004" s="305"/>
      <c r="G1004" s="188"/>
      <c r="H1004" s="37"/>
      <c r="I1004" s="37" t="s">
        <v>9</v>
      </c>
      <c r="J1004" s="37"/>
      <c r="K1004" s="156" t="s">
        <v>26</v>
      </c>
      <c r="L1004" s="164" t="s">
        <v>29</v>
      </c>
      <c r="M1004" s="184" t="s">
        <v>3800</v>
      </c>
      <c r="N1004" s="163" t="s">
        <v>3791</v>
      </c>
      <c r="O1004" s="163">
        <v>0.85</v>
      </c>
      <c r="P1004" s="157" t="s">
        <v>298</v>
      </c>
      <c r="Q1004" s="168" t="s">
        <v>9</v>
      </c>
      <c r="R1004" s="168" t="s">
        <v>105</v>
      </c>
      <c r="S1004" s="168" t="s">
        <v>114</v>
      </c>
      <c r="T1004" s="163" t="s">
        <v>298</v>
      </c>
      <c r="U1004" s="163" t="s">
        <v>298</v>
      </c>
      <c r="V1004" s="163" t="s">
        <v>1271</v>
      </c>
      <c r="W1004" s="14" t="str">
        <f>IF(IFERROR(VLOOKUP($M1004,'IMPORT GS-Tür OL FL 2S2 20'!$H$2:$H$847,1,0),"-")="-","","GS")</f>
        <v/>
      </c>
      <c r="X1004" s="14" t="str">
        <f t="shared" si="67"/>
        <v>&gt;&lt;</v>
      </c>
      <c r="Y1004" s="163" t="s">
        <v>1272</v>
      </c>
      <c r="Z1004" s="58" t="str">
        <f>IF(OR($M1004="",NOT($O1004="{array}")),"",IFERROR(MATCH(PARAMETERS!$M1004,DEFAULT!$B$5:$CI$5,0),""))</f>
        <v/>
      </c>
      <c r="AA1004" s="55" t="str">
        <f t="shared" si="73"/>
        <v/>
      </c>
      <c r="AB1004" s="62" t="str">
        <f>IF(AND(OR($A1004="G",$A1004="P"),NOT($O1004="{array}")),IF(VLOOKUP($K1004,base!$B$2:$D$20,3,0)="S",IF(OR($O1004="",ISTEXT($O1004)),"","STRING!"),IF(VLOOKUP($K1004,base!$B$2:$D$20,3,0)="","",IF(ISTEXT($O1004),"NUMERIC!",""))),"")</f>
        <v/>
      </c>
      <c r="AC1004" s="16" t="str">
        <f>IF($AA1004="","",IF($B1004="I",VLOOKUP($AA1004,#REF!,53,0),INDEX(VALUES!$B$1:$GP$1,1,$AA1004)))</f>
        <v/>
      </c>
    </row>
    <row r="1005" spans="1:29" outlineLevel="1">
      <c r="A1005" s="21" t="s">
        <v>86</v>
      </c>
      <c r="B1005" s="40" t="str">
        <f t="shared" si="68"/>
        <v/>
      </c>
      <c r="C1005" s="41">
        <f t="shared" si="69"/>
        <v>1004</v>
      </c>
      <c r="D1005" s="260" t="s">
        <v>9</v>
      </c>
      <c r="E1005" s="37"/>
      <c r="F1005" s="305"/>
      <c r="G1005" s="188"/>
      <c r="H1005" s="37"/>
      <c r="I1005" s="37" t="s">
        <v>9</v>
      </c>
      <c r="J1005" s="37"/>
      <c r="K1005" s="163" t="s">
        <v>20</v>
      </c>
      <c r="L1005" s="164" t="s">
        <v>29</v>
      </c>
      <c r="M1005" s="184" t="s">
        <v>3801</v>
      </c>
      <c r="N1005" s="163" t="s">
        <v>3792</v>
      </c>
      <c r="O1005" s="163" t="s">
        <v>31</v>
      </c>
      <c r="P1005" s="157" t="s">
        <v>298</v>
      </c>
      <c r="Q1005" s="168" t="s">
        <v>9</v>
      </c>
      <c r="R1005" s="168" t="s">
        <v>105</v>
      </c>
      <c r="S1005" s="168" t="s">
        <v>114</v>
      </c>
      <c r="T1005" s="163" t="s">
        <v>298</v>
      </c>
      <c r="U1005" s="163" t="s">
        <v>298</v>
      </c>
      <c r="V1005" s="163" t="s">
        <v>1273</v>
      </c>
      <c r="W1005" s="14" t="str">
        <f>IF(IFERROR(VLOOKUP($M1005,'IMPORT GS-Tür OL FL 2S2 20'!$H$2:$H$847,1,0),"-")="-","","GS")</f>
        <v/>
      </c>
      <c r="X1005" s="14" t="str">
        <f t="shared" si="67"/>
        <v>&gt;&lt;</v>
      </c>
      <c r="Y1005" s="163" t="s">
        <v>1274</v>
      </c>
      <c r="Z1005" s="58" t="str">
        <f>IF(OR($M1005="",NOT($O1005="{array}")),"",IFERROR(MATCH(PARAMETERS!$M1005,DEFAULT!$B$5:$CI$5,0),""))</f>
        <v/>
      </c>
      <c r="AA1005" s="55" t="str">
        <f t="shared" si="73"/>
        <v/>
      </c>
      <c r="AB1005" s="62" t="str">
        <f>IF(AND(OR($A1005="G",$A1005="P"),NOT($O1005="{array}")),IF(VLOOKUP($K1005,base!$B$2:$D$20,3,0)="S",IF(OR($O1005="",ISTEXT($O1005)),"","STRING!"),IF(VLOOKUP($K1005,base!$B$2:$D$20,3,0)="","",IF(ISTEXT($O1005),"NUMERIC!",""))),"")</f>
        <v/>
      </c>
      <c r="AC1005" s="16" t="str">
        <f>IF($AA1005="","",IF($B1005="I",VLOOKUP($AA1005,#REF!,53,0),INDEX(VALUES!$B$1:$GP$1,1,$AA1005)))</f>
        <v/>
      </c>
    </row>
    <row r="1006" spans="1:29" outlineLevel="1">
      <c r="A1006" s="21" t="s">
        <v>86</v>
      </c>
      <c r="B1006" s="40" t="str">
        <f t="shared" si="68"/>
        <v/>
      </c>
      <c r="C1006" s="41">
        <f t="shared" si="69"/>
        <v>1005</v>
      </c>
      <c r="D1006" s="260" t="s">
        <v>9</v>
      </c>
      <c r="E1006" s="37"/>
      <c r="F1006" s="305"/>
      <c r="G1006" s="188"/>
      <c r="H1006" s="37"/>
      <c r="I1006" s="37" t="s">
        <v>9</v>
      </c>
      <c r="J1006" s="37"/>
      <c r="K1006" s="163" t="s">
        <v>49</v>
      </c>
      <c r="L1006" s="164" t="s">
        <v>29</v>
      </c>
      <c r="M1006" s="184" t="s">
        <v>3802</v>
      </c>
      <c r="N1006" s="163" t="s">
        <v>3793</v>
      </c>
      <c r="O1006" s="163">
        <v>0</v>
      </c>
      <c r="P1006" s="157" t="s">
        <v>298</v>
      </c>
      <c r="Q1006" s="168"/>
      <c r="R1006" s="168" t="s">
        <v>204</v>
      </c>
      <c r="S1006" s="168" t="s">
        <v>114</v>
      </c>
      <c r="T1006" s="163" t="s">
        <v>298</v>
      </c>
      <c r="U1006" s="163"/>
      <c r="V1006" s="163"/>
      <c r="W1006" s="14" t="str">
        <f>IF(IFERROR(VLOOKUP($M1006,'IMPORT GS-Tür OL FL 2S2 20'!$H$2:$H$847,1,0),"-")="-","","GS")</f>
        <v/>
      </c>
      <c r="X1006" s="14" t="str">
        <f t="shared" si="67"/>
        <v>&gt;&lt;</v>
      </c>
      <c r="Y1006" s="163"/>
      <c r="Z1006" s="58" t="str">
        <f>IF(OR($M1006="",NOT($O1006="{array}")),"",IFERROR(MATCH(PARAMETERS!$M1006,DEFAULT!$B$5:$CI$5,0),""))</f>
        <v/>
      </c>
      <c r="AA1006" s="55" t="str">
        <f t="shared" si="73"/>
        <v/>
      </c>
      <c r="AB1006" s="62" t="str">
        <f>IF(AND(OR($A1006="G",$A1006="P"),NOT($O1006="{array}")),IF(VLOOKUP($K1006,base!$B$2:$D$20,3,0)="S",IF(OR($O1006="",ISTEXT($O1006)),"","STRING!"),IF(VLOOKUP($K1006,base!$B$2:$D$20,3,0)="","",IF(ISTEXT($O1006),"NUMERIC!",""))),"")</f>
        <v/>
      </c>
      <c r="AC1006" s="16" t="str">
        <f>IF($AA1006="","",IF($B1006="I",VLOOKUP($AA1006,#REF!,53,0),INDEX(VALUES!$B$1:$GP$1,1,$AA1006)))</f>
        <v/>
      </c>
    </row>
    <row r="1007" spans="1:29">
      <c r="A1007" s="21" t="s">
        <v>86</v>
      </c>
      <c r="B1007" s="40" t="str">
        <f>IF($A1007="P",IF(NOT($Z1007=""),"A",IF(NOT($AA1007=""),"I","")),IF(NOT($Z1007=""),"A",IF(NOT($AA1007=""),IF($A1007="G","V","X"),"")))</f>
        <v/>
      </c>
      <c r="C1007" s="41">
        <f t="shared" si="69"/>
        <v>1006</v>
      </c>
      <c r="D1007" s="260"/>
      <c r="E1007" s="37"/>
      <c r="F1007" s="305"/>
      <c r="G1007" s="188"/>
      <c r="H1007" s="37"/>
      <c r="I1007" s="37"/>
      <c r="J1007" s="37"/>
      <c r="K1007" s="230" t="s">
        <v>59</v>
      </c>
      <c r="L1007" s="230" t="s">
        <v>40</v>
      </c>
      <c r="M1007" s="231" t="s">
        <v>1275</v>
      </c>
      <c r="N1007" s="232" t="s">
        <v>1276</v>
      </c>
      <c r="R1007" s="37" t="s">
        <v>105</v>
      </c>
      <c r="S1007" s="37"/>
      <c r="T1007" s="37"/>
      <c r="W1007" s="14" t="str">
        <f>IF(IFERROR(VLOOKUP($M1007,#REF!,1,0),"-")="-","","GS")</f>
        <v/>
      </c>
      <c r="X1007" s="14" t="str">
        <f t="shared" si="67"/>
        <v>...</v>
      </c>
      <c r="Z1007" s="58" t="str">
        <f>IF(OR($M1007="",NOT($O1007="{array}")),"",IFERROR(MATCH(PARAMETERS!$M1007,DEFAULT!$B$5:$CI$5,0),""))</f>
        <v/>
      </c>
      <c r="AA1007" s="55" t="str">
        <f t="shared" si="73"/>
        <v/>
      </c>
      <c r="AB1007" s="62" t="str">
        <f>IF(AND(OR($A1007="G",$A1007="P"),NOT($O1007="{array}")),IF(VLOOKUP($K1007,base!$B$2:$D$20,3,0)="S",IF(OR($O1007="",ISTEXT($O1007)),"","STRING!"),IF(VLOOKUP($K1007,base!$B$2:$D$20,3,0)="","",IF(ISTEXT($O1007),"NUMERIC!",""))),"")</f>
        <v/>
      </c>
      <c r="AC1007" s="16" t="str">
        <f>IF($AA1007="","",IF($B1007="I",VLOOKUP($AA1007,#REF!,53,0),INDEX(VALUES!$B$1:$GP$1,1,$AA1007)))</f>
        <v/>
      </c>
    </row>
    <row r="1008" spans="1:29" hidden="1" outlineLevel="1">
      <c r="A1008" s="21" t="s">
        <v>86</v>
      </c>
      <c r="B1008" s="40" t="str">
        <f>IF($A1008="P",IF(NOT($Z1008=""),"A",IF(NOT($AA1008=""),"I","")),IF(NOT($Z1008=""),"A",IF(NOT($AA1008=""),IF($A1008="G","V","X"),"")))</f>
        <v/>
      </c>
      <c r="C1008" s="41">
        <f t="shared" si="69"/>
        <v>1007</v>
      </c>
      <c r="D1008" s="260" t="s">
        <v>9</v>
      </c>
      <c r="E1008" s="37"/>
      <c r="F1008" s="305"/>
      <c r="G1008" s="188"/>
      <c r="H1008" s="37"/>
      <c r="I1008" s="37" t="s">
        <v>9</v>
      </c>
      <c r="J1008" s="37"/>
      <c r="K1008" s="52" t="s">
        <v>20</v>
      </c>
      <c r="L1008" s="52" t="s">
        <v>34</v>
      </c>
      <c r="M1008" s="215" t="s">
        <v>1277</v>
      </c>
      <c r="N1008" s="52" t="s">
        <v>3624</v>
      </c>
      <c r="O1008" s="16" t="s">
        <v>3192</v>
      </c>
      <c r="R1008" s="168" t="s">
        <v>105</v>
      </c>
      <c r="S1008" s="168" t="s">
        <v>114</v>
      </c>
      <c r="T1008" s="163" t="s">
        <v>298</v>
      </c>
      <c r="U1008" s="163" t="s">
        <v>298</v>
      </c>
      <c r="V1008" s="163" t="s">
        <v>1279</v>
      </c>
      <c r="W1008" s="14" t="str">
        <f>IF(IFERROR(VLOOKUP(#REF!,#REF!,1,0),"-")="-","","GS")</f>
        <v/>
      </c>
      <c r="X1008" s="14" t="str">
        <f t="shared" si="67"/>
        <v>OTS</v>
      </c>
      <c r="Y1008" s="163" t="s">
        <v>1280</v>
      </c>
      <c r="Z1008" s="58" t="str">
        <f>IF(OR($M1008="",NOT($O1008="{array}")),"",IFERROR(MATCH(PARAMETERS!$M1008,DEFAULT!$B$5:$CI$5,0),""))</f>
        <v/>
      </c>
      <c r="AA1008" s="55" t="str">
        <f t="shared" si="73"/>
        <v/>
      </c>
      <c r="AB1008" s="62" t="str">
        <f>IF(AND(OR($A1008="G",$A1008="P"),NOT($O1008="{array}")),IF(VLOOKUP($K1008,base!$B$2:$D$20,3,0)="S",IF(OR($O1008="",ISTEXT($O1008)),"","STRING!"),IF(VLOOKUP($K1008,base!$B$2:$D$20,3,0)="","",IF(ISTEXT($O1008),"NUMERIC!",""))),"")</f>
        <v/>
      </c>
      <c r="AC1008" s="16" t="str">
        <f>IF($AA1008="","",IF($B1008="I",VLOOKUP($AA1008,#REF!,53,0),INDEX(VALUES!$B$1:$GP$1,1,$AA1008)))</f>
        <v/>
      </c>
    </row>
    <row r="1009" spans="1:34" hidden="1" outlineLevel="1">
      <c r="A1009" s="21" t="s">
        <v>86</v>
      </c>
      <c r="B1009" s="40" t="str">
        <f>IF($A1009="P",IF(NOT($Z1009=""),"A",IF(NOT($AA1009=""),"I","")),IF(NOT($Z1009=""),"A",IF(NOT($AA1009=""),IF($A1009="G","V","X"),"")))</f>
        <v/>
      </c>
      <c r="C1009" s="41">
        <f t="shared" si="69"/>
        <v>1008</v>
      </c>
      <c r="D1009" s="260" t="s">
        <v>9</v>
      </c>
      <c r="E1009" s="37"/>
      <c r="F1009" s="305"/>
      <c r="G1009" s="188"/>
      <c r="H1009" s="37"/>
      <c r="I1009" s="37" t="s">
        <v>9</v>
      </c>
      <c r="J1009" s="37"/>
      <c r="K1009" s="52" t="s">
        <v>20</v>
      </c>
      <c r="L1009" s="52" t="s">
        <v>34</v>
      </c>
      <c r="M1009" s="215" t="s">
        <v>3626</v>
      </c>
      <c r="N1009" s="52" t="s">
        <v>3627</v>
      </c>
      <c r="O1009" s="16" t="s">
        <v>86</v>
      </c>
      <c r="R1009" s="168" t="s">
        <v>105</v>
      </c>
      <c r="S1009" s="168" t="s">
        <v>114</v>
      </c>
      <c r="T1009" s="163" t="s">
        <v>298</v>
      </c>
      <c r="U1009" s="163" t="s">
        <v>298</v>
      </c>
      <c r="V1009" s="163"/>
      <c r="W1009" s="14"/>
      <c r="X1009" s="14" t="str">
        <f t="shared" si="67"/>
        <v>...</v>
      </c>
      <c r="Y1009" s="163"/>
      <c r="Z1009" s="58" t="str">
        <f>IF(OR($M1009="",NOT($O1009="{array}")),"",IFERROR(MATCH(PARAMETERS!$M1009,DEFAULT!$B$5:$CI$5,0),""))</f>
        <v/>
      </c>
      <c r="AA1009" s="55" t="str">
        <f t="shared" si="73"/>
        <v/>
      </c>
      <c r="AB1009" s="62" t="str">
        <f>IF(AND(OR($A1009="G",$A1009="P"),NOT($O1009="{array}")),IF(VLOOKUP($K1009,base!$B$2:$D$20,3,0)="S",IF(OR($O1009="",ISTEXT($O1009)),"","STRING!"),IF(VLOOKUP($K1009,base!$B$2:$D$20,3,0)="","",IF(ISTEXT($O1009),"NUMERIC!",""))),"")</f>
        <v/>
      </c>
      <c r="AC1009" s="16" t="str">
        <f>IF($AA1009="","",IF($B1009="I",VLOOKUP($AA1009,#REF!,53,0),INDEX(VALUES!$B$1:$GP$1,1,$AA1009)))</f>
        <v/>
      </c>
    </row>
    <row r="1010" spans="1:34" hidden="1" outlineLevel="1">
      <c r="A1010" s="21" t="s">
        <v>86</v>
      </c>
      <c r="B1010" s="40" t="str">
        <f t="shared" ref="B1010:B1040" si="78">IF($A1010="P",IF(NOT($Z1010=""),"A",IF(NOT($AA1010=""),"I","")),IF(NOT($AA1010=""),IF($A1010="G","V","X"),IF(NOT($Z1010=""),"A","")))</f>
        <v/>
      </c>
      <c r="C1010" s="41">
        <f t="shared" ref="C1010:C1021" si="79">(ROW()-1)</f>
        <v>1009</v>
      </c>
      <c r="D1010" s="260" t="s">
        <v>9</v>
      </c>
      <c r="E1010" s="37"/>
      <c r="F1010" s="305"/>
      <c r="G1010" s="188"/>
      <c r="H1010" s="37"/>
      <c r="I1010" s="37" t="s">
        <v>9</v>
      </c>
      <c r="J1010" s="37"/>
      <c r="K1010" s="156" t="s">
        <v>20</v>
      </c>
      <c r="L1010" s="164" t="s">
        <v>23</v>
      </c>
      <c r="M1010" s="215" t="s">
        <v>3628</v>
      </c>
      <c r="N1010" s="156" t="s">
        <v>3629</v>
      </c>
      <c r="O1010" s="163" t="s">
        <v>3630</v>
      </c>
      <c r="P1010" s="157" t="s">
        <v>298</v>
      </c>
      <c r="Q1010" s="174"/>
      <c r="R1010" s="168" t="s">
        <v>105</v>
      </c>
      <c r="S1010" s="168" t="s">
        <v>114</v>
      </c>
      <c r="T1010" s="163" t="s">
        <v>298</v>
      </c>
      <c r="U1010" s="163" t="s">
        <v>298</v>
      </c>
      <c r="V1010" s="163"/>
      <c r="W1010" s="14" t="str">
        <f>IF(IFERROR(VLOOKUP($M1010,#REF!,1,0),"-")="-","","GS")</f>
        <v/>
      </c>
      <c r="X1010" s="14" t="str">
        <f t="shared" si="67"/>
        <v>...</v>
      </c>
      <c r="Y1010" s="163" t="s">
        <v>298</v>
      </c>
      <c r="Z1010" s="58" t="str">
        <f>IF(OR($M1010="",NOT($O1010="{array}")),"",IFERROR(MATCH(PARAMETERS!$M1010,DEFAULT!$B$5:$CI$5,0),""))</f>
        <v/>
      </c>
      <c r="AA1010" s="55" t="str">
        <f t="shared" si="73"/>
        <v/>
      </c>
      <c r="AB1010" s="62" t="str">
        <f>IF(AND(OR($A1010="G",$A1010="P"),NOT($O1010="{array}")),IF(VLOOKUP($K1010,base!$B$2:$D$20,3,0)="S",IF(OR($O1010="",ISTEXT($O1010)),"","STRING!"),IF(VLOOKUP($K1010,base!$B$2:$D$20,3,0)="","",IF(ISTEXT($O1010),"NUMERIC!",""))),"")</f>
        <v/>
      </c>
      <c r="AC1010" s="16" t="str">
        <f>IF($AA1010="","",IF($B1010="I",VLOOKUP($AA1010,#REF!,53,0),INDEX(VALUES!$B$1:$GP$1,1,$AA1010)))</f>
        <v/>
      </c>
    </row>
    <row r="1011" spans="1:34" hidden="1" outlineLevel="1">
      <c r="A1011" s="21" t="s">
        <v>86</v>
      </c>
      <c r="B1011" s="40" t="str">
        <f t="shared" si="78"/>
        <v/>
      </c>
      <c r="C1011" s="41">
        <f t="shared" si="79"/>
        <v>1010</v>
      </c>
      <c r="D1011" s="260" t="s">
        <v>9</v>
      </c>
      <c r="E1011" s="37"/>
      <c r="F1011" s="305"/>
      <c r="G1011" s="188"/>
      <c r="H1011" s="37"/>
      <c r="I1011" s="37" t="s">
        <v>9</v>
      </c>
      <c r="J1011" s="37"/>
      <c r="K1011" s="156" t="s">
        <v>46</v>
      </c>
      <c r="L1011" s="164" t="s">
        <v>23</v>
      </c>
      <c r="M1011" s="215" t="s">
        <v>3673</v>
      </c>
      <c r="N1011" s="163" t="s">
        <v>3674</v>
      </c>
      <c r="O1011" s="163">
        <v>0</v>
      </c>
      <c r="P1011" s="157" t="s">
        <v>298</v>
      </c>
      <c r="Q1011" s="174"/>
      <c r="R1011" s="168" t="s">
        <v>204</v>
      </c>
      <c r="S1011" s="168" t="s">
        <v>114</v>
      </c>
      <c r="T1011" s="163"/>
      <c r="U1011" s="163"/>
      <c r="V1011" s="163"/>
      <c r="W1011" s="14"/>
      <c r="X1011" s="14">
        <f t="shared" si="67"/>
        <v>1</v>
      </c>
      <c r="Y1011" s="163"/>
      <c r="Z1011" s="58" t="str">
        <f>IF(OR($M1011="",NOT($O1011="{array}")),"",IFERROR(MATCH(PARAMETERS!$M1011,DEFAULT!$B$5:$CI$5,0),""))</f>
        <v/>
      </c>
      <c r="AA1011" s="55" t="str">
        <f t="shared" si="73"/>
        <v/>
      </c>
      <c r="AB1011" s="62" t="str">
        <f>IF(AND(OR($A1011="G",$A1011="P"),NOT($O1011="{array}")),IF(VLOOKUP($K1011,base!$B$2:$D$20,3,0)="S",IF(OR($O1011="",ISTEXT($O1011)),"","STRING!"),IF(VLOOKUP($K1011,base!$B$2:$D$20,3,0)="","",IF(ISTEXT($O1011),"NUMERIC!",""))),"")</f>
        <v/>
      </c>
      <c r="AC1011" s="16" t="str">
        <f>IF($AA1011="","",IF($B1011="I",VLOOKUP($AA1011,#REF!,53,0),INDEX(VALUES!$B$1:$GP$1,1,$AA1011)))</f>
        <v/>
      </c>
    </row>
    <row r="1012" spans="1:34" hidden="1" outlineLevel="1">
      <c r="A1012" s="21" t="s">
        <v>86</v>
      </c>
      <c r="B1012" s="40" t="str">
        <f t="shared" si="78"/>
        <v/>
      </c>
      <c r="C1012" s="41">
        <f t="shared" si="79"/>
        <v>1011</v>
      </c>
      <c r="D1012" s="260" t="s">
        <v>9</v>
      </c>
      <c r="E1012" s="37"/>
      <c r="F1012" s="305"/>
      <c r="G1012" s="188"/>
      <c r="H1012" s="37"/>
      <c r="I1012" s="37" t="s">
        <v>9</v>
      </c>
      <c r="J1012" s="37"/>
      <c r="K1012" s="156" t="s">
        <v>20</v>
      </c>
      <c r="L1012" s="164" t="s">
        <v>23</v>
      </c>
      <c r="M1012" s="215" t="s">
        <v>3631</v>
      </c>
      <c r="N1012" s="163" t="s">
        <v>1278</v>
      </c>
      <c r="O1012" s="163" t="s">
        <v>3857</v>
      </c>
      <c r="P1012" s="157" t="s">
        <v>298</v>
      </c>
      <c r="Q1012" s="174" t="s">
        <v>9</v>
      </c>
      <c r="R1012" s="168" t="s">
        <v>105</v>
      </c>
      <c r="S1012" s="168" t="s">
        <v>114</v>
      </c>
      <c r="T1012" s="163" t="s">
        <v>298</v>
      </c>
      <c r="U1012" s="163" t="s">
        <v>298</v>
      </c>
      <c r="V1012" s="163" t="s">
        <v>1278</v>
      </c>
      <c r="W1012" s="14" t="str">
        <f>IF(IFERROR(VLOOKUP($M1012,#REF!,1,0),"-")="-","","GS")</f>
        <v/>
      </c>
      <c r="X1012" s="14" t="str">
        <f t="shared" si="67"/>
        <v>TS 93 G EN 2-5</v>
      </c>
      <c r="Y1012" s="163" t="s">
        <v>298</v>
      </c>
      <c r="Z1012" s="58" t="str">
        <f>IF(OR($M1012="",NOT($O1012="{array}")),"",IFERROR(MATCH(PARAMETERS!$M1012,DEFAULT!$B$5:$CI$5,0),""))</f>
        <v/>
      </c>
      <c r="AA1012" s="55" t="str">
        <f t="shared" si="73"/>
        <v/>
      </c>
      <c r="AB1012" s="62" t="str">
        <f>IF(AND(OR($A1012="G",$A1012="P"),NOT($O1012="{array}")),IF(VLOOKUP($K1012,base!$B$2:$D$20,3,0)="S",IF(OR($O1012="",ISTEXT($O1012)),"","STRING!"),IF(VLOOKUP($K1012,base!$B$2:$D$20,3,0)="","",IF(ISTEXT($O1012),"NUMERIC!",""))),"")</f>
        <v/>
      </c>
      <c r="AC1012" s="16" t="str">
        <f>IF($AA1012="","",IF($B1012="I",VLOOKUP($AA1012,#REF!,53,0),INDEX(VALUES!$B$1:$GP$1,1,$AA1012)))</f>
        <v/>
      </c>
    </row>
    <row r="1013" spans="1:34" hidden="1" outlineLevel="1">
      <c r="A1013" s="21" t="s">
        <v>86</v>
      </c>
      <c r="B1013" s="40" t="str">
        <f t="shared" si="78"/>
        <v/>
      </c>
      <c r="C1013" s="41">
        <f t="shared" si="79"/>
        <v>1012</v>
      </c>
      <c r="D1013" s="260" t="s">
        <v>9</v>
      </c>
      <c r="E1013" s="37"/>
      <c r="F1013" s="305"/>
      <c r="G1013" s="188"/>
      <c r="H1013" s="37"/>
      <c r="I1013" s="37" t="s">
        <v>9</v>
      </c>
      <c r="J1013" s="37"/>
      <c r="K1013" s="156" t="s">
        <v>20</v>
      </c>
      <c r="L1013" s="164" t="s">
        <v>23</v>
      </c>
      <c r="M1013" s="215" t="s">
        <v>3661</v>
      </c>
      <c r="N1013" s="163" t="s">
        <v>3662</v>
      </c>
      <c r="O1013" s="163" t="s">
        <v>3857</v>
      </c>
      <c r="P1013" s="157" t="s">
        <v>298</v>
      </c>
      <c r="Q1013" s="174" t="s">
        <v>9</v>
      </c>
      <c r="R1013" s="168" t="s">
        <v>105</v>
      </c>
      <c r="S1013" s="168" t="s">
        <v>114</v>
      </c>
      <c r="T1013" s="163" t="s">
        <v>298</v>
      </c>
      <c r="U1013" s="163" t="s">
        <v>298</v>
      </c>
      <c r="V1013" s="163" t="s">
        <v>1278</v>
      </c>
      <c r="W1013" s="14" t="str">
        <f>IF(IFERROR(VLOOKUP($M1013,#REF!,1,0),"-")="-","","GS")</f>
        <v/>
      </c>
      <c r="X1013" s="14" t="str">
        <f t="shared" si="67"/>
        <v>TS 93 G EN 2-5</v>
      </c>
      <c r="Y1013" s="163" t="s">
        <v>298</v>
      </c>
      <c r="Z1013" s="58" t="str">
        <f>IF(OR($M1013="",NOT($O1013="{array}")),"",IFERROR(MATCH(PARAMETERS!$M1013,DEFAULT!$B$5:$CI$5,0),""))</f>
        <v/>
      </c>
      <c r="AA1013" s="55" t="str">
        <f t="shared" si="73"/>
        <v/>
      </c>
      <c r="AB1013" s="62" t="str">
        <f>IF(AND(OR($A1013="G",$A1013="P"),NOT($O1013="{array}")),IF(VLOOKUP($K1013,base!$B$2:$D$20,3,0)="S",IF(OR($O1013="",ISTEXT($O1013)),"","STRING!"),IF(VLOOKUP($K1013,base!$B$2:$D$20,3,0)="","",IF(ISTEXT($O1013),"NUMERIC!",""))),"")</f>
        <v/>
      </c>
      <c r="AC1013" s="16" t="str">
        <f>IF($AA1013="","",IF($B1013="I",VLOOKUP($AA1013,#REF!,53,0),INDEX(VALUES!$B$1:$GP$1,1,$AA1013)))</f>
        <v/>
      </c>
    </row>
    <row r="1014" spans="1:34" s="276" customFormat="1" hidden="1" outlineLevel="1">
      <c r="A1014" s="263"/>
      <c r="B1014" s="264" t="str">
        <f t="shared" si="78"/>
        <v/>
      </c>
      <c r="C1014" s="265">
        <f t="shared" si="79"/>
        <v>1013</v>
      </c>
      <c r="D1014" s="266"/>
      <c r="E1014" s="266"/>
      <c r="F1014" s="305"/>
      <c r="G1014" s="188"/>
      <c r="H1014" s="266"/>
      <c r="I1014" s="266" t="s">
        <v>9</v>
      </c>
      <c r="J1014" s="266"/>
      <c r="K1014" s="278" t="s">
        <v>20</v>
      </c>
      <c r="L1014" s="278" t="s">
        <v>23</v>
      </c>
      <c r="M1014" s="299" t="s">
        <v>3632</v>
      </c>
      <c r="N1014" s="278" t="s">
        <v>3633</v>
      </c>
      <c r="O1014" s="278" t="s">
        <v>3130</v>
      </c>
      <c r="P1014" s="284" t="s">
        <v>298</v>
      </c>
      <c r="Q1014" s="279" t="s">
        <v>9</v>
      </c>
      <c r="R1014" s="279" t="s">
        <v>105</v>
      </c>
      <c r="S1014" s="279" t="s">
        <v>114</v>
      </c>
      <c r="T1014" s="278" t="s">
        <v>298</v>
      </c>
      <c r="U1014" s="278" t="s">
        <v>298</v>
      </c>
      <c r="V1014" s="278"/>
      <c r="W1014" s="272" t="str">
        <f>IF(IFERROR(VLOOKUP($M1014,#REF!,1,0),"-")="-","","GS")</f>
        <v/>
      </c>
      <c r="X1014" s="272" t="str">
        <f t="shared" si="67"/>
        <v/>
      </c>
      <c r="Y1014" s="278" t="s">
        <v>298</v>
      </c>
      <c r="Z1014" s="58" t="str">
        <f>IF(OR($M1014="",NOT($O1014="{array}")),"",IFERROR(MATCH(PARAMETERS!$M1014,DEFAULT!$B$5:$CI$5,0),""))</f>
        <v/>
      </c>
      <c r="AA1014" s="55" t="str">
        <f t="shared" si="73"/>
        <v/>
      </c>
      <c r="AB1014" s="62" t="str">
        <f>IF(AND(OR($A1014="G",$A1014="P"),NOT($O1014="{array}")),IF(VLOOKUP($K1014,base!$B$2:$D$20,3,0)="S",IF(OR($O1014="",ISTEXT($O1014)),"","STRING!"),IF(VLOOKUP($K1014,base!$B$2:$D$20,3,0)="","",IF(ISTEXT($O1014),"NUMERIC!",""))),"")</f>
        <v/>
      </c>
      <c r="AC1014" s="16" t="str">
        <f>IF($AA1014="","",IF($B1014="I",VLOOKUP($AA1014,#REF!,53,0),INDEX(VALUES!$B$1:$GP$1,1,$AA1014)))</f>
        <v/>
      </c>
      <c r="AD1014" s="13"/>
      <c r="AE1014" s="13"/>
      <c r="AF1014" s="13"/>
      <c r="AG1014" s="13"/>
      <c r="AH1014" s="13"/>
    </row>
    <row r="1015" spans="1:34" s="276" customFormat="1" hidden="1" outlineLevel="1">
      <c r="A1015" s="263"/>
      <c r="B1015" s="264" t="str">
        <f t="shared" si="78"/>
        <v/>
      </c>
      <c r="C1015" s="265">
        <f t="shared" si="79"/>
        <v>1014</v>
      </c>
      <c r="D1015" s="266"/>
      <c r="E1015" s="266"/>
      <c r="F1015" s="305"/>
      <c r="G1015" s="188"/>
      <c r="H1015" s="266"/>
      <c r="I1015" s="266" t="s">
        <v>9</v>
      </c>
      <c r="J1015" s="266"/>
      <c r="K1015" s="278" t="s">
        <v>20</v>
      </c>
      <c r="L1015" s="278" t="s">
        <v>23</v>
      </c>
      <c r="M1015" s="299" t="s">
        <v>3663</v>
      </c>
      <c r="N1015" s="278" t="s">
        <v>3664</v>
      </c>
      <c r="O1015" s="278" t="s">
        <v>298</v>
      </c>
      <c r="P1015" s="284" t="s">
        <v>298</v>
      </c>
      <c r="Q1015" s="279" t="s">
        <v>9</v>
      </c>
      <c r="R1015" s="279" t="s">
        <v>105</v>
      </c>
      <c r="S1015" s="279" t="s">
        <v>114</v>
      </c>
      <c r="T1015" s="278" t="s">
        <v>298</v>
      </c>
      <c r="U1015" s="278" t="s">
        <v>298</v>
      </c>
      <c r="V1015" s="278"/>
      <c r="W1015" s="272" t="str">
        <f>IF(IFERROR(VLOOKUP($M1015,#REF!,1,0),"-")="-","","GS")</f>
        <v/>
      </c>
      <c r="X1015" s="272" t="str">
        <f t="shared" si="67"/>
        <v/>
      </c>
      <c r="Y1015" s="278" t="s">
        <v>298</v>
      </c>
      <c r="Z1015" s="58" t="str">
        <f>IF(OR($M1015="",NOT($O1015="{array}")),"",IFERROR(MATCH(PARAMETERS!$M1015,DEFAULT!$B$5:$CI$5,0),""))</f>
        <v/>
      </c>
      <c r="AA1015" s="55" t="str">
        <f t="shared" si="73"/>
        <v/>
      </c>
      <c r="AB1015" s="62" t="str">
        <f>IF(AND(OR($A1015="G",$A1015="P"),NOT($O1015="{array}")),IF(VLOOKUP($K1015,base!$B$2:$D$20,3,0)="S",IF(OR($O1015="",ISTEXT($O1015)),"","STRING!"),IF(VLOOKUP($K1015,base!$B$2:$D$20,3,0)="","",IF(ISTEXT($O1015),"NUMERIC!",""))),"")</f>
        <v/>
      </c>
      <c r="AC1015" s="16" t="str">
        <f>IF($AA1015="","",IF($B1015="I",VLOOKUP($AA1015,#REF!,53,0),INDEX(VALUES!$B$1:$GP$1,1,$AA1015)))</f>
        <v/>
      </c>
      <c r="AD1015" s="13"/>
      <c r="AE1015" s="13"/>
      <c r="AF1015" s="13"/>
      <c r="AG1015" s="13"/>
      <c r="AH1015" s="13"/>
    </row>
    <row r="1016" spans="1:34" hidden="1" outlineLevel="1">
      <c r="A1016" s="21" t="s">
        <v>86</v>
      </c>
      <c r="B1016" s="40" t="str">
        <f t="shared" si="78"/>
        <v/>
      </c>
      <c r="C1016" s="41">
        <f t="shared" si="79"/>
        <v>1015</v>
      </c>
      <c r="D1016" s="260" t="s">
        <v>9</v>
      </c>
      <c r="E1016" s="37"/>
      <c r="F1016" s="305"/>
      <c r="G1016" s="188"/>
      <c r="H1016" s="37"/>
      <c r="I1016" s="37" t="s">
        <v>9</v>
      </c>
      <c r="J1016" s="37"/>
      <c r="K1016" s="163" t="s">
        <v>20</v>
      </c>
      <c r="L1016" s="52" t="s">
        <v>34</v>
      </c>
      <c r="M1016" s="215" t="s">
        <v>3634</v>
      </c>
      <c r="N1016" s="156" t="s">
        <v>3635</v>
      </c>
      <c r="O1016" s="163" t="s">
        <v>105</v>
      </c>
      <c r="P1016" s="157" t="s">
        <v>298</v>
      </c>
      <c r="Q1016" s="168"/>
      <c r="R1016" s="168" t="s">
        <v>105</v>
      </c>
      <c r="S1016" s="168" t="s">
        <v>114</v>
      </c>
      <c r="T1016" s="163" t="s">
        <v>298</v>
      </c>
      <c r="U1016" s="163" t="s">
        <v>298</v>
      </c>
      <c r="V1016" s="163" t="s">
        <v>1281</v>
      </c>
      <c r="W1016" s="14" t="str">
        <f>IF(IFERROR(VLOOKUP($M1016,#REF!,1,0),"-")="-","","GS")</f>
        <v/>
      </c>
      <c r="X1016" s="14" t="str">
        <f t="shared" si="67"/>
        <v>...</v>
      </c>
      <c r="Y1016" s="163" t="s">
        <v>3636</v>
      </c>
      <c r="Z1016" s="58" t="str">
        <f>IF(OR($M1016="",NOT($O1016="{array}")),"",IFERROR(MATCH(PARAMETERS!$M1016,DEFAULT!$B$5:$CI$5,0),""))</f>
        <v/>
      </c>
      <c r="AA1016" s="55" t="str">
        <f t="shared" si="73"/>
        <v/>
      </c>
      <c r="AB1016" s="62" t="str">
        <f>IF(AND(OR($A1016="G",$A1016="P"),NOT($O1016="{array}")),IF(VLOOKUP($K1016,base!$B$2:$D$20,3,0)="S",IF(OR($O1016="",ISTEXT($O1016)),"","STRING!"),IF(VLOOKUP($K1016,base!$B$2:$D$20,3,0)="","",IF(ISTEXT($O1016),"NUMERIC!",""))),"")</f>
        <v/>
      </c>
      <c r="AC1016" s="16" t="str">
        <f>IF($AA1016="","",IF($B1016="I",VLOOKUP($AA1016,#REF!,53,0),INDEX(VALUES!$B$1:$GP$1,1,$AA1016)))</f>
        <v/>
      </c>
    </row>
    <row r="1017" spans="1:34" s="276" customFormat="1" hidden="1" outlineLevel="1">
      <c r="A1017" s="263"/>
      <c r="B1017" s="264" t="str">
        <f t="shared" si="78"/>
        <v/>
      </c>
      <c r="C1017" s="265">
        <f t="shared" si="79"/>
        <v>1016</v>
      </c>
      <c r="D1017" s="266"/>
      <c r="E1017" s="266"/>
      <c r="F1017" s="305"/>
      <c r="G1017" s="188"/>
      <c r="H1017" s="266"/>
      <c r="I1017" s="266" t="s">
        <v>9</v>
      </c>
      <c r="J1017" s="266"/>
      <c r="K1017" s="278" t="s">
        <v>20</v>
      </c>
      <c r="L1017" s="276" t="s">
        <v>34</v>
      </c>
      <c r="M1017" s="299" t="s">
        <v>3665</v>
      </c>
      <c r="N1017" s="278" t="s">
        <v>3666</v>
      </c>
      <c r="O1017" s="278" t="s">
        <v>105</v>
      </c>
      <c r="P1017" s="284" t="s">
        <v>298</v>
      </c>
      <c r="Q1017" s="279"/>
      <c r="R1017" s="279" t="s">
        <v>105</v>
      </c>
      <c r="S1017" s="279" t="s">
        <v>114</v>
      </c>
      <c r="T1017" s="278" t="s">
        <v>298</v>
      </c>
      <c r="U1017" s="278" t="s">
        <v>298</v>
      </c>
      <c r="V1017" s="278" t="s">
        <v>1281</v>
      </c>
      <c r="W1017" s="272" t="str">
        <f>IF(IFERROR(VLOOKUP($M1017,#REF!,1,0),"-")="-","","GS")</f>
        <v/>
      </c>
      <c r="X1017" s="272" t="str">
        <f t="shared" si="67"/>
        <v/>
      </c>
      <c r="Y1017" s="278"/>
      <c r="Z1017" s="58" t="str">
        <f>IF(OR($M1017="",NOT($O1017="{array}")),"",IFERROR(MATCH(PARAMETERS!$M1017,DEFAULT!$B$5:$CI$5,0),""))</f>
        <v/>
      </c>
      <c r="AA1017" s="55" t="str">
        <f t="shared" si="73"/>
        <v/>
      </c>
      <c r="AB1017" s="62" t="str">
        <f>IF(AND(OR($A1017="G",$A1017="P"),NOT($O1017="{array}")),IF(VLOOKUP($K1017,base!$B$2:$D$20,3,0)="S",IF(OR($O1017="",ISTEXT($O1017)),"","STRING!"),IF(VLOOKUP($K1017,base!$B$2:$D$20,3,0)="","",IF(ISTEXT($O1017),"NUMERIC!",""))),"")</f>
        <v/>
      </c>
      <c r="AC1017" s="16" t="str">
        <f>IF($AA1017="","",IF($B1017="I",VLOOKUP($AA1017,#REF!,53,0),INDEX(VALUES!$B$1:$GP$1,1,$AA1017)))</f>
        <v/>
      </c>
      <c r="AD1017" s="13"/>
      <c r="AE1017" s="13"/>
      <c r="AF1017" s="13"/>
      <c r="AG1017" s="13"/>
      <c r="AH1017" s="13"/>
    </row>
    <row r="1018" spans="1:34" hidden="1" outlineLevel="1">
      <c r="A1018" s="21" t="s">
        <v>86</v>
      </c>
      <c r="B1018" s="40" t="str">
        <f t="shared" si="78"/>
        <v/>
      </c>
      <c r="C1018" s="41">
        <f t="shared" si="79"/>
        <v>1017</v>
      </c>
      <c r="D1018" s="260" t="s">
        <v>9</v>
      </c>
      <c r="E1018" s="37"/>
      <c r="F1018" s="305"/>
      <c r="G1018" s="188"/>
      <c r="H1018" s="37"/>
      <c r="I1018" s="37" t="s">
        <v>9</v>
      </c>
      <c r="J1018" s="37"/>
      <c r="K1018" s="163" t="s">
        <v>20</v>
      </c>
      <c r="L1018" s="52" t="s">
        <v>34</v>
      </c>
      <c r="M1018" s="215" t="s">
        <v>3637</v>
      </c>
      <c r="N1018" s="156" t="s">
        <v>3638</v>
      </c>
      <c r="O1018" s="163" t="s">
        <v>3856</v>
      </c>
      <c r="P1018" s="157" t="s">
        <v>298</v>
      </c>
      <c r="Q1018" s="168"/>
      <c r="R1018" s="168" t="s">
        <v>105</v>
      </c>
      <c r="S1018" s="168" t="s">
        <v>114</v>
      </c>
      <c r="T1018" s="163" t="s">
        <v>298</v>
      </c>
      <c r="U1018" s="163" t="s">
        <v>298</v>
      </c>
      <c r="V1018" s="163"/>
      <c r="W1018" s="14" t="str">
        <f>IF(IFERROR(VLOOKUP($M1018,#REF!,1,0),"-")="-","","GS")</f>
        <v/>
      </c>
      <c r="X1018" s="14" t="str">
        <f t="shared" si="67"/>
        <v>S</v>
      </c>
      <c r="Y1018" s="163" t="s">
        <v>1282</v>
      </c>
      <c r="Z1018" s="58" t="str">
        <f>IF(OR($M1018="",NOT($O1018="{array}")),"",IFERROR(MATCH(PARAMETERS!$M1018,DEFAULT!$B$5:$CI$5,0),""))</f>
        <v/>
      </c>
      <c r="AA1018" s="55" t="str">
        <f t="shared" si="73"/>
        <v/>
      </c>
      <c r="AB1018" s="62" t="str">
        <f>IF(AND(OR($A1018="G",$A1018="P"),NOT($O1018="{array}")),IF(VLOOKUP($K1018,base!$B$2:$D$20,3,0)="S",IF(OR($O1018="",ISTEXT($O1018)),"","STRING!"),IF(VLOOKUP($K1018,base!$B$2:$D$20,3,0)="","",IF(ISTEXT($O1018),"NUMERIC!",""))),"")</f>
        <v/>
      </c>
      <c r="AC1018" s="16" t="str">
        <f>IF($AA1018="","",IF($B1018="I",VLOOKUP($AA1018,#REF!,53,0),INDEX(VALUES!$B$1:$GP$1,1,$AA1018)))</f>
        <v/>
      </c>
    </row>
    <row r="1019" spans="1:34" s="276" customFormat="1" hidden="1" outlineLevel="1">
      <c r="A1019" s="263"/>
      <c r="B1019" s="264" t="str">
        <f t="shared" si="78"/>
        <v/>
      </c>
      <c r="C1019" s="265">
        <f t="shared" si="79"/>
        <v>1018</v>
      </c>
      <c r="D1019" s="266"/>
      <c r="E1019" s="266"/>
      <c r="F1019" s="305"/>
      <c r="G1019" s="188"/>
      <c r="H1019" s="266"/>
      <c r="I1019" s="266" t="s">
        <v>9</v>
      </c>
      <c r="J1019" s="266"/>
      <c r="K1019" s="278" t="s">
        <v>20</v>
      </c>
      <c r="L1019" s="276" t="s">
        <v>34</v>
      </c>
      <c r="M1019" s="299" t="s">
        <v>3667</v>
      </c>
      <c r="N1019" s="278" t="s">
        <v>3668</v>
      </c>
      <c r="O1019" s="278" t="s">
        <v>3856</v>
      </c>
      <c r="P1019" s="284" t="s">
        <v>298</v>
      </c>
      <c r="Q1019" s="279"/>
      <c r="R1019" s="279" t="s">
        <v>105</v>
      </c>
      <c r="S1019" s="279" t="s">
        <v>114</v>
      </c>
      <c r="T1019" s="278" t="s">
        <v>298</v>
      </c>
      <c r="U1019" s="278" t="s">
        <v>298</v>
      </c>
      <c r="V1019" s="278"/>
      <c r="W1019" s="272" t="str">
        <f>IF(IFERROR(VLOOKUP($M1019,#REF!,1,0),"-")="-","","GS")</f>
        <v/>
      </c>
      <c r="X1019" s="272" t="str">
        <f t="shared" si="67"/>
        <v/>
      </c>
      <c r="Y1019" s="278"/>
      <c r="Z1019" s="58" t="str">
        <f>IF(OR($M1019="",NOT($O1019="{array}")),"",IFERROR(MATCH(PARAMETERS!$M1019,DEFAULT!$B$5:$CI$5,0),""))</f>
        <v/>
      </c>
      <c r="AA1019" s="55" t="str">
        <f t="shared" si="73"/>
        <v/>
      </c>
      <c r="AB1019" s="62" t="str">
        <f>IF(AND(OR($A1019="G",$A1019="P"),NOT($O1019="{array}")),IF(VLOOKUP($K1019,base!$B$2:$D$20,3,0)="S",IF(OR($O1019="",ISTEXT($O1019)),"","STRING!"),IF(VLOOKUP($K1019,base!$B$2:$D$20,3,0)="","",IF(ISTEXT($O1019),"NUMERIC!",""))),"")</f>
        <v/>
      </c>
      <c r="AC1019" s="16" t="str">
        <f>IF($AA1019="","",IF($B1019="I",VLOOKUP($AA1019,#REF!,53,0),INDEX(VALUES!$B$1:$GP$1,1,$AA1019)))</f>
        <v/>
      </c>
      <c r="AD1019" s="13"/>
      <c r="AE1019" s="13"/>
      <c r="AF1019" s="13"/>
      <c r="AG1019" s="13"/>
      <c r="AH1019" s="13"/>
    </row>
    <row r="1020" spans="1:34" hidden="1" outlineLevel="1">
      <c r="A1020" s="21" t="s">
        <v>86</v>
      </c>
      <c r="B1020" s="40" t="str">
        <f t="shared" si="78"/>
        <v/>
      </c>
      <c r="C1020" s="41">
        <f t="shared" si="79"/>
        <v>1019</v>
      </c>
      <c r="D1020" s="260" t="s">
        <v>9</v>
      </c>
      <c r="E1020" s="37"/>
      <c r="F1020" s="305"/>
      <c r="G1020" s="188"/>
      <c r="H1020" s="37"/>
      <c r="I1020" s="37" t="s">
        <v>9</v>
      </c>
      <c r="J1020" s="37"/>
      <c r="K1020" s="163" t="s">
        <v>46</v>
      </c>
      <c r="L1020" s="52" t="s">
        <v>34</v>
      </c>
      <c r="M1020" s="215" t="s">
        <v>3639</v>
      </c>
      <c r="N1020" s="163" t="s">
        <v>3640</v>
      </c>
      <c r="O1020" s="163">
        <v>4</v>
      </c>
      <c r="P1020" s="157" t="s">
        <v>298</v>
      </c>
      <c r="Q1020" s="168"/>
      <c r="R1020" s="168" t="s">
        <v>105</v>
      </c>
      <c r="S1020" s="168" t="s">
        <v>114</v>
      </c>
      <c r="T1020" s="163" t="s">
        <v>298</v>
      </c>
      <c r="U1020" s="163" t="s">
        <v>298</v>
      </c>
      <c r="V1020" s="163" t="s">
        <v>1283</v>
      </c>
      <c r="W1020" s="14" t="str">
        <f>IF(IFERROR(VLOOKUP($M1020,#REF!,1,0),"-")="-","","GS")</f>
        <v/>
      </c>
      <c r="X1020" s="14" t="str">
        <f t="shared" si="67"/>
        <v>...</v>
      </c>
      <c r="Y1020" s="163" t="s">
        <v>1284</v>
      </c>
      <c r="Z1020" s="58" t="str">
        <f>IF(OR($M1020="",NOT($O1020="{array}")),"",IFERROR(MATCH(PARAMETERS!$M1020,DEFAULT!$B$5:$CI$5,0),""))</f>
        <v/>
      </c>
      <c r="AA1020" s="55" t="str">
        <f t="shared" si="73"/>
        <v/>
      </c>
      <c r="AB1020" s="62" t="str">
        <f>IF(AND(OR($A1020="G",$A1020="P"),NOT($O1020="{array}")),IF(VLOOKUP($K1020,base!$B$2:$D$20,3,0)="S",IF(OR($O1020="",ISTEXT($O1020)),"","STRING!"),IF(VLOOKUP($K1020,base!$B$2:$D$20,3,0)="","",IF(ISTEXT($O1020),"NUMERIC!",""))),"")</f>
        <v/>
      </c>
      <c r="AC1020" s="16" t="str">
        <f>IF($AA1020="","",IF($B1020="I",VLOOKUP($AA1020,#REF!,53,0),INDEX(VALUES!$B$1:$GP$1,1,$AA1020)))</f>
        <v/>
      </c>
    </row>
    <row r="1021" spans="1:34" hidden="1" outlineLevel="1">
      <c r="A1021" s="21" t="s">
        <v>86</v>
      </c>
      <c r="B1021" s="40" t="str">
        <f t="shared" si="78"/>
        <v/>
      </c>
      <c r="C1021" s="41">
        <f t="shared" si="79"/>
        <v>1020</v>
      </c>
      <c r="D1021" s="260" t="s">
        <v>9</v>
      </c>
      <c r="E1021" s="37"/>
      <c r="F1021" s="305"/>
      <c r="G1021" s="188"/>
      <c r="H1021" s="37"/>
      <c r="I1021" s="37" t="s">
        <v>9</v>
      </c>
      <c r="J1021" s="37"/>
      <c r="K1021" s="163" t="s">
        <v>46</v>
      </c>
      <c r="L1021" s="52" t="s">
        <v>34</v>
      </c>
      <c r="M1021" s="215" t="s">
        <v>3641</v>
      </c>
      <c r="N1021" s="163" t="s">
        <v>3642</v>
      </c>
      <c r="O1021" s="163">
        <v>4</v>
      </c>
      <c r="P1021" s="157" t="s">
        <v>298</v>
      </c>
      <c r="Q1021" s="168"/>
      <c r="R1021" s="168" t="s">
        <v>105</v>
      </c>
      <c r="S1021" s="168" t="s">
        <v>114</v>
      </c>
      <c r="T1021" s="163" t="s">
        <v>298</v>
      </c>
      <c r="U1021" s="163" t="s">
        <v>298</v>
      </c>
      <c r="V1021" s="163" t="s">
        <v>1285</v>
      </c>
      <c r="W1021" s="14" t="str">
        <f>IF(IFERROR(VLOOKUP($M1021,#REF!,1,0),"-")="-","","GS")</f>
        <v/>
      </c>
      <c r="X1021" s="14" t="str">
        <f t="shared" si="67"/>
        <v>...</v>
      </c>
      <c r="Y1021" s="163" t="s">
        <v>1286</v>
      </c>
      <c r="Z1021" s="58" t="str">
        <f>IF(OR($M1021="",NOT($O1021="{array}")),"",IFERROR(MATCH(PARAMETERS!$M1021,DEFAULT!$B$5:$CI$5,0),""))</f>
        <v/>
      </c>
      <c r="AA1021" s="55" t="str">
        <f t="shared" si="73"/>
        <v/>
      </c>
      <c r="AB1021" s="62" t="str">
        <f>IF(AND(OR($A1021="G",$A1021="P"),NOT($O1021="{array}")),IF(VLOOKUP($K1021,base!$B$2:$D$20,3,0)="S",IF(OR($O1021="",ISTEXT($O1021)),"","STRING!"),IF(VLOOKUP($K1021,base!$B$2:$D$20,3,0)="","",IF(ISTEXT($O1021),"NUMERIC!",""))),"")</f>
        <v/>
      </c>
      <c r="AC1021" s="16" t="str">
        <f>IF($AA1021="","",IF($B1021="I",VLOOKUP($AA1021,#REF!,53,0),INDEX(VALUES!$B$1:$GP$1,1,$AA1021)))</f>
        <v/>
      </c>
    </row>
    <row r="1022" spans="1:34" hidden="1" outlineLevel="1">
      <c r="A1022" s="21" t="s">
        <v>86</v>
      </c>
      <c r="B1022" s="40" t="str">
        <f t="shared" si="78"/>
        <v/>
      </c>
      <c r="C1022" s="41">
        <f t="shared" ref="C1022:C1085" si="80">(ROW()-1)</f>
        <v>1021</v>
      </c>
      <c r="D1022" s="260" t="s">
        <v>9</v>
      </c>
      <c r="E1022" s="37"/>
      <c r="F1022" s="305"/>
      <c r="G1022" s="188"/>
      <c r="H1022" s="37"/>
      <c r="I1022" s="37" t="s">
        <v>9</v>
      </c>
      <c r="J1022" s="37"/>
      <c r="K1022" s="163" t="s">
        <v>20</v>
      </c>
      <c r="L1022" s="52" t="s">
        <v>34</v>
      </c>
      <c r="M1022" s="215" t="s">
        <v>3643</v>
      </c>
      <c r="N1022" s="163" t="s">
        <v>3644</v>
      </c>
      <c r="O1022" s="163" t="s">
        <v>3192</v>
      </c>
      <c r="P1022" s="157" t="s">
        <v>298</v>
      </c>
      <c r="Q1022" s="168"/>
      <c r="R1022" s="168" t="s">
        <v>105</v>
      </c>
      <c r="S1022" s="168" t="s">
        <v>114</v>
      </c>
      <c r="T1022" s="163" t="s">
        <v>298</v>
      </c>
      <c r="U1022" s="163" t="s">
        <v>298</v>
      </c>
      <c r="V1022" s="163" t="s">
        <v>1295</v>
      </c>
      <c r="W1022" s="14" t="str">
        <f>IF(IFERROR(VLOOKUP($M1022,#REF!,1,0),"-")="-","","GS")</f>
        <v/>
      </c>
      <c r="X1022" s="14" t="str">
        <f t="shared" si="67"/>
        <v>...</v>
      </c>
      <c r="Y1022" s="163" t="s">
        <v>1296</v>
      </c>
      <c r="Z1022" s="58" t="str">
        <f>IF(OR($M1022="",NOT($O1022="{array}")),"",IFERROR(MATCH(PARAMETERS!$M1022,DEFAULT!$B$5:$CI$5,0),""))</f>
        <v/>
      </c>
      <c r="AA1022" s="55" t="str">
        <f t="shared" si="73"/>
        <v/>
      </c>
      <c r="AB1022" s="62" t="str">
        <f>IF(AND(OR($A1022="G",$A1022="P"),NOT($O1022="{array}")),IF(VLOOKUP($K1022,base!$B$2:$D$20,3,0)="S",IF(OR($O1022="",ISTEXT($O1022)),"","STRING!"),IF(VLOOKUP($K1022,base!$B$2:$D$20,3,0)="","",IF(ISTEXT($O1022),"NUMERIC!",""))),"")</f>
        <v/>
      </c>
      <c r="AC1022" s="16" t="str">
        <f>IF($AA1022="","",IF($B1022="I",VLOOKUP($AA1022,#REF!,53,0),INDEX(VALUES!$B$1:$GP$1,1,$AA1022)))</f>
        <v/>
      </c>
    </row>
    <row r="1023" spans="1:34" s="276" customFormat="1" hidden="1" outlineLevel="1">
      <c r="A1023" s="263"/>
      <c r="B1023" s="264" t="str">
        <f t="shared" si="78"/>
        <v/>
      </c>
      <c r="C1023" s="265">
        <f t="shared" si="80"/>
        <v>1022</v>
      </c>
      <c r="D1023" s="266"/>
      <c r="E1023" s="266"/>
      <c r="F1023" s="305"/>
      <c r="G1023" s="188"/>
      <c r="H1023" s="266"/>
      <c r="I1023" s="266" t="s">
        <v>9</v>
      </c>
      <c r="J1023" s="266"/>
      <c r="K1023" s="278" t="s">
        <v>49</v>
      </c>
      <c r="L1023" s="278" t="s">
        <v>23</v>
      </c>
      <c r="M1023" s="299"/>
      <c r="N1023" s="278" t="s">
        <v>298</v>
      </c>
      <c r="O1023" s="278" t="s">
        <v>298</v>
      </c>
      <c r="P1023" s="284" t="s">
        <v>298</v>
      </c>
      <c r="Q1023" s="279"/>
      <c r="R1023" s="279" t="s">
        <v>105</v>
      </c>
      <c r="S1023" s="279" t="s">
        <v>114</v>
      </c>
      <c r="T1023" s="278" t="s">
        <v>298</v>
      </c>
      <c r="U1023" s="278" t="s">
        <v>298</v>
      </c>
      <c r="V1023" s="278" t="s">
        <v>1291</v>
      </c>
      <c r="W1023" s="272" t="str">
        <f>IF(IFERROR(VLOOKUP($M1023,#REF!,1,0),"-")="-","","GS")</f>
        <v/>
      </c>
      <c r="X1023" s="272" t="str">
        <f t="shared" si="67"/>
        <v/>
      </c>
      <c r="Y1023" s="278" t="s">
        <v>1292</v>
      </c>
      <c r="Z1023" s="58" t="str">
        <f>IF(OR($M1023="",NOT($O1023="{array}")),"",IFERROR(MATCH(PARAMETERS!$M1023,DEFAULT!$B$5:$CI$5,0),""))</f>
        <v/>
      </c>
      <c r="AA1023" s="55" t="str">
        <f t="shared" si="73"/>
        <v/>
      </c>
      <c r="AB1023" s="62" t="str">
        <f>IF(AND(OR($A1023="G",$A1023="P"),NOT($O1023="{array}")),IF(VLOOKUP($K1023,base!$B$2:$D$20,3,0)="S",IF(OR($O1023="",ISTEXT($O1023)),"","STRING!"),IF(VLOOKUP($K1023,base!$B$2:$D$20,3,0)="","",IF(ISTEXT($O1023),"NUMERIC!",""))),"")</f>
        <v/>
      </c>
      <c r="AC1023" s="16" t="str">
        <f>IF($AA1023="","",IF($B1023="I",VLOOKUP($AA1023,#REF!,53,0),INDEX(VALUES!$B$1:$GP$1,1,$AA1023)))</f>
        <v/>
      </c>
      <c r="AD1023" s="13"/>
      <c r="AE1023" s="13"/>
      <c r="AF1023" s="13"/>
      <c r="AG1023" s="13"/>
      <c r="AH1023" s="13"/>
    </row>
    <row r="1024" spans="1:34" hidden="1" outlineLevel="1">
      <c r="A1024" s="21" t="s">
        <v>86</v>
      </c>
      <c r="B1024" s="40" t="str">
        <f t="shared" si="78"/>
        <v/>
      </c>
      <c r="C1024" s="41">
        <f t="shared" si="80"/>
        <v>1023</v>
      </c>
      <c r="D1024" s="260" t="s">
        <v>9</v>
      </c>
      <c r="E1024" s="37"/>
      <c r="F1024" s="305"/>
      <c r="G1024" s="188"/>
      <c r="H1024" s="37"/>
      <c r="I1024" s="37" t="s">
        <v>9</v>
      </c>
      <c r="J1024" s="37"/>
      <c r="K1024" s="163" t="s">
        <v>49</v>
      </c>
      <c r="L1024" s="52" t="s">
        <v>34</v>
      </c>
      <c r="M1024" s="215" t="s">
        <v>3645</v>
      </c>
      <c r="N1024" s="163" t="s">
        <v>1293</v>
      </c>
      <c r="O1024" s="157">
        <v>0</v>
      </c>
      <c r="Q1024" s="168"/>
      <c r="R1024" s="168" t="s">
        <v>105</v>
      </c>
      <c r="S1024" s="168" t="s">
        <v>114</v>
      </c>
      <c r="T1024" s="163" t="s">
        <v>298</v>
      </c>
      <c r="U1024" s="163" t="s">
        <v>298</v>
      </c>
      <c r="V1024" s="163" t="s">
        <v>1293</v>
      </c>
      <c r="W1024" s="14" t="str">
        <f>IF(IFERROR(VLOOKUP($M1024,#REF!,1,0),"-")="-","","GS")</f>
        <v/>
      </c>
      <c r="X1024" s="14" t="str">
        <f t="shared" si="67"/>
        <v>...</v>
      </c>
      <c r="Y1024" s="163" t="s">
        <v>1294</v>
      </c>
      <c r="Z1024" s="58" t="str">
        <f>IF(OR($M1024="",NOT($O1024="{array}")),"",IFERROR(MATCH(PARAMETERS!$M1024,DEFAULT!$B$5:$CI$5,0),""))</f>
        <v/>
      </c>
      <c r="AA1024" s="55" t="str">
        <f t="shared" si="73"/>
        <v/>
      </c>
      <c r="AB1024" s="62" t="str">
        <f>IF(AND(OR($A1024="G",$A1024="P"),NOT($O1024="{array}")),IF(VLOOKUP($K1024,base!$B$2:$D$20,3,0)="S",IF(OR($O1024="",ISTEXT($O1024)),"","STRING!"),IF(VLOOKUP($K1024,base!$B$2:$D$20,3,0)="","",IF(ISTEXT($O1024),"NUMERIC!",""))),"")</f>
        <v/>
      </c>
      <c r="AC1024" s="16" t="str">
        <f>IF($AA1024="","",IF($B1024="I",VLOOKUP($AA1024,#REF!,53,0),INDEX(VALUES!$B$1:$GP$1,1,$AA1024)))</f>
        <v/>
      </c>
    </row>
    <row r="1025" spans="1:34" hidden="1" outlineLevel="1">
      <c r="A1025" s="21" t="s">
        <v>86</v>
      </c>
      <c r="B1025" s="40" t="str">
        <f t="shared" si="78"/>
        <v/>
      </c>
      <c r="C1025" s="41">
        <f t="shared" si="80"/>
        <v>1024</v>
      </c>
      <c r="D1025" s="260" t="s">
        <v>9</v>
      </c>
      <c r="E1025" s="37"/>
      <c r="F1025" s="305"/>
      <c r="G1025" s="188"/>
      <c r="H1025" s="37"/>
      <c r="I1025" s="37" t="s">
        <v>9</v>
      </c>
      <c r="J1025" s="37"/>
      <c r="K1025" s="163" t="s">
        <v>49</v>
      </c>
      <c r="L1025" s="52" t="s">
        <v>34</v>
      </c>
      <c r="M1025" s="215" t="s">
        <v>3646</v>
      </c>
      <c r="N1025" s="163" t="s">
        <v>1297</v>
      </c>
      <c r="O1025" s="157">
        <v>0</v>
      </c>
      <c r="Q1025" s="168"/>
      <c r="R1025" s="168" t="s">
        <v>105</v>
      </c>
      <c r="S1025" s="168" t="s">
        <v>114</v>
      </c>
      <c r="T1025" s="163" t="s">
        <v>298</v>
      </c>
      <c r="U1025" s="163" t="s">
        <v>298</v>
      </c>
      <c r="V1025" s="163" t="s">
        <v>1297</v>
      </c>
      <c r="W1025" s="14" t="str">
        <f>IF(IFERROR(VLOOKUP($M1025,#REF!,1,0),"-")="-","","GS")</f>
        <v/>
      </c>
      <c r="X1025" s="14" t="str">
        <f t="shared" ref="X1025:X1099" si="81">IF($A1025="G",IF(IFERROR(VLOOKUP($M1025,Reimport,1,0),"-")="-","&gt;&lt;",IF($O1025=VLOOKUP($M1025,Reimport,2,0),"...",VLOOKUP($M1025,Reimport,2,0))),"")</f>
        <v>...</v>
      </c>
      <c r="Y1025" s="163" t="s">
        <v>1298</v>
      </c>
      <c r="Z1025" s="58" t="str">
        <f>IF(OR($M1025="",NOT($O1025="{array}")),"",IFERROR(MATCH(PARAMETERS!$M1025,DEFAULT!$B$5:$CI$5,0),""))</f>
        <v/>
      </c>
      <c r="AA1025" s="55" t="str">
        <f t="shared" si="73"/>
        <v/>
      </c>
      <c r="AB1025" s="62" t="str">
        <f>IF(AND(OR($A1025="G",$A1025="P"),NOT($O1025="{array}")),IF(VLOOKUP($K1025,base!$B$2:$D$20,3,0)="S",IF(OR($O1025="",ISTEXT($O1025)),"","STRING!"),IF(VLOOKUP($K1025,base!$B$2:$D$20,3,0)="","",IF(ISTEXT($O1025),"NUMERIC!",""))),"")</f>
        <v/>
      </c>
      <c r="AC1025" s="16" t="str">
        <f>IF($AA1025="","",IF($B1025="I",VLOOKUP($AA1025,#REF!,53,0),INDEX(VALUES!$B$1:$GP$1,1,$AA1025)))</f>
        <v/>
      </c>
    </row>
    <row r="1026" spans="1:34" hidden="1" outlineLevel="1">
      <c r="A1026" s="21" t="s">
        <v>86</v>
      </c>
      <c r="B1026" s="40" t="str">
        <f t="shared" si="78"/>
        <v/>
      </c>
      <c r="C1026" s="41">
        <f t="shared" si="80"/>
        <v>1025</v>
      </c>
      <c r="D1026" s="260" t="s">
        <v>9</v>
      </c>
      <c r="E1026" s="37"/>
      <c r="F1026" s="305"/>
      <c r="G1026" s="188"/>
      <c r="H1026" s="37"/>
      <c r="I1026" s="37" t="s">
        <v>9</v>
      </c>
      <c r="J1026" s="37"/>
      <c r="K1026" s="163" t="s">
        <v>49</v>
      </c>
      <c r="L1026" s="52" t="s">
        <v>34</v>
      </c>
      <c r="M1026" s="215" t="s">
        <v>3669</v>
      </c>
      <c r="N1026" s="163" t="s">
        <v>3670</v>
      </c>
      <c r="O1026" s="157">
        <v>0</v>
      </c>
      <c r="Q1026" s="168"/>
      <c r="R1026" s="168" t="s">
        <v>105</v>
      </c>
      <c r="S1026" s="168" t="s">
        <v>114</v>
      </c>
      <c r="T1026" s="163" t="s">
        <v>298</v>
      </c>
      <c r="U1026" s="163" t="s">
        <v>298</v>
      </c>
      <c r="V1026" s="163" t="s">
        <v>1297</v>
      </c>
      <c r="W1026" s="14" t="str">
        <f>IF(IFERROR(VLOOKUP($M1026,#REF!,1,0),"-")="-","","GS")</f>
        <v/>
      </c>
      <c r="X1026" s="14" t="str">
        <f t="shared" si="81"/>
        <v>...</v>
      </c>
      <c r="Y1026" s="163" t="s">
        <v>1298</v>
      </c>
      <c r="Z1026" s="58" t="str">
        <f>IF(OR($M1026="",NOT($O1026="{array}")),"",IFERROR(MATCH(PARAMETERS!$M1026,DEFAULT!$B$5:$CI$5,0),""))</f>
        <v/>
      </c>
      <c r="AA1026" s="55" t="str">
        <f t="shared" si="73"/>
        <v/>
      </c>
      <c r="AB1026" s="62" t="str">
        <f>IF(AND(OR($A1026="G",$A1026="P"),NOT($O1026="{array}")),IF(VLOOKUP($K1026,base!$B$2:$D$20,3,0)="S",IF(OR($O1026="",ISTEXT($O1026)),"","STRING!"),IF(VLOOKUP($K1026,base!$B$2:$D$20,3,0)="","",IF(ISTEXT($O1026),"NUMERIC!",""))),"")</f>
        <v/>
      </c>
      <c r="AC1026" s="16" t="str">
        <f>IF($AA1026="","",IF($B1026="I",VLOOKUP($AA1026,#REF!,53,0),INDEX(VALUES!$B$1:$GP$1,1,$AA1026)))</f>
        <v/>
      </c>
    </row>
    <row r="1027" spans="1:34" hidden="1" outlineLevel="1">
      <c r="A1027" s="21" t="s">
        <v>86</v>
      </c>
      <c r="B1027" s="40" t="str">
        <f t="shared" si="78"/>
        <v/>
      </c>
      <c r="C1027" s="41">
        <f t="shared" si="80"/>
        <v>1026</v>
      </c>
      <c r="D1027" s="260" t="s">
        <v>9</v>
      </c>
      <c r="E1027" s="37"/>
      <c r="F1027" s="305"/>
      <c r="G1027" s="188"/>
      <c r="H1027" s="37"/>
      <c r="I1027" s="37" t="s">
        <v>9</v>
      </c>
      <c r="J1027" s="37"/>
      <c r="K1027" s="163" t="s">
        <v>49</v>
      </c>
      <c r="L1027" s="52" t="s">
        <v>34</v>
      </c>
      <c r="M1027" s="215" t="s">
        <v>3647</v>
      </c>
      <c r="N1027" s="163" t="s">
        <v>1299</v>
      </c>
      <c r="O1027" s="157">
        <v>0</v>
      </c>
      <c r="Q1027" s="168"/>
      <c r="R1027" s="168" t="s">
        <v>105</v>
      </c>
      <c r="S1027" s="168" t="s">
        <v>114</v>
      </c>
      <c r="T1027" s="163" t="s">
        <v>298</v>
      </c>
      <c r="U1027" s="163" t="s">
        <v>298</v>
      </c>
      <c r="V1027" s="163" t="s">
        <v>1299</v>
      </c>
      <c r="W1027" s="14" t="str">
        <f>IF(IFERROR(VLOOKUP(#REF!,#REF!,1,0),"-")="-","","GS")</f>
        <v/>
      </c>
      <c r="X1027" s="14">
        <f t="shared" si="81"/>
        <v>1</v>
      </c>
      <c r="Y1027" s="163" t="s">
        <v>1300</v>
      </c>
      <c r="Z1027" s="58" t="str">
        <f>IF(OR($M1027="",NOT($O1027="{array}")),"",IFERROR(MATCH(PARAMETERS!$M1027,DEFAULT!$B$5:$CI$5,0),""))</f>
        <v/>
      </c>
      <c r="AA1027" s="55" t="str">
        <f t="shared" si="73"/>
        <v/>
      </c>
      <c r="AB1027" s="62" t="str">
        <f>IF(AND(OR($A1027="G",$A1027="P"),NOT($O1027="{array}")),IF(VLOOKUP($K1027,base!$B$2:$D$20,3,0)="S",IF(OR($O1027="",ISTEXT($O1027)),"","STRING!"),IF(VLOOKUP($K1027,base!$B$2:$D$20,3,0)="","",IF(ISTEXT($O1027),"NUMERIC!",""))),"")</f>
        <v/>
      </c>
      <c r="AC1027" s="16" t="str">
        <f>IF($AA1027="","",IF($B1027="I",VLOOKUP($AA1027,#REF!,53,0),INDEX(VALUES!$B$1:$GP$1,1,$AA1027)))</f>
        <v/>
      </c>
    </row>
    <row r="1028" spans="1:34" hidden="1" outlineLevel="1">
      <c r="A1028" s="21" t="s">
        <v>86</v>
      </c>
      <c r="B1028" s="40" t="str">
        <f t="shared" si="78"/>
        <v/>
      </c>
      <c r="C1028" s="41">
        <f t="shared" si="80"/>
        <v>1027</v>
      </c>
      <c r="D1028" s="260" t="s">
        <v>9</v>
      </c>
      <c r="E1028" s="37"/>
      <c r="F1028" s="305"/>
      <c r="G1028" s="188"/>
      <c r="H1028" s="37"/>
      <c r="I1028" s="37" t="s">
        <v>9</v>
      </c>
      <c r="J1028" s="37"/>
      <c r="K1028" s="163" t="s">
        <v>49</v>
      </c>
      <c r="L1028" s="52" t="s">
        <v>34</v>
      </c>
      <c r="M1028" s="215" t="s">
        <v>3675</v>
      </c>
      <c r="N1028" s="163" t="s">
        <v>3676</v>
      </c>
      <c r="O1028" s="157">
        <v>0</v>
      </c>
      <c r="Q1028" s="168"/>
      <c r="R1028" s="168" t="s">
        <v>105</v>
      </c>
      <c r="S1028" s="168" t="s">
        <v>114</v>
      </c>
      <c r="T1028" s="163" t="s">
        <v>298</v>
      </c>
      <c r="U1028" s="163" t="s">
        <v>298</v>
      </c>
      <c r="V1028" s="163"/>
      <c r="W1028" s="14"/>
      <c r="X1028" s="14">
        <f t="shared" si="81"/>
        <v>1</v>
      </c>
      <c r="Y1028" s="163"/>
      <c r="Z1028" s="58" t="str">
        <f>IF(OR($M1028="",NOT($O1028="{array}")),"",IFERROR(MATCH(PARAMETERS!$M1028,DEFAULT!$B$5:$CI$5,0),""))</f>
        <v/>
      </c>
      <c r="AA1028" s="55" t="str">
        <f t="shared" si="73"/>
        <v/>
      </c>
      <c r="AB1028" s="62" t="str">
        <f>IF(AND(OR($A1028="G",$A1028="P"),NOT($O1028="{array}")),IF(VLOOKUP($K1028,base!$B$2:$D$20,3,0)="S",IF(OR($O1028="",ISTEXT($O1028)),"","STRING!"),IF(VLOOKUP($K1028,base!$B$2:$D$20,3,0)="","",IF(ISTEXT($O1028),"NUMERIC!",""))),"")</f>
        <v/>
      </c>
      <c r="AC1028" s="16" t="str">
        <f>IF($AA1028="","",IF($B1028="I",VLOOKUP($AA1028,#REF!,53,0),INDEX(VALUES!$B$1:$GP$1,1,$AA1028)))</f>
        <v/>
      </c>
    </row>
    <row r="1029" spans="1:34" s="276" customFormat="1" hidden="1" outlineLevel="1">
      <c r="A1029" s="263"/>
      <c r="B1029" s="264"/>
      <c r="C1029" s="265">
        <f t="shared" si="80"/>
        <v>1028</v>
      </c>
      <c r="D1029" s="266"/>
      <c r="E1029" s="266"/>
      <c r="F1029" s="305"/>
      <c r="G1029" s="188"/>
      <c r="H1029" s="266"/>
      <c r="I1029" s="266"/>
      <c r="J1029" s="266"/>
      <c r="K1029" s="278"/>
      <c r="M1029" s="299"/>
      <c r="N1029" s="278"/>
      <c r="O1029" s="284"/>
      <c r="Q1029" s="279"/>
      <c r="R1029" s="279"/>
      <c r="S1029" s="279"/>
      <c r="T1029" s="278"/>
      <c r="U1029" s="278"/>
      <c r="V1029" s="278"/>
      <c r="W1029" s="272"/>
      <c r="X1029" s="272" t="str">
        <f t="shared" si="81"/>
        <v/>
      </c>
      <c r="Y1029" s="278"/>
      <c r="Z1029" s="58" t="str">
        <f>IF(OR($M1029="",NOT($O1029="{array}")),"",IFERROR(MATCH(PARAMETERS!$M1029,DEFAULT!$B$5:$CI$5,0),""))</f>
        <v/>
      </c>
      <c r="AA1029" s="55" t="str">
        <f t="shared" si="73"/>
        <v/>
      </c>
      <c r="AB1029" s="62" t="str">
        <f>IF(AND(OR($A1029="G",$A1029="P"),NOT($O1029="{array}")),IF(VLOOKUP($K1029,base!$B$2:$D$20,3,0)="S",IF(OR($O1029="",ISTEXT($O1029)),"","STRING!"),IF(VLOOKUP($K1029,base!$B$2:$D$20,3,0)="","",IF(ISTEXT($O1029),"NUMERIC!",""))),"")</f>
        <v/>
      </c>
      <c r="AC1029" s="16" t="str">
        <f>IF($AA1029="","",IF($B1029="I",VLOOKUP($AA1029,#REF!,53,0),INDEX(VALUES!$B$1:$GP$1,1,$AA1029)))</f>
        <v/>
      </c>
      <c r="AD1029" s="13"/>
      <c r="AE1029" s="13"/>
      <c r="AF1029" s="13"/>
      <c r="AG1029" s="13"/>
      <c r="AH1029" s="13"/>
    </row>
    <row r="1030" spans="1:34" hidden="1" outlineLevel="1">
      <c r="A1030" s="21" t="s">
        <v>86</v>
      </c>
      <c r="B1030" s="40" t="str">
        <f t="shared" si="78"/>
        <v/>
      </c>
      <c r="C1030" s="41">
        <f t="shared" si="80"/>
        <v>1029</v>
      </c>
      <c r="D1030" s="260" t="s">
        <v>9</v>
      </c>
      <c r="E1030" s="37"/>
      <c r="F1030" s="305"/>
      <c r="G1030" s="188"/>
      <c r="H1030" s="37"/>
      <c r="I1030" s="37" t="s">
        <v>9</v>
      </c>
      <c r="J1030" s="37"/>
      <c r="K1030" s="163" t="s">
        <v>49</v>
      </c>
      <c r="L1030" s="52" t="s">
        <v>34</v>
      </c>
      <c r="M1030" s="215" t="s">
        <v>3648</v>
      </c>
      <c r="N1030" s="163" t="s">
        <v>1301</v>
      </c>
      <c r="O1030" s="157">
        <v>0</v>
      </c>
      <c r="Q1030" s="168"/>
      <c r="R1030" s="168" t="s">
        <v>105</v>
      </c>
      <c r="S1030" s="168" t="s">
        <v>114</v>
      </c>
      <c r="T1030" s="163" t="s">
        <v>298</v>
      </c>
      <c r="U1030" s="163" t="s">
        <v>298</v>
      </c>
      <c r="V1030" s="163" t="s">
        <v>1301</v>
      </c>
      <c r="W1030" s="14" t="str">
        <f>IF(IFERROR(VLOOKUP($M1030,#REF!,1,0),"-")="-","","GS")</f>
        <v/>
      </c>
      <c r="X1030" s="14" t="str">
        <f t="shared" si="81"/>
        <v>...</v>
      </c>
      <c r="Y1030" s="163" t="s">
        <v>1302</v>
      </c>
      <c r="Z1030" s="58" t="str">
        <f>IF(OR($M1030="",NOT($O1030="{array}")),"",IFERROR(MATCH(PARAMETERS!$M1030,DEFAULT!$B$5:$CI$5,0),""))</f>
        <v/>
      </c>
      <c r="AA1030" s="55" t="str">
        <f t="shared" si="73"/>
        <v/>
      </c>
      <c r="AB1030" s="62" t="str">
        <f>IF(AND(OR($A1030="G",$A1030="P"),NOT($O1030="{array}")),IF(VLOOKUP($K1030,base!$B$2:$D$20,3,0)="S",IF(OR($O1030="",ISTEXT($O1030)),"","STRING!"),IF(VLOOKUP($K1030,base!$B$2:$D$20,3,0)="","",IF(ISTEXT($O1030),"NUMERIC!",""))),"")</f>
        <v/>
      </c>
      <c r="AC1030" s="16" t="str">
        <f>IF($AA1030="","",IF($B1030="I",VLOOKUP($AA1030,#REF!,53,0),INDEX(VALUES!$B$1:$GP$1,1,$AA1030)))</f>
        <v/>
      </c>
    </row>
    <row r="1031" spans="1:34" hidden="1" outlineLevel="1">
      <c r="A1031" s="21" t="s">
        <v>86</v>
      </c>
      <c r="B1031" s="40" t="str">
        <f t="shared" si="78"/>
        <v/>
      </c>
      <c r="C1031" s="41">
        <f t="shared" si="80"/>
        <v>1030</v>
      </c>
      <c r="D1031" s="260"/>
      <c r="E1031" s="37"/>
      <c r="F1031" s="305"/>
      <c r="G1031" s="188"/>
      <c r="H1031" s="37"/>
      <c r="I1031" s="37" t="s">
        <v>9</v>
      </c>
      <c r="J1031" s="37"/>
      <c r="K1031" s="163" t="s">
        <v>20</v>
      </c>
      <c r="L1031" s="164" t="s">
        <v>23</v>
      </c>
      <c r="M1031" s="215" t="s">
        <v>3660</v>
      </c>
      <c r="N1031" s="163" t="s">
        <v>1303</v>
      </c>
      <c r="O1031" s="163" t="s">
        <v>298</v>
      </c>
      <c r="P1031" s="157" t="s">
        <v>298</v>
      </c>
      <c r="Q1031" s="168"/>
      <c r="R1031" s="168" t="s">
        <v>105</v>
      </c>
      <c r="S1031" s="168" t="s">
        <v>114</v>
      </c>
      <c r="T1031" s="163" t="s">
        <v>298</v>
      </c>
      <c r="U1031" s="163" t="s">
        <v>298</v>
      </c>
      <c r="V1031" s="163" t="s">
        <v>1303</v>
      </c>
      <c r="W1031" s="14" t="str">
        <f>IF(IFERROR(VLOOKUP($M1027,#REF!,1,0),"-")="-","","GS")</f>
        <v/>
      </c>
      <c r="X1031" s="14" t="str">
        <f t="shared" si="81"/>
        <v>...</v>
      </c>
      <c r="Y1031" s="163" t="s">
        <v>1304</v>
      </c>
      <c r="Z1031" s="58" t="str">
        <f>IF(OR($M1031="",NOT($O1031="{array}")),"",IFERROR(MATCH(PARAMETERS!$M1031,DEFAULT!$B$5:$CI$5,0),""))</f>
        <v/>
      </c>
      <c r="AA1031" s="55" t="str">
        <f t="shared" si="73"/>
        <v/>
      </c>
      <c r="AB1031" s="62" t="str">
        <f>IF(AND(OR($A1031="G",$A1031="P"),NOT($O1031="{array}")),IF(VLOOKUP($K1031,base!$B$2:$D$20,3,0)="S",IF(OR($O1031="",ISTEXT($O1031)),"","STRING!"),IF(VLOOKUP($K1031,base!$B$2:$D$20,3,0)="","",IF(ISTEXT($O1031),"NUMERIC!",""))),"")</f>
        <v/>
      </c>
      <c r="AC1031" s="16" t="str">
        <f>IF($AA1031="","",IF($B1031="I",VLOOKUP($AA1031,#REF!,53,0),INDEX(VALUES!$B$1:$GP$1,1,$AA1031)))</f>
        <v/>
      </c>
    </row>
    <row r="1032" spans="1:34" hidden="1" outlineLevel="1">
      <c r="A1032" s="21" t="s">
        <v>86</v>
      </c>
      <c r="B1032" s="40" t="str">
        <f t="shared" si="78"/>
        <v/>
      </c>
      <c r="C1032" s="41">
        <f t="shared" si="80"/>
        <v>1031</v>
      </c>
      <c r="D1032" s="260" t="s">
        <v>9</v>
      </c>
      <c r="E1032" s="37"/>
      <c r="F1032" s="305"/>
      <c r="G1032" s="188"/>
      <c r="H1032" s="37"/>
      <c r="I1032" s="37" t="s">
        <v>9</v>
      </c>
      <c r="J1032" s="37"/>
      <c r="K1032" s="163" t="s">
        <v>20</v>
      </c>
      <c r="L1032" s="52" t="s">
        <v>34</v>
      </c>
      <c r="M1032" s="215" t="s">
        <v>3649</v>
      </c>
      <c r="N1032" s="163" t="s">
        <v>3650</v>
      </c>
      <c r="O1032" s="163" t="s">
        <v>3192</v>
      </c>
      <c r="P1032" s="157" t="s">
        <v>298</v>
      </c>
      <c r="Q1032" s="168"/>
      <c r="R1032" s="168" t="s">
        <v>105</v>
      </c>
      <c r="S1032" s="168" t="s">
        <v>114</v>
      </c>
      <c r="T1032" s="163" t="s">
        <v>104</v>
      </c>
      <c r="U1032" s="163" t="s">
        <v>298</v>
      </c>
      <c r="V1032" s="163" t="s">
        <v>1305</v>
      </c>
      <c r="W1032" s="14" t="str">
        <f>IF(IFERROR(VLOOKUP($M1032,#REF!,1,0),"-")="-","","GS")</f>
        <v/>
      </c>
      <c r="X1032" s="14" t="str">
        <f t="shared" si="81"/>
        <v>...</v>
      </c>
      <c r="Y1032" s="163" t="s">
        <v>1306</v>
      </c>
      <c r="Z1032" s="58" t="str">
        <f>IF(OR($M1032="",NOT($O1032="{array}")),"",IFERROR(MATCH(PARAMETERS!$M1032,DEFAULT!$B$5:$CI$5,0),""))</f>
        <v/>
      </c>
      <c r="AA1032" s="55" t="str">
        <f t="shared" si="73"/>
        <v/>
      </c>
      <c r="AB1032" s="62" t="str">
        <f>IF(AND(OR($A1032="G",$A1032="P"),NOT($O1032="{array}")),IF(VLOOKUP($K1032,base!$B$2:$D$20,3,0)="S",IF(OR($O1032="",ISTEXT($O1032)),"","STRING!"),IF(VLOOKUP($K1032,base!$B$2:$D$20,3,0)="","",IF(ISTEXT($O1032),"NUMERIC!",""))),"")</f>
        <v/>
      </c>
      <c r="AC1032" s="16" t="str">
        <f>IF($AA1032="","",IF($B1032="I",VLOOKUP($AA1032,#REF!,53,0),INDEX(VALUES!$B$1:$GP$1,1,$AA1032)))</f>
        <v/>
      </c>
    </row>
    <row r="1033" spans="1:34" hidden="1" outlineLevel="1">
      <c r="A1033" s="21" t="s">
        <v>86</v>
      </c>
      <c r="B1033" s="40" t="str">
        <f t="shared" si="78"/>
        <v/>
      </c>
      <c r="C1033" s="41">
        <f t="shared" si="80"/>
        <v>1032</v>
      </c>
      <c r="D1033" s="260" t="s">
        <v>9</v>
      </c>
      <c r="E1033" s="37"/>
      <c r="F1033" s="305"/>
      <c r="G1033" s="188"/>
      <c r="H1033" s="37"/>
      <c r="I1033" s="37" t="s">
        <v>9</v>
      </c>
      <c r="J1033" s="37"/>
      <c r="K1033" s="163" t="s">
        <v>20</v>
      </c>
      <c r="L1033" s="52" t="s">
        <v>34</v>
      </c>
      <c r="M1033" s="215" t="s">
        <v>3651</v>
      </c>
      <c r="N1033" s="163" t="s">
        <v>3652</v>
      </c>
      <c r="O1033" s="163" t="s">
        <v>3192</v>
      </c>
      <c r="P1033" s="157" t="s">
        <v>298</v>
      </c>
      <c r="Q1033" s="168"/>
      <c r="R1033" s="168" t="s">
        <v>105</v>
      </c>
      <c r="S1033" s="168" t="s">
        <v>114</v>
      </c>
      <c r="T1033" s="163" t="s">
        <v>104</v>
      </c>
      <c r="U1033" s="163" t="s">
        <v>298</v>
      </c>
      <c r="V1033" s="163" t="s">
        <v>1307</v>
      </c>
      <c r="W1033" s="14" t="str">
        <f>IF(IFERROR(VLOOKUP($M1033,#REF!,1,0),"-")="-","","GS")</f>
        <v/>
      </c>
      <c r="X1033" s="14" t="str">
        <f t="shared" si="81"/>
        <v>...</v>
      </c>
      <c r="Y1033" s="163" t="s">
        <v>1308</v>
      </c>
      <c r="Z1033" s="58" t="str">
        <f>IF(OR($M1033="",NOT($O1033="{array}")),"",IFERROR(MATCH(PARAMETERS!$M1033,DEFAULT!$B$5:$CI$5,0),""))</f>
        <v/>
      </c>
      <c r="AA1033" s="55" t="str">
        <f t="shared" si="73"/>
        <v/>
      </c>
      <c r="AB1033" s="62" t="str">
        <f>IF(AND(OR($A1033="G",$A1033="P"),NOT($O1033="{array}")),IF(VLOOKUP($K1033,base!$B$2:$D$20,3,0)="S",IF(OR($O1033="",ISTEXT($O1033)),"","STRING!"),IF(VLOOKUP($K1033,base!$B$2:$D$20,3,0)="","",IF(ISTEXT($O1033),"NUMERIC!",""))),"")</f>
        <v/>
      </c>
      <c r="AC1033" s="16" t="str">
        <f>IF($AA1033="","",IF($B1033="I",VLOOKUP($AA1033,#REF!,53,0),INDEX(VALUES!$B$1:$GP$1,1,$AA1033)))</f>
        <v/>
      </c>
    </row>
    <row r="1034" spans="1:34" s="276" customFormat="1" hidden="1" outlineLevel="1">
      <c r="A1034" s="263"/>
      <c r="B1034" s="264" t="str">
        <f t="shared" si="78"/>
        <v/>
      </c>
      <c r="C1034" s="265">
        <f t="shared" si="80"/>
        <v>1033</v>
      </c>
      <c r="D1034" s="266"/>
      <c r="E1034" s="266"/>
      <c r="F1034" s="305"/>
      <c r="G1034" s="188"/>
      <c r="H1034" s="266"/>
      <c r="I1034" s="266" t="s">
        <v>9</v>
      </c>
      <c r="J1034" s="266"/>
      <c r="K1034" s="278" t="s">
        <v>20</v>
      </c>
      <c r="L1034" s="278" t="s">
        <v>23</v>
      </c>
      <c r="M1034" s="299"/>
      <c r="N1034" s="278" t="s">
        <v>298</v>
      </c>
      <c r="O1034" s="278" t="s">
        <v>298</v>
      </c>
      <c r="P1034" s="284" t="s">
        <v>298</v>
      </c>
      <c r="Q1034" s="279"/>
      <c r="R1034" s="279" t="s">
        <v>105</v>
      </c>
      <c r="S1034" s="279" t="s">
        <v>114</v>
      </c>
      <c r="T1034" s="278" t="s">
        <v>298</v>
      </c>
      <c r="U1034" s="278" t="s">
        <v>298</v>
      </c>
      <c r="V1034" s="278" t="s">
        <v>1309</v>
      </c>
      <c r="W1034" s="272" t="str">
        <f>IF(IFERROR(VLOOKUP($M1034,#REF!,1,0),"-")="-","","GS")</f>
        <v/>
      </c>
      <c r="X1034" s="272" t="str">
        <f t="shared" si="81"/>
        <v/>
      </c>
      <c r="Y1034" s="278" t="s">
        <v>1310</v>
      </c>
      <c r="Z1034" s="58" t="str">
        <f>IF(OR($M1034="",NOT($O1034="{array}")),"",IFERROR(MATCH(PARAMETERS!$M1034,DEFAULT!$B$5:$CI$5,0),""))</f>
        <v/>
      </c>
      <c r="AA1034" s="55" t="str">
        <f t="shared" si="73"/>
        <v/>
      </c>
      <c r="AB1034" s="62" t="str">
        <f>IF(AND(OR($A1034="G",$A1034="P"),NOT($O1034="{array}")),IF(VLOOKUP($K1034,base!$B$2:$D$20,3,0)="S",IF(OR($O1034="",ISTEXT($O1034)),"","STRING!"),IF(VLOOKUP($K1034,base!$B$2:$D$20,3,0)="","",IF(ISTEXT($O1034),"NUMERIC!",""))),"")</f>
        <v/>
      </c>
      <c r="AC1034" s="16" t="str">
        <f>IF($AA1034="","",IF($B1034="I",VLOOKUP($AA1034,#REF!,53,0),INDEX(VALUES!$B$1:$GP$1,1,$AA1034)))</f>
        <v/>
      </c>
      <c r="AD1034" s="13"/>
      <c r="AE1034" s="13"/>
      <c r="AF1034" s="13"/>
      <c r="AG1034" s="13"/>
      <c r="AH1034" s="13"/>
    </row>
    <row r="1035" spans="1:34" s="276" customFormat="1" hidden="1" outlineLevel="1">
      <c r="A1035" s="263"/>
      <c r="B1035" s="264" t="str">
        <f t="shared" si="78"/>
        <v/>
      </c>
      <c r="C1035" s="265">
        <f t="shared" si="80"/>
        <v>1034</v>
      </c>
      <c r="D1035" s="266"/>
      <c r="E1035" s="266"/>
      <c r="F1035" s="305"/>
      <c r="G1035" s="188"/>
      <c r="H1035" s="266"/>
      <c r="I1035" s="266" t="s">
        <v>9</v>
      </c>
      <c r="J1035" s="266"/>
      <c r="K1035" s="278" t="s">
        <v>20</v>
      </c>
      <c r="L1035" s="278" t="s">
        <v>23</v>
      </c>
      <c r="M1035" s="299"/>
      <c r="N1035" s="278" t="s">
        <v>298</v>
      </c>
      <c r="O1035" s="278" t="s">
        <v>298</v>
      </c>
      <c r="P1035" s="284" t="s">
        <v>298</v>
      </c>
      <c r="Q1035" s="279"/>
      <c r="R1035" s="279" t="s">
        <v>105</v>
      </c>
      <c r="S1035" s="279" t="s">
        <v>114</v>
      </c>
      <c r="T1035" s="278" t="s">
        <v>298</v>
      </c>
      <c r="U1035" s="278" t="s">
        <v>298</v>
      </c>
      <c r="V1035" s="278" t="s">
        <v>1311</v>
      </c>
      <c r="W1035" s="272" t="str">
        <f>IF(IFERROR(VLOOKUP($M1035,#REF!,1,0),"-")="-","","GS")</f>
        <v/>
      </c>
      <c r="X1035" s="272" t="str">
        <f t="shared" si="81"/>
        <v/>
      </c>
      <c r="Y1035" s="278" t="s">
        <v>1312</v>
      </c>
      <c r="Z1035" s="58" t="str">
        <f>IF(OR($M1035="",NOT($O1035="{array}")),"",IFERROR(MATCH(PARAMETERS!$M1035,DEFAULT!$B$5:$CI$5,0),""))</f>
        <v/>
      </c>
      <c r="AA1035" s="55" t="str">
        <f t="shared" si="73"/>
        <v/>
      </c>
      <c r="AB1035" s="62" t="str">
        <f>IF(AND(OR($A1035="G",$A1035="P"),NOT($O1035="{array}")),IF(VLOOKUP($K1035,base!$B$2:$D$20,3,0)="S",IF(OR($O1035="",ISTEXT($O1035)),"","STRING!"),IF(VLOOKUP($K1035,base!$B$2:$D$20,3,0)="","",IF(ISTEXT($O1035),"NUMERIC!",""))),"")</f>
        <v/>
      </c>
      <c r="AC1035" s="16" t="str">
        <f>IF($AA1035="","",IF($B1035="I",VLOOKUP($AA1035,#REF!,53,0),INDEX(VALUES!$B$1:$GP$1,1,$AA1035)))</f>
        <v/>
      </c>
      <c r="AD1035" s="13"/>
      <c r="AE1035" s="13"/>
      <c r="AF1035" s="13"/>
      <c r="AG1035" s="13"/>
      <c r="AH1035" s="13"/>
    </row>
    <row r="1036" spans="1:34" s="276" customFormat="1" hidden="1" outlineLevel="1">
      <c r="A1036" s="263"/>
      <c r="B1036" s="264" t="str">
        <f t="shared" si="78"/>
        <v/>
      </c>
      <c r="C1036" s="265">
        <f t="shared" si="80"/>
        <v>1035</v>
      </c>
      <c r="D1036" s="266"/>
      <c r="E1036" s="266"/>
      <c r="F1036" s="305"/>
      <c r="G1036" s="188"/>
      <c r="H1036" s="266"/>
      <c r="I1036" s="266" t="s">
        <v>9</v>
      </c>
      <c r="J1036" s="266"/>
      <c r="K1036" s="278" t="s">
        <v>20</v>
      </c>
      <c r="L1036" s="278" t="s">
        <v>23</v>
      </c>
      <c r="M1036" s="299"/>
      <c r="N1036" s="278" t="s">
        <v>298</v>
      </c>
      <c r="O1036" s="278" t="s">
        <v>298</v>
      </c>
      <c r="P1036" s="284" t="s">
        <v>298</v>
      </c>
      <c r="Q1036" s="279"/>
      <c r="R1036" s="279" t="s">
        <v>105</v>
      </c>
      <c r="S1036" s="279" t="s">
        <v>114</v>
      </c>
      <c r="T1036" s="278" t="s">
        <v>298</v>
      </c>
      <c r="U1036" s="278" t="s">
        <v>298</v>
      </c>
      <c r="V1036" s="278" t="s">
        <v>1313</v>
      </c>
      <c r="W1036" s="272" t="str">
        <f>IF(IFERROR(VLOOKUP($M1036,#REF!,1,0),"-")="-","","GS")</f>
        <v/>
      </c>
      <c r="X1036" s="272" t="str">
        <f t="shared" si="81"/>
        <v/>
      </c>
      <c r="Y1036" s="278" t="s">
        <v>298</v>
      </c>
      <c r="Z1036" s="58" t="str">
        <f>IF(OR($M1036="",NOT($O1036="{array}")),"",IFERROR(MATCH(PARAMETERS!$M1036,DEFAULT!$B$5:$CI$5,0),""))</f>
        <v/>
      </c>
      <c r="AA1036" s="55" t="str">
        <f t="shared" si="73"/>
        <v/>
      </c>
      <c r="AB1036" s="62" t="str">
        <f>IF(AND(OR($A1036="G",$A1036="P"),NOT($O1036="{array}")),IF(VLOOKUP($K1036,base!$B$2:$D$20,3,0)="S",IF(OR($O1036="",ISTEXT($O1036)),"","STRING!"),IF(VLOOKUP($K1036,base!$B$2:$D$20,3,0)="","",IF(ISTEXT($O1036),"NUMERIC!",""))),"")</f>
        <v/>
      </c>
      <c r="AC1036" s="16" t="str">
        <f>IF($AA1036="","",IF($B1036="I",VLOOKUP($AA1036,#REF!,53,0),INDEX(VALUES!$B$1:$GP$1,1,$AA1036)))</f>
        <v/>
      </c>
      <c r="AD1036" s="13"/>
      <c r="AE1036" s="13"/>
      <c r="AF1036" s="13"/>
      <c r="AG1036" s="13"/>
      <c r="AH1036" s="13"/>
    </row>
    <row r="1037" spans="1:34" hidden="1" outlineLevel="1">
      <c r="A1037" s="21" t="s">
        <v>86</v>
      </c>
      <c r="B1037" s="40" t="str">
        <f t="shared" si="78"/>
        <v/>
      </c>
      <c r="C1037" s="41">
        <f t="shared" si="80"/>
        <v>1036</v>
      </c>
      <c r="D1037" s="260" t="s">
        <v>9</v>
      </c>
      <c r="E1037" s="37"/>
      <c r="F1037" s="305"/>
      <c r="G1037" s="188"/>
      <c r="H1037" s="37"/>
      <c r="I1037" s="37" t="s">
        <v>9</v>
      </c>
      <c r="J1037" s="37"/>
      <c r="K1037" s="156" t="s">
        <v>20</v>
      </c>
      <c r="L1037" s="164" t="s">
        <v>23</v>
      </c>
      <c r="M1037" s="215" t="s">
        <v>3653</v>
      </c>
      <c r="N1037" s="163" t="s">
        <v>3654</v>
      </c>
      <c r="O1037" s="163" t="s">
        <v>1096</v>
      </c>
      <c r="P1037" s="157" t="s">
        <v>298</v>
      </c>
      <c r="Q1037" s="174" t="s">
        <v>9</v>
      </c>
      <c r="R1037" s="168" t="s">
        <v>105</v>
      </c>
      <c r="S1037" s="168" t="s">
        <v>114</v>
      </c>
      <c r="T1037" s="163" t="s">
        <v>298</v>
      </c>
      <c r="U1037" s="163" t="s">
        <v>298</v>
      </c>
      <c r="V1037" s="163"/>
      <c r="W1037" s="14" t="str">
        <f>IF(IFERROR(VLOOKUP($M1037,#REF!,1,0),"-")="-","","GS")</f>
        <v/>
      </c>
      <c r="X1037" s="14" t="str">
        <f t="shared" si="81"/>
        <v>...</v>
      </c>
      <c r="Y1037" s="163" t="s">
        <v>3655</v>
      </c>
      <c r="Z1037" s="58" t="str">
        <f>IF(OR($M1037="",NOT($O1037="{array}")),"",IFERROR(MATCH(PARAMETERS!$M1037,DEFAULT!$B$5:$CI$5,0),""))</f>
        <v/>
      </c>
      <c r="AA1037" s="55" t="str">
        <f t="shared" si="73"/>
        <v/>
      </c>
      <c r="AB1037" s="62" t="str">
        <f>IF(AND(OR($A1037="G",$A1037="P"),NOT($O1037="{array}")),IF(VLOOKUP($K1037,base!$B$2:$D$20,3,0)="S",IF(OR($O1037="",ISTEXT($O1037)),"","STRING!"),IF(VLOOKUP($K1037,base!$B$2:$D$20,3,0)="","",IF(ISTEXT($O1037),"NUMERIC!",""))),"")</f>
        <v/>
      </c>
      <c r="AC1037" s="16" t="str">
        <f>IF($AA1037="","",IF($B1037="I",VLOOKUP($AA1037,#REF!,53,0),INDEX(VALUES!$B$1:$GP$1,1,$AA1037)))</f>
        <v/>
      </c>
    </row>
    <row r="1038" spans="1:34" s="276" customFormat="1" hidden="1" outlineLevel="1">
      <c r="A1038" s="263"/>
      <c r="B1038" s="264" t="str">
        <f t="shared" si="78"/>
        <v/>
      </c>
      <c r="C1038" s="265">
        <f t="shared" si="80"/>
        <v>1037</v>
      </c>
      <c r="D1038" s="266"/>
      <c r="E1038" s="266"/>
      <c r="F1038" s="305"/>
      <c r="G1038" s="188"/>
      <c r="H1038" s="266"/>
      <c r="I1038" s="266" t="s">
        <v>9</v>
      </c>
      <c r="J1038" s="266"/>
      <c r="K1038" s="278" t="s">
        <v>20</v>
      </c>
      <c r="L1038" s="278" t="s">
        <v>23</v>
      </c>
      <c r="M1038" s="299" t="s">
        <v>3671</v>
      </c>
      <c r="N1038" s="278" t="s">
        <v>3672</v>
      </c>
      <c r="O1038" s="278" t="s">
        <v>1096</v>
      </c>
      <c r="P1038" s="284" t="s">
        <v>298</v>
      </c>
      <c r="Q1038" s="279" t="s">
        <v>9</v>
      </c>
      <c r="R1038" s="279" t="s">
        <v>105</v>
      </c>
      <c r="S1038" s="279" t="s">
        <v>114</v>
      </c>
      <c r="T1038" s="278" t="s">
        <v>298</v>
      </c>
      <c r="U1038" s="278" t="s">
        <v>298</v>
      </c>
      <c r="V1038" s="278"/>
      <c r="W1038" s="272" t="str">
        <f>IF(IFERROR(VLOOKUP($M1038,#REF!,1,0),"-")="-","","GS")</f>
        <v/>
      </c>
      <c r="X1038" s="272" t="str">
        <f t="shared" si="81"/>
        <v/>
      </c>
      <c r="Y1038" s="278" t="s">
        <v>3655</v>
      </c>
      <c r="Z1038" s="58" t="str">
        <f>IF(OR($M1038="",NOT($O1038="{array}")),"",IFERROR(MATCH(PARAMETERS!$M1038,DEFAULT!$B$5:$CI$5,0),""))</f>
        <v/>
      </c>
      <c r="AA1038" s="55" t="str">
        <f t="shared" si="73"/>
        <v/>
      </c>
      <c r="AB1038" s="62" t="str">
        <f>IF(AND(OR($A1038="G",$A1038="P"),NOT($O1038="{array}")),IF(VLOOKUP($K1038,base!$B$2:$D$20,3,0)="S",IF(OR($O1038="",ISTEXT($O1038)),"","STRING!"),IF(VLOOKUP($K1038,base!$B$2:$D$20,3,0)="","",IF(ISTEXT($O1038),"NUMERIC!",""))),"")</f>
        <v/>
      </c>
      <c r="AC1038" s="16" t="str">
        <f>IF($AA1038="","",IF($B1038="I",VLOOKUP($AA1038,#REF!,53,0),INDEX(VALUES!$B$1:$GP$1,1,$AA1038)))</f>
        <v/>
      </c>
      <c r="AD1038" s="13"/>
      <c r="AE1038" s="13"/>
      <c r="AF1038" s="13"/>
      <c r="AG1038" s="13"/>
      <c r="AH1038" s="13"/>
    </row>
    <row r="1039" spans="1:34" hidden="1" outlineLevel="1">
      <c r="A1039" s="21" t="s">
        <v>86</v>
      </c>
      <c r="B1039" s="40" t="str">
        <f t="shared" si="78"/>
        <v/>
      </c>
      <c r="C1039" s="41">
        <f t="shared" si="80"/>
        <v>1038</v>
      </c>
      <c r="D1039" s="260" t="s">
        <v>9</v>
      </c>
      <c r="E1039" s="37"/>
      <c r="F1039" s="305"/>
      <c r="G1039" s="188"/>
      <c r="H1039" s="37"/>
      <c r="I1039" s="37" t="s">
        <v>9</v>
      </c>
      <c r="J1039" s="37"/>
      <c r="K1039" s="156" t="s">
        <v>20</v>
      </c>
      <c r="L1039" s="164" t="s">
        <v>23</v>
      </c>
      <c r="M1039" s="215" t="s">
        <v>3656</v>
      </c>
      <c r="N1039" s="156" t="s">
        <v>3657</v>
      </c>
      <c r="O1039" s="163" t="s">
        <v>3192</v>
      </c>
      <c r="P1039" s="157" t="s">
        <v>298</v>
      </c>
      <c r="Q1039" s="174" t="s">
        <v>9</v>
      </c>
      <c r="R1039" s="168" t="s">
        <v>105</v>
      </c>
      <c r="S1039" s="168" t="s">
        <v>114</v>
      </c>
      <c r="T1039" s="163" t="s">
        <v>298</v>
      </c>
      <c r="U1039" s="163" t="s">
        <v>298</v>
      </c>
      <c r="V1039" s="163" t="s">
        <v>1287</v>
      </c>
      <c r="W1039" s="14" t="str">
        <f>IF(IFERROR(VLOOKUP($M1021,#REF!,1,0),"-")="-","","GS")</f>
        <v/>
      </c>
      <c r="X1039" s="14" t="str">
        <f t="shared" si="81"/>
        <v>N</v>
      </c>
      <c r="Y1039" s="163" t="s">
        <v>1288</v>
      </c>
      <c r="Z1039" s="58" t="str">
        <f>IF(OR($M1039="",NOT($O1039="{array}")),"",IFERROR(MATCH(PARAMETERS!$M1039,DEFAULT!$B$5:$CI$5,0),""))</f>
        <v/>
      </c>
      <c r="AA1039" s="55" t="str">
        <f t="shared" si="73"/>
        <v/>
      </c>
      <c r="AB1039" s="62" t="str">
        <f>IF(AND(OR($A1039="G",$A1039="P"),NOT($O1039="{array}")),IF(VLOOKUP($K1039,base!$B$2:$D$20,3,0)="S",IF(OR($O1039="",ISTEXT($O1039)),"","STRING!"),IF(VLOOKUP($K1039,base!$B$2:$D$20,3,0)="","",IF(ISTEXT($O1039),"NUMERIC!",""))),"")</f>
        <v/>
      </c>
      <c r="AC1039" s="16" t="str">
        <f>IF($AA1039="","",IF($B1039="I",VLOOKUP($AA1039,#REF!,53,0),INDEX(VALUES!$B$1:$GP$1,1,$AA1039)))</f>
        <v/>
      </c>
    </row>
    <row r="1040" spans="1:34" s="276" customFormat="1" hidden="1" outlineLevel="1">
      <c r="A1040" s="263"/>
      <c r="B1040" s="264" t="str">
        <f t="shared" si="78"/>
        <v/>
      </c>
      <c r="C1040" s="265">
        <f t="shared" si="80"/>
        <v>1039</v>
      </c>
      <c r="D1040" s="266"/>
      <c r="E1040" s="266"/>
      <c r="F1040" s="305"/>
      <c r="G1040" s="188"/>
      <c r="H1040" s="266"/>
      <c r="I1040" s="266" t="s">
        <v>9</v>
      </c>
      <c r="J1040" s="266"/>
      <c r="K1040" s="278" t="s">
        <v>20</v>
      </c>
      <c r="L1040" s="278" t="s">
        <v>23</v>
      </c>
      <c r="M1040" s="299" t="s">
        <v>3658</v>
      </c>
      <c r="N1040" s="278" t="s">
        <v>3659</v>
      </c>
      <c r="O1040" s="278" t="s">
        <v>3192</v>
      </c>
      <c r="P1040" s="284" t="s">
        <v>298</v>
      </c>
      <c r="Q1040" s="279" t="s">
        <v>9</v>
      </c>
      <c r="R1040" s="279" t="s">
        <v>105</v>
      </c>
      <c r="S1040" s="279" t="s">
        <v>114</v>
      </c>
      <c r="T1040" s="278" t="s">
        <v>298</v>
      </c>
      <c r="U1040" s="278" t="s">
        <v>298</v>
      </c>
      <c r="V1040" s="278" t="s">
        <v>1289</v>
      </c>
      <c r="W1040" s="272" t="str">
        <f>IF(IFERROR(VLOOKUP($M1040,#REF!,1,0),"-")="-","","GS")</f>
        <v/>
      </c>
      <c r="X1040" s="272" t="str">
        <f t="shared" si="81"/>
        <v/>
      </c>
      <c r="Y1040" s="278" t="s">
        <v>1290</v>
      </c>
      <c r="Z1040" s="58" t="str">
        <f>IF(OR($M1040="",NOT($O1040="{array}")),"",IFERROR(MATCH(PARAMETERS!$M1040,DEFAULT!$B$5:$CI$5,0),""))</f>
        <v/>
      </c>
      <c r="AA1040" s="55" t="str">
        <f t="shared" si="73"/>
        <v/>
      </c>
      <c r="AB1040" s="62" t="str">
        <f>IF(AND(OR($A1040="G",$A1040="P"),NOT($O1040="{array}")),IF(VLOOKUP($K1040,base!$B$2:$D$20,3,0)="S",IF(OR($O1040="",ISTEXT($O1040)),"","STRING!"),IF(VLOOKUP($K1040,base!$B$2:$D$20,3,0)="","",IF(ISTEXT($O1040),"NUMERIC!",""))),"")</f>
        <v/>
      </c>
      <c r="AC1040" s="16" t="str">
        <f>IF($AA1040="","",IF($B1040="I",VLOOKUP($AA1040,#REF!,53,0),INDEX(VALUES!$B$1:$GP$1,1,$AA1040)))</f>
        <v/>
      </c>
      <c r="AD1040" s="13"/>
      <c r="AE1040" s="13"/>
      <c r="AF1040" s="13"/>
      <c r="AG1040" s="13"/>
      <c r="AH1040" s="13"/>
    </row>
    <row r="1041" spans="1:29" hidden="1" outlineLevel="1">
      <c r="A1041" s="21" t="s">
        <v>86</v>
      </c>
      <c r="B1041" s="40"/>
      <c r="C1041" s="41">
        <f t="shared" si="80"/>
        <v>1040</v>
      </c>
      <c r="D1041" s="260" t="s">
        <v>9</v>
      </c>
      <c r="E1041" s="37"/>
      <c r="F1041" s="305"/>
      <c r="G1041" s="188"/>
      <c r="H1041" s="37"/>
      <c r="I1041" s="229" t="s">
        <v>9</v>
      </c>
      <c r="J1041" s="229" t="s">
        <v>9</v>
      </c>
      <c r="K1041" s="240" t="s">
        <v>26</v>
      </c>
      <c r="L1041" s="240" t="s">
        <v>29</v>
      </c>
      <c r="M1041" s="241" t="s">
        <v>3860</v>
      </c>
      <c r="N1041" s="240" t="s">
        <v>3861</v>
      </c>
      <c r="O1041" s="242">
        <v>0</v>
      </c>
      <c r="P1041" s="240"/>
      <c r="Q1041" s="243"/>
      <c r="R1041" s="243" t="s">
        <v>204</v>
      </c>
      <c r="S1041" s="168"/>
      <c r="T1041" s="163"/>
      <c r="U1041" s="163"/>
      <c r="V1041" s="163"/>
      <c r="W1041" s="14"/>
      <c r="X1041" s="157"/>
      <c r="Y1041" s="163"/>
      <c r="Z1041" s="58" t="str">
        <f>IF(OR($M1041="",NOT($O1041="{array}")),"",IFERROR(MATCH(PARAMETERS!$M1041,DEFAULT!$B$5:$CI$5,0),""))</f>
        <v/>
      </c>
      <c r="AA1041" s="55" t="str">
        <f t="shared" si="73"/>
        <v/>
      </c>
      <c r="AB1041" s="62" t="str">
        <f>IF(AND(OR($A1041="G",$A1041="P"),NOT($O1041="{array}")),IF(VLOOKUP($K1041,base!$B$2:$D$20,3,0)="S",IF(OR($O1041="",ISTEXT($O1041)),"","STRING!"),IF(VLOOKUP($K1041,base!$B$2:$D$20,3,0)="","",IF(ISTEXT($O1041),"NUMERIC!",""))),"")</f>
        <v/>
      </c>
      <c r="AC1041" s="16" t="str">
        <f>IF($AA1041="","",IF($B1041="I",VLOOKUP($AA1041,#REF!,53,0),INDEX(VALUES!$B$1:$GP$1,1,$AA1041)))</f>
        <v/>
      </c>
    </row>
    <row r="1042" spans="1:29" hidden="1" outlineLevel="1">
      <c r="A1042" s="21" t="s">
        <v>86</v>
      </c>
      <c r="B1042" s="40"/>
      <c r="C1042" s="41">
        <f t="shared" si="80"/>
        <v>1041</v>
      </c>
      <c r="D1042" s="260" t="s">
        <v>9</v>
      </c>
      <c r="E1042" s="37"/>
      <c r="F1042" s="305"/>
      <c r="G1042" s="188"/>
      <c r="H1042" s="37"/>
      <c r="I1042" s="229" t="s">
        <v>9</v>
      </c>
      <c r="J1042" s="229" t="s">
        <v>9</v>
      </c>
      <c r="K1042" s="240" t="s">
        <v>26</v>
      </c>
      <c r="L1042" s="240" t="s">
        <v>29</v>
      </c>
      <c r="M1042" s="241" t="s">
        <v>3862</v>
      </c>
      <c r="N1042" s="240" t="s">
        <v>3863</v>
      </c>
      <c r="O1042" s="242">
        <v>0</v>
      </c>
      <c r="P1042" s="240"/>
      <c r="Q1042" s="243"/>
      <c r="R1042" s="243" t="s">
        <v>204</v>
      </c>
      <c r="S1042" s="168"/>
      <c r="T1042" s="163"/>
      <c r="U1042" s="163"/>
      <c r="V1042" s="163"/>
      <c r="W1042" s="14"/>
      <c r="X1042" s="157"/>
      <c r="Y1042" s="163"/>
      <c r="Z1042" s="58" t="str">
        <f>IF(OR($M1042="",NOT($O1042="{array}")),"",IFERROR(MATCH(PARAMETERS!$M1042,DEFAULT!$B$5:$CI$5,0),""))</f>
        <v/>
      </c>
      <c r="AA1042" s="55" t="str">
        <f t="shared" si="73"/>
        <v/>
      </c>
      <c r="AB1042" s="62" t="str">
        <f>IF(AND(OR($A1042="G",$A1042="P"),NOT($O1042="{array}")),IF(VLOOKUP($K1042,base!$B$2:$D$20,3,0)="S",IF(OR($O1042="",ISTEXT($O1042)),"","STRING!"),IF(VLOOKUP($K1042,base!$B$2:$D$20,3,0)="","",IF(ISTEXT($O1042),"NUMERIC!",""))),"")</f>
        <v/>
      </c>
      <c r="AC1042" s="16" t="str">
        <f>IF($AA1042="","",IF($B1042="I",VLOOKUP($AA1042,#REF!,53,0),INDEX(VALUES!$B$1:$GP$1,1,$AA1042)))</f>
        <v/>
      </c>
    </row>
    <row r="1043" spans="1:29" hidden="1" outlineLevel="1">
      <c r="A1043" s="21" t="s">
        <v>86</v>
      </c>
      <c r="B1043" s="40"/>
      <c r="C1043" s="41">
        <f t="shared" si="80"/>
        <v>1042</v>
      </c>
      <c r="D1043" s="260" t="s">
        <v>9</v>
      </c>
      <c r="E1043" s="37"/>
      <c r="F1043" s="305"/>
      <c r="G1043" s="188"/>
      <c r="H1043" s="37"/>
      <c r="I1043" s="229" t="s">
        <v>9</v>
      </c>
      <c r="J1043" s="229" t="s">
        <v>9</v>
      </c>
      <c r="K1043" s="240" t="s">
        <v>26</v>
      </c>
      <c r="L1043" s="240" t="s">
        <v>29</v>
      </c>
      <c r="M1043" s="241" t="s">
        <v>3864</v>
      </c>
      <c r="N1043" s="240" t="s">
        <v>3865</v>
      </c>
      <c r="O1043" s="242">
        <v>0</v>
      </c>
      <c r="P1043" s="240"/>
      <c r="Q1043" s="243"/>
      <c r="R1043" s="243" t="s">
        <v>204</v>
      </c>
      <c r="S1043" s="168"/>
      <c r="T1043" s="163"/>
      <c r="U1043" s="163"/>
      <c r="V1043" s="163"/>
      <c r="W1043" s="14"/>
      <c r="X1043" s="157"/>
      <c r="Y1043" s="163"/>
      <c r="Z1043" s="58" t="str">
        <f>IF(OR($M1043="",NOT($O1043="{array}")),"",IFERROR(MATCH(PARAMETERS!$M1043,DEFAULT!$B$5:$CI$5,0),""))</f>
        <v/>
      </c>
      <c r="AA1043" s="55" t="str">
        <f t="shared" si="73"/>
        <v/>
      </c>
      <c r="AB1043" s="62" t="str">
        <f>IF(AND(OR($A1043="G",$A1043="P"),NOT($O1043="{array}")),IF(VLOOKUP($K1043,base!$B$2:$D$20,3,0)="S",IF(OR($O1043="",ISTEXT($O1043)),"","STRING!"),IF(VLOOKUP($K1043,base!$B$2:$D$20,3,0)="","",IF(ISTEXT($O1043),"NUMERIC!",""))),"")</f>
        <v/>
      </c>
      <c r="AC1043" s="16" t="str">
        <f>IF($AA1043="","",IF($B1043="I",VLOOKUP($AA1043,#REF!,53,0),INDEX(VALUES!$B$1:$GP$1,1,$AA1043)))</f>
        <v/>
      </c>
    </row>
    <row r="1044" spans="1:29" hidden="1" outlineLevel="1">
      <c r="A1044" s="21" t="s">
        <v>86</v>
      </c>
      <c r="B1044" s="40"/>
      <c r="C1044" s="41">
        <f t="shared" si="80"/>
        <v>1043</v>
      </c>
      <c r="D1044" s="260"/>
      <c r="E1044" s="37"/>
      <c r="F1044" s="305"/>
      <c r="G1044" s="188"/>
      <c r="H1044" s="37"/>
      <c r="I1044" s="229" t="s">
        <v>9</v>
      </c>
      <c r="J1044" s="229" t="s">
        <v>9</v>
      </c>
      <c r="K1044" s="240" t="s">
        <v>26</v>
      </c>
      <c r="L1044" s="240" t="s">
        <v>29</v>
      </c>
      <c r="M1044" s="241" t="s">
        <v>3866</v>
      </c>
      <c r="N1044" s="240" t="s">
        <v>3867</v>
      </c>
      <c r="O1044" s="242">
        <v>0</v>
      </c>
      <c r="P1044" s="240"/>
      <c r="Q1044" s="243"/>
      <c r="R1044" s="243" t="s">
        <v>204</v>
      </c>
      <c r="S1044" s="168"/>
      <c r="T1044" s="163"/>
      <c r="U1044" s="163"/>
      <c r="V1044" s="163"/>
      <c r="W1044" s="14"/>
      <c r="X1044" s="157"/>
      <c r="Y1044" s="163"/>
      <c r="Z1044" s="58" t="str">
        <f>IF(OR($M1044="",NOT($O1044="{array}")),"",IFERROR(MATCH(PARAMETERS!$M1044,DEFAULT!$B$5:$CI$5,0),""))</f>
        <v/>
      </c>
      <c r="AA1044" s="55" t="str">
        <f t="shared" si="73"/>
        <v/>
      </c>
      <c r="AB1044" s="62" t="str">
        <f>IF(AND(OR($A1044="G",$A1044="P"),NOT($O1044="{array}")),IF(VLOOKUP($K1044,base!$B$2:$D$20,3,0)="S",IF(OR($O1044="",ISTEXT($O1044)),"","STRING!"),IF(VLOOKUP($K1044,base!$B$2:$D$20,3,0)="","",IF(ISTEXT($O1044),"NUMERIC!",""))),"")</f>
        <v/>
      </c>
      <c r="AC1044" s="16" t="str">
        <f>IF($AA1044="","",IF($B1044="I",VLOOKUP($AA1044,#REF!,53,0),INDEX(VALUES!$B$1:$GP$1,1,$AA1044)))</f>
        <v/>
      </c>
    </row>
    <row r="1045" spans="1:29" hidden="1" outlineLevel="1">
      <c r="A1045" s="21" t="s">
        <v>86</v>
      </c>
      <c r="B1045" s="40"/>
      <c r="C1045" s="41">
        <f t="shared" si="80"/>
        <v>1044</v>
      </c>
      <c r="D1045" s="260" t="s">
        <v>9</v>
      </c>
      <c r="E1045" s="37"/>
      <c r="F1045" s="305"/>
      <c r="G1045" s="188"/>
      <c r="H1045" s="37"/>
      <c r="I1045" s="229" t="s">
        <v>9</v>
      </c>
      <c r="J1045" s="229" t="s">
        <v>9</v>
      </c>
      <c r="K1045" s="240" t="s">
        <v>26</v>
      </c>
      <c r="L1045" s="240" t="s">
        <v>29</v>
      </c>
      <c r="M1045" s="241" t="s">
        <v>3868</v>
      </c>
      <c r="N1045" s="240" t="s">
        <v>3869</v>
      </c>
      <c r="O1045" s="242">
        <v>7.4999999999999997E-2</v>
      </c>
      <c r="P1045" s="240"/>
      <c r="Q1045" s="243"/>
      <c r="R1045" s="243" t="s">
        <v>204</v>
      </c>
      <c r="S1045" s="168"/>
      <c r="T1045" s="163"/>
      <c r="U1045" s="163"/>
      <c r="V1045" s="163"/>
      <c r="W1045" s="14"/>
      <c r="X1045" s="157"/>
      <c r="Y1045" s="163"/>
      <c r="Z1045" s="58" t="str">
        <f>IF(OR($M1045="",NOT($O1045="{array}")),"",IFERROR(MATCH(PARAMETERS!$M1045,DEFAULT!$B$5:$CI$5,0),""))</f>
        <v/>
      </c>
      <c r="AA1045" s="55" t="str">
        <f t="shared" ref="AA1045:AA1094" si="82">IF($M1045="","",IFERROR(MATCH($M1045,VALUESnames,0),""))</f>
        <v/>
      </c>
      <c r="AB1045" s="62" t="str">
        <f>IF(AND(OR($A1045="G",$A1045="P"),NOT($O1045="{array}")),IF(VLOOKUP($K1045,base!$B$2:$D$20,3,0)="S",IF(OR($O1045="",ISTEXT($O1045)),"","STRING!"),IF(VLOOKUP($K1045,base!$B$2:$D$20,3,0)="","",IF(ISTEXT($O1045),"NUMERIC!",""))),"")</f>
        <v/>
      </c>
      <c r="AC1045" s="16" t="str">
        <f>IF($AA1045="","",IF($B1045="I",VLOOKUP($AA1045,#REF!,53,0),INDEX(VALUES!$B$1:$GP$1,1,$AA1045)))</f>
        <v/>
      </c>
    </row>
    <row r="1046" spans="1:29" hidden="1" outlineLevel="1">
      <c r="A1046" s="21" t="s">
        <v>86</v>
      </c>
      <c r="B1046" s="40"/>
      <c r="C1046" s="41">
        <f t="shared" si="80"/>
        <v>1045</v>
      </c>
      <c r="D1046" s="260" t="s">
        <v>9</v>
      </c>
      <c r="E1046" s="37"/>
      <c r="F1046" s="305"/>
      <c r="G1046" s="188"/>
      <c r="H1046" s="37"/>
      <c r="I1046" s="229" t="s">
        <v>9</v>
      </c>
      <c r="J1046" s="229" t="s">
        <v>9</v>
      </c>
      <c r="K1046" s="240" t="s">
        <v>26</v>
      </c>
      <c r="L1046" s="240" t="s">
        <v>29</v>
      </c>
      <c r="M1046" s="241" t="s">
        <v>3870</v>
      </c>
      <c r="N1046" s="240" t="s">
        <v>3871</v>
      </c>
      <c r="O1046" s="242">
        <v>0.05</v>
      </c>
      <c r="P1046" s="240"/>
      <c r="Q1046" s="243"/>
      <c r="R1046" s="243" t="s">
        <v>204</v>
      </c>
      <c r="S1046" s="168"/>
      <c r="T1046" s="163"/>
      <c r="U1046" s="163"/>
      <c r="V1046" s="163"/>
      <c r="W1046" s="14"/>
      <c r="X1046" s="157"/>
      <c r="Y1046" s="163"/>
      <c r="Z1046" s="58" t="str">
        <f>IF(OR($M1046="",NOT($O1046="{array}")),"",IFERROR(MATCH(PARAMETERS!$M1046,DEFAULT!$B$5:$CI$5,0),""))</f>
        <v/>
      </c>
      <c r="AA1046" s="55" t="str">
        <f t="shared" si="82"/>
        <v/>
      </c>
      <c r="AB1046" s="62" t="str">
        <f>IF(AND(OR($A1046="G",$A1046="P"),NOT($O1046="{array}")),IF(VLOOKUP($K1046,base!$B$2:$D$20,3,0)="S",IF(OR($O1046="",ISTEXT($O1046)),"","STRING!"),IF(VLOOKUP($K1046,base!$B$2:$D$20,3,0)="","",IF(ISTEXT($O1046),"NUMERIC!",""))),"")</f>
        <v/>
      </c>
      <c r="AC1046" s="16" t="str">
        <f>IF($AA1046="","",IF($B1046="I",VLOOKUP($AA1046,#REF!,53,0),INDEX(VALUES!$B$1:$GP$1,1,$AA1046)))</f>
        <v/>
      </c>
    </row>
    <row r="1047" spans="1:29" hidden="1" outlineLevel="1">
      <c r="A1047" s="21" t="s">
        <v>86</v>
      </c>
      <c r="B1047" s="40"/>
      <c r="C1047" s="41">
        <f t="shared" si="80"/>
        <v>1046</v>
      </c>
      <c r="D1047" s="260" t="s">
        <v>9</v>
      </c>
      <c r="E1047" s="37"/>
      <c r="F1047" s="305"/>
      <c r="G1047" s="188"/>
      <c r="H1047" s="37"/>
      <c r="I1047" s="229" t="s">
        <v>9</v>
      </c>
      <c r="J1047" s="229" t="s">
        <v>9</v>
      </c>
      <c r="K1047" s="240" t="s">
        <v>26</v>
      </c>
      <c r="L1047" s="240" t="s">
        <v>29</v>
      </c>
      <c r="M1047" s="241" t="s">
        <v>3872</v>
      </c>
      <c r="N1047" s="240" t="s">
        <v>3873</v>
      </c>
      <c r="O1047" s="242">
        <v>0.05</v>
      </c>
      <c r="P1047" s="240"/>
      <c r="Q1047" s="243"/>
      <c r="R1047" s="243" t="s">
        <v>204</v>
      </c>
      <c r="S1047" s="168"/>
      <c r="T1047" s="163"/>
      <c r="U1047" s="163"/>
      <c r="V1047" s="163"/>
      <c r="W1047" s="14"/>
      <c r="X1047" s="157"/>
      <c r="Y1047" s="163"/>
      <c r="Z1047" s="58" t="str">
        <f>IF(OR($M1047="",NOT($O1047="{array}")),"",IFERROR(MATCH(PARAMETERS!$M1047,DEFAULT!$B$5:$CI$5,0),""))</f>
        <v/>
      </c>
      <c r="AA1047" s="55" t="str">
        <f t="shared" si="82"/>
        <v/>
      </c>
      <c r="AB1047" s="62" t="str">
        <f>IF(AND(OR($A1047="G",$A1047="P"),NOT($O1047="{array}")),IF(VLOOKUP($K1047,base!$B$2:$D$20,3,0)="S",IF(OR($O1047="",ISTEXT($O1047)),"","STRING!"),IF(VLOOKUP($K1047,base!$B$2:$D$20,3,0)="","",IF(ISTEXT($O1047),"NUMERIC!",""))),"")</f>
        <v/>
      </c>
      <c r="AC1047" s="16" t="str">
        <f>IF($AA1047="","",IF($B1047="I",VLOOKUP($AA1047,#REF!,53,0),INDEX(VALUES!$B$1:$GP$1,1,$AA1047)))</f>
        <v/>
      </c>
    </row>
    <row r="1048" spans="1:29" hidden="1" outlineLevel="1">
      <c r="A1048" s="21" t="s">
        <v>86</v>
      </c>
      <c r="B1048" s="40"/>
      <c r="C1048" s="41">
        <f t="shared" si="80"/>
        <v>1047</v>
      </c>
      <c r="D1048" s="260" t="s">
        <v>9</v>
      </c>
      <c r="E1048" s="37"/>
      <c r="F1048" s="305"/>
      <c r="G1048" s="188"/>
      <c r="H1048" s="37"/>
      <c r="I1048" s="229" t="s">
        <v>9</v>
      </c>
      <c r="J1048" s="229" t="s">
        <v>9</v>
      </c>
      <c r="K1048" s="240" t="s">
        <v>26</v>
      </c>
      <c r="L1048" s="240" t="s">
        <v>29</v>
      </c>
      <c r="M1048" s="241" t="s">
        <v>3874</v>
      </c>
      <c r="N1048" s="240" t="s">
        <v>3875</v>
      </c>
      <c r="O1048" s="242">
        <v>0</v>
      </c>
      <c r="P1048" s="240"/>
      <c r="Q1048" s="243"/>
      <c r="R1048" s="243" t="s">
        <v>204</v>
      </c>
      <c r="S1048" s="168"/>
      <c r="T1048" s="163"/>
      <c r="U1048" s="163"/>
      <c r="V1048" s="163"/>
      <c r="W1048" s="14"/>
      <c r="X1048" s="157"/>
      <c r="Y1048" s="163"/>
      <c r="Z1048" s="58" t="str">
        <f>IF(OR($M1048="",NOT($O1048="{array}")),"",IFERROR(MATCH(PARAMETERS!$M1048,DEFAULT!$B$5:$CI$5,0),""))</f>
        <v/>
      </c>
      <c r="AA1048" s="55" t="str">
        <f t="shared" si="82"/>
        <v/>
      </c>
      <c r="AB1048" s="62" t="str">
        <f>IF(AND(OR($A1048="G",$A1048="P"),NOT($O1048="{array}")),IF(VLOOKUP($K1048,base!$B$2:$D$20,3,0)="S",IF(OR($O1048="",ISTEXT($O1048)),"","STRING!"),IF(VLOOKUP($K1048,base!$B$2:$D$20,3,0)="","",IF(ISTEXT($O1048),"NUMERIC!",""))),"")</f>
        <v/>
      </c>
      <c r="AC1048" s="16" t="str">
        <f>IF($AA1048="","",IF($B1048="I",VLOOKUP($AA1048,#REF!,53,0),INDEX(VALUES!$B$1:$GP$1,1,$AA1048)))</f>
        <v/>
      </c>
    </row>
    <row r="1049" spans="1:29" hidden="1" outlineLevel="1">
      <c r="A1049" s="21" t="s">
        <v>86</v>
      </c>
      <c r="B1049" s="40"/>
      <c r="C1049" s="41">
        <f t="shared" si="80"/>
        <v>1048</v>
      </c>
      <c r="D1049" s="260" t="s">
        <v>9</v>
      </c>
      <c r="E1049" s="37"/>
      <c r="F1049" s="305"/>
      <c r="G1049" s="188"/>
      <c r="H1049" s="37"/>
      <c r="I1049" s="229" t="s">
        <v>9</v>
      </c>
      <c r="J1049" s="229" t="s">
        <v>9</v>
      </c>
      <c r="K1049" s="240" t="s">
        <v>26</v>
      </c>
      <c r="L1049" s="240" t="s">
        <v>29</v>
      </c>
      <c r="M1049" s="241" t="s">
        <v>3876</v>
      </c>
      <c r="N1049" s="240" t="s">
        <v>3877</v>
      </c>
      <c r="O1049" s="242">
        <v>0</v>
      </c>
      <c r="P1049" s="240"/>
      <c r="Q1049" s="243"/>
      <c r="R1049" s="243" t="s">
        <v>204</v>
      </c>
      <c r="S1049" s="168"/>
      <c r="T1049" s="163"/>
      <c r="U1049" s="163"/>
      <c r="V1049" s="163"/>
      <c r="W1049" s="14"/>
      <c r="X1049" s="157"/>
      <c r="Y1049" s="163"/>
      <c r="Z1049" s="58" t="str">
        <f>IF(OR($M1049="",NOT($O1049="{array}")),"",IFERROR(MATCH(PARAMETERS!$M1049,DEFAULT!$B$5:$CI$5,0),""))</f>
        <v/>
      </c>
      <c r="AA1049" s="55" t="str">
        <f t="shared" si="82"/>
        <v/>
      </c>
      <c r="AB1049" s="62" t="str">
        <f>IF(AND(OR($A1049="G",$A1049="P"),NOT($O1049="{array}")),IF(VLOOKUP($K1049,base!$B$2:$D$20,3,0)="S",IF(OR($O1049="",ISTEXT($O1049)),"","STRING!"),IF(VLOOKUP($K1049,base!$B$2:$D$20,3,0)="","",IF(ISTEXT($O1049),"NUMERIC!",""))),"")</f>
        <v/>
      </c>
      <c r="AC1049" s="16" t="str">
        <f>IF($AA1049="","",IF($B1049="I",VLOOKUP($AA1049,#REF!,53,0),INDEX(VALUES!$B$1:$GP$1,1,$AA1049)))</f>
        <v/>
      </c>
    </row>
    <row r="1050" spans="1:29" collapsed="1">
      <c r="A1050" s="21" t="s">
        <v>86</v>
      </c>
      <c r="B1050" s="40" t="str">
        <f t="shared" ref="B1050:B1124" si="83">IF($A1050="P",IF(NOT($Z1050=""),"A",IF(NOT($AA1050=""),"I","")),IF(NOT($AA1050=""),IF($A1050="G","V","X"),IF(NOT($Z1050=""),"A","")))</f>
        <v/>
      </c>
      <c r="C1050" s="41">
        <f t="shared" si="80"/>
        <v>1049</v>
      </c>
      <c r="D1050" s="260"/>
      <c r="E1050" s="37"/>
      <c r="F1050" s="305"/>
      <c r="G1050" s="188"/>
      <c r="H1050" s="37"/>
      <c r="I1050" s="37"/>
      <c r="J1050" s="37"/>
      <c r="K1050" s="230" t="s">
        <v>59</v>
      </c>
      <c r="L1050" s="230" t="s">
        <v>40</v>
      </c>
      <c r="M1050" s="231" t="s">
        <v>1314</v>
      </c>
      <c r="N1050" s="232" t="s">
        <v>1315</v>
      </c>
      <c r="R1050" s="37" t="s">
        <v>105</v>
      </c>
      <c r="S1050" s="37"/>
      <c r="T1050" s="37"/>
      <c r="W1050" s="14" t="str">
        <f>IF(IFERROR(VLOOKUP($M1050,'IMPORT GS-Tür OL FL 2S2 20'!$H$2:$H$847,1,0),"-")="-","","GS")</f>
        <v/>
      </c>
      <c r="X1050" s="14" t="str">
        <f t="shared" si="81"/>
        <v>...</v>
      </c>
      <c r="Z1050" s="58" t="str">
        <f>IF(OR($M1050="",NOT($O1050="{array}")),"",IFERROR(MATCH(PARAMETERS!$M1050,DEFAULT!$B$5:$CI$5,0),""))</f>
        <v/>
      </c>
      <c r="AA1050" s="55" t="str">
        <f t="shared" si="82"/>
        <v/>
      </c>
      <c r="AB1050" s="62" t="str">
        <f>IF(AND(OR($A1050="G",$A1050="P"),NOT($O1050="{array}")),IF(VLOOKUP($K1050,base!$B$2:$D$20,3,0)="S",IF(OR($O1050="",ISTEXT($O1050)),"","STRING!"),IF(VLOOKUP($K1050,base!$B$2:$D$20,3,0)="","",IF(ISTEXT($O1050),"NUMERIC!",""))),"")</f>
        <v/>
      </c>
      <c r="AC1050" s="16" t="str">
        <f>IF($AA1050="","",IF($B1050="I",VLOOKUP($AA1050,#REF!,53,0),INDEX(VALUES!$B$1:$GP$1,1,$AA1050)))</f>
        <v/>
      </c>
    </row>
    <row r="1051" spans="1:29" hidden="1" outlineLevel="1">
      <c r="A1051" s="21" t="s">
        <v>86</v>
      </c>
      <c r="B1051" s="40" t="str">
        <f t="shared" si="83"/>
        <v/>
      </c>
      <c r="C1051" s="41">
        <f t="shared" si="80"/>
        <v>1050</v>
      </c>
      <c r="D1051" s="260" t="s">
        <v>9</v>
      </c>
      <c r="E1051" s="37"/>
      <c r="F1051" s="305"/>
      <c r="G1051" s="188"/>
      <c r="H1051" s="37"/>
      <c r="I1051" s="37" t="s">
        <v>9</v>
      </c>
      <c r="J1051" s="37"/>
      <c r="K1051" s="156" t="s">
        <v>20</v>
      </c>
      <c r="L1051" s="164" t="s">
        <v>34</v>
      </c>
      <c r="M1051" s="215" t="s">
        <v>3566</v>
      </c>
      <c r="N1051" s="163" t="s">
        <v>1316</v>
      </c>
      <c r="O1051" s="163" t="s">
        <v>3847</v>
      </c>
      <c r="P1051" s="157" t="s">
        <v>298</v>
      </c>
      <c r="Q1051" s="168"/>
      <c r="R1051" s="168" t="s">
        <v>105</v>
      </c>
      <c r="S1051" s="168" t="s">
        <v>114</v>
      </c>
      <c r="T1051" s="163" t="s">
        <v>298</v>
      </c>
      <c r="U1051" s="163" t="s">
        <v>298</v>
      </c>
      <c r="V1051" s="163" t="s">
        <v>1316</v>
      </c>
      <c r="W1051" s="14" t="str">
        <f>IF(IFERROR(VLOOKUP($M1051,'IMPORT GS-Tür OL FL 2S2 20'!$H$2:$H$847,1,0),"-")="-","","GS")</f>
        <v/>
      </c>
      <c r="X1051" s="14" t="str">
        <f t="shared" si="81"/>
        <v>O2</v>
      </c>
      <c r="Y1051" s="163" t="s">
        <v>1317</v>
      </c>
      <c r="Z1051" s="58" t="str">
        <f>IF(OR($M1051="",NOT($O1051="{array}")),"",IFERROR(MATCH(PARAMETERS!$M1051,DEFAULT!$B$5:$CI$5,0),""))</f>
        <v/>
      </c>
      <c r="AA1051" s="55" t="str">
        <f t="shared" si="82"/>
        <v/>
      </c>
      <c r="AB1051" s="62" t="str">
        <f>IF(AND(OR($A1051="G",$A1051="P"),NOT($O1051="{array}")),IF(VLOOKUP($K1051,base!$B$2:$D$20,3,0)="S",IF(OR($O1051="",ISTEXT($O1051)),"","STRING!"),IF(VLOOKUP($K1051,base!$B$2:$D$20,3,0)="","",IF(ISTEXT($O1051),"NUMERIC!",""))),"")</f>
        <v/>
      </c>
      <c r="AC1051" s="16" t="str">
        <f>IF($AA1051="","",IF($B1051="I",VLOOKUP($AA1051,#REF!,53,0),INDEX(VALUES!$B$1:$GP$1,1,$AA1051)))</f>
        <v/>
      </c>
    </row>
    <row r="1052" spans="1:29" hidden="1" outlineLevel="1">
      <c r="A1052" s="21" t="s">
        <v>86</v>
      </c>
      <c r="B1052" s="40" t="str">
        <f t="shared" si="83"/>
        <v/>
      </c>
      <c r="C1052" s="41">
        <f t="shared" si="80"/>
        <v>1051</v>
      </c>
      <c r="D1052" s="260" t="s">
        <v>9</v>
      </c>
      <c r="E1052" s="37"/>
      <c r="F1052" s="305"/>
      <c r="G1052" s="188"/>
      <c r="H1052" s="37"/>
      <c r="I1052" s="37" t="s">
        <v>9</v>
      </c>
      <c r="J1052" s="37"/>
      <c r="K1052" s="156" t="s">
        <v>20</v>
      </c>
      <c r="L1052" s="164" t="s">
        <v>23</v>
      </c>
      <c r="M1052" s="215" t="s">
        <v>3567</v>
      </c>
      <c r="N1052" s="156" t="s">
        <v>3568</v>
      </c>
      <c r="O1052" s="163" t="s">
        <v>298</v>
      </c>
      <c r="P1052" s="157" t="s">
        <v>298</v>
      </c>
      <c r="Q1052" s="174" t="s">
        <v>9</v>
      </c>
      <c r="R1052" s="168" t="s">
        <v>105</v>
      </c>
      <c r="S1052" s="168" t="s">
        <v>114</v>
      </c>
      <c r="T1052" s="163" t="s">
        <v>298</v>
      </c>
      <c r="U1052" s="163" t="s">
        <v>298</v>
      </c>
      <c r="V1052" s="163"/>
      <c r="W1052" s="14" t="str">
        <f>IF(IFERROR(VLOOKUP($M1052,'IMPORT GS-Tür OL FL 2S2 20'!$H$2:$H$847,1,0),"-")="-","","GS")</f>
        <v/>
      </c>
      <c r="X1052" s="14" t="str">
        <f t="shared" si="81"/>
        <v>...</v>
      </c>
      <c r="Y1052" s="163" t="s">
        <v>298</v>
      </c>
      <c r="Z1052" s="58" t="str">
        <f>IF(OR($M1052="",NOT($O1052="{array}")),"",IFERROR(MATCH(PARAMETERS!$M1052,DEFAULT!$B$5:$CI$5,0),""))</f>
        <v/>
      </c>
      <c r="AA1052" s="55" t="str">
        <f t="shared" si="82"/>
        <v/>
      </c>
      <c r="AB1052" s="62" t="str">
        <f>IF(AND(OR($A1052="G",$A1052="P"),NOT($O1052="{array}")),IF(VLOOKUP($K1052,base!$B$2:$D$20,3,0)="S",IF(OR($O1052="",ISTEXT($O1052)),"","STRING!"),IF(VLOOKUP($K1052,base!$B$2:$D$20,3,0)="","",IF(ISTEXT($O1052),"NUMERIC!",""))),"")</f>
        <v/>
      </c>
      <c r="AC1052" s="16" t="str">
        <f>IF($AA1052="","",IF($B1052="I",VLOOKUP($AA1052,#REF!,53,0),INDEX(VALUES!$B$1:$GP$1,1,$AA1052)))</f>
        <v/>
      </c>
    </row>
    <row r="1053" spans="1:29" hidden="1" outlineLevel="1">
      <c r="A1053" s="21" t="s">
        <v>86</v>
      </c>
      <c r="B1053" s="40" t="str">
        <f t="shared" si="83"/>
        <v/>
      </c>
      <c r="C1053" s="41">
        <f t="shared" si="80"/>
        <v>1052</v>
      </c>
      <c r="D1053" s="260" t="s">
        <v>9</v>
      </c>
      <c r="E1053" s="37"/>
      <c r="F1053" s="305"/>
      <c r="G1053" s="188"/>
      <c r="H1053" s="37"/>
      <c r="I1053" s="37" t="s">
        <v>9</v>
      </c>
      <c r="J1053" s="37"/>
      <c r="K1053" s="156" t="s">
        <v>20</v>
      </c>
      <c r="L1053" s="164" t="s">
        <v>34</v>
      </c>
      <c r="M1053" s="215" t="s">
        <v>3569</v>
      </c>
      <c r="N1053" s="163" t="s">
        <v>1330</v>
      </c>
      <c r="O1053" s="163" t="s">
        <v>298</v>
      </c>
      <c r="P1053" s="157" t="s">
        <v>298</v>
      </c>
      <c r="Q1053" s="174" t="s">
        <v>9</v>
      </c>
      <c r="R1053" s="168" t="s">
        <v>105</v>
      </c>
      <c r="S1053" s="168" t="s">
        <v>114</v>
      </c>
      <c r="T1053" s="163" t="s">
        <v>298</v>
      </c>
      <c r="U1053" s="163" t="s">
        <v>298</v>
      </c>
      <c r="V1053" s="163" t="s">
        <v>1330</v>
      </c>
      <c r="W1053" s="14" t="str">
        <f>IF(IFERROR(VLOOKUP($M1053,'IMPORT GS-Tür OL FL 2S2 20'!$H$2:$H$847,1,0),"-")="-","","GS")</f>
        <v/>
      </c>
      <c r="X1053" s="14" t="str">
        <f t="shared" si="81"/>
        <v>...</v>
      </c>
      <c r="Y1053" s="163" t="s">
        <v>298</v>
      </c>
      <c r="Z1053" s="58" t="str">
        <f>IF(OR($M1053="",NOT($O1053="{array}")),"",IFERROR(MATCH(PARAMETERS!$M1053,DEFAULT!$B$5:$CI$5,0),""))</f>
        <v/>
      </c>
      <c r="AA1053" s="55" t="str">
        <f t="shared" si="82"/>
        <v/>
      </c>
      <c r="AB1053" s="62" t="str">
        <f>IF(AND(OR($A1053="G",$A1053="P"),NOT($O1053="{array}")),IF(VLOOKUP($K1053,base!$B$2:$D$20,3,0)="S",IF(OR($O1053="",ISTEXT($O1053)),"","STRING!"),IF(VLOOKUP($K1053,base!$B$2:$D$20,3,0)="","",IF(ISTEXT($O1053),"NUMERIC!",""))),"")</f>
        <v/>
      </c>
      <c r="AC1053" s="16" t="str">
        <f>IF($AA1053="","",IF($B1053="I",VLOOKUP($AA1053,#REF!,53,0),INDEX(VALUES!$B$1:$GP$1,1,$AA1053)))</f>
        <v/>
      </c>
    </row>
    <row r="1054" spans="1:29" hidden="1" outlineLevel="1">
      <c r="A1054" s="21" t="s">
        <v>86</v>
      </c>
      <c r="B1054" s="40" t="str">
        <f t="shared" si="83"/>
        <v/>
      </c>
      <c r="C1054" s="41">
        <f t="shared" si="80"/>
        <v>1053</v>
      </c>
      <c r="D1054" s="260" t="s">
        <v>9</v>
      </c>
      <c r="E1054" s="37"/>
      <c r="F1054" s="305"/>
      <c r="G1054" s="188"/>
      <c r="H1054" s="37"/>
      <c r="I1054" s="37" t="s">
        <v>9</v>
      </c>
      <c r="J1054" s="37"/>
      <c r="K1054" s="156" t="s">
        <v>20</v>
      </c>
      <c r="L1054" s="164" t="s">
        <v>23</v>
      </c>
      <c r="M1054" s="215" t="s">
        <v>3587</v>
      </c>
      <c r="N1054" s="163" t="s">
        <v>3855</v>
      </c>
      <c r="O1054" s="163" t="s">
        <v>3192</v>
      </c>
      <c r="P1054" s="157" t="s">
        <v>298</v>
      </c>
      <c r="Q1054" s="174" t="s">
        <v>9</v>
      </c>
      <c r="R1054" s="168" t="s">
        <v>105</v>
      </c>
      <c r="S1054" s="168" t="s">
        <v>114</v>
      </c>
      <c r="T1054" s="163" t="s">
        <v>298</v>
      </c>
      <c r="U1054" s="163"/>
      <c r="V1054" s="163"/>
      <c r="W1054" s="14" t="str">
        <f>IF(IFERROR(VLOOKUP($M1054,'IMPORT GS-Tür OL FL 2S2 20'!$H$2:$H$847,1,0),"-")="-","","GS")</f>
        <v/>
      </c>
      <c r="X1054" s="14">
        <f t="shared" si="81"/>
        <v>0</v>
      </c>
      <c r="Y1054" s="163" t="s">
        <v>298</v>
      </c>
      <c r="Z1054" s="58" t="str">
        <f>IF(OR($M1054="",NOT($O1054="{array}")),"",IFERROR(MATCH(PARAMETERS!$M1054,DEFAULT!$B$5:$CI$5,0),""))</f>
        <v/>
      </c>
      <c r="AA1054" s="55" t="str">
        <f t="shared" si="82"/>
        <v/>
      </c>
      <c r="AB1054" s="62" t="str">
        <f>IF(AND(OR($A1054="G",$A1054="P"),NOT($O1054="{array}")),IF(VLOOKUP($K1054,base!$B$2:$D$20,3,0)="S",IF(OR($O1054="",ISTEXT($O1054)),"","STRING!"),IF(VLOOKUP($K1054,base!$B$2:$D$20,3,0)="","",IF(ISTEXT($O1054),"NUMERIC!",""))),"")</f>
        <v/>
      </c>
      <c r="AC1054" s="16" t="str">
        <f>IF($AA1054="","",IF($B1054="I",VLOOKUP($AA1054,#REF!,53,0),INDEX(VALUES!$B$1:$GP$1,1,$AA1054)))</f>
        <v/>
      </c>
    </row>
    <row r="1055" spans="1:29" hidden="1" outlineLevel="1">
      <c r="A1055" s="21" t="s">
        <v>86</v>
      </c>
      <c r="B1055" s="40" t="str">
        <f t="shared" si="83"/>
        <v/>
      </c>
      <c r="C1055" s="41">
        <f t="shared" si="80"/>
        <v>1054</v>
      </c>
      <c r="D1055" s="260" t="s">
        <v>9</v>
      </c>
      <c r="E1055" s="37"/>
      <c r="F1055" s="305"/>
      <c r="G1055" s="188"/>
      <c r="H1055" s="37"/>
      <c r="I1055" s="37" t="s">
        <v>9</v>
      </c>
      <c r="J1055" s="37"/>
      <c r="K1055" s="156" t="s">
        <v>20</v>
      </c>
      <c r="L1055" s="164" t="s">
        <v>34</v>
      </c>
      <c r="M1055" s="215" t="s">
        <v>3570</v>
      </c>
      <c r="N1055" s="163" t="s">
        <v>1318</v>
      </c>
      <c r="O1055" s="163" t="s">
        <v>1096</v>
      </c>
      <c r="P1055" s="157" t="s">
        <v>298</v>
      </c>
      <c r="Q1055" s="174"/>
      <c r="R1055" s="168" t="s">
        <v>105</v>
      </c>
      <c r="S1055" s="168" t="s">
        <v>114</v>
      </c>
      <c r="T1055" s="163" t="s">
        <v>298</v>
      </c>
      <c r="U1055" s="163" t="s">
        <v>298</v>
      </c>
      <c r="V1055" s="163" t="s">
        <v>1318</v>
      </c>
      <c r="W1055" s="14" t="str">
        <f>IF(IFERROR(VLOOKUP($M1055,'IMPORT GS-Tür OL FL 2S2 20'!$H$2:$H$847,1,0),"-")="-","","GS")</f>
        <v/>
      </c>
      <c r="X1055" s="14" t="str">
        <f t="shared" si="81"/>
        <v>Stahl</v>
      </c>
      <c r="Y1055" s="163" t="s">
        <v>1319</v>
      </c>
      <c r="Z1055" s="58" t="str">
        <f>IF(OR($M1055="",NOT($O1055="{array}")),"",IFERROR(MATCH(PARAMETERS!$M1055,DEFAULT!$B$5:$CI$5,0),""))</f>
        <v/>
      </c>
      <c r="AA1055" s="55" t="str">
        <f t="shared" si="82"/>
        <v/>
      </c>
      <c r="AB1055" s="62" t="str">
        <f>IF(AND(OR($A1055="G",$A1055="P"),NOT($O1055="{array}")),IF(VLOOKUP($K1055,base!$B$2:$D$20,3,0)="S",IF(OR($O1055="",ISTEXT($O1055)),"","STRING!"),IF(VLOOKUP($K1055,base!$B$2:$D$20,3,0)="","",IF(ISTEXT($O1055),"NUMERIC!",""))),"")</f>
        <v/>
      </c>
      <c r="AC1055" s="16" t="str">
        <f>IF($AA1055="","",IF($B1055="I",VLOOKUP($AA1055,#REF!,53,0),INDEX(VALUES!$B$1:$GP$1,1,$AA1055)))</f>
        <v/>
      </c>
    </row>
    <row r="1056" spans="1:29" hidden="1" outlineLevel="1">
      <c r="A1056" s="21" t="s">
        <v>86</v>
      </c>
      <c r="B1056" s="40" t="str">
        <f t="shared" si="83"/>
        <v/>
      </c>
      <c r="C1056" s="41">
        <f t="shared" si="80"/>
        <v>1055</v>
      </c>
      <c r="D1056" s="260" t="s">
        <v>9</v>
      </c>
      <c r="E1056" s="37"/>
      <c r="F1056" s="305"/>
      <c r="G1056" s="188"/>
      <c r="H1056" s="37"/>
      <c r="I1056" s="37" t="s">
        <v>9</v>
      </c>
      <c r="J1056" s="37"/>
      <c r="K1056" s="156" t="s">
        <v>20</v>
      </c>
      <c r="L1056" s="164" t="s">
        <v>23</v>
      </c>
      <c r="M1056" s="215" t="s">
        <v>3571</v>
      </c>
      <c r="N1056" s="156" t="s">
        <v>1327</v>
      </c>
      <c r="O1056" s="163" t="s">
        <v>50</v>
      </c>
      <c r="P1056" s="157" t="s">
        <v>298</v>
      </c>
      <c r="Q1056" s="174"/>
      <c r="R1056" s="168" t="s">
        <v>105</v>
      </c>
      <c r="S1056" s="168" t="s">
        <v>114</v>
      </c>
      <c r="T1056" s="163" t="s">
        <v>298</v>
      </c>
      <c r="U1056" s="163" t="s">
        <v>298</v>
      </c>
      <c r="V1056" s="163"/>
      <c r="W1056" s="14"/>
      <c r="X1056" s="14">
        <f t="shared" si="81"/>
        <v>0</v>
      </c>
      <c r="Y1056" s="163"/>
      <c r="Z1056" s="58" t="str">
        <f>IF(OR($M1056="",NOT($O1056="{array}")),"",IFERROR(MATCH(PARAMETERS!$M1056,DEFAULT!$B$5:$CI$5,0),""))</f>
        <v/>
      </c>
      <c r="AA1056" s="55" t="str">
        <f t="shared" si="82"/>
        <v/>
      </c>
      <c r="AB1056" s="62" t="str">
        <f>IF(AND(OR($A1056="G",$A1056="P"),NOT($O1056="{array}")),IF(VLOOKUP($K1056,base!$B$2:$D$20,3,0)="S",IF(OR($O1056="",ISTEXT($O1056)),"","STRING!"),IF(VLOOKUP($K1056,base!$B$2:$D$20,3,0)="","",IF(ISTEXT($O1056),"NUMERIC!",""))),"")</f>
        <v/>
      </c>
      <c r="AC1056" s="16" t="str">
        <f>IF($AA1056="","",IF($B1056="I",VLOOKUP($AA1056,#REF!,53,0),INDEX(VALUES!$B$1:$GP$1,1,$AA1056)))</f>
        <v/>
      </c>
    </row>
    <row r="1057" spans="1:29" hidden="1" outlineLevel="1">
      <c r="A1057" s="21" t="s">
        <v>86</v>
      </c>
      <c r="B1057" s="40" t="str">
        <f t="shared" si="83"/>
        <v/>
      </c>
      <c r="C1057" s="41">
        <f t="shared" si="80"/>
        <v>1056</v>
      </c>
      <c r="D1057" s="260"/>
      <c r="E1057" s="37"/>
      <c r="F1057" s="305"/>
      <c r="G1057" s="188"/>
      <c r="H1057" s="37"/>
      <c r="I1057" s="37" t="s">
        <v>9</v>
      </c>
      <c r="J1057" s="37"/>
      <c r="K1057" s="156" t="s">
        <v>20</v>
      </c>
      <c r="L1057" s="164" t="s">
        <v>23</v>
      </c>
      <c r="M1057" s="215" t="s">
        <v>3572</v>
      </c>
      <c r="N1057" s="163" t="s">
        <v>1320</v>
      </c>
      <c r="O1057" s="163" t="s">
        <v>1321</v>
      </c>
      <c r="P1057" s="157" t="s">
        <v>298</v>
      </c>
      <c r="Q1057" s="174"/>
      <c r="R1057" s="168" t="s">
        <v>105</v>
      </c>
      <c r="S1057" s="168" t="s">
        <v>114</v>
      </c>
      <c r="T1057" s="163" t="s">
        <v>298</v>
      </c>
      <c r="U1057" s="163" t="s">
        <v>298</v>
      </c>
      <c r="V1057" s="163" t="s">
        <v>1320</v>
      </c>
      <c r="W1057" s="14" t="str">
        <f>IF(IFERROR(VLOOKUP($M1057,'IMPORT GS-Tür OL FL 2S2 20'!$H$2:$H$847,1,0),"-")="-","","GS")</f>
        <v/>
      </c>
      <c r="X1057" s="14" t="str">
        <f t="shared" si="81"/>
        <v>-</v>
      </c>
      <c r="Y1057" s="163" t="s">
        <v>1322</v>
      </c>
      <c r="Z1057" s="58" t="str">
        <f>IF(OR($M1057="",NOT($O1057="{array}")),"",IFERROR(MATCH(PARAMETERS!$M1057,DEFAULT!$B$5:$CI$5,0),""))</f>
        <v/>
      </c>
      <c r="AA1057" s="55" t="str">
        <f t="shared" si="82"/>
        <v/>
      </c>
      <c r="AB1057" s="62" t="str">
        <f>IF(AND(OR($A1057="G",$A1057="P"),NOT($O1057="{array}")),IF(VLOOKUP($K1057,base!$B$2:$D$20,3,0)="S",IF(OR($O1057="",ISTEXT($O1057)),"","STRING!"),IF(VLOOKUP($K1057,base!$B$2:$D$20,3,0)="","",IF(ISTEXT($O1057),"NUMERIC!",""))),"")</f>
        <v/>
      </c>
      <c r="AC1057" s="16" t="str">
        <f>IF($AA1057="","",IF($B1057="I",VLOOKUP($AA1057,#REF!,53,0),INDEX(VALUES!$B$1:$GP$1,1,$AA1057)))</f>
        <v/>
      </c>
    </row>
    <row r="1058" spans="1:29" hidden="1" outlineLevel="1">
      <c r="A1058" s="21" t="s">
        <v>86</v>
      </c>
      <c r="B1058" s="40" t="str">
        <f t="shared" si="83"/>
        <v/>
      </c>
      <c r="C1058" s="41">
        <f t="shared" si="80"/>
        <v>1057</v>
      </c>
      <c r="D1058" s="260" t="s">
        <v>9</v>
      </c>
      <c r="E1058" s="37"/>
      <c r="F1058" s="305"/>
      <c r="G1058" s="188"/>
      <c r="H1058" s="37"/>
      <c r="I1058" s="37" t="s">
        <v>9</v>
      </c>
      <c r="J1058" s="37"/>
      <c r="K1058" s="156" t="s">
        <v>46</v>
      </c>
      <c r="L1058" s="52" t="s">
        <v>29</v>
      </c>
      <c r="M1058" s="215" t="s">
        <v>3573</v>
      </c>
      <c r="N1058" s="163" t="s">
        <v>1323</v>
      </c>
      <c r="O1058" s="163">
        <v>2</v>
      </c>
      <c r="P1058" s="157" t="s">
        <v>298</v>
      </c>
      <c r="Q1058" s="174"/>
      <c r="R1058" s="168" t="s">
        <v>105</v>
      </c>
      <c r="S1058" s="168" t="s">
        <v>114</v>
      </c>
      <c r="T1058" s="163" t="s">
        <v>298</v>
      </c>
      <c r="U1058" s="163" t="s">
        <v>298</v>
      </c>
      <c r="V1058" s="163" t="s">
        <v>1323</v>
      </c>
      <c r="W1058" s="14" t="str">
        <f>IF(IFERROR(VLOOKUP($M1058,'IMPORT GS-Tür OL FL 2S2 20'!$H$2:$H$847,1,0),"-")="-","","GS")</f>
        <v/>
      </c>
      <c r="X1058" s="14" t="str">
        <f t="shared" si="81"/>
        <v>...</v>
      </c>
      <c r="Y1058" s="163" t="s">
        <v>1324</v>
      </c>
      <c r="Z1058" s="58" t="str">
        <f>IF(OR($M1058="",NOT($O1058="{array}")),"",IFERROR(MATCH(PARAMETERS!$M1058,DEFAULT!$B$5:$CI$5,0),""))</f>
        <v/>
      </c>
      <c r="AA1058" s="55" t="str">
        <f t="shared" si="82"/>
        <v/>
      </c>
      <c r="AB1058" s="62" t="str">
        <f>IF(AND(OR($A1058="G",$A1058="P"),NOT($O1058="{array}")),IF(VLOOKUP($K1058,base!$B$2:$D$20,3,0)="S",IF(OR($O1058="",ISTEXT($O1058)),"","STRING!"),IF(VLOOKUP($K1058,base!$B$2:$D$20,3,0)="","",IF(ISTEXT($O1058),"NUMERIC!",""))),"")</f>
        <v/>
      </c>
      <c r="AC1058" s="16" t="str">
        <f>IF($AA1058="","",IF($B1058="I",VLOOKUP($AA1058,#REF!,53,0),INDEX(VALUES!$B$1:$GP$1,1,$AA1058)))</f>
        <v/>
      </c>
    </row>
    <row r="1059" spans="1:29" hidden="1" outlineLevel="1">
      <c r="A1059" s="21" t="s">
        <v>86</v>
      </c>
      <c r="B1059" s="40" t="str">
        <f t="shared" si="83"/>
        <v/>
      </c>
      <c r="C1059" s="41">
        <f t="shared" si="80"/>
        <v>1058</v>
      </c>
      <c r="D1059" s="260" t="s">
        <v>9</v>
      </c>
      <c r="E1059" s="37"/>
      <c r="F1059" s="305"/>
      <c r="G1059" s="188"/>
      <c r="H1059" s="37"/>
      <c r="I1059" s="37" t="s">
        <v>9</v>
      </c>
      <c r="J1059" s="37"/>
      <c r="K1059" s="156" t="s">
        <v>26</v>
      </c>
      <c r="L1059" s="52" t="s">
        <v>29</v>
      </c>
      <c r="M1059" s="215" t="s">
        <v>3574</v>
      </c>
      <c r="N1059" s="163" t="s">
        <v>3575</v>
      </c>
      <c r="O1059" s="163">
        <v>0.02</v>
      </c>
      <c r="P1059" s="157" t="s">
        <v>298</v>
      </c>
      <c r="Q1059" s="174" t="s">
        <v>9</v>
      </c>
      <c r="R1059" s="168" t="s">
        <v>105</v>
      </c>
      <c r="S1059" s="168" t="s">
        <v>114</v>
      </c>
      <c r="T1059" s="163" t="s">
        <v>298</v>
      </c>
      <c r="U1059" s="163" t="s">
        <v>298</v>
      </c>
      <c r="V1059" s="163"/>
      <c r="W1059" s="14"/>
      <c r="X1059" s="14" t="str">
        <f t="shared" si="81"/>
        <v>...</v>
      </c>
      <c r="Y1059" s="163"/>
      <c r="Z1059" s="58" t="str">
        <f>IF(OR($M1059="",NOT($O1059="{array}")),"",IFERROR(MATCH(PARAMETERS!$M1059,DEFAULT!$B$5:$CI$5,0),""))</f>
        <v/>
      </c>
      <c r="AA1059" s="55" t="str">
        <f t="shared" si="82"/>
        <v/>
      </c>
      <c r="AB1059" s="62" t="str">
        <f>IF(AND(OR($A1059="G",$A1059="P"),NOT($O1059="{array}")),IF(VLOOKUP($K1059,base!$B$2:$D$20,3,0)="S",IF(OR($O1059="",ISTEXT($O1059)),"","STRING!"),IF(VLOOKUP($K1059,base!$B$2:$D$20,3,0)="","",IF(ISTEXT($O1059),"NUMERIC!",""))),"")</f>
        <v/>
      </c>
      <c r="AC1059" s="16" t="str">
        <f>IF($AA1059="","",IF($B1059="I",VLOOKUP($AA1059,#REF!,53,0),INDEX(VALUES!$B$1:$GP$1,1,$AA1059)))</f>
        <v/>
      </c>
    </row>
    <row r="1060" spans="1:29" hidden="1" outlineLevel="1">
      <c r="A1060" s="21" t="s">
        <v>86</v>
      </c>
      <c r="B1060" s="40" t="str">
        <f t="shared" si="83"/>
        <v/>
      </c>
      <c r="C1060" s="41">
        <f t="shared" si="80"/>
        <v>1059</v>
      </c>
      <c r="D1060" s="260" t="s">
        <v>9</v>
      </c>
      <c r="E1060" s="37"/>
      <c r="F1060" s="305"/>
      <c r="G1060" s="188"/>
      <c r="H1060" s="37"/>
      <c r="I1060" s="37" t="s">
        <v>9</v>
      </c>
      <c r="J1060" s="37"/>
      <c r="K1060" s="156" t="s">
        <v>49</v>
      </c>
      <c r="L1060" s="52" t="s">
        <v>29</v>
      </c>
      <c r="M1060" s="215" t="s">
        <v>3903</v>
      </c>
      <c r="N1060" s="156" t="s">
        <v>3904</v>
      </c>
      <c r="O1060" s="163">
        <v>1</v>
      </c>
      <c r="P1060" s="157" t="s">
        <v>298</v>
      </c>
      <c r="Q1060" s="174"/>
      <c r="R1060" s="188" t="s">
        <v>204</v>
      </c>
      <c r="S1060" s="168" t="s">
        <v>114</v>
      </c>
      <c r="T1060" s="163" t="s">
        <v>298</v>
      </c>
      <c r="U1060" s="163" t="s">
        <v>298</v>
      </c>
      <c r="V1060" s="163" t="s">
        <v>1323</v>
      </c>
      <c r="W1060" s="14" t="str">
        <f>IF(IFERROR(VLOOKUP($M1060,'IMPORT GS-Tür OL FL 2S2 20'!$H$2:$H$847,1,0),"-")="-","","GS")</f>
        <v/>
      </c>
      <c r="X1060" s="14" t="str">
        <f t="shared" si="81"/>
        <v>&gt;&lt;</v>
      </c>
      <c r="Y1060" s="163" t="s">
        <v>1324</v>
      </c>
      <c r="Z1060" s="58" t="str">
        <f>IF(OR($M1060="",NOT($O1060="{array}")),"",IFERROR(MATCH(PARAMETERS!$M1060,DEFAULT!$B$5:$CI$5,0),""))</f>
        <v/>
      </c>
      <c r="AA1060" s="55" t="str">
        <f t="shared" si="82"/>
        <v/>
      </c>
      <c r="AB1060" s="62" t="str">
        <f>IF(AND(OR($A1060="G",$A1060="P"),NOT($O1060="{array}")),IF(VLOOKUP($K1060,base!$B$2:$D$20,3,0)="S",IF(OR($O1060="",ISTEXT($O1060)),"","STRING!"),IF(VLOOKUP($K1060,base!$B$2:$D$20,3,0)="","",IF(ISTEXT($O1060),"NUMERIC!",""))),"")</f>
        <v/>
      </c>
      <c r="AC1060" s="16" t="str">
        <f>IF($AA1060="","",IF($B1060="I",VLOOKUP($AA1060,#REF!,53,0),INDEX(VALUES!$B$1:$GP$1,1,$AA1060)))</f>
        <v/>
      </c>
    </row>
    <row r="1061" spans="1:29" hidden="1" outlineLevel="1">
      <c r="A1061" s="21" t="s">
        <v>86</v>
      </c>
      <c r="B1061" s="40" t="str">
        <f t="shared" si="83"/>
        <v/>
      </c>
      <c r="C1061" s="41">
        <f t="shared" si="80"/>
        <v>1060</v>
      </c>
      <c r="D1061" s="260" t="s">
        <v>9</v>
      </c>
      <c r="E1061" s="37"/>
      <c r="F1061" s="305"/>
      <c r="G1061" s="188"/>
      <c r="H1061" s="37"/>
      <c r="I1061" s="37" t="s">
        <v>9</v>
      </c>
      <c r="J1061" s="37"/>
      <c r="K1061" s="156" t="s">
        <v>26</v>
      </c>
      <c r="L1061" s="52" t="s">
        <v>29</v>
      </c>
      <c r="M1061" s="215" t="s">
        <v>3899</v>
      </c>
      <c r="N1061" s="156" t="s">
        <v>3901</v>
      </c>
      <c r="O1061" s="163">
        <v>0.23699999999999999</v>
      </c>
      <c r="P1061" s="157" t="s">
        <v>298</v>
      </c>
      <c r="Q1061" s="174" t="s">
        <v>9</v>
      </c>
      <c r="R1061" s="188" t="s">
        <v>204</v>
      </c>
      <c r="S1061" s="168" t="s">
        <v>114</v>
      </c>
      <c r="T1061" s="163" t="s">
        <v>298</v>
      </c>
      <c r="U1061" s="163" t="s">
        <v>298</v>
      </c>
      <c r="X1061" s="14" t="str">
        <f t="shared" si="81"/>
        <v>&gt;&lt;</v>
      </c>
      <c r="Z1061" s="58" t="str">
        <f>IF(OR($M1061="",NOT($O1061="{array}")),"",IFERROR(MATCH(PARAMETERS!$M1061,DEFAULT!$B$5:$CI$5,0),""))</f>
        <v/>
      </c>
      <c r="AA1061" s="55" t="str">
        <f t="shared" si="82"/>
        <v/>
      </c>
      <c r="AB1061" s="62" t="str">
        <f>IF(AND(OR($A1061="G",$A1061="P"),NOT($O1061="{array}")),IF(VLOOKUP($K1061,base!$B$2:$D$20,3,0)="S",IF(OR($O1061="",ISTEXT($O1061)),"","STRING!"),IF(VLOOKUP($K1061,base!$B$2:$D$20,3,0)="","",IF(ISTEXT($O1061),"NUMERIC!",""))),"")</f>
        <v/>
      </c>
      <c r="AC1061" s="16" t="str">
        <f>IF($AA1061="","",IF($B1061="I",VLOOKUP($AA1061,#REF!,53,0),INDEX(VALUES!$B$1:$GP$1,1,$AA1061)))</f>
        <v/>
      </c>
    </row>
    <row r="1062" spans="1:29" hidden="1" outlineLevel="1">
      <c r="A1062" s="21" t="s">
        <v>86</v>
      </c>
      <c r="B1062" s="40" t="str">
        <f t="shared" si="83"/>
        <v/>
      </c>
      <c r="C1062" s="41">
        <f t="shared" si="80"/>
        <v>1061</v>
      </c>
      <c r="D1062" s="260" t="s">
        <v>9</v>
      </c>
      <c r="E1062" s="37"/>
      <c r="F1062" s="305"/>
      <c r="G1062" s="188"/>
      <c r="H1062" s="37"/>
      <c r="I1062" s="37" t="s">
        <v>9</v>
      </c>
      <c r="J1062" s="37"/>
      <c r="K1062" s="156" t="s">
        <v>26</v>
      </c>
      <c r="L1062" s="52" t="s">
        <v>29</v>
      </c>
      <c r="M1062" s="215" t="s">
        <v>3900</v>
      </c>
      <c r="N1062" s="156" t="s">
        <v>3902</v>
      </c>
      <c r="O1062" s="163">
        <v>1.4390000000000001</v>
      </c>
      <c r="P1062" s="157" t="s">
        <v>298</v>
      </c>
      <c r="Q1062" s="174" t="s">
        <v>9</v>
      </c>
      <c r="R1062" s="188" t="s">
        <v>204</v>
      </c>
      <c r="S1062" s="168" t="s">
        <v>114</v>
      </c>
      <c r="T1062" s="163" t="s">
        <v>298</v>
      </c>
      <c r="U1062" s="163" t="s">
        <v>298</v>
      </c>
      <c r="X1062" s="14" t="str">
        <f t="shared" si="81"/>
        <v>&gt;&lt;</v>
      </c>
      <c r="Z1062" s="58" t="str">
        <f>IF(OR($M1062="",NOT($O1062="{array}")),"",IFERROR(MATCH(PARAMETERS!$M1062,DEFAULT!$B$5:$CI$5,0),""))</f>
        <v/>
      </c>
      <c r="AA1062" s="55" t="str">
        <f t="shared" si="82"/>
        <v/>
      </c>
      <c r="AB1062" s="62" t="str">
        <f>IF(AND(OR($A1062="G",$A1062="P"),NOT($O1062="{array}")),IF(VLOOKUP($K1062,base!$B$2:$D$20,3,0)="S",IF(OR($O1062="",ISTEXT($O1062)),"","STRING!"),IF(VLOOKUP($K1062,base!$B$2:$D$20,3,0)="","",IF(ISTEXT($O1062),"NUMERIC!",""))),"")</f>
        <v/>
      </c>
      <c r="AC1062" s="16" t="str">
        <f>IF($AA1062="","",IF($B1062="I",VLOOKUP($AA1062,#REF!,53,0),INDEX(VALUES!$B$1:$GP$1,1,$AA1062)))</f>
        <v/>
      </c>
    </row>
    <row r="1063" spans="1:29" hidden="1" outlineLevel="1">
      <c r="A1063" s="21" t="s">
        <v>86</v>
      </c>
      <c r="B1063" s="40" t="str">
        <f t="shared" si="83"/>
        <v/>
      </c>
      <c r="C1063" s="41">
        <f t="shared" si="80"/>
        <v>1062</v>
      </c>
      <c r="D1063" s="260" t="s">
        <v>9</v>
      </c>
      <c r="E1063" s="37"/>
      <c r="F1063" s="305"/>
      <c r="G1063" s="188"/>
      <c r="H1063" s="37"/>
      <c r="I1063" s="37" t="s">
        <v>9</v>
      </c>
      <c r="J1063" s="37"/>
      <c r="K1063" s="156" t="s">
        <v>26</v>
      </c>
      <c r="L1063" s="52" t="s">
        <v>29</v>
      </c>
      <c r="M1063" s="215" t="s">
        <v>3584</v>
      </c>
      <c r="N1063" s="156" t="s">
        <v>3583</v>
      </c>
      <c r="O1063" s="163">
        <v>0.35</v>
      </c>
      <c r="P1063" s="157" t="s">
        <v>298</v>
      </c>
      <c r="Q1063" s="174" t="s">
        <v>9</v>
      </c>
      <c r="R1063" s="168" t="s">
        <v>105</v>
      </c>
      <c r="S1063" s="168" t="s">
        <v>114</v>
      </c>
      <c r="T1063" s="163" t="s">
        <v>298</v>
      </c>
      <c r="U1063" s="163" t="s">
        <v>298</v>
      </c>
      <c r="X1063" s="14" t="str">
        <f t="shared" si="81"/>
        <v>...</v>
      </c>
      <c r="Z1063" s="58" t="str">
        <f>IF(OR($M1063="",NOT($O1063="{array}")),"",IFERROR(MATCH(PARAMETERS!$M1063,DEFAULT!$B$5:$CI$5,0),""))</f>
        <v/>
      </c>
      <c r="AA1063" s="55" t="str">
        <f t="shared" si="82"/>
        <v/>
      </c>
      <c r="AB1063" s="62" t="str">
        <f>IF(AND(OR($A1063="G",$A1063="P"),NOT($O1063="{array}")),IF(VLOOKUP($K1063,base!$B$2:$D$20,3,0)="S",IF(OR($O1063="",ISTEXT($O1063)),"","STRING!"),IF(VLOOKUP($K1063,base!$B$2:$D$20,3,0)="","",IF(ISTEXT($O1063),"NUMERIC!",""))),"")</f>
        <v/>
      </c>
      <c r="AC1063" s="16" t="str">
        <f>IF($AA1063="","",IF($B1063="I",VLOOKUP($AA1063,#REF!,53,0),INDEX(VALUES!$B$1:$GP$1,1,$AA1063)))</f>
        <v/>
      </c>
    </row>
    <row r="1064" spans="1:29" hidden="1" outlineLevel="1">
      <c r="A1064" s="21" t="s">
        <v>86</v>
      </c>
      <c r="B1064" s="40" t="str">
        <f t="shared" si="83"/>
        <v/>
      </c>
      <c r="C1064" s="41">
        <f t="shared" si="80"/>
        <v>1063</v>
      </c>
      <c r="D1064" s="260" t="s">
        <v>9</v>
      </c>
      <c r="E1064" s="37"/>
      <c r="F1064" s="305"/>
      <c r="G1064" s="188"/>
      <c r="H1064" s="37"/>
      <c r="I1064" s="37" t="s">
        <v>9</v>
      </c>
      <c r="J1064" s="37"/>
      <c r="K1064" s="156" t="s">
        <v>26</v>
      </c>
      <c r="L1064" s="52" t="s">
        <v>29</v>
      </c>
      <c r="M1064" s="215" t="s">
        <v>3585</v>
      </c>
      <c r="N1064" s="156" t="s">
        <v>3586</v>
      </c>
      <c r="O1064" s="163">
        <v>0.35</v>
      </c>
      <c r="P1064" s="157" t="s">
        <v>298</v>
      </c>
      <c r="Q1064" s="174" t="s">
        <v>9</v>
      </c>
      <c r="R1064" s="168" t="s">
        <v>105</v>
      </c>
      <c r="S1064" s="168" t="s">
        <v>114</v>
      </c>
      <c r="T1064" s="163" t="s">
        <v>298</v>
      </c>
      <c r="U1064" s="163" t="s">
        <v>298</v>
      </c>
      <c r="X1064" s="14" t="str">
        <f t="shared" si="81"/>
        <v>...</v>
      </c>
      <c r="Z1064" s="58" t="str">
        <f>IF(OR($M1064="",NOT($O1064="{array}")),"",IFERROR(MATCH(PARAMETERS!$M1064,DEFAULT!$B$5:$CI$5,0),""))</f>
        <v/>
      </c>
      <c r="AA1064" s="55" t="str">
        <f t="shared" si="82"/>
        <v/>
      </c>
      <c r="AB1064" s="62" t="str">
        <f>IF(AND(OR($A1064="G",$A1064="P"),NOT($O1064="{array}")),IF(VLOOKUP($K1064,base!$B$2:$D$20,3,0)="S",IF(OR($O1064="",ISTEXT($O1064)),"","STRING!"),IF(VLOOKUP($K1064,base!$B$2:$D$20,3,0)="","",IF(ISTEXT($O1064),"NUMERIC!",""))),"")</f>
        <v/>
      </c>
      <c r="AC1064" s="16" t="str">
        <f>IF($AA1064="","",IF($B1064="I",VLOOKUP($AA1064,#REF!,53,0),INDEX(VALUES!$B$1:$GP$1,1,$AA1064)))</f>
        <v/>
      </c>
    </row>
    <row r="1065" spans="1:29" hidden="1" outlineLevel="1">
      <c r="A1065" s="21" t="s">
        <v>86</v>
      </c>
      <c r="B1065" s="40" t="str">
        <f t="shared" si="83"/>
        <v/>
      </c>
      <c r="C1065" s="41">
        <f t="shared" si="80"/>
        <v>1064</v>
      </c>
      <c r="D1065" s="260" t="s">
        <v>9</v>
      </c>
      <c r="E1065" s="37"/>
      <c r="F1065" s="305"/>
      <c r="G1065" s="188"/>
      <c r="H1065" s="37"/>
      <c r="I1065" s="37" t="s">
        <v>9</v>
      </c>
      <c r="J1065" s="37"/>
      <c r="K1065" s="156" t="s">
        <v>26</v>
      </c>
      <c r="L1065" s="52" t="s">
        <v>29</v>
      </c>
      <c r="M1065" s="215" t="s">
        <v>3576</v>
      </c>
      <c r="N1065" s="156" t="s">
        <v>3577</v>
      </c>
      <c r="O1065" s="163">
        <v>0.12</v>
      </c>
      <c r="P1065" s="157" t="s">
        <v>298</v>
      </c>
      <c r="Q1065" s="174" t="s">
        <v>9</v>
      </c>
      <c r="R1065" s="168" t="s">
        <v>105</v>
      </c>
      <c r="S1065" s="168" t="s">
        <v>114</v>
      </c>
      <c r="T1065" s="163" t="s">
        <v>298</v>
      </c>
      <c r="U1065" s="163" t="s">
        <v>298</v>
      </c>
      <c r="V1065" s="163"/>
      <c r="W1065" s="14"/>
      <c r="X1065" s="14">
        <f t="shared" si="81"/>
        <v>0.04</v>
      </c>
      <c r="Y1065" s="163"/>
      <c r="Z1065" s="58" t="str">
        <f>IF(OR($M1065="",NOT($O1065="{array}")),"",IFERROR(MATCH(PARAMETERS!$M1065,DEFAULT!$B$5:$CI$5,0),""))</f>
        <v/>
      </c>
      <c r="AA1065" s="55" t="str">
        <f t="shared" si="82"/>
        <v/>
      </c>
      <c r="AB1065" s="62" t="str">
        <f>IF(AND(OR($A1065="G",$A1065="P"),NOT($O1065="{array}")),IF(VLOOKUP($K1065,base!$B$2:$D$20,3,0)="S",IF(OR($O1065="",ISTEXT($O1065)),"","STRING!"),IF(VLOOKUP($K1065,base!$B$2:$D$20,3,0)="","",IF(ISTEXT($O1065),"NUMERIC!",""))),"")</f>
        <v/>
      </c>
      <c r="AC1065" s="16" t="str">
        <f>IF($AA1065="","",IF($B1065="I",VLOOKUP($AA1065,#REF!,53,0),INDEX(VALUES!$B$1:$GP$1,1,$AA1065)))</f>
        <v/>
      </c>
    </row>
    <row r="1066" spans="1:29" hidden="1" outlineLevel="1">
      <c r="A1066" s="21" t="s">
        <v>86</v>
      </c>
      <c r="B1066" s="40" t="str">
        <f t="shared" si="83"/>
        <v/>
      </c>
      <c r="C1066" s="41">
        <f t="shared" si="80"/>
        <v>1065</v>
      </c>
      <c r="D1066" s="260"/>
      <c r="E1066" s="37"/>
      <c r="F1066" s="305"/>
      <c r="G1066" s="188"/>
      <c r="H1066" s="37"/>
      <c r="I1066" s="37" t="s">
        <v>9</v>
      </c>
      <c r="J1066" s="37"/>
      <c r="K1066" s="156" t="s">
        <v>46</v>
      </c>
      <c r="L1066" s="52" t="s">
        <v>23</v>
      </c>
      <c r="M1066" s="215" t="s">
        <v>3578</v>
      </c>
      <c r="N1066" s="163" t="s">
        <v>1328</v>
      </c>
      <c r="O1066" s="163">
        <v>0</v>
      </c>
      <c r="P1066" s="157" t="s">
        <v>298</v>
      </c>
      <c r="Q1066" s="174" t="s">
        <v>9</v>
      </c>
      <c r="R1066" s="168" t="s">
        <v>105</v>
      </c>
      <c r="S1066" s="168" t="s">
        <v>114</v>
      </c>
      <c r="T1066" s="163" t="s">
        <v>298</v>
      </c>
      <c r="U1066" s="163" t="s">
        <v>298</v>
      </c>
      <c r="V1066" s="163" t="s">
        <v>1328</v>
      </c>
      <c r="W1066" s="14" t="str">
        <f>IF(IFERROR(VLOOKUP($M1067,'IMPORT GS-Tür OL FL 2S2 20'!$H$2:$H$847,1,0),"-")="-","","GS")</f>
        <v/>
      </c>
      <c r="X1066" s="14" t="str">
        <f t="shared" si="81"/>
        <v>...</v>
      </c>
      <c r="Y1066" s="163" t="s">
        <v>1329</v>
      </c>
      <c r="Z1066" s="58" t="str">
        <f>IF(OR($M1066="",NOT($O1066="{array}")),"",IFERROR(MATCH(PARAMETERS!$M1066,DEFAULT!$B$5:$CI$5,0),""))</f>
        <v/>
      </c>
      <c r="AA1066" s="55" t="str">
        <f t="shared" si="82"/>
        <v/>
      </c>
      <c r="AB1066" s="62" t="str">
        <f>IF(AND(OR($A1066="G",$A1066="P"),NOT($O1066="{array}")),IF(VLOOKUP($K1066,base!$B$2:$D$20,3,0)="S",IF(OR($O1066="",ISTEXT($O1066)),"","STRING!"),IF(VLOOKUP($K1066,base!$B$2:$D$20,3,0)="","",IF(ISTEXT($O1066),"NUMERIC!",""))),"")</f>
        <v/>
      </c>
      <c r="AC1066" s="16" t="str">
        <f>IF($AA1066="","",IF($B1066="I",VLOOKUP($AA1066,#REF!,53,0),INDEX(VALUES!$B$1:$GP$1,1,$AA1066)))</f>
        <v/>
      </c>
    </row>
    <row r="1067" spans="1:29" hidden="1" outlineLevel="1">
      <c r="A1067" s="21" t="s">
        <v>86</v>
      </c>
      <c r="B1067" s="40" t="str">
        <f t="shared" si="83"/>
        <v/>
      </c>
      <c r="C1067" s="41">
        <f t="shared" si="80"/>
        <v>1066</v>
      </c>
      <c r="D1067" s="260"/>
      <c r="E1067" s="37"/>
      <c r="F1067" s="305"/>
      <c r="G1067" s="188"/>
      <c r="H1067" s="37"/>
      <c r="I1067" s="37" t="s">
        <v>9</v>
      </c>
      <c r="J1067" s="37"/>
      <c r="K1067" s="156" t="s">
        <v>26</v>
      </c>
      <c r="L1067" s="52" t="s">
        <v>29</v>
      </c>
      <c r="M1067" s="215" t="s">
        <v>3579</v>
      </c>
      <c r="N1067" s="156" t="s">
        <v>3580</v>
      </c>
      <c r="O1067" s="163">
        <v>0.05</v>
      </c>
      <c r="P1067" s="157" t="s">
        <v>298</v>
      </c>
      <c r="Q1067" s="174" t="s">
        <v>9</v>
      </c>
      <c r="R1067" s="168" t="s">
        <v>105</v>
      </c>
      <c r="S1067" s="168" t="s">
        <v>114</v>
      </c>
      <c r="T1067" s="163" t="s">
        <v>298</v>
      </c>
      <c r="U1067" s="163" t="s">
        <v>298</v>
      </c>
      <c r="X1067" s="14" t="str">
        <f t="shared" si="81"/>
        <v>...</v>
      </c>
      <c r="Z1067" s="58" t="str">
        <f>IF(OR($M1067="",NOT($O1067="{array}")),"",IFERROR(MATCH(PARAMETERS!$M1067,DEFAULT!$B$5:$CI$5,0),""))</f>
        <v/>
      </c>
      <c r="AA1067" s="55" t="str">
        <f t="shared" si="82"/>
        <v/>
      </c>
      <c r="AB1067" s="62" t="str">
        <f>IF(AND(OR($A1067="G",$A1067="P"),NOT($O1067="{array}")),IF(VLOOKUP($K1067,base!$B$2:$D$20,3,0)="S",IF(OR($O1067="",ISTEXT($O1067)),"","STRING!"),IF(VLOOKUP($K1067,base!$B$2:$D$20,3,0)="","",IF(ISTEXT($O1067),"NUMERIC!",""))),"")</f>
        <v/>
      </c>
      <c r="AC1067" s="16" t="str">
        <f>IF($AA1067="","",IF($B1067="I",VLOOKUP($AA1067,#REF!,53,0),INDEX(VALUES!$B$1:$GP$1,1,$AA1067)))</f>
        <v/>
      </c>
    </row>
    <row r="1068" spans="1:29" hidden="1" outlineLevel="1">
      <c r="A1068" s="21" t="s">
        <v>86</v>
      </c>
      <c r="B1068" s="40" t="str">
        <f t="shared" si="83"/>
        <v/>
      </c>
      <c r="C1068" s="41">
        <f t="shared" si="80"/>
        <v>1067</v>
      </c>
      <c r="D1068" s="260"/>
      <c r="E1068" s="37"/>
      <c r="F1068" s="305"/>
      <c r="G1068" s="188"/>
      <c r="H1068" s="37"/>
      <c r="I1068" s="37" t="s">
        <v>9</v>
      </c>
      <c r="J1068" s="37"/>
      <c r="K1068" s="156" t="s">
        <v>26</v>
      </c>
      <c r="L1068" s="52" t="s">
        <v>29</v>
      </c>
      <c r="M1068" s="215" t="s">
        <v>3581</v>
      </c>
      <c r="N1068" s="156" t="s">
        <v>3582</v>
      </c>
      <c r="O1068" s="163">
        <v>0.03</v>
      </c>
      <c r="P1068" s="157" t="s">
        <v>298</v>
      </c>
      <c r="Q1068" s="174" t="s">
        <v>9</v>
      </c>
      <c r="R1068" s="168" t="s">
        <v>105</v>
      </c>
      <c r="S1068" s="168" t="s">
        <v>114</v>
      </c>
      <c r="T1068" s="163" t="s">
        <v>298</v>
      </c>
      <c r="U1068" s="163" t="s">
        <v>298</v>
      </c>
      <c r="V1068" s="163"/>
      <c r="W1068" s="14" t="str">
        <f>IF(IFERROR(VLOOKUP($M1068,'IMPORT GS-Tür OL FL 2S2 20'!$H$2:$H$847,1,0),"-")="-","","GS")</f>
        <v/>
      </c>
      <c r="X1068" s="14" t="str">
        <f t="shared" si="81"/>
        <v>...</v>
      </c>
      <c r="Y1068" s="163" t="s">
        <v>298</v>
      </c>
      <c r="Z1068" s="58" t="str">
        <f>IF(OR($M1068="",NOT($O1068="{array}")),"",IFERROR(MATCH(PARAMETERS!$M1068,DEFAULT!$B$5:$CI$5,0),""))</f>
        <v/>
      </c>
      <c r="AA1068" s="55" t="str">
        <f t="shared" si="82"/>
        <v/>
      </c>
      <c r="AB1068" s="62" t="str">
        <f>IF(AND(OR($A1068="G",$A1068="P"),NOT($O1068="{array}")),IF(VLOOKUP($K1068,base!$B$2:$D$20,3,0)="S",IF(OR($O1068="",ISTEXT($O1068)),"","STRING!"),IF(VLOOKUP($K1068,base!$B$2:$D$20,3,0)="","",IF(ISTEXT($O1068),"NUMERIC!",""))),"")</f>
        <v/>
      </c>
      <c r="AC1068" s="16" t="str">
        <f>IF($AA1068="","",IF($B1068="I",VLOOKUP($AA1068,#REF!,53,0),INDEX(VALUES!$B$1:$GP$1,1,$AA1068)))</f>
        <v/>
      </c>
    </row>
    <row r="1069" spans="1:29" hidden="1" outlineLevel="1">
      <c r="A1069" s="21" t="s">
        <v>86</v>
      </c>
      <c r="B1069" s="40" t="str">
        <f t="shared" si="83"/>
        <v/>
      </c>
      <c r="C1069" s="41">
        <f t="shared" si="80"/>
        <v>1068</v>
      </c>
      <c r="D1069" s="260" t="s">
        <v>9</v>
      </c>
      <c r="E1069" s="37"/>
      <c r="F1069" s="305"/>
      <c r="G1069" s="188"/>
      <c r="H1069" s="37"/>
      <c r="I1069" s="37" t="s">
        <v>9</v>
      </c>
      <c r="J1069" s="37"/>
      <c r="K1069" s="52" t="s">
        <v>26</v>
      </c>
      <c r="L1069" s="52" t="s">
        <v>29</v>
      </c>
      <c r="M1069" s="184" t="s">
        <v>1331</v>
      </c>
      <c r="N1069" s="52" t="s">
        <v>1332</v>
      </c>
      <c r="O1069" s="153">
        <v>2.5000000000000001E-2</v>
      </c>
      <c r="P1069" s="52"/>
      <c r="Q1069" s="168" t="s">
        <v>9</v>
      </c>
      <c r="R1069" s="37" t="s">
        <v>204</v>
      </c>
      <c r="S1069" s="37"/>
      <c r="T1069" s="37"/>
      <c r="V1069" s="163" t="s">
        <v>1325</v>
      </c>
      <c r="W1069" s="14" t="str">
        <f>IF(IFERROR(VLOOKUP($M1063,'IMPORT GS-Tür OL FL 2S2 20'!$H$2:$H$847,1,0),"-")="-","","GS")</f>
        <v/>
      </c>
      <c r="X1069" s="14">
        <f t="shared" si="81"/>
        <v>3.9064269999999998E-2</v>
      </c>
      <c r="Y1069" s="163" t="s">
        <v>1326</v>
      </c>
      <c r="Z1069" s="58" t="str">
        <f>IF(OR($M1069="",NOT($O1069="{array}")),"",IFERROR(MATCH(PARAMETERS!$M1069,DEFAULT!$B$5:$CI$5,0),""))</f>
        <v/>
      </c>
      <c r="AA1069" s="55" t="str">
        <f t="shared" si="82"/>
        <v/>
      </c>
      <c r="AB1069" s="62" t="str">
        <f>IF(AND(OR($A1069="G",$A1069="P"),NOT($O1069="{array}")),IF(VLOOKUP($K1069,base!$B$2:$D$20,3,0)="S",IF(OR($O1069="",ISTEXT($O1069)),"","STRING!"),IF(VLOOKUP($K1069,base!$B$2:$D$20,3,0)="","",IF(ISTEXT($O1069),"NUMERIC!",""))),"")</f>
        <v/>
      </c>
      <c r="AC1069" s="16" t="str">
        <f>IF($AA1069="","",IF($B1069="I",VLOOKUP($AA1069,#REF!,53,0),INDEX(VALUES!$B$1:$GP$1,1,$AA1069)))</f>
        <v/>
      </c>
    </row>
    <row r="1070" spans="1:29" hidden="1" outlineLevel="1">
      <c r="A1070" s="21" t="s">
        <v>86</v>
      </c>
      <c r="B1070" s="40" t="str">
        <f t="shared" si="83"/>
        <v/>
      </c>
      <c r="C1070" s="41">
        <f t="shared" si="80"/>
        <v>1069</v>
      </c>
      <c r="D1070" s="260" t="s">
        <v>9</v>
      </c>
      <c r="E1070" s="37"/>
      <c r="F1070" s="305"/>
      <c r="G1070" s="188"/>
      <c r="H1070" s="37"/>
      <c r="I1070" s="37" t="s">
        <v>9</v>
      </c>
      <c r="J1070" s="37"/>
      <c r="K1070" s="52" t="s">
        <v>26</v>
      </c>
      <c r="L1070" s="52" t="s">
        <v>29</v>
      </c>
      <c r="M1070" s="184" t="s">
        <v>1333</v>
      </c>
      <c r="N1070" s="52" t="s">
        <v>1334</v>
      </c>
      <c r="O1070" s="153">
        <v>1.2E-2</v>
      </c>
      <c r="P1070" s="52"/>
      <c r="Q1070" s="168" t="s">
        <v>9</v>
      </c>
      <c r="R1070" s="37" t="s">
        <v>204</v>
      </c>
      <c r="S1070" s="37"/>
      <c r="T1070" s="37"/>
      <c r="V1070" s="163" t="s">
        <v>1325</v>
      </c>
      <c r="W1070" s="14" t="str">
        <f>IF(IFERROR(VLOOKUP($M1065,'IMPORT GS-Tür OL FL 2S2 20'!$H$2:$H$847,1,0),"-")="-","","GS")</f>
        <v/>
      </c>
      <c r="X1070" s="14">
        <f t="shared" si="81"/>
        <v>1.121955E-2</v>
      </c>
      <c r="Y1070" s="163" t="s">
        <v>1326</v>
      </c>
      <c r="Z1070" s="58" t="str">
        <f>IF(OR($M1070="",NOT($O1070="{array}")),"",IFERROR(MATCH(PARAMETERS!$M1070,DEFAULT!$B$5:$CI$5,0),""))</f>
        <v/>
      </c>
      <c r="AA1070" s="55" t="str">
        <f t="shared" si="82"/>
        <v/>
      </c>
      <c r="AB1070" s="62" t="str">
        <f>IF(AND(OR($A1070="G",$A1070="P"),NOT($O1070="{array}")),IF(VLOOKUP($K1070,base!$B$2:$D$20,3,0)="S",IF(OR($O1070="",ISTEXT($O1070)),"","STRING!"),IF(VLOOKUP($K1070,base!$B$2:$D$20,3,0)="","",IF(ISTEXT($O1070),"NUMERIC!",""))),"")</f>
        <v/>
      </c>
      <c r="AC1070" s="16" t="str">
        <f>IF($AA1070="","",IF($B1070="I",VLOOKUP($AA1070,#REF!,53,0),INDEX(VALUES!$B$1:$GP$1,1,$AA1070)))</f>
        <v/>
      </c>
    </row>
    <row r="1071" spans="1:29" collapsed="1">
      <c r="A1071" s="21" t="s">
        <v>86</v>
      </c>
      <c r="B1071" s="40" t="str">
        <f t="shared" si="83"/>
        <v/>
      </c>
      <c r="C1071" s="41">
        <f t="shared" si="80"/>
        <v>1070</v>
      </c>
      <c r="D1071" s="260"/>
      <c r="E1071" s="37"/>
      <c r="F1071" s="305"/>
      <c r="G1071" s="188"/>
      <c r="H1071" s="37"/>
      <c r="I1071" s="37"/>
      <c r="J1071" s="37"/>
      <c r="K1071" s="230" t="s">
        <v>59</v>
      </c>
      <c r="L1071" s="230" t="s">
        <v>40</v>
      </c>
      <c r="M1071" s="231" t="s">
        <v>1336</v>
      </c>
      <c r="N1071" s="232" t="s">
        <v>1337</v>
      </c>
      <c r="R1071" s="37" t="s">
        <v>105</v>
      </c>
      <c r="S1071" s="37"/>
      <c r="T1071" s="37"/>
      <c r="W1071" s="14" t="str">
        <f>IF(IFERROR(VLOOKUP($M1071,'IMPORT GS-Tür OL FL 2S2 20'!$H$2:$H$847,1,0),"-")="-","","GS")</f>
        <v/>
      </c>
      <c r="X1071" s="14" t="str">
        <f t="shared" si="81"/>
        <v>...</v>
      </c>
      <c r="Z1071" s="58" t="str">
        <f>IF(OR($M1071="",NOT($O1071="{array}")),"",IFERROR(MATCH(PARAMETERS!$M1071,DEFAULT!$B$5:$CI$5,0),""))</f>
        <v/>
      </c>
      <c r="AA1071" s="55" t="str">
        <f t="shared" si="82"/>
        <v/>
      </c>
      <c r="AB1071" s="62" t="str">
        <f>IF(AND(OR($A1071="G",$A1071="P"),NOT($O1071="{array}")),IF(VLOOKUP($K1071,base!$B$2:$D$20,3,0)="S",IF(OR($O1071="",ISTEXT($O1071)),"","STRING!"),IF(VLOOKUP($K1071,base!$B$2:$D$20,3,0)="","",IF(ISTEXT($O1071),"NUMERIC!",""))),"")</f>
        <v/>
      </c>
      <c r="AC1071" s="16" t="str">
        <f>IF($AA1071="","",IF($B1071="I",VLOOKUP($AA1071,#REF!,53,0),INDEX(VALUES!$B$1:$GP$1,1,$AA1071)))</f>
        <v/>
      </c>
    </row>
    <row r="1072" spans="1:29" hidden="1" outlineLevel="1">
      <c r="A1072" s="21" t="s">
        <v>86</v>
      </c>
      <c r="B1072" s="40" t="str">
        <f t="shared" si="83"/>
        <v/>
      </c>
      <c r="C1072" s="41">
        <f t="shared" si="80"/>
        <v>1071</v>
      </c>
      <c r="D1072" s="260" t="s">
        <v>9</v>
      </c>
      <c r="E1072" s="37"/>
      <c r="F1072" s="305"/>
      <c r="G1072" s="188"/>
      <c r="H1072" s="37"/>
      <c r="I1072" s="37" t="s">
        <v>9</v>
      </c>
      <c r="J1072" s="37"/>
      <c r="K1072" s="52" t="s">
        <v>20</v>
      </c>
      <c r="L1072" s="52" t="s">
        <v>34</v>
      </c>
      <c r="M1072" s="221" t="s">
        <v>1338</v>
      </c>
      <c r="N1072" s="52" t="s">
        <v>1339</v>
      </c>
      <c r="O1072" s="153" t="s">
        <v>3192</v>
      </c>
      <c r="Q1072" s="168"/>
      <c r="R1072" s="168" t="s">
        <v>105</v>
      </c>
      <c r="S1072" s="168" t="s">
        <v>114</v>
      </c>
      <c r="T1072" s="163" t="s">
        <v>298</v>
      </c>
      <c r="U1072" s="163" t="s">
        <v>298</v>
      </c>
      <c r="V1072" s="163" t="s">
        <v>1340</v>
      </c>
      <c r="W1072" s="14"/>
      <c r="Z1072" s="58" t="str">
        <f>IF(OR($M1072="",NOT($O1072="{array}")),"",IFERROR(MATCH(PARAMETERS!$M1072,DEFAULT!$B$5:$CI$5,0),""))</f>
        <v/>
      </c>
      <c r="AA1072" s="55" t="str">
        <f t="shared" si="82"/>
        <v/>
      </c>
      <c r="AB1072" s="62" t="str">
        <f>IF(AND(OR($A1072="G",$A1072="P"),NOT($O1072="{array}")),IF(VLOOKUP($K1072,base!$B$2:$D$20,3,0)="S",IF(OR($O1072="",ISTEXT($O1072)),"","STRING!"),IF(VLOOKUP($K1072,base!$B$2:$D$20,3,0)="","",IF(ISTEXT($O1072),"NUMERIC!",""))),"")</f>
        <v/>
      </c>
      <c r="AC1072" s="16" t="str">
        <f>IF($AA1072="","",IF($B1072="I",VLOOKUP($AA1072,#REF!,53,0),INDEX(VALUES!$B$1:$GP$1,1,$AA1072)))</f>
        <v/>
      </c>
    </row>
    <row r="1073" spans="1:34" hidden="1" outlineLevel="1">
      <c r="A1073" s="21" t="s">
        <v>86</v>
      </c>
      <c r="B1073" s="40" t="str">
        <f t="shared" si="83"/>
        <v/>
      </c>
      <c r="C1073" s="41">
        <f t="shared" si="80"/>
        <v>1072</v>
      </c>
      <c r="D1073" s="260"/>
      <c r="E1073" s="37"/>
      <c r="F1073" s="305"/>
      <c r="G1073" s="188"/>
      <c r="H1073" s="37"/>
      <c r="I1073" s="37" t="s">
        <v>9</v>
      </c>
      <c r="J1073" s="37"/>
      <c r="K1073" s="156" t="s">
        <v>20</v>
      </c>
      <c r="L1073" s="164" t="s">
        <v>23</v>
      </c>
      <c r="M1073" s="215" t="s">
        <v>3747</v>
      </c>
      <c r="N1073" s="156" t="s">
        <v>3750</v>
      </c>
      <c r="O1073" s="163" t="s">
        <v>3630</v>
      </c>
      <c r="P1073" s="157" t="s">
        <v>298</v>
      </c>
      <c r="Q1073" s="174"/>
      <c r="R1073" s="168" t="s">
        <v>105</v>
      </c>
      <c r="S1073" s="168" t="s">
        <v>114</v>
      </c>
      <c r="T1073" s="163"/>
      <c r="U1073" s="163"/>
      <c r="V1073" s="163"/>
      <c r="W1073" s="14"/>
      <c r="Z1073" s="58" t="str">
        <f>IF(OR($M1073="",NOT($O1073="{array}")),"",IFERROR(MATCH(PARAMETERS!$M1073,DEFAULT!$B$5:$CI$5,0),""))</f>
        <v/>
      </c>
      <c r="AA1073" s="55" t="str">
        <f t="shared" si="82"/>
        <v/>
      </c>
      <c r="AB1073" s="62" t="str">
        <f>IF(AND(OR($A1073="G",$A1073="P"),NOT($O1073="{array}")),IF(VLOOKUP($K1073,base!$B$2:$D$20,3,0)="S",IF(OR($O1073="",ISTEXT($O1073)),"","STRING!"),IF(VLOOKUP($K1073,base!$B$2:$D$20,3,0)="","",IF(ISTEXT($O1073),"NUMERIC!",""))),"")</f>
        <v/>
      </c>
      <c r="AC1073" s="16" t="str">
        <f>IF($AA1073="","",IF($B1073="I",VLOOKUP($AA1073,#REF!,53,0),INDEX(VALUES!$B$1:$GP$1,1,$AA1073)))</f>
        <v/>
      </c>
    </row>
    <row r="1074" spans="1:34" hidden="1" outlineLevel="1">
      <c r="A1074" s="21" t="s">
        <v>86</v>
      </c>
      <c r="B1074" s="40" t="str">
        <f t="shared" si="83"/>
        <v/>
      </c>
      <c r="C1074" s="41">
        <f t="shared" si="80"/>
        <v>1073</v>
      </c>
      <c r="D1074" s="260" t="s">
        <v>9</v>
      </c>
      <c r="E1074" s="37"/>
      <c r="F1074" s="305"/>
      <c r="G1074" s="188"/>
      <c r="H1074" s="37"/>
      <c r="I1074" s="37" t="s">
        <v>9</v>
      </c>
      <c r="J1074" s="37"/>
      <c r="K1074" s="163" t="s">
        <v>20</v>
      </c>
      <c r="L1074" s="164" t="s">
        <v>34</v>
      </c>
      <c r="M1074" s="215" t="s">
        <v>3748</v>
      </c>
      <c r="N1074" s="163" t="s">
        <v>3751</v>
      </c>
      <c r="O1074" s="163" t="s">
        <v>3757</v>
      </c>
      <c r="P1074" s="157" t="s">
        <v>298</v>
      </c>
      <c r="Q1074" s="168"/>
      <c r="R1074" s="168" t="s">
        <v>105</v>
      </c>
      <c r="S1074" s="168" t="s">
        <v>114</v>
      </c>
      <c r="T1074" s="163" t="s">
        <v>298</v>
      </c>
      <c r="U1074" s="163" t="s">
        <v>298</v>
      </c>
      <c r="V1074" s="163" t="s">
        <v>1341</v>
      </c>
      <c r="W1074" s="14" t="str">
        <f>IF(IFERROR(VLOOKUP($M1074,[2]COMPARE!$H$2:$H$847,1,0),"-")="-","","GS")</f>
        <v/>
      </c>
      <c r="X1074" s="157" t="s">
        <v>298</v>
      </c>
      <c r="Y1074" s="163" t="s">
        <v>1342</v>
      </c>
      <c r="Z1074" s="58" t="str">
        <f>IF(OR($M1074="",NOT($O1074="{array}")),"",IFERROR(MATCH(PARAMETERS!$M1074,DEFAULT!$B$5:$CI$5,0),""))</f>
        <v/>
      </c>
      <c r="AA1074" s="55" t="str">
        <f t="shared" si="82"/>
        <v/>
      </c>
      <c r="AB1074" s="62" t="str">
        <f>IF(AND(OR($A1074="G",$A1074="P"),NOT($O1074="{array}")),IF(VLOOKUP($K1074,base!$B$2:$D$20,3,0)="S",IF(OR($O1074="",ISTEXT($O1074)),"","STRING!"),IF(VLOOKUP($K1074,base!$B$2:$D$20,3,0)="","",IF(ISTEXT($O1074),"NUMERIC!",""))),"")</f>
        <v/>
      </c>
      <c r="AC1074" s="16" t="str">
        <f>IF($AA1074="","",IF($B1074="I",VLOOKUP($AA1074,#REF!,53,0),INDEX(VALUES!$B$1:$GP$1,1,$AA1074)))</f>
        <v/>
      </c>
    </row>
    <row r="1075" spans="1:34" hidden="1" outlineLevel="1">
      <c r="A1075" s="21" t="s">
        <v>86</v>
      </c>
      <c r="B1075" s="40" t="str">
        <f t="shared" si="83"/>
        <v/>
      </c>
      <c r="C1075" s="41">
        <f t="shared" si="80"/>
        <v>1074</v>
      </c>
      <c r="D1075" s="260" t="s">
        <v>9</v>
      </c>
      <c r="E1075" s="37"/>
      <c r="F1075" s="305"/>
      <c r="G1075" s="188"/>
      <c r="H1075" s="37"/>
      <c r="I1075" s="37" t="s">
        <v>9</v>
      </c>
      <c r="J1075" s="37"/>
      <c r="K1075" s="163" t="s">
        <v>20</v>
      </c>
      <c r="L1075" s="164" t="s">
        <v>34</v>
      </c>
      <c r="M1075" s="215" t="s">
        <v>3749</v>
      </c>
      <c r="N1075" s="163" t="s">
        <v>3752</v>
      </c>
      <c r="O1075" s="163" t="s">
        <v>298</v>
      </c>
      <c r="P1075" s="157" t="s">
        <v>298</v>
      </c>
      <c r="Q1075" s="168"/>
      <c r="R1075" s="168" t="s">
        <v>105</v>
      </c>
      <c r="S1075" s="168" t="s">
        <v>114</v>
      </c>
      <c r="T1075" s="163" t="s">
        <v>298</v>
      </c>
      <c r="U1075" s="163" t="s">
        <v>298</v>
      </c>
      <c r="V1075" s="163" t="s">
        <v>1343</v>
      </c>
      <c r="W1075" s="14" t="str">
        <f>IF(IFERROR(VLOOKUP($M1075,[2]COMPARE!$H$2:$H$847,1,0),"-")="-","","GS")</f>
        <v/>
      </c>
      <c r="X1075" s="157" t="s">
        <v>298</v>
      </c>
      <c r="Y1075" s="163" t="s">
        <v>1344</v>
      </c>
      <c r="Z1075" s="58" t="str">
        <f>IF(OR($M1075="",NOT($O1075="{array}")),"",IFERROR(MATCH(PARAMETERS!$M1075,DEFAULT!$B$5:$CI$5,0),""))</f>
        <v/>
      </c>
      <c r="AA1075" s="55" t="str">
        <f t="shared" si="82"/>
        <v/>
      </c>
      <c r="AB1075" s="62" t="str">
        <f>IF(AND(OR($A1075="G",$A1075="P"),NOT($O1075="{array}")),IF(VLOOKUP($K1075,base!$B$2:$D$20,3,0)="S",IF(OR($O1075="",ISTEXT($O1075)),"","STRING!"),IF(VLOOKUP($K1075,base!$B$2:$D$20,3,0)="","",IF(ISTEXT($O1075),"NUMERIC!",""))),"")</f>
        <v/>
      </c>
      <c r="AC1075" s="16" t="str">
        <f>IF($AA1075="","",IF($B1075="I",VLOOKUP($AA1075,#REF!,53,0),INDEX(VALUES!$B$1:$GP$1,1,$AA1075)))</f>
        <v/>
      </c>
    </row>
    <row r="1076" spans="1:34" s="276" customFormat="1" hidden="1" outlineLevel="1">
      <c r="A1076" s="263"/>
      <c r="B1076" s="264" t="str">
        <f t="shared" si="83"/>
        <v/>
      </c>
      <c r="C1076" s="265">
        <f t="shared" si="80"/>
        <v>1075</v>
      </c>
      <c r="D1076" s="266"/>
      <c r="E1076" s="266"/>
      <c r="F1076" s="305"/>
      <c r="G1076" s="188"/>
      <c r="H1076" s="266"/>
      <c r="I1076" s="266" t="s">
        <v>9</v>
      </c>
      <c r="J1076" s="266"/>
      <c r="K1076" s="278" t="s">
        <v>20</v>
      </c>
      <c r="L1076" s="278" t="s">
        <v>23</v>
      </c>
      <c r="M1076" s="278"/>
      <c r="N1076" s="278" t="s">
        <v>1345</v>
      </c>
      <c r="O1076" s="278" t="s">
        <v>298</v>
      </c>
      <c r="P1076" s="284" t="s">
        <v>298</v>
      </c>
      <c r="Q1076" s="279"/>
      <c r="R1076" s="279" t="s">
        <v>105</v>
      </c>
      <c r="S1076" s="279" t="s">
        <v>114</v>
      </c>
      <c r="T1076" s="278" t="s">
        <v>298</v>
      </c>
      <c r="U1076" s="278" t="s">
        <v>298</v>
      </c>
      <c r="V1076" s="278" t="s">
        <v>1345</v>
      </c>
      <c r="W1076" s="272" t="str">
        <f>IF(IFERROR(VLOOKUP($M1076,[2]COMPARE!$H$2:$H$847,1,0),"-")="-","","GS")</f>
        <v/>
      </c>
      <c r="X1076" s="284" t="s">
        <v>298</v>
      </c>
      <c r="Y1076" s="278" t="s">
        <v>1346</v>
      </c>
      <c r="Z1076" s="58" t="str">
        <f>IF(OR($M1076="",NOT($O1076="{array}")),"",IFERROR(MATCH(PARAMETERS!$M1076,DEFAULT!$B$5:$CI$5,0),""))</f>
        <v/>
      </c>
      <c r="AA1076" s="55" t="str">
        <f t="shared" si="82"/>
        <v/>
      </c>
      <c r="AB1076" s="62" t="str">
        <f>IF(AND(OR($A1076="G",$A1076="P"),NOT($O1076="{array}")),IF(VLOOKUP($K1076,base!$B$2:$D$20,3,0)="S",IF(OR($O1076="",ISTEXT($O1076)),"","STRING!"),IF(VLOOKUP($K1076,base!$B$2:$D$20,3,0)="","",IF(ISTEXT($O1076),"NUMERIC!",""))),"")</f>
        <v/>
      </c>
      <c r="AC1076" s="16" t="str">
        <f>IF($AA1076="","",IF($B1076="I",VLOOKUP($AA1076,#REF!,53,0),INDEX(VALUES!$B$1:$GP$1,1,$AA1076)))</f>
        <v/>
      </c>
      <c r="AD1076" s="13"/>
      <c r="AE1076" s="13"/>
      <c r="AF1076" s="13"/>
      <c r="AG1076" s="13"/>
      <c r="AH1076" s="13"/>
    </row>
    <row r="1077" spans="1:34" s="276" customFormat="1" hidden="1" outlineLevel="1">
      <c r="A1077" s="263"/>
      <c r="B1077" s="264" t="str">
        <f t="shared" si="83"/>
        <v/>
      </c>
      <c r="C1077" s="265">
        <f t="shared" si="80"/>
        <v>1076</v>
      </c>
      <c r="D1077" s="266"/>
      <c r="E1077" s="266"/>
      <c r="F1077" s="305"/>
      <c r="G1077" s="188"/>
      <c r="H1077" s="266"/>
      <c r="I1077" s="266" t="s">
        <v>9</v>
      </c>
      <c r="J1077" s="266"/>
      <c r="K1077" s="278" t="s">
        <v>20</v>
      </c>
      <c r="L1077" s="278" t="s">
        <v>23</v>
      </c>
      <c r="M1077" s="278"/>
      <c r="N1077" s="278" t="s">
        <v>1347</v>
      </c>
      <c r="O1077" s="278" t="s">
        <v>298</v>
      </c>
      <c r="P1077" s="284" t="s">
        <v>298</v>
      </c>
      <c r="Q1077" s="279"/>
      <c r="R1077" s="279" t="s">
        <v>105</v>
      </c>
      <c r="S1077" s="279" t="s">
        <v>114</v>
      </c>
      <c r="T1077" s="278" t="s">
        <v>298</v>
      </c>
      <c r="U1077" s="278" t="s">
        <v>298</v>
      </c>
      <c r="V1077" s="278" t="s">
        <v>1347</v>
      </c>
      <c r="W1077" s="272" t="str">
        <f>IF(IFERROR(VLOOKUP($M1077,[2]COMPARE!$H$2:$H$847,1,0),"-")="-","","GS")</f>
        <v/>
      </c>
      <c r="X1077" s="284" t="s">
        <v>298</v>
      </c>
      <c r="Y1077" s="278" t="s">
        <v>1348</v>
      </c>
      <c r="Z1077" s="58" t="str">
        <f>IF(OR($M1077="",NOT($O1077="{array}")),"",IFERROR(MATCH(PARAMETERS!$M1077,DEFAULT!$B$5:$CI$5,0),""))</f>
        <v/>
      </c>
      <c r="AA1077" s="55" t="str">
        <f t="shared" si="82"/>
        <v/>
      </c>
      <c r="AB1077" s="62" t="str">
        <f>IF(AND(OR($A1077="G",$A1077="P"),NOT($O1077="{array}")),IF(VLOOKUP($K1077,base!$B$2:$D$20,3,0)="S",IF(OR($O1077="",ISTEXT($O1077)),"","STRING!"),IF(VLOOKUP($K1077,base!$B$2:$D$20,3,0)="","",IF(ISTEXT($O1077),"NUMERIC!",""))),"")</f>
        <v/>
      </c>
      <c r="AC1077" s="16" t="str">
        <f>IF($AA1077="","",IF($B1077="I",VLOOKUP($AA1077,#REF!,53,0),INDEX(VALUES!$B$1:$GP$1,1,$AA1077)))</f>
        <v/>
      </c>
      <c r="AD1077" s="13"/>
      <c r="AE1077" s="13"/>
      <c r="AF1077" s="13"/>
      <c r="AG1077" s="13"/>
      <c r="AH1077" s="13"/>
    </row>
    <row r="1078" spans="1:34" s="276" customFormat="1" hidden="1" outlineLevel="1">
      <c r="A1078" s="263"/>
      <c r="B1078" s="264" t="str">
        <f t="shared" si="83"/>
        <v/>
      </c>
      <c r="C1078" s="265">
        <f t="shared" si="80"/>
        <v>1077</v>
      </c>
      <c r="D1078" s="266"/>
      <c r="E1078" s="266"/>
      <c r="F1078" s="305"/>
      <c r="G1078" s="188"/>
      <c r="H1078" s="266"/>
      <c r="I1078" s="266" t="s">
        <v>9</v>
      </c>
      <c r="J1078" s="266"/>
      <c r="K1078" s="278" t="s">
        <v>33</v>
      </c>
      <c r="L1078" s="278" t="s">
        <v>23</v>
      </c>
      <c r="M1078" s="278"/>
      <c r="N1078" s="278" t="s">
        <v>1349</v>
      </c>
      <c r="O1078" s="278" t="s">
        <v>298</v>
      </c>
      <c r="P1078" s="284" t="s">
        <v>128</v>
      </c>
      <c r="Q1078" s="279" t="s">
        <v>9</v>
      </c>
      <c r="R1078" s="279" t="s">
        <v>105</v>
      </c>
      <c r="S1078" s="279" t="s">
        <v>114</v>
      </c>
      <c r="T1078" s="278" t="s">
        <v>298</v>
      </c>
      <c r="U1078" s="278" t="s">
        <v>298</v>
      </c>
      <c r="V1078" s="278" t="s">
        <v>1349</v>
      </c>
      <c r="W1078" s="272" t="str">
        <f>IF(IFERROR(VLOOKUP($M1078,[2]COMPARE!$H$2:$H$847,1,0),"-")="-","","GS")</f>
        <v/>
      </c>
      <c r="X1078" s="284" t="s">
        <v>298</v>
      </c>
      <c r="Y1078" s="278" t="s">
        <v>1350</v>
      </c>
      <c r="Z1078" s="58" t="str">
        <f>IF(OR($M1078="",NOT($O1078="{array}")),"",IFERROR(MATCH(PARAMETERS!$M1078,DEFAULT!$B$5:$CI$5,0),""))</f>
        <v/>
      </c>
      <c r="AA1078" s="55" t="str">
        <f t="shared" si="82"/>
        <v/>
      </c>
      <c r="AB1078" s="62" t="str">
        <f>IF(AND(OR($A1078="G",$A1078="P"),NOT($O1078="{array}")),IF(VLOOKUP($K1078,base!$B$2:$D$20,3,0)="S",IF(OR($O1078="",ISTEXT($O1078)),"","STRING!"),IF(VLOOKUP($K1078,base!$B$2:$D$20,3,0)="","",IF(ISTEXT($O1078),"NUMERIC!",""))),"")</f>
        <v/>
      </c>
      <c r="AC1078" s="16" t="str">
        <f>IF($AA1078="","",IF($B1078="I",VLOOKUP($AA1078,#REF!,53,0),INDEX(VALUES!$B$1:$GP$1,1,$AA1078)))</f>
        <v/>
      </c>
      <c r="AD1078" s="13"/>
      <c r="AE1078" s="13"/>
      <c r="AF1078" s="13"/>
      <c r="AG1078" s="13"/>
      <c r="AH1078" s="13"/>
    </row>
    <row r="1079" spans="1:34" s="276" customFormat="1" hidden="1" outlineLevel="1">
      <c r="A1079" s="263"/>
      <c r="B1079" s="264" t="str">
        <f t="shared" si="83"/>
        <v/>
      </c>
      <c r="C1079" s="265">
        <f t="shared" si="80"/>
        <v>1078</v>
      </c>
      <c r="D1079" s="266"/>
      <c r="E1079" s="266"/>
      <c r="F1079" s="305"/>
      <c r="G1079" s="188"/>
      <c r="H1079" s="266"/>
      <c r="I1079" s="266" t="s">
        <v>9</v>
      </c>
      <c r="J1079" s="266"/>
      <c r="K1079" s="278" t="s">
        <v>33</v>
      </c>
      <c r="L1079" s="278" t="s">
        <v>23</v>
      </c>
      <c r="M1079" s="278"/>
      <c r="N1079" s="278" t="s">
        <v>1351</v>
      </c>
      <c r="O1079" s="278" t="s">
        <v>298</v>
      </c>
      <c r="P1079" s="284" t="s">
        <v>128</v>
      </c>
      <c r="Q1079" s="279" t="s">
        <v>9</v>
      </c>
      <c r="R1079" s="279" t="s">
        <v>105</v>
      </c>
      <c r="S1079" s="279" t="s">
        <v>114</v>
      </c>
      <c r="T1079" s="278" t="s">
        <v>298</v>
      </c>
      <c r="U1079" s="278" t="s">
        <v>298</v>
      </c>
      <c r="V1079" s="278" t="s">
        <v>1351</v>
      </c>
      <c r="W1079" s="272" t="str">
        <f>IF(IFERROR(VLOOKUP($M1079,[2]COMPARE!$H$2:$H$847,1,0),"-")="-","","GS")</f>
        <v/>
      </c>
      <c r="X1079" s="284" t="s">
        <v>298</v>
      </c>
      <c r="Y1079" s="278" t="s">
        <v>1352</v>
      </c>
      <c r="Z1079" s="58" t="str">
        <f>IF(OR($M1079="",NOT($O1079="{array}")),"",IFERROR(MATCH(PARAMETERS!$M1079,DEFAULT!$B$5:$CI$5,0),""))</f>
        <v/>
      </c>
      <c r="AA1079" s="55" t="str">
        <f t="shared" si="82"/>
        <v/>
      </c>
      <c r="AB1079" s="62" t="str">
        <f>IF(AND(OR($A1079="G",$A1079="P"),NOT($O1079="{array}")),IF(VLOOKUP($K1079,base!$B$2:$D$20,3,0)="S",IF(OR($O1079="",ISTEXT($O1079)),"","STRING!"),IF(VLOOKUP($K1079,base!$B$2:$D$20,3,0)="","",IF(ISTEXT($O1079),"NUMERIC!",""))),"")</f>
        <v/>
      </c>
      <c r="AC1079" s="16" t="str">
        <f>IF($AA1079="","",IF($B1079="I",VLOOKUP($AA1079,#REF!,53,0),INDEX(VALUES!$B$1:$GP$1,1,$AA1079)))</f>
        <v/>
      </c>
      <c r="AD1079" s="13"/>
      <c r="AE1079" s="13"/>
      <c r="AF1079" s="13"/>
      <c r="AG1079" s="13"/>
      <c r="AH1079" s="13"/>
    </row>
    <row r="1080" spans="1:34" s="276" customFormat="1" hidden="1" outlineLevel="1">
      <c r="A1080" s="263"/>
      <c r="B1080" s="264" t="str">
        <f t="shared" si="83"/>
        <v/>
      </c>
      <c r="C1080" s="265">
        <f t="shared" si="80"/>
        <v>1079</v>
      </c>
      <c r="D1080" s="266"/>
      <c r="E1080" s="266"/>
      <c r="F1080" s="305"/>
      <c r="G1080" s="188"/>
      <c r="H1080" s="266"/>
      <c r="I1080" s="266" t="s">
        <v>9</v>
      </c>
      <c r="J1080" s="266"/>
      <c r="K1080" s="278" t="s">
        <v>49</v>
      </c>
      <c r="L1080" s="278" t="s">
        <v>23</v>
      </c>
      <c r="M1080" s="278"/>
      <c r="N1080" s="278" t="s">
        <v>1353</v>
      </c>
      <c r="O1080" s="278" t="s">
        <v>298</v>
      </c>
      <c r="P1080" s="284" t="s">
        <v>298</v>
      </c>
      <c r="Q1080" s="279" t="s">
        <v>9</v>
      </c>
      <c r="R1080" s="279" t="s">
        <v>105</v>
      </c>
      <c r="S1080" s="279" t="s">
        <v>114</v>
      </c>
      <c r="T1080" s="278" t="s">
        <v>298</v>
      </c>
      <c r="U1080" s="278" t="s">
        <v>298</v>
      </c>
      <c r="V1080" s="278" t="s">
        <v>1353</v>
      </c>
      <c r="W1080" s="272" t="str">
        <f>IF(IFERROR(VLOOKUP($M1080,[2]COMPARE!$H$2:$H$847,1,0),"-")="-","","GS")</f>
        <v/>
      </c>
      <c r="X1080" s="284" t="s">
        <v>298</v>
      </c>
      <c r="Y1080" s="278" t="s">
        <v>1354</v>
      </c>
      <c r="Z1080" s="58" t="str">
        <f>IF(OR($M1080="",NOT($O1080="{array}")),"",IFERROR(MATCH(PARAMETERS!$M1080,DEFAULT!$B$5:$CI$5,0),""))</f>
        <v/>
      </c>
      <c r="AA1080" s="55" t="str">
        <f t="shared" si="82"/>
        <v/>
      </c>
      <c r="AB1080" s="62" t="str">
        <f>IF(AND(OR($A1080="G",$A1080="P"),NOT($O1080="{array}")),IF(VLOOKUP($K1080,base!$B$2:$D$20,3,0)="S",IF(OR($O1080="",ISTEXT($O1080)),"","STRING!"),IF(VLOOKUP($K1080,base!$B$2:$D$20,3,0)="","",IF(ISTEXT($O1080),"NUMERIC!",""))),"")</f>
        <v/>
      </c>
      <c r="AC1080" s="16" t="str">
        <f>IF($AA1080="","",IF($B1080="I",VLOOKUP($AA1080,#REF!,53,0),INDEX(VALUES!$B$1:$GP$1,1,$AA1080)))</f>
        <v/>
      </c>
      <c r="AD1080" s="13"/>
      <c r="AE1080" s="13"/>
      <c r="AF1080" s="13"/>
      <c r="AG1080" s="13"/>
      <c r="AH1080" s="13"/>
    </row>
    <row r="1081" spans="1:34" s="276" customFormat="1" hidden="1" outlineLevel="1">
      <c r="A1081" s="263"/>
      <c r="B1081" s="264" t="str">
        <f t="shared" si="83"/>
        <v/>
      </c>
      <c r="C1081" s="265">
        <f t="shared" si="80"/>
        <v>1080</v>
      </c>
      <c r="D1081" s="266"/>
      <c r="E1081" s="266"/>
      <c r="F1081" s="305"/>
      <c r="G1081" s="188"/>
      <c r="H1081" s="266"/>
      <c r="I1081" s="266" t="s">
        <v>9</v>
      </c>
      <c r="J1081" s="266"/>
      <c r="K1081" s="278" t="s">
        <v>20</v>
      </c>
      <c r="L1081" s="278" t="s">
        <v>23</v>
      </c>
      <c r="M1081" s="278"/>
      <c r="N1081" s="278" t="s">
        <v>1359</v>
      </c>
      <c r="O1081" s="278" t="s">
        <v>298</v>
      </c>
      <c r="P1081" s="284" t="s">
        <v>298</v>
      </c>
      <c r="Q1081" s="279" t="s">
        <v>9</v>
      </c>
      <c r="R1081" s="279" t="s">
        <v>105</v>
      </c>
      <c r="S1081" s="279" t="s">
        <v>114</v>
      </c>
      <c r="T1081" s="278" t="s">
        <v>298</v>
      </c>
      <c r="U1081" s="278" t="s">
        <v>298</v>
      </c>
      <c r="V1081" s="278" t="s">
        <v>1359</v>
      </c>
      <c r="W1081" s="272" t="str">
        <f>IF(IFERROR(VLOOKUP($M1081,[2]COMPARE!$H$2:$H$847,1,0),"-")="-","","GS")</f>
        <v/>
      </c>
      <c r="X1081" s="284" t="s">
        <v>298</v>
      </c>
      <c r="Y1081" s="278" t="s">
        <v>1360</v>
      </c>
      <c r="Z1081" s="58" t="str">
        <f>IF(OR($M1081="",NOT($O1081="{array}")),"",IFERROR(MATCH(PARAMETERS!$M1081,DEFAULT!$B$5:$CI$5,0),""))</f>
        <v/>
      </c>
      <c r="AA1081" s="55" t="str">
        <f t="shared" si="82"/>
        <v/>
      </c>
      <c r="AB1081" s="62" t="str">
        <f>IF(AND(OR($A1081="G",$A1081="P"),NOT($O1081="{array}")),IF(VLOOKUP($K1081,base!$B$2:$D$20,3,0)="S",IF(OR($O1081="",ISTEXT($O1081)),"","STRING!"),IF(VLOOKUP($K1081,base!$B$2:$D$20,3,0)="","",IF(ISTEXT($O1081),"NUMERIC!",""))),"")</f>
        <v/>
      </c>
      <c r="AC1081" s="16" t="str">
        <f>IF($AA1081="","",IF($B1081="I",VLOOKUP($AA1081,#REF!,53,0),INDEX(VALUES!$B$1:$GP$1,1,$AA1081)))</f>
        <v/>
      </c>
      <c r="AD1081" s="13"/>
      <c r="AE1081" s="13"/>
      <c r="AF1081" s="13"/>
      <c r="AG1081" s="13"/>
      <c r="AH1081" s="13"/>
    </row>
    <row r="1082" spans="1:34" s="276" customFormat="1" hidden="1" outlineLevel="1">
      <c r="A1082" s="263"/>
      <c r="B1082" s="264" t="str">
        <f t="shared" si="83"/>
        <v/>
      </c>
      <c r="C1082" s="265">
        <f t="shared" si="80"/>
        <v>1081</v>
      </c>
      <c r="D1082" s="266"/>
      <c r="E1082" s="266"/>
      <c r="F1082" s="305"/>
      <c r="G1082" s="188"/>
      <c r="H1082" s="266"/>
      <c r="I1082" s="266" t="s">
        <v>9</v>
      </c>
      <c r="J1082" s="266"/>
      <c r="K1082" s="278" t="s">
        <v>20</v>
      </c>
      <c r="L1082" s="278" t="s">
        <v>23</v>
      </c>
      <c r="M1082" s="278"/>
      <c r="N1082" s="278" t="s">
        <v>1361</v>
      </c>
      <c r="O1082" s="278" t="s">
        <v>298</v>
      </c>
      <c r="P1082" s="284" t="s">
        <v>298</v>
      </c>
      <c r="Q1082" s="279" t="s">
        <v>9</v>
      </c>
      <c r="R1082" s="279" t="s">
        <v>105</v>
      </c>
      <c r="S1082" s="279" t="s">
        <v>114</v>
      </c>
      <c r="T1082" s="278" t="s">
        <v>298</v>
      </c>
      <c r="U1082" s="278" t="s">
        <v>298</v>
      </c>
      <c r="V1082" s="278" t="s">
        <v>1361</v>
      </c>
      <c r="W1082" s="272" t="str">
        <f>IF(IFERROR(VLOOKUP($M1082,[2]COMPARE!$H$2:$H$847,1,0),"-")="-","","GS")</f>
        <v/>
      </c>
      <c r="X1082" s="284" t="s">
        <v>298</v>
      </c>
      <c r="Y1082" s="278" t="s">
        <v>1362</v>
      </c>
      <c r="Z1082" s="58" t="str">
        <f>IF(OR($M1082="",NOT($O1082="{array}")),"",IFERROR(MATCH(PARAMETERS!$M1082,DEFAULT!$B$5:$CI$5,0),""))</f>
        <v/>
      </c>
      <c r="AA1082" s="55" t="str">
        <f t="shared" si="82"/>
        <v/>
      </c>
      <c r="AB1082" s="62" t="str">
        <f>IF(AND(OR($A1082="G",$A1082="P"),NOT($O1082="{array}")),IF(VLOOKUP($K1082,base!$B$2:$D$20,3,0)="S",IF(OR($O1082="",ISTEXT($O1082)),"","STRING!"),IF(VLOOKUP($K1082,base!$B$2:$D$20,3,0)="","",IF(ISTEXT($O1082),"NUMERIC!",""))),"")</f>
        <v/>
      </c>
      <c r="AC1082" s="16" t="str">
        <f>IF($AA1082="","",IF($B1082="I",VLOOKUP($AA1082,#REF!,53,0),INDEX(VALUES!$B$1:$GP$1,1,$AA1082)))</f>
        <v/>
      </c>
      <c r="AD1082" s="13"/>
      <c r="AE1082" s="13"/>
      <c r="AF1082" s="13"/>
      <c r="AG1082" s="13"/>
      <c r="AH1082" s="13"/>
    </row>
    <row r="1083" spans="1:34" s="276" customFormat="1" hidden="1" outlineLevel="1">
      <c r="A1083" s="263"/>
      <c r="B1083" s="264" t="str">
        <f t="shared" si="83"/>
        <v/>
      </c>
      <c r="C1083" s="265">
        <f t="shared" si="80"/>
        <v>1082</v>
      </c>
      <c r="D1083" s="266"/>
      <c r="E1083" s="266"/>
      <c r="F1083" s="305"/>
      <c r="G1083" s="188"/>
      <c r="H1083" s="266"/>
      <c r="I1083" s="266" t="s">
        <v>9</v>
      </c>
      <c r="J1083" s="266"/>
      <c r="K1083" s="278" t="s">
        <v>20</v>
      </c>
      <c r="L1083" s="278" t="s">
        <v>34</v>
      </c>
      <c r="M1083" s="278"/>
      <c r="N1083" s="278" t="s">
        <v>3929</v>
      </c>
      <c r="O1083" s="278" t="s">
        <v>298</v>
      </c>
      <c r="P1083" s="284" t="s">
        <v>298</v>
      </c>
      <c r="Q1083" s="279" t="s">
        <v>9</v>
      </c>
      <c r="R1083" s="279" t="s">
        <v>105</v>
      </c>
      <c r="S1083" s="279" t="s">
        <v>114</v>
      </c>
      <c r="T1083" s="278" t="s">
        <v>298</v>
      </c>
      <c r="U1083" s="278" t="s">
        <v>298</v>
      </c>
      <c r="V1083" s="278" t="s">
        <v>1361</v>
      </c>
      <c r="W1083" s="272" t="str">
        <f>IF(IFERROR(VLOOKUP($M1083,[2]COMPARE!$H$2:$H$847,1,0),"-")="-","","GS")</f>
        <v/>
      </c>
      <c r="X1083" s="284" t="s">
        <v>298</v>
      </c>
      <c r="Y1083" s="278" t="s">
        <v>1362</v>
      </c>
      <c r="Z1083" s="58" t="str">
        <f>IF(OR($M1083="",NOT($O1083="{array}")),"",IFERROR(MATCH(PARAMETERS!$M1083,DEFAULT!$B$5:$CI$5,0),""))</f>
        <v/>
      </c>
      <c r="AA1083" s="55" t="str">
        <f t="shared" si="82"/>
        <v/>
      </c>
      <c r="AB1083" s="62" t="str">
        <f>IF(AND(OR($A1083="G",$A1083="P"),NOT($O1083="{array}")),IF(VLOOKUP($K1083,base!$B$2:$D$20,3,0)="S",IF(OR($O1083="",ISTEXT($O1083)),"","STRING!"),IF(VLOOKUP($K1083,base!$B$2:$D$20,3,0)="","",IF(ISTEXT($O1083),"NUMERIC!",""))),"")</f>
        <v/>
      </c>
      <c r="AC1083" s="16" t="str">
        <f>IF($AA1083="","",IF($B1083="I",VLOOKUP($AA1083,#REF!,53,0),INDEX(VALUES!$B$1:$GP$1,1,$AA1083)))</f>
        <v/>
      </c>
      <c r="AD1083" s="13"/>
      <c r="AE1083" s="13"/>
      <c r="AF1083" s="13"/>
      <c r="AG1083" s="13"/>
      <c r="AH1083" s="13"/>
    </row>
    <row r="1084" spans="1:34" hidden="1" outlineLevel="1">
      <c r="A1084" s="21" t="s">
        <v>86</v>
      </c>
      <c r="B1084" s="40" t="str">
        <f t="shared" si="83"/>
        <v/>
      </c>
      <c r="C1084" s="41">
        <f t="shared" si="80"/>
        <v>1083</v>
      </c>
      <c r="D1084" s="260" t="s">
        <v>9</v>
      </c>
      <c r="E1084" s="37"/>
      <c r="F1084" s="305"/>
      <c r="G1084" s="188"/>
      <c r="H1084" s="37"/>
      <c r="I1084" s="37" t="s">
        <v>9</v>
      </c>
      <c r="J1084" s="37"/>
      <c r="K1084" s="163" t="s">
        <v>20</v>
      </c>
      <c r="L1084" s="164" t="s">
        <v>34</v>
      </c>
      <c r="M1084" s="215" t="s">
        <v>3803</v>
      </c>
      <c r="N1084" s="163" t="s">
        <v>1363</v>
      </c>
      <c r="O1084" s="163" t="s">
        <v>105</v>
      </c>
      <c r="P1084" s="157" t="s">
        <v>298</v>
      </c>
      <c r="Q1084" s="168"/>
      <c r="R1084" s="168" t="s">
        <v>105</v>
      </c>
      <c r="S1084" s="168" t="s">
        <v>114</v>
      </c>
      <c r="T1084" s="163" t="s">
        <v>298</v>
      </c>
      <c r="U1084" s="163" t="s">
        <v>298</v>
      </c>
      <c r="V1084" s="163" t="s">
        <v>1363</v>
      </c>
      <c r="W1084" s="14" t="str">
        <f>IF(IFERROR(VLOOKUP($M1084,[2]COMPARE!$H$2:$H$847,1,0),"-")="-","","GS")</f>
        <v/>
      </c>
      <c r="X1084" s="157" t="s">
        <v>298</v>
      </c>
      <c r="Y1084" s="163" t="s">
        <v>1364</v>
      </c>
      <c r="Z1084" s="58" t="str">
        <f>IF(OR($M1084="",NOT($O1084="{array}")),"",IFERROR(MATCH(PARAMETERS!$M1084,DEFAULT!$B$5:$CI$5,0),""))</f>
        <v/>
      </c>
      <c r="AA1084" s="55" t="str">
        <f t="shared" si="82"/>
        <v/>
      </c>
      <c r="AB1084" s="62" t="str">
        <f>IF(AND(OR($A1084="G",$A1084="P"),NOT($O1084="{array}")),IF(VLOOKUP($K1084,base!$B$2:$D$20,3,0)="S",IF(OR($O1084="",ISTEXT($O1084)),"","STRING!"),IF(VLOOKUP($K1084,base!$B$2:$D$20,3,0)="","",IF(ISTEXT($O1084),"NUMERIC!",""))),"")</f>
        <v/>
      </c>
      <c r="AC1084" s="16" t="str">
        <f>IF($AA1084="","",IF($B1084="I",VLOOKUP($AA1084,#REF!,53,0),INDEX(VALUES!$B$1:$GP$1,1,$AA1084)))</f>
        <v/>
      </c>
    </row>
    <row r="1085" spans="1:34" hidden="1" outlineLevel="1">
      <c r="A1085" s="21" t="s">
        <v>86</v>
      </c>
      <c r="B1085" s="40" t="str">
        <f t="shared" si="83"/>
        <v/>
      </c>
      <c r="C1085" s="41">
        <f t="shared" si="80"/>
        <v>1084</v>
      </c>
      <c r="D1085" s="260" t="s">
        <v>9</v>
      </c>
      <c r="E1085" s="37"/>
      <c r="F1085" s="305"/>
      <c r="G1085" s="188"/>
      <c r="H1085" s="37"/>
      <c r="I1085" s="37" t="s">
        <v>9</v>
      </c>
      <c r="J1085" s="37"/>
      <c r="K1085" s="163" t="s">
        <v>49</v>
      </c>
      <c r="L1085" s="164" t="s">
        <v>29</v>
      </c>
      <c r="M1085" s="239" t="s">
        <v>3858</v>
      </c>
      <c r="N1085" s="163" t="s">
        <v>3859</v>
      </c>
      <c r="O1085" s="163">
        <v>0</v>
      </c>
      <c r="P1085" s="157" t="s">
        <v>298</v>
      </c>
      <c r="Q1085" s="168" t="s">
        <v>9</v>
      </c>
      <c r="R1085" s="168" t="s">
        <v>105</v>
      </c>
      <c r="S1085" s="168" t="s">
        <v>114</v>
      </c>
      <c r="T1085" s="163" t="s">
        <v>298</v>
      </c>
      <c r="U1085" s="163" t="s">
        <v>298</v>
      </c>
      <c r="V1085" s="163"/>
      <c r="W1085" s="14"/>
      <c r="X1085" s="157"/>
      <c r="Y1085" s="163"/>
      <c r="Z1085" s="58" t="str">
        <f>IF(OR($M1085="",NOT($O1085="{array}")),"",IFERROR(MATCH(PARAMETERS!$M1085,DEFAULT!$B$5:$CI$5,0),""))</f>
        <v/>
      </c>
      <c r="AA1085" s="55" t="str">
        <f t="shared" si="82"/>
        <v/>
      </c>
      <c r="AB1085" s="62" t="str">
        <f>IF(AND(OR($A1085="G",$A1085="P"),NOT($O1085="{array}")),IF(VLOOKUP($K1085,base!$B$2:$D$20,3,0)="S",IF(OR($O1085="",ISTEXT($O1085)),"","STRING!"),IF(VLOOKUP($K1085,base!$B$2:$D$20,3,0)="","",IF(ISTEXT($O1085),"NUMERIC!",""))),"")</f>
        <v/>
      </c>
      <c r="AC1085" s="16" t="str">
        <f>IF($AA1085="","",IF($B1085="I",VLOOKUP($AA1085,#REF!,53,0),INDEX(VALUES!$B$1:$GP$1,1,$AA1085)))</f>
        <v/>
      </c>
    </row>
    <row r="1086" spans="1:34" s="276" customFormat="1" hidden="1" outlineLevel="1">
      <c r="A1086" s="263"/>
      <c r="B1086" s="264" t="str">
        <f t="shared" si="83"/>
        <v/>
      </c>
      <c r="C1086" s="265">
        <f t="shared" ref="C1086:C1141" si="84">(ROW()-1)</f>
        <v>1085</v>
      </c>
      <c r="D1086" s="266"/>
      <c r="E1086" s="266"/>
      <c r="F1086" s="305"/>
      <c r="G1086" s="188"/>
      <c r="H1086" s="266"/>
      <c r="I1086" s="266" t="s">
        <v>9</v>
      </c>
      <c r="J1086" s="266"/>
      <c r="K1086" s="278" t="s">
        <v>20</v>
      </c>
      <c r="L1086" s="278" t="s">
        <v>23</v>
      </c>
      <c r="M1086" s="278"/>
      <c r="N1086" s="278" t="s">
        <v>1365</v>
      </c>
      <c r="O1086" s="278" t="s">
        <v>298</v>
      </c>
      <c r="P1086" s="284" t="s">
        <v>298</v>
      </c>
      <c r="Q1086" s="279" t="s">
        <v>9</v>
      </c>
      <c r="R1086" s="279" t="s">
        <v>105</v>
      </c>
      <c r="S1086" s="279" t="s">
        <v>114</v>
      </c>
      <c r="T1086" s="278" t="s">
        <v>298</v>
      </c>
      <c r="U1086" s="278" t="s">
        <v>298</v>
      </c>
      <c r="V1086" s="278" t="s">
        <v>1365</v>
      </c>
      <c r="W1086" s="272" t="str">
        <f>IF(IFERROR(VLOOKUP($M1086,[2]COMPARE!$H$2:$H$847,1,0),"-")="-","","GS")</f>
        <v/>
      </c>
      <c r="X1086" s="284" t="s">
        <v>298</v>
      </c>
      <c r="Y1086" s="278" t="s">
        <v>1366</v>
      </c>
      <c r="Z1086" s="58" t="str">
        <f>IF(OR($M1086="",NOT($O1086="{array}")),"",IFERROR(MATCH(PARAMETERS!$M1086,DEFAULT!$B$5:$CI$5,0),""))</f>
        <v/>
      </c>
      <c r="AA1086" s="55" t="str">
        <f t="shared" si="82"/>
        <v/>
      </c>
      <c r="AB1086" s="62" t="str">
        <f>IF(AND(OR($A1086="G",$A1086="P"),NOT($O1086="{array}")),IF(VLOOKUP($K1086,base!$B$2:$D$20,3,0)="S",IF(OR($O1086="",ISTEXT($O1086)),"","STRING!"),IF(VLOOKUP($K1086,base!$B$2:$D$20,3,0)="","",IF(ISTEXT($O1086),"NUMERIC!",""))),"")</f>
        <v/>
      </c>
      <c r="AC1086" s="16" t="str">
        <f>IF($AA1086="","",IF($B1086="I",VLOOKUP($AA1086,#REF!,53,0),INDEX(VALUES!$B$1:$GP$1,1,$AA1086)))</f>
        <v/>
      </c>
      <c r="AD1086" s="13"/>
      <c r="AE1086" s="13"/>
      <c r="AF1086" s="13"/>
      <c r="AG1086" s="13"/>
      <c r="AH1086" s="13"/>
    </row>
    <row r="1087" spans="1:34" s="276" customFormat="1" hidden="1" outlineLevel="1">
      <c r="A1087" s="263"/>
      <c r="B1087" s="264" t="str">
        <f t="shared" si="83"/>
        <v/>
      </c>
      <c r="C1087" s="265">
        <f t="shared" si="84"/>
        <v>1086</v>
      </c>
      <c r="D1087" s="266"/>
      <c r="E1087" s="266"/>
      <c r="F1087" s="305"/>
      <c r="G1087" s="188"/>
      <c r="H1087" s="266"/>
      <c r="I1087" s="266" t="s">
        <v>9</v>
      </c>
      <c r="J1087" s="266"/>
      <c r="K1087" s="278" t="s">
        <v>20</v>
      </c>
      <c r="L1087" s="278" t="s">
        <v>23</v>
      </c>
      <c r="M1087" s="278"/>
      <c r="N1087" s="278" t="s">
        <v>1367</v>
      </c>
      <c r="O1087" s="278" t="s">
        <v>298</v>
      </c>
      <c r="P1087" s="284" t="s">
        <v>298</v>
      </c>
      <c r="Q1087" s="279" t="s">
        <v>9</v>
      </c>
      <c r="R1087" s="279" t="s">
        <v>105</v>
      </c>
      <c r="S1087" s="279" t="s">
        <v>114</v>
      </c>
      <c r="T1087" s="278" t="s">
        <v>298</v>
      </c>
      <c r="U1087" s="278" t="s">
        <v>298</v>
      </c>
      <c r="V1087" s="278" t="s">
        <v>1367</v>
      </c>
      <c r="W1087" s="272" t="str">
        <f>IF(IFERROR(VLOOKUP($M1087,[2]COMPARE!$H$2:$H$847,1,0),"-")="-","","GS")</f>
        <v/>
      </c>
      <c r="X1087" s="284" t="s">
        <v>298</v>
      </c>
      <c r="Y1087" s="278" t="s">
        <v>1368</v>
      </c>
      <c r="Z1087" s="58" t="str">
        <f>IF(OR($M1087="",NOT($O1087="{array}")),"",IFERROR(MATCH(PARAMETERS!$M1087,DEFAULT!$B$5:$CI$5,0),""))</f>
        <v/>
      </c>
      <c r="AA1087" s="55" t="str">
        <f t="shared" si="82"/>
        <v/>
      </c>
      <c r="AB1087" s="62" t="str">
        <f>IF(AND(OR($A1087="G",$A1087="P"),NOT($O1087="{array}")),IF(VLOOKUP($K1087,base!$B$2:$D$20,3,0)="S",IF(OR($O1087="",ISTEXT($O1087)),"","STRING!"),IF(VLOOKUP($K1087,base!$B$2:$D$20,3,0)="","",IF(ISTEXT($O1087),"NUMERIC!",""))),"")</f>
        <v/>
      </c>
      <c r="AC1087" s="16" t="str">
        <f>IF($AA1087="","",IF($B1087="I",VLOOKUP($AA1087,#REF!,53,0),INDEX(VALUES!$B$1:$GP$1,1,$AA1087)))</f>
        <v/>
      </c>
      <c r="AD1087" s="13"/>
      <c r="AE1087" s="13"/>
      <c r="AF1087" s="13"/>
      <c r="AG1087" s="13"/>
      <c r="AH1087" s="13"/>
    </row>
    <row r="1088" spans="1:34" s="276" customFormat="1" hidden="1" outlineLevel="1">
      <c r="A1088" s="263"/>
      <c r="B1088" s="264" t="str">
        <f t="shared" si="83"/>
        <v/>
      </c>
      <c r="C1088" s="265">
        <f t="shared" si="84"/>
        <v>1087</v>
      </c>
      <c r="D1088" s="266"/>
      <c r="E1088" s="266"/>
      <c r="F1088" s="305"/>
      <c r="G1088" s="188"/>
      <c r="H1088" s="266"/>
      <c r="I1088" s="266" t="s">
        <v>9</v>
      </c>
      <c r="J1088" s="266"/>
      <c r="K1088" s="278" t="s">
        <v>20</v>
      </c>
      <c r="L1088" s="278" t="s">
        <v>23</v>
      </c>
      <c r="M1088" s="278"/>
      <c r="N1088" s="278" t="s">
        <v>1369</v>
      </c>
      <c r="O1088" s="278" t="s">
        <v>298</v>
      </c>
      <c r="P1088" s="284" t="s">
        <v>298</v>
      </c>
      <c r="Q1088" s="279" t="s">
        <v>9</v>
      </c>
      <c r="R1088" s="279" t="s">
        <v>105</v>
      </c>
      <c r="S1088" s="279" t="s">
        <v>114</v>
      </c>
      <c r="T1088" s="278" t="s">
        <v>298</v>
      </c>
      <c r="U1088" s="278" t="s">
        <v>298</v>
      </c>
      <c r="V1088" s="278" t="s">
        <v>1369</v>
      </c>
      <c r="W1088" s="272" t="str">
        <f>IF(IFERROR(VLOOKUP($M1088,[2]COMPARE!$H$2:$H$847,1,0),"-")="-","","GS")</f>
        <v/>
      </c>
      <c r="X1088" s="284" t="s">
        <v>298</v>
      </c>
      <c r="Y1088" s="278" t="s">
        <v>1370</v>
      </c>
      <c r="Z1088" s="58" t="str">
        <f>IF(OR($M1088="",NOT($O1088="{array}")),"",IFERROR(MATCH(PARAMETERS!$M1088,DEFAULT!$B$5:$CI$5,0),""))</f>
        <v/>
      </c>
      <c r="AA1088" s="55" t="str">
        <f t="shared" si="82"/>
        <v/>
      </c>
      <c r="AB1088" s="62" t="str">
        <f>IF(AND(OR($A1088="G",$A1088="P"),NOT($O1088="{array}")),IF(VLOOKUP($K1088,base!$B$2:$D$20,3,0)="S",IF(OR($O1088="",ISTEXT($O1088)),"","STRING!"),IF(VLOOKUP($K1088,base!$B$2:$D$20,3,0)="","",IF(ISTEXT($O1088),"NUMERIC!",""))),"")</f>
        <v/>
      </c>
      <c r="AC1088" s="16" t="str">
        <f>IF($AA1088="","",IF($B1088="I",VLOOKUP($AA1088,#REF!,53,0),INDEX(VALUES!$B$1:$GP$1,1,$AA1088)))</f>
        <v/>
      </c>
      <c r="AD1088" s="13"/>
      <c r="AE1088" s="13"/>
      <c r="AF1088" s="13"/>
      <c r="AG1088" s="13"/>
      <c r="AH1088" s="13"/>
    </row>
    <row r="1089" spans="1:34" hidden="1" outlineLevel="1">
      <c r="A1089" s="21" t="s">
        <v>86</v>
      </c>
      <c r="B1089" s="40" t="str">
        <f t="shared" si="83"/>
        <v/>
      </c>
      <c r="C1089" s="41">
        <f t="shared" si="84"/>
        <v>1088</v>
      </c>
      <c r="D1089" s="260" t="s">
        <v>9</v>
      </c>
      <c r="E1089" s="37"/>
      <c r="F1089" s="305"/>
      <c r="G1089" s="188"/>
      <c r="H1089" s="37"/>
      <c r="I1089" s="37" t="s">
        <v>9</v>
      </c>
      <c r="J1089" s="37"/>
      <c r="K1089" s="156" t="s">
        <v>20</v>
      </c>
      <c r="L1089" s="164" t="s">
        <v>23</v>
      </c>
      <c r="M1089" s="215" t="s">
        <v>3755</v>
      </c>
      <c r="N1089" s="163" t="s">
        <v>3753</v>
      </c>
      <c r="O1089" s="163" t="s">
        <v>1096</v>
      </c>
      <c r="P1089" s="157" t="s">
        <v>298</v>
      </c>
      <c r="Q1089" s="174" t="s">
        <v>9</v>
      </c>
      <c r="R1089" s="168" t="s">
        <v>105</v>
      </c>
      <c r="S1089" s="168" t="s">
        <v>114</v>
      </c>
      <c r="T1089" s="163"/>
      <c r="U1089" s="163"/>
      <c r="V1089" s="163"/>
      <c r="W1089" s="14"/>
      <c r="X1089" s="157"/>
      <c r="Y1089" s="163"/>
      <c r="Z1089" s="58" t="str">
        <f>IF(OR($M1089="",NOT($O1089="{array}")),"",IFERROR(MATCH(PARAMETERS!$M1089,DEFAULT!$B$5:$CI$5,0),""))</f>
        <v/>
      </c>
      <c r="AA1089" s="55" t="str">
        <f t="shared" si="82"/>
        <v/>
      </c>
      <c r="AB1089" s="62" t="str">
        <f>IF(AND(OR($A1089="G",$A1089="P"),NOT($O1089="{array}")),IF(VLOOKUP($K1089,base!$B$2:$D$20,3,0)="S",IF(OR($O1089="",ISTEXT($O1089)),"","STRING!"),IF(VLOOKUP($K1089,base!$B$2:$D$20,3,0)="","",IF(ISTEXT($O1089),"NUMERIC!",""))),"")</f>
        <v/>
      </c>
      <c r="AC1089" s="16" t="str">
        <f>IF($AA1089="","",IF($B1089="I",VLOOKUP($AA1089,#REF!,53,0),INDEX(VALUES!$B$1:$GP$1,1,$AA1089)))</f>
        <v/>
      </c>
    </row>
    <row r="1090" spans="1:34" hidden="1" outlineLevel="1">
      <c r="A1090" s="21" t="s">
        <v>86</v>
      </c>
      <c r="B1090" s="40" t="str">
        <f t="shared" si="83"/>
        <v/>
      </c>
      <c r="C1090" s="41">
        <f t="shared" si="84"/>
        <v>1089</v>
      </c>
      <c r="D1090" s="260" t="s">
        <v>9</v>
      </c>
      <c r="E1090" s="37"/>
      <c r="F1090" s="305"/>
      <c r="G1090" s="188"/>
      <c r="H1090" s="37"/>
      <c r="I1090" s="37" t="s">
        <v>9</v>
      </c>
      <c r="J1090" s="37"/>
      <c r="K1090" s="156" t="s">
        <v>20</v>
      </c>
      <c r="L1090" s="164" t="s">
        <v>23</v>
      </c>
      <c r="M1090" s="215" t="s">
        <v>3756</v>
      </c>
      <c r="N1090" s="156" t="s">
        <v>3754</v>
      </c>
      <c r="O1090" s="163" t="s">
        <v>3130</v>
      </c>
      <c r="P1090" s="157" t="s">
        <v>298</v>
      </c>
      <c r="Q1090" s="168" t="s">
        <v>9</v>
      </c>
      <c r="R1090" s="168" t="s">
        <v>105</v>
      </c>
      <c r="S1090" s="168" t="s">
        <v>114</v>
      </c>
      <c r="T1090" s="163" t="s">
        <v>298</v>
      </c>
      <c r="U1090" s="163" t="s">
        <v>298</v>
      </c>
      <c r="V1090" s="163" t="s">
        <v>1357</v>
      </c>
      <c r="W1090" s="14" t="str">
        <f>IF(IFERROR(VLOOKUP($M1090,[2]COMPARE!$H$2:$H$847,1,0),"-")="-","","GS")</f>
        <v/>
      </c>
      <c r="X1090" s="157" t="s">
        <v>298</v>
      </c>
      <c r="Y1090" s="163" t="s">
        <v>1358</v>
      </c>
      <c r="Z1090" s="58" t="str">
        <f>IF(OR($M1090="",NOT($O1090="{array}")),"",IFERROR(MATCH(PARAMETERS!$M1090,DEFAULT!$B$5:$CI$5,0),""))</f>
        <v/>
      </c>
      <c r="AA1090" s="55" t="str">
        <f t="shared" si="82"/>
        <v/>
      </c>
      <c r="AB1090" s="62" t="str">
        <f>IF(AND(OR($A1090="G",$A1090="P"),NOT($O1090="{array}")),IF(VLOOKUP($K1090,base!$B$2:$D$20,3,0)="S",IF(OR($O1090="",ISTEXT($O1090)),"","STRING!"),IF(VLOOKUP($K1090,base!$B$2:$D$20,3,0)="","",IF(ISTEXT($O1090),"NUMERIC!",""))),"")</f>
        <v/>
      </c>
      <c r="AC1090" s="16" t="str">
        <f>IF($AA1090="","",IF($B1090="I",VLOOKUP($AA1090,#REF!,53,0),INDEX(VALUES!$B$1:$GP$1,1,$AA1090)))</f>
        <v/>
      </c>
    </row>
    <row r="1091" spans="1:34" s="276" customFormat="1" hidden="1" outlineLevel="1">
      <c r="A1091" s="263"/>
      <c r="B1091" s="264" t="str">
        <f>IF($A1091="P",IF(NOT($Z1091=""),"A",IF(NOT($AA1091=""),"I","")),IF(NOT($AA1091=""),IF($A1091="G","V","X"),IF(NOT($Z1091=""),"A","")))</f>
        <v/>
      </c>
      <c r="C1091" s="265">
        <f t="shared" si="84"/>
        <v>1090</v>
      </c>
      <c r="D1091" s="266"/>
      <c r="E1091" s="266"/>
      <c r="F1091" s="305"/>
      <c r="G1091" s="188"/>
      <c r="H1091" s="266"/>
      <c r="I1091" s="266" t="s">
        <v>9</v>
      </c>
      <c r="J1091" s="266"/>
      <c r="K1091" s="278" t="s">
        <v>20</v>
      </c>
      <c r="L1091" s="278" t="s">
        <v>23</v>
      </c>
      <c r="M1091" s="278"/>
      <c r="N1091" s="278" t="s">
        <v>1355</v>
      </c>
      <c r="O1091" s="278" t="s">
        <v>298</v>
      </c>
      <c r="P1091" s="284" t="s">
        <v>298</v>
      </c>
      <c r="Q1091" s="279" t="s">
        <v>9</v>
      </c>
      <c r="R1091" s="279" t="s">
        <v>105</v>
      </c>
      <c r="S1091" s="279" t="s">
        <v>114</v>
      </c>
      <c r="T1091" s="278" t="s">
        <v>298</v>
      </c>
      <c r="U1091" s="278" t="s">
        <v>298</v>
      </c>
      <c r="V1091" s="278" t="s">
        <v>1355</v>
      </c>
      <c r="W1091" s="272" t="str">
        <f>IF(IFERROR(VLOOKUP($M1091,[2]COMPARE!$H$2:$H$847,1,0),"-")="-","","GS")</f>
        <v/>
      </c>
      <c r="X1091" s="284" t="s">
        <v>298</v>
      </c>
      <c r="Y1091" s="278" t="s">
        <v>1356</v>
      </c>
      <c r="Z1091" s="58" t="str">
        <f>IF(OR($M1091="",NOT($O1091="{array}")),"",IFERROR(MATCH(PARAMETERS!$M1091,DEFAULT!$B$5:$CI$5,0),""))</f>
        <v/>
      </c>
      <c r="AA1091" s="55" t="str">
        <f t="shared" si="82"/>
        <v/>
      </c>
      <c r="AB1091" s="62" t="str">
        <f>IF(AND(OR($A1091="G",$A1091="P"),NOT($O1091="{array}")),IF(VLOOKUP($K1091,base!$B$2:$D$20,3,0)="S",IF(OR($O1091="",ISTEXT($O1091)),"","STRING!"),IF(VLOOKUP($K1091,base!$B$2:$D$20,3,0)="","",IF(ISTEXT($O1091),"NUMERIC!",""))),"")</f>
        <v/>
      </c>
      <c r="AC1091" s="16" t="str">
        <f>IF($AA1091="","",IF($B1091="I",VLOOKUP($AA1091,#REF!,53,0),INDEX(VALUES!$B$1:$GP$1,1,$AA1091)))</f>
        <v/>
      </c>
      <c r="AD1091" s="13"/>
      <c r="AE1091" s="13"/>
      <c r="AF1091" s="13"/>
      <c r="AG1091" s="13"/>
      <c r="AH1091" s="13"/>
    </row>
    <row r="1092" spans="1:34" s="276" customFormat="1" hidden="1" outlineLevel="1">
      <c r="A1092" s="263"/>
      <c r="B1092" s="264" t="str">
        <f t="shared" si="83"/>
        <v/>
      </c>
      <c r="C1092" s="265">
        <f t="shared" si="84"/>
        <v>1091</v>
      </c>
      <c r="D1092" s="266"/>
      <c r="E1092" s="266"/>
      <c r="F1092" s="305"/>
      <c r="G1092" s="188"/>
      <c r="H1092" s="266"/>
      <c r="I1092" s="266" t="s">
        <v>9</v>
      </c>
      <c r="J1092" s="266"/>
      <c r="K1092" s="278" t="s">
        <v>20</v>
      </c>
      <c r="L1092" s="278" t="s">
        <v>23</v>
      </c>
      <c r="M1092" s="278"/>
      <c r="N1092" s="278" t="s">
        <v>1371</v>
      </c>
      <c r="O1092" s="278" t="s">
        <v>298</v>
      </c>
      <c r="P1092" s="284" t="s">
        <v>298</v>
      </c>
      <c r="Q1092" s="279" t="s">
        <v>9</v>
      </c>
      <c r="R1092" s="279" t="s">
        <v>105</v>
      </c>
      <c r="S1092" s="279" t="s">
        <v>114</v>
      </c>
      <c r="T1092" s="278" t="s">
        <v>298</v>
      </c>
      <c r="U1092" s="278" t="s">
        <v>298</v>
      </c>
      <c r="V1092" s="278" t="s">
        <v>1371</v>
      </c>
      <c r="W1092" s="272" t="str">
        <f>IF(IFERROR(VLOOKUP($M1092,[2]COMPARE!$H$2:$H$847,1,0),"-")="-","","GS")</f>
        <v/>
      </c>
      <c r="X1092" s="284" t="s">
        <v>298</v>
      </c>
      <c r="Y1092" s="278" t="s">
        <v>298</v>
      </c>
      <c r="Z1092" s="58" t="str">
        <f>IF(OR($M1092="",NOT($O1092="{array}")),"",IFERROR(MATCH(PARAMETERS!$M1092,DEFAULT!$B$5:$CI$5,0),""))</f>
        <v/>
      </c>
      <c r="AA1092" s="55" t="str">
        <f t="shared" si="82"/>
        <v/>
      </c>
      <c r="AB1092" s="62" t="str">
        <f>IF(AND(OR($A1092="G",$A1092="P"),NOT($O1092="{array}")),IF(VLOOKUP($K1092,base!$B$2:$D$20,3,0)="S",IF(OR($O1092="",ISTEXT($O1092)),"","STRING!"),IF(VLOOKUP($K1092,base!$B$2:$D$20,3,0)="","",IF(ISTEXT($O1092),"NUMERIC!",""))),"")</f>
        <v/>
      </c>
      <c r="AC1092" s="16" t="str">
        <f>IF($AA1092="","",IF($B1092="I",VLOOKUP($AA1092,#REF!,53,0),INDEX(VALUES!$B$1:$GP$1,1,$AA1092)))</f>
        <v/>
      </c>
      <c r="AD1092" s="13"/>
      <c r="AE1092" s="13"/>
      <c r="AF1092" s="13"/>
      <c r="AG1092" s="13"/>
      <c r="AH1092" s="13"/>
    </row>
    <row r="1093" spans="1:34" hidden="1" outlineLevel="1">
      <c r="A1093" s="21" t="s">
        <v>86</v>
      </c>
      <c r="B1093" s="40" t="str">
        <f t="shared" si="83"/>
        <v/>
      </c>
      <c r="C1093" s="41">
        <f t="shared" si="84"/>
        <v>1092</v>
      </c>
      <c r="D1093" s="260" t="s">
        <v>9</v>
      </c>
      <c r="E1093" s="37"/>
      <c r="F1093" s="305"/>
      <c r="G1093" s="188"/>
      <c r="H1093" s="37"/>
      <c r="I1093" s="37" t="s">
        <v>9</v>
      </c>
      <c r="J1093" s="37"/>
      <c r="K1093" s="163" t="s">
        <v>20</v>
      </c>
      <c r="L1093" s="164" t="s">
        <v>34</v>
      </c>
      <c r="M1093" s="215" t="s">
        <v>3828</v>
      </c>
      <c r="N1093" s="163" t="s">
        <v>3830</v>
      </c>
      <c r="O1093" s="163" t="s">
        <v>21</v>
      </c>
      <c r="P1093" s="157" t="s">
        <v>298</v>
      </c>
      <c r="Q1093" s="168" t="s">
        <v>9</v>
      </c>
      <c r="R1093" s="168" t="s">
        <v>105</v>
      </c>
      <c r="S1093" s="168" t="s">
        <v>114</v>
      </c>
      <c r="T1093" s="163" t="s">
        <v>298</v>
      </c>
      <c r="U1093" s="163" t="s">
        <v>298</v>
      </c>
      <c r="V1093" s="163" t="s">
        <v>1371</v>
      </c>
      <c r="W1093" s="14" t="str">
        <f>IF(IFERROR(VLOOKUP($M1093,[2]COMPARE!$H$2:$H$847,1,0),"-")="-","","GS")</f>
        <v/>
      </c>
      <c r="X1093" s="157" t="s">
        <v>298</v>
      </c>
      <c r="Y1093" s="163" t="s">
        <v>298</v>
      </c>
      <c r="Z1093" s="58" t="str">
        <f>IF(OR($M1093="",NOT($O1093="{array}")),"",IFERROR(MATCH(PARAMETERS!$M1093,DEFAULT!$B$5:$CI$5,0),""))</f>
        <v/>
      </c>
      <c r="AA1093" s="55" t="str">
        <f t="shared" si="82"/>
        <v/>
      </c>
      <c r="AB1093" s="62" t="str">
        <f>IF(AND(OR($A1093="G",$A1093="P"),NOT($O1093="{array}")),IF(VLOOKUP($K1093,base!$B$2:$D$20,3,0)="S",IF(OR($O1093="",ISTEXT($O1093)),"","STRING!"),IF(VLOOKUP($K1093,base!$B$2:$D$20,3,0)="","",IF(ISTEXT($O1093),"NUMERIC!",""))),"")</f>
        <v/>
      </c>
      <c r="AC1093" s="16" t="str">
        <f>IF($AA1093="","",IF($B1093="I",VLOOKUP($AA1093,#REF!,53,0),INDEX(VALUES!$B$1:$GP$1,1,$AA1093)))</f>
        <v/>
      </c>
    </row>
    <row r="1094" spans="1:34" hidden="1" outlineLevel="1">
      <c r="A1094" s="21" t="s">
        <v>86</v>
      </c>
      <c r="B1094" s="40" t="str">
        <f t="shared" si="83"/>
        <v/>
      </c>
      <c r="C1094" s="41">
        <f t="shared" si="84"/>
        <v>1093</v>
      </c>
      <c r="D1094" s="260" t="s">
        <v>9</v>
      </c>
      <c r="E1094" s="37"/>
      <c r="F1094" s="305"/>
      <c r="G1094" s="188"/>
      <c r="H1094" s="37"/>
      <c r="I1094" s="37" t="s">
        <v>9</v>
      </c>
      <c r="J1094" s="37"/>
      <c r="K1094" s="163" t="s">
        <v>20</v>
      </c>
      <c r="L1094" s="164" t="s">
        <v>34</v>
      </c>
      <c r="M1094" s="215" t="s">
        <v>3829</v>
      </c>
      <c r="N1094" s="163" t="s">
        <v>3831</v>
      </c>
      <c r="O1094" s="163" t="s">
        <v>3192</v>
      </c>
      <c r="P1094" s="157" t="s">
        <v>298</v>
      </c>
      <c r="Q1094" s="168" t="s">
        <v>9</v>
      </c>
      <c r="R1094" s="168" t="s">
        <v>105</v>
      </c>
      <c r="S1094" s="168" t="s">
        <v>114</v>
      </c>
      <c r="T1094" s="163" t="s">
        <v>298</v>
      </c>
      <c r="U1094" s="163" t="s">
        <v>298</v>
      </c>
      <c r="V1094" s="163" t="s">
        <v>1371</v>
      </c>
      <c r="W1094" s="14" t="str">
        <f>IF(IFERROR(VLOOKUP($M1094,[2]COMPARE!$H$2:$H$847,1,0),"-")="-","","GS")</f>
        <v/>
      </c>
      <c r="X1094" s="157" t="s">
        <v>298</v>
      </c>
      <c r="Y1094" s="163" t="s">
        <v>298</v>
      </c>
      <c r="Z1094" s="58" t="str">
        <f>IF(OR($M1094="",NOT($O1094="{array}")),"",IFERROR(MATCH(PARAMETERS!$M1094,DEFAULT!$B$5:$CI$5,0),""))</f>
        <v/>
      </c>
      <c r="AA1094" s="55" t="str">
        <f t="shared" si="82"/>
        <v/>
      </c>
      <c r="AB1094" s="62" t="str">
        <f>IF(AND(OR($A1094="G",$A1094="P"),NOT($O1094="{array}")),IF(VLOOKUP($K1094,base!$B$2:$D$20,3,0)="S",IF(OR($O1094="",ISTEXT($O1094)),"","STRING!"),IF(VLOOKUP($K1094,base!$B$2:$D$20,3,0)="","",IF(ISTEXT($O1094),"NUMERIC!",""))),"")</f>
        <v/>
      </c>
      <c r="AC1094" s="16" t="str">
        <f>IF($AA1094="","",IF($B1094="I",VLOOKUP($AA1094,#REF!,53,0),INDEX(VALUES!$B$1:$GP$1,1,$AA1094)))</f>
        <v/>
      </c>
    </row>
    <row r="1095" spans="1:34" collapsed="1">
      <c r="A1095" s="21" t="s">
        <v>86</v>
      </c>
      <c r="B1095" s="40" t="str">
        <f t="shared" si="83"/>
        <v/>
      </c>
      <c r="C1095" s="41">
        <f t="shared" si="84"/>
        <v>1094</v>
      </c>
      <c r="D1095" s="260"/>
      <c r="E1095" s="37"/>
      <c r="F1095" s="305"/>
      <c r="G1095" s="188"/>
      <c r="H1095" s="37"/>
      <c r="I1095" s="37"/>
      <c r="J1095" s="37"/>
      <c r="K1095" s="226" t="s">
        <v>59</v>
      </c>
      <c r="L1095" s="226" t="s">
        <v>40</v>
      </c>
      <c r="M1095" s="227" t="s">
        <v>1372</v>
      </c>
      <c r="N1095" s="228" t="s">
        <v>1373</v>
      </c>
      <c r="R1095" s="37" t="s">
        <v>105</v>
      </c>
      <c r="S1095" s="37"/>
      <c r="T1095" s="37"/>
      <c r="W1095" s="14" t="str">
        <f>IF(IFERROR(VLOOKUP($M1095,'IMPORT GS-Tür OL FL 2S2 20'!$H$2:$H$847,1,0),"-")="-","","GS")</f>
        <v/>
      </c>
      <c r="X1095" s="14" t="str">
        <f t="shared" si="81"/>
        <v>...</v>
      </c>
      <c r="Z1095" s="58" t="str">
        <f>IF(OR($M1095="",NOT($O1095="{array}")),"",IFERROR(MATCH(PARAMETERS!$M1095,DEFAULT!$B$5:$CI$5,0),""))</f>
        <v/>
      </c>
      <c r="AA1095" s="55" t="str">
        <f t="shared" ref="AA1095:AA1108" si="85">IF($M1095="","",IFERROR(MATCH($M1095,VALUESnames,0),""))</f>
        <v/>
      </c>
      <c r="AB1095" s="62" t="str">
        <f>IF(AND(OR($A1095="G",$A1095="P"),NOT($O1095="{array}")),IF(VLOOKUP($K1095,base!$B$2:$D$20,3,0)="S",IF(OR($O1095="",ISTEXT($O1095)),"","STRING!"),IF(VLOOKUP($K1095,base!$B$2:$D$20,3,0)="","",IF(ISTEXT($O1095),"NUMERIC!",""))),"")</f>
        <v/>
      </c>
      <c r="AC1095" s="16" t="str">
        <f>IF($AA1095="","",IF($B1095="I",VLOOKUP($AA1095,#REF!,53,0),INDEX(VALUES!$B$1:$GP$1,1,$AA1095)))</f>
        <v/>
      </c>
    </row>
    <row r="1096" spans="1:34" s="276" customFormat="1" hidden="1" outlineLevel="1">
      <c r="A1096" s="263"/>
      <c r="B1096" s="264" t="str">
        <f t="shared" si="83"/>
        <v/>
      </c>
      <c r="C1096" s="265">
        <f t="shared" si="84"/>
        <v>1095</v>
      </c>
      <c r="D1096" s="266"/>
      <c r="E1096" s="266"/>
      <c r="F1096" s="305"/>
      <c r="G1096" s="188"/>
      <c r="H1096" s="266"/>
      <c r="I1096" s="266" t="s">
        <v>9</v>
      </c>
      <c r="J1096" s="266"/>
      <c r="K1096" s="278" t="s">
        <v>20</v>
      </c>
      <c r="L1096" s="278" t="s">
        <v>23</v>
      </c>
      <c r="M1096" s="278"/>
      <c r="N1096" s="278" t="s">
        <v>1374</v>
      </c>
      <c r="O1096" s="278" t="s">
        <v>298</v>
      </c>
      <c r="P1096" s="284" t="s">
        <v>298</v>
      </c>
      <c r="Q1096" s="279" t="s">
        <v>9</v>
      </c>
      <c r="R1096" s="279" t="s">
        <v>105</v>
      </c>
      <c r="S1096" s="279" t="s">
        <v>114</v>
      </c>
      <c r="T1096" s="278" t="s">
        <v>298</v>
      </c>
      <c r="U1096" s="278" t="s">
        <v>298</v>
      </c>
      <c r="V1096" s="278" t="s">
        <v>1374</v>
      </c>
      <c r="W1096" s="272" t="str">
        <f>IF(IFERROR(VLOOKUP($M1096,'IMPORT GS-Tür OL FL 2S2 20'!$H$2:$H$847,1,0),"-")="-","","GS")</f>
        <v/>
      </c>
      <c r="X1096" s="272" t="str">
        <f t="shared" si="81"/>
        <v/>
      </c>
      <c r="Y1096" s="278" t="s">
        <v>1375</v>
      </c>
      <c r="Z1096" s="58" t="str">
        <f>IF(OR($M1096="",NOT($O1096="{array}")),"",IFERROR(MATCH(PARAMETERS!$M1096,DEFAULT!$B$5:$CI$5,0),""))</f>
        <v/>
      </c>
      <c r="AA1096" s="55" t="str">
        <f t="shared" si="85"/>
        <v/>
      </c>
      <c r="AB1096" s="62" t="str">
        <f>IF(AND(OR($A1096="G",$A1096="P"),NOT($O1096="{array}")),IF(VLOOKUP($K1096,base!$B$2:$D$20,3,0)="S",IF(OR($O1096="",ISTEXT($O1096)),"","STRING!"),IF(VLOOKUP($K1096,base!$B$2:$D$20,3,0)="","",IF(ISTEXT($O1096),"NUMERIC!",""))),"")</f>
        <v/>
      </c>
      <c r="AC1096" s="16" t="str">
        <f>IF($AA1096="","",IF($B1096="I",VLOOKUP($AA1096,#REF!,53,0),INDEX(VALUES!$B$1:$GP$1,1,$AA1096)))</f>
        <v/>
      </c>
      <c r="AD1096" s="13"/>
      <c r="AE1096" s="13"/>
      <c r="AF1096" s="13"/>
      <c r="AG1096" s="13"/>
      <c r="AH1096" s="13"/>
    </row>
    <row r="1097" spans="1:34" s="276" customFormat="1" hidden="1" outlineLevel="1">
      <c r="A1097" s="263"/>
      <c r="B1097" s="264" t="str">
        <f t="shared" si="83"/>
        <v/>
      </c>
      <c r="C1097" s="265">
        <f t="shared" si="84"/>
        <v>1096</v>
      </c>
      <c r="D1097" s="266"/>
      <c r="E1097" s="266"/>
      <c r="F1097" s="305"/>
      <c r="G1097" s="188"/>
      <c r="H1097" s="266"/>
      <c r="I1097" s="266" t="s">
        <v>9</v>
      </c>
      <c r="J1097" s="266"/>
      <c r="K1097" s="278" t="s">
        <v>20</v>
      </c>
      <c r="L1097" s="278" t="s">
        <v>23</v>
      </c>
      <c r="M1097" s="278"/>
      <c r="N1097" s="278" t="s">
        <v>1376</v>
      </c>
      <c r="O1097" s="278" t="s">
        <v>298</v>
      </c>
      <c r="P1097" s="284" t="s">
        <v>298</v>
      </c>
      <c r="Q1097" s="279" t="s">
        <v>9</v>
      </c>
      <c r="R1097" s="279" t="s">
        <v>105</v>
      </c>
      <c r="S1097" s="279" t="s">
        <v>114</v>
      </c>
      <c r="T1097" s="278" t="s">
        <v>298</v>
      </c>
      <c r="U1097" s="278" t="s">
        <v>298</v>
      </c>
      <c r="V1097" s="278" t="s">
        <v>1376</v>
      </c>
      <c r="W1097" s="272" t="str">
        <f>IF(IFERROR(VLOOKUP($M1097,'IMPORT GS-Tür OL FL 2S2 20'!$H$2:$H$847,1,0),"-")="-","","GS")</f>
        <v/>
      </c>
      <c r="X1097" s="272" t="str">
        <f t="shared" si="81"/>
        <v/>
      </c>
      <c r="Y1097" s="278" t="s">
        <v>1377</v>
      </c>
      <c r="Z1097" s="58" t="str">
        <f>IF(OR($M1097="",NOT($O1097="{array}")),"",IFERROR(MATCH(PARAMETERS!$M1097,DEFAULT!$B$5:$CI$5,0),""))</f>
        <v/>
      </c>
      <c r="AA1097" s="55" t="str">
        <f t="shared" si="85"/>
        <v/>
      </c>
      <c r="AB1097" s="62" t="str">
        <f>IF(AND(OR($A1097="G",$A1097="P"),NOT($O1097="{array}")),IF(VLOOKUP($K1097,base!$B$2:$D$20,3,0)="S",IF(OR($O1097="",ISTEXT($O1097)),"","STRING!"),IF(VLOOKUP($K1097,base!$B$2:$D$20,3,0)="","",IF(ISTEXT($O1097),"NUMERIC!",""))),"")</f>
        <v/>
      </c>
      <c r="AC1097" s="16" t="str">
        <f>IF($AA1097="","",IF($B1097="I",VLOOKUP($AA1097,#REF!,53,0),INDEX(VALUES!$B$1:$GP$1,1,$AA1097)))</f>
        <v/>
      </c>
      <c r="AD1097" s="13"/>
      <c r="AE1097" s="13"/>
      <c r="AF1097" s="13"/>
      <c r="AG1097" s="13"/>
      <c r="AH1097" s="13"/>
    </row>
    <row r="1098" spans="1:34" s="276" customFormat="1" hidden="1" outlineLevel="1">
      <c r="A1098" s="263"/>
      <c r="B1098" s="264" t="str">
        <f t="shared" si="83"/>
        <v/>
      </c>
      <c r="C1098" s="265">
        <f t="shared" si="84"/>
        <v>1097</v>
      </c>
      <c r="D1098" s="266"/>
      <c r="E1098" s="266"/>
      <c r="F1098" s="305"/>
      <c r="G1098" s="188"/>
      <c r="H1098" s="266"/>
      <c r="I1098" s="266" t="s">
        <v>9</v>
      </c>
      <c r="J1098" s="266"/>
      <c r="K1098" s="278" t="s">
        <v>20</v>
      </c>
      <c r="L1098" s="278" t="s">
        <v>23</v>
      </c>
      <c r="M1098" s="278"/>
      <c r="N1098" s="278" t="s">
        <v>1378</v>
      </c>
      <c r="O1098" s="278" t="s">
        <v>298</v>
      </c>
      <c r="P1098" s="284" t="s">
        <v>298</v>
      </c>
      <c r="Q1098" s="279" t="s">
        <v>9</v>
      </c>
      <c r="R1098" s="279" t="s">
        <v>105</v>
      </c>
      <c r="S1098" s="279" t="s">
        <v>114</v>
      </c>
      <c r="T1098" s="278" t="s">
        <v>298</v>
      </c>
      <c r="U1098" s="278" t="s">
        <v>298</v>
      </c>
      <c r="V1098" s="278" t="s">
        <v>1378</v>
      </c>
      <c r="W1098" s="272" t="str">
        <f>IF(IFERROR(VLOOKUP($M1098,'IMPORT GS-Tür OL FL 2S2 20'!$H$2:$H$847,1,0),"-")="-","","GS")</f>
        <v/>
      </c>
      <c r="X1098" s="272" t="str">
        <f t="shared" si="81"/>
        <v/>
      </c>
      <c r="Y1098" s="278" t="s">
        <v>1379</v>
      </c>
      <c r="Z1098" s="58" t="str">
        <f>IF(OR($M1098="",NOT($O1098="{array}")),"",IFERROR(MATCH(PARAMETERS!$M1098,DEFAULT!$B$5:$CI$5,0),""))</f>
        <v/>
      </c>
      <c r="AA1098" s="55" t="str">
        <f t="shared" si="85"/>
        <v/>
      </c>
      <c r="AB1098" s="62" t="str">
        <f>IF(AND(OR($A1098="G",$A1098="P"),NOT($O1098="{array}")),IF(VLOOKUP($K1098,base!$B$2:$D$20,3,0)="S",IF(OR($O1098="",ISTEXT($O1098)),"","STRING!"),IF(VLOOKUP($K1098,base!$B$2:$D$20,3,0)="","",IF(ISTEXT($O1098),"NUMERIC!",""))),"")</f>
        <v/>
      </c>
      <c r="AC1098" s="16" t="str">
        <f>IF($AA1098="","",IF($B1098="I",VLOOKUP($AA1098,#REF!,53,0),INDEX(VALUES!$B$1:$GP$1,1,$AA1098)))</f>
        <v/>
      </c>
      <c r="AD1098" s="13"/>
      <c r="AE1098" s="13"/>
      <c r="AF1098" s="13"/>
      <c r="AG1098" s="13"/>
      <c r="AH1098" s="13"/>
    </row>
    <row r="1099" spans="1:34" s="276" customFormat="1" hidden="1" outlineLevel="1">
      <c r="A1099" s="263"/>
      <c r="B1099" s="264" t="str">
        <f t="shared" si="83"/>
        <v/>
      </c>
      <c r="C1099" s="265">
        <f t="shared" si="84"/>
        <v>1098</v>
      </c>
      <c r="D1099" s="266"/>
      <c r="E1099" s="266"/>
      <c r="F1099" s="305"/>
      <c r="G1099" s="188"/>
      <c r="H1099" s="266"/>
      <c r="I1099" s="266" t="s">
        <v>9</v>
      </c>
      <c r="J1099" s="266"/>
      <c r="K1099" s="278" t="s">
        <v>20</v>
      </c>
      <c r="L1099" s="278" t="s">
        <v>23</v>
      </c>
      <c r="M1099" s="278"/>
      <c r="N1099" s="278" t="s">
        <v>1380</v>
      </c>
      <c r="O1099" s="278" t="s">
        <v>298</v>
      </c>
      <c r="P1099" s="284" t="s">
        <v>298</v>
      </c>
      <c r="Q1099" s="279" t="s">
        <v>9</v>
      </c>
      <c r="R1099" s="279" t="s">
        <v>105</v>
      </c>
      <c r="S1099" s="279" t="s">
        <v>114</v>
      </c>
      <c r="T1099" s="278" t="s">
        <v>298</v>
      </c>
      <c r="U1099" s="278" t="s">
        <v>298</v>
      </c>
      <c r="V1099" s="278" t="s">
        <v>1380</v>
      </c>
      <c r="W1099" s="272" t="str">
        <f>IF(IFERROR(VLOOKUP($M1099,'IMPORT GS-Tür OL FL 2S2 20'!$H$2:$H$847,1,0),"-")="-","","GS")</f>
        <v/>
      </c>
      <c r="X1099" s="272" t="str">
        <f t="shared" si="81"/>
        <v/>
      </c>
      <c r="Y1099" s="278" t="s">
        <v>1381</v>
      </c>
      <c r="Z1099" s="58" t="str">
        <f>IF(OR($M1099="",NOT($O1099="{array}")),"",IFERROR(MATCH(PARAMETERS!$M1099,DEFAULT!$B$5:$CI$5,0),""))</f>
        <v/>
      </c>
      <c r="AA1099" s="55" t="str">
        <f t="shared" si="85"/>
        <v/>
      </c>
      <c r="AB1099" s="62" t="str">
        <f>IF(AND(OR($A1099="G",$A1099="P"),NOT($O1099="{array}")),IF(VLOOKUP($K1099,base!$B$2:$D$20,3,0)="S",IF(OR($O1099="",ISTEXT($O1099)),"","STRING!"),IF(VLOOKUP($K1099,base!$B$2:$D$20,3,0)="","",IF(ISTEXT($O1099),"NUMERIC!",""))),"")</f>
        <v/>
      </c>
      <c r="AC1099" s="16" t="str">
        <f>IF($AA1099="","",IF($B1099="I",VLOOKUP($AA1099,#REF!,53,0),INDEX(VALUES!$B$1:$GP$1,1,$AA1099)))</f>
        <v/>
      </c>
      <c r="AD1099" s="13"/>
      <c r="AE1099" s="13"/>
      <c r="AF1099" s="13"/>
      <c r="AG1099" s="13"/>
      <c r="AH1099" s="13"/>
    </row>
    <row r="1100" spans="1:34" s="276" customFormat="1" hidden="1" outlineLevel="1">
      <c r="A1100" s="263"/>
      <c r="B1100" s="264" t="str">
        <f t="shared" si="83"/>
        <v/>
      </c>
      <c r="C1100" s="265">
        <f t="shared" si="84"/>
        <v>1099</v>
      </c>
      <c r="D1100" s="266"/>
      <c r="E1100" s="266"/>
      <c r="F1100" s="305"/>
      <c r="G1100" s="188"/>
      <c r="H1100" s="266"/>
      <c r="I1100" s="266" t="s">
        <v>9</v>
      </c>
      <c r="J1100" s="266"/>
      <c r="K1100" s="278" t="s">
        <v>20</v>
      </c>
      <c r="L1100" s="278" t="s">
        <v>23</v>
      </c>
      <c r="M1100" s="278"/>
      <c r="N1100" s="278" t="s">
        <v>1382</v>
      </c>
      <c r="O1100" s="278" t="s">
        <v>298</v>
      </c>
      <c r="P1100" s="284" t="s">
        <v>298</v>
      </c>
      <c r="Q1100" s="279" t="s">
        <v>9</v>
      </c>
      <c r="R1100" s="279" t="s">
        <v>105</v>
      </c>
      <c r="S1100" s="279" t="s">
        <v>114</v>
      </c>
      <c r="T1100" s="278" t="s">
        <v>298</v>
      </c>
      <c r="U1100" s="278" t="s">
        <v>298</v>
      </c>
      <c r="V1100" s="278" t="s">
        <v>1382</v>
      </c>
      <c r="W1100" s="272" t="str">
        <f>IF(IFERROR(VLOOKUP($M1100,'IMPORT GS-Tür OL FL 2S2 20'!$H$2:$H$847,1,0),"-")="-","","GS")</f>
        <v/>
      </c>
      <c r="X1100" s="272" t="str">
        <f t="shared" ref="X1100:X1163" si="86">IF($A1100="G",IF(IFERROR(VLOOKUP($M1100,Reimport,1,0),"-")="-","&gt;&lt;",IF($O1100=VLOOKUP($M1100,Reimport,2,0),"...",VLOOKUP($M1100,Reimport,2,0))),"")</f>
        <v/>
      </c>
      <c r="Y1100" s="278" t="s">
        <v>1383</v>
      </c>
      <c r="Z1100" s="58" t="str">
        <f>IF(OR($M1100="",NOT($O1100="{array}")),"",IFERROR(MATCH(PARAMETERS!$M1100,DEFAULT!$B$5:$CI$5,0),""))</f>
        <v/>
      </c>
      <c r="AA1100" s="55" t="str">
        <f t="shared" si="85"/>
        <v/>
      </c>
      <c r="AB1100" s="62" t="str">
        <f>IF(AND(OR($A1100="G",$A1100="P"),NOT($O1100="{array}")),IF(VLOOKUP($K1100,base!$B$2:$D$20,3,0)="S",IF(OR($O1100="",ISTEXT($O1100)),"","STRING!"),IF(VLOOKUP($K1100,base!$B$2:$D$20,3,0)="","",IF(ISTEXT($O1100),"NUMERIC!",""))),"")</f>
        <v/>
      </c>
      <c r="AC1100" s="16" t="str">
        <f>IF($AA1100="","",IF($B1100="I",VLOOKUP($AA1100,#REF!,53,0),INDEX(VALUES!$B$1:$GP$1,1,$AA1100)))</f>
        <v/>
      </c>
      <c r="AD1100" s="13"/>
      <c r="AE1100" s="13"/>
      <c r="AF1100" s="13"/>
      <c r="AG1100" s="13"/>
      <c r="AH1100" s="13"/>
    </row>
    <row r="1101" spans="1:34" s="276" customFormat="1" hidden="1" outlineLevel="1">
      <c r="A1101" s="263"/>
      <c r="B1101" s="264" t="str">
        <f t="shared" si="83"/>
        <v/>
      </c>
      <c r="C1101" s="265">
        <f t="shared" si="84"/>
        <v>1100</v>
      </c>
      <c r="D1101" s="266"/>
      <c r="E1101" s="266"/>
      <c r="F1101" s="305"/>
      <c r="G1101" s="188"/>
      <c r="H1101" s="266"/>
      <c r="I1101" s="266" t="s">
        <v>9</v>
      </c>
      <c r="J1101" s="266"/>
      <c r="K1101" s="278" t="s">
        <v>20</v>
      </c>
      <c r="L1101" s="278" t="s">
        <v>23</v>
      </c>
      <c r="M1101" s="278"/>
      <c r="N1101" s="278" t="s">
        <v>1384</v>
      </c>
      <c r="O1101" s="278" t="s">
        <v>298</v>
      </c>
      <c r="P1101" s="284" t="s">
        <v>298</v>
      </c>
      <c r="Q1101" s="279" t="s">
        <v>9</v>
      </c>
      <c r="R1101" s="279" t="s">
        <v>105</v>
      </c>
      <c r="S1101" s="279" t="s">
        <v>114</v>
      </c>
      <c r="T1101" s="278" t="s">
        <v>298</v>
      </c>
      <c r="U1101" s="278" t="s">
        <v>298</v>
      </c>
      <c r="V1101" s="278" t="s">
        <v>1384</v>
      </c>
      <c r="W1101" s="272" t="str">
        <f>IF(IFERROR(VLOOKUP($M1101,'IMPORT GS-Tür OL FL 2S2 20'!$H$2:$H$847,1,0),"-")="-","","GS")</f>
        <v/>
      </c>
      <c r="X1101" s="272" t="str">
        <f t="shared" si="86"/>
        <v/>
      </c>
      <c r="Y1101" s="278" t="s">
        <v>1385</v>
      </c>
      <c r="Z1101" s="58" t="str">
        <f>IF(OR($M1101="",NOT($O1101="{array}")),"",IFERROR(MATCH(PARAMETERS!$M1101,DEFAULT!$B$5:$CI$5,0),""))</f>
        <v/>
      </c>
      <c r="AA1101" s="55" t="str">
        <f t="shared" si="85"/>
        <v/>
      </c>
      <c r="AB1101" s="62" t="str">
        <f>IF(AND(OR($A1101="G",$A1101="P"),NOT($O1101="{array}")),IF(VLOOKUP($K1101,base!$B$2:$D$20,3,0)="S",IF(OR($O1101="",ISTEXT($O1101)),"","STRING!"),IF(VLOOKUP($K1101,base!$B$2:$D$20,3,0)="","",IF(ISTEXT($O1101),"NUMERIC!",""))),"")</f>
        <v/>
      </c>
      <c r="AC1101" s="16" t="str">
        <f>IF($AA1101="","",IF($B1101="I",VLOOKUP($AA1101,#REF!,53,0),INDEX(VALUES!$B$1:$GP$1,1,$AA1101)))</f>
        <v/>
      </c>
      <c r="AD1101" s="13"/>
      <c r="AE1101" s="13"/>
      <c r="AF1101" s="13"/>
      <c r="AG1101" s="13"/>
      <c r="AH1101" s="13"/>
    </row>
    <row r="1102" spans="1:34" s="276" customFormat="1" hidden="1" outlineLevel="1">
      <c r="A1102" s="263"/>
      <c r="B1102" s="264" t="str">
        <f t="shared" si="83"/>
        <v/>
      </c>
      <c r="C1102" s="265">
        <f t="shared" si="84"/>
        <v>1101</v>
      </c>
      <c r="D1102" s="266"/>
      <c r="E1102" s="266"/>
      <c r="F1102" s="305"/>
      <c r="G1102" s="188"/>
      <c r="H1102" s="266"/>
      <c r="I1102" s="266" t="s">
        <v>9</v>
      </c>
      <c r="J1102" s="266"/>
      <c r="K1102" s="278" t="s">
        <v>20</v>
      </c>
      <c r="L1102" s="278" t="s">
        <v>23</v>
      </c>
      <c r="M1102" s="278"/>
      <c r="N1102" s="278" t="s">
        <v>1386</v>
      </c>
      <c r="O1102" s="278" t="s">
        <v>298</v>
      </c>
      <c r="P1102" s="284" t="s">
        <v>298</v>
      </c>
      <c r="Q1102" s="279" t="s">
        <v>9</v>
      </c>
      <c r="R1102" s="279" t="s">
        <v>105</v>
      </c>
      <c r="S1102" s="279" t="s">
        <v>114</v>
      </c>
      <c r="T1102" s="278" t="s">
        <v>298</v>
      </c>
      <c r="U1102" s="278" t="s">
        <v>298</v>
      </c>
      <c r="V1102" s="278" t="s">
        <v>1386</v>
      </c>
      <c r="W1102" s="272" t="str">
        <f>IF(IFERROR(VLOOKUP($M1102,'IMPORT GS-Tür OL FL 2S2 20'!$H$2:$H$847,1,0),"-")="-","","GS")</f>
        <v/>
      </c>
      <c r="X1102" s="272" t="str">
        <f t="shared" si="86"/>
        <v/>
      </c>
      <c r="Y1102" s="278" t="s">
        <v>1387</v>
      </c>
      <c r="Z1102" s="58" t="str">
        <f>IF(OR($M1102="",NOT($O1102="{array}")),"",IFERROR(MATCH(PARAMETERS!$M1102,DEFAULT!$B$5:$CI$5,0),""))</f>
        <v/>
      </c>
      <c r="AA1102" s="55" t="str">
        <f t="shared" si="85"/>
        <v/>
      </c>
      <c r="AB1102" s="62" t="str">
        <f>IF(AND(OR($A1102="G",$A1102="P"),NOT($O1102="{array}")),IF(VLOOKUP($K1102,base!$B$2:$D$20,3,0)="S",IF(OR($O1102="",ISTEXT($O1102)),"","STRING!"),IF(VLOOKUP($K1102,base!$B$2:$D$20,3,0)="","",IF(ISTEXT($O1102),"NUMERIC!",""))),"")</f>
        <v/>
      </c>
      <c r="AC1102" s="16" t="str">
        <f>IF($AA1102="","",IF($B1102="I",VLOOKUP($AA1102,#REF!,53,0),INDEX(VALUES!$B$1:$GP$1,1,$AA1102)))</f>
        <v/>
      </c>
      <c r="AD1102" s="13"/>
      <c r="AE1102" s="13"/>
      <c r="AF1102" s="13"/>
      <c r="AG1102" s="13"/>
      <c r="AH1102" s="13"/>
    </row>
    <row r="1103" spans="1:34" s="276" customFormat="1" hidden="1" outlineLevel="1">
      <c r="A1103" s="263"/>
      <c r="B1103" s="264" t="str">
        <f t="shared" si="83"/>
        <v/>
      </c>
      <c r="C1103" s="265">
        <f t="shared" si="84"/>
        <v>1102</v>
      </c>
      <c r="D1103" s="266"/>
      <c r="E1103" s="266"/>
      <c r="F1103" s="305"/>
      <c r="G1103" s="188"/>
      <c r="H1103" s="266"/>
      <c r="I1103" s="266" t="s">
        <v>9</v>
      </c>
      <c r="J1103" s="266"/>
      <c r="K1103" s="278" t="s">
        <v>20</v>
      </c>
      <c r="L1103" s="278" t="s">
        <v>23</v>
      </c>
      <c r="M1103" s="278"/>
      <c r="N1103" s="278" t="s">
        <v>1388</v>
      </c>
      <c r="O1103" s="278" t="s">
        <v>298</v>
      </c>
      <c r="P1103" s="284" t="s">
        <v>298</v>
      </c>
      <c r="Q1103" s="279" t="s">
        <v>9</v>
      </c>
      <c r="R1103" s="279" t="s">
        <v>105</v>
      </c>
      <c r="S1103" s="279" t="s">
        <v>114</v>
      </c>
      <c r="T1103" s="278" t="s">
        <v>298</v>
      </c>
      <c r="U1103" s="278" t="s">
        <v>298</v>
      </c>
      <c r="V1103" s="278" t="s">
        <v>1388</v>
      </c>
      <c r="W1103" s="272" t="str">
        <f>IF(IFERROR(VLOOKUP($M1103,'IMPORT GS-Tür OL FL 2S2 20'!$H$2:$H$847,1,0),"-")="-","","GS")</f>
        <v/>
      </c>
      <c r="X1103" s="272" t="str">
        <f t="shared" si="86"/>
        <v/>
      </c>
      <c r="Y1103" s="278" t="s">
        <v>1389</v>
      </c>
      <c r="Z1103" s="58" t="str">
        <f>IF(OR($M1103="",NOT($O1103="{array}")),"",IFERROR(MATCH(PARAMETERS!$M1103,DEFAULT!$B$5:$CI$5,0),""))</f>
        <v/>
      </c>
      <c r="AA1103" s="55" t="str">
        <f t="shared" si="85"/>
        <v/>
      </c>
      <c r="AB1103" s="62" t="str">
        <f>IF(AND(OR($A1103="G",$A1103="P"),NOT($O1103="{array}")),IF(VLOOKUP($K1103,base!$B$2:$D$20,3,0)="S",IF(OR($O1103="",ISTEXT($O1103)),"","STRING!"),IF(VLOOKUP($K1103,base!$B$2:$D$20,3,0)="","",IF(ISTEXT($O1103),"NUMERIC!",""))),"")</f>
        <v/>
      </c>
      <c r="AC1103" s="16" t="str">
        <f>IF($AA1103="","",IF($B1103="I",VLOOKUP($AA1103,#REF!,53,0),INDEX(VALUES!$B$1:$GP$1,1,$AA1103)))</f>
        <v/>
      </c>
      <c r="AD1103" s="13"/>
      <c r="AE1103" s="13"/>
      <c r="AF1103" s="13"/>
      <c r="AG1103" s="13"/>
      <c r="AH1103" s="13"/>
    </row>
    <row r="1104" spans="1:34" s="276" customFormat="1" hidden="1" outlineLevel="1">
      <c r="A1104" s="263"/>
      <c r="B1104" s="264" t="str">
        <f t="shared" si="83"/>
        <v/>
      </c>
      <c r="C1104" s="265">
        <f t="shared" si="84"/>
        <v>1103</v>
      </c>
      <c r="D1104" s="266"/>
      <c r="E1104" s="266"/>
      <c r="F1104" s="305"/>
      <c r="G1104" s="188"/>
      <c r="H1104" s="266"/>
      <c r="I1104" s="266" t="s">
        <v>9</v>
      </c>
      <c r="J1104" s="266"/>
      <c r="K1104" s="278" t="s">
        <v>20</v>
      </c>
      <c r="L1104" s="278" t="s">
        <v>23</v>
      </c>
      <c r="M1104" s="278"/>
      <c r="N1104" s="278" t="s">
        <v>1390</v>
      </c>
      <c r="O1104" s="278" t="s">
        <v>298</v>
      </c>
      <c r="P1104" s="284" t="s">
        <v>298</v>
      </c>
      <c r="Q1104" s="279" t="s">
        <v>9</v>
      </c>
      <c r="R1104" s="279" t="s">
        <v>105</v>
      </c>
      <c r="S1104" s="279" t="s">
        <v>114</v>
      </c>
      <c r="T1104" s="278" t="s">
        <v>298</v>
      </c>
      <c r="U1104" s="278" t="s">
        <v>298</v>
      </c>
      <c r="V1104" s="278" t="s">
        <v>1390</v>
      </c>
      <c r="W1104" s="272" t="str">
        <f>IF(IFERROR(VLOOKUP($M1104,'IMPORT GS-Tür OL FL 2S2 20'!$H$2:$H$847,1,0),"-")="-","","GS")</f>
        <v/>
      </c>
      <c r="X1104" s="272" t="str">
        <f t="shared" si="86"/>
        <v/>
      </c>
      <c r="Y1104" s="278" t="s">
        <v>1391</v>
      </c>
      <c r="Z1104" s="58" t="str">
        <f>IF(OR($M1104="",NOT($O1104="{array}")),"",IFERROR(MATCH(PARAMETERS!$M1104,DEFAULT!$B$5:$CI$5,0),""))</f>
        <v/>
      </c>
      <c r="AA1104" s="55" t="str">
        <f t="shared" si="85"/>
        <v/>
      </c>
      <c r="AB1104" s="62" t="str">
        <f>IF(AND(OR($A1104="G",$A1104="P"),NOT($O1104="{array}")),IF(VLOOKUP($K1104,base!$B$2:$D$20,3,0)="S",IF(OR($O1104="",ISTEXT($O1104)),"","STRING!"),IF(VLOOKUP($K1104,base!$B$2:$D$20,3,0)="","",IF(ISTEXT($O1104),"NUMERIC!",""))),"")</f>
        <v/>
      </c>
      <c r="AC1104" s="16" t="str">
        <f>IF($AA1104="","",IF($B1104="I",VLOOKUP($AA1104,#REF!,53,0),INDEX(VALUES!$B$1:$GP$1,1,$AA1104)))</f>
        <v/>
      </c>
      <c r="AD1104" s="13"/>
      <c r="AE1104" s="13"/>
      <c r="AF1104" s="13"/>
      <c r="AG1104" s="13"/>
      <c r="AH1104" s="13"/>
    </row>
    <row r="1105" spans="1:34" s="276" customFormat="1" hidden="1" outlineLevel="1">
      <c r="A1105" s="263"/>
      <c r="B1105" s="264" t="str">
        <f t="shared" si="83"/>
        <v/>
      </c>
      <c r="C1105" s="265">
        <f t="shared" si="84"/>
        <v>1104</v>
      </c>
      <c r="D1105" s="266"/>
      <c r="E1105" s="266"/>
      <c r="F1105" s="305"/>
      <c r="G1105" s="188"/>
      <c r="H1105" s="266"/>
      <c r="I1105" s="266" t="s">
        <v>9</v>
      </c>
      <c r="J1105" s="266"/>
      <c r="K1105" s="278" t="s">
        <v>20</v>
      </c>
      <c r="L1105" s="278" t="s">
        <v>23</v>
      </c>
      <c r="M1105" s="278"/>
      <c r="N1105" s="278" t="s">
        <v>1392</v>
      </c>
      <c r="O1105" s="278" t="s">
        <v>298</v>
      </c>
      <c r="P1105" s="284" t="s">
        <v>298</v>
      </c>
      <c r="Q1105" s="279" t="s">
        <v>9</v>
      </c>
      <c r="R1105" s="279" t="s">
        <v>105</v>
      </c>
      <c r="S1105" s="279" t="s">
        <v>114</v>
      </c>
      <c r="T1105" s="278" t="s">
        <v>298</v>
      </c>
      <c r="U1105" s="278" t="s">
        <v>298</v>
      </c>
      <c r="V1105" s="278" t="s">
        <v>1392</v>
      </c>
      <c r="W1105" s="272" t="str">
        <f>IF(IFERROR(VLOOKUP($M1105,'IMPORT GS-Tür OL FL 2S2 20'!$H$2:$H$847,1,0),"-")="-","","GS")</f>
        <v/>
      </c>
      <c r="X1105" s="272" t="str">
        <f t="shared" si="86"/>
        <v/>
      </c>
      <c r="Y1105" s="278" t="s">
        <v>1393</v>
      </c>
      <c r="Z1105" s="58" t="str">
        <f>IF(OR($M1105="",NOT($O1105="{array}")),"",IFERROR(MATCH(PARAMETERS!$M1105,DEFAULT!$B$5:$CI$5,0),""))</f>
        <v/>
      </c>
      <c r="AA1105" s="55" t="str">
        <f t="shared" si="85"/>
        <v/>
      </c>
      <c r="AB1105" s="62" t="str">
        <f>IF(AND(OR($A1105="G",$A1105="P"),NOT($O1105="{array}")),IF(VLOOKUP($K1105,base!$B$2:$D$20,3,0)="S",IF(OR($O1105="",ISTEXT($O1105)),"","STRING!"),IF(VLOOKUP($K1105,base!$B$2:$D$20,3,0)="","",IF(ISTEXT($O1105),"NUMERIC!",""))),"")</f>
        <v/>
      </c>
      <c r="AC1105" s="16" t="str">
        <f>IF($AA1105="","",IF($B1105="I",VLOOKUP($AA1105,#REF!,53,0),INDEX(VALUES!$B$1:$GP$1,1,$AA1105)))</f>
        <v/>
      </c>
      <c r="AD1105" s="13"/>
      <c r="AE1105" s="13"/>
      <c r="AF1105" s="13"/>
      <c r="AG1105" s="13"/>
      <c r="AH1105" s="13"/>
    </row>
    <row r="1106" spans="1:34" s="276" customFormat="1" hidden="1" outlineLevel="1">
      <c r="A1106" s="263"/>
      <c r="B1106" s="264" t="str">
        <f t="shared" si="83"/>
        <v/>
      </c>
      <c r="C1106" s="265">
        <f t="shared" si="84"/>
        <v>1105</v>
      </c>
      <c r="D1106" s="266"/>
      <c r="E1106" s="266"/>
      <c r="F1106" s="305"/>
      <c r="G1106" s="188"/>
      <c r="H1106" s="266"/>
      <c r="I1106" s="266" t="s">
        <v>9</v>
      </c>
      <c r="J1106" s="266"/>
      <c r="K1106" s="278" t="s">
        <v>20</v>
      </c>
      <c r="L1106" s="278" t="s">
        <v>23</v>
      </c>
      <c r="M1106" s="278"/>
      <c r="N1106" s="278" t="s">
        <v>1394</v>
      </c>
      <c r="O1106" s="278" t="s">
        <v>298</v>
      </c>
      <c r="P1106" s="284" t="s">
        <v>298</v>
      </c>
      <c r="Q1106" s="279" t="s">
        <v>9</v>
      </c>
      <c r="R1106" s="279" t="s">
        <v>105</v>
      </c>
      <c r="S1106" s="279" t="s">
        <v>114</v>
      </c>
      <c r="T1106" s="278" t="s">
        <v>298</v>
      </c>
      <c r="U1106" s="278" t="s">
        <v>298</v>
      </c>
      <c r="V1106" s="278" t="s">
        <v>1394</v>
      </c>
      <c r="W1106" s="272" t="str">
        <f>IF(IFERROR(VLOOKUP($M1106,'IMPORT GS-Tür OL FL 2S2 20'!$H$2:$H$847,1,0),"-")="-","","GS")</f>
        <v/>
      </c>
      <c r="X1106" s="272" t="str">
        <f t="shared" si="86"/>
        <v/>
      </c>
      <c r="Y1106" s="278" t="s">
        <v>1395</v>
      </c>
      <c r="Z1106" s="58" t="str">
        <f>IF(OR($M1106="",NOT($O1106="{array}")),"",IFERROR(MATCH(PARAMETERS!$M1106,DEFAULT!$B$5:$CI$5,0),""))</f>
        <v/>
      </c>
      <c r="AA1106" s="55" t="str">
        <f t="shared" si="85"/>
        <v/>
      </c>
      <c r="AB1106" s="62" t="str">
        <f>IF(AND(OR($A1106="G",$A1106="P"),NOT($O1106="{array}")),IF(VLOOKUP($K1106,base!$B$2:$D$20,3,0)="S",IF(OR($O1106="",ISTEXT($O1106)),"","STRING!"),IF(VLOOKUP($K1106,base!$B$2:$D$20,3,0)="","",IF(ISTEXT($O1106),"NUMERIC!",""))),"")</f>
        <v/>
      </c>
      <c r="AC1106" s="16" t="str">
        <f>IF($AA1106="","",IF($B1106="I",VLOOKUP($AA1106,#REF!,53,0),INDEX(VALUES!$B$1:$GP$1,1,$AA1106)))</f>
        <v/>
      </c>
      <c r="AD1106" s="13"/>
      <c r="AE1106" s="13"/>
      <c r="AF1106" s="13"/>
      <c r="AG1106" s="13"/>
      <c r="AH1106" s="13"/>
    </row>
    <row r="1107" spans="1:34" s="276" customFormat="1" hidden="1" outlineLevel="1">
      <c r="A1107" s="263"/>
      <c r="B1107" s="264" t="str">
        <f t="shared" si="83"/>
        <v/>
      </c>
      <c r="C1107" s="265">
        <f t="shared" si="84"/>
        <v>1106</v>
      </c>
      <c r="D1107" s="266"/>
      <c r="E1107" s="266"/>
      <c r="F1107" s="305"/>
      <c r="G1107" s="188"/>
      <c r="H1107" s="266"/>
      <c r="I1107" s="266" t="s">
        <v>9</v>
      </c>
      <c r="J1107" s="266"/>
      <c r="K1107" s="278" t="s">
        <v>20</v>
      </c>
      <c r="L1107" s="278" t="s">
        <v>23</v>
      </c>
      <c r="M1107" s="278"/>
      <c r="N1107" s="278" t="s">
        <v>1396</v>
      </c>
      <c r="O1107" s="278" t="s">
        <v>298</v>
      </c>
      <c r="P1107" s="284" t="s">
        <v>298</v>
      </c>
      <c r="Q1107" s="279" t="s">
        <v>9</v>
      </c>
      <c r="R1107" s="279" t="s">
        <v>105</v>
      </c>
      <c r="S1107" s="279" t="s">
        <v>114</v>
      </c>
      <c r="T1107" s="278" t="s">
        <v>298</v>
      </c>
      <c r="U1107" s="278" t="s">
        <v>298</v>
      </c>
      <c r="V1107" s="278" t="s">
        <v>1396</v>
      </c>
      <c r="W1107" s="272" t="str">
        <f>IF(IFERROR(VLOOKUP($M1107,'IMPORT GS-Tür OL FL 2S2 20'!$H$2:$H$847,1,0),"-")="-","","GS")</f>
        <v/>
      </c>
      <c r="X1107" s="272" t="str">
        <f t="shared" si="86"/>
        <v/>
      </c>
      <c r="Y1107" s="278" t="s">
        <v>1397</v>
      </c>
      <c r="Z1107" s="58" t="str">
        <f>IF(OR($M1107="",NOT($O1107="{array}")),"",IFERROR(MATCH(PARAMETERS!$M1107,DEFAULT!$B$5:$CI$5,0),""))</f>
        <v/>
      </c>
      <c r="AA1107" s="55" t="str">
        <f t="shared" si="85"/>
        <v/>
      </c>
      <c r="AB1107" s="62" t="str">
        <f>IF(AND(OR($A1107="G",$A1107="P"),NOT($O1107="{array}")),IF(VLOOKUP($K1107,base!$B$2:$D$20,3,0)="S",IF(OR($O1107="",ISTEXT($O1107)),"","STRING!"),IF(VLOOKUP($K1107,base!$B$2:$D$20,3,0)="","",IF(ISTEXT($O1107),"NUMERIC!",""))),"")</f>
        <v/>
      </c>
      <c r="AC1107" s="16" t="str">
        <f>IF($AA1107="","",IF($B1107="I",VLOOKUP($AA1107,#REF!,53,0),INDEX(VALUES!$B$1:$GP$1,1,$AA1107)))</f>
        <v/>
      </c>
      <c r="AD1107" s="13"/>
      <c r="AE1107" s="13"/>
      <c r="AF1107" s="13"/>
      <c r="AG1107" s="13"/>
      <c r="AH1107" s="13"/>
    </row>
    <row r="1108" spans="1:34" s="276" customFormat="1" hidden="1" outlineLevel="1">
      <c r="A1108" s="263"/>
      <c r="B1108" s="264" t="str">
        <f t="shared" si="83"/>
        <v/>
      </c>
      <c r="C1108" s="265">
        <f t="shared" si="84"/>
        <v>1107</v>
      </c>
      <c r="D1108" s="266"/>
      <c r="E1108" s="266"/>
      <c r="F1108" s="305"/>
      <c r="G1108" s="188"/>
      <c r="H1108" s="266"/>
      <c r="I1108" s="266" t="s">
        <v>9</v>
      </c>
      <c r="J1108" s="266"/>
      <c r="K1108" s="278" t="s">
        <v>20</v>
      </c>
      <c r="L1108" s="278" t="s">
        <v>23</v>
      </c>
      <c r="M1108" s="278"/>
      <c r="N1108" s="278" t="s">
        <v>1398</v>
      </c>
      <c r="O1108" s="278" t="s">
        <v>298</v>
      </c>
      <c r="P1108" s="284" t="s">
        <v>298</v>
      </c>
      <c r="Q1108" s="279" t="s">
        <v>9</v>
      </c>
      <c r="R1108" s="279" t="s">
        <v>105</v>
      </c>
      <c r="S1108" s="279" t="s">
        <v>114</v>
      </c>
      <c r="T1108" s="278" t="s">
        <v>298</v>
      </c>
      <c r="U1108" s="278" t="s">
        <v>298</v>
      </c>
      <c r="V1108" s="278" t="s">
        <v>1398</v>
      </c>
      <c r="W1108" s="272" t="str">
        <f>IF(IFERROR(VLOOKUP($M1108,'IMPORT GS-Tür OL FL 2S2 20'!$H$2:$H$847,1,0),"-")="-","","GS")</f>
        <v/>
      </c>
      <c r="X1108" s="272" t="str">
        <f t="shared" si="86"/>
        <v/>
      </c>
      <c r="Y1108" s="278" t="s">
        <v>1399</v>
      </c>
      <c r="Z1108" s="58" t="str">
        <f>IF(OR($M1108="",NOT($O1108="{array}")),"",IFERROR(MATCH(PARAMETERS!$M1108,DEFAULT!$B$5:$CI$5,0),""))</f>
        <v/>
      </c>
      <c r="AA1108" s="55" t="str">
        <f t="shared" si="85"/>
        <v/>
      </c>
      <c r="AB1108" s="62" t="str">
        <f>IF(AND(OR($A1108="G",$A1108="P"),NOT($O1108="{array}")),IF(VLOOKUP($K1108,base!$B$2:$D$20,3,0)="S",IF(OR($O1108="",ISTEXT($O1108)),"","STRING!"),IF(VLOOKUP($K1108,base!$B$2:$D$20,3,0)="","",IF(ISTEXT($O1108),"NUMERIC!",""))),"")</f>
        <v/>
      </c>
      <c r="AC1108" s="16" t="str">
        <f>IF($AA1108="","",IF($B1108="I",VLOOKUP($AA1108,#REF!,53,0),INDEX(VALUES!$B$1:$GP$1,1,$AA1108)))</f>
        <v/>
      </c>
      <c r="AD1108" s="13"/>
      <c r="AE1108" s="13"/>
      <c r="AF1108" s="13"/>
      <c r="AG1108" s="13"/>
      <c r="AH1108" s="13"/>
    </row>
    <row r="1109" spans="1:34" s="276" customFormat="1" hidden="1" outlineLevel="1">
      <c r="A1109" s="263"/>
      <c r="B1109" s="264" t="str">
        <f t="shared" si="83"/>
        <v/>
      </c>
      <c r="C1109" s="265">
        <f t="shared" si="84"/>
        <v>1108</v>
      </c>
      <c r="D1109" s="266"/>
      <c r="E1109" s="266"/>
      <c r="F1109" s="305"/>
      <c r="G1109" s="188"/>
      <c r="H1109" s="266"/>
      <c r="I1109" s="266" t="s">
        <v>9</v>
      </c>
      <c r="J1109" s="266"/>
      <c r="K1109" s="278" t="s">
        <v>20</v>
      </c>
      <c r="L1109" s="278" t="s">
        <v>23</v>
      </c>
      <c r="M1109" s="278"/>
      <c r="N1109" s="278" t="s">
        <v>1400</v>
      </c>
      <c r="O1109" s="278" t="s">
        <v>298</v>
      </c>
      <c r="P1109" s="284" t="s">
        <v>298</v>
      </c>
      <c r="Q1109" s="279" t="s">
        <v>9</v>
      </c>
      <c r="R1109" s="279" t="s">
        <v>105</v>
      </c>
      <c r="S1109" s="279" t="s">
        <v>114</v>
      </c>
      <c r="T1109" s="278" t="s">
        <v>298</v>
      </c>
      <c r="U1109" s="278" t="s">
        <v>298</v>
      </c>
      <c r="V1109" s="278" t="s">
        <v>1400</v>
      </c>
      <c r="W1109" s="272" t="str">
        <f>IF(IFERROR(VLOOKUP($M1109,'IMPORT GS-Tür OL FL 2S2 20'!$H$2:$H$847,1,0),"-")="-","","GS")</f>
        <v/>
      </c>
      <c r="X1109" s="272" t="str">
        <f t="shared" si="86"/>
        <v/>
      </c>
      <c r="Y1109" s="278" t="s">
        <v>1401</v>
      </c>
      <c r="Z1109" s="58" t="str">
        <f>IF(OR($M1109="",NOT($O1109="{array}")),"",IFERROR(MATCH(PARAMETERS!$M1109,DEFAULT!$B$5:$CI$5,0),""))</f>
        <v/>
      </c>
      <c r="AA1109" s="55" t="str">
        <f t="shared" ref="AA1109:AA1172" si="87">IF($M1109="","",IFERROR(MATCH($M1109,VALUESnames,0),""))</f>
        <v/>
      </c>
      <c r="AB1109" s="62" t="str">
        <f>IF(AND(OR($A1109="G",$A1109="P"),NOT($O1109="{array}")),IF(VLOOKUP($K1109,base!$B$2:$D$20,3,0)="S",IF(OR($O1109="",ISTEXT($O1109)),"","STRING!"),IF(VLOOKUP($K1109,base!$B$2:$D$20,3,0)="","",IF(ISTEXT($O1109),"NUMERIC!",""))),"")</f>
        <v/>
      </c>
      <c r="AC1109" s="16" t="str">
        <f>IF($AA1109="","",IF($B1109="I",VLOOKUP($AA1109,#REF!,53,0),INDEX(VALUES!$B$1:$GP$1,1,$AA1109)))</f>
        <v/>
      </c>
      <c r="AD1109" s="13"/>
      <c r="AE1109" s="13"/>
      <c r="AF1109" s="13"/>
      <c r="AG1109" s="13"/>
      <c r="AH1109" s="13"/>
    </row>
    <row r="1110" spans="1:34" s="276" customFormat="1" hidden="1" outlineLevel="1">
      <c r="A1110" s="263"/>
      <c r="B1110" s="264" t="str">
        <f t="shared" si="83"/>
        <v/>
      </c>
      <c r="C1110" s="265">
        <f t="shared" si="84"/>
        <v>1109</v>
      </c>
      <c r="D1110" s="266"/>
      <c r="E1110" s="266"/>
      <c r="F1110" s="305"/>
      <c r="G1110" s="188"/>
      <c r="H1110" s="266"/>
      <c r="I1110" s="266" t="s">
        <v>9</v>
      </c>
      <c r="J1110" s="266"/>
      <c r="K1110" s="278" t="s">
        <v>20</v>
      </c>
      <c r="L1110" s="278" t="s">
        <v>23</v>
      </c>
      <c r="M1110" s="278"/>
      <c r="N1110" s="278" t="s">
        <v>1402</v>
      </c>
      <c r="O1110" s="278" t="s">
        <v>298</v>
      </c>
      <c r="P1110" s="284" t="s">
        <v>298</v>
      </c>
      <c r="Q1110" s="279" t="s">
        <v>9</v>
      </c>
      <c r="R1110" s="279" t="s">
        <v>105</v>
      </c>
      <c r="S1110" s="279" t="s">
        <v>114</v>
      </c>
      <c r="T1110" s="278" t="s">
        <v>298</v>
      </c>
      <c r="U1110" s="278" t="s">
        <v>298</v>
      </c>
      <c r="V1110" s="278" t="s">
        <v>1402</v>
      </c>
      <c r="W1110" s="272" t="str">
        <f>IF(IFERROR(VLOOKUP($M1110,'IMPORT GS-Tür OL FL 2S2 20'!$H$2:$H$847,1,0),"-")="-","","GS")</f>
        <v/>
      </c>
      <c r="X1110" s="272" t="str">
        <f t="shared" si="86"/>
        <v/>
      </c>
      <c r="Y1110" s="278" t="s">
        <v>1403</v>
      </c>
      <c r="Z1110" s="58" t="str">
        <f>IF(OR($M1110="",NOT($O1110="{array}")),"",IFERROR(MATCH(PARAMETERS!$M1110,DEFAULT!$B$5:$CI$5,0),""))</f>
        <v/>
      </c>
      <c r="AA1110" s="55" t="str">
        <f t="shared" si="87"/>
        <v/>
      </c>
      <c r="AB1110" s="62" t="str">
        <f>IF(AND(OR($A1110="G",$A1110="P"),NOT($O1110="{array}")),IF(VLOOKUP($K1110,base!$B$2:$D$20,3,0)="S",IF(OR($O1110="",ISTEXT($O1110)),"","STRING!"),IF(VLOOKUP($K1110,base!$B$2:$D$20,3,0)="","",IF(ISTEXT($O1110),"NUMERIC!",""))),"")</f>
        <v/>
      </c>
      <c r="AC1110" s="16" t="str">
        <f>IF($AA1110="","",IF($B1110="I",VLOOKUP($AA1110,#REF!,53,0),INDEX(VALUES!$B$1:$GP$1,1,$AA1110)))</f>
        <v/>
      </c>
      <c r="AD1110" s="13"/>
      <c r="AE1110" s="13"/>
      <c r="AF1110" s="13"/>
      <c r="AG1110" s="13"/>
      <c r="AH1110" s="13"/>
    </row>
    <row r="1111" spans="1:34" s="276" customFormat="1" hidden="1" outlineLevel="1">
      <c r="A1111" s="263"/>
      <c r="B1111" s="264" t="str">
        <f t="shared" si="83"/>
        <v/>
      </c>
      <c r="C1111" s="265">
        <f t="shared" si="84"/>
        <v>1110</v>
      </c>
      <c r="D1111" s="266"/>
      <c r="E1111" s="266"/>
      <c r="F1111" s="305"/>
      <c r="G1111" s="188"/>
      <c r="H1111" s="266"/>
      <c r="I1111" s="266" t="s">
        <v>9</v>
      </c>
      <c r="J1111" s="266"/>
      <c r="K1111" s="278" t="s">
        <v>20</v>
      </c>
      <c r="L1111" s="278" t="s">
        <v>23</v>
      </c>
      <c r="M1111" s="278"/>
      <c r="N1111" s="278" t="s">
        <v>1404</v>
      </c>
      <c r="O1111" s="278" t="s">
        <v>298</v>
      </c>
      <c r="P1111" s="284" t="s">
        <v>298</v>
      </c>
      <c r="Q1111" s="279" t="s">
        <v>9</v>
      </c>
      <c r="R1111" s="279" t="s">
        <v>105</v>
      </c>
      <c r="S1111" s="279" t="s">
        <v>114</v>
      </c>
      <c r="T1111" s="278" t="s">
        <v>298</v>
      </c>
      <c r="U1111" s="278" t="s">
        <v>298</v>
      </c>
      <c r="V1111" s="278" t="s">
        <v>1404</v>
      </c>
      <c r="W1111" s="272" t="str">
        <f>IF(IFERROR(VLOOKUP($M1111,'IMPORT GS-Tür OL FL 2S2 20'!$H$2:$H$847,1,0),"-")="-","","GS")</f>
        <v/>
      </c>
      <c r="X1111" s="272" t="str">
        <f t="shared" si="86"/>
        <v/>
      </c>
      <c r="Y1111" s="278" t="s">
        <v>1405</v>
      </c>
      <c r="Z1111" s="58" t="str">
        <f>IF(OR($M1111="",NOT($O1111="{array}")),"",IFERROR(MATCH(PARAMETERS!$M1111,DEFAULT!$B$5:$CI$5,0),""))</f>
        <v/>
      </c>
      <c r="AA1111" s="55" t="str">
        <f t="shared" si="87"/>
        <v/>
      </c>
      <c r="AB1111" s="62" t="str">
        <f>IF(AND(OR($A1111="G",$A1111="P"),NOT($O1111="{array}")),IF(VLOOKUP($K1111,base!$B$2:$D$20,3,0)="S",IF(OR($O1111="",ISTEXT($O1111)),"","STRING!"),IF(VLOOKUP($K1111,base!$B$2:$D$20,3,0)="","",IF(ISTEXT($O1111),"NUMERIC!",""))),"")</f>
        <v/>
      </c>
      <c r="AC1111" s="16" t="str">
        <f>IF($AA1111="","",IF($B1111="I",VLOOKUP($AA1111,#REF!,53,0),INDEX(VALUES!$B$1:$GP$1,1,$AA1111)))</f>
        <v/>
      </c>
      <c r="AD1111" s="13"/>
      <c r="AE1111" s="13"/>
      <c r="AF1111" s="13"/>
      <c r="AG1111" s="13"/>
      <c r="AH1111" s="13"/>
    </row>
    <row r="1112" spans="1:34" s="276" customFormat="1" hidden="1" outlineLevel="1">
      <c r="A1112" s="263"/>
      <c r="B1112" s="264" t="str">
        <f t="shared" si="83"/>
        <v/>
      </c>
      <c r="C1112" s="265">
        <f t="shared" si="84"/>
        <v>1111</v>
      </c>
      <c r="D1112" s="266"/>
      <c r="E1112" s="266"/>
      <c r="F1112" s="305"/>
      <c r="G1112" s="188"/>
      <c r="H1112" s="266"/>
      <c r="I1112" s="266" t="s">
        <v>9</v>
      </c>
      <c r="J1112" s="266"/>
      <c r="K1112" s="278" t="s">
        <v>20</v>
      </c>
      <c r="L1112" s="278" t="s">
        <v>23</v>
      </c>
      <c r="M1112" s="278"/>
      <c r="N1112" s="278" t="s">
        <v>1406</v>
      </c>
      <c r="O1112" s="278" t="s">
        <v>298</v>
      </c>
      <c r="P1112" s="284" t="s">
        <v>298</v>
      </c>
      <c r="Q1112" s="279" t="s">
        <v>9</v>
      </c>
      <c r="R1112" s="279" t="s">
        <v>105</v>
      </c>
      <c r="S1112" s="279" t="s">
        <v>114</v>
      </c>
      <c r="T1112" s="278" t="s">
        <v>298</v>
      </c>
      <c r="U1112" s="278" t="s">
        <v>298</v>
      </c>
      <c r="V1112" s="278" t="s">
        <v>1406</v>
      </c>
      <c r="W1112" s="272" t="str">
        <f>IF(IFERROR(VLOOKUP($M1112,'IMPORT GS-Tür OL FL 2S2 20'!$H$2:$H$847,1,0),"-")="-","","GS")</f>
        <v/>
      </c>
      <c r="X1112" s="272" t="str">
        <f t="shared" si="86"/>
        <v/>
      </c>
      <c r="Y1112" s="278" t="s">
        <v>1407</v>
      </c>
      <c r="Z1112" s="58" t="str">
        <f>IF(OR($M1112="",NOT($O1112="{array}")),"",IFERROR(MATCH(PARAMETERS!$M1112,DEFAULT!$B$5:$CI$5,0),""))</f>
        <v/>
      </c>
      <c r="AA1112" s="55" t="str">
        <f t="shared" si="87"/>
        <v/>
      </c>
      <c r="AB1112" s="62" t="str">
        <f>IF(AND(OR($A1112="G",$A1112="P"),NOT($O1112="{array}")),IF(VLOOKUP($K1112,base!$B$2:$D$20,3,0)="S",IF(OR($O1112="",ISTEXT($O1112)),"","STRING!"),IF(VLOOKUP($K1112,base!$B$2:$D$20,3,0)="","",IF(ISTEXT($O1112),"NUMERIC!",""))),"")</f>
        <v/>
      </c>
      <c r="AC1112" s="16" t="str">
        <f>IF($AA1112="","",IF($B1112="I",VLOOKUP($AA1112,#REF!,53,0),INDEX(VALUES!$B$1:$GP$1,1,$AA1112)))</f>
        <v/>
      </c>
      <c r="AD1112" s="13"/>
      <c r="AE1112" s="13"/>
      <c r="AF1112" s="13"/>
      <c r="AG1112" s="13"/>
      <c r="AH1112" s="13"/>
    </row>
    <row r="1113" spans="1:34" s="276" customFormat="1" hidden="1" outlineLevel="1">
      <c r="A1113" s="263"/>
      <c r="B1113" s="264" t="str">
        <f t="shared" si="83"/>
        <v/>
      </c>
      <c r="C1113" s="265">
        <f t="shared" si="84"/>
        <v>1112</v>
      </c>
      <c r="D1113" s="266"/>
      <c r="E1113" s="266"/>
      <c r="F1113" s="305"/>
      <c r="G1113" s="188"/>
      <c r="H1113" s="266"/>
      <c r="I1113" s="266" t="s">
        <v>9</v>
      </c>
      <c r="J1113" s="266"/>
      <c r="K1113" s="278" t="s">
        <v>20</v>
      </c>
      <c r="L1113" s="278" t="s">
        <v>23</v>
      </c>
      <c r="M1113" s="278"/>
      <c r="N1113" s="278" t="s">
        <v>1408</v>
      </c>
      <c r="O1113" s="278" t="s">
        <v>298</v>
      </c>
      <c r="P1113" s="284" t="s">
        <v>298</v>
      </c>
      <c r="Q1113" s="279" t="s">
        <v>9</v>
      </c>
      <c r="R1113" s="279" t="s">
        <v>105</v>
      </c>
      <c r="S1113" s="279" t="s">
        <v>114</v>
      </c>
      <c r="T1113" s="278" t="s">
        <v>298</v>
      </c>
      <c r="U1113" s="278" t="s">
        <v>298</v>
      </c>
      <c r="V1113" s="278" t="s">
        <v>1408</v>
      </c>
      <c r="W1113" s="272" t="str">
        <f>IF(IFERROR(VLOOKUP($M1113,'IMPORT GS-Tür OL FL 2S2 20'!$H$2:$H$847,1,0),"-")="-","","GS")</f>
        <v/>
      </c>
      <c r="X1113" s="272" t="str">
        <f t="shared" si="86"/>
        <v/>
      </c>
      <c r="Y1113" s="278" t="s">
        <v>1409</v>
      </c>
      <c r="Z1113" s="58" t="str">
        <f>IF(OR($M1113="",NOT($O1113="{array}")),"",IFERROR(MATCH(PARAMETERS!$M1113,DEFAULT!$B$5:$CI$5,0),""))</f>
        <v/>
      </c>
      <c r="AA1113" s="55" t="str">
        <f t="shared" si="87"/>
        <v/>
      </c>
      <c r="AB1113" s="62" t="str">
        <f>IF(AND(OR($A1113="G",$A1113="P"),NOT($O1113="{array}")),IF(VLOOKUP($K1113,base!$B$2:$D$20,3,0)="S",IF(OR($O1113="",ISTEXT($O1113)),"","STRING!"),IF(VLOOKUP($K1113,base!$B$2:$D$20,3,0)="","",IF(ISTEXT($O1113),"NUMERIC!",""))),"")</f>
        <v/>
      </c>
      <c r="AC1113" s="16" t="str">
        <f>IF($AA1113="","",IF($B1113="I",VLOOKUP($AA1113,#REF!,53,0),INDEX(VALUES!$B$1:$GP$1,1,$AA1113)))</f>
        <v/>
      </c>
      <c r="AD1113" s="13"/>
      <c r="AE1113" s="13"/>
      <c r="AF1113" s="13"/>
      <c r="AG1113" s="13"/>
      <c r="AH1113" s="13"/>
    </row>
    <row r="1114" spans="1:34" s="276" customFormat="1" hidden="1" outlineLevel="1">
      <c r="A1114" s="263"/>
      <c r="B1114" s="264" t="str">
        <f t="shared" si="83"/>
        <v/>
      </c>
      <c r="C1114" s="265">
        <f t="shared" si="84"/>
        <v>1113</v>
      </c>
      <c r="D1114" s="266"/>
      <c r="E1114" s="266"/>
      <c r="F1114" s="305"/>
      <c r="G1114" s="188"/>
      <c r="H1114" s="266"/>
      <c r="I1114" s="266" t="s">
        <v>9</v>
      </c>
      <c r="J1114" s="266"/>
      <c r="K1114" s="278" t="s">
        <v>20</v>
      </c>
      <c r="L1114" s="278" t="s">
        <v>23</v>
      </c>
      <c r="M1114" s="278"/>
      <c r="N1114" s="278" t="s">
        <v>1410</v>
      </c>
      <c r="O1114" s="278" t="s">
        <v>298</v>
      </c>
      <c r="P1114" s="284" t="s">
        <v>298</v>
      </c>
      <c r="Q1114" s="279" t="s">
        <v>9</v>
      </c>
      <c r="R1114" s="279" t="s">
        <v>105</v>
      </c>
      <c r="S1114" s="279" t="s">
        <v>114</v>
      </c>
      <c r="T1114" s="278" t="s">
        <v>298</v>
      </c>
      <c r="U1114" s="278" t="s">
        <v>298</v>
      </c>
      <c r="V1114" s="278" t="s">
        <v>1410</v>
      </c>
      <c r="W1114" s="272" t="str">
        <f>IF(IFERROR(VLOOKUP($M1114,'IMPORT GS-Tür OL FL 2S2 20'!$H$2:$H$847,1,0),"-")="-","","GS")</f>
        <v/>
      </c>
      <c r="X1114" s="272" t="str">
        <f t="shared" si="86"/>
        <v/>
      </c>
      <c r="Y1114" s="278" t="s">
        <v>1411</v>
      </c>
      <c r="Z1114" s="58" t="str">
        <f>IF(OR($M1114="",NOT($O1114="{array}")),"",IFERROR(MATCH(PARAMETERS!$M1114,DEFAULT!$B$5:$CI$5,0),""))</f>
        <v/>
      </c>
      <c r="AA1114" s="55" t="str">
        <f t="shared" si="87"/>
        <v/>
      </c>
      <c r="AB1114" s="62" t="str">
        <f>IF(AND(OR($A1114="G",$A1114="P"),NOT($O1114="{array}")),IF(VLOOKUP($K1114,base!$B$2:$D$20,3,0)="S",IF(OR($O1114="",ISTEXT($O1114)),"","STRING!"),IF(VLOOKUP($K1114,base!$B$2:$D$20,3,0)="","",IF(ISTEXT($O1114),"NUMERIC!",""))),"")</f>
        <v/>
      </c>
      <c r="AC1114" s="16" t="str">
        <f>IF($AA1114="","",IF($B1114="I",VLOOKUP($AA1114,#REF!,53,0),INDEX(VALUES!$B$1:$GP$1,1,$AA1114)))</f>
        <v/>
      </c>
      <c r="AD1114" s="13"/>
      <c r="AE1114" s="13"/>
      <c r="AF1114" s="13"/>
      <c r="AG1114" s="13"/>
      <c r="AH1114" s="13"/>
    </row>
    <row r="1115" spans="1:34" s="276" customFormat="1" hidden="1" outlineLevel="1">
      <c r="A1115" s="263"/>
      <c r="B1115" s="264" t="str">
        <f t="shared" si="83"/>
        <v/>
      </c>
      <c r="C1115" s="265">
        <f t="shared" si="84"/>
        <v>1114</v>
      </c>
      <c r="D1115" s="266"/>
      <c r="E1115" s="266"/>
      <c r="F1115" s="305"/>
      <c r="G1115" s="188"/>
      <c r="H1115" s="266"/>
      <c r="I1115" s="266" t="s">
        <v>9</v>
      </c>
      <c r="J1115" s="266"/>
      <c r="K1115" s="278" t="s">
        <v>20</v>
      </c>
      <c r="L1115" s="278" t="s">
        <v>23</v>
      </c>
      <c r="M1115" s="278"/>
      <c r="N1115" s="278" t="s">
        <v>1412</v>
      </c>
      <c r="O1115" s="278" t="s">
        <v>298</v>
      </c>
      <c r="P1115" s="284" t="s">
        <v>298</v>
      </c>
      <c r="Q1115" s="279" t="s">
        <v>9</v>
      </c>
      <c r="R1115" s="279" t="s">
        <v>105</v>
      </c>
      <c r="S1115" s="279" t="s">
        <v>114</v>
      </c>
      <c r="T1115" s="278" t="s">
        <v>298</v>
      </c>
      <c r="U1115" s="278" t="s">
        <v>298</v>
      </c>
      <c r="V1115" s="278" t="s">
        <v>1412</v>
      </c>
      <c r="W1115" s="272" t="str">
        <f>IF(IFERROR(VLOOKUP($M1115,'IMPORT GS-Tür OL FL 2S2 20'!$H$2:$H$847,1,0),"-")="-","","GS")</f>
        <v/>
      </c>
      <c r="X1115" s="272" t="str">
        <f t="shared" si="86"/>
        <v/>
      </c>
      <c r="Y1115" s="278" t="s">
        <v>1413</v>
      </c>
      <c r="Z1115" s="58" t="str">
        <f>IF(OR($M1115="",NOT($O1115="{array}")),"",IFERROR(MATCH(PARAMETERS!$M1115,DEFAULT!$B$5:$CI$5,0),""))</f>
        <v/>
      </c>
      <c r="AA1115" s="55" t="str">
        <f t="shared" si="87"/>
        <v/>
      </c>
      <c r="AB1115" s="62" t="str">
        <f>IF(AND(OR($A1115="G",$A1115="P"),NOT($O1115="{array}")),IF(VLOOKUP($K1115,base!$B$2:$D$20,3,0)="S",IF(OR($O1115="",ISTEXT($O1115)),"","STRING!"),IF(VLOOKUP($K1115,base!$B$2:$D$20,3,0)="","",IF(ISTEXT($O1115),"NUMERIC!",""))),"")</f>
        <v/>
      </c>
      <c r="AC1115" s="16" t="str">
        <f>IF($AA1115="","",IF($B1115="I",VLOOKUP($AA1115,#REF!,53,0),INDEX(VALUES!$B$1:$GP$1,1,$AA1115)))</f>
        <v/>
      </c>
      <c r="AD1115" s="13"/>
      <c r="AE1115" s="13"/>
      <c r="AF1115" s="13"/>
      <c r="AG1115" s="13"/>
      <c r="AH1115" s="13"/>
    </row>
    <row r="1116" spans="1:34" s="276" customFormat="1" hidden="1" outlineLevel="1">
      <c r="A1116" s="263"/>
      <c r="B1116" s="264" t="str">
        <f t="shared" si="83"/>
        <v/>
      </c>
      <c r="C1116" s="265">
        <f t="shared" si="84"/>
        <v>1115</v>
      </c>
      <c r="D1116" s="266"/>
      <c r="E1116" s="266"/>
      <c r="F1116" s="305"/>
      <c r="G1116" s="188"/>
      <c r="H1116" s="266"/>
      <c r="I1116" s="266" t="s">
        <v>9</v>
      </c>
      <c r="J1116" s="266"/>
      <c r="K1116" s="278" t="s">
        <v>20</v>
      </c>
      <c r="L1116" s="278" t="s">
        <v>23</v>
      </c>
      <c r="M1116" s="278"/>
      <c r="N1116" s="278" t="s">
        <v>1414</v>
      </c>
      <c r="O1116" s="278" t="s">
        <v>298</v>
      </c>
      <c r="P1116" s="284" t="s">
        <v>298</v>
      </c>
      <c r="Q1116" s="279" t="s">
        <v>9</v>
      </c>
      <c r="R1116" s="279" t="s">
        <v>105</v>
      </c>
      <c r="S1116" s="279" t="s">
        <v>114</v>
      </c>
      <c r="T1116" s="278" t="s">
        <v>298</v>
      </c>
      <c r="U1116" s="278" t="s">
        <v>298</v>
      </c>
      <c r="V1116" s="278" t="s">
        <v>1414</v>
      </c>
      <c r="W1116" s="272" t="str">
        <f>IF(IFERROR(VLOOKUP($M1116,'IMPORT GS-Tür OL FL 2S2 20'!$H$2:$H$847,1,0),"-")="-","","GS")</f>
        <v/>
      </c>
      <c r="X1116" s="272" t="str">
        <f t="shared" si="86"/>
        <v/>
      </c>
      <c r="Y1116" s="278" t="s">
        <v>1415</v>
      </c>
      <c r="Z1116" s="58" t="str">
        <f>IF(OR($M1116="",NOT($O1116="{array}")),"",IFERROR(MATCH(PARAMETERS!$M1116,DEFAULT!$B$5:$CI$5,0),""))</f>
        <v/>
      </c>
      <c r="AA1116" s="55" t="str">
        <f t="shared" si="87"/>
        <v/>
      </c>
      <c r="AB1116" s="62" t="str">
        <f>IF(AND(OR($A1116="G",$A1116="P"),NOT($O1116="{array}")),IF(VLOOKUP($K1116,base!$B$2:$D$20,3,0)="S",IF(OR($O1116="",ISTEXT($O1116)),"","STRING!"),IF(VLOOKUP($K1116,base!$B$2:$D$20,3,0)="","",IF(ISTEXT($O1116),"NUMERIC!",""))),"")</f>
        <v/>
      </c>
      <c r="AC1116" s="16" t="str">
        <f>IF($AA1116="","",IF($B1116="I",VLOOKUP($AA1116,#REF!,53,0),INDEX(VALUES!$B$1:$GP$1,1,$AA1116)))</f>
        <v/>
      </c>
      <c r="AD1116" s="13"/>
      <c r="AE1116" s="13"/>
      <c r="AF1116" s="13"/>
      <c r="AG1116" s="13"/>
      <c r="AH1116" s="13"/>
    </row>
    <row r="1117" spans="1:34" s="276" customFormat="1" hidden="1" outlineLevel="1">
      <c r="A1117" s="263"/>
      <c r="B1117" s="264" t="str">
        <f t="shared" si="83"/>
        <v/>
      </c>
      <c r="C1117" s="265">
        <f t="shared" si="84"/>
        <v>1116</v>
      </c>
      <c r="D1117" s="266"/>
      <c r="E1117" s="266"/>
      <c r="F1117" s="305"/>
      <c r="G1117" s="188"/>
      <c r="H1117" s="266"/>
      <c r="I1117" s="266" t="s">
        <v>9</v>
      </c>
      <c r="J1117" s="266"/>
      <c r="K1117" s="278" t="s">
        <v>20</v>
      </c>
      <c r="L1117" s="278" t="s">
        <v>23</v>
      </c>
      <c r="M1117" s="278"/>
      <c r="N1117" s="278" t="s">
        <v>1416</v>
      </c>
      <c r="O1117" s="278" t="s">
        <v>298</v>
      </c>
      <c r="P1117" s="284" t="s">
        <v>298</v>
      </c>
      <c r="Q1117" s="279" t="s">
        <v>9</v>
      </c>
      <c r="R1117" s="279" t="s">
        <v>105</v>
      </c>
      <c r="S1117" s="279" t="s">
        <v>114</v>
      </c>
      <c r="T1117" s="278" t="s">
        <v>298</v>
      </c>
      <c r="U1117" s="278" t="s">
        <v>298</v>
      </c>
      <c r="V1117" s="278" t="s">
        <v>1416</v>
      </c>
      <c r="W1117" s="272" t="str">
        <f>IF(IFERROR(VLOOKUP($M1117,'IMPORT GS-Tür OL FL 2S2 20'!$H$2:$H$847,1,0),"-")="-","","GS")</f>
        <v/>
      </c>
      <c r="X1117" s="272" t="str">
        <f t="shared" si="86"/>
        <v/>
      </c>
      <c r="Y1117" s="278" t="s">
        <v>1417</v>
      </c>
      <c r="Z1117" s="58" t="str">
        <f>IF(OR($M1117="",NOT($O1117="{array}")),"",IFERROR(MATCH(PARAMETERS!$M1117,DEFAULT!$B$5:$CI$5,0),""))</f>
        <v/>
      </c>
      <c r="AA1117" s="55" t="str">
        <f t="shared" si="87"/>
        <v/>
      </c>
      <c r="AB1117" s="62" t="str">
        <f>IF(AND(OR($A1117="G",$A1117="P"),NOT($O1117="{array}")),IF(VLOOKUP($K1117,base!$B$2:$D$20,3,0)="S",IF(OR($O1117="",ISTEXT($O1117)),"","STRING!"),IF(VLOOKUP($K1117,base!$B$2:$D$20,3,0)="","",IF(ISTEXT($O1117),"NUMERIC!",""))),"")</f>
        <v/>
      </c>
      <c r="AC1117" s="16" t="str">
        <f>IF($AA1117="","",IF($B1117="I",VLOOKUP($AA1117,#REF!,53,0),INDEX(VALUES!$B$1:$GP$1,1,$AA1117)))</f>
        <v/>
      </c>
      <c r="AD1117" s="13"/>
      <c r="AE1117" s="13"/>
      <c r="AF1117" s="13"/>
      <c r="AG1117" s="13"/>
      <c r="AH1117" s="13"/>
    </row>
    <row r="1118" spans="1:34" s="276" customFormat="1" hidden="1" outlineLevel="1">
      <c r="A1118" s="263"/>
      <c r="B1118" s="264" t="str">
        <f t="shared" si="83"/>
        <v/>
      </c>
      <c r="C1118" s="265">
        <f t="shared" si="84"/>
        <v>1117</v>
      </c>
      <c r="D1118" s="266"/>
      <c r="E1118" s="266"/>
      <c r="F1118" s="305"/>
      <c r="G1118" s="188"/>
      <c r="H1118" s="266"/>
      <c r="I1118" s="266" t="s">
        <v>9</v>
      </c>
      <c r="J1118" s="266"/>
      <c r="K1118" s="278" t="s">
        <v>20</v>
      </c>
      <c r="L1118" s="278" t="s">
        <v>23</v>
      </c>
      <c r="M1118" s="278"/>
      <c r="N1118" s="278" t="s">
        <v>1418</v>
      </c>
      <c r="O1118" s="278" t="s">
        <v>298</v>
      </c>
      <c r="P1118" s="284" t="s">
        <v>298</v>
      </c>
      <c r="Q1118" s="279" t="s">
        <v>9</v>
      </c>
      <c r="R1118" s="279" t="s">
        <v>105</v>
      </c>
      <c r="S1118" s="279" t="s">
        <v>114</v>
      </c>
      <c r="T1118" s="278" t="s">
        <v>298</v>
      </c>
      <c r="U1118" s="278" t="s">
        <v>298</v>
      </c>
      <c r="V1118" s="278" t="s">
        <v>1418</v>
      </c>
      <c r="W1118" s="272" t="str">
        <f>IF(IFERROR(VLOOKUP($M1118,'IMPORT GS-Tür OL FL 2S2 20'!$H$2:$H$847,1,0),"-")="-","","GS")</f>
        <v/>
      </c>
      <c r="X1118" s="272" t="str">
        <f t="shared" si="86"/>
        <v/>
      </c>
      <c r="Y1118" s="278" t="s">
        <v>1419</v>
      </c>
      <c r="Z1118" s="58" t="str">
        <f>IF(OR($M1118="",NOT($O1118="{array}")),"",IFERROR(MATCH(PARAMETERS!$M1118,DEFAULT!$B$5:$CI$5,0),""))</f>
        <v/>
      </c>
      <c r="AA1118" s="55" t="str">
        <f t="shared" si="87"/>
        <v/>
      </c>
      <c r="AB1118" s="62" t="str">
        <f>IF(AND(OR($A1118="G",$A1118="P"),NOT($O1118="{array}")),IF(VLOOKUP($K1118,base!$B$2:$D$20,3,0)="S",IF(OR($O1118="",ISTEXT($O1118)),"","STRING!"),IF(VLOOKUP($K1118,base!$B$2:$D$20,3,0)="","",IF(ISTEXT($O1118),"NUMERIC!",""))),"")</f>
        <v/>
      </c>
      <c r="AC1118" s="16" t="str">
        <f>IF($AA1118="","",IF($B1118="I",VLOOKUP($AA1118,#REF!,53,0),INDEX(VALUES!$B$1:$GP$1,1,$AA1118)))</f>
        <v/>
      </c>
      <c r="AD1118" s="13"/>
      <c r="AE1118" s="13"/>
      <c r="AF1118" s="13"/>
      <c r="AG1118" s="13"/>
      <c r="AH1118" s="13"/>
    </row>
    <row r="1119" spans="1:34" s="276" customFormat="1" hidden="1" outlineLevel="1">
      <c r="A1119" s="263"/>
      <c r="B1119" s="264" t="str">
        <f t="shared" si="83"/>
        <v/>
      </c>
      <c r="C1119" s="265">
        <f t="shared" si="84"/>
        <v>1118</v>
      </c>
      <c r="D1119" s="266"/>
      <c r="E1119" s="266"/>
      <c r="F1119" s="305"/>
      <c r="G1119" s="188"/>
      <c r="H1119" s="266"/>
      <c r="I1119" s="266" t="s">
        <v>9</v>
      </c>
      <c r="J1119" s="266"/>
      <c r="K1119" s="278" t="s">
        <v>20</v>
      </c>
      <c r="L1119" s="278" t="s">
        <v>23</v>
      </c>
      <c r="M1119" s="278"/>
      <c r="N1119" s="278" t="s">
        <v>1420</v>
      </c>
      <c r="O1119" s="278" t="s">
        <v>298</v>
      </c>
      <c r="P1119" s="284" t="s">
        <v>298</v>
      </c>
      <c r="Q1119" s="279" t="s">
        <v>9</v>
      </c>
      <c r="R1119" s="279" t="s">
        <v>105</v>
      </c>
      <c r="S1119" s="279" t="s">
        <v>114</v>
      </c>
      <c r="T1119" s="278" t="s">
        <v>298</v>
      </c>
      <c r="U1119" s="278" t="s">
        <v>298</v>
      </c>
      <c r="V1119" s="278" t="s">
        <v>1420</v>
      </c>
      <c r="W1119" s="272" t="str">
        <f>IF(IFERROR(VLOOKUP($M1119,'IMPORT GS-Tür OL FL 2S2 20'!$H$2:$H$847,1,0),"-")="-","","GS")</f>
        <v/>
      </c>
      <c r="X1119" s="272" t="str">
        <f t="shared" si="86"/>
        <v/>
      </c>
      <c r="Y1119" s="278" t="s">
        <v>1421</v>
      </c>
      <c r="Z1119" s="58" t="str">
        <f>IF(OR($M1119="",NOT($O1119="{array}")),"",IFERROR(MATCH(PARAMETERS!$M1119,DEFAULT!$B$5:$CI$5,0),""))</f>
        <v/>
      </c>
      <c r="AA1119" s="55" t="str">
        <f t="shared" si="87"/>
        <v/>
      </c>
      <c r="AB1119" s="62" t="str">
        <f>IF(AND(OR($A1119="G",$A1119="P"),NOT($O1119="{array}")),IF(VLOOKUP($K1119,base!$B$2:$D$20,3,0)="S",IF(OR($O1119="",ISTEXT($O1119)),"","STRING!"),IF(VLOOKUP($K1119,base!$B$2:$D$20,3,0)="","",IF(ISTEXT($O1119),"NUMERIC!",""))),"")</f>
        <v/>
      </c>
      <c r="AC1119" s="16" t="str">
        <f>IF($AA1119="","",IF($B1119="I",VLOOKUP($AA1119,#REF!,53,0),INDEX(VALUES!$B$1:$GP$1,1,$AA1119)))</f>
        <v/>
      </c>
      <c r="AD1119" s="13"/>
      <c r="AE1119" s="13"/>
      <c r="AF1119" s="13"/>
      <c r="AG1119" s="13"/>
      <c r="AH1119" s="13"/>
    </row>
    <row r="1120" spans="1:34" s="276" customFormat="1" hidden="1" outlineLevel="1">
      <c r="A1120" s="263"/>
      <c r="B1120" s="264" t="str">
        <f t="shared" si="83"/>
        <v/>
      </c>
      <c r="C1120" s="265">
        <f t="shared" si="84"/>
        <v>1119</v>
      </c>
      <c r="D1120" s="266"/>
      <c r="E1120" s="266"/>
      <c r="F1120" s="305"/>
      <c r="G1120" s="188"/>
      <c r="H1120" s="266"/>
      <c r="I1120" s="266" t="s">
        <v>9</v>
      </c>
      <c r="J1120" s="266"/>
      <c r="K1120" s="278" t="s">
        <v>20</v>
      </c>
      <c r="L1120" s="278" t="s">
        <v>23</v>
      </c>
      <c r="M1120" s="278"/>
      <c r="N1120" s="278" t="s">
        <v>1422</v>
      </c>
      <c r="O1120" s="278" t="s">
        <v>298</v>
      </c>
      <c r="P1120" s="284" t="s">
        <v>298</v>
      </c>
      <c r="Q1120" s="279" t="s">
        <v>9</v>
      </c>
      <c r="R1120" s="279" t="s">
        <v>105</v>
      </c>
      <c r="S1120" s="279" t="s">
        <v>114</v>
      </c>
      <c r="T1120" s="278" t="s">
        <v>298</v>
      </c>
      <c r="U1120" s="278" t="s">
        <v>298</v>
      </c>
      <c r="V1120" s="278" t="s">
        <v>1422</v>
      </c>
      <c r="W1120" s="272" t="str">
        <f>IF(IFERROR(VLOOKUP($M1120,'IMPORT GS-Tür OL FL 2S2 20'!$H$2:$H$847,1,0),"-")="-","","GS")</f>
        <v/>
      </c>
      <c r="X1120" s="272" t="str">
        <f t="shared" si="86"/>
        <v/>
      </c>
      <c r="Y1120" s="278" t="s">
        <v>1423</v>
      </c>
      <c r="Z1120" s="58" t="str">
        <f>IF(OR($M1120="",NOT($O1120="{array}")),"",IFERROR(MATCH(PARAMETERS!$M1120,DEFAULT!$B$5:$CI$5,0),""))</f>
        <v/>
      </c>
      <c r="AA1120" s="55" t="str">
        <f t="shared" si="87"/>
        <v/>
      </c>
      <c r="AB1120" s="62" t="str">
        <f>IF(AND(OR($A1120="G",$A1120="P"),NOT($O1120="{array}")),IF(VLOOKUP($K1120,base!$B$2:$D$20,3,0)="S",IF(OR($O1120="",ISTEXT($O1120)),"","STRING!"),IF(VLOOKUP($K1120,base!$B$2:$D$20,3,0)="","",IF(ISTEXT($O1120),"NUMERIC!",""))),"")</f>
        <v/>
      </c>
      <c r="AC1120" s="16" t="str">
        <f>IF($AA1120="","",IF($B1120="I",VLOOKUP($AA1120,#REF!,53,0),INDEX(VALUES!$B$1:$GP$1,1,$AA1120)))</f>
        <v/>
      </c>
      <c r="AD1120" s="13"/>
      <c r="AE1120" s="13"/>
      <c r="AF1120" s="13"/>
      <c r="AG1120" s="13"/>
      <c r="AH1120" s="13"/>
    </row>
    <row r="1121" spans="1:34" s="276" customFormat="1" hidden="1" outlineLevel="1">
      <c r="A1121" s="263"/>
      <c r="B1121" s="264" t="str">
        <f t="shared" si="83"/>
        <v/>
      </c>
      <c r="C1121" s="265">
        <f t="shared" si="84"/>
        <v>1120</v>
      </c>
      <c r="D1121" s="266"/>
      <c r="E1121" s="266"/>
      <c r="F1121" s="305"/>
      <c r="G1121" s="188"/>
      <c r="H1121" s="266"/>
      <c r="I1121" s="266" t="s">
        <v>9</v>
      </c>
      <c r="J1121" s="266"/>
      <c r="K1121" s="278" t="s">
        <v>20</v>
      </c>
      <c r="L1121" s="278" t="s">
        <v>23</v>
      </c>
      <c r="M1121" s="278"/>
      <c r="N1121" s="278" t="s">
        <v>1424</v>
      </c>
      <c r="O1121" s="278" t="s">
        <v>298</v>
      </c>
      <c r="P1121" s="284" t="s">
        <v>298</v>
      </c>
      <c r="Q1121" s="279" t="s">
        <v>9</v>
      </c>
      <c r="R1121" s="279" t="s">
        <v>105</v>
      </c>
      <c r="S1121" s="279" t="s">
        <v>114</v>
      </c>
      <c r="T1121" s="278" t="s">
        <v>298</v>
      </c>
      <c r="U1121" s="278" t="s">
        <v>298</v>
      </c>
      <c r="V1121" s="278" t="s">
        <v>1424</v>
      </c>
      <c r="W1121" s="272" t="str">
        <f>IF(IFERROR(VLOOKUP($M1121,'IMPORT GS-Tür OL FL 2S2 20'!$H$2:$H$847,1,0),"-")="-","","GS")</f>
        <v/>
      </c>
      <c r="X1121" s="272" t="str">
        <f t="shared" si="86"/>
        <v/>
      </c>
      <c r="Y1121" s="278" t="s">
        <v>1425</v>
      </c>
      <c r="Z1121" s="58" t="str">
        <f>IF(OR($M1121="",NOT($O1121="{array}")),"",IFERROR(MATCH(PARAMETERS!$M1121,DEFAULT!$B$5:$CI$5,0),""))</f>
        <v/>
      </c>
      <c r="AA1121" s="55" t="str">
        <f t="shared" si="87"/>
        <v/>
      </c>
      <c r="AB1121" s="62" t="str">
        <f>IF(AND(OR($A1121="G",$A1121="P"),NOT($O1121="{array}")),IF(VLOOKUP($K1121,base!$B$2:$D$20,3,0)="S",IF(OR($O1121="",ISTEXT($O1121)),"","STRING!"),IF(VLOOKUP($K1121,base!$B$2:$D$20,3,0)="","",IF(ISTEXT($O1121),"NUMERIC!",""))),"")</f>
        <v/>
      </c>
      <c r="AC1121" s="16" t="str">
        <f>IF($AA1121="","",IF($B1121="I",VLOOKUP($AA1121,#REF!,53,0),INDEX(VALUES!$B$1:$GP$1,1,$AA1121)))</f>
        <v/>
      </c>
      <c r="AD1121" s="13"/>
      <c r="AE1121" s="13"/>
      <c r="AF1121" s="13"/>
      <c r="AG1121" s="13"/>
      <c r="AH1121" s="13"/>
    </row>
    <row r="1122" spans="1:34" s="276" customFormat="1" hidden="1" outlineLevel="1">
      <c r="A1122" s="263"/>
      <c r="B1122" s="264" t="str">
        <f t="shared" si="83"/>
        <v/>
      </c>
      <c r="C1122" s="265">
        <f t="shared" si="84"/>
        <v>1121</v>
      </c>
      <c r="D1122" s="266"/>
      <c r="E1122" s="266"/>
      <c r="F1122" s="305"/>
      <c r="G1122" s="188"/>
      <c r="H1122" s="266"/>
      <c r="I1122" s="266" t="s">
        <v>9</v>
      </c>
      <c r="J1122" s="266"/>
      <c r="K1122" s="278" t="s">
        <v>20</v>
      </c>
      <c r="L1122" s="278" t="s">
        <v>23</v>
      </c>
      <c r="M1122" s="278"/>
      <c r="N1122" s="278" t="s">
        <v>1426</v>
      </c>
      <c r="O1122" s="278" t="s">
        <v>298</v>
      </c>
      <c r="P1122" s="284" t="s">
        <v>298</v>
      </c>
      <c r="Q1122" s="279" t="s">
        <v>9</v>
      </c>
      <c r="R1122" s="279" t="s">
        <v>105</v>
      </c>
      <c r="S1122" s="279" t="s">
        <v>114</v>
      </c>
      <c r="T1122" s="278" t="s">
        <v>298</v>
      </c>
      <c r="U1122" s="278" t="s">
        <v>298</v>
      </c>
      <c r="V1122" s="278" t="s">
        <v>1426</v>
      </c>
      <c r="W1122" s="272" t="str">
        <f>IF(IFERROR(VLOOKUP($M1122,'IMPORT GS-Tür OL FL 2S2 20'!$H$2:$H$847,1,0),"-")="-","","GS")</f>
        <v/>
      </c>
      <c r="X1122" s="272" t="str">
        <f t="shared" si="86"/>
        <v/>
      </c>
      <c r="Y1122" s="278" t="s">
        <v>1427</v>
      </c>
      <c r="Z1122" s="58" t="str">
        <f>IF(OR($M1122="",NOT($O1122="{array}")),"",IFERROR(MATCH(PARAMETERS!$M1122,DEFAULT!$B$5:$CI$5,0),""))</f>
        <v/>
      </c>
      <c r="AA1122" s="55" t="str">
        <f t="shared" si="87"/>
        <v/>
      </c>
      <c r="AB1122" s="62" t="str">
        <f>IF(AND(OR($A1122="G",$A1122="P"),NOT($O1122="{array}")),IF(VLOOKUP($K1122,base!$B$2:$D$20,3,0)="S",IF(OR($O1122="",ISTEXT($O1122)),"","STRING!"),IF(VLOOKUP($K1122,base!$B$2:$D$20,3,0)="","",IF(ISTEXT($O1122),"NUMERIC!",""))),"")</f>
        <v/>
      </c>
      <c r="AC1122" s="16" t="str">
        <f>IF($AA1122="","",IF($B1122="I",VLOOKUP($AA1122,#REF!,53,0),INDEX(VALUES!$B$1:$GP$1,1,$AA1122)))</f>
        <v/>
      </c>
      <c r="AD1122" s="13"/>
      <c r="AE1122" s="13"/>
      <c r="AF1122" s="13"/>
      <c r="AG1122" s="13"/>
      <c r="AH1122" s="13"/>
    </row>
    <row r="1123" spans="1:34" s="276" customFormat="1" hidden="1" outlineLevel="1">
      <c r="A1123" s="263"/>
      <c r="B1123" s="264" t="str">
        <f t="shared" si="83"/>
        <v/>
      </c>
      <c r="C1123" s="265">
        <f t="shared" si="84"/>
        <v>1122</v>
      </c>
      <c r="D1123" s="266"/>
      <c r="E1123" s="266"/>
      <c r="F1123" s="305"/>
      <c r="G1123" s="188"/>
      <c r="H1123" s="266"/>
      <c r="I1123" s="266" t="s">
        <v>9</v>
      </c>
      <c r="J1123" s="266"/>
      <c r="K1123" s="278" t="s">
        <v>20</v>
      </c>
      <c r="L1123" s="278" t="s">
        <v>23</v>
      </c>
      <c r="M1123" s="278"/>
      <c r="N1123" s="278" t="s">
        <v>1428</v>
      </c>
      <c r="O1123" s="278" t="s">
        <v>298</v>
      </c>
      <c r="P1123" s="284" t="s">
        <v>298</v>
      </c>
      <c r="Q1123" s="279" t="s">
        <v>9</v>
      </c>
      <c r="R1123" s="279" t="s">
        <v>105</v>
      </c>
      <c r="S1123" s="279" t="s">
        <v>114</v>
      </c>
      <c r="T1123" s="278" t="s">
        <v>298</v>
      </c>
      <c r="U1123" s="278" t="s">
        <v>298</v>
      </c>
      <c r="V1123" s="278" t="s">
        <v>1428</v>
      </c>
      <c r="W1123" s="272" t="str">
        <f>IF(IFERROR(VLOOKUP($M1123,'IMPORT GS-Tür OL FL 2S2 20'!$H$2:$H$847,1,0),"-")="-","","GS")</f>
        <v/>
      </c>
      <c r="X1123" s="272" t="str">
        <f t="shared" si="86"/>
        <v/>
      </c>
      <c r="Y1123" s="278" t="s">
        <v>1429</v>
      </c>
      <c r="Z1123" s="58" t="str">
        <f>IF(OR($M1123="",NOT($O1123="{array}")),"",IFERROR(MATCH(PARAMETERS!$M1123,DEFAULT!$B$5:$CI$5,0),""))</f>
        <v/>
      </c>
      <c r="AA1123" s="55" t="str">
        <f t="shared" si="87"/>
        <v/>
      </c>
      <c r="AB1123" s="62" t="str">
        <f>IF(AND(OR($A1123="G",$A1123="P"),NOT($O1123="{array}")),IF(VLOOKUP($K1123,base!$B$2:$D$20,3,0)="S",IF(OR($O1123="",ISTEXT($O1123)),"","STRING!"),IF(VLOOKUP($K1123,base!$B$2:$D$20,3,0)="","",IF(ISTEXT($O1123),"NUMERIC!",""))),"")</f>
        <v/>
      </c>
      <c r="AC1123" s="16" t="str">
        <f>IF($AA1123="","",IF($B1123="I",VLOOKUP($AA1123,#REF!,53,0),INDEX(VALUES!$B$1:$GP$1,1,$AA1123)))</f>
        <v/>
      </c>
      <c r="AD1123" s="13"/>
      <c r="AE1123" s="13"/>
      <c r="AF1123" s="13"/>
      <c r="AG1123" s="13"/>
      <c r="AH1123" s="13"/>
    </row>
    <row r="1124" spans="1:34" s="276" customFormat="1" hidden="1" outlineLevel="1">
      <c r="A1124" s="263"/>
      <c r="B1124" s="264" t="str">
        <f t="shared" si="83"/>
        <v/>
      </c>
      <c r="C1124" s="265">
        <f t="shared" si="84"/>
        <v>1123</v>
      </c>
      <c r="D1124" s="266"/>
      <c r="E1124" s="266"/>
      <c r="F1124" s="305"/>
      <c r="G1124" s="188"/>
      <c r="H1124" s="266"/>
      <c r="I1124" s="266" t="s">
        <v>9</v>
      </c>
      <c r="J1124" s="266"/>
      <c r="K1124" s="278" t="s">
        <v>20</v>
      </c>
      <c r="L1124" s="278" t="s">
        <v>23</v>
      </c>
      <c r="M1124" s="278"/>
      <c r="N1124" s="278" t="s">
        <v>1430</v>
      </c>
      <c r="O1124" s="278" t="s">
        <v>298</v>
      </c>
      <c r="P1124" s="284" t="s">
        <v>298</v>
      </c>
      <c r="Q1124" s="279" t="s">
        <v>9</v>
      </c>
      <c r="R1124" s="279" t="s">
        <v>105</v>
      </c>
      <c r="S1124" s="279" t="s">
        <v>114</v>
      </c>
      <c r="T1124" s="278" t="s">
        <v>298</v>
      </c>
      <c r="U1124" s="278" t="s">
        <v>298</v>
      </c>
      <c r="V1124" s="278" t="s">
        <v>1430</v>
      </c>
      <c r="W1124" s="272" t="str">
        <f>IF(IFERROR(VLOOKUP($M1124,'IMPORT GS-Tür OL FL 2S2 20'!$H$2:$H$847,1,0),"-")="-","","GS")</f>
        <v/>
      </c>
      <c r="X1124" s="272" t="str">
        <f t="shared" si="86"/>
        <v/>
      </c>
      <c r="Y1124" s="278" t="s">
        <v>1431</v>
      </c>
      <c r="Z1124" s="58" t="str">
        <f>IF(OR($M1124="",NOT($O1124="{array}")),"",IFERROR(MATCH(PARAMETERS!$M1124,DEFAULT!$B$5:$CI$5,0),""))</f>
        <v/>
      </c>
      <c r="AA1124" s="55" t="str">
        <f t="shared" si="87"/>
        <v/>
      </c>
      <c r="AB1124" s="62" t="str">
        <f>IF(AND(OR($A1124="G",$A1124="P"),NOT($O1124="{array}")),IF(VLOOKUP($K1124,base!$B$2:$D$20,3,0)="S",IF(OR($O1124="",ISTEXT($O1124)),"","STRING!"),IF(VLOOKUP($K1124,base!$B$2:$D$20,3,0)="","",IF(ISTEXT($O1124),"NUMERIC!",""))),"")</f>
        <v/>
      </c>
      <c r="AC1124" s="16" t="str">
        <f>IF($AA1124="","",IF($B1124="I",VLOOKUP($AA1124,#REF!,53,0),INDEX(VALUES!$B$1:$GP$1,1,$AA1124)))</f>
        <v/>
      </c>
      <c r="AD1124" s="13"/>
      <c r="AE1124" s="13"/>
      <c r="AF1124" s="13"/>
      <c r="AG1124" s="13"/>
      <c r="AH1124" s="13"/>
    </row>
    <row r="1125" spans="1:34" s="276" customFormat="1" hidden="1" outlineLevel="1">
      <c r="A1125" s="263"/>
      <c r="B1125" s="264" t="str">
        <f t="shared" ref="B1125:B1188" si="88">IF($A1125="P",IF(NOT($Z1125=""),"A",IF(NOT($AA1125=""),"I","")),IF(NOT($AA1125=""),IF($A1125="G","V","X"),IF(NOT($Z1125=""),"A","")))</f>
        <v/>
      </c>
      <c r="C1125" s="265">
        <f t="shared" si="84"/>
        <v>1124</v>
      </c>
      <c r="D1125" s="266"/>
      <c r="E1125" s="266"/>
      <c r="F1125" s="305"/>
      <c r="G1125" s="188"/>
      <c r="H1125" s="266"/>
      <c r="I1125" s="266" t="s">
        <v>9</v>
      </c>
      <c r="J1125" s="266"/>
      <c r="K1125" s="278" t="s">
        <v>20</v>
      </c>
      <c r="L1125" s="278" t="s">
        <v>23</v>
      </c>
      <c r="M1125" s="278"/>
      <c r="N1125" s="278" t="s">
        <v>1432</v>
      </c>
      <c r="O1125" s="278" t="s">
        <v>298</v>
      </c>
      <c r="P1125" s="284" t="s">
        <v>298</v>
      </c>
      <c r="Q1125" s="279" t="s">
        <v>9</v>
      </c>
      <c r="R1125" s="279" t="s">
        <v>105</v>
      </c>
      <c r="S1125" s="279" t="s">
        <v>114</v>
      </c>
      <c r="T1125" s="278" t="s">
        <v>298</v>
      </c>
      <c r="U1125" s="278" t="s">
        <v>298</v>
      </c>
      <c r="V1125" s="278" t="s">
        <v>1432</v>
      </c>
      <c r="W1125" s="272" t="str">
        <f>IF(IFERROR(VLOOKUP($M1125,'IMPORT GS-Tür OL FL 2S2 20'!$H$2:$H$847,1,0),"-")="-","","GS")</f>
        <v/>
      </c>
      <c r="X1125" s="272" t="str">
        <f t="shared" si="86"/>
        <v/>
      </c>
      <c r="Y1125" s="278" t="s">
        <v>1433</v>
      </c>
      <c r="Z1125" s="58" t="str">
        <f>IF(OR($M1125="",NOT($O1125="{array}")),"",IFERROR(MATCH(PARAMETERS!$M1125,DEFAULT!$B$5:$CI$5,0),""))</f>
        <v/>
      </c>
      <c r="AA1125" s="55" t="str">
        <f t="shared" si="87"/>
        <v/>
      </c>
      <c r="AB1125" s="62" t="str">
        <f>IF(AND(OR($A1125="G",$A1125="P"),NOT($O1125="{array}")),IF(VLOOKUP($K1125,base!$B$2:$D$20,3,0)="S",IF(OR($O1125="",ISTEXT($O1125)),"","STRING!"),IF(VLOOKUP($K1125,base!$B$2:$D$20,3,0)="","",IF(ISTEXT($O1125),"NUMERIC!",""))),"")</f>
        <v/>
      </c>
      <c r="AC1125" s="16" t="str">
        <f>IF($AA1125="","",IF($B1125="I",VLOOKUP($AA1125,#REF!,53,0),INDEX(VALUES!$B$1:$GP$1,1,$AA1125)))</f>
        <v/>
      </c>
      <c r="AD1125" s="13"/>
      <c r="AE1125" s="13"/>
      <c r="AF1125" s="13"/>
      <c r="AG1125" s="13"/>
      <c r="AH1125" s="13"/>
    </row>
    <row r="1126" spans="1:34" s="276" customFormat="1" hidden="1" outlineLevel="1">
      <c r="A1126" s="263"/>
      <c r="B1126" s="264" t="str">
        <f t="shared" si="88"/>
        <v/>
      </c>
      <c r="C1126" s="265">
        <f t="shared" si="84"/>
        <v>1125</v>
      </c>
      <c r="D1126" s="266"/>
      <c r="E1126" s="266"/>
      <c r="F1126" s="305"/>
      <c r="G1126" s="188"/>
      <c r="H1126" s="266"/>
      <c r="I1126" s="266" t="s">
        <v>9</v>
      </c>
      <c r="J1126" s="266"/>
      <c r="K1126" s="278" t="s">
        <v>20</v>
      </c>
      <c r="L1126" s="278" t="s">
        <v>23</v>
      </c>
      <c r="M1126" s="278"/>
      <c r="N1126" s="278" t="s">
        <v>1434</v>
      </c>
      <c r="O1126" s="278" t="s">
        <v>298</v>
      </c>
      <c r="P1126" s="284" t="s">
        <v>298</v>
      </c>
      <c r="Q1126" s="279" t="s">
        <v>9</v>
      </c>
      <c r="R1126" s="279" t="s">
        <v>105</v>
      </c>
      <c r="S1126" s="279" t="s">
        <v>114</v>
      </c>
      <c r="T1126" s="278" t="s">
        <v>298</v>
      </c>
      <c r="U1126" s="278" t="s">
        <v>298</v>
      </c>
      <c r="V1126" s="278" t="s">
        <v>1434</v>
      </c>
      <c r="W1126" s="272" t="str">
        <f>IF(IFERROR(VLOOKUP($M1126,'IMPORT GS-Tür OL FL 2S2 20'!$H$2:$H$847,1,0),"-")="-","","GS")</f>
        <v/>
      </c>
      <c r="X1126" s="272" t="str">
        <f t="shared" si="86"/>
        <v/>
      </c>
      <c r="Y1126" s="278" t="s">
        <v>1435</v>
      </c>
      <c r="Z1126" s="58" t="str">
        <f>IF(OR($M1126="",NOT($O1126="{array}")),"",IFERROR(MATCH(PARAMETERS!$M1126,DEFAULT!$B$5:$CI$5,0),""))</f>
        <v/>
      </c>
      <c r="AA1126" s="55" t="str">
        <f t="shared" si="87"/>
        <v/>
      </c>
      <c r="AB1126" s="62" t="str">
        <f>IF(AND(OR($A1126="G",$A1126="P"),NOT($O1126="{array}")),IF(VLOOKUP($K1126,base!$B$2:$D$20,3,0)="S",IF(OR($O1126="",ISTEXT($O1126)),"","STRING!"),IF(VLOOKUP($K1126,base!$B$2:$D$20,3,0)="","",IF(ISTEXT($O1126),"NUMERIC!",""))),"")</f>
        <v/>
      </c>
      <c r="AC1126" s="16" t="str">
        <f>IF($AA1126="","",IF($B1126="I",VLOOKUP($AA1126,#REF!,53,0),INDEX(VALUES!$B$1:$GP$1,1,$AA1126)))</f>
        <v/>
      </c>
      <c r="AD1126" s="13"/>
      <c r="AE1126" s="13"/>
      <c r="AF1126" s="13"/>
      <c r="AG1126" s="13"/>
      <c r="AH1126" s="13"/>
    </row>
    <row r="1127" spans="1:34" s="276" customFormat="1" hidden="1" outlineLevel="1">
      <c r="A1127" s="263"/>
      <c r="B1127" s="264" t="str">
        <f t="shared" si="88"/>
        <v/>
      </c>
      <c r="C1127" s="265">
        <f t="shared" si="84"/>
        <v>1126</v>
      </c>
      <c r="D1127" s="266"/>
      <c r="E1127" s="266"/>
      <c r="F1127" s="305"/>
      <c r="G1127" s="188"/>
      <c r="H1127" s="266"/>
      <c r="I1127" s="266" t="s">
        <v>9</v>
      </c>
      <c r="J1127" s="266"/>
      <c r="K1127" s="278" t="s">
        <v>49</v>
      </c>
      <c r="L1127" s="278" t="s">
        <v>23</v>
      </c>
      <c r="M1127" s="278"/>
      <c r="N1127" s="278" t="s">
        <v>1436</v>
      </c>
      <c r="O1127" s="278" t="s">
        <v>298</v>
      </c>
      <c r="P1127" s="284" t="s">
        <v>298</v>
      </c>
      <c r="Q1127" s="279" t="s">
        <v>9</v>
      </c>
      <c r="R1127" s="279" t="s">
        <v>105</v>
      </c>
      <c r="S1127" s="279" t="s">
        <v>114</v>
      </c>
      <c r="T1127" s="278" t="s">
        <v>298</v>
      </c>
      <c r="U1127" s="278" t="s">
        <v>298</v>
      </c>
      <c r="V1127" s="278" t="s">
        <v>1436</v>
      </c>
      <c r="W1127" s="272" t="str">
        <f>IF(IFERROR(VLOOKUP($M1127,'IMPORT GS-Tür OL FL 2S2 20'!$H$2:$H$847,1,0),"-")="-","","GS")</f>
        <v/>
      </c>
      <c r="X1127" s="272" t="str">
        <f t="shared" si="86"/>
        <v/>
      </c>
      <c r="Y1127" s="278" t="s">
        <v>1437</v>
      </c>
      <c r="Z1127" s="58" t="str">
        <f>IF(OR($M1127="",NOT($O1127="{array}")),"",IFERROR(MATCH(PARAMETERS!$M1127,DEFAULT!$B$5:$CI$5,0),""))</f>
        <v/>
      </c>
      <c r="AA1127" s="55" t="str">
        <f t="shared" si="87"/>
        <v/>
      </c>
      <c r="AB1127" s="62" t="str">
        <f>IF(AND(OR($A1127="G",$A1127="P"),NOT($O1127="{array}")),IF(VLOOKUP($K1127,base!$B$2:$D$20,3,0)="S",IF(OR($O1127="",ISTEXT($O1127)),"","STRING!"),IF(VLOOKUP($K1127,base!$B$2:$D$20,3,0)="","",IF(ISTEXT($O1127),"NUMERIC!",""))),"")</f>
        <v/>
      </c>
      <c r="AC1127" s="16" t="str">
        <f>IF($AA1127="","",IF($B1127="I",VLOOKUP($AA1127,#REF!,53,0),INDEX(VALUES!$B$1:$GP$1,1,$AA1127)))</f>
        <v/>
      </c>
      <c r="AD1127" s="13"/>
      <c r="AE1127" s="13"/>
      <c r="AF1127" s="13"/>
      <c r="AG1127" s="13"/>
      <c r="AH1127" s="13"/>
    </row>
    <row r="1128" spans="1:34" s="276" customFormat="1" hidden="1" outlineLevel="1">
      <c r="A1128" s="263"/>
      <c r="B1128" s="264" t="str">
        <f t="shared" si="88"/>
        <v/>
      </c>
      <c r="C1128" s="265">
        <f t="shared" si="84"/>
        <v>1127</v>
      </c>
      <c r="D1128" s="266"/>
      <c r="E1128" s="266"/>
      <c r="F1128" s="305"/>
      <c r="G1128" s="188"/>
      <c r="H1128" s="266"/>
      <c r="I1128" s="266" t="s">
        <v>9</v>
      </c>
      <c r="J1128" s="266"/>
      <c r="K1128" s="278" t="s">
        <v>20</v>
      </c>
      <c r="L1128" s="278" t="s">
        <v>23</v>
      </c>
      <c r="M1128" s="278"/>
      <c r="N1128" s="278" t="s">
        <v>1438</v>
      </c>
      <c r="O1128" s="278" t="s">
        <v>298</v>
      </c>
      <c r="P1128" s="284" t="s">
        <v>298</v>
      </c>
      <c r="Q1128" s="279" t="s">
        <v>9</v>
      </c>
      <c r="R1128" s="279" t="s">
        <v>105</v>
      </c>
      <c r="S1128" s="279" t="s">
        <v>114</v>
      </c>
      <c r="T1128" s="278" t="s">
        <v>298</v>
      </c>
      <c r="U1128" s="278" t="s">
        <v>298</v>
      </c>
      <c r="V1128" s="278" t="s">
        <v>1438</v>
      </c>
      <c r="W1128" s="272" t="str">
        <f>IF(IFERROR(VLOOKUP($M1128,'IMPORT GS-Tür OL FL 2S2 20'!$H$2:$H$847,1,0),"-")="-","","GS")</f>
        <v/>
      </c>
      <c r="X1128" s="272" t="str">
        <f t="shared" si="86"/>
        <v/>
      </c>
      <c r="Y1128" s="278" t="s">
        <v>1439</v>
      </c>
      <c r="Z1128" s="58" t="str">
        <f>IF(OR($M1128="",NOT($O1128="{array}")),"",IFERROR(MATCH(PARAMETERS!$M1128,DEFAULT!$B$5:$CI$5,0),""))</f>
        <v/>
      </c>
      <c r="AA1128" s="55" t="str">
        <f t="shared" si="87"/>
        <v/>
      </c>
      <c r="AB1128" s="62" t="str">
        <f>IF(AND(OR($A1128="G",$A1128="P"),NOT($O1128="{array}")),IF(VLOOKUP($K1128,base!$B$2:$D$20,3,0)="S",IF(OR($O1128="",ISTEXT($O1128)),"","STRING!"),IF(VLOOKUP($K1128,base!$B$2:$D$20,3,0)="","",IF(ISTEXT($O1128),"NUMERIC!",""))),"")</f>
        <v/>
      </c>
      <c r="AC1128" s="16" t="str">
        <f>IF($AA1128="","",IF($B1128="I",VLOOKUP($AA1128,#REF!,53,0),INDEX(VALUES!$B$1:$GP$1,1,$AA1128)))</f>
        <v/>
      </c>
      <c r="AD1128" s="13"/>
      <c r="AE1128" s="13"/>
      <c r="AF1128" s="13"/>
      <c r="AG1128" s="13"/>
      <c r="AH1128" s="13"/>
    </row>
    <row r="1129" spans="1:34" s="276" customFormat="1" hidden="1" outlineLevel="1">
      <c r="A1129" s="263"/>
      <c r="B1129" s="264" t="str">
        <f t="shared" si="88"/>
        <v/>
      </c>
      <c r="C1129" s="265">
        <f t="shared" si="84"/>
        <v>1128</v>
      </c>
      <c r="D1129" s="266"/>
      <c r="E1129" s="266"/>
      <c r="F1129" s="305"/>
      <c r="G1129" s="188"/>
      <c r="H1129" s="266"/>
      <c r="I1129" s="266" t="s">
        <v>9</v>
      </c>
      <c r="J1129" s="266"/>
      <c r="K1129" s="278" t="s">
        <v>20</v>
      </c>
      <c r="L1129" s="278" t="s">
        <v>23</v>
      </c>
      <c r="M1129" s="278"/>
      <c r="N1129" s="278" t="s">
        <v>1440</v>
      </c>
      <c r="O1129" s="278" t="s">
        <v>298</v>
      </c>
      <c r="P1129" s="284" t="s">
        <v>298</v>
      </c>
      <c r="Q1129" s="279" t="s">
        <v>9</v>
      </c>
      <c r="R1129" s="279" t="s">
        <v>105</v>
      </c>
      <c r="S1129" s="279" t="s">
        <v>114</v>
      </c>
      <c r="T1129" s="278" t="s">
        <v>298</v>
      </c>
      <c r="U1129" s="278" t="s">
        <v>298</v>
      </c>
      <c r="V1129" s="278" t="s">
        <v>1440</v>
      </c>
      <c r="W1129" s="272" t="str">
        <f>IF(IFERROR(VLOOKUP($M1129,'IMPORT GS-Tür OL FL 2S2 20'!$H$2:$H$847,1,0),"-")="-","","GS")</f>
        <v/>
      </c>
      <c r="X1129" s="272" t="str">
        <f t="shared" si="86"/>
        <v/>
      </c>
      <c r="Y1129" s="278" t="s">
        <v>1441</v>
      </c>
      <c r="Z1129" s="58" t="str">
        <f>IF(OR($M1129="",NOT($O1129="{array}")),"",IFERROR(MATCH(PARAMETERS!$M1129,DEFAULT!$B$5:$CI$5,0),""))</f>
        <v/>
      </c>
      <c r="AA1129" s="55" t="str">
        <f t="shared" si="87"/>
        <v/>
      </c>
      <c r="AB1129" s="62" t="str">
        <f>IF(AND(OR($A1129="G",$A1129="P"),NOT($O1129="{array}")),IF(VLOOKUP($K1129,base!$B$2:$D$20,3,0)="S",IF(OR($O1129="",ISTEXT($O1129)),"","STRING!"),IF(VLOOKUP($K1129,base!$B$2:$D$20,3,0)="","",IF(ISTEXT($O1129),"NUMERIC!",""))),"")</f>
        <v/>
      </c>
      <c r="AC1129" s="16" t="str">
        <f>IF($AA1129="","",IF($B1129="I",VLOOKUP($AA1129,#REF!,53,0),INDEX(VALUES!$B$1:$GP$1,1,$AA1129)))</f>
        <v/>
      </c>
      <c r="AD1129" s="13"/>
      <c r="AE1129" s="13"/>
      <c r="AF1129" s="13"/>
      <c r="AG1129" s="13"/>
      <c r="AH1129" s="13"/>
    </row>
    <row r="1130" spans="1:34" s="276" customFormat="1" hidden="1" outlineLevel="1">
      <c r="A1130" s="263"/>
      <c r="B1130" s="264" t="str">
        <f t="shared" si="88"/>
        <v/>
      </c>
      <c r="C1130" s="265">
        <f t="shared" si="84"/>
        <v>1129</v>
      </c>
      <c r="D1130" s="266"/>
      <c r="E1130" s="266"/>
      <c r="F1130" s="305"/>
      <c r="G1130" s="188"/>
      <c r="H1130" s="266"/>
      <c r="I1130" s="266" t="s">
        <v>9</v>
      </c>
      <c r="J1130" s="266"/>
      <c r="K1130" s="278" t="s">
        <v>20</v>
      </c>
      <c r="L1130" s="278" t="s">
        <v>23</v>
      </c>
      <c r="M1130" s="278"/>
      <c r="N1130" s="278" t="s">
        <v>1442</v>
      </c>
      <c r="O1130" s="278" t="s">
        <v>298</v>
      </c>
      <c r="P1130" s="284" t="s">
        <v>298</v>
      </c>
      <c r="Q1130" s="279" t="s">
        <v>9</v>
      </c>
      <c r="R1130" s="279" t="s">
        <v>105</v>
      </c>
      <c r="S1130" s="279" t="s">
        <v>114</v>
      </c>
      <c r="T1130" s="278" t="s">
        <v>298</v>
      </c>
      <c r="U1130" s="278" t="s">
        <v>298</v>
      </c>
      <c r="V1130" s="278" t="s">
        <v>1442</v>
      </c>
      <c r="W1130" s="272" t="str">
        <f>IF(IFERROR(VLOOKUP($M1130,'IMPORT GS-Tür OL FL 2S2 20'!$H$2:$H$847,1,0),"-")="-","","GS")</f>
        <v/>
      </c>
      <c r="X1130" s="272" t="str">
        <f t="shared" si="86"/>
        <v/>
      </c>
      <c r="Y1130" s="278" t="s">
        <v>1443</v>
      </c>
      <c r="Z1130" s="58" t="str">
        <f>IF(OR($M1130="",NOT($O1130="{array}")),"",IFERROR(MATCH(PARAMETERS!$M1130,DEFAULT!$B$5:$CI$5,0),""))</f>
        <v/>
      </c>
      <c r="AA1130" s="55" t="str">
        <f t="shared" si="87"/>
        <v/>
      </c>
      <c r="AB1130" s="62" t="str">
        <f>IF(AND(OR($A1130="G",$A1130="P"),NOT($O1130="{array}")),IF(VLOOKUP($K1130,base!$B$2:$D$20,3,0)="S",IF(OR($O1130="",ISTEXT($O1130)),"","STRING!"),IF(VLOOKUP($K1130,base!$B$2:$D$20,3,0)="","",IF(ISTEXT($O1130),"NUMERIC!",""))),"")</f>
        <v/>
      </c>
      <c r="AC1130" s="16" t="str">
        <f>IF($AA1130="","",IF($B1130="I",VLOOKUP($AA1130,#REF!,53,0),INDEX(VALUES!$B$1:$GP$1,1,$AA1130)))</f>
        <v/>
      </c>
      <c r="AD1130" s="13"/>
      <c r="AE1130" s="13"/>
      <c r="AF1130" s="13"/>
      <c r="AG1130" s="13"/>
      <c r="AH1130" s="13"/>
    </row>
    <row r="1131" spans="1:34" s="276" customFormat="1" hidden="1" outlineLevel="1">
      <c r="A1131" s="263"/>
      <c r="B1131" s="264" t="str">
        <f t="shared" si="88"/>
        <v/>
      </c>
      <c r="C1131" s="265">
        <f t="shared" si="84"/>
        <v>1130</v>
      </c>
      <c r="D1131" s="266"/>
      <c r="E1131" s="266"/>
      <c r="F1131" s="305"/>
      <c r="G1131" s="188"/>
      <c r="H1131" s="266"/>
      <c r="I1131" s="266" t="s">
        <v>9</v>
      </c>
      <c r="J1131" s="266"/>
      <c r="K1131" s="278" t="s">
        <v>20</v>
      </c>
      <c r="L1131" s="278" t="s">
        <v>23</v>
      </c>
      <c r="M1131" s="278"/>
      <c r="N1131" s="278" t="s">
        <v>1444</v>
      </c>
      <c r="O1131" s="278" t="s">
        <v>298</v>
      </c>
      <c r="P1131" s="284" t="s">
        <v>298</v>
      </c>
      <c r="Q1131" s="279" t="s">
        <v>9</v>
      </c>
      <c r="R1131" s="279" t="s">
        <v>105</v>
      </c>
      <c r="S1131" s="279" t="s">
        <v>114</v>
      </c>
      <c r="T1131" s="278" t="s">
        <v>298</v>
      </c>
      <c r="U1131" s="278" t="s">
        <v>298</v>
      </c>
      <c r="V1131" s="278" t="s">
        <v>1444</v>
      </c>
      <c r="W1131" s="272" t="str">
        <f>IF(IFERROR(VLOOKUP($M1131,'IMPORT GS-Tür OL FL 2S2 20'!$H$2:$H$847,1,0),"-")="-","","GS")</f>
        <v/>
      </c>
      <c r="X1131" s="272" t="str">
        <f t="shared" si="86"/>
        <v/>
      </c>
      <c r="Y1131" s="278" t="s">
        <v>1445</v>
      </c>
      <c r="Z1131" s="58" t="str">
        <f>IF(OR($M1131="",NOT($O1131="{array}")),"",IFERROR(MATCH(PARAMETERS!$M1131,DEFAULT!$B$5:$CI$5,0),""))</f>
        <v/>
      </c>
      <c r="AA1131" s="55" t="str">
        <f t="shared" si="87"/>
        <v/>
      </c>
      <c r="AB1131" s="62" t="str">
        <f>IF(AND(OR($A1131="G",$A1131="P"),NOT($O1131="{array}")),IF(VLOOKUP($K1131,base!$B$2:$D$20,3,0)="S",IF(OR($O1131="",ISTEXT($O1131)),"","STRING!"),IF(VLOOKUP($K1131,base!$B$2:$D$20,3,0)="","",IF(ISTEXT($O1131),"NUMERIC!",""))),"")</f>
        <v/>
      </c>
      <c r="AC1131" s="16" t="str">
        <f>IF($AA1131="","",IF($B1131="I",VLOOKUP($AA1131,#REF!,53,0),INDEX(VALUES!$B$1:$GP$1,1,$AA1131)))</f>
        <v/>
      </c>
      <c r="AD1131" s="13"/>
      <c r="AE1131" s="13"/>
      <c r="AF1131" s="13"/>
      <c r="AG1131" s="13"/>
      <c r="AH1131" s="13"/>
    </row>
    <row r="1132" spans="1:34" s="276" customFormat="1" hidden="1" outlineLevel="1">
      <c r="A1132" s="263"/>
      <c r="B1132" s="264" t="str">
        <f t="shared" si="88"/>
        <v/>
      </c>
      <c r="C1132" s="265">
        <f t="shared" si="84"/>
        <v>1131</v>
      </c>
      <c r="D1132" s="266"/>
      <c r="E1132" s="266"/>
      <c r="F1132" s="305"/>
      <c r="G1132" s="188"/>
      <c r="H1132" s="266"/>
      <c r="I1132" s="266" t="s">
        <v>9</v>
      </c>
      <c r="J1132" s="266"/>
      <c r="K1132" s="278" t="s">
        <v>20</v>
      </c>
      <c r="L1132" s="278" t="s">
        <v>23</v>
      </c>
      <c r="M1132" s="278"/>
      <c r="N1132" s="278" t="s">
        <v>1446</v>
      </c>
      <c r="O1132" s="278" t="s">
        <v>298</v>
      </c>
      <c r="P1132" s="284" t="s">
        <v>298</v>
      </c>
      <c r="Q1132" s="279" t="s">
        <v>9</v>
      </c>
      <c r="R1132" s="279" t="s">
        <v>105</v>
      </c>
      <c r="S1132" s="279" t="s">
        <v>114</v>
      </c>
      <c r="T1132" s="278" t="s">
        <v>298</v>
      </c>
      <c r="U1132" s="278" t="s">
        <v>298</v>
      </c>
      <c r="V1132" s="278" t="s">
        <v>1446</v>
      </c>
      <c r="W1132" s="272" t="str">
        <f>IF(IFERROR(VLOOKUP($M1132,'IMPORT GS-Tür OL FL 2S2 20'!$H$2:$H$847,1,0),"-")="-","","GS")</f>
        <v/>
      </c>
      <c r="X1132" s="272" t="str">
        <f t="shared" si="86"/>
        <v/>
      </c>
      <c r="Y1132" s="278" t="s">
        <v>1447</v>
      </c>
      <c r="Z1132" s="58" t="str">
        <f>IF(OR($M1132="",NOT($O1132="{array}")),"",IFERROR(MATCH(PARAMETERS!$M1132,DEFAULT!$B$5:$CI$5,0),""))</f>
        <v/>
      </c>
      <c r="AA1132" s="55" t="str">
        <f t="shared" si="87"/>
        <v/>
      </c>
      <c r="AB1132" s="62" t="str">
        <f>IF(AND(OR($A1132="G",$A1132="P"),NOT($O1132="{array}")),IF(VLOOKUP($K1132,base!$B$2:$D$20,3,0)="S",IF(OR($O1132="",ISTEXT($O1132)),"","STRING!"),IF(VLOOKUP($K1132,base!$B$2:$D$20,3,0)="","",IF(ISTEXT($O1132),"NUMERIC!",""))),"")</f>
        <v/>
      </c>
      <c r="AC1132" s="16" t="str">
        <f>IF($AA1132="","",IF($B1132="I",VLOOKUP($AA1132,#REF!,53,0),INDEX(VALUES!$B$1:$GP$1,1,$AA1132)))</f>
        <v/>
      </c>
      <c r="AD1132" s="13"/>
      <c r="AE1132" s="13"/>
      <c r="AF1132" s="13"/>
      <c r="AG1132" s="13"/>
      <c r="AH1132" s="13"/>
    </row>
    <row r="1133" spans="1:34" s="276" customFormat="1" hidden="1" outlineLevel="1">
      <c r="A1133" s="263"/>
      <c r="B1133" s="264" t="str">
        <f t="shared" si="88"/>
        <v/>
      </c>
      <c r="C1133" s="265">
        <f t="shared" si="84"/>
        <v>1132</v>
      </c>
      <c r="D1133" s="266"/>
      <c r="E1133" s="266"/>
      <c r="F1133" s="305"/>
      <c r="G1133" s="188"/>
      <c r="H1133" s="266"/>
      <c r="I1133" s="266" t="s">
        <v>9</v>
      </c>
      <c r="J1133" s="266"/>
      <c r="K1133" s="278" t="s">
        <v>20</v>
      </c>
      <c r="L1133" s="278" t="s">
        <v>23</v>
      </c>
      <c r="M1133" s="278"/>
      <c r="N1133" s="278" t="s">
        <v>1448</v>
      </c>
      <c r="O1133" s="278" t="s">
        <v>298</v>
      </c>
      <c r="P1133" s="284" t="s">
        <v>298</v>
      </c>
      <c r="Q1133" s="279" t="s">
        <v>9</v>
      </c>
      <c r="R1133" s="279" t="s">
        <v>105</v>
      </c>
      <c r="S1133" s="279" t="s">
        <v>114</v>
      </c>
      <c r="T1133" s="278" t="s">
        <v>298</v>
      </c>
      <c r="U1133" s="278" t="s">
        <v>298</v>
      </c>
      <c r="V1133" s="278" t="s">
        <v>1448</v>
      </c>
      <c r="W1133" s="272" t="str">
        <f>IF(IFERROR(VLOOKUP($M1133,'IMPORT GS-Tür OL FL 2S2 20'!$H$2:$H$847,1,0),"-")="-","","GS")</f>
        <v/>
      </c>
      <c r="X1133" s="272" t="str">
        <f t="shared" si="86"/>
        <v/>
      </c>
      <c r="Y1133" s="278" t="s">
        <v>1449</v>
      </c>
      <c r="Z1133" s="58" t="str">
        <f>IF(OR($M1133="",NOT($O1133="{array}")),"",IFERROR(MATCH(PARAMETERS!$M1133,DEFAULT!$B$5:$CI$5,0),""))</f>
        <v/>
      </c>
      <c r="AA1133" s="55" t="str">
        <f t="shared" si="87"/>
        <v/>
      </c>
      <c r="AB1133" s="62" t="str">
        <f>IF(AND(OR($A1133="G",$A1133="P"),NOT($O1133="{array}")),IF(VLOOKUP($K1133,base!$B$2:$D$20,3,0)="S",IF(OR($O1133="",ISTEXT($O1133)),"","STRING!"),IF(VLOOKUP($K1133,base!$B$2:$D$20,3,0)="","",IF(ISTEXT($O1133),"NUMERIC!",""))),"")</f>
        <v/>
      </c>
      <c r="AC1133" s="16" t="str">
        <f>IF($AA1133="","",IF($B1133="I",VLOOKUP($AA1133,#REF!,53,0),INDEX(VALUES!$B$1:$GP$1,1,$AA1133)))</f>
        <v/>
      </c>
      <c r="AD1133" s="13"/>
      <c r="AE1133" s="13"/>
      <c r="AF1133" s="13"/>
      <c r="AG1133" s="13"/>
      <c r="AH1133" s="13"/>
    </row>
    <row r="1134" spans="1:34" s="276" customFormat="1" hidden="1" outlineLevel="1">
      <c r="A1134" s="263"/>
      <c r="B1134" s="264" t="str">
        <f t="shared" si="88"/>
        <v/>
      </c>
      <c r="C1134" s="265">
        <f t="shared" si="84"/>
        <v>1133</v>
      </c>
      <c r="D1134" s="266"/>
      <c r="E1134" s="266"/>
      <c r="F1134" s="305"/>
      <c r="G1134" s="188"/>
      <c r="H1134" s="266"/>
      <c r="I1134" s="266" t="s">
        <v>9</v>
      </c>
      <c r="J1134" s="266"/>
      <c r="K1134" s="278" t="s">
        <v>20</v>
      </c>
      <c r="L1134" s="278" t="s">
        <v>23</v>
      </c>
      <c r="M1134" s="278"/>
      <c r="N1134" s="278" t="s">
        <v>1450</v>
      </c>
      <c r="O1134" s="278" t="s">
        <v>298</v>
      </c>
      <c r="P1134" s="284" t="s">
        <v>298</v>
      </c>
      <c r="Q1134" s="279" t="s">
        <v>9</v>
      </c>
      <c r="R1134" s="279" t="s">
        <v>105</v>
      </c>
      <c r="S1134" s="279" t="s">
        <v>114</v>
      </c>
      <c r="T1134" s="278" t="s">
        <v>298</v>
      </c>
      <c r="U1134" s="278" t="s">
        <v>298</v>
      </c>
      <c r="V1134" s="278" t="s">
        <v>1450</v>
      </c>
      <c r="W1134" s="272" t="str">
        <f>IF(IFERROR(VLOOKUP($M1134,'IMPORT GS-Tür OL FL 2S2 20'!$H$2:$H$847,1,0),"-")="-","","GS")</f>
        <v/>
      </c>
      <c r="X1134" s="272" t="str">
        <f t="shared" si="86"/>
        <v/>
      </c>
      <c r="Y1134" s="278" t="s">
        <v>1451</v>
      </c>
      <c r="Z1134" s="58" t="str">
        <f>IF(OR($M1134="",NOT($O1134="{array}")),"",IFERROR(MATCH(PARAMETERS!$M1134,DEFAULT!$B$5:$CI$5,0),""))</f>
        <v/>
      </c>
      <c r="AA1134" s="55" t="str">
        <f t="shared" si="87"/>
        <v/>
      </c>
      <c r="AB1134" s="62" t="str">
        <f>IF(AND(OR($A1134="G",$A1134="P"),NOT($O1134="{array}")),IF(VLOOKUP($K1134,base!$B$2:$D$20,3,0)="S",IF(OR($O1134="",ISTEXT($O1134)),"","STRING!"),IF(VLOOKUP($K1134,base!$B$2:$D$20,3,0)="","",IF(ISTEXT($O1134),"NUMERIC!",""))),"")</f>
        <v/>
      </c>
      <c r="AC1134" s="16" t="str">
        <f>IF($AA1134="","",IF($B1134="I",VLOOKUP($AA1134,#REF!,53,0),INDEX(VALUES!$B$1:$GP$1,1,$AA1134)))</f>
        <v/>
      </c>
      <c r="AD1134" s="13"/>
      <c r="AE1134" s="13"/>
      <c r="AF1134" s="13"/>
      <c r="AG1134" s="13"/>
      <c r="AH1134" s="13"/>
    </row>
    <row r="1135" spans="1:34" s="276" customFormat="1" hidden="1" outlineLevel="1">
      <c r="A1135" s="263"/>
      <c r="B1135" s="264" t="str">
        <f t="shared" si="88"/>
        <v/>
      </c>
      <c r="C1135" s="265">
        <f t="shared" si="84"/>
        <v>1134</v>
      </c>
      <c r="D1135" s="266"/>
      <c r="E1135" s="266"/>
      <c r="F1135" s="305"/>
      <c r="G1135" s="188"/>
      <c r="H1135" s="266"/>
      <c r="I1135" s="266" t="s">
        <v>9</v>
      </c>
      <c r="J1135" s="266"/>
      <c r="K1135" s="278" t="s">
        <v>20</v>
      </c>
      <c r="L1135" s="278" t="s">
        <v>23</v>
      </c>
      <c r="M1135" s="278"/>
      <c r="N1135" s="278" t="s">
        <v>1452</v>
      </c>
      <c r="O1135" s="278" t="s">
        <v>298</v>
      </c>
      <c r="P1135" s="284" t="s">
        <v>298</v>
      </c>
      <c r="Q1135" s="279" t="s">
        <v>9</v>
      </c>
      <c r="R1135" s="279" t="s">
        <v>105</v>
      </c>
      <c r="S1135" s="279" t="s">
        <v>114</v>
      </c>
      <c r="T1135" s="278" t="s">
        <v>298</v>
      </c>
      <c r="U1135" s="278" t="s">
        <v>298</v>
      </c>
      <c r="V1135" s="278" t="s">
        <v>1452</v>
      </c>
      <c r="W1135" s="272" t="str">
        <f>IF(IFERROR(VLOOKUP($M1135,'IMPORT GS-Tür OL FL 2S2 20'!$H$2:$H$847,1,0),"-")="-","","GS")</f>
        <v/>
      </c>
      <c r="X1135" s="272" t="str">
        <f t="shared" si="86"/>
        <v/>
      </c>
      <c r="Y1135" s="278" t="s">
        <v>1453</v>
      </c>
      <c r="Z1135" s="58" t="str">
        <f>IF(OR($M1135="",NOT($O1135="{array}")),"",IFERROR(MATCH(PARAMETERS!$M1135,DEFAULT!$B$5:$CI$5,0),""))</f>
        <v/>
      </c>
      <c r="AA1135" s="55" t="str">
        <f t="shared" si="87"/>
        <v/>
      </c>
      <c r="AB1135" s="62" t="str">
        <f>IF(AND(OR($A1135="G",$A1135="P"),NOT($O1135="{array}")),IF(VLOOKUP($K1135,base!$B$2:$D$20,3,0)="S",IF(OR($O1135="",ISTEXT($O1135)),"","STRING!"),IF(VLOOKUP($K1135,base!$B$2:$D$20,3,0)="","",IF(ISTEXT($O1135),"NUMERIC!",""))),"")</f>
        <v/>
      </c>
      <c r="AC1135" s="16" t="str">
        <f>IF($AA1135="","",IF($B1135="I",VLOOKUP($AA1135,#REF!,53,0),INDEX(VALUES!$B$1:$GP$1,1,$AA1135)))</f>
        <v/>
      </c>
      <c r="AD1135" s="13"/>
      <c r="AE1135" s="13"/>
      <c r="AF1135" s="13"/>
      <c r="AG1135" s="13"/>
      <c r="AH1135" s="13"/>
    </row>
    <row r="1136" spans="1:34" s="276" customFormat="1" hidden="1" outlineLevel="1">
      <c r="A1136" s="263"/>
      <c r="B1136" s="264" t="str">
        <f t="shared" si="88"/>
        <v/>
      </c>
      <c r="C1136" s="265">
        <f t="shared" si="84"/>
        <v>1135</v>
      </c>
      <c r="D1136" s="266"/>
      <c r="E1136" s="266"/>
      <c r="F1136" s="305"/>
      <c r="G1136" s="188"/>
      <c r="H1136" s="266"/>
      <c r="I1136" s="266" t="s">
        <v>9</v>
      </c>
      <c r="J1136" s="266"/>
      <c r="K1136" s="278" t="s">
        <v>20</v>
      </c>
      <c r="L1136" s="278" t="s">
        <v>23</v>
      </c>
      <c r="M1136" s="278"/>
      <c r="N1136" s="278" t="s">
        <v>1454</v>
      </c>
      <c r="O1136" s="278" t="s">
        <v>298</v>
      </c>
      <c r="P1136" s="284" t="s">
        <v>298</v>
      </c>
      <c r="Q1136" s="279" t="s">
        <v>9</v>
      </c>
      <c r="R1136" s="279" t="s">
        <v>105</v>
      </c>
      <c r="S1136" s="279" t="s">
        <v>114</v>
      </c>
      <c r="T1136" s="278" t="s">
        <v>298</v>
      </c>
      <c r="U1136" s="278" t="s">
        <v>298</v>
      </c>
      <c r="V1136" s="278" t="s">
        <v>1454</v>
      </c>
      <c r="W1136" s="272" t="str">
        <f>IF(IFERROR(VLOOKUP($M1136,'IMPORT GS-Tür OL FL 2S2 20'!$H$2:$H$847,1,0),"-")="-","","GS")</f>
        <v/>
      </c>
      <c r="X1136" s="272" t="str">
        <f t="shared" si="86"/>
        <v/>
      </c>
      <c r="Y1136" s="278" t="s">
        <v>298</v>
      </c>
      <c r="Z1136" s="58" t="str">
        <f>IF(OR($M1136="",NOT($O1136="{array}")),"",IFERROR(MATCH(PARAMETERS!$M1136,DEFAULT!$B$5:$CI$5,0),""))</f>
        <v/>
      </c>
      <c r="AA1136" s="55" t="str">
        <f t="shared" si="87"/>
        <v/>
      </c>
      <c r="AB1136" s="62" t="str">
        <f>IF(AND(OR($A1136="G",$A1136="P"),NOT($O1136="{array}")),IF(VLOOKUP($K1136,base!$B$2:$D$20,3,0)="S",IF(OR($O1136="",ISTEXT($O1136)),"","STRING!"),IF(VLOOKUP($K1136,base!$B$2:$D$20,3,0)="","",IF(ISTEXT($O1136),"NUMERIC!",""))),"")</f>
        <v/>
      </c>
      <c r="AC1136" s="16" t="str">
        <f>IF($AA1136="","",IF($B1136="I",VLOOKUP($AA1136,#REF!,53,0),INDEX(VALUES!$B$1:$GP$1,1,$AA1136)))</f>
        <v/>
      </c>
      <c r="AD1136" s="13"/>
      <c r="AE1136" s="13"/>
      <c r="AF1136" s="13"/>
      <c r="AG1136" s="13"/>
      <c r="AH1136" s="13"/>
    </row>
    <row r="1137" spans="1:34" s="276" customFormat="1" hidden="1" outlineLevel="1">
      <c r="A1137" s="263"/>
      <c r="B1137" s="264" t="str">
        <f t="shared" si="88"/>
        <v/>
      </c>
      <c r="C1137" s="265">
        <f t="shared" si="84"/>
        <v>1136</v>
      </c>
      <c r="D1137" s="266"/>
      <c r="E1137" s="266"/>
      <c r="F1137" s="305"/>
      <c r="G1137" s="188"/>
      <c r="H1137" s="266"/>
      <c r="I1137" s="266" t="s">
        <v>9</v>
      </c>
      <c r="J1137" s="266"/>
      <c r="K1137" s="278" t="s">
        <v>20</v>
      </c>
      <c r="L1137" s="278" t="s">
        <v>23</v>
      </c>
      <c r="M1137" s="278"/>
      <c r="N1137" s="278" t="s">
        <v>1455</v>
      </c>
      <c r="O1137" s="278" t="s">
        <v>298</v>
      </c>
      <c r="P1137" s="284" t="s">
        <v>298</v>
      </c>
      <c r="Q1137" s="279" t="s">
        <v>9</v>
      </c>
      <c r="R1137" s="279" t="s">
        <v>105</v>
      </c>
      <c r="S1137" s="279" t="s">
        <v>114</v>
      </c>
      <c r="T1137" s="278" t="s">
        <v>298</v>
      </c>
      <c r="U1137" s="278" t="s">
        <v>298</v>
      </c>
      <c r="V1137" s="278" t="s">
        <v>1455</v>
      </c>
      <c r="W1137" s="272" t="str">
        <f>IF(IFERROR(VLOOKUP($M1137,'IMPORT GS-Tür OL FL 2S2 20'!$H$2:$H$847,1,0),"-")="-","","GS")</f>
        <v/>
      </c>
      <c r="X1137" s="272" t="str">
        <f t="shared" si="86"/>
        <v/>
      </c>
      <c r="Y1137" s="278" t="s">
        <v>298</v>
      </c>
      <c r="Z1137" s="58" t="str">
        <f>IF(OR($M1137="",NOT($O1137="{array}")),"",IFERROR(MATCH(PARAMETERS!$M1137,DEFAULT!$B$5:$CI$5,0),""))</f>
        <v/>
      </c>
      <c r="AA1137" s="55" t="str">
        <f t="shared" si="87"/>
        <v/>
      </c>
      <c r="AB1137" s="62" t="str">
        <f>IF(AND(OR($A1137="G",$A1137="P"),NOT($O1137="{array}")),IF(VLOOKUP($K1137,base!$B$2:$D$20,3,0)="S",IF(OR($O1137="",ISTEXT($O1137)),"","STRING!"),IF(VLOOKUP($K1137,base!$B$2:$D$20,3,0)="","",IF(ISTEXT($O1137),"NUMERIC!",""))),"")</f>
        <v/>
      </c>
      <c r="AC1137" s="16" t="str">
        <f>IF($AA1137="","",IF($B1137="I",VLOOKUP($AA1137,#REF!,53,0),INDEX(VALUES!$B$1:$GP$1,1,$AA1137)))</f>
        <v/>
      </c>
      <c r="AD1137" s="13"/>
      <c r="AE1137" s="13"/>
      <c r="AF1137" s="13"/>
      <c r="AG1137" s="13"/>
      <c r="AH1137" s="13"/>
    </row>
    <row r="1138" spans="1:34" s="276" customFormat="1" hidden="1" outlineLevel="1">
      <c r="A1138" s="263"/>
      <c r="B1138" s="264" t="str">
        <f t="shared" si="88"/>
        <v/>
      </c>
      <c r="C1138" s="265">
        <f t="shared" si="84"/>
        <v>1137</v>
      </c>
      <c r="D1138" s="266"/>
      <c r="E1138" s="266"/>
      <c r="F1138" s="305"/>
      <c r="G1138" s="188"/>
      <c r="H1138" s="266"/>
      <c r="I1138" s="266" t="s">
        <v>9</v>
      </c>
      <c r="J1138" s="266"/>
      <c r="K1138" s="278" t="s">
        <v>20</v>
      </c>
      <c r="L1138" s="278" t="s">
        <v>23</v>
      </c>
      <c r="M1138" s="278"/>
      <c r="N1138" s="278" t="s">
        <v>1456</v>
      </c>
      <c r="O1138" s="278" t="s">
        <v>298</v>
      </c>
      <c r="P1138" s="284" t="s">
        <v>298</v>
      </c>
      <c r="Q1138" s="279" t="s">
        <v>9</v>
      </c>
      <c r="R1138" s="279" t="s">
        <v>105</v>
      </c>
      <c r="S1138" s="279" t="s">
        <v>114</v>
      </c>
      <c r="T1138" s="278" t="s">
        <v>298</v>
      </c>
      <c r="U1138" s="278" t="s">
        <v>298</v>
      </c>
      <c r="V1138" s="278" t="s">
        <v>1456</v>
      </c>
      <c r="W1138" s="272" t="str">
        <f>IF(IFERROR(VLOOKUP($M1138,'IMPORT GS-Tür OL FL 2S2 20'!$H$2:$H$847,1,0),"-")="-","","GS")</f>
        <v/>
      </c>
      <c r="X1138" s="272" t="str">
        <f t="shared" si="86"/>
        <v/>
      </c>
      <c r="Y1138" s="278" t="s">
        <v>298</v>
      </c>
      <c r="Z1138" s="58" t="str">
        <f>IF(OR($M1138="",NOT($O1138="{array}")),"",IFERROR(MATCH(PARAMETERS!$M1138,DEFAULT!$B$5:$CI$5,0),""))</f>
        <v/>
      </c>
      <c r="AA1138" s="55" t="str">
        <f t="shared" si="87"/>
        <v/>
      </c>
      <c r="AB1138" s="62" t="str">
        <f>IF(AND(OR($A1138="G",$A1138="P"),NOT($O1138="{array}")),IF(VLOOKUP($K1138,base!$B$2:$D$20,3,0)="S",IF(OR($O1138="",ISTEXT($O1138)),"","STRING!"),IF(VLOOKUP($K1138,base!$B$2:$D$20,3,0)="","",IF(ISTEXT($O1138),"NUMERIC!",""))),"")</f>
        <v/>
      </c>
      <c r="AC1138" s="16" t="str">
        <f>IF($AA1138="","",IF($B1138="I",VLOOKUP($AA1138,#REF!,53,0),INDEX(VALUES!$B$1:$GP$1,1,$AA1138)))</f>
        <v/>
      </c>
      <c r="AD1138" s="13"/>
      <c r="AE1138" s="13"/>
      <c r="AF1138" s="13"/>
      <c r="AG1138" s="13"/>
      <c r="AH1138" s="13"/>
    </row>
    <row r="1139" spans="1:34" s="276" customFormat="1" hidden="1" outlineLevel="1">
      <c r="A1139" s="263"/>
      <c r="B1139" s="264" t="str">
        <f t="shared" si="88"/>
        <v/>
      </c>
      <c r="C1139" s="265">
        <f t="shared" si="84"/>
        <v>1138</v>
      </c>
      <c r="D1139" s="266"/>
      <c r="E1139" s="266"/>
      <c r="F1139" s="305"/>
      <c r="G1139" s="188"/>
      <c r="H1139" s="266"/>
      <c r="I1139" s="266" t="s">
        <v>9</v>
      </c>
      <c r="J1139" s="266"/>
      <c r="K1139" s="278" t="s">
        <v>20</v>
      </c>
      <c r="L1139" s="278" t="s">
        <v>23</v>
      </c>
      <c r="M1139" s="278"/>
      <c r="N1139" s="278" t="s">
        <v>1457</v>
      </c>
      <c r="O1139" s="278" t="s">
        <v>298</v>
      </c>
      <c r="P1139" s="284" t="s">
        <v>298</v>
      </c>
      <c r="Q1139" s="279" t="s">
        <v>9</v>
      </c>
      <c r="R1139" s="279" t="s">
        <v>105</v>
      </c>
      <c r="S1139" s="279" t="s">
        <v>114</v>
      </c>
      <c r="T1139" s="278" t="s">
        <v>298</v>
      </c>
      <c r="U1139" s="278" t="s">
        <v>298</v>
      </c>
      <c r="V1139" s="278" t="s">
        <v>1457</v>
      </c>
      <c r="W1139" s="272" t="str">
        <f>IF(IFERROR(VLOOKUP($M1139,'IMPORT GS-Tür OL FL 2S2 20'!$H$2:$H$847,1,0),"-")="-","","GS")</f>
        <v/>
      </c>
      <c r="X1139" s="272" t="str">
        <f t="shared" si="86"/>
        <v/>
      </c>
      <c r="Y1139" s="278" t="s">
        <v>298</v>
      </c>
      <c r="Z1139" s="58" t="str">
        <f>IF(OR($M1139="",NOT($O1139="{array}")),"",IFERROR(MATCH(PARAMETERS!$M1139,DEFAULT!$B$5:$CI$5,0),""))</f>
        <v/>
      </c>
      <c r="AA1139" s="55" t="str">
        <f t="shared" si="87"/>
        <v/>
      </c>
      <c r="AB1139" s="62" t="str">
        <f>IF(AND(OR($A1139="G",$A1139="P"),NOT($O1139="{array}")),IF(VLOOKUP($K1139,base!$B$2:$D$20,3,0)="S",IF(OR($O1139="",ISTEXT($O1139)),"","STRING!"),IF(VLOOKUP($K1139,base!$B$2:$D$20,3,0)="","",IF(ISTEXT($O1139),"NUMERIC!",""))),"")</f>
        <v/>
      </c>
      <c r="AC1139" s="16" t="str">
        <f>IF($AA1139="","",IF($B1139="I",VLOOKUP($AA1139,#REF!,53,0),INDEX(VALUES!$B$1:$GP$1,1,$AA1139)))</f>
        <v/>
      </c>
      <c r="AD1139" s="13"/>
      <c r="AE1139" s="13"/>
      <c r="AF1139" s="13"/>
      <c r="AG1139" s="13"/>
      <c r="AH1139" s="13"/>
    </row>
    <row r="1140" spans="1:34" s="276" customFormat="1" hidden="1" outlineLevel="1">
      <c r="A1140" s="263"/>
      <c r="B1140" s="264" t="str">
        <f t="shared" si="88"/>
        <v/>
      </c>
      <c r="C1140" s="265">
        <f t="shared" si="84"/>
        <v>1139</v>
      </c>
      <c r="D1140" s="266"/>
      <c r="E1140" s="266"/>
      <c r="F1140" s="305"/>
      <c r="G1140" s="188"/>
      <c r="H1140" s="266"/>
      <c r="I1140" s="266" t="s">
        <v>9</v>
      </c>
      <c r="J1140" s="266"/>
      <c r="K1140" s="278" t="s">
        <v>20</v>
      </c>
      <c r="L1140" s="278" t="s">
        <v>23</v>
      </c>
      <c r="M1140" s="278"/>
      <c r="N1140" s="278" t="s">
        <v>1458</v>
      </c>
      <c r="O1140" s="278" t="s">
        <v>298</v>
      </c>
      <c r="P1140" s="284" t="s">
        <v>298</v>
      </c>
      <c r="Q1140" s="279" t="s">
        <v>9</v>
      </c>
      <c r="R1140" s="279" t="s">
        <v>105</v>
      </c>
      <c r="S1140" s="279" t="s">
        <v>114</v>
      </c>
      <c r="T1140" s="278" t="s">
        <v>298</v>
      </c>
      <c r="U1140" s="278" t="s">
        <v>298</v>
      </c>
      <c r="V1140" s="278" t="s">
        <v>1458</v>
      </c>
      <c r="W1140" s="272" t="str">
        <f>IF(IFERROR(VLOOKUP($M1140,'IMPORT GS-Tür OL FL 2S2 20'!$H$2:$H$847,1,0),"-")="-","","GS")</f>
        <v/>
      </c>
      <c r="X1140" s="272" t="str">
        <f t="shared" si="86"/>
        <v/>
      </c>
      <c r="Y1140" s="278" t="s">
        <v>298</v>
      </c>
      <c r="Z1140" s="58" t="str">
        <f>IF(OR($M1140="",NOT($O1140="{array}")),"",IFERROR(MATCH(PARAMETERS!$M1140,DEFAULT!$B$5:$CI$5,0),""))</f>
        <v/>
      </c>
      <c r="AA1140" s="55" t="str">
        <f t="shared" si="87"/>
        <v/>
      </c>
      <c r="AB1140" s="62" t="str">
        <f>IF(AND(OR($A1140="G",$A1140="P"),NOT($O1140="{array}")),IF(VLOOKUP($K1140,base!$B$2:$D$20,3,0)="S",IF(OR($O1140="",ISTEXT($O1140)),"","STRING!"),IF(VLOOKUP($K1140,base!$B$2:$D$20,3,0)="","",IF(ISTEXT($O1140),"NUMERIC!",""))),"")</f>
        <v/>
      </c>
      <c r="AC1140" s="16" t="str">
        <f>IF($AA1140="","",IF($B1140="I",VLOOKUP($AA1140,#REF!,53,0),INDEX(VALUES!$B$1:$GP$1,1,$AA1140)))</f>
        <v/>
      </c>
      <c r="AD1140" s="13"/>
      <c r="AE1140" s="13"/>
      <c r="AF1140" s="13"/>
      <c r="AG1140" s="13"/>
      <c r="AH1140" s="13"/>
    </row>
    <row r="1141" spans="1:34" s="276" customFormat="1" collapsed="1">
      <c r="A1141" s="263"/>
      <c r="B1141" s="264" t="str">
        <f t="shared" si="88"/>
        <v/>
      </c>
      <c r="C1141" s="265">
        <f t="shared" si="84"/>
        <v>1140</v>
      </c>
      <c r="D1141" s="266"/>
      <c r="E1141" s="266"/>
      <c r="F1141" s="305"/>
      <c r="G1141" s="188"/>
      <c r="H1141" s="266"/>
      <c r="I1141" s="266"/>
      <c r="J1141" s="266"/>
      <c r="K1141" s="294" t="s">
        <v>59</v>
      </c>
      <c r="L1141" s="294" t="s">
        <v>40</v>
      </c>
      <c r="M1141" s="295" t="s">
        <v>1459</v>
      </c>
      <c r="N1141" s="296" t="s">
        <v>1460</v>
      </c>
      <c r="O1141" s="286"/>
      <c r="Q1141" s="266"/>
      <c r="R1141" s="266" t="s">
        <v>105</v>
      </c>
      <c r="S1141" s="266"/>
      <c r="T1141" s="266"/>
      <c r="W1141" s="272" t="str">
        <f>IF(IFERROR(VLOOKUP($M1141,'IMPORT GS-Tür OL FL 2S2 20'!$H$2:$H$847,1,0),"-")="-","","GS")</f>
        <v/>
      </c>
      <c r="X1141" s="272" t="str">
        <f t="shared" si="86"/>
        <v/>
      </c>
      <c r="Z1141" s="58" t="str">
        <f>IF(OR($M1141="",NOT($O1141="{array}")),"",IFERROR(MATCH(PARAMETERS!$M1141,DEFAULT!$B$5:$CI$5,0),""))</f>
        <v/>
      </c>
      <c r="AA1141" s="55" t="str">
        <f t="shared" si="87"/>
        <v/>
      </c>
      <c r="AB1141" s="62" t="str">
        <f>IF(AND(OR($A1141="G",$A1141="P"),NOT($O1141="{array}")),IF(VLOOKUP($K1141,base!$B$2:$D$20,3,0)="S",IF(OR($O1141="",ISTEXT($O1141)),"","STRING!"),IF(VLOOKUP($K1141,base!$B$2:$D$20,3,0)="","",IF(ISTEXT($O1141),"NUMERIC!",""))),"")</f>
        <v/>
      </c>
      <c r="AC1141" s="16" t="str">
        <f>IF($AA1141="","",IF($B1141="I",VLOOKUP($AA1141,#REF!,53,0),INDEX(VALUES!$B$1:$GP$1,1,$AA1141)))</f>
        <v/>
      </c>
      <c r="AD1141" s="13"/>
      <c r="AE1141" s="13"/>
      <c r="AF1141" s="13"/>
      <c r="AG1141" s="13"/>
      <c r="AH1141" s="13"/>
    </row>
    <row r="1142" spans="1:34" s="276" customFormat="1" hidden="1" outlineLevel="1">
      <c r="A1142" s="263"/>
      <c r="B1142" s="264" t="str">
        <f t="shared" si="88"/>
        <v/>
      </c>
      <c r="C1142" s="265">
        <f t="shared" ref="C1142:C1150" si="89">(ROW()-1)</f>
        <v>1141</v>
      </c>
      <c r="D1142" s="266"/>
      <c r="E1142" s="266"/>
      <c r="F1142" s="305"/>
      <c r="G1142" s="188"/>
      <c r="H1142" s="266"/>
      <c r="I1142" s="266" t="s">
        <v>9</v>
      </c>
      <c r="J1142" s="266"/>
      <c r="K1142" s="276" t="s">
        <v>20</v>
      </c>
      <c r="L1142" s="276" t="s">
        <v>23</v>
      </c>
      <c r="M1142" s="285" t="s">
        <v>2377</v>
      </c>
      <c r="N1142" s="276" t="s">
        <v>2378</v>
      </c>
      <c r="O1142" s="286"/>
      <c r="Q1142" s="266" t="s">
        <v>9</v>
      </c>
      <c r="R1142" s="266" t="s">
        <v>106</v>
      </c>
      <c r="S1142" s="266"/>
      <c r="T1142" s="266"/>
      <c r="W1142" s="272" t="str">
        <f>IF(IFERROR(VLOOKUP($M1142,'IMPORT GS-Tür OL FL 2S2 20'!$H$2:$H$847,1,0),"-")="-","","GS")</f>
        <v>GS</v>
      </c>
      <c r="X1142" s="272" t="str">
        <f t="shared" si="86"/>
        <v/>
      </c>
      <c r="Z1142" s="58" t="str">
        <f>IF(OR($M1142="",NOT($O1142="{array}")),"",IFERROR(MATCH(PARAMETERS!$M1142,DEFAULT!$B$5:$CI$5,0),""))</f>
        <v/>
      </c>
      <c r="AA1142" s="55" t="str">
        <f t="shared" si="87"/>
        <v/>
      </c>
      <c r="AB1142" s="62" t="str">
        <f>IF(AND(OR($A1142="G",$A1142="P"),NOT($O1142="{array}")),IF(VLOOKUP($K1142,base!$B$2:$D$20,3,0)="S",IF(OR($O1142="",ISTEXT($O1142)),"","STRING!"),IF(VLOOKUP($K1142,base!$B$2:$D$20,3,0)="","",IF(ISTEXT($O1142),"NUMERIC!",""))),"")</f>
        <v/>
      </c>
      <c r="AC1142" s="16" t="str">
        <f>IF($AA1142="","",IF($B1142="I",VLOOKUP($AA1142,#REF!,53,0),INDEX(VALUES!$B$1:$GP$1,1,$AA1142)))</f>
        <v/>
      </c>
      <c r="AD1142" s="13"/>
      <c r="AE1142" s="13"/>
      <c r="AF1142" s="13"/>
      <c r="AG1142" s="13"/>
      <c r="AH1142" s="13"/>
    </row>
    <row r="1143" spans="1:34" s="276" customFormat="1" hidden="1" outlineLevel="1">
      <c r="A1143" s="263"/>
      <c r="B1143" s="264" t="str">
        <f t="shared" si="88"/>
        <v/>
      </c>
      <c r="C1143" s="265">
        <f t="shared" si="89"/>
        <v>1142</v>
      </c>
      <c r="D1143" s="266"/>
      <c r="E1143" s="266"/>
      <c r="F1143" s="305"/>
      <c r="G1143" s="188"/>
      <c r="H1143" s="266"/>
      <c r="I1143" s="266" t="s">
        <v>9</v>
      </c>
      <c r="J1143" s="266"/>
      <c r="K1143" s="278" t="s">
        <v>20</v>
      </c>
      <c r="L1143" s="278" t="s">
        <v>23</v>
      </c>
      <c r="M1143" s="278"/>
      <c r="N1143" s="278" t="s">
        <v>2379</v>
      </c>
      <c r="O1143" s="278" t="s">
        <v>298</v>
      </c>
      <c r="P1143" s="284" t="s">
        <v>298</v>
      </c>
      <c r="Q1143" s="284" t="s">
        <v>9</v>
      </c>
      <c r="R1143" s="284" t="s">
        <v>105</v>
      </c>
      <c r="S1143" s="284" t="s">
        <v>114</v>
      </c>
      <c r="T1143" s="278" t="s">
        <v>298</v>
      </c>
      <c r="U1143" s="278" t="s">
        <v>298</v>
      </c>
      <c r="V1143" s="278" t="s">
        <v>2379</v>
      </c>
      <c r="W1143" s="272" t="str">
        <f>IF(IFERROR(VLOOKUP($M1143,'IMPORT GS-Tür OL FL 2S2 20'!$H$2:$H$847,1,0),"-")="-","","GS")</f>
        <v/>
      </c>
      <c r="X1143" s="272" t="str">
        <f t="shared" si="86"/>
        <v/>
      </c>
      <c r="Y1143" s="278" t="s">
        <v>2380</v>
      </c>
      <c r="Z1143" s="58" t="str">
        <f>IF(OR($M1143="",NOT($O1143="{array}")),"",IFERROR(MATCH(PARAMETERS!$M1143,DEFAULT!$B$5:$CI$5,0),""))</f>
        <v/>
      </c>
      <c r="AA1143" s="55" t="str">
        <f t="shared" si="87"/>
        <v/>
      </c>
      <c r="AB1143" s="62" t="str">
        <f>IF(AND(OR($A1143="G",$A1143="P"),NOT($O1143="{array}")),IF(VLOOKUP($K1143,base!$B$2:$D$20,3,0)="S",IF(OR($O1143="",ISTEXT($O1143)),"","STRING!"),IF(VLOOKUP($K1143,base!$B$2:$D$20,3,0)="","",IF(ISTEXT($O1143),"NUMERIC!",""))),"")</f>
        <v/>
      </c>
      <c r="AC1143" s="16" t="str">
        <f>IF($AA1143="","",IF($B1143="I",VLOOKUP($AA1143,#REF!,53,0),INDEX(VALUES!$B$1:$GP$1,1,$AA1143)))</f>
        <v/>
      </c>
      <c r="AD1143" s="13"/>
      <c r="AE1143" s="13"/>
      <c r="AF1143" s="13"/>
      <c r="AG1143" s="13"/>
      <c r="AH1143" s="13"/>
    </row>
    <row r="1144" spans="1:34" s="276" customFormat="1" hidden="1" outlineLevel="1">
      <c r="A1144" s="263"/>
      <c r="B1144" s="264" t="str">
        <f t="shared" si="88"/>
        <v/>
      </c>
      <c r="C1144" s="265">
        <f t="shared" si="89"/>
        <v>1143</v>
      </c>
      <c r="D1144" s="266"/>
      <c r="E1144" s="266"/>
      <c r="F1144" s="305"/>
      <c r="G1144" s="188"/>
      <c r="H1144" s="266"/>
      <c r="I1144" s="266" t="s">
        <v>9</v>
      </c>
      <c r="J1144" s="266"/>
      <c r="K1144" s="278" t="s">
        <v>102</v>
      </c>
      <c r="L1144" s="278" t="s">
        <v>23</v>
      </c>
      <c r="M1144" s="278"/>
      <c r="N1144" s="278" t="s">
        <v>2381</v>
      </c>
      <c r="O1144" s="278" t="s">
        <v>2382</v>
      </c>
      <c r="P1144" s="284" t="s">
        <v>298</v>
      </c>
      <c r="Q1144" s="284" t="s">
        <v>9</v>
      </c>
      <c r="R1144" s="284" t="s">
        <v>105</v>
      </c>
      <c r="S1144" s="284" t="s">
        <v>114</v>
      </c>
      <c r="T1144" s="278" t="s">
        <v>298</v>
      </c>
      <c r="U1144" s="278" t="s">
        <v>298</v>
      </c>
      <c r="V1144" s="278" t="s">
        <v>2381</v>
      </c>
      <c r="W1144" s="272" t="str">
        <f>IF(IFERROR(VLOOKUP($M1144,'IMPORT GS-Tür OL FL 2S2 20'!$H$2:$H$847,1,0),"-")="-","","GS")</f>
        <v/>
      </c>
      <c r="X1144" s="272" t="str">
        <f t="shared" si="86"/>
        <v/>
      </c>
      <c r="Y1144" s="278" t="s">
        <v>2383</v>
      </c>
      <c r="Z1144" s="58" t="str">
        <f>IF(OR($M1144="",NOT($O1144="{array}")),"",IFERROR(MATCH(PARAMETERS!$M1144,DEFAULT!$B$5:$CI$5,0),""))</f>
        <v/>
      </c>
      <c r="AA1144" s="55" t="str">
        <f t="shared" si="87"/>
        <v/>
      </c>
      <c r="AB1144" s="62" t="str">
        <f>IF(AND(OR($A1144="G",$A1144="P"),NOT($O1144="{array}")),IF(VLOOKUP($K1144,base!$B$2:$D$20,3,0)="S",IF(OR($O1144="",ISTEXT($O1144)),"","STRING!"),IF(VLOOKUP($K1144,base!$B$2:$D$20,3,0)="","",IF(ISTEXT($O1144),"NUMERIC!",""))),"")</f>
        <v/>
      </c>
      <c r="AC1144" s="16" t="str">
        <f>IF($AA1144="","",IF($B1144="I",VLOOKUP($AA1144,#REF!,53,0),INDEX(VALUES!$B$1:$GP$1,1,$AA1144)))</f>
        <v/>
      </c>
      <c r="AD1144" s="13"/>
      <c r="AE1144" s="13"/>
      <c r="AF1144" s="13"/>
      <c r="AG1144" s="13"/>
      <c r="AH1144" s="13"/>
    </row>
    <row r="1145" spans="1:34" s="276" customFormat="1" hidden="1" outlineLevel="1">
      <c r="A1145" s="263"/>
      <c r="B1145" s="264" t="str">
        <f t="shared" si="88"/>
        <v/>
      </c>
      <c r="C1145" s="265">
        <f t="shared" si="89"/>
        <v>1144</v>
      </c>
      <c r="D1145" s="266"/>
      <c r="E1145" s="266"/>
      <c r="F1145" s="305"/>
      <c r="G1145" s="188"/>
      <c r="H1145" s="266"/>
      <c r="I1145" s="266" t="s">
        <v>9</v>
      </c>
      <c r="J1145" s="266"/>
      <c r="K1145" s="278" t="s">
        <v>102</v>
      </c>
      <c r="L1145" s="278" t="s">
        <v>23</v>
      </c>
      <c r="M1145" s="278"/>
      <c r="N1145" s="278" t="s">
        <v>2384</v>
      </c>
      <c r="O1145" s="278" t="s">
        <v>2385</v>
      </c>
      <c r="P1145" s="284" t="s">
        <v>298</v>
      </c>
      <c r="Q1145" s="284" t="s">
        <v>9</v>
      </c>
      <c r="R1145" s="284" t="s">
        <v>105</v>
      </c>
      <c r="S1145" s="284" t="s">
        <v>114</v>
      </c>
      <c r="T1145" s="278" t="s">
        <v>298</v>
      </c>
      <c r="U1145" s="278" t="s">
        <v>298</v>
      </c>
      <c r="V1145" s="278" t="s">
        <v>2384</v>
      </c>
      <c r="W1145" s="272" t="str">
        <f>IF(IFERROR(VLOOKUP($M1145,'IMPORT GS-Tür OL FL 2S2 20'!$H$2:$H$847,1,0),"-")="-","","GS")</f>
        <v/>
      </c>
      <c r="X1145" s="272" t="str">
        <f t="shared" si="86"/>
        <v/>
      </c>
      <c r="Y1145" s="278" t="s">
        <v>2383</v>
      </c>
      <c r="Z1145" s="58" t="str">
        <f>IF(OR($M1145="",NOT($O1145="{array}")),"",IFERROR(MATCH(PARAMETERS!$M1145,DEFAULT!$B$5:$CI$5,0),""))</f>
        <v/>
      </c>
      <c r="AA1145" s="55" t="str">
        <f t="shared" si="87"/>
        <v/>
      </c>
      <c r="AB1145" s="62" t="str">
        <f>IF(AND(OR($A1145="G",$A1145="P"),NOT($O1145="{array}")),IF(VLOOKUP($K1145,base!$B$2:$D$20,3,0)="S",IF(OR($O1145="",ISTEXT($O1145)),"","STRING!"),IF(VLOOKUP($K1145,base!$B$2:$D$20,3,0)="","",IF(ISTEXT($O1145),"NUMERIC!",""))),"")</f>
        <v/>
      </c>
      <c r="AC1145" s="16" t="str">
        <f>IF($AA1145="","",IF($B1145="I",VLOOKUP($AA1145,#REF!,53,0),INDEX(VALUES!$B$1:$GP$1,1,$AA1145)))</f>
        <v/>
      </c>
      <c r="AD1145" s="13"/>
      <c r="AE1145" s="13"/>
      <c r="AF1145" s="13"/>
      <c r="AG1145" s="13"/>
      <c r="AH1145" s="13"/>
    </row>
    <row r="1146" spans="1:34" s="276" customFormat="1" hidden="1" outlineLevel="1">
      <c r="A1146" s="263"/>
      <c r="B1146" s="264" t="str">
        <f t="shared" si="88"/>
        <v/>
      </c>
      <c r="C1146" s="265">
        <f t="shared" si="89"/>
        <v>1145</v>
      </c>
      <c r="D1146" s="266"/>
      <c r="E1146" s="266"/>
      <c r="F1146" s="305"/>
      <c r="G1146" s="188"/>
      <c r="H1146" s="266"/>
      <c r="I1146" s="266" t="s">
        <v>9</v>
      </c>
      <c r="J1146" s="266"/>
      <c r="K1146" s="278" t="s">
        <v>49</v>
      </c>
      <c r="L1146" s="278" t="s">
        <v>23</v>
      </c>
      <c r="M1146" s="278"/>
      <c r="N1146" s="278" t="s">
        <v>2386</v>
      </c>
      <c r="O1146" s="278" t="s">
        <v>298</v>
      </c>
      <c r="P1146" s="284" t="s">
        <v>298</v>
      </c>
      <c r="Q1146" s="284" t="s">
        <v>9</v>
      </c>
      <c r="R1146" s="284" t="s">
        <v>105</v>
      </c>
      <c r="S1146" s="284" t="s">
        <v>114</v>
      </c>
      <c r="T1146" s="278" t="s">
        <v>298</v>
      </c>
      <c r="U1146" s="278" t="s">
        <v>298</v>
      </c>
      <c r="V1146" s="278" t="s">
        <v>2386</v>
      </c>
      <c r="W1146" s="272" t="str">
        <f>IF(IFERROR(VLOOKUP($M1146,'IMPORT GS-Tür OL FL 2S2 20'!$H$2:$H$847,1,0),"-")="-","","GS")</f>
        <v/>
      </c>
      <c r="X1146" s="272" t="str">
        <f t="shared" si="86"/>
        <v/>
      </c>
      <c r="Y1146" s="278" t="s">
        <v>2387</v>
      </c>
      <c r="Z1146" s="58" t="str">
        <f>IF(OR($M1146="",NOT($O1146="{array}")),"",IFERROR(MATCH(PARAMETERS!$M1146,DEFAULT!$B$5:$CI$5,0),""))</f>
        <v/>
      </c>
      <c r="AA1146" s="55" t="str">
        <f t="shared" si="87"/>
        <v/>
      </c>
      <c r="AB1146" s="62" t="str">
        <f>IF(AND(OR($A1146="G",$A1146="P"),NOT($O1146="{array}")),IF(VLOOKUP($K1146,base!$B$2:$D$20,3,0)="S",IF(OR($O1146="",ISTEXT($O1146)),"","STRING!"),IF(VLOOKUP($K1146,base!$B$2:$D$20,3,0)="","",IF(ISTEXT($O1146),"NUMERIC!",""))),"")</f>
        <v/>
      </c>
      <c r="AC1146" s="16" t="str">
        <f>IF($AA1146="","",IF($B1146="I",VLOOKUP($AA1146,#REF!,53,0),INDEX(VALUES!$B$1:$GP$1,1,$AA1146)))</f>
        <v/>
      </c>
      <c r="AD1146" s="13"/>
      <c r="AE1146" s="13"/>
      <c r="AF1146" s="13"/>
      <c r="AG1146" s="13"/>
      <c r="AH1146" s="13"/>
    </row>
    <row r="1147" spans="1:34" s="276" customFormat="1" hidden="1" outlineLevel="1">
      <c r="A1147" s="263"/>
      <c r="B1147" s="264" t="str">
        <f t="shared" si="88"/>
        <v/>
      </c>
      <c r="C1147" s="265">
        <f t="shared" si="89"/>
        <v>1146</v>
      </c>
      <c r="D1147" s="266"/>
      <c r="E1147" s="266"/>
      <c r="F1147" s="305"/>
      <c r="G1147" s="188"/>
      <c r="H1147" s="266"/>
      <c r="I1147" s="266" t="s">
        <v>9</v>
      </c>
      <c r="J1147" s="266"/>
      <c r="K1147" s="278" t="s">
        <v>49</v>
      </c>
      <c r="L1147" s="278" t="s">
        <v>23</v>
      </c>
      <c r="M1147" s="278"/>
      <c r="N1147" s="278" t="s">
        <v>2388</v>
      </c>
      <c r="O1147" s="278" t="s">
        <v>298</v>
      </c>
      <c r="P1147" s="284" t="s">
        <v>298</v>
      </c>
      <c r="Q1147" s="284" t="s">
        <v>9</v>
      </c>
      <c r="R1147" s="284" t="s">
        <v>105</v>
      </c>
      <c r="S1147" s="284" t="s">
        <v>114</v>
      </c>
      <c r="T1147" s="278" t="s">
        <v>298</v>
      </c>
      <c r="U1147" s="278" t="s">
        <v>298</v>
      </c>
      <c r="V1147" s="278" t="s">
        <v>2388</v>
      </c>
      <c r="W1147" s="272" t="str">
        <f>IF(IFERROR(VLOOKUP($M1147,'IMPORT GS-Tür OL FL 2S2 20'!$H$2:$H$847,1,0),"-")="-","","GS")</f>
        <v/>
      </c>
      <c r="X1147" s="272" t="str">
        <f t="shared" si="86"/>
        <v/>
      </c>
      <c r="Y1147" s="278" t="s">
        <v>2389</v>
      </c>
      <c r="Z1147" s="58" t="str">
        <f>IF(OR($M1147="",NOT($O1147="{array}")),"",IFERROR(MATCH(PARAMETERS!$M1147,DEFAULT!$B$5:$CI$5,0),""))</f>
        <v/>
      </c>
      <c r="AA1147" s="55" t="str">
        <f t="shared" si="87"/>
        <v/>
      </c>
      <c r="AB1147" s="62" t="str">
        <f>IF(AND(OR($A1147="G",$A1147="P"),NOT($O1147="{array}")),IF(VLOOKUP($K1147,base!$B$2:$D$20,3,0)="S",IF(OR($O1147="",ISTEXT($O1147)),"","STRING!"),IF(VLOOKUP($K1147,base!$B$2:$D$20,3,0)="","",IF(ISTEXT($O1147),"NUMERIC!",""))),"")</f>
        <v/>
      </c>
      <c r="AC1147" s="16" t="str">
        <f>IF($AA1147="","",IF($B1147="I",VLOOKUP($AA1147,#REF!,53,0),INDEX(VALUES!$B$1:$GP$1,1,$AA1147)))</f>
        <v/>
      </c>
      <c r="AD1147" s="13"/>
      <c r="AE1147" s="13"/>
      <c r="AF1147" s="13"/>
      <c r="AG1147" s="13"/>
      <c r="AH1147" s="13"/>
    </row>
    <row r="1148" spans="1:34" s="276" customFormat="1" hidden="1" outlineLevel="1">
      <c r="A1148" s="263"/>
      <c r="B1148" s="264" t="str">
        <f t="shared" si="88"/>
        <v/>
      </c>
      <c r="C1148" s="265">
        <f t="shared" si="89"/>
        <v>1147</v>
      </c>
      <c r="D1148" s="266"/>
      <c r="E1148" s="266"/>
      <c r="F1148" s="305"/>
      <c r="G1148" s="188"/>
      <c r="H1148" s="266"/>
      <c r="I1148" s="266" t="s">
        <v>9</v>
      </c>
      <c r="J1148" s="266"/>
      <c r="K1148" s="278" t="s">
        <v>102</v>
      </c>
      <c r="L1148" s="278" t="s">
        <v>23</v>
      </c>
      <c r="M1148" s="278"/>
      <c r="N1148" s="278" t="s">
        <v>2390</v>
      </c>
      <c r="O1148" s="278" t="s">
        <v>2391</v>
      </c>
      <c r="P1148" s="284" t="s">
        <v>298</v>
      </c>
      <c r="Q1148" s="284" t="s">
        <v>9</v>
      </c>
      <c r="R1148" s="284" t="s">
        <v>105</v>
      </c>
      <c r="S1148" s="284" t="s">
        <v>114</v>
      </c>
      <c r="T1148" s="278" t="s">
        <v>298</v>
      </c>
      <c r="U1148" s="278" t="s">
        <v>298</v>
      </c>
      <c r="V1148" s="278" t="s">
        <v>2390</v>
      </c>
      <c r="W1148" s="272" t="str">
        <f>IF(IFERROR(VLOOKUP($M1148,'IMPORT GS-Tür OL FL 2S2 20'!$H$2:$H$847,1,0),"-")="-","","GS")</f>
        <v/>
      </c>
      <c r="X1148" s="272" t="str">
        <f t="shared" si="86"/>
        <v/>
      </c>
      <c r="Y1148" s="278" t="s">
        <v>2392</v>
      </c>
      <c r="Z1148" s="58" t="str">
        <f>IF(OR($M1148="",NOT($O1148="{array}")),"",IFERROR(MATCH(PARAMETERS!$M1148,DEFAULT!$B$5:$CI$5,0),""))</f>
        <v/>
      </c>
      <c r="AA1148" s="55" t="str">
        <f t="shared" si="87"/>
        <v/>
      </c>
      <c r="AB1148" s="62" t="str">
        <f>IF(AND(OR($A1148="G",$A1148="P"),NOT($O1148="{array}")),IF(VLOOKUP($K1148,base!$B$2:$D$20,3,0)="S",IF(OR($O1148="",ISTEXT($O1148)),"","STRING!"),IF(VLOOKUP($K1148,base!$B$2:$D$20,3,0)="","",IF(ISTEXT($O1148),"NUMERIC!",""))),"")</f>
        <v/>
      </c>
      <c r="AC1148" s="16" t="str">
        <f>IF($AA1148="","",IF($B1148="I",VLOOKUP($AA1148,#REF!,53,0),INDEX(VALUES!$B$1:$GP$1,1,$AA1148)))</f>
        <v/>
      </c>
      <c r="AD1148" s="13"/>
      <c r="AE1148" s="13"/>
      <c r="AF1148" s="13"/>
      <c r="AG1148" s="13"/>
      <c r="AH1148" s="13"/>
    </row>
    <row r="1149" spans="1:34" s="276" customFormat="1" hidden="1" outlineLevel="1">
      <c r="A1149" s="263"/>
      <c r="B1149" s="264" t="str">
        <f t="shared" si="88"/>
        <v/>
      </c>
      <c r="C1149" s="265">
        <f t="shared" si="89"/>
        <v>1148</v>
      </c>
      <c r="D1149" s="266"/>
      <c r="E1149" s="266"/>
      <c r="F1149" s="305"/>
      <c r="G1149" s="188"/>
      <c r="H1149" s="266"/>
      <c r="I1149" s="266" t="s">
        <v>9</v>
      </c>
      <c r="J1149" s="266"/>
      <c r="K1149" s="278" t="s">
        <v>49</v>
      </c>
      <c r="L1149" s="278" t="s">
        <v>23</v>
      </c>
      <c r="M1149" s="278"/>
      <c r="N1149" s="278" t="s">
        <v>2393</v>
      </c>
      <c r="O1149" s="278" t="s">
        <v>298</v>
      </c>
      <c r="P1149" s="284" t="s">
        <v>298</v>
      </c>
      <c r="Q1149" s="284" t="s">
        <v>9</v>
      </c>
      <c r="R1149" s="284" t="s">
        <v>105</v>
      </c>
      <c r="S1149" s="284" t="s">
        <v>114</v>
      </c>
      <c r="T1149" s="278" t="s">
        <v>298</v>
      </c>
      <c r="U1149" s="278" t="s">
        <v>298</v>
      </c>
      <c r="V1149" s="278" t="s">
        <v>2393</v>
      </c>
      <c r="W1149" s="272" t="str">
        <f>IF(IFERROR(VLOOKUP($M1149,'IMPORT GS-Tür OL FL 2S2 20'!$H$2:$H$847,1,0),"-")="-","","GS")</f>
        <v/>
      </c>
      <c r="X1149" s="272" t="str">
        <f t="shared" si="86"/>
        <v/>
      </c>
      <c r="Y1149" s="278" t="s">
        <v>298</v>
      </c>
      <c r="Z1149" s="58" t="str">
        <f>IF(OR($M1149="",NOT($O1149="{array}")),"",IFERROR(MATCH(PARAMETERS!$M1149,DEFAULT!$B$5:$CI$5,0),""))</f>
        <v/>
      </c>
      <c r="AA1149" s="55" t="str">
        <f t="shared" si="87"/>
        <v/>
      </c>
      <c r="AB1149" s="62" t="str">
        <f>IF(AND(OR($A1149="G",$A1149="P"),NOT($O1149="{array}")),IF(VLOOKUP($K1149,base!$B$2:$D$20,3,0)="S",IF(OR($O1149="",ISTEXT($O1149)),"","STRING!"),IF(VLOOKUP($K1149,base!$B$2:$D$20,3,0)="","",IF(ISTEXT($O1149),"NUMERIC!",""))),"")</f>
        <v/>
      </c>
      <c r="AC1149" s="16" t="str">
        <f>IF($AA1149="","",IF($B1149="I",VLOOKUP($AA1149,#REF!,53,0),INDEX(VALUES!$B$1:$GP$1,1,$AA1149)))</f>
        <v/>
      </c>
      <c r="AD1149" s="13"/>
      <c r="AE1149" s="13"/>
      <c r="AF1149" s="13"/>
      <c r="AG1149" s="13"/>
      <c r="AH1149" s="13"/>
    </row>
    <row r="1150" spans="1:34" s="276" customFormat="1" hidden="1" outlineLevel="1">
      <c r="A1150" s="263"/>
      <c r="B1150" s="264" t="str">
        <f t="shared" si="88"/>
        <v/>
      </c>
      <c r="C1150" s="265">
        <f t="shared" si="89"/>
        <v>1149</v>
      </c>
      <c r="D1150" s="266"/>
      <c r="E1150" s="266"/>
      <c r="F1150" s="305"/>
      <c r="G1150" s="188"/>
      <c r="H1150" s="266"/>
      <c r="I1150" s="266" t="s">
        <v>9</v>
      </c>
      <c r="J1150" s="266"/>
      <c r="K1150" s="276" t="s">
        <v>20</v>
      </c>
      <c r="L1150" s="276" t="s">
        <v>23</v>
      </c>
      <c r="M1150" s="285" t="s">
        <v>2394</v>
      </c>
      <c r="N1150" s="276" t="s">
        <v>2395</v>
      </c>
      <c r="O1150" s="286"/>
      <c r="Q1150" s="266" t="s">
        <v>9</v>
      </c>
      <c r="R1150" s="266" t="s">
        <v>106</v>
      </c>
      <c r="S1150" s="266"/>
      <c r="T1150" s="266"/>
      <c r="W1150" s="272" t="str">
        <f>IF(IFERROR(VLOOKUP($M1150,'IMPORT GS-Tür OL FL 2S2 20'!$H$2:$H$847,1,0),"-")="-","","GS")</f>
        <v>GS</v>
      </c>
      <c r="X1150" s="272" t="str">
        <f t="shared" si="86"/>
        <v/>
      </c>
      <c r="Z1150" s="58" t="str">
        <f>IF(OR($M1150="",NOT($O1150="{array}")),"",IFERROR(MATCH(PARAMETERS!$M1150,DEFAULT!$B$5:$CI$5,0),""))</f>
        <v/>
      </c>
      <c r="AA1150" s="55" t="str">
        <f t="shared" si="87"/>
        <v/>
      </c>
      <c r="AB1150" s="62" t="str">
        <f>IF(AND(OR($A1150="G",$A1150="P"),NOT($O1150="{array}")),IF(VLOOKUP($K1150,base!$B$2:$D$20,3,0)="S",IF(OR($O1150="",ISTEXT($O1150)),"","STRING!"),IF(VLOOKUP($K1150,base!$B$2:$D$20,3,0)="","",IF(ISTEXT($O1150),"NUMERIC!",""))),"")</f>
        <v/>
      </c>
      <c r="AC1150" s="16" t="str">
        <f>IF($AA1150="","",IF($B1150="I",VLOOKUP($AA1150,#REF!,53,0),INDEX(VALUES!$B$1:$GP$1,1,$AA1150)))</f>
        <v/>
      </c>
      <c r="AD1150" s="13"/>
      <c r="AE1150" s="13"/>
      <c r="AF1150" s="13"/>
      <c r="AG1150" s="13"/>
      <c r="AH1150" s="13"/>
    </row>
    <row r="1151" spans="1:34" collapsed="1">
      <c r="A1151" s="21" t="s">
        <v>2396</v>
      </c>
      <c r="B1151" s="40"/>
      <c r="C1151" s="41"/>
      <c r="D1151" s="260"/>
      <c r="E1151" s="37"/>
      <c r="F1151" s="305"/>
      <c r="G1151" s="188"/>
      <c r="H1151" s="37"/>
      <c r="I1151" s="37"/>
      <c r="J1151" s="37"/>
      <c r="R1151" s="37"/>
      <c r="S1151" s="37"/>
      <c r="T1151" s="37"/>
      <c r="W1151" s="14" t="str">
        <f>IF(IFERROR(VLOOKUP($M1151,'IMPORT GS-Tür OL FL 2S2 20'!$H$2:$H$847,1,0),"-")="-","","GS")</f>
        <v/>
      </c>
      <c r="X1151" s="14" t="str">
        <f t="shared" si="86"/>
        <v/>
      </c>
      <c r="Z1151" s="58" t="str">
        <f>IF(OR($M1151="",NOT($O1151="{array}")),"",IFERROR(MATCH(PARAMETERS!$M1151,DEFAULT!$B$5:$CI$5,0),""))</f>
        <v/>
      </c>
      <c r="AA1151" s="55" t="str">
        <f t="shared" si="87"/>
        <v/>
      </c>
      <c r="AB1151" s="62" t="str">
        <f>IF(AND(OR($A1151="G",$A1151="P"),NOT($O1151="{array}")),IF(VLOOKUP($K1151,base!$B$2:$D$20,3,0)="S",IF(OR($O1151="",ISTEXT($O1151)),"","STRING!"),IF(VLOOKUP($K1151,base!$B$2:$D$20,3,0)="","",IF(ISTEXT($O1151),"NUMERIC!",""))),"")</f>
        <v/>
      </c>
      <c r="AC1151" s="16" t="str">
        <f>IF($AA1151="","",IF($B1151="I",VLOOKUP($AA1151,#REF!,53,0),INDEX(VALUES!$B$1:$GP$1,1,$AA1151)))</f>
        <v/>
      </c>
    </row>
    <row r="1152" spans="1:34" s="276" customFormat="1">
      <c r="A1152" s="263"/>
      <c r="B1152" s="264" t="str">
        <f t="shared" si="88"/>
        <v/>
      </c>
      <c r="C1152" s="265">
        <f t="shared" ref="C1152:C1201" si="90">(ROW()-1)</f>
        <v>1151</v>
      </c>
      <c r="D1152" s="266"/>
      <c r="E1152" s="266"/>
      <c r="F1152" s="305"/>
      <c r="G1152" s="188"/>
      <c r="H1152" s="266"/>
      <c r="I1152" s="266"/>
      <c r="J1152" s="266"/>
      <c r="K1152" s="294" t="s">
        <v>59</v>
      </c>
      <c r="L1152" s="294" t="s">
        <v>40</v>
      </c>
      <c r="M1152" s="295" t="s">
        <v>2397</v>
      </c>
      <c r="N1152" s="296" t="s">
        <v>2398</v>
      </c>
      <c r="O1152" s="286"/>
      <c r="Q1152" s="266"/>
      <c r="R1152" s="266" t="s">
        <v>105</v>
      </c>
      <c r="S1152" s="266"/>
      <c r="T1152" s="272"/>
      <c r="W1152" s="272" t="str">
        <f>IF(IFERROR(VLOOKUP($M1152,'IMPORT GS-Tür OL FL 2S2 20'!$H$2:$H$847,1,0),"-")="-","","GS")</f>
        <v/>
      </c>
      <c r="X1152" s="272" t="str">
        <f t="shared" si="86"/>
        <v/>
      </c>
      <c r="Z1152" s="273" t="str">
        <f>IF(OR($M1152="",NOT($O1152="{array}")),"",IFERROR(MATCH(PARAMETERS!$M1152,DEFAULT!$B$5:$CI$5,0),""))</f>
        <v/>
      </c>
      <c r="AA1152" s="55" t="str">
        <f t="shared" si="87"/>
        <v/>
      </c>
      <c r="AB1152" s="62" t="str">
        <f>IF(AND(OR($A1152="G",$A1152="P"),NOT($O1152="{array}")),IF(VLOOKUP($K1152,base!$B$2:$D$20,3,0)="S",IF(OR($O1152="",ISTEXT($O1152)),"","STRING!"),IF(VLOOKUP($K1152,base!$B$2:$D$20,3,0)="","",IF(ISTEXT($O1152),"NUMERIC!",""))),"")</f>
        <v/>
      </c>
      <c r="AC1152" s="16" t="str">
        <f>IF($AA1152="","",IF($B1152="I",VLOOKUP($AA1152,#REF!,53,0),INDEX(VALUES!$B$1:$GP$1,1,$AA1152)))</f>
        <v/>
      </c>
      <c r="AD1152" s="13"/>
      <c r="AE1152" s="13"/>
      <c r="AF1152" s="13"/>
      <c r="AG1152" s="13"/>
      <c r="AH1152" s="13"/>
    </row>
    <row r="1153" spans="1:34" s="276" customFormat="1" hidden="1" outlineLevel="1">
      <c r="A1153" s="263"/>
      <c r="B1153" s="264" t="str">
        <f t="shared" si="88"/>
        <v/>
      </c>
      <c r="C1153" s="265">
        <f t="shared" si="90"/>
        <v>1152</v>
      </c>
      <c r="D1153" s="266"/>
      <c r="E1153" s="266"/>
      <c r="F1153" s="305"/>
      <c r="G1153" s="188"/>
      <c r="H1153" s="266"/>
      <c r="I1153" s="266" t="s">
        <v>9</v>
      </c>
      <c r="J1153" s="266"/>
      <c r="K1153" s="278" t="s">
        <v>20</v>
      </c>
      <c r="L1153" s="278" t="s">
        <v>23</v>
      </c>
      <c r="M1153" s="278"/>
      <c r="N1153" s="278" t="s">
        <v>2399</v>
      </c>
      <c r="O1153" s="278" t="s">
        <v>298</v>
      </c>
      <c r="P1153" s="284" t="s">
        <v>298</v>
      </c>
      <c r="Q1153" s="279" t="s">
        <v>9</v>
      </c>
      <c r="R1153" s="279" t="s">
        <v>105</v>
      </c>
      <c r="S1153" s="279" t="s">
        <v>114</v>
      </c>
      <c r="T1153" s="278" t="s">
        <v>298</v>
      </c>
      <c r="U1153" s="278" t="s">
        <v>298</v>
      </c>
      <c r="V1153" s="278" t="s">
        <v>2399</v>
      </c>
      <c r="W1153" s="272" t="str">
        <f>IF(IFERROR(VLOOKUP($M1153,'IMPORT GS-Tür OL FL 2S2 20'!$H$2:$H$847,1,0),"-")="-","","GS")</f>
        <v/>
      </c>
      <c r="X1153" s="272" t="str">
        <f t="shared" si="86"/>
        <v/>
      </c>
      <c r="Y1153" s="278" t="s">
        <v>2400</v>
      </c>
      <c r="Z1153" s="273" t="str">
        <f>IF(OR($M1153="",NOT($O1153="{array}")),"",IFERROR(MATCH(PARAMETERS!$M1153,DEFAULT!$B$5:$CI$5,0),""))</f>
        <v/>
      </c>
      <c r="AA1153" s="55" t="str">
        <f t="shared" si="87"/>
        <v/>
      </c>
      <c r="AB1153" s="62" t="str">
        <f>IF(AND(OR($A1153="G",$A1153="P"),NOT($O1153="{array}")),IF(VLOOKUP($K1153,base!$B$2:$D$20,3,0)="S",IF(OR($O1153="",ISTEXT($O1153)),"","STRING!"),IF(VLOOKUP($K1153,base!$B$2:$D$20,3,0)="","",IF(ISTEXT($O1153),"NUMERIC!",""))),"")</f>
        <v/>
      </c>
      <c r="AC1153" s="16" t="str">
        <f>IF($AA1153="","",IF($B1153="I",VLOOKUP($AA1153,#REF!,53,0),INDEX(VALUES!$B$1:$GP$1,1,$AA1153)))</f>
        <v/>
      </c>
      <c r="AD1153" s="13"/>
      <c r="AE1153" s="13"/>
      <c r="AF1153" s="13"/>
      <c r="AG1153" s="13"/>
      <c r="AH1153" s="13"/>
    </row>
    <row r="1154" spans="1:34" s="276" customFormat="1" hidden="1" outlineLevel="1">
      <c r="A1154" s="263"/>
      <c r="B1154" s="264" t="str">
        <f t="shared" si="88"/>
        <v/>
      </c>
      <c r="C1154" s="265">
        <f t="shared" si="90"/>
        <v>1153</v>
      </c>
      <c r="D1154" s="266"/>
      <c r="E1154" s="266"/>
      <c r="F1154" s="305"/>
      <c r="G1154" s="188"/>
      <c r="H1154" s="266"/>
      <c r="I1154" s="266" t="s">
        <v>9</v>
      </c>
      <c r="J1154" s="266"/>
      <c r="K1154" s="278" t="s">
        <v>20</v>
      </c>
      <c r="L1154" s="278" t="s">
        <v>23</v>
      </c>
      <c r="M1154" s="278"/>
      <c r="N1154" s="278" t="s">
        <v>2401</v>
      </c>
      <c r="O1154" s="278" t="s">
        <v>298</v>
      </c>
      <c r="P1154" s="284" t="s">
        <v>298</v>
      </c>
      <c r="Q1154" s="279" t="s">
        <v>9</v>
      </c>
      <c r="R1154" s="279" t="s">
        <v>105</v>
      </c>
      <c r="S1154" s="279" t="s">
        <v>114</v>
      </c>
      <c r="T1154" s="278" t="s">
        <v>298</v>
      </c>
      <c r="U1154" s="278" t="s">
        <v>298</v>
      </c>
      <c r="V1154" s="278" t="s">
        <v>2401</v>
      </c>
      <c r="W1154" s="272" t="str">
        <f>IF(IFERROR(VLOOKUP($M1154,'IMPORT GS-Tür OL FL 2S2 20'!$H$2:$H$847,1,0),"-")="-","","GS")</f>
        <v/>
      </c>
      <c r="X1154" s="272" t="str">
        <f t="shared" si="86"/>
        <v/>
      </c>
      <c r="Y1154" s="278" t="s">
        <v>2402</v>
      </c>
      <c r="Z1154" s="273" t="str">
        <f>IF(OR($M1154="",NOT($O1154="{array}")),"",IFERROR(MATCH(PARAMETERS!$M1154,DEFAULT!$B$5:$CI$5,0),""))</f>
        <v/>
      </c>
      <c r="AA1154" s="55" t="str">
        <f t="shared" si="87"/>
        <v/>
      </c>
      <c r="AB1154" s="62" t="str">
        <f>IF(AND(OR($A1154="G",$A1154="P"),NOT($O1154="{array}")),IF(VLOOKUP($K1154,base!$B$2:$D$20,3,0)="S",IF(OR($O1154="",ISTEXT($O1154)),"","STRING!"),IF(VLOOKUP($K1154,base!$B$2:$D$20,3,0)="","",IF(ISTEXT($O1154),"NUMERIC!",""))),"")</f>
        <v/>
      </c>
      <c r="AC1154" s="16" t="str">
        <f>IF($AA1154="","",IF($B1154="I",VLOOKUP($AA1154,#REF!,53,0),INDEX(VALUES!$B$1:$GP$1,1,$AA1154)))</f>
        <v/>
      </c>
      <c r="AD1154" s="13"/>
      <c r="AE1154" s="13"/>
      <c r="AF1154" s="13"/>
      <c r="AG1154" s="13"/>
      <c r="AH1154" s="13"/>
    </row>
    <row r="1155" spans="1:34" s="276" customFormat="1" hidden="1" outlineLevel="1">
      <c r="A1155" s="263"/>
      <c r="B1155" s="264" t="str">
        <f t="shared" si="88"/>
        <v/>
      </c>
      <c r="C1155" s="265">
        <f t="shared" si="90"/>
        <v>1154</v>
      </c>
      <c r="D1155" s="266"/>
      <c r="E1155" s="266"/>
      <c r="F1155" s="305"/>
      <c r="G1155" s="188"/>
      <c r="H1155" s="266"/>
      <c r="I1155" s="266" t="s">
        <v>9</v>
      </c>
      <c r="J1155" s="266"/>
      <c r="K1155" s="278" t="s">
        <v>20</v>
      </c>
      <c r="L1155" s="278" t="s">
        <v>23</v>
      </c>
      <c r="M1155" s="278"/>
      <c r="N1155" s="278" t="s">
        <v>2403</v>
      </c>
      <c r="O1155" s="278" t="s">
        <v>298</v>
      </c>
      <c r="P1155" s="284" t="s">
        <v>298</v>
      </c>
      <c r="Q1155" s="279" t="s">
        <v>9</v>
      </c>
      <c r="R1155" s="279" t="s">
        <v>105</v>
      </c>
      <c r="S1155" s="279" t="s">
        <v>114</v>
      </c>
      <c r="T1155" s="278" t="s">
        <v>298</v>
      </c>
      <c r="U1155" s="278" t="s">
        <v>298</v>
      </c>
      <c r="V1155" s="278" t="s">
        <v>2403</v>
      </c>
      <c r="W1155" s="272" t="str">
        <f>IF(IFERROR(VLOOKUP($M1155,'IMPORT GS-Tür OL FL 2S2 20'!$H$2:$H$847,1,0),"-")="-","","GS")</f>
        <v/>
      </c>
      <c r="X1155" s="272" t="str">
        <f t="shared" si="86"/>
        <v/>
      </c>
      <c r="Y1155" s="278" t="s">
        <v>2404</v>
      </c>
      <c r="Z1155" s="273" t="str">
        <f>IF(OR($M1155="",NOT($O1155="{array}")),"",IFERROR(MATCH(PARAMETERS!$M1155,DEFAULT!$B$5:$CI$5,0),""))</f>
        <v/>
      </c>
      <c r="AA1155" s="55" t="str">
        <f t="shared" si="87"/>
        <v/>
      </c>
      <c r="AB1155" s="62" t="str">
        <f>IF(AND(OR($A1155="G",$A1155="P"),NOT($O1155="{array}")),IF(VLOOKUP($K1155,base!$B$2:$D$20,3,0)="S",IF(OR($O1155="",ISTEXT($O1155)),"","STRING!"),IF(VLOOKUP($K1155,base!$B$2:$D$20,3,0)="","",IF(ISTEXT($O1155),"NUMERIC!",""))),"")</f>
        <v/>
      </c>
      <c r="AC1155" s="16" t="str">
        <f>IF($AA1155="","",IF($B1155="I",VLOOKUP($AA1155,#REF!,53,0),INDEX(VALUES!$B$1:$GP$1,1,$AA1155)))</f>
        <v/>
      </c>
      <c r="AD1155" s="13"/>
      <c r="AE1155" s="13"/>
      <c r="AF1155" s="13"/>
      <c r="AG1155" s="13"/>
      <c r="AH1155" s="13"/>
    </row>
    <row r="1156" spans="1:34" s="276" customFormat="1" hidden="1" outlineLevel="1">
      <c r="A1156" s="263"/>
      <c r="B1156" s="264" t="str">
        <f t="shared" si="88"/>
        <v/>
      </c>
      <c r="C1156" s="265">
        <f t="shared" si="90"/>
        <v>1155</v>
      </c>
      <c r="D1156" s="266"/>
      <c r="E1156" s="266"/>
      <c r="F1156" s="305"/>
      <c r="G1156" s="188"/>
      <c r="H1156" s="266"/>
      <c r="I1156" s="266" t="s">
        <v>9</v>
      </c>
      <c r="J1156" s="266"/>
      <c r="K1156" s="278" t="s">
        <v>20</v>
      </c>
      <c r="L1156" s="278" t="s">
        <v>23</v>
      </c>
      <c r="M1156" s="278"/>
      <c r="N1156" s="278" t="s">
        <v>2405</v>
      </c>
      <c r="O1156" s="278" t="s">
        <v>298</v>
      </c>
      <c r="P1156" s="284" t="s">
        <v>298</v>
      </c>
      <c r="Q1156" s="279" t="s">
        <v>9</v>
      </c>
      <c r="R1156" s="279" t="s">
        <v>105</v>
      </c>
      <c r="S1156" s="279" t="s">
        <v>114</v>
      </c>
      <c r="T1156" s="278" t="s">
        <v>298</v>
      </c>
      <c r="U1156" s="278" t="s">
        <v>298</v>
      </c>
      <c r="V1156" s="278" t="s">
        <v>2405</v>
      </c>
      <c r="W1156" s="272" t="str">
        <f>IF(IFERROR(VLOOKUP($M1156,'IMPORT GS-Tür OL FL 2S2 20'!$H$2:$H$847,1,0),"-")="-","","GS")</f>
        <v/>
      </c>
      <c r="X1156" s="272" t="str">
        <f t="shared" si="86"/>
        <v/>
      </c>
      <c r="Y1156" s="278" t="s">
        <v>2406</v>
      </c>
      <c r="Z1156" s="273" t="str">
        <f>IF(OR($M1156="",NOT($O1156="{array}")),"",IFERROR(MATCH(PARAMETERS!$M1156,DEFAULT!$B$5:$CI$5,0),""))</f>
        <v/>
      </c>
      <c r="AA1156" s="55" t="str">
        <f t="shared" si="87"/>
        <v/>
      </c>
      <c r="AB1156" s="62" t="str">
        <f>IF(AND(OR($A1156="G",$A1156="P"),NOT($O1156="{array}")),IF(VLOOKUP($K1156,base!$B$2:$D$20,3,0)="S",IF(OR($O1156="",ISTEXT($O1156)),"","STRING!"),IF(VLOOKUP($K1156,base!$B$2:$D$20,3,0)="","",IF(ISTEXT($O1156),"NUMERIC!",""))),"")</f>
        <v/>
      </c>
      <c r="AC1156" s="16" t="str">
        <f>IF($AA1156="","",IF($B1156="I",VLOOKUP($AA1156,#REF!,53,0),INDEX(VALUES!$B$1:$GP$1,1,$AA1156)))</f>
        <v/>
      </c>
      <c r="AD1156" s="13"/>
      <c r="AE1156" s="13"/>
      <c r="AF1156" s="13"/>
      <c r="AG1156" s="13"/>
      <c r="AH1156" s="13"/>
    </row>
    <row r="1157" spans="1:34" s="276" customFormat="1" hidden="1" outlineLevel="1">
      <c r="A1157" s="263"/>
      <c r="B1157" s="264" t="str">
        <f t="shared" si="88"/>
        <v/>
      </c>
      <c r="C1157" s="265">
        <f t="shared" si="90"/>
        <v>1156</v>
      </c>
      <c r="D1157" s="266"/>
      <c r="E1157" s="266"/>
      <c r="F1157" s="305"/>
      <c r="G1157" s="188"/>
      <c r="H1157" s="266"/>
      <c r="I1157" s="266" t="s">
        <v>9</v>
      </c>
      <c r="J1157" s="266"/>
      <c r="K1157" s="278" t="s">
        <v>20</v>
      </c>
      <c r="L1157" s="278" t="s">
        <v>23</v>
      </c>
      <c r="M1157" s="278"/>
      <c r="N1157" s="278" t="s">
        <v>2407</v>
      </c>
      <c r="O1157" s="278" t="s">
        <v>298</v>
      </c>
      <c r="P1157" s="284" t="s">
        <v>298</v>
      </c>
      <c r="Q1157" s="279" t="s">
        <v>9</v>
      </c>
      <c r="R1157" s="279" t="s">
        <v>105</v>
      </c>
      <c r="S1157" s="279" t="s">
        <v>114</v>
      </c>
      <c r="T1157" s="278" t="s">
        <v>298</v>
      </c>
      <c r="U1157" s="278" t="s">
        <v>298</v>
      </c>
      <c r="V1157" s="278" t="s">
        <v>2407</v>
      </c>
      <c r="W1157" s="272" t="str">
        <f>IF(IFERROR(VLOOKUP($M1157,'IMPORT GS-Tür OL FL 2S2 20'!$H$2:$H$847,1,0),"-")="-","","GS")</f>
        <v/>
      </c>
      <c r="X1157" s="272" t="str">
        <f t="shared" si="86"/>
        <v/>
      </c>
      <c r="Y1157" s="278" t="s">
        <v>2408</v>
      </c>
      <c r="Z1157" s="273" t="str">
        <f>IF(OR($M1157="",NOT($O1157="{array}")),"",IFERROR(MATCH(PARAMETERS!$M1157,DEFAULT!$B$5:$CI$5,0),""))</f>
        <v/>
      </c>
      <c r="AA1157" s="55" t="str">
        <f t="shared" si="87"/>
        <v/>
      </c>
      <c r="AB1157" s="62" t="str">
        <f>IF(AND(OR($A1157="G",$A1157="P"),NOT($O1157="{array}")),IF(VLOOKUP($K1157,base!$B$2:$D$20,3,0)="S",IF(OR($O1157="",ISTEXT($O1157)),"","STRING!"),IF(VLOOKUP($K1157,base!$B$2:$D$20,3,0)="","",IF(ISTEXT($O1157),"NUMERIC!",""))),"")</f>
        <v/>
      </c>
      <c r="AC1157" s="16" t="str">
        <f>IF($AA1157="","",IF($B1157="I",VLOOKUP($AA1157,#REF!,53,0),INDEX(VALUES!$B$1:$GP$1,1,$AA1157)))</f>
        <v/>
      </c>
      <c r="AD1157" s="13"/>
      <c r="AE1157" s="13"/>
      <c r="AF1157" s="13"/>
      <c r="AG1157" s="13"/>
      <c r="AH1157" s="13"/>
    </row>
    <row r="1158" spans="1:34" s="276" customFormat="1" hidden="1" outlineLevel="1">
      <c r="A1158" s="263"/>
      <c r="B1158" s="264" t="str">
        <f t="shared" si="88"/>
        <v/>
      </c>
      <c r="C1158" s="265">
        <f t="shared" si="90"/>
        <v>1157</v>
      </c>
      <c r="D1158" s="266"/>
      <c r="E1158" s="266"/>
      <c r="F1158" s="305"/>
      <c r="G1158" s="188"/>
      <c r="H1158" s="266"/>
      <c r="I1158" s="266" t="s">
        <v>9</v>
      </c>
      <c r="J1158" s="266"/>
      <c r="K1158" s="278" t="s">
        <v>20</v>
      </c>
      <c r="L1158" s="278" t="s">
        <v>23</v>
      </c>
      <c r="M1158" s="278"/>
      <c r="N1158" s="278" t="s">
        <v>2409</v>
      </c>
      <c r="O1158" s="278" t="s">
        <v>298</v>
      </c>
      <c r="P1158" s="284" t="s">
        <v>298</v>
      </c>
      <c r="Q1158" s="279" t="s">
        <v>9</v>
      </c>
      <c r="R1158" s="279" t="s">
        <v>105</v>
      </c>
      <c r="S1158" s="279" t="s">
        <v>114</v>
      </c>
      <c r="T1158" s="278" t="s">
        <v>298</v>
      </c>
      <c r="U1158" s="278" t="s">
        <v>298</v>
      </c>
      <c r="V1158" s="278" t="s">
        <v>2409</v>
      </c>
      <c r="W1158" s="272" t="str">
        <f>IF(IFERROR(VLOOKUP($M1158,'IMPORT GS-Tür OL FL 2S2 20'!$H$2:$H$847,1,0),"-")="-","","GS")</f>
        <v/>
      </c>
      <c r="X1158" s="272" t="str">
        <f t="shared" si="86"/>
        <v/>
      </c>
      <c r="Y1158" s="278" t="s">
        <v>2410</v>
      </c>
      <c r="Z1158" s="273" t="str">
        <f>IF(OR($M1158="",NOT($O1158="{array}")),"",IFERROR(MATCH(PARAMETERS!$M1158,DEFAULT!$B$5:$CI$5,0),""))</f>
        <v/>
      </c>
      <c r="AA1158" s="55" t="str">
        <f t="shared" si="87"/>
        <v/>
      </c>
      <c r="AB1158" s="62" t="str">
        <f>IF(AND(OR($A1158="G",$A1158="P"),NOT($O1158="{array}")),IF(VLOOKUP($K1158,base!$B$2:$D$20,3,0)="S",IF(OR($O1158="",ISTEXT($O1158)),"","STRING!"),IF(VLOOKUP($K1158,base!$B$2:$D$20,3,0)="","",IF(ISTEXT($O1158),"NUMERIC!",""))),"")</f>
        <v/>
      </c>
      <c r="AC1158" s="16" t="str">
        <f>IF($AA1158="","",IF($B1158="I",VLOOKUP($AA1158,#REF!,53,0),INDEX(VALUES!$B$1:$GP$1,1,$AA1158)))</f>
        <v/>
      </c>
      <c r="AD1158" s="13"/>
      <c r="AE1158" s="13"/>
      <c r="AF1158" s="13"/>
      <c r="AG1158" s="13"/>
      <c r="AH1158" s="13"/>
    </row>
    <row r="1159" spans="1:34" s="276" customFormat="1" hidden="1" outlineLevel="1">
      <c r="A1159" s="263"/>
      <c r="B1159" s="264" t="str">
        <f t="shared" si="88"/>
        <v/>
      </c>
      <c r="C1159" s="265">
        <f t="shared" si="90"/>
        <v>1158</v>
      </c>
      <c r="D1159" s="266"/>
      <c r="E1159" s="266"/>
      <c r="F1159" s="305"/>
      <c r="G1159" s="188"/>
      <c r="H1159" s="266"/>
      <c r="I1159" s="266" t="s">
        <v>9</v>
      </c>
      <c r="J1159" s="266"/>
      <c r="K1159" s="278" t="s">
        <v>20</v>
      </c>
      <c r="L1159" s="278" t="s">
        <v>23</v>
      </c>
      <c r="M1159" s="278"/>
      <c r="N1159" s="278" t="s">
        <v>2411</v>
      </c>
      <c r="O1159" s="278" t="s">
        <v>298</v>
      </c>
      <c r="P1159" s="284" t="s">
        <v>298</v>
      </c>
      <c r="Q1159" s="279" t="s">
        <v>9</v>
      </c>
      <c r="R1159" s="279" t="s">
        <v>105</v>
      </c>
      <c r="S1159" s="279" t="s">
        <v>114</v>
      </c>
      <c r="T1159" s="278" t="s">
        <v>298</v>
      </c>
      <c r="U1159" s="278" t="s">
        <v>298</v>
      </c>
      <c r="V1159" s="278" t="s">
        <v>2411</v>
      </c>
      <c r="W1159" s="272" t="str">
        <f>IF(IFERROR(VLOOKUP($M1159,'IMPORT GS-Tür OL FL 2S2 20'!$H$2:$H$847,1,0),"-")="-","","GS")</f>
        <v/>
      </c>
      <c r="X1159" s="272" t="str">
        <f t="shared" si="86"/>
        <v/>
      </c>
      <c r="Y1159" s="278" t="s">
        <v>2412</v>
      </c>
      <c r="Z1159" s="273" t="str">
        <f>IF(OR($M1159="",NOT($O1159="{array}")),"",IFERROR(MATCH(PARAMETERS!$M1159,DEFAULT!$B$5:$CI$5,0),""))</f>
        <v/>
      </c>
      <c r="AA1159" s="55" t="str">
        <f t="shared" si="87"/>
        <v/>
      </c>
      <c r="AB1159" s="62" t="str">
        <f>IF(AND(OR($A1159="G",$A1159="P"),NOT($O1159="{array}")),IF(VLOOKUP($K1159,base!$B$2:$D$20,3,0)="S",IF(OR($O1159="",ISTEXT($O1159)),"","STRING!"),IF(VLOOKUP($K1159,base!$B$2:$D$20,3,0)="","",IF(ISTEXT($O1159),"NUMERIC!",""))),"")</f>
        <v/>
      </c>
      <c r="AC1159" s="16" t="str">
        <f>IF($AA1159="","",IF($B1159="I",VLOOKUP($AA1159,#REF!,53,0),INDEX(VALUES!$B$1:$GP$1,1,$AA1159)))</f>
        <v/>
      </c>
      <c r="AD1159" s="13"/>
      <c r="AE1159" s="13"/>
      <c r="AF1159" s="13"/>
      <c r="AG1159" s="13"/>
      <c r="AH1159" s="13"/>
    </row>
    <row r="1160" spans="1:34" s="276" customFormat="1" hidden="1" outlineLevel="1">
      <c r="A1160" s="263"/>
      <c r="B1160" s="264" t="str">
        <f t="shared" si="88"/>
        <v/>
      </c>
      <c r="C1160" s="265">
        <f t="shared" si="90"/>
        <v>1159</v>
      </c>
      <c r="D1160" s="266"/>
      <c r="E1160" s="266"/>
      <c r="F1160" s="305"/>
      <c r="G1160" s="188"/>
      <c r="H1160" s="266"/>
      <c r="I1160" s="266" t="s">
        <v>9</v>
      </c>
      <c r="J1160" s="266"/>
      <c r="K1160" s="278" t="s">
        <v>20</v>
      </c>
      <c r="L1160" s="278" t="s">
        <v>23</v>
      </c>
      <c r="M1160" s="278"/>
      <c r="N1160" s="278" t="s">
        <v>1359</v>
      </c>
      <c r="O1160" s="278" t="s">
        <v>298</v>
      </c>
      <c r="P1160" s="284" t="s">
        <v>298</v>
      </c>
      <c r="Q1160" s="279" t="s">
        <v>9</v>
      </c>
      <c r="R1160" s="279" t="s">
        <v>105</v>
      </c>
      <c r="S1160" s="279" t="s">
        <v>114</v>
      </c>
      <c r="T1160" s="278" t="s">
        <v>298</v>
      </c>
      <c r="U1160" s="278" t="s">
        <v>298</v>
      </c>
      <c r="V1160" s="278" t="s">
        <v>1359</v>
      </c>
      <c r="W1160" s="272" t="str">
        <f>IF(IFERROR(VLOOKUP($M1160,'IMPORT GS-Tür OL FL 2S2 20'!$H$2:$H$847,1,0),"-")="-","","GS")</f>
        <v/>
      </c>
      <c r="X1160" s="272" t="str">
        <f t="shared" si="86"/>
        <v/>
      </c>
      <c r="Y1160" s="278" t="s">
        <v>2413</v>
      </c>
      <c r="Z1160" s="273" t="str">
        <f>IF(OR($M1160="",NOT($O1160="{array}")),"",IFERROR(MATCH(PARAMETERS!$M1160,DEFAULT!$B$5:$CI$5,0),""))</f>
        <v/>
      </c>
      <c r="AA1160" s="55" t="str">
        <f t="shared" si="87"/>
        <v/>
      </c>
      <c r="AB1160" s="62" t="str">
        <f>IF(AND(OR($A1160="G",$A1160="P"),NOT($O1160="{array}")),IF(VLOOKUP($K1160,base!$B$2:$D$20,3,0)="S",IF(OR($O1160="",ISTEXT($O1160)),"","STRING!"),IF(VLOOKUP($K1160,base!$B$2:$D$20,3,0)="","",IF(ISTEXT($O1160),"NUMERIC!",""))),"")</f>
        <v/>
      </c>
      <c r="AC1160" s="16" t="str">
        <f>IF($AA1160="","",IF($B1160="I",VLOOKUP($AA1160,#REF!,53,0),INDEX(VALUES!$B$1:$GP$1,1,$AA1160)))</f>
        <v/>
      </c>
      <c r="AD1160" s="13"/>
      <c r="AE1160" s="13"/>
      <c r="AF1160" s="13"/>
      <c r="AG1160" s="13"/>
      <c r="AH1160" s="13"/>
    </row>
    <row r="1161" spans="1:34" s="276" customFormat="1" hidden="1" outlineLevel="1">
      <c r="A1161" s="263"/>
      <c r="B1161" s="264" t="str">
        <f t="shared" si="88"/>
        <v/>
      </c>
      <c r="C1161" s="265">
        <f t="shared" si="90"/>
        <v>1160</v>
      </c>
      <c r="D1161" s="266"/>
      <c r="E1161" s="266"/>
      <c r="F1161" s="305"/>
      <c r="G1161" s="188"/>
      <c r="H1161" s="266"/>
      <c r="I1161" s="266" t="s">
        <v>9</v>
      </c>
      <c r="J1161" s="266"/>
      <c r="K1161" s="278" t="s">
        <v>49</v>
      </c>
      <c r="L1161" s="278" t="s">
        <v>23</v>
      </c>
      <c r="M1161" s="278"/>
      <c r="N1161" s="278" t="s">
        <v>2414</v>
      </c>
      <c r="O1161" s="278" t="s">
        <v>298</v>
      </c>
      <c r="P1161" s="284" t="s">
        <v>298</v>
      </c>
      <c r="Q1161" s="279" t="s">
        <v>9</v>
      </c>
      <c r="R1161" s="279" t="s">
        <v>105</v>
      </c>
      <c r="S1161" s="279" t="s">
        <v>114</v>
      </c>
      <c r="T1161" s="278" t="s">
        <v>298</v>
      </c>
      <c r="U1161" s="278" t="s">
        <v>298</v>
      </c>
      <c r="V1161" s="278" t="s">
        <v>2414</v>
      </c>
      <c r="W1161" s="272" t="str">
        <f>IF(IFERROR(VLOOKUP($M1161,'IMPORT GS-Tür OL FL 2S2 20'!$H$2:$H$847,1,0),"-")="-","","GS")</f>
        <v/>
      </c>
      <c r="X1161" s="272" t="str">
        <f t="shared" si="86"/>
        <v/>
      </c>
      <c r="Y1161" s="278" t="s">
        <v>2415</v>
      </c>
      <c r="Z1161" s="273" t="str">
        <f>IF(OR($M1161="",NOT($O1161="{array}")),"",IFERROR(MATCH(PARAMETERS!$M1161,DEFAULT!$B$5:$CI$5,0),""))</f>
        <v/>
      </c>
      <c r="AA1161" s="55" t="str">
        <f t="shared" si="87"/>
        <v/>
      </c>
      <c r="AB1161" s="62" t="str">
        <f>IF(AND(OR($A1161="G",$A1161="P"),NOT($O1161="{array}")),IF(VLOOKUP($K1161,base!$B$2:$D$20,3,0)="S",IF(OR($O1161="",ISTEXT($O1161)),"","STRING!"),IF(VLOOKUP($K1161,base!$B$2:$D$20,3,0)="","",IF(ISTEXT($O1161),"NUMERIC!",""))),"")</f>
        <v/>
      </c>
      <c r="AC1161" s="16" t="str">
        <f>IF($AA1161="","",IF($B1161="I",VLOOKUP($AA1161,#REF!,53,0),INDEX(VALUES!$B$1:$GP$1,1,$AA1161)))</f>
        <v/>
      </c>
      <c r="AD1161" s="13"/>
      <c r="AE1161" s="13"/>
      <c r="AF1161" s="13"/>
      <c r="AG1161" s="13"/>
      <c r="AH1161" s="13"/>
    </row>
    <row r="1162" spans="1:34" s="276" customFormat="1" hidden="1" outlineLevel="1">
      <c r="A1162" s="263"/>
      <c r="B1162" s="264" t="str">
        <f t="shared" si="88"/>
        <v/>
      </c>
      <c r="C1162" s="265">
        <f t="shared" si="90"/>
        <v>1161</v>
      </c>
      <c r="D1162" s="266"/>
      <c r="E1162" s="266"/>
      <c r="F1162" s="305"/>
      <c r="G1162" s="188"/>
      <c r="H1162" s="266"/>
      <c r="I1162" s="266" t="s">
        <v>9</v>
      </c>
      <c r="J1162" s="266"/>
      <c r="K1162" s="278" t="s">
        <v>20</v>
      </c>
      <c r="L1162" s="278" t="s">
        <v>23</v>
      </c>
      <c r="M1162" s="278"/>
      <c r="N1162" s="278" t="s">
        <v>309</v>
      </c>
      <c r="O1162" s="278" t="s">
        <v>298</v>
      </c>
      <c r="P1162" s="284" t="s">
        <v>298</v>
      </c>
      <c r="Q1162" s="279" t="s">
        <v>9</v>
      </c>
      <c r="R1162" s="279" t="s">
        <v>105</v>
      </c>
      <c r="S1162" s="279" t="s">
        <v>114</v>
      </c>
      <c r="T1162" s="278" t="s">
        <v>298</v>
      </c>
      <c r="U1162" s="278" t="s">
        <v>298</v>
      </c>
      <c r="V1162" s="278" t="s">
        <v>309</v>
      </c>
      <c r="W1162" s="272" t="str">
        <f>IF(IFERROR(VLOOKUP($M1162,'IMPORT GS-Tür OL FL 2S2 20'!$H$2:$H$847,1,0),"-")="-","","GS")</f>
        <v/>
      </c>
      <c r="X1162" s="272" t="str">
        <f t="shared" si="86"/>
        <v/>
      </c>
      <c r="Y1162" s="278" t="s">
        <v>2416</v>
      </c>
      <c r="Z1162" s="273" t="str">
        <f>IF(OR($M1162="",NOT($O1162="{array}")),"",IFERROR(MATCH(PARAMETERS!$M1162,DEFAULT!$B$5:$CI$5,0),""))</f>
        <v/>
      </c>
      <c r="AA1162" s="55" t="str">
        <f t="shared" si="87"/>
        <v/>
      </c>
      <c r="AB1162" s="62" t="str">
        <f>IF(AND(OR($A1162="G",$A1162="P"),NOT($O1162="{array}")),IF(VLOOKUP($K1162,base!$B$2:$D$20,3,0)="S",IF(OR($O1162="",ISTEXT($O1162)),"","STRING!"),IF(VLOOKUP($K1162,base!$B$2:$D$20,3,0)="","",IF(ISTEXT($O1162),"NUMERIC!",""))),"")</f>
        <v/>
      </c>
      <c r="AC1162" s="16" t="str">
        <f>IF($AA1162="","",IF($B1162="I",VLOOKUP($AA1162,#REF!,53,0),INDEX(VALUES!$B$1:$GP$1,1,$AA1162)))</f>
        <v/>
      </c>
      <c r="AD1162" s="13"/>
      <c r="AE1162" s="13"/>
      <c r="AF1162" s="13"/>
      <c r="AG1162" s="13"/>
      <c r="AH1162" s="13"/>
    </row>
    <row r="1163" spans="1:34" s="276" customFormat="1" hidden="1" outlineLevel="1">
      <c r="A1163" s="263"/>
      <c r="B1163" s="264" t="str">
        <f t="shared" si="88"/>
        <v/>
      </c>
      <c r="C1163" s="265">
        <f t="shared" si="90"/>
        <v>1162</v>
      </c>
      <c r="D1163" s="266"/>
      <c r="E1163" s="266"/>
      <c r="F1163" s="305"/>
      <c r="G1163" s="188"/>
      <c r="H1163" s="266"/>
      <c r="I1163" s="266" t="s">
        <v>9</v>
      </c>
      <c r="J1163" s="266"/>
      <c r="K1163" s="278" t="s">
        <v>20</v>
      </c>
      <c r="L1163" s="278" t="s">
        <v>23</v>
      </c>
      <c r="M1163" s="278"/>
      <c r="N1163" s="278" t="s">
        <v>2417</v>
      </c>
      <c r="O1163" s="278" t="s">
        <v>298</v>
      </c>
      <c r="P1163" s="284" t="s">
        <v>298</v>
      </c>
      <c r="Q1163" s="279" t="s">
        <v>9</v>
      </c>
      <c r="R1163" s="279" t="s">
        <v>105</v>
      </c>
      <c r="S1163" s="279" t="s">
        <v>114</v>
      </c>
      <c r="T1163" s="278" t="s">
        <v>298</v>
      </c>
      <c r="U1163" s="278" t="s">
        <v>298</v>
      </c>
      <c r="V1163" s="278" t="s">
        <v>2417</v>
      </c>
      <c r="W1163" s="272" t="str">
        <f>IF(IFERROR(VLOOKUP($M1163,'IMPORT GS-Tür OL FL 2S2 20'!$H$2:$H$847,1,0),"-")="-","","GS")</f>
        <v/>
      </c>
      <c r="X1163" s="272" t="str">
        <f t="shared" si="86"/>
        <v/>
      </c>
      <c r="Y1163" s="278" t="s">
        <v>2418</v>
      </c>
      <c r="Z1163" s="273" t="str">
        <f>IF(OR($M1163="",NOT($O1163="{array}")),"",IFERROR(MATCH(PARAMETERS!$M1163,DEFAULT!$B$5:$CI$5,0),""))</f>
        <v/>
      </c>
      <c r="AA1163" s="55" t="str">
        <f t="shared" si="87"/>
        <v/>
      </c>
      <c r="AB1163" s="62" t="str">
        <f>IF(AND(OR($A1163="G",$A1163="P"),NOT($O1163="{array}")),IF(VLOOKUP($K1163,base!$B$2:$D$20,3,0)="S",IF(OR($O1163="",ISTEXT($O1163)),"","STRING!"),IF(VLOOKUP($K1163,base!$B$2:$D$20,3,0)="","",IF(ISTEXT($O1163),"NUMERIC!",""))),"")</f>
        <v/>
      </c>
      <c r="AC1163" s="16" t="str">
        <f>IF($AA1163="","",IF($B1163="I",VLOOKUP($AA1163,#REF!,53,0),INDEX(VALUES!$B$1:$GP$1,1,$AA1163)))</f>
        <v/>
      </c>
      <c r="AD1163" s="13"/>
      <c r="AE1163" s="13"/>
      <c r="AF1163" s="13"/>
      <c r="AG1163" s="13"/>
      <c r="AH1163" s="13"/>
    </row>
    <row r="1164" spans="1:34" s="276" customFormat="1" hidden="1" outlineLevel="1">
      <c r="A1164" s="263"/>
      <c r="B1164" s="264" t="str">
        <f t="shared" si="88"/>
        <v/>
      </c>
      <c r="C1164" s="265">
        <f t="shared" si="90"/>
        <v>1163</v>
      </c>
      <c r="D1164" s="266"/>
      <c r="E1164" s="266"/>
      <c r="F1164" s="305"/>
      <c r="G1164" s="188"/>
      <c r="H1164" s="266"/>
      <c r="I1164" s="266" t="s">
        <v>9</v>
      </c>
      <c r="J1164" s="266"/>
      <c r="K1164" s="278" t="s">
        <v>20</v>
      </c>
      <c r="L1164" s="278" t="s">
        <v>23</v>
      </c>
      <c r="M1164" s="278"/>
      <c r="N1164" s="278" t="s">
        <v>2419</v>
      </c>
      <c r="O1164" s="278" t="s">
        <v>298</v>
      </c>
      <c r="P1164" s="284" t="s">
        <v>298</v>
      </c>
      <c r="Q1164" s="279" t="s">
        <v>9</v>
      </c>
      <c r="R1164" s="279" t="s">
        <v>105</v>
      </c>
      <c r="S1164" s="279" t="s">
        <v>114</v>
      </c>
      <c r="T1164" s="278" t="s">
        <v>298</v>
      </c>
      <c r="U1164" s="278" t="s">
        <v>298</v>
      </c>
      <c r="V1164" s="278" t="s">
        <v>2419</v>
      </c>
      <c r="W1164" s="272" t="str">
        <f>IF(IFERROR(VLOOKUP($M1164,'IMPORT GS-Tür OL FL 2S2 20'!$H$2:$H$847,1,0),"-")="-","","GS")</f>
        <v/>
      </c>
      <c r="X1164" s="272" t="str">
        <f t="shared" ref="X1164:X1227" si="91">IF($A1164="G",IF(IFERROR(VLOOKUP($M1164,Reimport,1,0),"-")="-","&gt;&lt;",IF($O1164=VLOOKUP($M1164,Reimport,2,0),"...",VLOOKUP($M1164,Reimport,2,0))),"")</f>
        <v/>
      </c>
      <c r="Y1164" s="278" t="s">
        <v>2420</v>
      </c>
      <c r="Z1164" s="273" t="str">
        <f>IF(OR($M1164="",NOT($O1164="{array}")),"",IFERROR(MATCH(PARAMETERS!$M1164,DEFAULT!$B$5:$CI$5,0),""))</f>
        <v/>
      </c>
      <c r="AA1164" s="55" t="str">
        <f t="shared" si="87"/>
        <v/>
      </c>
      <c r="AB1164" s="62" t="str">
        <f>IF(AND(OR($A1164="G",$A1164="P"),NOT($O1164="{array}")),IF(VLOOKUP($K1164,base!$B$2:$D$20,3,0)="S",IF(OR($O1164="",ISTEXT($O1164)),"","STRING!"),IF(VLOOKUP($K1164,base!$B$2:$D$20,3,0)="","",IF(ISTEXT($O1164),"NUMERIC!",""))),"")</f>
        <v/>
      </c>
      <c r="AC1164" s="16" t="str">
        <f>IF($AA1164="","",IF($B1164="I",VLOOKUP($AA1164,#REF!,53,0),INDEX(VALUES!$B$1:$GP$1,1,$AA1164)))</f>
        <v/>
      </c>
      <c r="AD1164" s="13"/>
      <c r="AE1164" s="13"/>
      <c r="AF1164" s="13"/>
      <c r="AG1164" s="13"/>
      <c r="AH1164" s="13"/>
    </row>
    <row r="1165" spans="1:34" s="276" customFormat="1" hidden="1" outlineLevel="1">
      <c r="A1165" s="263"/>
      <c r="B1165" s="264" t="str">
        <f t="shared" si="88"/>
        <v/>
      </c>
      <c r="C1165" s="265">
        <f t="shared" si="90"/>
        <v>1164</v>
      </c>
      <c r="D1165" s="266"/>
      <c r="E1165" s="266"/>
      <c r="F1165" s="305"/>
      <c r="G1165" s="188"/>
      <c r="H1165" s="266"/>
      <c r="I1165" s="266" t="s">
        <v>9</v>
      </c>
      <c r="J1165" s="266"/>
      <c r="K1165" s="278" t="s">
        <v>20</v>
      </c>
      <c r="L1165" s="278" t="s">
        <v>23</v>
      </c>
      <c r="M1165" s="278"/>
      <c r="N1165" s="278" t="s">
        <v>2421</v>
      </c>
      <c r="O1165" s="278" t="s">
        <v>298</v>
      </c>
      <c r="P1165" s="284" t="s">
        <v>298</v>
      </c>
      <c r="Q1165" s="279" t="s">
        <v>9</v>
      </c>
      <c r="R1165" s="279" t="s">
        <v>105</v>
      </c>
      <c r="S1165" s="279" t="s">
        <v>114</v>
      </c>
      <c r="T1165" s="278" t="s">
        <v>298</v>
      </c>
      <c r="U1165" s="278" t="s">
        <v>298</v>
      </c>
      <c r="V1165" s="278" t="s">
        <v>2421</v>
      </c>
      <c r="W1165" s="272" t="str">
        <f>IF(IFERROR(VLOOKUP($M1165,'IMPORT GS-Tür OL FL 2S2 20'!$H$2:$H$847,1,0),"-")="-","","GS")</f>
        <v/>
      </c>
      <c r="X1165" s="272" t="str">
        <f t="shared" si="91"/>
        <v/>
      </c>
      <c r="Y1165" s="278" t="s">
        <v>2422</v>
      </c>
      <c r="Z1165" s="273" t="str">
        <f>IF(OR($M1165="",NOT($O1165="{array}")),"",IFERROR(MATCH(PARAMETERS!$M1165,DEFAULT!$B$5:$CI$5,0),""))</f>
        <v/>
      </c>
      <c r="AA1165" s="55" t="str">
        <f t="shared" si="87"/>
        <v/>
      </c>
      <c r="AB1165" s="62" t="str">
        <f>IF(AND(OR($A1165="G",$A1165="P"),NOT($O1165="{array}")),IF(VLOOKUP($K1165,base!$B$2:$D$20,3,0)="S",IF(OR($O1165="",ISTEXT($O1165)),"","STRING!"),IF(VLOOKUP($K1165,base!$B$2:$D$20,3,0)="","",IF(ISTEXT($O1165),"NUMERIC!",""))),"")</f>
        <v/>
      </c>
      <c r="AC1165" s="16" t="str">
        <f>IF($AA1165="","",IF($B1165="I",VLOOKUP($AA1165,#REF!,53,0),INDEX(VALUES!$B$1:$GP$1,1,$AA1165)))</f>
        <v/>
      </c>
      <c r="AD1165" s="13"/>
      <c r="AE1165" s="13"/>
      <c r="AF1165" s="13"/>
      <c r="AG1165" s="13"/>
      <c r="AH1165" s="13"/>
    </row>
    <row r="1166" spans="1:34" s="276" customFormat="1" hidden="1" outlineLevel="1">
      <c r="A1166" s="263"/>
      <c r="B1166" s="264" t="str">
        <f t="shared" si="88"/>
        <v/>
      </c>
      <c r="C1166" s="265">
        <f t="shared" si="90"/>
        <v>1165</v>
      </c>
      <c r="D1166" s="266"/>
      <c r="E1166" s="266"/>
      <c r="F1166" s="305"/>
      <c r="G1166" s="188"/>
      <c r="H1166" s="266"/>
      <c r="I1166" s="266" t="s">
        <v>9</v>
      </c>
      <c r="J1166" s="266"/>
      <c r="K1166" s="278" t="s">
        <v>20</v>
      </c>
      <c r="L1166" s="278" t="s">
        <v>23</v>
      </c>
      <c r="M1166" s="278"/>
      <c r="N1166" s="278" t="s">
        <v>2423</v>
      </c>
      <c r="O1166" s="278" t="s">
        <v>298</v>
      </c>
      <c r="P1166" s="284" t="s">
        <v>298</v>
      </c>
      <c r="Q1166" s="279" t="s">
        <v>9</v>
      </c>
      <c r="R1166" s="279" t="s">
        <v>105</v>
      </c>
      <c r="S1166" s="279" t="s">
        <v>114</v>
      </c>
      <c r="T1166" s="278" t="s">
        <v>298</v>
      </c>
      <c r="U1166" s="278" t="s">
        <v>298</v>
      </c>
      <c r="V1166" s="278" t="s">
        <v>2423</v>
      </c>
      <c r="W1166" s="272" t="str">
        <f>IF(IFERROR(VLOOKUP($M1166,'IMPORT GS-Tür OL FL 2S2 20'!$H$2:$H$847,1,0),"-")="-","","GS")</f>
        <v/>
      </c>
      <c r="X1166" s="272" t="str">
        <f t="shared" si="91"/>
        <v/>
      </c>
      <c r="Y1166" s="278" t="s">
        <v>2424</v>
      </c>
      <c r="Z1166" s="273" t="str">
        <f>IF(OR($M1166="",NOT($O1166="{array}")),"",IFERROR(MATCH(PARAMETERS!$M1166,DEFAULT!$B$5:$CI$5,0),""))</f>
        <v/>
      </c>
      <c r="AA1166" s="55" t="str">
        <f t="shared" si="87"/>
        <v/>
      </c>
      <c r="AB1166" s="62" t="str">
        <f>IF(AND(OR($A1166="G",$A1166="P"),NOT($O1166="{array}")),IF(VLOOKUP($K1166,base!$B$2:$D$20,3,0)="S",IF(OR($O1166="",ISTEXT($O1166)),"","STRING!"),IF(VLOOKUP($K1166,base!$B$2:$D$20,3,0)="","",IF(ISTEXT($O1166),"NUMERIC!",""))),"")</f>
        <v/>
      </c>
      <c r="AC1166" s="16" t="str">
        <f>IF($AA1166="","",IF($B1166="I",VLOOKUP($AA1166,#REF!,53,0),INDEX(VALUES!$B$1:$GP$1,1,$AA1166)))</f>
        <v/>
      </c>
      <c r="AD1166" s="13"/>
      <c r="AE1166" s="13"/>
      <c r="AF1166" s="13"/>
      <c r="AG1166" s="13"/>
      <c r="AH1166" s="13"/>
    </row>
    <row r="1167" spans="1:34" s="276" customFormat="1" hidden="1" outlineLevel="1">
      <c r="A1167" s="263"/>
      <c r="B1167" s="264" t="str">
        <f t="shared" si="88"/>
        <v/>
      </c>
      <c r="C1167" s="265">
        <f t="shared" si="90"/>
        <v>1166</v>
      </c>
      <c r="D1167" s="266"/>
      <c r="E1167" s="266"/>
      <c r="F1167" s="305"/>
      <c r="G1167" s="188"/>
      <c r="H1167" s="266"/>
      <c r="I1167" s="266" t="s">
        <v>9</v>
      </c>
      <c r="J1167" s="266"/>
      <c r="K1167" s="278" t="s">
        <v>20</v>
      </c>
      <c r="L1167" s="278" t="s">
        <v>23</v>
      </c>
      <c r="M1167" s="278"/>
      <c r="N1167" s="278" t="s">
        <v>2425</v>
      </c>
      <c r="O1167" s="278" t="s">
        <v>298</v>
      </c>
      <c r="P1167" s="284" t="s">
        <v>298</v>
      </c>
      <c r="Q1167" s="279" t="s">
        <v>9</v>
      </c>
      <c r="R1167" s="279" t="s">
        <v>105</v>
      </c>
      <c r="S1167" s="279" t="s">
        <v>114</v>
      </c>
      <c r="T1167" s="278" t="s">
        <v>298</v>
      </c>
      <c r="U1167" s="278" t="s">
        <v>298</v>
      </c>
      <c r="V1167" s="278" t="s">
        <v>2425</v>
      </c>
      <c r="W1167" s="272" t="str">
        <f>IF(IFERROR(VLOOKUP($M1167,'IMPORT GS-Tür OL FL 2S2 20'!$H$2:$H$847,1,0),"-")="-","","GS")</f>
        <v/>
      </c>
      <c r="X1167" s="272" t="str">
        <f t="shared" si="91"/>
        <v/>
      </c>
      <c r="Y1167" s="278" t="s">
        <v>2426</v>
      </c>
      <c r="Z1167" s="273" t="str">
        <f>IF(OR($M1167="",NOT($O1167="{array}")),"",IFERROR(MATCH(PARAMETERS!$M1167,DEFAULT!$B$5:$CI$5,0),""))</f>
        <v/>
      </c>
      <c r="AA1167" s="55" t="str">
        <f t="shared" si="87"/>
        <v/>
      </c>
      <c r="AB1167" s="62" t="str">
        <f>IF(AND(OR($A1167="G",$A1167="P"),NOT($O1167="{array}")),IF(VLOOKUP($K1167,base!$B$2:$D$20,3,0)="S",IF(OR($O1167="",ISTEXT($O1167)),"","STRING!"),IF(VLOOKUP($K1167,base!$B$2:$D$20,3,0)="","",IF(ISTEXT($O1167),"NUMERIC!",""))),"")</f>
        <v/>
      </c>
      <c r="AC1167" s="16" t="str">
        <f>IF($AA1167="","",IF($B1167="I",VLOOKUP($AA1167,#REF!,53,0),INDEX(VALUES!$B$1:$GP$1,1,$AA1167)))</f>
        <v/>
      </c>
      <c r="AD1167" s="13"/>
      <c r="AE1167" s="13"/>
      <c r="AF1167" s="13"/>
      <c r="AG1167" s="13"/>
      <c r="AH1167" s="13"/>
    </row>
    <row r="1168" spans="1:34" s="276" customFormat="1" hidden="1" outlineLevel="1">
      <c r="A1168" s="263"/>
      <c r="B1168" s="264" t="str">
        <f t="shared" si="88"/>
        <v/>
      </c>
      <c r="C1168" s="265">
        <f t="shared" si="90"/>
        <v>1167</v>
      </c>
      <c r="D1168" s="266"/>
      <c r="E1168" s="266"/>
      <c r="F1168" s="305"/>
      <c r="G1168" s="188"/>
      <c r="H1168" s="266"/>
      <c r="I1168" s="266" t="s">
        <v>9</v>
      </c>
      <c r="J1168" s="266"/>
      <c r="K1168" s="278" t="s">
        <v>49</v>
      </c>
      <c r="L1168" s="278" t="s">
        <v>23</v>
      </c>
      <c r="M1168" s="278"/>
      <c r="N1168" s="278" t="s">
        <v>2427</v>
      </c>
      <c r="O1168" s="278" t="s">
        <v>298</v>
      </c>
      <c r="P1168" s="284" t="s">
        <v>298</v>
      </c>
      <c r="Q1168" s="279" t="s">
        <v>9</v>
      </c>
      <c r="R1168" s="279" t="s">
        <v>105</v>
      </c>
      <c r="S1168" s="279" t="s">
        <v>114</v>
      </c>
      <c r="T1168" s="278" t="s">
        <v>298</v>
      </c>
      <c r="U1168" s="278" t="s">
        <v>298</v>
      </c>
      <c r="V1168" s="278" t="s">
        <v>2427</v>
      </c>
      <c r="W1168" s="272" t="str">
        <f>IF(IFERROR(VLOOKUP($M1168,'IMPORT GS-Tür OL FL 2S2 20'!$H$2:$H$847,1,0),"-")="-","","GS")</f>
        <v/>
      </c>
      <c r="X1168" s="272" t="str">
        <f t="shared" si="91"/>
        <v/>
      </c>
      <c r="Y1168" s="278" t="s">
        <v>2428</v>
      </c>
      <c r="Z1168" s="273" t="str">
        <f>IF(OR($M1168="",NOT($O1168="{array}")),"",IFERROR(MATCH(PARAMETERS!$M1168,DEFAULT!$B$5:$CI$5,0),""))</f>
        <v/>
      </c>
      <c r="AA1168" s="55" t="str">
        <f t="shared" si="87"/>
        <v/>
      </c>
      <c r="AB1168" s="62" t="str">
        <f>IF(AND(OR($A1168="G",$A1168="P"),NOT($O1168="{array}")),IF(VLOOKUP($K1168,base!$B$2:$D$20,3,0)="S",IF(OR($O1168="",ISTEXT($O1168)),"","STRING!"),IF(VLOOKUP($K1168,base!$B$2:$D$20,3,0)="","",IF(ISTEXT($O1168),"NUMERIC!",""))),"")</f>
        <v/>
      </c>
      <c r="AC1168" s="16" t="str">
        <f>IF($AA1168="","",IF($B1168="I",VLOOKUP($AA1168,#REF!,53,0),INDEX(VALUES!$B$1:$GP$1,1,$AA1168)))</f>
        <v/>
      </c>
      <c r="AD1168" s="13"/>
      <c r="AE1168" s="13"/>
      <c r="AF1168" s="13"/>
      <c r="AG1168" s="13"/>
      <c r="AH1168" s="13"/>
    </row>
    <row r="1169" spans="1:34" s="276" customFormat="1" hidden="1" outlineLevel="1">
      <c r="A1169" s="263"/>
      <c r="B1169" s="264" t="str">
        <f t="shared" si="88"/>
        <v/>
      </c>
      <c r="C1169" s="265">
        <f t="shared" si="90"/>
        <v>1168</v>
      </c>
      <c r="D1169" s="266"/>
      <c r="E1169" s="266"/>
      <c r="F1169" s="305"/>
      <c r="G1169" s="188"/>
      <c r="H1169" s="266"/>
      <c r="I1169" s="266" t="s">
        <v>9</v>
      </c>
      <c r="J1169" s="266"/>
      <c r="K1169" s="278" t="s">
        <v>20</v>
      </c>
      <c r="L1169" s="278" t="s">
        <v>23</v>
      </c>
      <c r="M1169" s="278"/>
      <c r="N1169" s="278" t="s">
        <v>2429</v>
      </c>
      <c r="O1169" s="278" t="s">
        <v>298</v>
      </c>
      <c r="P1169" s="284" t="s">
        <v>298</v>
      </c>
      <c r="Q1169" s="279" t="s">
        <v>9</v>
      </c>
      <c r="R1169" s="279" t="s">
        <v>105</v>
      </c>
      <c r="S1169" s="279" t="s">
        <v>114</v>
      </c>
      <c r="T1169" s="278" t="s">
        <v>298</v>
      </c>
      <c r="U1169" s="278" t="s">
        <v>298</v>
      </c>
      <c r="V1169" s="278" t="s">
        <v>2429</v>
      </c>
      <c r="W1169" s="272" t="str">
        <f>IF(IFERROR(VLOOKUP($M1169,'IMPORT GS-Tür OL FL 2S2 20'!$H$2:$H$847,1,0),"-")="-","","GS")</f>
        <v/>
      </c>
      <c r="X1169" s="272" t="str">
        <f t="shared" si="91"/>
        <v/>
      </c>
      <c r="Y1169" s="278" t="s">
        <v>2430</v>
      </c>
      <c r="Z1169" s="273" t="str">
        <f>IF(OR($M1169="",NOT($O1169="{array}")),"",IFERROR(MATCH(PARAMETERS!$M1169,DEFAULT!$B$5:$CI$5,0),""))</f>
        <v/>
      </c>
      <c r="AA1169" s="55" t="str">
        <f t="shared" si="87"/>
        <v/>
      </c>
      <c r="AB1169" s="62" t="str">
        <f>IF(AND(OR($A1169="G",$A1169="P"),NOT($O1169="{array}")),IF(VLOOKUP($K1169,base!$B$2:$D$20,3,0)="S",IF(OR($O1169="",ISTEXT($O1169)),"","STRING!"),IF(VLOOKUP($K1169,base!$B$2:$D$20,3,0)="","",IF(ISTEXT($O1169),"NUMERIC!",""))),"")</f>
        <v/>
      </c>
      <c r="AC1169" s="16" t="str">
        <f>IF($AA1169="","",IF($B1169="I",VLOOKUP($AA1169,#REF!,53,0),INDEX(VALUES!$B$1:$GP$1,1,$AA1169)))</f>
        <v/>
      </c>
      <c r="AD1169" s="13"/>
      <c r="AE1169" s="13"/>
      <c r="AF1169" s="13"/>
      <c r="AG1169" s="13"/>
      <c r="AH1169" s="13"/>
    </row>
    <row r="1170" spans="1:34" s="276" customFormat="1" hidden="1" outlineLevel="1">
      <c r="A1170" s="263"/>
      <c r="B1170" s="264" t="str">
        <f t="shared" si="88"/>
        <v/>
      </c>
      <c r="C1170" s="265">
        <f t="shared" si="90"/>
        <v>1169</v>
      </c>
      <c r="D1170" s="266"/>
      <c r="E1170" s="266"/>
      <c r="F1170" s="305"/>
      <c r="G1170" s="188"/>
      <c r="H1170" s="266"/>
      <c r="I1170" s="266" t="s">
        <v>9</v>
      </c>
      <c r="J1170" s="266"/>
      <c r="K1170" s="278" t="s">
        <v>49</v>
      </c>
      <c r="L1170" s="278" t="s">
        <v>23</v>
      </c>
      <c r="M1170" s="278"/>
      <c r="N1170" s="278" t="s">
        <v>2431</v>
      </c>
      <c r="O1170" s="278" t="s">
        <v>298</v>
      </c>
      <c r="P1170" s="284" t="s">
        <v>298</v>
      </c>
      <c r="Q1170" s="279" t="s">
        <v>9</v>
      </c>
      <c r="R1170" s="279" t="s">
        <v>105</v>
      </c>
      <c r="S1170" s="279" t="s">
        <v>114</v>
      </c>
      <c r="T1170" s="278" t="s">
        <v>298</v>
      </c>
      <c r="U1170" s="278" t="s">
        <v>298</v>
      </c>
      <c r="V1170" s="278" t="s">
        <v>2431</v>
      </c>
      <c r="W1170" s="272" t="str">
        <f>IF(IFERROR(VLOOKUP($M1170,'IMPORT GS-Tür OL FL 2S2 20'!$H$2:$H$847,1,0),"-")="-","","GS")</f>
        <v/>
      </c>
      <c r="X1170" s="272" t="str">
        <f t="shared" si="91"/>
        <v/>
      </c>
      <c r="Y1170" s="278" t="s">
        <v>2432</v>
      </c>
      <c r="Z1170" s="273" t="str">
        <f>IF(OR($M1170="",NOT($O1170="{array}")),"",IFERROR(MATCH(PARAMETERS!$M1170,DEFAULT!$B$5:$CI$5,0),""))</f>
        <v/>
      </c>
      <c r="AA1170" s="55" t="str">
        <f t="shared" si="87"/>
        <v/>
      </c>
      <c r="AB1170" s="62" t="str">
        <f>IF(AND(OR($A1170="G",$A1170="P"),NOT($O1170="{array}")),IF(VLOOKUP($K1170,base!$B$2:$D$20,3,0)="S",IF(OR($O1170="",ISTEXT($O1170)),"","STRING!"),IF(VLOOKUP($K1170,base!$B$2:$D$20,3,0)="","",IF(ISTEXT($O1170),"NUMERIC!",""))),"")</f>
        <v/>
      </c>
      <c r="AC1170" s="16" t="str">
        <f>IF($AA1170="","",IF($B1170="I",VLOOKUP($AA1170,#REF!,53,0),INDEX(VALUES!$B$1:$GP$1,1,$AA1170)))</f>
        <v/>
      </c>
      <c r="AD1170" s="13"/>
      <c r="AE1170" s="13"/>
      <c r="AF1170" s="13"/>
      <c r="AG1170" s="13"/>
      <c r="AH1170" s="13"/>
    </row>
    <row r="1171" spans="1:34" s="276" customFormat="1" hidden="1" outlineLevel="1">
      <c r="A1171" s="263"/>
      <c r="B1171" s="264" t="str">
        <f t="shared" si="88"/>
        <v/>
      </c>
      <c r="C1171" s="265">
        <f t="shared" si="90"/>
        <v>1170</v>
      </c>
      <c r="D1171" s="266"/>
      <c r="E1171" s="266"/>
      <c r="F1171" s="305"/>
      <c r="G1171" s="188"/>
      <c r="H1171" s="266"/>
      <c r="I1171" s="266" t="s">
        <v>9</v>
      </c>
      <c r="J1171" s="266"/>
      <c r="K1171" s="278" t="s">
        <v>20</v>
      </c>
      <c r="L1171" s="278" t="s">
        <v>23</v>
      </c>
      <c r="M1171" s="278"/>
      <c r="N1171" s="278" t="s">
        <v>2433</v>
      </c>
      <c r="O1171" s="278" t="s">
        <v>298</v>
      </c>
      <c r="P1171" s="284" t="s">
        <v>298</v>
      </c>
      <c r="Q1171" s="279" t="s">
        <v>9</v>
      </c>
      <c r="R1171" s="279" t="s">
        <v>105</v>
      </c>
      <c r="S1171" s="279" t="s">
        <v>114</v>
      </c>
      <c r="T1171" s="278" t="s">
        <v>298</v>
      </c>
      <c r="U1171" s="278" t="s">
        <v>298</v>
      </c>
      <c r="V1171" s="278" t="s">
        <v>2433</v>
      </c>
      <c r="W1171" s="272" t="str">
        <f>IF(IFERROR(VLOOKUP($M1171,'IMPORT GS-Tür OL FL 2S2 20'!$H$2:$H$847,1,0),"-")="-","","GS")</f>
        <v/>
      </c>
      <c r="X1171" s="272" t="str">
        <f t="shared" si="91"/>
        <v/>
      </c>
      <c r="Y1171" s="278" t="s">
        <v>2434</v>
      </c>
      <c r="Z1171" s="273" t="str">
        <f>IF(OR($M1171="",NOT($O1171="{array}")),"",IFERROR(MATCH(PARAMETERS!$M1171,DEFAULT!$B$5:$CI$5,0),""))</f>
        <v/>
      </c>
      <c r="AA1171" s="55" t="str">
        <f t="shared" si="87"/>
        <v/>
      </c>
      <c r="AB1171" s="62" t="str">
        <f>IF(AND(OR($A1171="G",$A1171="P"),NOT($O1171="{array}")),IF(VLOOKUP($K1171,base!$B$2:$D$20,3,0)="S",IF(OR($O1171="",ISTEXT($O1171)),"","STRING!"),IF(VLOOKUP($K1171,base!$B$2:$D$20,3,0)="","",IF(ISTEXT($O1171),"NUMERIC!",""))),"")</f>
        <v/>
      </c>
      <c r="AC1171" s="16" t="str">
        <f>IF($AA1171="","",IF($B1171="I",VLOOKUP($AA1171,#REF!,53,0),INDEX(VALUES!$B$1:$GP$1,1,$AA1171)))</f>
        <v/>
      </c>
      <c r="AD1171" s="13"/>
      <c r="AE1171" s="13"/>
      <c r="AF1171" s="13"/>
      <c r="AG1171" s="13"/>
      <c r="AH1171" s="13"/>
    </row>
    <row r="1172" spans="1:34" s="276" customFormat="1" hidden="1" outlineLevel="1">
      <c r="A1172" s="263"/>
      <c r="B1172" s="264" t="str">
        <f t="shared" si="88"/>
        <v/>
      </c>
      <c r="C1172" s="265">
        <f t="shared" si="90"/>
        <v>1171</v>
      </c>
      <c r="D1172" s="266"/>
      <c r="E1172" s="266"/>
      <c r="F1172" s="305"/>
      <c r="G1172" s="188"/>
      <c r="H1172" s="266"/>
      <c r="I1172" s="266" t="s">
        <v>9</v>
      </c>
      <c r="J1172" s="266"/>
      <c r="K1172" s="278" t="s">
        <v>20</v>
      </c>
      <c r="L1172" s="278" t="s">
        <v>23</v>
      </c>
      <c r="M1172" s="278"/>
      <c r="N1172" s="278" t="s">
        <v>2435</v>
      </c>
      <c r="O1172" s="278" t="s">
        <v>298</v>
      </c>
      <c r="P1172" s="284" t="s">
        <v>298</v>
      </c>
      <c r="Q1172" s="279" t="s">
        <v>9</v>
      </c>
      <c r="R1172" s="279" t="s">
        <v>105</v>
      </c>
      <c r="S1172" s="279" t="s">
        <v>114</v>
      </c>
      <c r="T1172" s="278" t="s">
        <v>298</v>
      </c>
      <c r="U1172" s="278" t="s">
        <v>298</v>
      </c>
      <c r="V1172" s="278" t="s">
        <v>2435</v>
      </c>
      <c r="W1172" s="272" t="str">
        <f>IF(IFERROR(VLOOKUP($M1172,'IMPORT GS-Tür OL FL 2S2 20'!$H$2:$H$847,1,0),"-")="-","","GS")</f>
        <v/>
      </c>
      <c r="X1172" s="272" t="str">
        <f t="shared" si="91"/>
        <v/>
      </c>
      <c r="Y1172" s="278" t="s">
        <v>2436</v>
      </c>
      <c r="Z1172" s="273" t="str">
        <f>IF(OR($M1172="",NOT($O1172="{array}")),"",IFERROR(MATCH(PARAMETERS!$M1172,DEFAULT!$B$5:$CI$5,0),""))</f>
        <v/>
      </c>
      <c r="AA1172" s="55" t="str">
        <f t="shared" si="87"/>
        <v/>
      </c>
      <c r="AB1172" s="62" t="str">
        <f>IF(AND(OR($A1172="G",$A1172="P"),NOT($O1172="{array}")),IF(VLOOKUP($K1172,base!$B$2:$D$20,3,0)="S",IF(OR($O1172="",ISTEXT($O1172)),"","STRING!"),IF(VLOOKUP($K1172,base!$B$2:$D$20,3,0)="","",IF(ISTEXT($O1172),"NUMERIC!",""))),"")</f>
        <v/>
      </c>
      <c r="AC1172" s="16" t="str">
        <f>IF($AA1172="","",IF($B1172="I",VLOOKUP($AA1172,#REF!,53,0),INDEX(VALUES!$B$1:$GP$1,1,$AA1172)))</f>
        <v/>
      </c>
      <c r="AD1172" s="13"/>
      <c r="AE1172" s="13"/>
      <c r="AF1172" s="13"/>
      <c r="AG1172" s="13"/>
      <c r="AH1172" s="13"/>
    </row>
    <row r="1173" spans="1:34" s="276" customFormat="1" hidden="1" outlineLevel="1">
      <c r="A1173" s="263"/>
      <c r="B1173" s="264" t="str">
        <f t="shared" si="88"/>
        <v/>
      </c>
      <c r="C1173" s="265">
        <f t="shared" si="90"/>
        <v>1172</v>
      </c>
      <c r="D1173" s="266"/>
      <c r="E1173" s="266"/>
      <c r="F1173" s="305"/>
      <c r="G1173" s="188"/>
      <c r="H1173" s="266"/>
      <c r="I1173" s="266" t="s">
        <v>9</v>
      </c>
      <c r="J1173" s="266"/>
      <c r="K1173" s="278" t="s">
        <v>20</v>
      </c>
      <c r="L1173" s="278" t="s">
        <v>23</v>
      </c>
      <c r="M1173" s="278"/>
      <c r="N1173" s="278" t="s">
        <v>2437</v>
      </c>
      <c r="O1173" s="278" t="s">
        <v>298</v>
      </c>
      <c r="P1173" s="284" t="s">
        <v>298</v>
      </c>
      <c r="Q1173" s="279" t="s">
        <v>9</v>
      </c>
      <c r="R1173" s="279" t="s">
        <v>105</v>
      </c>
      <c r="S1173" s="279" t="s">
        <v>114</v>
      </c>
      <c r="T1173" s="278" t="s">
        <v>298</v>
      </c>
      <c r="U1173" s="278" t="s">
        <v>298</v>
      </c>
      <c r="V1173" s="278" t="s">
        <v>2437</v>
      </c>
      <c r="W1173" s="272" t="str">
        <f>IF(IFERROR(VLOOKUP($M1173,'IMPORT GS-Tür OL FL 2S2 20'!$H$2:$H$847,1,0),"-")="-","","GS")</f>
        <v/>
      </c>
      <c r="X1173" s="272" t="str">
        <f t="shared" si="91"/>
        <v/>
      </c>
      <c r="Y1173" s="278" t="s">
        <v>2438</v>
      </c>
      <c r="Z1173" s="273" t="str">
        <f>IF(OR($M1173="",NOT($O1173="{array}")),"",IFERROR(MATCH(PARAMETERS!$M1173,DEFAULT!$B$5:$CI$5,0),""))</f>
        <v/>
      </c>
      <c r="AA1173" s="55" t="str">
        <f t="shared" ref="AA1173:AA1178" si="92">IF($M1173="","",IFERROR(MATCH($M1173,VALUESnames,0),""))</f>
        <v/>
      </c>
      <c r="AB1173" s="62" t="str">
        <f>IF(AND(OR($A1173="G",$A1173="P"),NOT($O1173="{array}")),IF(VLOOKUP($K1173,base!$B$2:$D$20,3,0)="S",IF(OR($O1173="",ISTEXT($O1173)),"","STRING!"),IF(VLOOKUP($K1173,base!$B$2:$D$20,3,0)="","",IF(ISTEXT($O1173),"NUMERIC!",""))),"")</f>
        <v/>
      </c>
      <c r="AC1173" s="16" t="str">
        <f>IF($AA1173="","",IF($B1173="I",VLOOKUP($AA1173,#REF!,53,0),INDEX(VALUES!$B$1:$GP$1,1,$AA1173)))</f>
        <v/>
      </c>
      <c r="AD1173" s="13"/>
      <c r="AE1173" s="13"/>
      <c r="AF1173" s="13"/>
      <c r="AG1173" s="13"/>
      <c r="AH1173" s="13"/>
    </row>
    <row r="1174" spans="1:34" s="276" customFormat="1" hidden="1" outlineLevel="1">
      <c r="A1174" s="263"/>
      <c r="B1174" s="264" t="str">
        <f t="shared" si="88"/>
        <v/>
      </c>
      <c r="C1174" s="265">
        <f t="shared" si="90"/>
        <v>1173</v>
      </c>
      <c r="D1174" s="266"/>
      <c r="E1174" s="266"/>
      <c r="F1174" s="305"/>
      <c r="G1174" s="188"/>
      <c r="H1174" s="266"/>
      <c r="I1174" s="266" t="s">
        <v>9</v>
      </c>
      <c r="J1174" s="266"/>
      <c r="K1174" s="278" t="s">
        <v>20</v>
      </c>
      <c r="L1174" s="278" t="s">
        <v>23</v>
      </c>
      <c r="M1174" s="278"/>
      <c r="N1174" s="278" t="s">
        <v>2439</v>
      </c>
      <c r="O1174" s="278" t="s">
        <v>298</v>
      </c>
      <c r="P1174" s="284" t="s">
        <v>298</v>
      </c>
      <c r="Q1174" s="279" t="s">
        <v>9</v>
      </c>
      <c r="R1174" s="279" t="s">
        <v>105</v>
      </c>
      <c r="S1174" s="279" t="s">
        <v>114</v>
      </c>
      <c r="T1174" s="278" t="s">
        <v>298</v>
      </c>
      <c r="U1174" s="278" t="s">
        <v>298</v>
      </c>
      <c r="V1174" s="278" t="s">
        <v>2439</v>
      </c>
      <c r="W1174" s="272" t="str">
        <f>IF(IFERROR(VLOOKUP($M1174,'IMPORT GS-Tür OL FL 2S2 20'!$H$2:$H$847,1,0),"-")="-","","GS")</f>
        <v/>
      </c>
      <c r="X1174" s="272" t="str">
        <f t="shared" si="91"/>
        <v/>
      </c>
      <c r="Y1174" s="278" t="s">
        <v>2440</v>
      </c>
      <c r="Z1174" s="273" t="str">
        <f>IF(OR($M1174="",NOT($O1174="{array}")),"",IFERROR(MATCH(PARAMETERS!$M1174,DEFAULT!$B$5:$CI$5,0),""))</f>
        <v/>
      </c>
      <c r="AA1174" s="55" t="str">
        <f t="shared" si="92"/>
        <v/>
      </c>
      <c r="AB1174" s="62" t="str">
        <f>IF(AND(OR($A1174="G",$A1174="P"),NOT($O1174="{array}")),IF(VLOOKUP($K1174,base!$B$2:$D$20,3,0)="S",IF(OR($O1174="",ISTEXT($O1174)),"","STRING!"),IF(VLOOKUP($K1174,base!$B$2:$D$20,3,0)="","",IF(ISTEXT($O1174),"NUMERIC!",""))),"")</f>
        <v/>
      </c>
      <c r="AC1174" s="16" t="str">
        <f>IF($AA1174="","",IF($B1174="I",VLOOKUP($AA1174,#REF!,53,0),INDEX(VALUES!$B$1:$GP$1,1,$AA1174)))</f>
        <v/>
      </c>
      <c r="AD1174" s="13"/>
      <c r="AE1174" s="13"/>
      <c r="AF1174" s="13"/>
      <c r="AG1174" s="13"/>
      <c r="AH1174" s="13"/>
    </row>
    <row r="1175" spans="1:34" s="276" customFormat="1" hidden="1" outlineLevel="1">
      <c r="A1175" s="263"/>
      <c r="B1175" s="264" t="str">
        <f t="shared" si="88"/>
        <v/>
      </c>
      <c r="C1175" s="265">
        <f t="shared" si="90"/>
        <v>1174</v>
      </c>
      <c r="D1175" s="266"/>
      <c r="E1175" s="266"/>
      <c r="F1175" s="305"/>
      <c r="G1175" s="188"/>
      <c r="H1175" s="266"/>
      <c r="I1175" s="266" t="s">
        <v>9</v>
      </c>
      <c r="J1175" s="266"/>
      <c r="K1175" s="278" t="s">
        <v>20</v>
      </c>
      <c r="L1175" s="278" t="s">
        <v>23</v>
      </c>
      <c r="M1175" s="278"/>
      <c r="N1175" s="278" t="s">
        <v>2441</v>
      </c>
      <c r="O1175" s="278" t="s">
        <v>298</v>
      </c>
      <c r="P1175" s="284" t="s">
        <v>298</v>
      </c>
      <c r="Q1175" s="279" t="s">
        <v>9</v>
      </c>
      <c r="R1175" s="279" t="s">
        <v>105</v>
      </c>
      <c r="S1175" s="279" t="s">
        <v>114</v>
      </c>
      <c r="T1175" s="278" t="s">
        <v>298</v>
      </c>
      <c r="U1175" s="278" t="s">
        <v>298</v>
      </c>
      <c r="V1175" s="278" t="s">
        <v>2441</v>
      </c>
      <c r="W1175" s="272" t="str">
        <f>IF(IFERROR(VLOOKUP($M1175,'IMPORT GS-Tür OL FL 2S2 20'!$H$2:$H$847,1,0),"-")="-","","GS")</f>
        <v/>
      </c>
      <c r="X1175" s="272" t="str">
        <f t="shared" si="91"/>
        <v/>
      </c>
      <c r="Y1175" s="278" t="s">
        <v>2442</v>
      </c>
      <c r="Z1175" s="273" t="str">
        <f>IF(OR($M1175="",NOT($O1175="{array}")),"",IFERROR(MATCH(PARAMETERS!$M1175,DEFAULT!$B$5:$CI$5,0),""))</f>
        <v/>
      </c>
      <c r="AA1175" s="55" t="str">
        <f t="shared" si="92"/>
        <v/>
      </c>
      <c r="AB1175" s="62" t="str">
        <f>IF(AND(OR($A1175="G",$A1175="P"),NOT($O1175="{array}")),IF(VLOOKUP($K1175,base!$B$2:$D$20,3,0)="S",IF(OR($O1175="",ISTEXT($O1175)),"","STRING!"),IF(VLOOKUP($K1175,base!$B$2:$D$20,3,0)="","",IF(ISTEXT($O1175),"NUMERIC!",""))),"")</f>
        <v/>
      </c>
      <c r="AC1175" s="16" t="str">
        <f>IF($AA1175="","",IF($B1175="I",VLOOKUP($AA1175,#REF!,53,0),INDEX(VALUES!$B$1:$GP$1,1,$AA1175)))</f>
        <v/>
      </c>
      <c r="AD1175" s="13"/>
      <c r="AE1175" s="13"/>
      <c r="AF1175" s="13"/>
      <c r="AG1175" s="13"/>
      <c r="AH1175" s="13"/>
    </row>
    <row r="1176" spans="1:34" s="276" customFormat="1" hidden="1" outlineLevel="1">
      <c r="A1176" s="263"/>
      <c r="B1176" s="264" t="str">
        <f t="shared" si="88"/>
        <v/>
      </c>
      <c r="C1176" s="265">
        <f t="shared" si="90"/>
        <v>1175</v>
      </c>
      <c r="D1176" s="266"/>
      <c r="E1176" s="266"/>
      <c r="F1176" s="305"/>
      <c r="G1176" s="188"/>
      <c r="H1176" s="266"/>
      <c r="I1176" s="266" t="s">
        <v>9</v>
      </c>
      <c r="J1176" s="266"/>
      <c r="K1176" s="278" t="s">
        <v>20</v>
      </c>
      <c r="L1176" s="278" t="s">
        <v>23</v>
      </c>
      <c r="M1176" s="278"/>
      <c r="N1176" s="278" t="s">
        <v>2443</v>
      </c>
      <c r="O1176" s="278" t="s">
        <v>298</v>
      </c>
      <c r="P1176" s="284" t="s">
        <v>298</v>
      </c>
      <c r="Q1176" s="279" t="s">
        <v>9</v>
      </c>
      <c r="R1176" s="279" t="s">
        <v>105</v>
      </c>
      <c r="S1176" s="279" t="s">
        <v>114</v>
      </c>
      <c r="T1176" s="278" t="s">
        <v>298</v>
      </c>
      <c r="U1176" s="278" t="s">
        <v>298</v>
      </c>
      <c r="V1176" s="278" t="s">
        <v>2443</v>
      </c>
      <c r="W1176" s="272" t="str">
        <f>IF(IFERROR(VLOOKUP($M1176,'IMPORT GS-Tür OL FL 2S2 20'!$H$2:$H$847,1,0),"-")="-","","GS")</f>
        <v/>
      </c>
      <c r="X1176" s="272" t="str">
        <f t="shared" si="91"/>
        <v/>
      </c>
      <c r="Y1176" s="278" t="s">
        <v>2444</v>
      </c>
      <c r="Z1176" s="273" t="str">
        <f>IF(OR($M1176="",NOT($O1176="{array}")),"",IFERROR(MATCH(PARAMETERS!$M1176,DEFAULT!$B$5:$CI$5,0),""))</f>
        <v/>
      </c>
      <c r="AA1176" s="55" t="str">
        <f t="shared" si="92"/>
        <v/>
      </c>
      <c r="AB1176" s="62" t="str">
        <f>IF(AND(OR($A1176="G",$A1176="P"),NOT($O1176="{array}")),IF(VLOOKUP($K1176,base!$B$2:$D$20,3,0)="S",IF(OR($O1176="",ISTEXT($O1176)),"","STRING!"),IF(VLOOKUP($K1176,base!$B$2:$D$20,3,0)="","",IF(ISTEXT($O1176),"NUMERIC!",""))),"")</f>
        <v/>
      </c>
      <c r="AC1176" s="16" t="str">
        <f>IF($AA1176="","",IF($B1176="I",VLOOKUP($AA1176,#REF!,53,0),INDEX(VALUES!$B$1:$GP$1,1,$AA1176)))</f>
        <v/>
      </c>
      <c r="AD1176" s="13"/>
      <c r="AE1176" s="13"/>
      <c r="AF1176" s="13"/>
      <c r="AG1176" s="13"/>
      <c r="AH1176" s="13"/>
    </row>
    <row r="1177" spans="1:34" s="276" customFormat="1" collapsed="1">
      <c r="A1177" s="263"/>
      <c r="B1177" s="264" t="str">
        <f t="shared" si="88"/>
        <v/>
      </c>
      <c r="C1177" s="265">
        <f t="shared" si="90"/>
        <v>1176</v>
      </c>
      <c r="D1177" s="266"/>
      <c r="E1177" s="266"/>
      <c r="F1177" s="305"/>
      <c r="G1177" s="188"/>
      <c r="H1177" s="266"/>
      <c r="I1177" s="266"/>
      <c r="J1177" s="266"/>
      <c r="K1177" s="294" t="s">
        <v>59</v>
      </c>
      <c r="L1177" s="294" t="s">
        <v>40</v>
      </c>
      <c r="M1177" s="295" t="s">
        <v>2445</v>
      </c>
      <c r="N1177" s="296" t="s">
        <v>2446</v>
      </c>
      <c r="O1177" s="286"/>
      <c r="Q1177" s="266"/>
      <c r="R1177" s="266" t="s">
        <v>105</v>
      </c>
      <c r="S1177" s="266"/>
      <c r="T1177" s="272"/>
      <c r="W1177" s="272" t="str">
        <f>IF(IFERROR(VLOOKUP($M1177,'IMPORT GS-Tür OL FL 2S2 20'!$H$2:$H$847,1,0),"-")="-","","GS")</f>
        <v/>
      </c>
      <c r="X1177" s="272" t="str">
        <f t="shared" si="91"/>
        <v/>
      </c>
      <c r="Z1177" s="273" t="str">
        <f>IF(OR($M1177="",NOT($O1177="{array}")),"",IFERROR(MATCH(PARAMETERS!$M1177,DEFAULT!$B$5:$CI$5,0),""))</f>
        <v/>
      </c>
      <c r="AA1177" s="55" t="str">
        <f t="shared" si="92"/>
        <v/>
      </c>
      <c r="AB1177" s="62" t="str">
        <f>IF(AND(OR($A1177="G",$A1177="P"),NOT($O1177="{array}")),IF(VLOOKUP($K1177,base!$B$2:$D$20,3,0)="S",IF(OR($O1177="",ISTEXT($O1177)),"","STRING!"),IF(VLOOKUP($K1177,base!$B$2:$D$20,3,0)="","",IF(ISTEXT($O1177),"NUMERIC!",""))),"")</f>
        <v/>
      </c>
      <c r="AC1177" s="16" t="str">
        <f>IF($AA1177="","",IF($B1177="I",VLOOKUP($AA1177,#REF!,53,0),INDEX(VALUES!$B$1:$GP$1,1,$AA1177)))</f>
        <v/>
      </c>
      <c r="AD1177" s="13"/>
      <c r="AE1177" s="13"/>
      <c r="AF1177" s="13"/>
      <c r="AG1177" s="13"/>
      <c r="AH1177" s="13"/>
    </row>
    <row r="1178" spans="1:34" s="276" customFormat="1" hidden="1" outlineLevel="1">
      <c r="A1178" s="263"/>
      <c r="B1178" s="264" t="str">
        <f t="shared" si="88"/>
        <v/>
      </c>
      <c r="C1178" s="265">
        <f t="shared" si="90"/>
        <v>1177</v>
      </c>
      <c r="D1178" s="266"/>
      <c r="E1178" s="266"/>
      <c r="F1178" s="305"/>
      <c r="G1178" s="188"/>
      <c r="H1178" s="266"/>
      <c r="I1178" s="266" t="s">
        <v>9</v>
      </c>
      <c r="J1178" s="266"/>
      <c r="K1178" s="278" t="s">
        <v>20</v>
      </c>
      <c r="L1178" s="278" t="s">
        <v>23</v>
      </c>
      <c r="M1178" s="278"/>
      <c r="N1178" s="278" t="s">
        <v>2447</v>
      </c>
      <c r="O1178" s="278" t="s">
        <v>298</v>
      </c>
      <c r="P1178" s="284" t="s">
        <v>298</v>
      </c>
      <c r="Q1178" s="279" t="s">
        <v>9</v>
      </c>
      <c r="R1178" s="279" t="s">
        <v>105</v>
      </c>
      <c r="S1178" s="279" t="s">
        <v>114</v>
      </c>
      <c r="T1178" s="278" t="s">
        <v>298</v>
      </c>
      <c r="U1178" s="278" t="s">
        <v>298</v>
      </c>
      <c r="V1178" s="278" t="s">
        <v>2447</v>
      </c>
      <c r="W1178" s="272" t="str">
        <f>IF(IFERROR(VLOOKUP($M1178,'IMPORT GS-Tür OL FL 2S2 20'!$H$2:$H$847,1,0),"-")="-","","GS")</f>
        <v/>
      </c>
      <c r="X1178" s="272" t="str">
        <f t="shared" si="91"/>
        <v/>
      </c>
      <c r="Y1178" s="278" t="s">
        <v>2448</v>
      </c>
      <c r="Z1178" s="273" t="str">
        <f>IF(OR($M1178="",NOT($O1178="{array}")),"",IFERROR(MATCH(PARAMETERS!$M1178,DEFAULT!$B$5:$CI$5,0),""))</f>
        <v/>
      </c>
      <c r="AA1178" s="272" t="str">
        <f t="shared" si="92"/>
        <v/>
      </c>
      <c r="AB1178" s="274" t="str">
        <f>IF(AND(OR($A1178="G",$A1178="P"),NOT($O1178="{array}")),IF(VLOOKUP($K1178,base!$B$2:$D$20,3,0)="S",IF(OR($O1178="",ISTEXT($O1178)),"","STRING!"),IF(VLOOKUP($K1178,base!$B$2:$D$20,3,0)="","",IF(ISTEXT($O1178),"NUMERIC!",""))),"")</f>
        <v/>
      </c>
      <c r="AC1178" s="275" t="str">
        <f>IF($AA1178="","",IF($B1178="I",VLOOKUP($AA1178,#REF!,53,0),INDEX(VALUES!$B$1:$GP$1,1,$AA1178)))</f>
        <v/>
      </c>
    </row>
    <row r="1179" spans="1:34" s="276" customFormat="1" hidden="1" outlineLevel="1">
      <c r="A1179" s="263"/>
      <c r="B1179" s="264" t="str">
        <f t="shared" si="88"/>
        <v/>
      </c>
      <c r="C1179" s="265">
        <f t="shared" si="90"/>
        <v>1178</v>
      </c>
      <c r="D1179" s="266"/>
      <c r="E1179" s="266"/>
      <c r="F1179" s="305"/>
      <c r="G1179" s="188"/>
      <c r="H1179" s="266"/>
      <c r="I1179" s="266" t="s">
        <v>9</v>
      </c>
      <c r="J1179" s="266"/>
      <c r="K1179" s="278" t="s">
        <v>20</v>
      </c>
      <c r="L1179" s="278" t="s">
        <v>23</v>
      </c>
      <c r="M1179" s="278"/>
      <c r="N1179" s="278" t="s">
        <v>2449</v>
      </c>
      <c r="O1179" s="278" t="s">
        <v>298</v>
      </c>
      <c r="P1179" s="284" t="s">
        <v>298</v>
      </c>
      <c r="Q1179" s="279" t="s">
        <v>9</v>
      </c>
      <c r="R1179" s="279" t="s">
        <v>105</v>
      </c>
      <c r="S1179" s="279" t="s">
        <v>114</v>
      </c>
      <c r="T1179" s="278" t="s">
        <v>298</v>
      </c>
      <c r="U1179" s="278" t="s">
        <v>298</v>
      </c>
      <c r="V1179" s="278" t="s">
        <v>2449</v>
      </c>
      <c r="W1179" s="272" t="str">
        <f>IF(IFERROR(VLOOKUP($M1179,'IMPORT GS-Tür OL FL 2S2 20'!$H$2:$H$847,1,0),"-")="-","","GS")</f>
        <v/>
      </c>
      <c r="X1179" s="272" t="str">
        <f t="shared" si="91"/>
        <v/>
      </c>
      <c r="Y1179" s="278" t="s">
        <v>2450</v>
      </c>
      <c r="Z1179" s="273" t="str">
        <f>IF(OR($M1179="",NOT($O1179="{array}")),"",IFERROR(MATCH(PARAMETERS!$M1179,DEFAULT!$B$5:$CI$5,0),""))</f>
        <v/>
      </c>
      <c r="AA1179" s="272" t="str">
        <f t="shared" ref="AA1179:AA1455" si="93">IF($M1179="","",IFERROR(MATCH($M1179,VALUESnames,0),""))</f>
        <v/>
      </c>
      <c r="AB1179" s="274" t="str">
        <f>IF(AND(OR($A1179="G",$A1179="P"),NOT($O1179="{array}")),IF(VLOOKUP($K1179,base!$B$2:$D$20,3,0)="S",IF(OR($O1179="",ISTEXT($O1179)),"","STRING!"),IF(VLOOKUP($K1179,base!$B$2:$D$20,3,0)="","",IF(ISTEXT($O1179),"NUMERIC!",""))),"")</f>
        <v/>
      </c>
      <c r="AC1179" s="275" t="str">
        <f>IF($AA1179="","",IF($B1179="I",VLOOKUP($AA1179,#REF!,53,0),INDEX(VALUES!$B$1:$GP$1,1,$AA1179)))</f>
        <v/>
      </c>
    </row>
    <row r="1180" spans="1:34" s="276" customFormat="1" hidden="1" outlineLevel="1">
      <c r="A1180" s="263"/>
      <c r="B1180" s="264" t="str">
        <f t="shared" si="88"/>
        <v/>
      </c>
      <c r="C1180" s="265">
        <f t="shared" si="90"/>
        <v>1179</v>
      </c>
      <c r="D1180" s="266"/>
      <c r="E1180" s="266"/>
      <c r="F1180" s="305"/>
      <c r="G1180" s="188"/>
      <c r="H1180" s="266"/>
      <c r="I1180" s="266" t="s">
        <v>9</v>
      </c>
      <c r="J1180" s="266"/>
      <c r="K1180" s="278" t="s">
        <v>20</v>
      </c>
      <c r="L1180" s="278" t="s">
        <v>23</v>
      </c>
      <c r="M1180" s="278"/>
      <c r="N1180" s="278" t="s">
        <v>2451</v>
      </c>
      <c r="O1180" s="278" t="s">
        <v>2452</v>
      </c>
      <c r="P1180" s="284" t="s">
        <v>298</v>
      </c>
      <c r="Q1180" s="279" t="s">
        <v>9</v>
      </c>
      <c r="R1180" s="279" t="s">
        <v>105</v>
      </c>
      <c r="S1180" s="279" t="s">
        <v>114</v>
      </c>
      <c r="T1180" s="278" t="s">
        <v>298</v>
      </c>
      <c r="U1180" s="278" t="s">
        <v>298</v>
      </c>
      <c r="V1180" s="278" t="s">
        <v>2451</v>
      </c>
      <c r="W1180" s="272" t="str">
        <f>IF(IFERROR(VLOOKUP($M1180,'IMPORT GS-Tür OL FL 2S2 20'!$H$2:$H$847,1,0),"-")="-","","GS")</f>
        <v/>
      </c>
      <c r="X1180" s="272" t="str">
        <f t="shared" si="91"/>
        <v/>
      </c>
      <c r="Y1180" s="278" t="s">
        <v>2453</v>
      </c>
      <c r="Z1180" s="273" t="str">
        <f>IF(OR($M1180="",NOT($O1180="{array}")),"",IFERROR(MATCH(PARAMETERS!$M1180,DEFAULT!$B$5:$CI$5,0),""))</f>
        <v/>
      </c>
      <c r="AA1180" s="272" t="str">
        <f t="shared" si="93"/>
        <v/>
      </c>
      <c r="AB1180" s="274" t="str">
        <f>IF(AND(OR($A1180="G",$A1180="P"),NOT($O1180="{array}")),IF(VLOOKUP($K1180,base!$B$2:$D$20,3,0)="S",IF(OR($O1180="",ISTEXT($O1180)),"","STRING!"),IF(VLOOKUP($K1180,base!$B$2:$D$20,3,0)="","",IF(ISTEXT($O1180),"NUMERIC!",""))),"")</f>
        <v/>
      </c>
      <c r="AC1180" s="275" t="str">
        <f>IF($AA1180="","",IF($B1180="I",VLOOKUP($AA1180,#REF!,53,0),INDEX(VALUES!$B$1:$GP$1,1,$AA1180)))</f>
        <v/>
      </c>
    </row>
    <row r="1181" spans="1:34" s="276" customFormat="1" hidden="1" outlineLevel="1">
      <c r="A1181" s="263"/>
      <c r="B1181" s="264" t="str">
        <f t="shared" si="88"/>
        <v/>
      </c>
      <c r="C1181" s="265">
        <f t="shared" si="90"/>
        <v>1180</v>
      </c>
      <c r="D1181" s="266"/>
      <c r="E1181" s="266"/>
      <c r="F1181" s="305"/>
      <c r="G1181" s="188"/>
      <c r="H1181" s="266"/>
      <c r="I1181" s="266" t="s">
        <v>9</v>
      </c>
      <c r="J1181" s="266"/>
      <c r="K1181" s="278" t="s">
        <v>49</v>
      </c>
      <c r="L1181" s="278" t="s">
        <v>23</v>
      </c>
      <c r="M1181" s="278"/>
      <c r="N1181" s="278" t="s">
        <v>2454</v>
      </c>
      <c r="O1181" s="278" t="s">
        <v>298</v>
      </c>
      <c r="P1181" s="284" t="s">
        <v>298</v>
      </c>
      <c r="Q1181" s="279" t="s">
        <v>9</v>
      </c>
      <c r="R1181" s="279" t="s">
        <v>105</v>
      </c>
      <c r="S1181" s="279" t="s">
        <v>114</v>
      </c>
      <c r="T1181" s="278" t="s">
        <v>298</v>
      </c>
      <c r="U1181" s="278" t="s">
        <v>298</v>
      </c>
      <c r="V1181" s="278" t="s">
        <v>2454</v>
      </c>
      <c r="W1181" s="272" t="str">
        <f>IF(IFERROR(VLOOKUP($M1181,'IMPORT GS-Tür OL FL 2S2 20'!$H$2:$H$847,1,0),"-")="-","","GS")</f>
        <v/>
      </c>
      <c r="X1181" s="272" t="str">
        <f t="shared" si="91"/>
        <v/>
      </c>
      <c r="Y1181" s="278" t="s">
        <v>2455</v>
      </c>
      <c r="Z1181" s="273" t="str">
        <f>IF(OR($M1181="",NOT($O1181="{array}")),"",IFERROR(MATCH(PARAMETERS!$M1181,DEFAULT!$B$5:$CI$5,0),""))</f>
        <v/>
      </c>
      <c r="AA1181" s="272" t="str">
        <f t="shared" si="93"/>
        <v/>
      </c>
      <c r="AB1181" s="274" t="str">
        <f>IF(AND(OR($A1181="G",$A1181="P"),NOT($O1181="{array}")),IF(VLOOKUP($K1181,base!$B$2:$D$20,3,0)="S",IF(OR($O1181="",ISTEXT($O1181)),"","STRING!"),IF(VLOOKUP($K1181,base!$B$2:$D$20,3,0)="","",IF(ISTEXT($O1181),"NUMERIC!",""))),"")</f>
        <v/>
      </c>
      <c r="AC1181" s="275" t="str">
        <f>IF($AA1181="","",IF($B1181="I",VLOOKUP($AA1181,#REF!,53,0),INDEX(VALUES!$B$1:$GP$1,1,$AA1181)))</f>
        <v/>
      </c>
    </row>
    <row r="1182" spans="1:34" s="276" customFormat="1" hidden="1" outlineLevel="1">
      <c r="A1182" s="263"/>
      <c r="B1182" s="264" t="str">
        <f t="shared" si="88"/>
        <v/>
      </c>
      <c r="C1182" s="265">
        <f t="shared" si="90"/>
        <v>1181</v>
      </c>
      <c r="D1182" s="266"/>
      <c r="E1182" s="266"/>
      <c r="F1182" s="305"/>
      <c r="G1182" s="188"/>
      <c r="H1182" s="266"/>
      <c r="I1182" s="266" t="s">
        <v>9</v>
      </c>
      <c r="J1182" s="266"/>
      <c r="K1182" s="278" t="s">
        <v>102</v>
      </c>
      <c r="L1182" s="278" t="s">
        <v>23</v>
      </c>
      <c r="M1182" s="278"/>
      <c r="N1182" s="278" t="s">
        <v>2456</v>
      </c>
      <c r="O1182" s="278" t="s">
        <v>2457</v>
      </c>
      <c r="P1182" s="284" t="s">
        <v>298</v>
      </c>
      <c r="Q1182" s="279" t="s">
        <v>9</v>
      </c>
      <c r="R1182" s="279" t="s">
        <v>105</v>
      </c>
      <c r="S1182" s="279" t="s">
        <v>114</v>
      </c>
      <c r="T1182" s="278" t="s">
        <v>298</v>
      </c>
      <c r="U1182" s="278" t="s">
        <v>298</v>
      </c>
      <c r="V1182" s="278" t="s">
        <v>2456</v>
      </c>
      <c r="W1182" s="272" t="str">
        <f>IF(IFERROR(VLOOKUP($M1182,'IMPORT GS-Tür OL FL 2S2 20'!$H$2:$H$847,1,0),"-")="-","","GS")</f>
        <v/>
      </c>
      <c r="X1182" s="272" t="str">
        <f t="shared" si="91"/>
        <v/>
      </c>
      <c r="Y1182" s="278" t="s">
        <v>2458</v>
      </c>
      <c r="Z1182" s="273" t="str">
        <f>IF(OR($M1182="",NOT($O1182="{array}")),"",IFERROR(MATCH(PARAMETERS!$M1182,DEFAULT!$B$5:$CI$5,0),""))</f>
        <v/>
      </c>
      <c r="AA1182" s="272" t="str">
        <f t="shared" si="93"/>
        <v/>
      </c>
      <c r="AB1182" s="274" t="str">
        <f>IF(AND(OR($A1182="G",$A1182="P"),NOT($O1182="{array}")),IF(VLOOKUP($K1182,base!$B$2:$D$20,3,0)="S",IF(OR($O1182="",ISTEXT($O1182)),"","STRING!"),IF(VLOOKUP($K1182,base!$B$2:$D$20,3,0)="","",IF(ISTEXT($O1182),"NUMERIC!",""))),"")</f>
        <v/>
      </c>
      <c r="AC1182" s="275" t="str">
        <f>IF($AA1182="","",IF($B1182="I",VLOOKUP($AA1182,#REF!,53,0),INDEX(VALUES!$B$1:$GP$1,1,$AA1182)))</f>
        <v/>
      </c>
    </row>
    <row r="1183" spans="1:34" s="276" customFormat="1" hidden="1" outlineLevel="1">
      <c r="A1183" s="263"/>
      <c r="B1183" s="264" t="str">
        <f t="shared" si="88"/>
        <v/>
      </c>
      <c r="C1183" s="265">
        <f t="shared" si="90"/>
        <v>1182</v>
      </c>
      <c r="D1183" s="266"/>
      <c r="E1183" s="266"/>
      <c r="F1183" s="305"/>
      <c r="G1183" s="188"/>
      <c r="H1183" s="266"/>
      <c r="I1183" s="266" t="s">
        <v>9</v>
      </c>
      <c r="J1183" s="266"/>
      <c r="K1183" s="278" t="s">
        <v>102</v>
      </c>
      <c r="L1183" s="278" t="s">
        <v>23</v>
      </c>
      <c r="M1183" s="278"/>
      <c r="N1183" s="278" t="s">
        <v>2459</v>
      </c>
      <c r="O1183" s="278" t="s">
        <v>2460</v>
      </c>
      <c r="P1183" s="284" t="s">
        <v>298</v>
      </c>
      <c r="Q1183" s="279" t="s">
        <v>9</v>
      </c>
      <c r="R1183" s="279" t="s">
        <v>105</v>
      </c>
      <c r="S1183" s="279" t="s">
        <v>114</v>
      </c>
      <c r="T1183" s="278" t="s">
        <v>298</v>
      </c>
      <c r="U1183" s="278" t="s">
        <v>298</v>
      </c>
      <c r="V1183" s="278" t="s">
        <v>2459</v>
      </c>
      <c r="W1183" s="272" t="str">
        <f>IF(IFERROR(VLOOKUP($M1183,'IMPORT GS-Tür OL FL 2S2 20'!$H$2:$H$847,1,0),"-")="-","","GS")</f>
        <v/>
      </c>
      <c r="X1183" s="272" t="str">
        <f t="shared" si="91"/>
        <v/>
      </c>
      <c r="Y1183" s="278" t="s">
        <v>2461</v>
      </c>
      <c r="Z1183" s="273" t="str">
        <f>IF(OR($M1183="",NOT($O1183="{array}")),"",IFERROR(MATCH(PARAMETERS!$M1183,DEFAULT!$B$5:$CI$5,0),""))</f>
        <v/>
      </c>
      <c r="AA1183" s="272" t="str">
        <f t="shared" si="93"/>
        <v/>
      </c>
      <c r="AB1183" s="274" t="str">
        <f>IF(AND(OR($A1183="G",$A1183="P"),NOT($O1183="{array}")),IF(VLOOKUP($K1183,base!$B$2:$D$20,3,0)="S",IF(OR($O1183="",ISTEXT($O1183)),"","STRING!"),IF(VLOOKUP($K1183,base!$B$2:$D$20,3,0)="","",IF(ISTEXT($O1183),"NUMERIC!",""))),"")</f>
        <v/>
      </c>
      <c r="AC1183" s="275" t="str">
        <f>IF($AA1183="","",IF($B1183="I",VLOOKUP($AA1183,#REF!,53,0),INDEX(VALUES!$B$1:$GP$1,1,$AA1183)))</f>
        <v/>
      </c>
    </row>
    <row r="1184" spans="1:34" s="276" customFormat="1" hidden="1" outlineLevel="1">
      <c r="A1184" s="263"/>
      <c r="B1184" s="264" t="str">
        <f t="shared" si="88"/>
        <v/>
      </c>
      <c r="C1184" s="265">
        <f t="shared" si="90"/>
        <v>1183</v>
      </c>
      <c r="D1184" s="266"/>
      <c r="E1184" s="266"/>
      <c r="F1184" s="305"/>
      <c r="G1184" s="188"/>
      <c r="H1184" s="266"/>
      <c r="I1184" s="266" t="s">
        <v>9</v>
      </c>
      <c r="J1184" s="266"/>
      <c r="K1184" s="278" t="s">
        <v>46</v>
      </c>
      <c r="L1184" s="278" t="s">
        <v>23</v>
      </c>
      <c r="M1184" s="278"/>
      <c r="N1184" s="278" t="s">
        <v>2462</v>
      </c>
      <c r="O1184" s="278" t="s">
        <v>298</v>
      </c>
      <c r="P1184" s="284" t="s">
        <v>126</v>
      </c>
      <c r="Q1184" s="279" t="s">
        <v>9</v>
      </c>
      <c r="R1184" s="279" t="s">
        <v>105</v>
      </c>
      <c r="S1184" s="279" t="s">
        <v>114</v>
      </c>
      <c r="T1184" s="278" t="s">
        <v>298</v>
      </c>
      <c r="U1184" s="278" t="s">
        <v>298</v>
      </c>
      <c r="V1184" s="278" t="s">
        <v>2462</v>
      </c>
      <c r="W1184" s="272" t="str">
        <f>IF(IFERROR(VLOOKUP($M1184,'IMPORT GS-Tür OL FL 2S2 20'!$H$2:$H$847,1,0),"-")="-","","GS")</f>
        <v/>
      </c>
      <c r="X1184" s="272" t="str">
        <f t="shared" si="91"/>
        <v/>
      </c>
      <c r="Y1184" s="278" t="s">
        <v>2463</v>
      </c>
      <c r="Z1184" s="273" t="str">
        <f>IF(OR($M1184="",NOT($O1184="{array}")),"",IFERROR(MATCH(PARAMETERS!$M1184,DEFAULT!$B$5:$CI$5,0),""))</f>
        <v/>
      </c>
      <c r="AA1184" s="272" t="str">
        <f t="shared" si="93"/>
        <v/>
      </c>
      <c r="AB1184" s="274" t="str">
        <f>IF(AND(OR($A1184="G",$A1184="P"),NOT($O1184="{array}")),IF(VLOOKUP($K1184,base!$B$2:$D$20,3,0)="S",IF(OR($O1184="",ISTEXT($O1184)),"","STRING!"),IF(VLOOKUP($K1184,base!$B$2:$D$20,3,0)="","",IF(ISTEXT($O1184),"NUMERIC!",""))),"")</f>
        <v/>
      </c>
      <c r="AC1184" s="275" t="str">
        <f>IF($AA1184="","",IF($B1184="I",VLOOKUP($AA1184,#REF!,53,0),INDEX(VALUES!$B$1:$GP$1,1,$AA1184)))</f>
        <v/>
      </c>
    </row>
    <row r="1185" spans="1:29" s="276" customFormat="1" hidden="1" outlineLevel="1">
      <c r="A1185" s="263"/>
      <c r="B1185" s="264" t="str">
        <f t="shared" si="88"/>
        <v/>
      </c>
      <c r="C1185" s="265">
        <f t="shared" si="90"/>
        <v>1184</v>
      </c>
      <c r="D1185" s="266"/>
      <c r="E1185" s="266"/>
      <c r="F1185" s="305"/>
      <c r="G1185" s="188"/>
      <c r="H1185" s="266"/>
      <c r="I1185" s="266" t="s">
        <v>9</v>
      </c>
      <c r="J1185" s="266"/>
      <c r="K1185" s="278" t="s">
        <v>49</v>
      </c>
      <c r="L1185" s="278" t="s">
        <v>23</v>
      </c>
      <c r="M1185" s="278"/>
      <c r="N1185" s="278" t="s">
        <v>2464</v>
      </c>
      <c r="O1185" s="278" t="s">
        <v>298</v>
      </c>
      <c r="P1185" s="284" t="s">
        <v>298</v>
      </c>
      <c r="Q1185" s="279" t="s">
        <v>9</v>
      </c>
      <c r="R1185" s="279" t="s">
        <v>105</v>
      </c>
      <c r="S1185" s="279" t="s">
        <v>114</v>
      </c>
      <c r="T1185" s="278" t="s">
        <v>298</v>
      </c>
      <c r="U1185" s="278" t="s">
        <v>298</v>
      </c>
      <c r="V1185" s="278" t="s">
        <v>2464</v>
      </c>
      <c r="W1185" s="272" t="str">
        <f>IF(IFERROR(VLOOKUP($M1185,'IMPORT GS-Tür OL FL 2S2 20'!$H$2:$H$847,1,0),"-")="-","","GS")</f>
        <v/>
      </c>
      <c r="X1185" s="272" t="str">
        <f t="shared" si="91"/>
        <v/>
      </c>
      <c r="Y1185" s="278" t="s">
        <v>2465</v>
      </c>
      <c r="Z1185" s="273" t="str">
        <f>IF(OR($M1185="",NOT($O1185="{array}")),"",IFERROR(MATCH(PARAMETERS!$M1185,DEFAULT!$B$5:$CI$5,0),""))</f>
        <v/>
      </c>
      <c r="AA1185" s="272" t="str">
        <f t="shared" si="93"/>
        <v/>
      </c>
      <c r="AB1185" s="274" t="str">
        <f>IF(AND(OR($A1185="G",$A1185="P"),NOT($O1185="{array}")),IF(VLOOKUP($K1185,base!$B$2:$D$20,3,0)="S",IF(OR($O1185="",ISTEXT($O1185)),"","STRING!"),IF(VLOOKUP($K1185,base!$B$2:$D$20,3,0)="","",IF(ISTEXT($O1185),"NUMERIC!",""))),"")</f>
        <v/>
      </c>
      <c r="AC1185" s="275" t="str">
        <f>IF($AA1185="","",IF($B1185="I",VLOOKUP($AA1185,#REF!,53,0),INDEX(VALUES!$B$1:$GP$1,1,$AA1185)))</f>
        <v/>
      </c>
    </row>
    <row r="1186" spans="1:29" s="276" customFormat="1" hidden="1" outlineLevel="1">
      <c r="A1186" s="263"/>
      <c r="B1186" s="264" t="str">
        <f t="shared" si="88"/>
        <v/>
      </c>
      <c r="C1186" s="265">
        <f t="shared" si="90"/>
        <v>1185</v>
      </c>
      <c r="D1186" s="266"/>
      <c r="E1186" s="266"/>
      <c r="F1186" s="305"/>
      <c r="G1186" s="188"/>
      <c r="H1186" s="266"/>
      <c r="I1186" s="266" t="s">
        <v>9</v>
      </c>
      <c r="J1186" s="266"/>
      <c r="K1186" s="278" t="s">
        <v>49</v>
      </c>
      <c r="L1186" s="278" t="s">
        <v>23</v>
      </c>
      <c r="M1186" s="278"/>
      <c r="N1186" s="278" t="s">
        <v>2466</v>
      </c>
      <c r="O1186" s="278" t="s">
        <v>298</v>
      </c>
      <c r="P1186" s="284" t="s">
        <v>298</v>
      </c>
      <c r="Q1186" s="279" t="s">
        <v>9</v>
      </c>
      <c r="R1186" s="279" t="s">
        <v>105</v>
      </c>
      <c r="S1186" s="279" t="s">
        <v>114</v>
      </c>
      <c r="T1186" s="278" t="s">
        <v>298</v>
      </c>
      <c r="U1186" s="278" t="s">
        <v>298</v>
      </c>
      <c r="V1186" s="278" t="s">
        <v>2466</v>
      </c>
      <c r="W1186" s="272" t="str">
        <f>IF(IFERROR(VLOOKUP($M1186,'IMPORT GS-Tür OL FL 2S2 20'!$H$2:$H$847,1,0),"-")="-","","GS")</f>
        <v/>
      </c>
      <c r="X1186" s="272" t="str">
        <f t="shared" si="91"/>
        <v/>
      </c>
      <c r="Y1186" s="278" t="s">
        <v>2467</v>
      </c>
      <c r="Z1186" s="273" t="str">
        <f>IF(OR($M1186="",NOT($O1186="{array}")),"",IFERROR(MATCH(PARAMETERS!$M1186,DEFAULT!$B$5:$CI$5,0),""))</f>
        <v/>
      </c>
      <c r="AA1186" s="272" t="str">
        <f t="shared" si="93"/>
        <v/>
      </c>
      <c r="AB1186" s="274" t="str">
        <f>IF(AND(OR($A1186="G",$A1186="P"),NOT($O1186="{array}")),IF(VLOOKUP($K1186,base!$B$2:$D$20,3,0)="S",IF(OR($O1186="",ISTEXT($O1186)),"","STRING!"),IF(VLOOKUP($K1186,base!$B$2:$D$20,3,0)="","",IF(ISTEXT($O1186),"NUMERIC!",""))),"")</f>
        <v/>
      </c>
      <c r="AC1186" s="275" t="str">
        <f>IF($AA1186="","",IF($B1186="I",VLOOKUP($AA1186,#REF!,53,0),INDEX(VALUES!$B$1:$GP$1,1,$AA1186)))</f>
        <v/>
      </c>
    </row>
    <row r="1187" spans="1:29" s="276" customFormat="1" hidden="1" outlineLevel="1">
      <c r="A1187" s="263"/>
      <c r="B1187" s="264" t="str">
        <f t="shared" si="88"/>
        <v/>
      </c>
      <c r="C1187" s="265">
        <f t="shared" si="90"/>
        <v>1186</v>
      </c>
      <c r="D1187" s="266"/>
      <c r="E1187" s="266"/>
      <c r="F1187" s="305"/>
      <c r="G1187" s="188"/>
      <c r="H1187" s="266"/>
      <c r="I1187" s="266" t="s">
        <v>9</v>
      </c>
      <c r="J1187" s="266"/>
      <c r="K1187" s="278" t="s">
        <v>20</v>
      </c>
      <c r="L1187" s="278" t="s">
        <v>23</v>
      </c>
      <c r="M1187" s="278"/>
      <c r="N1187" s="278" t="s">
        <v>2468</v>
      </c>
      <c r="O1187" s="278" t="s">
        <v>298</v>
      </c>
      <c r="P1187" s="284" t="s">
        <v>298</v>
      </c>
      <c r="Q1187" s="279" t="s">
        <v>9</v>
      </c>
      <c r="R1187" s="279" t="s">
        <v>105</v>
      </c>
      <c r="S1187" s="279" t="s">
        <v>114</v>
      </c>
      <c r="T1187" s="278" t="s">
        <v>298</v>
      </c>
      <c r="U1187" s="278" t="s">
        <v>298</v>
      </c>
      <c r="V1187" s="278" t="s">
        <v>2468</v>
      </c>
      <c r="W1187" s="272" t="str">
        <f>IF(IFERROR(VLOOKUP($M1187,'IMPORT GS-Tür OL FL 2S2 20'!$H$2:$H$847,1,0),"-")="-","","GS")</f>
        <v/>
      </c>
      <c r="X1187" s="272" t="str">
        <f t="shared" si="91"/>
        <v/>
      </c>
      <c r="Y1187" s="278" t="s">
        <v>2469</v>
      </c>
      <c r="Z1187" s="273" t="str">
        <f>IF(OR($M1187="",NOT($O1187="{array}")),"",IFERROR(MATCH(PARAMETERS!$M1187,DEFAULT!$B$5:$CI$5,0),""))</f>
        <v/>
      </c>
      <c r="AA1187" s="272" t="str">
        <f t="shared" si="93"/>
        <v/>
      </c>
      <c r="AB1187" s="274" t="str">
        <f>IF(AND(OR($A1187="G",$A1187="P"),NOT($O1187="{array}")),IF(VLOOKUP($K1187,base!$B$2:$D$20,3,0)="S",IF(OR($O1187="",ISTEXT($O1187)),"","STRING!"),IF(VLOOKUP($K1187,base!$B$2:$D$20,3,0)="","",IF(ISTEXT($O1187),"NUMERIC!",""))),"")</f>
        <v/>
      </c>
      <c r="AC1187" s="275" t="str">
        <f>IF($AA1187="","",IF($B1187="I",VLOOKUP($AA1187,#REF!,53,0),INDEX(VALUES!$B$1:$GP$1,1,$AA1187)))</f>
        <v/>
      </c>
    </row>
    <row r="1188" spans="1:29" s="276" customFormat="1" hidden="1" outlineLevel="1">
      <c r="A1188" s="263"/>
      <c r="B1188" s="264" t="str">
        <f t="shared" si="88"/>
        <v/>
      </c>
      <c r="C1188" s="265">
        <f t="shared" si="90"/>
        <v>1187</v>
      </c>
      <c r="D1188" s="266"/>
      <c r="E1188" s="266"/>
      <c r="F1188" s="305"/>
      <c r="G1188" s="188"/>
      <c r="H1188" s="266"/>
      <c r="I1188" s="266" t="s">
        <v>9</v>
      </c>
      <c r="J1188" s="266"/>
      <c r="K1188" s="278" t="s">
        <v>49</v>
      </c>
      <c r="L1188" s="278" t="s">
        <v>23</v>
      </c>
      <c r="M1188" s="278"/>
      <c r="N1188" s="278" t="s">
        <v>2414</v>
      </c>
      <c r="O1188" s="278" t="s">
        <v>298</v>
      </c>
      <c r="P1188" s="284" t="s">
        <v>298</v>
      </c>
      <c r="Q1188" s="279" t="s">
        <v>9</v>
      </c>
      <c r="R1188" s="279" t="s">
        <v>105</v>
      </c>
      <c r="S1188" s="279" t="s">
        <v>114</v>
      </c>
      <c r="T1188" s="278" t="s">
        <v>298</v>
      </c>
      <c r="U1188" s="278" t="s">
        <v>298</v>
      </c>
      <c r="V1188" s="278" t="s">
        <v>2414</v>
      </c>
      <c r="W1188" s="272" t="str">
        <f>IF(IFERROR(VLOOKUP($M1188,'IMPORT GS-Tür OL FL 2S2 20'!$H$2:$H$847,1,0),"-")="-","","GS")</f>
        <v/>
      </c>
      <c r="X1188" s="272" t="str">
        <f t="shared" si="91"/>
        <v/>
      </c>
      <c r="Y1188" s="278" t="s">
        <v>2470</v>
      </c>
      <c r="Z1188" s="273" t="str">
        <f>IF(OR($M1188="",NOT($O1188="{array}")),"",IFERROR(MATCH(PARAMETERS!$M1188,DEFAULT!$B$5:$CI$5,0),""))</f>
        <v/>
      </c>
      <c r="AA1188" s="272" t="str">
        <f t="shared" si="93"/>
        <v/>
      </c>
      <c r="AB1188" s="274" t="str">
        <f>IF(AND(OR($A1188="G",$A1188="P"),NOT($O1188="{array}")),IF(VLOOKUP($K1188,base!$B$2:$D$20,3,0)="S",IF(OR($O1188="",ISTEXT($O1188)),"","STRING!"),IF(VLOOKUP($K1188,base!$B$2:$D$20,3,0)="","",IF(ISTEXT($O1188),"NUMERIC!",""))),"")</f>
        <v/>
      </c>
      <c r="AC1188" s="275" t="str">
        <f>IF($AA1188="","",IF($B1188="I",VLOOKUP($AA1188,#REF!,53,0),INDEX(VALUES!$B$1:$GP$1,1,$AA1188)))</f>
        <v/>
      </c>
    </row>
    <row r="1189" spans="1:29" s="276" customFormat="1" hidden="1" outlineLevel="1">
      <c r="A1189" s="263"/>
      <c r="B1189" s="264" t="str">
        <f t="shared" ref="B1189:B1254" si="94">IF($A1189="P",IF(NOT($Z1189=""),"A",IF(NOT($AA1189=""),"I","")),IF(NOT($AA1189=""),IF($A1189="G","V","X"),IF(NOT($Z1189=""),"A","")))</f>
        <v/>
      </c>
      <c r="C1189" s="265">
        <f t="shared" si="90"/>
        <v>1188</v>
      </c>
      <c r="D1189" s="266"/>
      <c r="E1189" s="266"/>
      <c r="F1189" s="305"/>
      <c r="G1189" s="188"/>
      <c r="H1189" s="266"/>
      <c r="I1189" s="266" t="s">
        <v>9</v>
      </c>
      <c r="J1189" s="266"/>
      <c r="K1189" s="278" t="s">
        <v>49</v>
      </c>
      <c r="L1189" s="278" t="s">
        <v>23</v>
      </c>
      <c r="M1189" s="278"/>
      <c r="N1189" s="278" t="s">
        <v>2471</v>
      </c>
      <c r="O1189" s="278" t="s">
        <v>298</v>
      </c>
      <c r="P1189" s="284" t="s">
        <v>298</v>
      </c>
      <c r="Q1189" s="279" t="s">
        <v>9</v>
      </c>
      <c r="R1189" s="279" t="s">
        <v>105</v>
      </c>
      <c r="S1189" s="279" t="s">
        <v>114</v>
      </c>
      <c r="T1189" s="278" t="s">
        <v>298</v>
      </c>
      <c r="U1189" s="278" t="s">
        <v>298</v>
      </c>
      <c r="V1189" s="278" t="s">
        <v>2471</v>
      </c>
      <c r="W1189" s="272" t="str">
        <f>IF(IFERROR(VLOOKUP($M1189,'IMPORT GS-Tür OL FL 2S2 20'!$H$2:$H$847,1,0),"-")="-","","GS")</f>
        <v/>
      </c>
      <c r="X1189" s="272" t="str">
        <f t="shared" si="91"/>
        <v/>
      </c>
      <c r="Y1189" s="278" t="s">
        <v>2472</v>
      </c>
      <c r="Z1189" s="273" t="str">
        <f>IF(OR($M1189="",NOT($O1189="{array}")),"",IFERROR(MATCH(PARAMETERS!$M1189,DEFAULT!$B$5:$CI$5,0),""))</f>
        <v/>
      </c>
      <c r="AA1189" s="272" t="str">
        <f t="shared" si="93"/>
        <v/>
      </c>
      <c r="AB1189" s="274" t="str">
        <f>IF(AND(OR($A1189="G",$A1189="P"),NOT($O1189="{array}")),IF(VLOOKUP($K1189,base!$B$2:$D$20,3,0)="S",IF(OR($O1189="",ISTEXT($O1189)),"","STRING!"),IF(VLOOKUP($K1189,base!$B$2:$D$20,3,0)="","",IF(ISTEXT($O1189),"NUMERIC!",""))),"")</f>
        <v/>
      </c>
      <c r="AC1189" s="275" t="str">
        <f>IF($AA1189="","",IF($B1189="I",VLOOKUP($AA1189,#REF!,53,0),INDEX(VALUES!$B$1:$GP$1,1,$AA1189)))</f>
        <v/>
      </c>
    </row>
    <row r="1190" spans="1:29" s="276" customFormat="1" hidden="1" outlineLevel="1">
      <c r="A1190" s="263"/>
      <c r="B1190" s="264" t="str">
        <f t="shared" si="94"/>
        <v/>
      </c>
      <c r="C1190" s="265">
        <f t="shared" si="90"/>
        <v>1189</v>
      </c>
      <c r="D1190" s="266"/>
      <c r="E1190" s="266"/>
      <c r="F1190" s="305"/>
      <c r="G1190" s="188"/>
      <c r="H1190" s="266"/>
      <c r="I1190" s="266" t="s">
        <v>9</v>
      </c>
      <c r="J1190" s="266"/>
      <c r="K1190" s="278" t="s">
        <v>49</v>
      </c>
      <c r="L1190" s="278" t="s">
        <v>23</v>
      </c>
      <c r="M1190" s="278"/>
      <c r="N1190" s="278" t="s">
        <v>2473</v>
      </c>
      <c r="O1190" s="278" t="s">
        <v>298</v>
      </c>
      <c r="P1190" s="284" t="s">
        <v>298</v>
      </c>
      <c r="Q1190" s="279" t="s">
        <v>9</v>
      </c>
      <c r="R1190" s="279" t="s">
        <v>105</v>
      </c>
      <c r="S1190" s="279" t="s">
        <v>114</v>
      </c>
      <c r="T1190" s="278" t="s">
        <v>298</v>
      </c>
      <c r="U1190" s="278" t="s">
        <v>298</v>
      </c>
      <c r="V1190" s="278" t="s">
        <v>2473</v>
      </c>
      <c r="W1190" s="272" t="str">
        <f>IF(IFERROR(VLOOKUP($M1190,'IMPORT GS-Tür OL FL 2S2 20'!$H$2:$H$847,1,0),"-")="-","","GS")</f>
        <v/>
      </c>
      <c r="X1190" s="272" t="str">
        <f t="shared" si="91"/>
        <v/>
      </c>
      <c r="Y1190" s="278" t="s">
        <v>2474</v>
      </c>
      <c r="Z1190" s="273" t="str">
        <f>IF(OR($M1190="",NOT($O1190="{array}")),"",IFERROR(MATCH(PARAMETERS!$M1190,DEFAULT!$B$5:$CI$5,0),""))</f>
        <v/>
      </c>
      <c r="AA1190" s="272" t="str">
        <f t="shared" si="93"/>
        <v/>
      </c>
      <c r="AB1190" s="274" t="str">
        <f>IF(AND(OR($A1190="G",$A1190="P"),NOT($O1190="{array}")),IF(VLOOKUP($K1190,base!$B$2:$D$20,3,0)="S",IF(OR($O1190="",ISTEXT($O1190)),"","STRING!"),IF(VLOOKUP($K1190,base!$B$2:$D$20,3,0)="","",IF(ISTEXT($O1190),"NUMERIC!",""))),"")</f>
        <v/>
      </c>
      <c r="AC1190" s="275" t="str">
        <f>IF($AA1190="","",IF($B1190="I",VLOOKUP($AA1190,#REF!,53,0),INDEX(VALUES!$B$1:$GP$1,1,$AA1190)))</f>
        <v/>
      </c>
    </row>
    <row r="1191" spans="1:29" s="276" customFormat="1" hidden="1" outlineLevel="1">
      <c r="A1191" s="263"/>
      <c r="B1191" s="264" t="str">
        <f t="shared" si="94"/>
        <v/>
      </c>
      <c r="C1191" s="265">
        <f t="shared" si="90"/>
        <v>1190</v>
      </c>
      <c r="D1191" s="266"/>
      <c r="E1191" s="266"/>
      <c r="F1191" s="305"/>
      <c r="G1191" s="188"/>
      <c r="H1191" s="266"/>
      <c r="I1191" s="266" t="s">
        <v>9</v>
      </c>
      <c r="J1191" s="266"/>
      <c r="K1191" s="278" t="s">
        <v>20</v>
      </c>
      <c r="L1191" s="278" t="s">
        <v>23</v>
      </c>
      <c r="M1191" s="278"/>
      <c r="N1191" s="278" t="s">
        <v>2475</v>
      </c>
      <c r="O1191" s="278" t="s">
        <v>298</v>
      </c>
      <c r="P1191" s="284" t="s">
        <v>298</v>
      </c>
      <c r="Q1191" s="279" t="s">
        <v>9</v>
      </c>
      <c r="R1191" s="279" t="s">
        <v>105</v>
      </c>
      <c r="S1191" s="279" t="s">
        <v>114</v>
      </c>
      <c r="T1191" s="278" t="s">
        <v>298</v>
      </c>
      <c r="U1191" s="278" t="s">
        <v>298</v>
      </c>
      <c r="V1191" s="278" t="s">
        <v>2475</v>
      </c>
      <c r="W1191" s="272" t="str">
        <f>IF(IFERROR(VLOOKUP($M1191,'IMPORT GS-Tür OL FL 2S2 20'!$H$2:$H$847,1,0),"-")="-","","GS")</f>
        <v/>
      </c>
      <c r="X1191" s="272" t="str">
        <f t="shared" si="91"/>
        <v/>
      </c>
      <c r="Y1191" s="278" t="s">
        <v>2476</v>
      </c>
      <c r="Z1191" s="273" t="str">
        <f>IF(OR($M1191="",NOT($O1191="{array}")),"",IFERROR(MATCH(PARAMETERS!$M1191,DEFAULT!$B$5:$CI$5,0),""))</f>
        <v/>
      </c>
      <c r="AA1191" s="272" t="str">
        <f t="shared" si="93"/>
        <v/>
      </c>
      <c r="AB1191" s="274" t="str">
        <f>IF(AND(OR($A1191="G",$A1191="P"),NOT($O1191="{array}")),IF(VLOOKUP($K1191,base!$B$2:$D$20,3,0)="S",IF(OR($O1191="",ISTEXT($O1191)),"","STRING!"),IF(VLOOKUP($K1191,base!$B$2:$D$20,3,0)="","",IF(ISTEXT($O1191),"NUMERIC!",""))),"")</f>
        <v/>
      </c>
      <c r="AC1191" s="275" t="str">
        <f>IF($AA1191="","",IF($B1191="I",VLOOKUP($AA1191,#REF!,53,0),INDEX(VALUES!$B$1:$GP$1,1,$AA1191)))</f>
        <v/>
      </c>
    </row>
    <row r="1192" spans="1:29" s="276" customFormat="1" hidden="1" outlineLevel="1">
      <c r="A1192" s="263"/>
      <c r="B1192" s="264" t="str">
        <f t="shared" si="94"/>
        <v/>
      </c>
      <c r="C1192" s="265">
        <f t="shared" si="90"/>
        <v>1191</v>
      </c>
      <c r="D1192" s="266"/>
      <c r="E1192" s="266"/>
      <c r="F1192" s="305"/>
      <c r="G1192" s="188"/>
      <c r="H1192" s="266"/>
      <c r="I1192" s="266" t="s">
        <v>9</v>
      </c>
      <c r="J1192" s="266"/>
      <c r="K1192" s="278" t="s">
        <v>49</v>
      </c>
      <c r="L1192" s="278" t="s">
        <v>23</v>
      </c>
      <c r="M1192" s="278"/>
      <c r="N1192" s="278" t="s">
        <v>2477</v>
      </c>
      <c r="O1192" s="278" t="s">
        <v>298</v>
      </c>
      <c r="P1192" s="284" t="s">
        <v>298</v>
      </c>
      <c r="Q1192" s="279" t="s">
        <v>9</v>
      </c>
      <c r="R1192" s="279" t="s">
        <v>105</v>
      </c>
      <c r="S1192" s="279" t="s">
        <v>114</v>
      </c>
      <c r="T1192" s="278" t="s">
        <v>298</v>
      </c>
      <c r="U1192" s="278" t="s">
        <v>298</v>
      </c>
      <c r="V1192" s="278" t="s">
        <v>2477</v>
      </c>
      <c r="W1192" s="272" t="str">
        <f>IF(IFERROR(VLOOKUP($M1192,'IMPORT GS-Tür OL FL 2S2 20'!$H$2:$H$847,1,0),"-")="-","","GS")</f>
        <v/>
      </c>
      <c r="X1192" s="272" t="str">
        <f t="shared" si="91"/>
        <v/>
      </c>
      <c r="Y1192" s="278" t="s">
        <v>2478</v>
      </c>
      <c r="Z1192" s="273" t="str">
        <f>IF(OR($M1192="",NOT($O1192="{array}")),"",IFERROR(MATCH(PARAMETERS!$M1192,DEFAULT!$B$5:$CI$5,0),""))</f>
        <v/>
      </c>
      <c r="AA1192" s="272" t="str">
        <f t="shared" si="93"/>
        <v/>
      </c>
      <c r="AB1192" s="274" t="str">
        <f>IF(AND(OR($A1192="G",$A1192="P"),NOT($O1192="{array}")),IF(VLOOKUP($K1192,base!$B$2:$D$20,3,0)="S",IF(OR($O1192="",ISTEXT($O1192)),"","STRING!"),IF(VLOOKUP($K1192,base!$B$2:$D$20,3,0)="","",IF(ISTEXT($O1192),"NUMERIC!",""))),"")</f>
        <v/>
      </c>
      <c r="AC1192" s="275" t="str">
        <f>IF($AA1192="","",IF($B1192="I",VLOOKUP($AA1192,#REF!,53,0),INDEX(VALUES!$B$1:$GP$1,1,$AA1192)))</f>
        <v/>
      </c>
    </row>
    <row r="1193" spans="1:29" s="276" customFormat="1" hidden="1" outlineLevel="1">
      <c r="A1193" s="263"/>
      <c r="B1193" s="264" t="str">
        <f t="shared" si="94"/>
        <v/>
      </c>
      <c r="C1193" s="265">
        <f t="shared" si="90"/>
        <v>1192</v>
      </c>
      <c r="D1193" s="266"/>
      <c r="E1193" s="266"/>
      <c r="F1193" s="305"/>
      <c r="G1193" s="188"/>
      <c r="H1193" s="266"/>
      <c r="I1193" s="266" t="s">
        <v>9</v>
      </c>
      <c r="J1193" s="266"/>
      <c r="K1193" s="278" t="s">
        <v>20</v>
      </c>
      <c r="L1193" s="278" t="s">
        <v>23</v>
      </c>
      <c r="M1193" s="278"/>
      <c r="N1193" s="278" t="s">
        <v>1369</v>
      </c>
      <c r="O1193" s="278" t="s">
        <v>298</v>
      </c>
      <c r="P1193" s="284" t="s">
        <v>298</v>
      </c>
      <c r="Q1193" s="279" t="s">
        <v>9</v>
      </c>
      <c r="R1193" s="279" t="s">
        <v>105</v>
      </c>
      <c r="S1193" s="279" t="s">
        <v>114</v>
      </c>
      <c r="T1193" s="278" t="s">
        <v>298</v>
      </c>
      <c r="U1193" s="278" t="s">
        <v>298</v>
      </c>
      <c r="V1193" s="278" t="s">
        <v>1369</v>
      </c>
      <c r="W1193" s="272" t="str">
        <f>IF(IFERROR(VLOOKUP($M1193,'IMPORT GS-Tür OL FL 2S2 20'!$H$2:$H$847,1,0),"-")="-","","GS")</f>
        <v/>
      </c>
      <c r="X1193" s="272" t="str">
        <f t="shared" si="91"/>
        <v/>
      </c>
      <c r="Y1193" s="278" t="s">
        <v>2479</v>
      </c>
      <c r="Z1193" s="273" t="str">
        <f>IF(OR($M1193="",NOT($O1193="{array}")),"",IFERROR(MATCH(PARAMETERS!$M1193,DEFAULT!$B$5:$CI$5,0),""))</f>
        <v/>
      </c>
      <c r="AA1193" s="272" t="str">
        <f t="shared" si="93"/>
        <v/>
      </c>
      <c r="AB1193" s="274" t="str">
        <f>IF(AND(OR($A1193="G",$A1193="P"),NOT($O1193="{array}")),IF(VLOOKUP($K1193,base!$B$2:$D$20,3,0)="S",IF(OR($O1193="",ISTEXT($O1193)),"","STRING!"),IF(VLOOKUP($K1193,base!$B$2:$D$20,3,0)="","",IF(ISTEXT($O1193),"NUMERIC!",""))),"")</f>
        <v/>
      </c>
      <c r="AC1193" s="275" t="str">
        <f>IF($AA1193="","",IF($B1193="I",VLOOKUP($AA1193,#REF!,53,0),INDEX(VALUES!$B$1:$GP$1,1,$AA1193)))</f>
        <v/>
      </c>
    </row>
    <row r="1194" spans="1:29" s="276" customFormat="1" hidden="1" outlineLevel="1">
      <c r="A1194" s="263"/>
      <c r="B1194" s="264" t="str">
        <f t="shared" si="94"/>
        <v/>
      </c>
      <c r="C1194" s="265">
        <f t="shared" si="90"/>
        <v>1193</v>
      </c>
      <c r="D1194" s="266"/>
      <c r="E1194" s="266"/>
      <c r="F1194" s="305"/>
      <c r="G1194" s="188"/>
      <c r="H1194" s="266"/>
      <c r="I1194" s="266" t="s">
        <v>9</v>
      </c>
      <c r="J1194" s="266"/>
      <c r="K1194" s="278" t="s">
        <v>49</v>
      </c>
      <c r="L1194" s="278" t="s">
        <v>23</v>
      </c>
      <c r="M1194" s="278"/>
      <c r="N1194" s="278" t="s">
        <v>2480</v>
      </c>
      <c r="O1194" s="278" t="s">
        <v>298</v>
      </c>
      <c r="P1194" s="284" t="s">
        <v>298</v>
      </c>
      <c r="Q1194" s="279" t="s">
        <v>9</v>
      </c>
      <c r="R1194" s="279" t="s">
        <v>105</v>
      </c>
      <c r="S1194" s="279" t="s">
        <v>114</v>
      </c>
      <c r="T1194" s="278" t="s">
        <v>298</v>
      </c>
      <c r="U1194" s="278" t="s">
        <v>298</v>
      </c>
      <c r="V1194" s="278" t="s">
        <v>2480</v>
      </c>
      <c r="W1194" s="272" t="str">
        <f>IF(IFERROR(VLOOKUP($M1194,'IMPORT GS-Tür OL FL 2S2 20'!$H$2:$H$847,1,0),"-")="-","","GS")</f>
        <v/>
      </c>
      <c r="X1194" s="272" t="str">
        <f t="shared" si="91"/>
        <v/>
      </c>
      <c r="Y1194" s="278" t="s">
        <v>2481</v>
      </c>
      <c r="Z1194" s="273" t="str">
        <f>IF(OR($M1194="",NOT($O1194="{array}")),"",IFERROR(MATCH(PARAMETERS!$M1194,DEFAULT!$B$5:$CI$5,0),""))</f>
        <v/>
      </c>
      <c r="AA1194" s="272" t="str">
        <f t="shared" si="93"/>
        <v/>
      </c>
      <c r="AB1194" s="274" t="str">
        <f>IF(AND(OR($A1194="G",$A1194="P"),NOT($O1194="{array}")),IF(VLOOKUP($K1194,base!$B$2:$D$20,3,0)="S",IF(OR($O1194="",ISTEXT($O1194)),"","STRING!"),IF(VLOOKUP($K1194,base!$B$2:$D$20,3,0)="","",IF(ISTEXT($O1194),"NUMERIC!",""))),"")</f>
        <v/>
      </c>
      <c r="AC1194" s="275" t="str">
        <f>IF($AA1194="","",IF($B1194="I",VLOOKUP($AA1194,#REF!,53,0),INDEX(VALUES!$B$1:$GP$1,1,$AA1194)))</f>
        <v/>
      </c>
    </row>
    <row r="1195" spans="1:29" s="276" customFormat="1" hidden="1" outlineLevel="1">
      <c r="A1195" s="263"/>
      <c r="B1195" s="264" t="str">
        <f t="shared" si="94"/>
        <v/>
      </c>
      <c r="C1195" s="265">
        <f t="shared" si="90"/>
        <v>1194</v>
      </c>
      <c r="D1195" s="266"/>
      <c r="E1195" s="266"/>
      <c r="F1195" s="305"/>
      <c r="G1195" s="188"/>
      <c r="H1195" s="266"/>
      <c r="I1195" s="266" t="s">
        <v>9</v>
      </c>
      <c r="J1195" s="266"/>
      <c r="K1195" s="278" t="s">
        <v>102</v>
      </c>
      <c r="L1195" s="278" t="s">
        <v>23</v>
      </c>
      <c r="M1195" s="278"/>
      <c r="N1195" s="278" t="s">
        <v>2482</v>
      </c>
      <c r="O1195" s="278" t="s">
        <v>2457</v>
      </c>
      <c r="P1195" s="284" t="s">
        <v>298</v>
      </c>
      <c r="Q1195" s="279" t="s">
        <v>9</v>
      </c>
      <c r="R1195" s="279" t="s">
        <v>105</v>
      </c>
      <c r="S1195" s="279" t="s">
        <v>114</v>
      </c>
      <c r="T1195" s="278" t="s">
        <v>298</v>
      </c>
      <c r="U1195" s="278" t="s">
        <v>298</v>
      </c>
      <c r="V1195" s="278" t="s">
        <v>2482</v>
      </c>
      <c r="W1195" s="272" t="str">
        <f>IF(IFERROR(VLOOKUP($M1195,'IMPORT GS-Tür OL FL 2S2 20'!$H$2:$H$847,1,0),"-")="-","","GS")</f>
        <v/>
      </c>
      <c r="X1195" s="272" t="str">
        <f t="shared" si="91"/>
        <v/>
      </c>
      <c r="Y1195" s="278" t="s">
        <v>2483</v>
      </c>
      <c r="Z1195" s="273" t="str">
        <f>IF(OR($M1195="",NOT($O1195="{array}")),"",IFERROR(MATCH(PARAMETERS!$M1195,DEFAULT!$B$5:$CI$5,0),""))</f>
        <v/>
      </c>
      <c r="AA1195" s="272" t="str">
        <f t="shared" si="93"/>
        <v/>
      </c>
      <c r="AB1195" s="274" t="str">
        <f>IF(AND(OR($A1195="G",$A1195="P"),NOT($O1195="{array}")),IF(VLOOKUP($K1195,base!$B$2:$D$20,3,0)="S",IF(OR($O1195="",ISTEXT($O1195)),"","STRING!"),IF(VLOOKUP($K1195,base!$B$2:$D$20,3,0)="","",IF(ISTEXT($O1195),"NUMERIC!",""))),"")</f>
        <v/>
      </c>
      <c r="AC1195" s="275" t="str">
        <f>IF($AA1195="","",IF($B1195="I",VLOOKUP($AA1195,#REF!,53,0),INDEX(VALUES!$B$1:$GP$1,1,$AA1195)))</f>
        <v/>
      </c>
    </row>
    <row r="1196" spans="1:29" s="276" customFormat="1" hidden="1" outlineLevel="1">
      <c r="A1196" s="263"/>
      <c r="B1196" s="264" t="str">
        <f t="shared" si="94"/>
        <v/>
      </c>
      <c r="C1196" s="265">
        <f t="shared" si="90"/>
        <v>1195</v>
      </c>
      <c r="D1196" s="266"/>
      <c r="E1196" s="266"/>
      <c r="F1196" s="305"/>
      <c r="G1196" s="188"/>
      <c r="H1196" s="266"/>
      <c r="I1196" s="266" t="s">
        <v>9</v>
      </c>
      <c r="J1196" s="266"/>
      <c r="K1196" s="278" t="s">
        <v>102</v>
      </c>
      <c r="L1196" s="278" t="s">
        <v>23</v>
      </c>
      <c r="M1196" s="278"/>
      <c r="N1196" s="278" t="s">
        <v>2484</v>
      </c>
      <c r="O1196" s="278" t="s">
        <v>2485</v>
      </c>
      <c r="P1196" s="284" t="s">
        <v>298</v>
      </c>
      <c r="Q1196" s="279" t="s">
        <v>9</v>
      </c>
      <c r="R1196" s="279" t="s">
        <v>105</v>
      </c>
      <c r="S1196" s="279" t="s">
        <v>114</v>
      </c>
      <c r="T1196" s="278" t="s">
        <v>298</v>
      </c>
      <c r="U1196" s="278" t="s">
        <v>298</v>
      </c>
      <c r="V1196" s="278" t="s">
        <v>2484</v>
      </c>
      <c r="W1196" s="272" t="str">
        <f>IF(IFERROR(VLOOKUP($M1196,'IMPORT GS-Tür OL FL 2S2 20'!$H$2:$H$847,1,0),"-")="-","","GS")</f>
        <v/>
      </c>
      <c r="X1196" s="272" t="str">
        <f t="shared" si="91"/>
        <v/>
      </c>
      <c r="Y1196" s="278" t="s">
        <v>2486</v>
      </c>
      <c r="Z1196" s="273" t="str">
        <f>IF(OR($M1196="",NOT($O1196="{array}")),"",IFERROR(MATCH(PARAMETERS!$M1196,DEFAULT!$B$5:$CI$5,0),""))</f>
        <v/>
      </c>
      <c r="AA1196" s="272" t="str">
        <f t="shared" si="93"/>
        <v/>
      </c>
      <c r="AB1196" s="274" t="str">
        <f>IF(AND(OR($A1196="G",$A1196="P"),NOT($O1196="{array}")),IF(VLOOKUP($K1196,base!$B$2:$D$20,3,0)="S",IF(OR($O1196="",ISTEXT($O1196)),"","STRING!"),IF(VLOOKUP($K1196,base!$B$2:$D$20,3,0)="","",IF(ISTEXT($O1196),"NUMERIC!",""))),"")</f>
        <v/>
      </c>
      <c r="AC1196" s="275" t="str">
        <f>IF($AA1196="","",IF($B1196="I",VLOOKUP($AA1196,#REF!,53,0),INDEX(VALUES!$B$1:$GP$1,1,$AA1196)))</f>
        <v/>
      </c>
    </row>
    <row r="1197" spans="1:29" s="276" customFormat="1" hidden="1" outlineLevel="1">
      <c r="A1197" s="263"/>
      <c r="B1197" s="264" t="str">
        <f t="shared" si="94"/>
        <v/>
      </c>
      <c r="C1197" s="265">
        <f t="shared" si="90"/>
        <v>1196</v>
      </c>
      <c r="D1197" s="266"/>
      <c r="E1197" s="266"/>
      <c r="F1197" s="305"/>
      <c r="G1197" s="188"/>
      <c r="H1197" s="266"/>
      <c r="I1197" s="266" t="s">
        <v>9</v>
      </c>
      <c r="J1197" s="266"/>
      <c r="K1197" s="278" t="s">
        <v>49</v>
      </c>
      <c r="L1197" s="278" t="s">
        <v>23</v>
      </c>
      <c r="M1197" s="278"/>
      <c r="N1197" s="278" t="s">
        <v>2487</v>
      </c>
      <c r="O1197" s="278" t="s">
        <v>2488</v>
      </c>
      <c r="P1197" s="284" t="s">
        <v>298</v>
      </c>
      <c r="Q1197" s="279" t="s">
        <v>9</v>
      </c>
      <c r="R1197" s="279" t="s">
        <v>105</v>
      </c>
      <c r="S1197" s="279" t="s">
        <v>114</v>
      </c>
      <c r="T1197" s="278" t="s">
        <v>298</v>
      </c>
      <c r="U1197" s="278" t="s">
        <v>298</v>
      </c>
      <c r="V1197" s="278" t="s">
        <v>2487</v>
      </c>
      <c r="W1197" s="272" t="str">
        <f>IF(IFERROR(VLOOKUP($M1197,'IMPORT GS-Tür OL FL 2S2 20'!$H$2:$H$847,1,0),"-")="-","","GS")</f>
        <v/>
      </c>
      <c r="X1197" s="272" t="str">
        <f t="shared" si="91"/>
        <v/>
      </c>
      <c r="Y1197" s="278" t="s">
        <v>2489</v>
      </c>
      <c r="Z1197" s="273" t="str">
        <f>IF(OR($M1197="",NOT($O1197="{array}")),"",IFERROR(MATCH(PARAMETERS!$M1197,DEFAULT!$B$5:$CI$5,0),""))</f>
        <v/>
      </c>
      <c r="AA1197" s="272" t="str">
        <f t="shared" si="93"/>
        <v/>
      </c>
      <c r="AB1197" s="274" t="str">
        <f>IF(AND(OR($A1197="G",$A1197="P"),NOT($O1197="{array}")),IF(VLOOKUP($K1197,base!$B$2:$D$20,3,0)="S",IF(OR($O1197="",ISTEXT($O1197)),"","STRING!"),IF(VLOOKUP($K1197,base!$B$2:$D$20,3,0)="","",IF(ISTEXT($O1197),"NUMERIC!",""))),"")</f>
        <v/>
      </c>
      <c r="AC1197" s="275" t="str">
        <f>IF($AA1197="","",IF($B1197="I",VLOOKUP($AA1197,#REF!,53,0),INDEX(VALUES!$B$1:$GP$1,1,$AA1197)))</f>
        <v/>
      </c>
    </row>
    <row r="1198" spans="1:29" s="276" customFormat="1" hidden="1" outlineLevel="1">
      <c r="A1198" s="263"/>
      <c r="B1198" s="264" t="str">
        <f t="shared" si="94"/>
        <v/>
      </c>
      <c r="C1198" s="265">
        <f t="shared" si="90"/>
        <v>1197</v>
      </c>
      <c r="D1198" s="266"/>
      <c r="E1198" s="266"/>
      <c r="F1198" s="305"/>
      <c r="G1198" s="188"/>
      <c r="H1198" s="266"/>
      <c r="I1198" s="266" t="s">
        <v>9</v>
      </c>
      <c r="J1198" s="266"/>
      <c r="K1198" s="278" t="s">
        <v>49</v>
      </c>
      <c r="L1198" s="278" t="s">
        <v>23</v>
      </c>
      <c r="M1198" s="278"/>
      <c r="N1198" s="278" t="s">
        <v>2490</v>
      </c>
      <c r="O1198" s="278" t="s">
        <v>298</v>
      </c>
      <c r="P1198" s="284" t="s">
        <v>298</v>
      </c>
      <c r="Q1198" s="279" t="s">
        <v>9</v>
      </c>
      <c r="R1198" s="279" t="s">
        <v>105</v>
      </c>
      <c r="S1198" s="279" t="s">
        <v>114</v>
      </c>
      <c r="T1198" s="278" t="s">
        <v>298</v>
      </c>
      <c r="U1198" s="278" t="s">
        <v>298</v>
      </c>
      <c r="V1198" s="278" t="s">
        <v>2490</v>
      </c>
      <c r="W1198" s="272" t="str">
        <f>IF(IFERROR(VLOOKUP($M1198,'IMPORT GS-Tür OL FL 2S2 20'!$H$2:$H$847,1,0),"-")="-","","GS")</f>
        <v/>
      </c>
      <c r="X1198" s="272" t="str">
        <f t="shared" si="91"/>
        <v/>
      </c>
      <c r="Y1198" s="278" t="s">
        <v>2491</v>
      </c>
      <c r="Z1198" s="273" t="str">
        <f>IF(OR($M1198="",NOT($O1198="{array}")),"",IFERROR(MATCH(PARAMETERS!$M1198,DEFAULT!$B$5:$CI$5,0),""))</f>
        <v/>
      </c>
      <c r="AA1198" s="272" t="str">
        <f t="shared" si="93"/>
        <v/>
      </c>
      <c r="AB1198" s="274" t="str">
        <f>IF(AND(OR($A1198="G",$A1198="P"),NOT($O1198="{array}")),IF(VLOOKUP($K1198,base!$B$2:$D$20,3,0)="S",IF(OR($O1198="",ISTEXT($O1198)),"","STRING!"),IF(VLOOKUP($K1198,base!$B$2:$D$20,3,0)="","",IF(ISTEXT($O1198),"NUMERIC!",""))),"")</f>
        <v/>
      </c>
      <c r="AC1198" s="275" t="str">
        <f>IF($AA1198="","",IF($B1198="I",VLOOKUP($AA1198,#REF!,53,0),INDEX(VALUES!$B$1:$GP$1,1,$AA1198)))</f>
        <v/>
      </c>
    </row>
    <row r="1199" spans="1:29" s="276" customFormat="1" hidden="1" outlineLevel="1">
      <c r="A1199" s="263"/>
      <c r="B1199" s="264" t="str">
        <f t="shared" si="94"/>
        <v/>
      </c>
      <c r="C1199" s="265">
        <f t="shared" si="90"/>
        <v>1198</v>
      </c>
      <c r="D1199" s="266"/>
      <c r="E1199" s="266"/>
      <c r="F1199" s="305"/>
      <c r="G1199" s="188"/>
      <c r="H1199" s="266"/>
      <c r="I1199" s="266" t="s">
        <v>9</v>
      </c>
      <c r="J1199" s="266"/>
      <c r="K1199" s="278" t="s">
        <v>49</v>
      </c>
      <c r="L1199" s="278" t="s">
        <v>23</v>
      </c>
      <c r="M1199" s="278"/>
      <c r="N1199" s="278" t="s">
        <v>2492</v>
      </c>
      <c r="O1199" s="278" t="s">
        <v>298</v>
      </c>
      <c r="P1199" s="284" t="s">
        <v>298</v>
      </c>
      <c r="Q1199" s="279" t="s">
        <v>9</v>
      </c>
      <c r="R1199" s="279" t="s">
        <v>105</v>
      </c>
      <c r="S1199" s="279" t="s">
        <v>114</v>
      </c>
      <c r="T1199" s="278" t="s">
        <v>298</v>
      </c>
      <c r="U1199" s="278" t="s">
        <v>298</v>
      </c>
      <c r="V1199" s="278" t="s">
        <v>2492</v>
      </c>
      <c r="W1199" s="272" t="str">
        <f>IF(IFERROR(VLOOKUP($M1199,'IMPORT GS-Tür OL FL 2S2 20'!$H$2:$H$847,1,0),"-")="-","","GS")</f>
        <v/>
      </c>
      <c r="X1199" s="272" t="str">
        <f t="shared" si="91"/>
        <v/>
      </c>
      <c r="Y1199" s="278" t="s">
        <v>2493</v>
      </c>
      <c r="Z1199" s="273" t="str">
        <f>IF(OR($M1199="",NOT($O1199="{array}")),"",IFERROR(MATCH(PARAMETERS!$M1199,DEFAULT!$B$5:$CI$5,0),""))</f>
        <v/>
      </c>
      <c r="AA1199" s="272" t="str">
        <f t="shared" si="93"/>
        <v/>
      </c>
      <c r="AB1199" s="274" t="str">
        <f>IF(AND(OR($A1199="G",$A1199="P"),NOT($O1199="{array}")),IF(VLOOKUP($K1199,base!$B$2:$D$20,3,0)="S",IF(OR($O1199="",ISTEXT($O1199)),"","STRING!"),IF(VLOOKUP($K1199,base!$B$2:$D$20,3,0)="","",IF(ISTEXT($O1199),"NUMERIC!",""))),"")</f>
        <v/>
      </c>
      <c r="AC1199" s="275" t="str">
        <f>IF($AA1199="","",IF($B1199="I",VLOOKUP($AA1199,#REF!,53,0),INDEX(VALUES!$B$1:$GP$1,1,$AA1199)))</f>
        <v/>
      </c>
    </row>
    <row r="1200" spans="1:29" s="276" customFormat="1" hidden="1" outlineLevel="1">
      <c r="A1200" s="263"/>
      <c r="B1200" s="264" t="str">
        <f t="shared" si="94"/>
        <v/>
      </c>
      <c r="C1200" s="265">
        <f t="shared" si="90"/>
        <v>1199</v>
      </c>
      <c r="D1200" s="266"/>
      <c r="E1200" s="266"/>
      <c r="F1200" s="305"/>
      <c r="G1200" s="188"/>
      <c r="H1200" s="266"/>
      <c r="I1200" s="266" t="s">
        <v>9</v>
      </c>
      <c r="J1200" s="266"/>
      <c r="K1200" s="278" t="s">
        <v>49</v>
      </c>
      <c r="L1200" s="278" t="s">
        <v>23</v>
      </c>
      <c r="M1200" s="278"/>
      <c r="N1200" s="278" t="s">
        <v>2494</v>
      </c>
      <c r="O1200" s="278" t="s">
        <v>298</v>
      </c>
      <c r="P1200" s="284" t="s">
        <v>298</v>
      </c>
      <c r="Q1200" s="279" t="s">
        <v>9</v>
      </c>
      <c r="R1200" s="279" t="s">
        <v>105</v>
      </c>
      <c r="S1200" s="279" t="s">
        <v>114</v>
      </c>
      <c r="T1200" s="278" t="s">
        <v>298</v>
      </c>
      <c r="U1200" s="278" t="s">
        <v>298</v>
      </c>
      <c r="V1200" s="278" t="s">
        <v>2494</v>
      </c>
      <c r="W1200" s="272" t="str">
        <f>IF(IFERROR(VLOOKUP($M1200,'IMPORT GS-Tür OL FL 2S2 20'!$H$2:$H$847,1,0),"-")="-","","GS")</f>
        <v/>
      </c>
      <c r="X1200" s="272" t="str">
        <f t="shared" si="91"/>
        <v/>
      </c>
      <c r="Y1200" s="278" t="s">
        <v>2495</v>
      </c>
      <c r="Z1200" s="273" t="str">
        <f>IF(OR($M1200="",NOT($O1200="{array}")),"",IFERROR(MATCH(PARAMETERS!$M1200,DEFAULT!$B$5:$CI$5,0),""))</f>
        <v/>
      </c>
      <c r="AA1200" s="272" t="str">
        <f t="shared" si="93"/>
        <v/>
      </c>
      <c r="AB1200" s="274" t="str">
        <f>IF(AND(OR($A1200="G",$A1200="P"),NOT($O1200="{array}")),IF(VLOOKUP($K1200,base!$B$2:$D$20,3,0)="S",IF(OR($O1200="",ISTEXT($O1200)),"","STRING!"),IF(VLOOKUP($K1200,base!$B$2:$D$20,3,0)="","",IF(ISTEXT($O1200),"NUMERIC!",""))),"")</f>
        <v/>
      </c>
      <c r="AC1200" s="275" t="str">
        <f>IF($AA1200="","",IF($B1200="I",VLOOKUP($AA1200,#REF!,53,0),INDEX(VALUES!$B$1:$GP$1,1,$AA1200)))</f>
        <v/>
      </c>
    </row>
    <row r="1201" spans="1:29" s="276" customFormat="1" hidden="1" outlineLevel="1">
      <c r="A1201" s="263"/>
      <c r="B1201" s="264" t="str">
        <f t="shared" si="94"/>
        <v/>
      </c>
      <c r="C1201" s="265">
        <f t="shared" si="90"/>
        <v>1200</v>
      </c>
      <c r="D1201" s="266"/>
      <c r="E1201" s="266"/>
      <c r="F1201" s="305"/>
      <c r="G1201" s="188"/>
      <c r="H1201" s="266"/>
      <c r="I1201" s="266" t="s">
        <v>9</v>
      </c>
      <c r="J1201" s="266"/>
      <c r="K1201" s="278" t="s">
        <v>20</v>
      </c>
      <c r="L1201" s="278" t="s">
        <v>23</v>
      </c>
      <c r="M1201" s="278"/>
      <c r="N1201" s="278" t="s">
        <v>2496</v>
      </c>
      <c r="O1201" s="278" t="s">
        <v>298</v>
      </c>
      <c r="P1201" s="284" t="s">
        <v>298</v>
      </c>
      <c r="Q1201" s="279" t="s">
        <v>9</v>
      </c>
      <c r="R1201" s="279" t="s">
        <v>105</v>
      </c>
      <c r="S1201" s="279" t="s">
        <v>114</v>
      </c>
      <c r="T1201" s="278" t="s">
        <v>298</v>
      </c>
      <c r="U1201" s="278" t="s">
        <v>298</v>
      </c>
      <c r="V1201" s="278" t="s">
        <v>2496</v>
      </c>
      <c r="W1201" s="272" t="str">
        <f>IF(IFERROR(VLOOKUP($M1201,'IMPORT GS-Tür OL FL 2S2 20'!$H$2:$H$847,1,0),"-")="-","","GS")</f>
        <v/>
      </c>
      <c r="X1201" s="272" t="str">
        <f t="shared" si="91"/>
        <v/>
      </c>
      <c r="Y1201" s="278" t="s">
        <v>298</v>
      </c>
      <c r="Z1201" s="273" t="str">
        <f>IF(OR($M1201="",NOT($O1201="{array}")),"",IFERROR(MATCH(PARAMETERS!$M1201,DEFAULT!$B$5:$CI$5,0),""))</f>
        <v/>
      </c>
      <c r="AA1201" s="272" t="str">
        <f t="shared" si="93"/>
        <v/>
      </c>
      <c r="AB1201" s="274" t="str">
        <f>IF(AND(OR($A1201="G",$A1201="P"),NOT($O1201="{array}")),IF(VLOOKUP($K1201,base!$B$2:$D$20,3,0)="S",IF(OR($O1201="",ISTEXT($O1201)),"","STRING!"),IF(VLOOKUP($K1201,base!$B$2:$D$20,3,0)="","",IF(ISTEXT($O1201),"NUMERIC!",""))),"")</f>
        <v/>
      </c>
      <c r="AC1201" s="275" t="str">
        <f>IF($AA1201="","",IF($B1201="I",VLOOKUP($AA1201,#REF!,53,0),INDEX(VALUES!$B$1:$GP$1,1,$AA1201)))</f>
        <v/>
      </c>
    </row>
    <row r="1202" spans="1:29" collapsed="1">
      <c r="A1202" s="21" t="s">
        <v>197</v>
      </c>
      <c r="B1202" s="40"/>
      <c r="C1202" s="41"/>
      <c r="D1202" s="260"/>
      <c r="E1202" s="37"/>
      <c r="F1202" s="305"/>
      <c r="G1202" s="188"/>
      <c r="H1202" s="37"/>
      <c r="I1202" s="37"/>
      <c r="J1202" s="37"/>
      <c r="R1202" s="37"/>
      <c r="S1202" s="37"/>
      <c r="T1202" s="37"/>
      <c r="W1202" s="14" t="str">
        <f>IF(IFERROR(VLOOKUP($M1202,'IMPORT GS-Tür OL FL 2S2 20'!$H$2:$H$847,1,0),"-")="-","","GS")</f>
        <v/>
      </c>
      <c r="X1202" s="14" t="str">
        <f t="shared" si="91"/>
        <v/>
      </c>
      <c r="Z1202" s="58" t="str">
        <f>IF(OR($M1202="",NOT($O1202="{array}")),"",IFERROR(MATCH(PARAMETERS!$M1202,DEFAULT!$B$5:$CI$5,0),""))</f>
        <v/>
      </c>
      <c r="AA1202" s="55" t="str">
        <f t="shared" si="93"/>
        <v/>
      </c>
      <c r="AB1202" s="62" t="str">
        <f>IF(AND(OR($A1202="G",$A1202="P"),NOT($O1202="{array}")),IF(VLOOKUP($K1202,base!$B$2:$D$20,3,0)="S",IF(OR($O1202="",ISTEXT($O1202)),"","STRING!"),IF(VLOOKUP($K1202,base!$B$2:$D$20,3,0)="","",IF(ISTEXT($O1202),"NUMERIC!",""))),"")</f>
        <v/>
      </c>
      <c r="AC1202" s="16" t="str">
        <f>IF($AA1202="","",IF($B1202="I",VLOOKUP($AA1202,#REF!,53,0),INDEX(VALUES!$B$1:$GP$1,1,$AA1202)))</f>
        <v/>
      </c>
    </row>
    <row r="1203" spans="1:29">
      <c r="A1203" s="21" t="s">
        <v>86</v>
      </c>
      <c r="B1203" s="40" t="str">
        <f t="shared" si="94"/>
        <v/>
      </c>
      <c r="C1203" s="41">
        <f t="shared" ref="C1203:C1423" si="95">(ROW()-1)</f>
        <v>1202</v>
      </c>
      <c r="D1203" s="260"/>
      <c r="E1203" s="37"/>
      <c r="F1203" s="305" t="s">
        <v>9</v>
      </c>
      <c r="G1203" s="188" t="s">
        <v>9</v>
      </c>
      <c r="H1203" s="37"/>
      <c r="I1203" s="37"/>
      <c r="J1203" s="37"/>
      <c r="K1203" s="13" t="s">
        <v>59</v>
      </c>
      <c r="L1203" s="13" t="s">
        <v>40</v>
      </c>
      <c r="M1203" s="47" t="s">
        <v>198</v>
      </c>
      <c r="N1203" s="40" t="s">
        <v>199</v>
      </c>
      <c r="R1203" s="37" t="s">
        <v>106</v>
      </c>
      <c r="S1203" s="37"/>
      <c r="T1203" s="37"/>
      <c r="W1203" s="14" t="str">
        <f>IF(IFERROR(VLOOKUP($M1203,'IMPORT GS-Tür OL FL 2S2 20'!$H$2:$H$847,1,0),"-")="-","","GS")</f>
        <v>GS</v>
      </c>
      <c r="X1203" s="14" t="str">
        <f t="shared" si="91"/>
        <v>...</v>
      </c>
      <c r="Z1203" s="58" t="str">
        <f>IF(OR($M1203="",NOT($O1203="{array}")),"",IFERROR(MATCH(PARAMETERS!$M1203,DEFAULT!$B$5:$CI$5,0),""))</f>
        <v/>
      </c>
      <c r="AA1203" s="55" t="str">
        <f t="shared" si="93"/>
        <v/>
      </c>
      <c r="AB1203" s="62" t="str">
        <f>IF(AND(OR($A1203="G",$A1203="P"),NOT($O1203="{array}")),IF(VLOOKUP($K1203,base!$B$2:$D$20,3,0)="S",IF(OR($O1203="",ISTEXT($O1203)),"","STRING!"),IF(VLOOKUP($K1203,base!$B$2:$D$20,3,0)="","",IF(ISTEXT($O1203),"NUMERIC!",""))),"")</f>
        <v/>
      </c>
      <c r="AC1203" s="16" t="str">
        <f>IF($AA1203="","",IF($B1203="I",VLOOKUP($AA1203,#REF!,53,0),INDEX(VALUES!$B$1:$GP$1,1,$AA1203)))</f>
        <v/>
      </c>
    </row>
    <row r="1204" spans="1:29" s="276" customFormat="1" hidden="1" outlineLevel="1">
      <c r="A1204" s="263"/>
      <c r="B1204" s="264" t="str">
        <f t="shared" si="94"/>
        <v/>
      </c>
      <c r="C1204" s="265">
        <f t="shared" si="95"/>
        <v>1203</v>
      </c>
      <c r="D1204" s="266"/>
      <c r="E1204" s="266"/>
      <c r="F1204" s="305" t="s">
        <v>9</v>
      </c>
      <c r="G1204" s="188"/>
      <c r="H1204" s="266"/>
      <c r="I1204" s="266"/>
      <c r="J1204" s="266"/>
      <c r="K1204" s="276" t="s">
        <v>59</v>
      </c>
      <c r="L1204" s="276" t="s">
        <v>40</v>
      </c>
      <c r="M1204" s="300" t="s">
        <v>200</v>
      </c>
      <c r="N1204" s="264" t="s">
        <v>201</v>
      </c>
      <c r="O1204" s="286"/>
      <c r="Q1204" s="266"/>
      <c r="R1204" s="266" t="s">
        <v>106</v>
      </c>
      <c r="S1204" s="266"/>
      <c r="T1204" s="266"/>
      <c r="W1204" s="272" t="str">
        <f>IF(IFERROR(VLOOKUP($M1204,'IMPORT GS-Tür OL FL 2S2 20'!$H$2:$H$847,1,0),"-")="-","","GS")</f>
        <v/>
      </c>
      <c r="X1204" s="272" t="str">
        <f t="shared" si="91"/>
        <v/>
      </c>
      <c r="Z1204" s="273" t="str">
        <f>IF(OR($M1204="",NOT($O1204="{array}")),"",IFERROR(MATCH(PARAMETERS!$M1204,DEFAULT!$B$5:$CI$5,0),""))</f>
        <v/>
      </c>
      <c r="AA1204" s="272" t="str">
        <f t="shared" si="93"/>
        <v/>
      </c>
      <c r="AB1204" s="274" t="str">
        <f>IF(AND(OR($A1204="G",$A1204="P"),NOT($O1204="{array}")),IF(VLOOKUP($K1204,base!$B$2:$D$20,3,0)="S",IF(OR($O1204="",ISTEXT($O1204)),"","STRING!"),IF(VLOOKUP($K1204,base!$B$2:$D$20,3,0)="","",IF(ISTEXT($O1204),"NUMERIC!",""))),"")</f>
        <v/>
      </c>
      <c r="AC1204" s="275" t="str">
        <f>IF($AA1204="","",IF($B1204="I",VLOOKUP($AA1204,#REF!,53,0),INDEX(VALUES!$B$1:$GP$1,1,$AA1204)))</f>
        <v/>
      </c>
    </row>
    <row r="1205" spans="1:29" hidden="1" outlineLevel="1">
      <c r="A1205" s="21" t="s">
        <v>86</v>
      </c>
      <c r="B1205" s="40" t="str">
        <f t="shared" si="94"/>
        <v>A</v>
      </c>
      <c r="C1205" s="41">
        <f t="shared" si="95"/>
        <v>1204</v>
      </c>
      <c r="D1205" s="260" t="s">
        <v>9</v>
      </c>
      <c r="E1205" s="37"/>
      <c r="F1205" s="305"/>
      <c r="G1205" s="188" t="s">
        <v>9</v>
      </c>
      <c r="H1205" s="37"/>
      <c r="I1205" s="37" t="s">
        <v>9</v>
      </c>
      <c r="J1205" s="37"/>
      <c r="K1205" s="13" t="s">
        <v>54</v>
      </c>
      <c r="L1205" s="13" t="s">
        <v>29</v>
      </c>
      <c r="M1205" s="214" t="s">
        <v>202</v>
      </c>
      <c r="N1205" s="13" t="s">
        <v>203</v>
      </c>
      <c r="O1205" s="42" t="s">
        <v>35</v>
      </c>
      <c r="R1205" s="37" t="s">
        <v>204</v>
      </c>
      <c r="S1205" s="37"/>
      <c r="T1205" s="37"/>
      <c r="W1205" s="14" t="str">
        <f>IF(IFERROR(VLOOKUP($M1205,'IMPORT GS-Tür OL FL 2S2 20'!$H$2:$H$847,1,0),"-")="-","","GS")</f>
        <v/>
      </c>
      <c r="X1205" s="14" t="str">
        <f t="shared" si="91"/>
        <v>...</v>
      </c>
      <c r="Z1205" s="58">
        <f>IF(OR($M1205="",NOT($O1205="{array}")),"",IFERROR(MATCH(PARAMETERS!$M1205,DEFAULT!$B$5:$CI$5,0),""))</f>
        <v>30</v>
      </c>
      <c r="AA1205" s="55" t="str">
        <f t="shared" si="93"/>
        <v/>
      </c>
      <c r="AB1205" s="62" t="str">
        <f>IF(AND(OR($A1205="G",$A1205="P"),NOT($O1205="{array}")),IF(VLOOKUP($K1205,base!$B$2:$D$20,3,0)="S",IF(OR($O1205="",ISTEXT($O1205)),"","STRING!"),IF(VLOOKUP($K1205,base!$B$2:$D$20,3,0)="","",IF(ISTEXT($O1205),"NUMERIC!",""))),"")</f>
        <v/>
      </c>
      <c r="AC1205" s="16" t="str">
        <f>IF($AA1205="","",IF($B1205="I",VLOOKUP($AA1205,#REF!,53,0),INDEX(VALUES!$B$1:$GP$1,1,$AA1205)))</f>
        <v/>
      </c>
    </row>
    <row r="1206" spans="1:29" s="276" customFormat="1" hidden="1" outlineLevel="1">
      <c r="A1206" s="263"/>
      <c r="B1206" s="264" t="str">
        <f t="shared" si="94"/>
        <v/>
      </c>
      <c r="C1206" s="265">
        <f t="shared" si="95"/>
        <v>1205</v>
      </c>
      <c r="D1206" s="266"/>
      <c r="E1206" s="266"/>
      <c r="F1206" s="305" t="s">
        <v>9</v>
      </c>
      <c r="G1206" s="188"/>
      <c r="H1206" s="266"/>
      <c r="I1206" s="266"/>
      <c r="J1206" s="266"/>
      <c r="K1206" s="276" t="s">
        <v>59</v>
      </c>
      <c r="L1206" s="276" t="s">
        <v>40</v>
      </c>
      <c r="M1206" s="300" t="s">
        <v>205</v>
      </c>
      <c r="N1206" s="264" t="s">
        <v>206</v>
      </c>
      <c r="O1206" s="286"/>
      <c r="Q1206" s="266"/>
      <c r="R1206" s="266" t="s">
        <v>106</v>
      </c>
      <c r="S1206" s="266"/>
      <c r="T1206" s="266"/>
      <c r="W1206" s="272" t="str">
        <f>IF(IFERROR(VLOOKUP($M1206,'IMPORT GS-Tür OL FL 2S2 20'!$H$2:$H$847,1,0),"-")="-","","GS")</f>
        <v>GS</v>
      </c>
      <c r="X1206" s="272" t="str">
        <f t="shared" si="91"/>
        <v/>
      </c>
      <c r="Z1206" s="273" t="str">
        <f>IF(OR($M1206="",NOT($O1206="{array}")),"",IFERROR(MATCH(PARAMETERS!$M1206,DEFAULT!$B$5:$CI$5,0),""))</f>
        <v/>
      </c>
      <c r="AA1206" s="272" t="str">
        <f t="shared" si="93"/>
        <v/>
      </c>
      <c r="AB1206" s="274" t="str">
        <f>IF(AND(OR($A1206="G",$A1206="P"),NOT($O1206="{array}")),IF(VLOOKUP($K1206,base!$B$2:$D$20,3,0)="S",IF(OR($O1206="",ISTEXT($O1206)),"","STRING!"),IF(VLOOKUP($K1206,base!$B$2:$D$20,3,0)="","",IF(ISTEXT($O1206),"NUMERIC!",""))),"")</f>
        <v/>
      </c>
      <c r="AC1206" s="275" t="str">
        <f>IF($AA1206="","",IF($B1206="I",VLOOKUP($AA1206,#REF!,53,0),INDEX(VALUES!$B$1:$GP$1,1,$AA1206)))</f>
        <v/>
      </c>
    </row>
    <row r="1207" spans="1:29" hidden="1" outlineLevel="1">
      <c r="A1207" s="21" t="s">
        <v>86</v>
      </c>
      <c r="B1207" s="40" t="str">
        <f t="shared" si="94"/>
        <v>A</v>
      </c>
      <c r="C1207" s="41">
        <f t="shared" si="95"/>
        <v>1206</v>
      </c>
      <c r="D1207" s="260" t="s">
        <v>9</v>
      </c>
      <c r="E1207" s="37"/>
      <c r="F1207" s="305"/>
      <c r="G1207" s="188" t="s">
        <v>9</v>
      </c>
      <c r="H1207" s="37"/>
      <c r="I1207" s="37" t="s">
        <v>9</v>
      </c>
      <c r="J1207" s="37"/>
      <c r="K1207" s="13" t="s">
        <v>55</v>
      </c>
      <c r="L1207" s="13" t="s">
        <v>29</v>
      </c>
      <c r="M1207" s="214" t="s">
        <v>207</v>
      </c>
      <c r="N1207" s="13" t="s">
        <v>208</v>
      </c>
      <c r="O1207" s="42" t="s">
        <v>35</v>
      </c>
      <c r="R1207" s="37" t="s">
        <v>204</v>
      </c>
      <c r="S1207" s="37"/>
      <c r="T1207" s="37"/>
      <c r="W1207" s="14" t="str">
        <f>IF(IFERROR(VLOOKUP($M1207,'IMPORT GS-Tür OL FL 2S2 20'!$H$2:$H$847,1,0),"-")="-","","GS")</f>
        <v/>
      </c>
      <c r="X1207" s="14" t="str">
        <f t="shared" si="91"/>
        <v>...</v>
      </c>
      <c r="Z1207" s="58">
        <f>IF(OR($M1207="",NOT($O1207="{array}")),"",IFERROR(MATCH(PARAMETERS!$M1207,DEFAULT!$B$5:$CI$5,0),""))</f>
        <v>24</v>
      </c>
      <c r="AA1207" s="55" t="str">
        <f t="shared" si="93"/>
        <v/>
      </c>
      <c r="AB1207" s="62" t="str">
        <f>IF(AND(OR($A1207="G",$A1207="P"),NOT($O1207="{array}")),IF(VLOOKUP($K1207,base!$B$2:$D$20,3,0)="S",IF(OR($O1207="",ISTEXT($O1207)),"","STRING!"),IF(VLOOKUP($K1207,base!$B$2:$D$20,3,0)="","",IF(ISTEXT($O1207),"NUMERIC!",""))),"")</f>
        <v/>
      </c>
      <c r="AC1207" s="16" t="str">
        <f>IF($AA1207="","",IF($B1207="I",VLOOKUP($AA1207,#REF!,53,0),INDEX(VALUES!$B$1:$GP$1,1,$AA1207)))</f>
        <v/>
      </c>
    </row>
    <row r="1208" spans="1:29" hidden="1" outlineLevel="1">
      <c r="A1208" s="21" t="s">
        <v>86</v>
      </c>
      <c r="B1208" s="40" t="str">
        <f t="shared" si="94"/>
        <v>A</v>
      </c>
      <c r="C1208" s="41">
        <f t="shared" si="95"/>
        <v>1207</v>
      </c>
      <c r="D1208" s="260" t="s">
        <v>9</v>
      </c>
      <c r="E1208" s="37"/>
      <c r="F1208" s="305"/>
      <c r="G1208" s="188" t="s">
        <v>9</v>
      </c>
      <c r="H1208" s="37"/>
      <c r="I1208" s="37" t="s">
        <v>9</v>
      </c>
      <c r="J1208" s="37"/>
      <c r="K1208" s="13" t="s">
        <v>55</v>
      </c>
      <c r="L1208" s="13" t="s">
        <v>29</v>
      </c>
      <c r="M1208" s="214" t="s">
        <v>209</v>
      </c>
      <c r="N1208" s="13" t="s">
        <v>210</v>
      </c>
      <c r="O1208" s="42" t="s">
        <v>35</v>
      </c>
      <c r="R1208" s="37" t="s">
        <v>204</v>
      </c>
      <c r="S1208" s="37"/>
      <c r="T1208" s="37"/>
      <c r="W1208" s="14" t="str">
        <f>IF(IFERROR(VLOOKUP($M1208,'IMPORT GS-Tür OL FL 2S2 20'!$H$2:$H$847,1,0),"-")="-","","GS")</f>
        <v/>
      </c>
      <c r="X1208" s="14" t="str">
        <f t="shared" si="91"/>
        <v>...</v>
      </c>
      <c r="Z1208" s="58">
        <f>IF(OR($M1208="",NOT($O1208="{array}")),"",IFERROR(MATCH(PARAMETERS!$M1208,DEFAULT!$B$5:$CI$5,0),""))</f>
        <v>26</v>
      </c>
      <c r="AA1208" s="55" t="str">
        <f t="shared" si="93"/>
        <v/>
      </c>
      <c r="AB1208" s="62" t="str">
        <f>IF(AND(OR($A1208="G",$A1208="P"),NOT($O1208="{array}")),IF(VLOOKUP($K1208,base!$B$2:$D$20,3,0)="S",IF(OR($O1208="",ISTEXT($O1208)),"","STRING!"),IF(VLOOKUP($K1208,base!$B$2:$D$20,3,0)="","",IF(ISTEXT($O1208),"NUMERIC!",""))),"")</f>
        <v/>
      </c>
      <c r="AC1208" s="16" t="str">
        <f>IF($AA1208="","",IF($B1208="I",VLOOKUP($AA1208,#REF!,53,0),INDEX(VALUES!$B$1:$GP$1,1,$AA1208)))</f>
        <v/>
      </c>
    </row>
    <row r="1209" spans="1:29" hidden="1" outlineLevel="1">
      <c r="A1209" s="21" t="s">
        <v>86</v>
      </c>
      <c r="B1209" s="40" t="str">
        <f t="shared" si="94"/>
        <v>A</v>
      </c>
      <c r="C1209" s="41">
        <f t="shared" si="95"/>
        <v>1208</v>
      </c>
      <c r="D1209" s="260" t="s">
        <v>9</v>
      </c>
      <c r="E1209" s="37"/>
      <c r="F1209" s="305"/>
      <c r="G1209" s="188" t="s">
        <v>9</v>
      </c>
      <c r="H1209" s="37"/>
      <c r="I1209" s="37" t="s">
        <v>9</v>
      </c>
      <c r="J1209" s="37"/>
      <c r="K1209" s="13" t="s">
        <v>55</v>
      </c>
      <c r="L1209" s="13" t="s">
        <v>29</v>
      </c>
      <c r="M1209" s="214" t="s">
        <v>211</v>
      </c>
      <c r="N1209" s="13" t="s">
        <v>212</v>
      </c>
      <c r="O1209" s="42" t="s">
        <v>35</v>
      </c>
      <c r="R1209" s="37" t="s">
        <v>204</v>
      </c>
      <c r="S1209" s="37"/>
      <c r="T1209" s="37"/>
      <c r="W1209" s="14" t="str">
        <f>IF(IFERROR(VLOOKUP($M1209,'IMPORT GS-Tür OL FL 2S2 20'!$H$2:$H$847,1,0),"-")="-","","GS")</f>
        <v/>
      </c>
      <c r="X1209" s="14" t="str">
        <f t="shared" si="91"/>
        <v>...</v>
      </c>
      <c r="Z1209" s="58">
        <f>IF(OR($M1209="",NOT($O1209="{array}")),"",IFERROR(MATCH(PARAMETERS!$M1209,DEFAULT!$B$5:$CI$5,0),""))</f>
        <v>28</v>
      </c>
      <c r="AA1209" s="55" t="str">
        <f t="shared" si="93"/>
        <v/>
      </c>
      <c r="AB1209" s="62" t="str">
        <f>IF(AND(OR($A1209="G",$A1209="P"),NOT($O1209="{array}")),IF(VLOOKUP($K1209,base!$B$2:$D$20,3,0)="S",IF(OR($O1209="",ISTEXT($O1209)),"","STRING!"),IF(VLOOKUP($K1209,base!$B$2:$D$20,3,0)="","",IF(ISTEXT($O1209),"NUMERIC!",""))),"")</f>
        <v/>
      </c>
      <c r="AC1209" s="16" t="str">
        <f>IF($AA1209="","",IF($B1209="I",VLOOKUP($AA1209,#REF!,53,0),INDEX(VALUES!$B$1:$GP$1,1,$AA1209)))</f>
        <v/>
      </c>
    </row>
    <row r="1210" spans="1:29" s="276" customFormat="1" hidden="1" outlineLevel="1">
      <c r="A1210" s="263"/>
      <c r="B1210" s="264" t="str">
        <f t="shared" si="94"/>
        <v/>
      </c>
      <c r="C1210" s="265">
        <f t="shared" si="95"/>
        <v>1209</v>
      </c>
      <c r="D1210" s="266"/>
      <c r="E1210" s="266"/>
      <c r="F1210" s="305" t="s">
        <v>9</v>
      </c>
      <c r="G1210" s="188"/>
      <c r="H1210" s="266"/>
      <c r="I1210" s="266" t="s">
        <v>9</v>
      </c>
      <c r="J1210" s="266"/>
      <c r="K1210" s="276" t="s">
        <v>55</v>
      </c>
      <c r="L1210" s="276" t="s">
        <v>29</v>
      </c>
      <c r="M1210" s="301" t="s">
        <v>2497</v>
      </c>
      <c r="N1210" s="276" t="s">
        <v>2498</v>
      </c>
      <c r="O1210" s="286">
        <v>2</v>
      </c>
      <c r="Q1210" s="266"/>
      <c r="R1210" s="266" t="s">
        <v>106</v>
      </c>
      <c r="S1210" s="266"/>
      <c r="T1210" s="266"/>
      <c r="W1210" s="272" t="str">
        <f>IF(IFERROR(VLOOKUP($M1210,'IMPORT GS-Tür OL FL 2S2 20'!$H$2:$H$847,1,0),"-")="-","","GS")</f>
        <v>GS</v>
      </c>
      <c r="X1210" s="272" t="str">
        <f t="shared" si="91"/>
        <v/>
      </c>
      <c r="Z1210" s="273" t="str">
        <f>IF(OR($M1210="",NOT($O1210="{array}")),"",IFERROR(MATCH(PARAMETERS!$M1210,DEFAULT!$B$5:$CI$5,0),""))</f>
        <v/>
      </c>
      <c r="AA1210" s="272" t="str">
        <f t="shared" si="93"/>
        <v/>
      </c>
      <c r="AB1210" s="274" t="str">
        <f>IF(AND(OR($A1210="G",$A1210="P"),NOT($O1210="{array}")),IF(VLOOKUP($K1210,base!$B$2:$D$20,3,0)="S",IF(OR($O1210="",ISTEXT($O1210)),"","STRING!"),IF(VLOOKUP($K1210,base!$B$2:$D$20,3,0)="","",IF(ISTEXT($O1210),"NUMERIC!",""))),"")</f>
        <v/>
      </c>
      <c r="AC1210" s="275" t="str">
        <f>IF($AA1210="","",IF($B1210="I",VLOOKUP($AA1210,#REF!,53,0),INDEX(VALUES!$B$1:$GP$1,1,$AA1210)))</f>
        <v/>
      </c>
    </row>
    <row r="1211" spans="1:29" s="276" customFormat="1" hidden="1" outlineLevel="1">
      <c r="A1211" s="263"/>
      <c r="B1211" s="264" t="str">
        <f t="shared" si="94"/>
        <v/>
      </c>
      <c r="C1211" s="265">
        <f t="shared" si="95"/>
        <v>1210</v>
      </c>
      <c r="D1211" s="266"/>
      <c r="E1211" s="266"/>
      <c r="F1211" s="305" t="s">
        <v>9</v>
      </c>
      <c r="G1211" s="188"/>
      <c r="H1211" s="266"/>
      <c r="I1211" s="266" t="s">
        <v>9</v>
      </c>
      <c r="J1211" s="266"/>
      <c r="K1211" s="276" t="s">
        <v>55</v>
      </c>
      <c r="L1211" s="276" t="s">
        <v>29</v>
      </c>
      <c r="M1211" s="301" t="s">
        <v>2499</v>
      </c>
      <c r="N1211" s="276" t="s">
        <v>2500</v>
      </c>
      <c r="O1211" s="286">
        <v>2</v>
      </c>
      <c r="Q1211" s="266"/>
      <c r="R1211" s="266" t="s">
        <v>106</v>
      </c>
      <c r="S1211" s="266"/>
      <c r="T1211" s="266"/>
      <c r="W1211" s="272" t="str">
        <f>IF(IFERROR(VLOOKUP($M1211,'IMPORT GS-Tür OL FL 2S2 20'!$H$2:$H$847,1,0),"-")="-","","GS")</f>
        <v>GS</v>
      </c>
      <c r="X1211" s="272" t="str">
        <f t="shared" si="91"/>
        <v/>
      </c>
      <c r="Z1211" s="273" t="str">
        <f>IF(OR($M1211="",NOT($O1211="{array}")),"",IFERROR(MATCH(PARAMETERS!$M1211,DEFAULT!$B$5:$CI$5,0),""))</f>
        <v/>
      </c>
      <c r="AA1211" s="272" t="str">
        <f t="shared" si="93"/>
        <v/>
      </c>
      <c r="AB1211" s="274" t="str">
        <f>IF(AND(OR($A1211="G",$A1211="P"),NOT($O1211="{array}")),IF(VLOOKUP($K1211,base!$B$2:$D$20,3,0)="S",IF(OR($O1211="",ISTEXT($O1211)),"","STRING!"),IF(VLOOKUP($K1211,base!$B$2:$D$20,3,0)="","",IF(ISTEXT($O1211),"NUMERIC!",""))),"")</f>
        <v/>
      </c>
      <c r="AC1211" s="275" t="str">
        <f>IF($AA1211="","",IF($B1211="I",VLOOKUP($AA1211,#REF!,53,0),INDEX(VALUES!$B$1:$GP$1,1,$AA1211)))</f>
        <v/>
      </c>
    </row>
    <row r="1212" spans="1:29" s="276" customFormat="1" hidden="1" outlineLevel="1">
      <c r="A1212" s="263"/>
      <c r="B1212" s="264" t="str">
        <f t="shared" si="94"/>
        <v/>
      </c>
      <c r="C1212" s="265">
        <f t="shared" si="95"/>
        <v>1211</v>
      </c>
      <c r="D1212" s="266"/>
      <c r="E1212" s="266"/>
      <c r="F1212" s="305"/>
      <c r="G1212" s="188"/>
      <c r="H1212" s="266"/>
      <c r="I1212" s="266" t="s">
        <v>9</v>
      </c>
      <c r="J1212" s="266"/>
      <c r="K1212" s="276" t="s">
        <v>54</v>
      </c>
      <c r="L1212" s="276" t="s">
        <v>29</v>
      </c>
      <c r="M1212" s="301" t="s">
        <v>2501</v>
      </c>
      <c r="N1212" s="276" t="s">
        <v>2502</v>
      </c>
      <c r="O1212" s="286">
        <v>65</v>
      </c>
      <c r="Q1212" s="266"/>
      <c r="R1212" s="266" t="s">
        <v>106</v>
      </c>
      <c r="S1212" s="266"/>
      <c r="T1212" s="266"/>
      <c r="W1212" s="272" t="str">
        <f>IF(IFERROR(VLOOKUP($M1212,'IMPORT GS-Tür OL FL 2S2 20'!$H$2:$H$847,1,0),"-")="-","","GS")</f>
        <v>GS</v>
      </c>
      <c r="X1212" s="272" t="str">
        <f t="shared" si="91"/>
        <v/>
      </c>
      <c r="Z1212" s="273" t="str">
        <f>IF(OR($M1212="",NOT($O1212="{array}")),"",IFERROR(MATCH(PARAMETERS!$M1212,DEFAULT!$B$5:$CI$5,0),""))</f>
        <v/>
      </c>
      <c r="AA1212" s="272" t="str">
        <f t="shared" si="93"/>
        <v/>
      </c>
      <c r="AB1212" s="274" t="str">
        <f>IF(AND(OR($A1212="G",$A1212="P"),NOT($O1212="{array}")),IF(VLOOKUP($K1212,base!$B$2:$D$20,3,0)="S",IF(OR($O1212="",ISTEXT($O1212)),"","STRING!"),IF(VLOOKUP($K1212,base!$B$2:$D$20,3,0)="","",IF(ISTEXT($O1212),"NUMERIC!",""))),"")</f>
        <v/>
      </c>
      <c r="AC1212" s="275" t="str">
        <f>IF($AA1212="","",IF($B1212="I",VLOOKUP($AA1212,#REF!,53,0),INDEX(VALUES!$B$1:$GP$1,1,$AA1212)))</f>
        <v/>
      </c>
    </row>
    <row r="1213" spans="1:29" s="276" customFormat="1" hidden="1" outlineLevel="1">
      <c r="A1213" s="263"/>
      <c r="B1213" s="264" t="str">
        <f t="shared" si="94"/>
        <v/>
      </c>
      <c r="C1213" s="265">
        <f t="shared" si="95"/>
        <v>1212</v>
      </c>
      <c r="D1213" s="266"/>
      <c r="E1213" s="266"/>
      <c r="F1213" s="305"/>
      <c r="G1213" s="188"/>
      <c r="H1213" s="266"/>
      <c r="I1213" s="266" t="s">
        <v>9</v>
      </c>
      <c r="J1213" s="266"/>
      <c r="K1213" s="276" t="s">
        <v>55</v>
      </c>
      <c r="L1213" s="276" t="s">
        <v>29</v>
      </c>
      <c r="M1213" s="301" t="s">
        <v>2503</v>
      </c>
      <c r="N1213" s="276" t="s">
        <v>2504</v>
      </c>
      <c r="O1213" s="286">
        <v>19</v>
      </c>
      <c r="Q1213" s="266"/>
      <c r="R1213" s="266" t="s">
        <v>106</v>
      </c>
      <c r="S1213" s="266"/>
      <c r="T1213" s="266"/>
      <c r="W1213" s="272" t="str">
        <f>IF(IFERROR(VLOOKUP($M1213,'IMPORT GS-Tür OL FL 2S2 20'!$H$2:$H$847,1,0),"-")="-","","GS")</f>
        <v>GS</v>
      </c>
      <c r="X1213" s="272" t="str">
        <f t="shared" si="91"/>
        <v/>
      </c>
      <c r="Z1213" s="273" t="str">
        <f>IF(OR($M1213="",NOT($O1213="{array}")),"",IFERROR(MATCH(PARAMETERS!$M1213,DEFAULT!$B$5:$CI$5,0),""))</f>
        <v/>
      </c>
      <c r="AA1213" s="272" t="str">
        <f t="shared" si="93"/>
        <v/>
      </c>
      <c r="AB1213" s="274" t="str">
        <f>IF(AND(OR($A1213="G",$A1213="P"),NOT($O1213="{array}")),IF(VLOOKUP($K1213,base!$B$2:$D$20,3,0)="S",IF(OR($O1213="",ISTEXT($O1213)),"","STRING!"),IF(VLOOKUP($K1213,base!$B$2:$D$20,3,0)="","",IF(ISTEXT($O1213),"NUMERIC!",""))),"")</f>
        <v/>
      </c>
      <c r="AC1213" s="275" t="str">
        <f>IF($AA1213="","",IF($B1213="I",VLOOKUP($AA1213,#REF!,53,0),INDEX(VALUES!$B$1:$GP$1,1,$AA1213)))</f>
        <v/>
      </c>
    </row>
    <row r="1214" spans="1:29" s="276" customFormat="1" hidden="1" outlineLevel="1">
      <c r="A1214" s="263"/>
      <c r="B1214" s="264" t="str">
        <f t="shared" si="94"/>
        <v/>
      </c>
      <c r="C1214" s="265">
        <f t="shared" si="95"/>
        <v>1213</v>
      </c>
      <c r="D1214" s="266"/>
      <c r="E1214" s="266"/>
      <c r="F1214" s="305"/>
      <c r="G1214" s="188"/>
      <c r="H1214" s="266"/>
      <c r="I1214" s="266" t="s">
        <v>9</v>
      </c>
      <c r="J1214" s="266"/>
      <c r="K1214" s="276" t="s">
        <v>55</v>
      </c>
      <c r="L1214" s="276" t="s">
        <v>29</v>
      </c>
      <c r="M1214" s="301" t="s">
        <v>2505</v>
      </c>
      <c r="N1214" s="276" t="s">
        <v>2506</v>
      </c>
      <c r="O1214" s="286">
        <v>19</v>
      </c>
      <c r="Q1214" s="266"/>
      <c r="R1214" s="266" t="s">
        <v>106</v>
      </c>
      <c r="S1214" s="266"/>
      <c r="T1214" s="266"/>
      <c r="W1214" s="272" t="str">
        <f>IF(IFERROR(VLOOKUP($M1214,'IMPORT GS-Tür OL FL 2S2 20'!$H$2:$H$847,1,0),"-")="-","","GS")</f>
        <v>GS</v>
      </c>
      <c r="X1214" s="272" t="str">
        <f t="shared" si="91"/>
        <v/>
      </c>
      <c r="Z1214" s="273" t="str">
        <f>IF(OR($M1214="",NOT($O1214="{array}")),"",IFERROR(MATCH(PARAMETERS!$M1214,DEFAULT!$B$5:$CI$5,0),""))</f>
        <v/>
      </c>
      <c r="AA1214" s="272" t="str">
        <f t="shared" si="93"/>
        <v/>
      </c>
      <c r="AB1214" s="274" t="str">
        <f>IF(AND(OR($A1214="G",$A1214="P"),NOT($O1214="{array}")),IF(VLOOKUP($K1214,base!$B$2:$D$20,3,0)="S",IF(OR($O1214="",ISTEXT($O1214)),"","STRING!"),IF(VLOOKUP($K1214,base!$B$2:$D$20,3,0)="","",IF(ISTEXT($O1214),"NUMERIC!",""))),"")</f>
        <v/>
      </c>
      <c r="AC1214" s="275" t="str">
        <f>IF($AA1214="","",IF($B1214="I",VLOOKUP($AA1214,#REF!,53,0),INDEX(VALUES!$B$1:$GP$1,1,$AA1214)))</f>
        <v/>
      </c>
    </row>
    <row r="1215" spans="1:29" s="276" customFormat="1" hidden="1" outlineLevel="1">
      <c r="A1215" s="263"/>
      <c r="B1215" s="264" t="str">
        <f t="shared" si="94"/>
        <v/>
      </c>
      <c r="C1215" s="265">
        <f t="shared" si="95"/>
        <v>1214</v>
      </c>
      <c r="D1215" s="266"/>
      <c r="E1215" s="266"/>
      <c r="F1215" s="305" t="s">
        <v>9</v>
      </c>
      <c r="G1215" s="188"/>
      <c r="H1215" s="266"/>
      <c r="I1215" s="266" t="s">
        <v>9</v>
      </c>
      <c r="J1215" s="266"/>
      <c r="K1215" s="276" t="s">
        <v>55</v>
      </c>
      <c r="L1215" s="276" t="s">
        <v>29</v>
      </c>
      <c r="M1215" s="301" t="s">
        <v>2507</v>
      </c>
      <c r="N1215" s="276" t="s">
        <v>2508</v>
      </c>
      <c r="O1215" s="286">
        <v>2</v>
      </c>
      <c r="Q1215" s="266"/>
      <c r="R1215" s="266" t="s">
        <v>106</v>
      </c>
      <c r="S1215" s="266"/>
      <c r="T1215" s="266"/>
      <c r="W1215" s="272" t="str">
        <f>IF(IFERROR(VLOOKUP($M1215,'IMPORT GS-Tür OL FL 2S2 20'!$H$2:$H$847,1,0),"-")="-","","GS")</f>
        <v>GS</v>
      </c>
      <c r="X1215" s="272" t="str">
        <f t="shared" si="91"/>
        <v/>
      </c>
      <c r="Z1215" s="273" t="str">
        <f>IF(OR($M1215="",NOT($O1215="{array}")),"",IFERROR(MATCH(PARAMETERS!$M1215,DEFAULT!$B$5:$CI$5,0),""))</f>
        <v/>
      </c>
      <c r="AA1215" s="272" t="str">
        <f t="shared" si="93"/>
        <v/>
      </c>
      <c r="AB1215" s="274" t="str">
        <f>IF(AND(OR($A1215="G",$A1215="P"),NOT($O1215="{array}")),IF(VLOOKUP($K1215,base!$B$2:$D$20,3,0)="S",IF(OR($O1215="",ISTEXT($O1215)),"","STRING!"),IF(VLOOKUP($K1215,base!$B$2:$D$20,3,0)="","",IF(ISTEXT($O1215),"NUMERIC!",""))),"")</f>
        <v/>
      </c>
      <c r="AC1215" s="275" t="str">
        <f>IF($AA1215="","",IF($B1215="I",VLOOKUP($AA1215,#REF!,53,0),INDEX(VALUES!$B$1:$GP$1,1,$AA1215)))</f>
        <v/>
      </c>
    </row>
    <row r="1216" spans="1:29" s="276" customFormat="1" hidden="1" outlineLevel="1">
      <c r="A1216" s="263"/>
      <c r="B1216" s="264" t="str">
        <f t="shared" si="94"/>
        <v/>
      </c>
      <c r="C1216" s="265">
        <f t="shared" si="95"/>
        <v>1215</v>
      </c>
      <c r="D1216" s="266"/>
      <c r="E1216" s="266"/>
      <c r="F1216" s="305"/>
      <c r="G1216" s="188"/>
      <c r="H1216" s="266"/>
      <c r="I1216" s="266" t="s">
        <v>9</v>
      </c>
      <c r="J1216" s="266"/>
      <c r="K1216" s="276" t="s">
        <v>54</v>
      </c>
      <c r="L1216" s="276" t="s">
        <v>29</v>
      </c>
      <c r="M1216" s="301" t="s">
        <v>2509</v>
      </c>
      <c r="N1216" s="276" t="s">
        <v>2510</v>
      </c>
      <c r="O1216" s="286">
        <v>16</v>
      </c>
      <c r="Q1216" s="266"/>
      <c r="R1216" s="266" t="s">
        <v>106</v>
      </c>
      <c r="S1216" s="266"/>
      <c r="T1216" s="266"/>
      <c r="W1216" s="272" t="str">
        <f>IF(IFERROR(VLOOKUP($M1216,'IMPORT GS-Tür OL FL 2S2 20'!$H$2:$H$847,1,0),"-")="-","","GS")</f>
        <v>GS</v>
      </c>
      <c r="X1216" s="272" t="str">
        <f t="shared" si="91"/>
        <v/>
      </c>
      <c r="Z1216" s="273" t="str">
        <f>IF(OR($M1216="",NOT($O1216="{array}")),"",IFERROR(MATCH(PARAMETERS!$M1216,DEFAULT!$B$5:$CI$5,0),""))</f>
        <v/>
      </c>
      <c r="AA1216" s="272" t="str">
        <f t="shared" si="93"/>
        <v/>
      </c>
      <c r="AB1216" s="274" t="str">
        <f>IF(AND(OR($A1216="G",$A1216="P"),NOT($O1216="{array}")),IF(VLOOKUP($K1216,base!$B$2:$D$20,3,0)="S",IF(OR($O1216="",ISTEXT($O1216)),"","STRING!"),IF(VLOOKUP($K1216,base!$B$2:$D$20,3,0)="","",IF(ISTEXT($O1216),"NUMERIC!",""))),"")</f>
        <v/>
      </c>
      <c r="AC1216" s="275" t="str">
        <f>IF($AA1216="","",IF($B1216="I",VLOOKUP($AA1216,#REF!,53,0),INDEX(VALUES!$B$1:$GP$1,1,$AA1216)))</f>
        <v/>
      </c>
    </row>
    <row r="1217" spans="1:29" s="276" customFormat="1" hidden="1" outlineLevel="1">
      <c r="A1217" s="263"/>
      <c r="B1217" s="264" t="str">
        <f t="shared" si="94"/>
        <v/>
      </c>
      <c r="C1217" s="265">
        <f t="shared" si="95"/>
        <v>1216</v>
      </c>
      <c r="D1217" s="266"/>
      <c r="E1217" s="266"/>
      <c r="F1217" s="305"/>
      <c r="G1217" s="188"/>
      <c r="H1217" s="266"/>
      <c r="I1217" s="266" t="s">
        <v>9</v>
      </c>
      <c r="J1217" s="266"/>
      <c r="K1217" s="276" t="s">
        <v>55</v>
      </c>
      <c r="L1217" s="276" t="s">
        <v>29</v>
      </c>
      <c r="M1217" s="301" t="s">
        <v>2511</v>
      </c>
      <c r="N1217" s="276" t="s">
        <v>2512</v>
      </c>
      <c r="O1217" s="286">
        <v>19</v>
      </c>
      <c r="Q1217" s="266"/>
      <c r="R1217" s="266" t="s">
        <v>106</v>
      </c>
      <c r="S1217" s="266"/>
      <c r="T1217" s="266"/>
      <c r="W1217" s="272" t="str">
        <f>IF(IFERROR(VLOOKUP($M1217,'IMPORT GS-Tür OL FL 2S2 20'!$H$2:$H$847,1,0),"-")="-","","GS")</f>
        <v>GS</v>
      </c>
      <c r="X1217" s="272" t="str">
        <f t="shared" si="91"/>
        <v/>
      </c>
      <c r="Z1217" s="273" t="str">
        <f>IF(OR($M1217="",NOT($O1217="{array}")),"",IFERROR(MATCH(PARAMETERS!$M1217,DEFAULT!$B$5:$CI$5,0),""))</f>
        <v/>
      </c>
      <c r="AA1217" s="272" t="str">
        <f t="shared" si="93"/>
        <v/>
      </c>
      <c r="AB1217" s="274" t="str">
        <f>IF(AND(OR($A1217="G",$A1217="P"),NOT($O1217="{array}")),IF(VLOOKUP($K1217,base!$B$2:$D$20,3,0)="S",IF(OR($O1217="",ISTEXT($O1217)),"","STRING!"),IF(VLOOKUP($K1217,base!$B$2:$D$20,3,0)="","",IF(ISTEXT($O1217),"NUMERIC!",""))),"")</f>
        <v/>
      </c>
      <c r="AC1217" s="275" t="str">
        <f>IF($AA1217="","",IF($B1217="I",VLOOKUP($AA1217,#REF!,53,0),INDEX(VALUES!$B$1:$GP$1,1,$AA1217)))</f>
        <v/>
      </c>
    </row>
    <row r="1218" spans="1:29" s="276" customFormat="1" hidden="1" outlineLevel="1">
      <c r="A1218" s="263"/>
      <c r="B1218" s="264" t="str">
        <f t="shared" si="94"/>
        <v/>
      </c>
      <c r="C1218" s="265">
        <f t="shared" si="95"/>
        <v>1217</v>
      </c>
      <c r="D1218" s="266"/>
      <c r="E1218" s="266"/>
      <c r="F1218" s="305"/>
      <c r="G1218" s="188"/>
      <c r="H1218" s="266"/>
      <c r="I1218" s="266" t="s">
        <v>9</v>
      </c>
      <c r="J1218" s="266"/>
      <c r="K1218" s="276" t="s">
        <v>55</v>
      </c>
      <c r="L1218" s="276" t="s">
        <v>29</v>
      </c>
      <c r="M1218" s="301" t="s">
        <v>2513</v>
      </c>
      <c r="N1218" s="276" t="s">
        <v>2514</v>
      </c>
      <c r="O1218" s="286">
        <v>19</v>
      </c>
      <c r="Q1218" s="266"/>
      <c r="R1218" s="266" t="s">
        <v>106</v>
      </c>
      <c r="S1218" s="266"/>
      <c r="T1218" s="266"/>
      <c r="W1218" s="272" t="str">
        <f>IF(IFERROR(VLOOKUP($M1218,'IMPORT GS-Tür OL FL 2S2 20'!$H$2:$H$847,1,0),"-")="-","","GS")</f>
        <v>GS</v>
      </c>
      <c r="X1218" s="272" t="str">
        <f t="shared" si="91"/>
        <v/>
      </c>
      <c r="Z1218" s="273" t="str">
        <f>IF(OR($M1218="",NOT($O1218="{array}")),"",IFERROR(MATCH(PARAMETERS!$M1218,DEFAULT!$B$5:$CI$5,0),""))</f>
        <v/>
      </c>
      <c r="AA1218" s="272" t="str">
        <f t="shared" si="93"/>
        <v/>
      </c>
      <c r="AB1218" s="274" t="str">
        <f>IF(AND(OR($A1218="G",$A1218="P"),NOT($O1218="{array}")),IF(VLOOKUP($K1218,base!$B$2:$D$20,3,0)="S",IF(OR($O1218="",ISTEXT($O1218)),"","STRING!"),IF(VLOOKUP($K1218,base!$B$2:$D$20,3,0)="","",IF(ISTEXT($O1218),"NUMERIC!",""))),"")</f>
        <v/>
      </c>
      <c r="AC1218" s="275" t="str">
        <f>IF($AA1218="","",IF($B1218="I",VLOOKUP($AA1218,#REF!,53,0),INDEX(VALUES!$B$1:$GP$1,1,$AA1218)))</f>
        <v/>
      </c>
    </row>
    <row r="1219" spans="1:29" s="276" customFormat="1" hidden="1" outlineLevel="1">
      <c r="A1219" s="263"/>
      <c r="B1219" s="264" t="str">
        <f t="shared" si="94"/>
        <v/>
      </c>
      <c r="C1219" s="265">
        <f t="shared" si="95"/>
        <v>1218</v>
      </c>
      <c r="D1219" s="266"/>
      <c r="E1219" s="266"/>
      <c r="F1219" s="305"/>
      <c r="G1219" s="188"/>
      <c r="H1219" s="266"/>
      <c r="I1219" s="266" t="s">
        <v>9</v>
      </c>
      <c r="J1219" s="266"/>
      <c r="K1219" s="276" t="s">
        <v>55</v>
      </c>
      <c r="L1219" s="276" t="s">
        <v>29</v>
      </c>
      <c r="M1219" s="301" t="s">
        <v>2515</v>
      </c>
      <c r="N1219" s="276" t="s">
        <v>2516</v>
      </c>
      <c r="O1219" s="286">
        <v>2</v>
      </c>
      <c r="Q1219" s="266"/>
      <c r="R1219" s="266" t="s">
        <v>106</v>
      </c>
      <c r="S1219" s="266"/>
      <c r="T1219" s="266"/>
      <c r="W1219" s="272" t="str">
        <f>IF(IFERROR(VLOOKUP($M1219,'IMPORT GS-Tür OL FL 2S2 20'!$H$2:$H$847,1,0),"-")="-","","GS")</f>
        <v>GS</v>
      </c>
      <c r="X1219" s="272" t="str">
        <f t="shared" si="91"/>
        <v/>
      </c>
      <c r="Z1219" s="273" t="str">
        <f>IF(OR($M1219="",NOT($O1219="{array}")),"",IFERROR(MATCH(PARAMETERS!$M1219,DEFAULT!$B$5:$CI$5,0),""))</f>
        <v/>
      </c>
      <c r="AA1219" s="272" t="str">
        <f t="shared" si="93"/>
        <v/>
      </c>
      <c r="AB1219" s="274" t="str">
        <f>IF(AND(OR($A1219="G",$A1219="P"),NOT($O1219="{array}")),IF(VLOOKUP($K1219,base!$B$2:$D$20,3,0)="S",IF(OR($O1219="",ISTEXT($O1219)),"","STRING!"),IF(VLOOKUP($K1219,base!$B$2:$D$20,3,0)="","",IF(ISTEXT($O1219),"NUMERIC!",""))),"")</f>
        <v/>
      </c>
      <c r="AC1219" s="275" t="str">
        <f>IF($AA1219="","",IF($B1219="I",VLOOKUP($AA1219,#REF!,53,0),INDEX(VALUES!$B$1:$GP$1,1,$AA1219)))</f>
        <v/>
      </c>
    </row>
    <row r="1220" spans="1:29" s="276" customFormat="1" hidden="1" outlineLevel="1">
      <c r="A1220" s="263"/>
      <c r="B1220" s="264" t="str">
        <f t="shared" si="94"/>
        <v/>
      </c>
      <c r="C1220" s="265">
        <f t="shared" si="95"/>
        <v>1219</v>
      </c>
      <c r="D1220" s="266"/>
      <c r="E1220" s="266"/>
      <c r="F1220" s="305"/>
      <c r="G1220" s="188" t="s">
        <v>9</v>
      </c>
      <c r="H1220" s="266"/>
      <c r="I1220" s="266" t="s">
        <v>9</v>
      </c>
      <c r="J1220" s="266"/>
      <c r="K1220" s="276" t="s">
        <v>54</v>
      </c>
      <c r="L1220" s="276" t="s">
        <v>29</v>
      </c>
      <c r="M1220" s="301" t="s">
        <v>2517</v>
      </c>
      <c r="N1220" s="276" t="s">
        <v>2518</v>
      </c>
      <c r="O1220" s="286">
        <v>65</v>
      </c>
      <c r="Q1220" s="266"/>
      <c r="R1220" s="266" t="s">
        <v>106</v>
      </c>
      <c r="S1220" s="266"/>
      <c r="T1220" s="266"/>
      <c r="W1220" s="272" t="str">
        <f>IF(IFERROR(VLOOKUP($M1220,'IMPORT GS-Tür OL FL 2S2 20'!$H$2:$H$847,1,0),"-")="-","","GS")</f>
        <v>GS</v>
      </c>
      <c r="X1220" s="272" t="str">
        <f t="shared" si="91"/>
        <v/>
      </c>
      <c r="Z1220" s="273" t="str">
        <f>IF(OR($M1220="",NOT($O1220="{array}")),"",IFERROR(MATCH(PARAMETERS!$M1220,DEFAULT!$B$5:$CI$5,0),""))</f>
        <v/>
      </c>
      <c r="AA1220" s="272" t="str">
        <f t="shared" si="93"/>
        <v/>
      </c>
      <c r="AB1220" s="274" t="str">
        <f>IF(AND(OR($A1220="G",$A1220="P"),NOT($O1220="{array}")),IF(VLOOKUP($K1220,base!$B$2:$D$20,3,0)="S",IF(OR($O1220="",ISTEXT($O1220)),"","STRING!"),IF(VLOOKUP($K1220,base!$B$2:$D$20,3,0)="","",IF(ISTEXT($O1220),"NUMERIC!",""))),"")</f>
        <v/>
      </c>
      <c r="AC1220" s="275" t="str">
        <f>IF($AA1220="","",IF($B1220="I",VLOOKUP($AA1220,#REF!,53,0),INDEX(VALUES!$B$1:$GP$1,1,$AA1220)))</f>
        <v/>
      </c>
    </row>
    <row r="1221" spans="1:29" s="276" customFormat="1" hidden="1" outlineLevel="1">
      <c r="A1221" s="263"/>
      <c r="B1221" s="264" t="str">
        <f t="shared" si="94"/>
        <v/>
      </c>
      <c r="C1221" s="265">
        <f t="shared" si="95"/>
        <v>1220</v>
      </c>
      <c r="D1221" s="266"/>
      <c r="E1221" s="266"/>
      <c r="F1221" s="305"/>
      <c r="G1221" s="188" t="s">
        <v>9</v>
      </c>
      <c r="H1221" s="266"/>
      <c r="I1221" s="266" t="s">
        <v>9</v>
      </c>
      <c r="J1221" s="266"/>
      <c r="K1221" s="276" t="s">
        <v>55</v>
      </c>
      <c r="L1221" s="276" t="s">
        <v>29</v>
      </c>
      <c r="M1221" s="301" t="s">
        <v>2519</v>
      </c>
      <c r="N1221" s="276" t="s">
        <v>2520</v>
      </c>
      <c r="O1221" s="286">
        <v>19</v>
      </c>
      <c r="Q1221" s="266"/>
      <c r="R1221" s="266" t="s">
        <v>106</v>
      </c>
      <c r="S1221" s="266"/>
      <c r="T1221" s="266"/>
      <c r="W1221" s="272" t="str">
        <f>IF(IFERROR(VLOOKUP($M1221,'IMPORT GS-Tür OL FL 2S2 20'!$H$2:$H$847,1,0),"-")="-","","GS")</f>
        <v>GS</v>
      </c>
      <c r="X1221" s="272" t="str">
        <f t="shared" si="91"/>
        <v/>
      </c>
      <c r="Z1221" s="273" t="str">
        <f>IF(OR($M1221="",NOT($O1221="{array}")),"",IFERROR(MATCH(PARAMETERS!$M1221,DEFAULT!$B$5:$CI$5,0),""))</f>
        <v/>
      </c>
      <c r="AA1221" s="272" t="str">
        <f t="shared" si="93"/>
        <v/>
      </c>
      <c r="AB1221" s="274" t="str">
        <f>IF(AND(OR($A1221="G",$A1221="P"),NOT($O1221="{array}")),IF(VLOOKUP($K1221,base!$B$2:$D$20,3,0)="S",IF(OR($O1221="",ISTEXT($O1221)),"","STRING!"),IF(VLOOKUP($K1221,base!$B$2:$D$20,3,0)="","",IF(ISTEXT($O1221),"NUMERIC!",""))),"")</f>
        <v/>
      </c>
      <c r="AC1221" s="275" t="str">
        <f>IF($AA1221="","",IF($B1221="I",VLOOKUP($AA1221,#REF!,53,0),INDEX(VALUES!$B$1:$GP$1,1,$AA1221)))</f>
        <v/>
      </c>
    </row>
    <row r="1222" spans="1:29" s="276" customFormat="1" hidden="1" outlineLevel="1">
      <c r="A1222" s="263"/>
      <c r="B1222" s="264" t="str">
        <f t="shared" si="94"/>
        <v/>
      </c>
      <c r="C1222" s="265">
        <f t="shared" si="95"/>
        <v>1221</v>
      </c>
      <c r="D1222" s="266"/>
      <c r="E1222" s="266"/>
      <c r="F1222" s="305"/>
      <c r="G1222" s="188" t="s">
        <v>9</v>
      </c>
      <c r="H1222" s="266"/>
      <c r="I1222" s="266" t="s">
        <v>9</v>
      </c>
      <c r="J1222" s="266"/>
      <c r="K1222" s="276" t="s">
        <v>55</v>
      </c>
      <c r="L1222" s="276" t="s">
        <v>29</v>
      </c>
      <c r="M1222" s="301" t="s">
        <v>2521</v>
      </c>
      <c r="N1222" s="276" t="s">
        <v>2522</v>
      </c>
      <c r="O1222" s="286">
        <v>19</v>
      </c>
      <c r="Q1222" s="266"/>
      <c r="R1222" s="266" t="s">
        <v>106</v>
      </c>
      <c r="S1222" s="266"/>
      <c r="T1222" s="266"/>
      <c r="W1222" s="272" t="str">
        <f>IF(IFERROR(VLOOKUP($M1222,'IMPORT GS-Tür OL FL 2S2 20'!$H$2:$H$847,1,0),"-")="-","","GS")</f>
        <v>GS</v>
      </c>
      <c r="X1222" s="272" t="str">
        <f t="shared" si="91"/>
        <v/>
      </c>
      <c r="Z1222" s="273" t="str">
        <f>IF(OR($M1222="",NOT($O1222="{array}")),"",IFERROR(MATCH(PARAMETERS!$M1222,DEFAULT!$B$5:$CI$5,0),""))</f>
        <v/>
      </c>
      <c r="AA1222" s="272" t="str">
        <f t="shared" si="93"/>
        <v/>
      </c>
      <c r="AB1222" s="274" t="str">
        <f>IF(AND(OR($A1222="G",$A1222="P"),NOT($O1222="{array}")),IF(VLOOKUP($K1222,base!$B$2:$D$20,3,0)="S",IF(OR($O1222="",ISTEXT($O1222)),"","STRING!"),IF(VLOOKUP($K1222,base!$B$2:$D$20,3,0)="","",IF(ISTEXT($O1222),"NUMERIC!",""))),"")</f>
        <v/>
      </c>
      <c r="AC1222" s="275" t="str">
        <f>IF($AA1222="","",IF($B1222="I",VLOOKUP($AA1222,#REF!,53,0),INDEX(VALUES!$B$1:$GP$1,1,$AA1222)))</f>
        <v/>
      </c>
    </row>
    <row r="1223" spans="1:29" s="276" customFormat="1" hidden="1" outlineLevel="1">
      <c r="A1223" s="263"/>
      <c r="B1223" s="264" t="str">
        <f t="shared" si="94"/>
        <v/>
      </c>
      <c r="C1223" s="265">
        <f t="shared" si="95"/>
        <v>1222</v>
      </c>
      <c r="D1223" s="266"/>
      <c r="E1223" s="266"/>
      <c r="F1223" s="305"/>
      <c r="G1223" s="188"/>
      <c r="H1223" s="266"/>
      <c r="I1223" s="266" t="s">
        <v>9</v>
      </c>
      <c r="J1223" s="266"/>
      <c r="K1223" s="276" t="s">
        <v>55</v>
      </c>
      <c r="L1223" s="276" t="s">
        <v>29</v>
      </c>
      <c r="M1223" s="301" t="s">
        <v>2523</v>
      </c>
      <c r="N1223" s="276" t="s">
        <v>2524</v>
      </c>
      <c r="O1223" s="286">
        <v>2</v>
      </c>
      <c r="Q1223" s="266"/>
      <c r="R1223" s="266" t="s">
        <v>106</v>
      </c>
      <c r="S1223" s="266"/>
      <c r="T1223" s="266"/>
      <c r="W1223" s="272" t="str">
        <f>IF(IFERROR(VLOOKUP($M1223,'IMPORT GS-Tür OL FL 2S2 20'!$H$2:$H$847,1,0),"-")="-","","GS")</f>
        <v>GS</v>
      </c>
      <c r="X1223" s="272" t="str">
        <f t="shared" si="91"/>
        <v/>
      </c>
      <c r="Z1223" s="273" t="str">
        <f>IF(OR($M1223="",NOT($O1223="{array}")),"",IFERROR(MATCH(PARAMETERS!$M1223,DEFAULT!$B$5:$CI$5,0),""))</f>
        <v/>
      </c>
      <c r="AA1223" s="272" t="str">
        <f t="shared" si="93"/>
        <v/>
      </c>
      <c r="AB1223" s="274" t="str">
        <f>IF(AND(OR($A1223="G",$A1223="P"),NOT($O1223="{array}")),IF(VLOOKUP($K1223,base!$B$2:$D$20,3,0)="S",IF(OR($O1223="",ISTEXT($O1223)),"","STRING!"),IF(VLOOKUP($K1223,base!$B$2:$D$20,3,0)="","",IF(ISTEXT($O1223),"NUMERIC!",""))),"")</f>
        <v/>
      </c>
      <c r="AC1223" s="275" t="str">
        <f>IF($AA1223="","",IF($B1223="I",VLOOKUP($AA1223,#REF!,53,0),INDEX(VALUES!$B$1:$GP$1,1,$AA1223)))</f>
        <v/>
      </c>
    </row>
    <row r="1224" spans="1:29" s="276" customFormat="1" hidden="1" outlineLevel="1">
      <c r="A1224" s="263"/>
      <c r="B1224" s="264" t="str">
        <f t="shared" si="94"/>
        <v/>
      </c>
      <c r="C1224" s="265">
        <f t="shared" si="95"/>
        <v>1223</v>
      </c>
      <c r="D1224" s="266"/>
      <c r="E1224" s="266"/>
      <c r="F1224" s="305"/>
      <c r="G1224" s="188"/>
      <c r="H1224" s="266"/>
      <c r="I1224" s="266" t="s">
        <v>9</v>
      </c>
      <c r="J1224" s="266"/>
      <c r="K1224" s="276" t="s">
        <v>54</v>
      </c>
      <c r="L1224" s="276" t="s">
        <v>29</v>
      </c>
      <c r="M1224" s="301" t="s">
        <v>2525</v>
      </c>
      <c r="N1224" s="276" t="s">
        <v>2526</v>
      </c>
      <c r="O1224" s="286">
        <v>65</v>
      </c>
      <c r="Q1224" s="266"/>
      <c r="R1224" s="266" t="s">
        <v>106</v>
      </c>
      <c r="S1224" s="266"/>
      <c r="T1224" s="266"/>
      <c r="W1224" s="272" t="str">
        <f>IF(IFERROR(VLOOKUP($M1224,'IMPORT GS-Tür OL FL 2S2 20'!$H$2:$H$847,1,0),"-")="-","","GS")</f>
        <v>GS</v>
      </c>
      <c r="X1224" s="272" t="str">
        <f t="shared" si="91"/>
        <v/>
      </c>
      <c r="Z1224" s="273" t="str">
        <f>IF(OR($M1224="",NOT($O1224="{array}")),"",IFERROR(MATCH(PARAMETERS!$M1224,DEFAULT!$B$5:$CI$5,0),""))</f>
        <v/>
      </c>
      <c r="AA1224" s="272" t="str">
        <f t="shared" si="93"/>
        <v/>
      </c>
      <c r="AB1224" s="274" t="str">
        <f>IF(AND(OR($A1224="G",$A1224="P"),NOT($O1224="{array}")),IF(VLOOKUP($K1224,base!$B$2:$D$20,3,0)="S",IF(OR($O1224="",ISTEXT($O1224)),"","STRING!"),IF(VLOOKUP($K1224,base!$B$2:$D$20,3,0)="","",IF(ISTEXT($O1224),"NUMERIC!",""))),"")</f>
        <v/>
      </c>
      <c r="AC1224" s="275" t="str">
        <f>IF($AA1224="","",IF($B1224="I",VLOOKUP($AA1224,#REF!,53,0),INDEX(VALUES!$B$1:$GP$1,1,$AA1224)))</f>
        <v/>
      </c>
    </row>
    <row r="1225" spans="1:29" s="276" customFormat="1" hidden="1" outlineLevel="1">
      <c r="A1225" s="263"/>
      <c r="B1225" s="264" t="str">
        <f t="shared" si="94"/>
        <v/>
      </c>
      <c r="C1225" s="265">
        <f t="shared" si="95"/>
        <v>1224</v>
      </c>
      <c r="D1225" s="266"/>
      <c r="E1225" s="266"/>
      <c r="F1225" s="305"/>
      <c r="G1225" s="188"/>
      <c r="H1225" s="266"/>
      <c r="I1225" s="266" t="s">
        <v>9</v>
      </c>
      <c r="J1225" s="266"/>
      <c r="K1225" s="276" t="s">
        <v>55</v>
      </c>
      <c r="L1225" s="276" t="s">
        <v>29</v>
      </c>
      <c r="M1225" s="301" t="s">
        <v>2527</v>
      </c>
      <c r="N1225" s="276" t="s">
        <v>2528</v>
      </c>
      <c r="O1225" s="286">
        <v>19</v>
      </c>
      <c r="Q1225" s="266"/>
      <c r="R1225" s="266" t="s">
        <v>106</v>
      </c>
      <c r="S1225" s="266"/>
      <c r="T1225" s="266"/>
      <c r="W1225" s="272" t="str">
        <f>IF(IFERROR(VLOOKUP($M1225,'IMPORT GS-Tür OL FL 2S2 20'!$H$2:$H$847,1,0),"-")="-","","GS")</f>
        <v>GS</v>
      </c>
      <c r="X1225" s="272" t="str">
        <f t="shared" si="91"/>
        <v/>
      </c>
      <c r="Z1225" s="273" t="str">
        <f>IF(OR($M1225="",NOT($O1225="{array}")),"",IFERROR(MATCH(PARAMETERS!$M1225,DEFAULT!$B$5:$CI$5,0),""))</f>
        <v/>
      </c>
      <c r="AA1225" s="272" t="str">
        <f t="shared" si="93"/>
        <v/>
      </c>
      <c r="AB1225" s="274" t="str">
        <f>IF(AND(OR($A1225="G",$A1225="P"),NOT($O1225="{array}")),IF(VLOOKUP($K1225,base!$B$2:$D$20,3,0)="S",IF(OR($O1225="",ISTEXT($O1225)),"","STRING!"),IF(VLOOKUP($K1225,base!$B$2:$D$20,3,0)="","",IF(ISTEXT($O1225),"NUMERIC!",""))),"")</f>
        <v/>
      </c>
      <c r="AC1225" s="275" t="str">
        <f>IF($AA1225="","",IF($B1225="I",VLOOKUP($AA1225,#REF!,53,0),INDEX(VALUES!$B$1:$GP$1,1,$AA1225)))</f>
        <v/>
      </c>
    </row>
    <row r="1226" spans="1:29" hidden="1" outlineLevel="1">
      <c r="A1226" s="21"/>
      <c r="B1226" s="40" t="str">
        <f t="shared" si="94"/>
        <v/>
      </c>
      <c r="C1226" s="41">
        <f t="shared" si="95"/>
        <v>1225</v>
      </c>
      <c r="D1226" s="260"/>
      <c r="E1226" s="37"/>
      <c r="F1226" s="305" t="s">
        <v>9</v>
      </c>
      <c r="G1226" s="188"/>
      <c r="H1226" s="37"/>
      <c r="I1226" s="37"/>
      <c r="J1226" s="37"/>
      <c r="K1226" s="13" t="s">
        <v>59</v>
      </c>
      <c r="L1226" s="13" t="s">
        <v>40</v>
      </c>
      <c r="M1226" s="47" t="s">
        <v>3731</v>
      </c>
      <c r="N1226" s="40" t="s">
        <v>3739</v>
      </c>
      <c r="R1226" s="37" t="s">
        <v>204</v>
      </c>
      <c r="S1226" s="37"/>
      <c r="T1226" s="37"/>
      <c r="W1226" s="14" t="str">
        <f>IF(IFERROR(VLOOKUP($M1226,'IMPORT GS-Tür OL FL 2S2 20'!$H$2:$H$847,1,0),"-")="-","","GS")</f>
        <v/>
      </c>
      <c r="X1226" s="14" t="str">
        <f t="shared" si="91"/>
        <v/>
      </c>
      <c r="Z1226" s="58" t="str">
        <f>IF(OR($M1226="",NOT($O1226="{array}")),"",IFERROR(MATCH(PARAMETERS!$M1226,DEFAULT!$B$5:$CI$5,0),""))</f>
        <v/>
      </c>
      <c r="AA1226" s="55" t="str">
        <f>IF($M1226="","",IFERROR(MATCH($M1226,VALUESnames,0),""))</f>
        <v/>
      </c>
      <c r="AB1226" s="62" t="str">
        <f>IF(AND(OR($A1226="G",$A1226="P"),NOT($O1226="{array}")),IF(VLOOKUP($K1226,base!$B$2:$D$20,3,0)="S",IF(OR($O1226="",ISTEXT($O1226)),"","STRING!"),IF(VLOOKUP($K1226,base!$B$2:$D$20,3,0)="","",IF(ISTEXT($O1226),"NUMERIC!",""))),"")</f>
        <v/>
      </c>
      <c r="AC1226" s="16" t="str">
        <f>IF($AA1226="","",IF($B1226="I",VLOOKUP($AA1226,#REF!,53,0),INDEX(VALUES!$B$1:$GP$1,1,$AA1226)))</f>
        <v/>
      </c>
    </row>
    <row r="1227" spans="1:29" hidden="1" outlineLevel="1">
      <c r="A1227" s="21" t="s">
        <v>86</v>
      </c>
      <c r="B1227" s="40" t="str">
        <f t="shared" si="94"/>
        <v>A</v>
      </c>
      <c r="C1227" s="41">
        <f t="shared" si="95"/>
        <v>1226</v>
      </c>
      <c r="D1227" s="260" t="s">
        <v>9</v>
      </c>
      <c r="E1227" s="37"/>
      <c r="F1227" s="305"/>
      <c r="G1227" s="188" t="s">
        <v>9</v>
      </c>
      <c r="H1227" s="37"/>
      <c r="I1227" s="37" t="s">
        <v>9</v>
      </c>
      <c r="J1227" s="37"/>
      <c r="K1227" s="13" t="s">
        <v>53</v>
      </c>
      <c r="L1227" s="13" t="s">
        <v>29</v>
      </c>
      <c r="M1227" s="214" t="s">
        <v>3732</v>
      </c>
      <c r="N1227" s="13" t="s">
        <v>3734</v>
      </c>
      <c r="O1227" s="42" t="s">
        <v>35</v>
      </c>
      <c r="R1227" s="37" t="s">
        <v>204</v>
      </c>
      <c r="S1227" s="37"/>
      <c r="T1227" s="37"/>
      <c r="W1227" s="14" t="str">
        <f>IF(IFERROR(VLOOKUP($M1227,'IMPORT GS-Tür OL FL 2S2 20'!$H$2:$H$847,1,0),"-")="-","","GS")</f>
        <v/>
      </c>
      <c r="X1227" s="14" t="str">
        <f t="shared" si="91"/>
        <v>&gt;&lt;</v>
      </c>
      <c r="Z1227" s="58">
        <f>IF(OR($M1227="",NOT($O1227="{array}")),"",IFERROR(MATCH(PARAMETERS!$M1227,DEFAULT!$B$5:$CI$5,0),""))</f>
        <v>32</v>
      </c>
      <c r="AA1227" s="55" t="str">
        <f>IF($M1227="","",IFERROR(MATCH($M1227,VALUESnames,0),""))</f>
        <v/>
      </c>
      <c r="AB1227" s="62" t="str">
        <f>IF(AND(OR($A1227="G",$A1227="P"),NOT($O1227="{array}")),IF(VLOOKUP($K1227,base!$B$2:$D$20,3,0)="S",IF(OR($O1227="",ISTEXT($O1227)),"","STRING!"),IF(VLOOKUP($K1227,base!$B$2:$D$20,3,0)="","",IF(ISTEXT($O1227),"NUMERIC!",""))),"")</f>
        <v/>
      </c>
      <c r="AC1227" s="16" t="str">
        <f>IF($AA1227="","",IF($B1227="I",VLOOKUP($AA1227,#REF!,53,0),INDEX(VALUES!$B$1:$GP$1,1,$AA1227)))</f>
        <v/>
      </c>
    </row>
    <row r="1228" spans="1:29" collapsed="1">
      <c r="A1228" s="21"/>
      <c r="B1228" s="40" t="str">
        <f t="shared" si="94"/>
        <v/>
      </c>
      <c r="C1228" s="41">
        <f t="shared" si="95"/>
        <v>1227</v>
      </c>
      <c r="D1228" s="260"/>
      <c r="E1228" s="37"/>
      <c r="F1228" s="305"/>
      <c r="G1228" s="188"/>
      <c r="H1228" s="37"/>
      <c r="I1228" s="37"/>
      <c r="J1228" s="37"/>
      <c r="K1228" s="13" t="s">
        <v>59</v>
      </c>
      <c r="L1228" s="13" t="s">
        <v>40</v>
      </c>
      <c r="M1228" s="47" t="s">
        <v>2529</v>
      </c>
      <c r="N1228" s="40" t="s">
        <v>2530</v>
      </c>
      <c r="R1228" s="37" t="s">
        <v>106</v>
      </c>
      <c r="S1228" s="37"/>
      <c r="T1228" s="37"/>
      <c r="W1228" s="14" t="str">
        <f>IF(IFERROR(VLOOKUP($M1228,'IMPORT GS-Tür OL FL 2S2 20'!$H$2:$H$847,1,0),"-")="-","","GS")</f>
        <v/>
      </c>
      <c r="X1228" s="14" t="str">
        <f t="shared" ref="X1228:X1291" si="96">IF($A1228="G",IF(IFERROR(VLOOKUP($M1228,Reimport,1,0),"-")="-","&gt;&lt;",IF($O1228=VLOOKUP($M1228,Reimport,2,0),"...",VLOOKUP($M1228,Reimport,2,0))),"")</f>
        <v/>
      </c>
      <c r="Z1228" s="58" t="str">
        <f>IF(OR($M1228="",NOT($O1228="{array}")),"",IFERROR(MATCH(PARAMETERS!$M1228,DEFAULT!$B$5:$CI$5,0),""))</f>
        <v/>
      </c>
      <c r="AA1228" s="55" t="str">
        <f t="shared" si="93"/>
        <v/>
      </c>
      <c r="AB1228" s="62" t="str">
        <f>IF(AND(OR($A1228="G",$A1228="P"),NOT($O1228="{array}")),IF(VLOOKUP($K1228,base!$B$2:$D$20,3,0)="S",IF(OR($O1228="",ISTEXT($O1228)),"","STRING!"),IF(VLOOKUP($K1228,base!$B$2:$D$20,3,0)="","",IF(ISTEXT($O1228),"NUMERIC!",""))),"")</f>
        <v/>
      </c>
      <c r="AC1228" s="16" t="str">
        <f>IF($AA1228="","",IF($B1228="I",VLOOKUP($AA1228,#REF!,53,0),INDEX(VALUES!$B$1:$GP$1,1,$AA1228)))</f>
        <v/>
      </c>
    </row>
    <row r="1229" spans="1:29" hidden="1" outlineLevel="1">
      <c r="A1229" s="21"/>
      <c r="B1229" s="40" t="str">
        <f t="shared" si="94"/>
        <v/>
      </c>
      <c r="C1229" s="41">
        <f t="shared" si="95"/>
        <v>1228</v>
      </c>
      <c r="D1229" s="260"/>
      <c r="E1229" s="37"/>
      <c r="F1229" s="305" t="s">
        <v>9</v>
      </c>
      <c r="G1229" s="188"/>
      <c r="H1229" s="37"/>
      <c r="I1229" s="37" t="s">
        <v>9</v>
      </c>
      <c r="J1229" s="37"/>
      <c r="K1229" s="13" t="s">
        <v>55</v>
      </c>
      <c r="L1229" s="13" t="s">
        <v>29</v>
      </c>
      <c r="M1229" s="235" t="s">
        <v>2531</v>
      </c>
      <c r="N1229" s="13" t="s">
        <v>2532</v>
      </c>
      <c r="O1229" s="42">
        <v>1</v>
      </c>
      <c r="R1229" s="37" t="s">
        <v>106</v>
      </c>
      <c r="S1229" s="37"/>
      <c r="T1229" s="37"/>
      <c r="W1229" s="14" t="str">
        <f>IF(IFERROR(VLOOKUP($M1229,'IMPORT GS-Tür OL FL 2S2 20'!$H$2:$H$847,1,0),"-")="-","","GS")</f>
        <v>GS</v>
      </c>
      <c r="X1229" s="14" t="str">
        <f t="shared" si="96"/>
        <v/>
      </c>
      <c r="Z1229" s="58" t="str">
        <f>IF(OR($M1229="",NOT($O1229="{array}")),"",IFERROR(MATCH(PARAMETERS!$M1229,DEFAULT!$B$5:$CI$5,0),""))</f>
        <v/>
      </c>
      <c r="AA1229" s="55" t="str">
        <f t="shared" si="93"/>
        <v/>
      </c>
      <c r="AB1229" s="62" t="str">
        <f>IF(AND(OR($A1229="G",$A1229="P"),NOT($O1229="{array}")),IF(VLOOKUP($K1229,base!$B$2:$D$20,3,0)="S",IF(OR($O1229="",ISTEXT($O1229)),"","STRING!"),IF(VLOOKUP($K1229,base!$B$2:$D$20,3,0)="","",IF(ISTEXT($O1229),"NUMERIC!",""))),"")</f>
        <v/>
      </c>
      <c r="AC1229" s="16" t="str">
        <f>IF($AA1229="","",IF($B1229="I",VLOOKUP($AA1229,#REF!,53,0),INDEX(VALUES!$B$1:$GP$1,1,$AA1229)))</f>
        <v/>
      </c>
    </row>
    <row r="1230" spans="1:29" hidden="1" outlineLevel="1">
      <c r="A1230" s="21"/>
      <c r="B1230" s="40" t="str">
        <f t="shared" si="94"/>
        <v/>
      </c>
      <c r="C1230" s="41">
        <f t="shared" si="95"/>
        <v>1229</v>
      </c>
      <c r="D1230" s="260"/>
      <c r="E1230" s="37"/>
      <c r="F1230" s="305" t="s">
        <v>9</v>
      </c>
      <c r="G1230" s="188"/>
      <c r="H1230" s="37"/>
      <c r="I1230" s="37" t="s">
        <v>9</v>
      </c>
      <c r="J1230" s="37"/>
      <c r="K1230" s="13" t="s">
        <v>55</v>
      </c>
      <c r="L1230" s="13" t="s">
        <v>29</v>
      </c>
      <c r="M1230" s="235" t="s">
        <v>2533</v>
      </c>
      <c r="N1230" s="13" t="s">
        <v>2534</v>
      </c>
      <c r="O1230" s="42">
        <v>1</v>
      </c>
      <c r="R1230" s="37" t="s">
        <v>106</v>
      </c>
      <c r="S1230" s="37"/>
      <c r="T1230" s="37"/>
      <c r="W1230" s="14" t="str">
        <f>IF(IFERROR(VLOOKUP($M1230,'IMPORT GS-Tür OL FL 2S2 20'!$H$2:$H$847,1,0),"-")="-","","GS")</f>
        <v>GS</v>
      </c>
      <c r="X1230" s="14" t="str">
        <f t="shared" si="96"/>
        <v/>
      </c>
      <c r="Z1230" s="58" t="str">
        <f>IF(OR($M1230="",NOT($O1230="{array}")),"",IFERROR(MATCH(PARAMETERS!$M1230,DEFAULT!$B$5:$CI$5,0),""))</f>
        <v/>
      </c>
      <c r="AA1230" s="55" t="str">
        <f t="shared" si="93"/>
        <v/>
      </c>
      <c r="AB1230" s="62" t="str">
        <f>IF(AND(OR($A1230="G",$A1230="P"),NOT($O1230="{array}")),IF(VLOOKUP($K1230,base!$B$2:$D$20,3,0)="S",IF(OR($O1230="",ISTEXT($O1230)),"","STRING!"),IF(VLOOKUP($K1230,base!$B$2:$D$20,3,0)="","",IF(ISTEXT($O1230),"NUMERIC!",""))),"")</f>
        <v/>
      </c>
      <c r="AC1230" s="16" t="str">
        <f>IF($AA1230="","",IF($B1230="I",VLOOKUP($AA1230,#REF!,53,0),INDEX(VALUES!$B$1:$GP$1,1,$AA1230)))</f>
        <v/>
      </c>
    </row>
    <row r="1231" spans="1:29" hidden="1" outlineLevel="1">
      <c r="A1231" s="21"/>
      <c r="B1231" s="40" t="str">
        <f t="shared" si="94"/>
        <v/>
      </c>
      <c r="C1231" s="41">
        <f t="shared" si="95"/>
        <v>1230</v>
      </c>
      <c r="D1231" s="260"/>
      <c r="E1231" s="37"/>
      <c r="F1231" s="305" t="s">
        <v>9</v>
      </c>
      <c r="G1231" s="188"/>
      <c r="H1231" s="37"/>
      <c r="I1231" s="37" t="s">
        <v>9</v>
      </c>
      <c r="J1231" s="37"/>
      <c r="K1231" s="13" t="s">
        <v>20</v>
      </c>
      <c r="L1231" s="13" t="s">
        <v>29</v>
      </c>
      <c r="M1231" s="235" t="s">
        <v>2535</v>
      </c>
      <c r="N1231" s="13" t="s">
        <v>2536</v>
      </c>
      <c r="O1231" s="42" t="s">
        <v>2537</v>
      </c>
      <c r="R1231" s="37" t="s">
        <v>106</v>
      </c>
      <c r="S1231" s="37"/>
      <c r="T1231" s="37"/>
      <c r="W1231" s="14" t="str">
        <f>IF(IFERROR(VLOOKUP($M1231,'IMPORT GS-Tür OL FL 2S2 20'!$H$2:$H$847,1,0),"-")="-","","GS")</f>
        <v>GS</v>
      </c>
      <c r="X1231" s="14" t="str">
        <f t="shared" si="96"/>
        <v/>
      </c>
      <c r="Z1231" s="58" t="str">
        <f>IF(OR($M1231="",NOT($O1231="{array}")),"",IFERROR(MATCH(PARAMETERS!$M1231,DEFAULT!$B$5:$CI$5,0),""))</f>
        <v/>
      </c>
      <c r="AA1231" s="55" t="str">
        <f t="shared" si="93"/>
        <v/>
      </c>
      <c r="AB1231" s="62" t="str">
        <f>IF(AND(OR($A1231="G",$A1231="P"),NOT($O1231="{array}")),IF(VLOOKUP($K1231,base!$B$2:$D$20,3,0)="S",IF(OR($O1231="",ISTEXT($O1231)),"","STRING!"),IF(VLOOKUP($K1231,base!$B$2:$D$20,3,0)="","",IF(ISTEXT($O1231),"NUMERIC!",""))),"")</f>
        <v/>
      </c>
      <c r="AC1231" s="16" t="str">
        <f>IF($AA1231="","",IF($B1231="I",VLOOKUP($AA1231,#REF!,53,0),INDEX(VALUES!$B$1:$GP$1,1,$AA1231)))</f>
        <v/>
      </c>
    </row>
    <row r="1232" spans="1:29" hidden="1" outlineLevel="1">
      <c r="A1232" s="21"/>
      <c r="B1232" s="40" t="str">
        <f t="shared" si="94"/>
        <v/>
      </c>
      <c r="C1232" s="41">
        <f t="shared" si="95"/>
        <v>1231</v>
      </c>
      <c r="D1232" s="260"/>
      <c r="E1232" s="37"/>
      <c r="F1232" s="305" t="s">
        <v>9</v>
      </c>
      <c r="G1232" s="188"/>
      <c r="H1232" s="37"/>
      <c r="I1232" s="37" t="s">
        <v>9</v>
      </c>
      <c r="J1232" s="37"/>
      <c r="K1232" s="13" t="s">
        <v>38</v>
      </c>
      <c r="L1232" s="13" t="s">
        <v>29</v>
      </c>
      <c r="M1232" s="235" t="s">
        <v>2538</v>
      </c>
      <c r="N1232" s="13" t="s">
        <v>2539</v>
      </c>
      <c r="O1232" s="42">
        <v>1</v>
      </c>
      <c r="R1232" s="37" t="s">
        <v>106</v>
      </c>
      <c r="S1232" s="37"/>
      <c r="T1232" s="37"/>
      <c r="W1232" s="14" t="str">
        <f>IF(IFERROR(VLOOKUP($M1232,'IMPORT GS-Tür OL FL 2S2 20'!$H$2:$H$847,1,0),"-")="-","","GS")</f>
        <v>GS</v>
      </c>
      <c r="X1232" s="14" t="str">
        <f t="shared" si="96"/>
        <v/>
      </c>
      <c r="Z1232" s="58" t="str">
        <f>IF(OR($M1232="",NOT($O1232="{array}")),"",IFERROR(MATCH(PARAMETERS!$M1232,DEFAULT!$B$5:$CI$5,0),""))</f>
        <v/>
      </c>
      <c r="AA1232" s="55" t="str">
        <f t="shared" si="93"/>
        <v/>
      </c>
      <c r="AB1232" s="62" t="str">
        <f>IF(AND(OR($A1232="G",$A1232="P"),NOT($O1232="{array}")),IF(VLOOKUP($K1232,base!$B$2:$D$20,3,0)="S",IF(OR($O1232="",ISTEXT($O1232)),"","STRING!"),IF(VLOOKUP($K1232,base!$B$2:$D$20,3,0)="","",IF(ISTEXT($O1232),"NUMERIC!",""))),"")</f>
        <v/>
      </c>
      <c r="AC1232" s="16" t="str">
        <f>IF($AA1232="","",IF($B1232="I",VLOOKUP($AA1232,#REF!,53,0),INDEX(VALUES!$B$1:$GP$1,1,$AA1232)))</f>
        <v/>
      </c>
    </row>
    <row r="1233" spans="1:29" hidden="1" outlineLevel="1">
      <c r="A1233" s="21"/>
      <c r="B1233" s="40" t="str">
        <f t="shared" si="94"/>
        <v/>
      </c>
      <c r="C1233" s="41">
        <f t="shared" si="95"/>
        <v>1232</v>
      </c>
      <c r="D1233" s="260"/>
      <c r="E1233" s="37"/>
      <c r="F1233" s="305" t="s">
        <v>9</v>
      </c>
      <c r="G1233" s="188"/>
      <c r="H1233" s="37" t="s">
        <v>9</v>
      </c>
      <c r="I1233" s="37"/>
      <c r="J1233" s="37"/>
      <c r="K1233" s="13" t="s">
        <v>49</v>
      </c>
      <c r="L1233" s="13" t="s">
        <v>29</v>
      </c>
      <c r="M1233" s="235" t="s">
        <v>2540</v>
      </c>
      <c r="N1233" s="13" t="s">
        <v>2541</v>
      </c>
      <c r="O1233" s="42">
        <v>0</v>
      </c>
      <c r="R1233" s="37" t="s">
        <v>106</v>
      </c>
      <c r="S1233" s="37"/>
      <c r="T1233" s="37"/>
      <c r="W1233" s="14" t="str">
        <f>IF(IFERROR(VLOOKUP($M1233,'IMPORT GS-Tür OL FL 2S2 20'!$H$2:$H$847,1,0),"-")="-","","GS")</f>
        <v>GS</v>
      </c>
      <c r="X1233" s="14" t="str">
        <f t="shared" si="96"/>
        <v/>
      </c>
      <c r="Z1233" s="58" t="str">
        <f>IF(OR($M1233="",NOT($O1233="{array}")),"",IFERROR(MATCH(PARAMETERS!$M1233,DEFAULT!$B$5:$CI$5,0),""))</f>
        <v/>
      </c>
      <c r="AA1233" s="55" t="str">
        <f t="shared" si="93"/>
        <v/>
      </c>
      <c r="AB1233" s="62" t="str">
        <f>IF(AND(OR($A1233="G",$A1233="P"),NOT($O1233="{array}")),IF(VLOOKUP($K1233,base!$B$2:$D$20,3,0)="S",IF(OR($O1233="",ISTEXT($O1233)),"","STRING!"),IF(VLOOKUP($K1233,base!$B$2:$D$20,3,0)="","",IF(ISTEXT($O1233),"NUMERIC!",""))),"")</f>
        <v/>
      </c>
      <c r="AC1233" s="16" t="str">
        <f>IF($AA1233="","",IF($B1233="I",VLOOKUP($AA1233,#REF!,53,0),INDEX(VALUES!$B$1:$GP$1,1,$AA1233)))</f>
        <v/>
      </c>
    </row>
    <row r="1234" spans="1:29" hidden="1" outlineLevel="1">
      <c r="A1234" s="21"/>
      <c r="B1234" s="40" t="str">
        <f t="shared" si="94"/>
        <v/>
      </c>
      <c r="C1234" s="41">
        <f t="shared" si="95"/>
        <v>1233</v>
      </c>
      <c r="D1234" s="260"/>
      <c r="E1234" s="37"/>
      <c r="F1234" s="305" t="s">
        <v>9</v>
      </c>
      <c r="G1234" s="188" t="s">
        <v>9</v>
      </c>
      <c r="H1234" s="37"/>
      <c r="I1234" s="37" t="s">
        <v>9</v>
      </c>
      <c r="J1234" s="37"/>
      <c r="K1234" s="13" t="s">
        <v>20</v>
      </c>
      <c r="L1234" s="13" t="s">
        <v>29</v>
      </c>
      <c r="M1234" s="235" t="s">
        <v>2542</v>
      </c>
      <c r="N1234" s="13" t="s">
        <v>2543</v>
      </c>
      <c r="O1234" s="42" t="s">
        <v>2311</v>
      </c>
      <c r="R1234" s="37" t="s">
        <v>106</v>
      </c>
      <c r="S1234" s="37"/>
      <c r="T1234" s="37"/>
      <c r="W1234" s="14" t="str">
        <f>IF(IFERROR(VLOOKUP($M1234,'IMPORT GS-Tür OL FL 2S2 20'!$H$2:$H$847,1,0),"-")="-","","GS")</f>
        <v>GS</v>
      </c>
      <c r="X1234" s="14" t="str">
        <f t="shared" si="96"/>
        <v/>
      </c>
      <c r="Z1234" s="58" t="str">
        <f>IF(OR($M1234="",NOT($O1234="{array}")),"",IFERROR(MATCH(PARAMETERS!$M1234,DEFAULT!$B$5:$CI$5,0),""))</f>
        <v/>
      </c>
      <c r="AA1234" s="55" t="str">
        <f t="shared" si="93"/>
        <v/>
      </c>
      <c r="AB1234" s="62" t="str">
        <f>IF(AND(OR($A1234="G",$A1234="P"),NOT($O1234="{array}")),IF(VLOOKUP($K1234,base!$B$2:$D$20,3,0)="S",IF(OR($O1234="",ISTEXT($O1234)),"","STRING!"),IF(VLOOKUP($K1234,base!$B$2:$D$20,3,0)="","",IF(ISTEXT($O1234),"NUMERIC!",""))),"")</f>
        <v/>
      </c>
      <c r="AC1234" s="16" t="str">
        <f>IF($AA1234="","",IF($B1234="I",VLOOKUP($AA1234,#REF!,53,0),INDEX(VALUES!$B$1:$GP$1,1,$AA1234)))</f>
        <v/>
      </c>
    </row>
    <row r="1235" spans="1:29" hidden="1" outlineLevel="1">
      <c r="A1235" s="21"/>
      <c r="B1235" s="40" t="str">
        <f t="shared" si="94"/>
        <v/>
      </c>
      <c r="C1235" s="41">
        <f t="shared" si="95"/>
        <v>1234</v>
      </c>
      <c r="D1235" s="260"/>
      <c r="E1235" s="37"/>
      <c r="F1235" s="305" t="s">
        <v>9</v>
      </c>
      <c r="G1235" s="188" t="s">
        <v>9</v>
      </c>
      <c r="H1235" s="37"/>
      <c r="I1235" s="37" t="s">
        <v>9</v>
      </c>
      <c r="J1235" s="37"/>
      <c r="K1235" s="13" t="s">
        <v>46</v>
      </c>
      <c r="L1235" s="13" t="s">
        <v>29</v>
      </c>
      <c r="M1235" s="235" t="s">
        <v>2544</v>
      </c>
      <c r="N1235" s="13" t="s">
        <v>2543</v>
      </c>
      <c r="O1235" s="42">
        <v>1</v>
      </c>
      <c r="R1235" s="37" t="s">
        <v>106</v>
      </c>
      <c r="S1235" s="37"/>
      <c r="T1235" s="37"/>
      <c r="W1235" s="14" t="str">
        <f>IF(IFERROR(VLOOKUP($M1235,'IMPORT GS-Tür OL FL 2S2 20'!$H$2:$H$847,1,0),"-")="-","","GS")</f>
        <v>GS</v>
      </c>
      <c r="X1235" s="14" t="str">
        <f t="shared" si="96"/>
        <v/>
      </c>
      <c r="Z1235" s="58" t="str">
        <f>IF(OR($M1235="",NOT($O1235="{array}")),"",IFERROR(MATCH(PARAMETERS!$M1235,DEFAULT!$B$5:$CI$5,0),""))</f>
        <v/>
      </c>
      <c r="AA1235" s="55" t="str">
        <f t="shared" si="93"/>
        <v/>
      </c>
      <c r="AB1235" s="62" t="str">
        <f>IF(AND(OR($A1235="G",$A1235="P"),NOT($O1235="{array}")),IF(VLOOKUP($K1235,base!$B$2:$D$20,3,0)="S",IF(OR($O1235="",ISTEXT($O1235)),"","STRING!"),IF(VLOOKUP($K1235,base!$B$2:$D$20,3,0)="","",IF(ISTEXT($O1235),"NUMERIC!",""))),"")</f>
        <v/>
      </c>
      <c r="AC1235" s="16" t="str">
        <f>IF($AA1235="","",IF($B1235="I",VLOOKUP($AA1235,#REF!,53,0),INDEX(VALUES!$B$1:$GP$1,1,$AA1235)))</f>
        <v/>
      </c>
    </row>
    <row r="1236" spans="1:29" hidden="1" outlineLevel="1">
      <c r="A1236" s="21"/>
      <c r="B1236" s="40" t="str">
        <f t="shared" si="94"/>
        <v/>
      </c>
      <c r="C1236" s="41">
        <f t="shared" si="95"/>
        <v>1235</v>
      </c>
      <c r="D1236" s="260"/>
      <c r="E1236" s="37"/>
      <c r="F1236" s="305" t="s">
        <v>9</v>
      </c>
      <c r="G1236" s="188"/>
      <c r="H1236" s="37"/>
      <c r="I1236" s="37" t="s">
        <v>9</v>
      </c>
      <c r="J1236" s="37"/>
      <c r="K1236" s="13" t="s">
        <v>46</v>
      </c>
      <c r="L1236" s="13" t="s">
        <v>29</v>
      </c>
      <c r="M1236" s="235" t="s">
        <v>2545</v>
      </c>
      <c r="N1236" s="13" t="s">
        <v>2546</v>
      </c>
      <c r="O1236" s="42">
        <v>1</v>
      </c>
      <c r="R1236" s="37" t="s">
        <v>106</v>
      </c>
      <c r="S1236" s="37"/>
      <c r="T1236" s="37"/>
      <c r="W1236" s="14" t="str">
        <f>IF(IFERROR(VLOOKUP($M1236,'IMPORT GS-Tür OL FL 2S2 20'!$H$2:$H$847,1,0),"-")="-","","GS")</f>
        <v>GS</v>
      </c>
      <c r="X1236" s="14" t="str">
        <f t="shared" si="96"/>
        <v/>
      </c>
      <c r="Z1236" s="58" t="str">
        <f>IF(OR($M1236="",NOT($O1236="{array}")),"",IFERROR(MATCH(PARAMETERS!$M1236,DEFAULT!$B$5:$CI$5,0),""))</f>
        <v/>
      </c>
      <c r="AA1236" s="55" t="str">
        <f t="shared" si="93"/>
        <v/>
      </c>
      <c r="AB1236" s="62" t="str">
        <f>IF(AND(OR($A1236="G",$A1236="P"),NOT($O1236="{array}")),IF(VLOOKUP($K1236,base!$B$2:$D$20,3,0)="S",IF(OR($O1236="",ISTEXT($O1236)),"","STRING!"),IF(VLOOKUP($K1236,base!$B$2:$D$20,3,0)="","",IF(ISTEXT($O1236),"NUMERIC!",""))),"")</f>
        <v/>
      </c>
      <c r="AC1236" s="16" t="str">
        <f>IF($AA1236="","",IF($B1236="I",VLOOKUP($AA1236,#REF!,53,0),INDEX(VALUES!$B$1:$GP$1,1,$AA1236)))</f>
        <v/>
      </c>
    </row>
    <row r="1237" spans="1:29" hidden="1" outlineLevel="1">
      <c r="A1237" s="21"/>
      <c r="B1237" s="40" t="str">
        <f t="shared" si="94"/>
        <v/>
      </c>
      <c r="C1237" s="41">
        <f t="shared" si="95"/>
        <v>1236</v>
      </c>
      <c r="D1237" s="260"/>
      <c r="E1237" s="37"/>
      <c r="F1237" s="305" t="s">
        <v>9</v>
      </c>
      <c r="G1237" s="188"/>
      <c r="H1237" s="37"/>
      <c r="I1237" s="37" t="s">
        <v>9</v>
      </c>
      <c r="J1237" s="37"/>
      <c r="K1237" s="13" t="s">
        <v>49</v>
      </c>
      <c r="L1237" s="13" t="s">
        <v>29</v>
      </c>
      <c r="M1237" s="235" t="s">
        <v>2547</v>
      </c>
      <c r="N1237" s="13" t="s">
        <v>2548</v>
      </c>
      <c r="O1237" s="42">
        <v>1</v>
      </c>
      <c r="R1237" s="37" t="s">
        <v>106</v>
      </c>
      <c r="S1237" s="37"/>
      <c r="T1237" s="37"/>
      <c r="W1237" s="14" t="str">
        <f>IF(IFERROR(VLOOKUP($M1237,'IMPORT GS-Tür OL FL 2S2 20'!$H$2:$H$847,1,0),"-")="-","","GS")</f>
        <v>GS</v>
      </c>
      <c r="X1237" s="14" t="str">
        <f t="shared" si="96"/>
        <v/>
      </c>
      <c r="Z1237" s="58" t="str">
        <f>IF(OR($M1237="",NOT($O1237="{array}")),"",IFERROR(MATCH(PARAMETERS!$M1237,DEFAULT!$B$5:$CI$5,0),""))</f>
        <v/>
      </c>
      <c r="AA1237" s="55" t="str">
        <f t="shared" si="93"/>
        <v/>
      </c>
      <c r="AB1237" s="62" t="str">
        <f>IF(AND(OR($A1237="G",$A1237="P"),NOT($O1237="{array}")),IF(VLOOKUP($K1237,base!$B$2:$D$20,3,0)="S",IF(OR($O1237="",ISTEXT($O1237)),"","STRING!"),IF(VLOOKUP($K1237,base!$B$2:$D$20,3,0)="","",IF(ISTEXT($O1237),"NUMERIC!",""))),"")</f>
        <v/>
      </c>
      <c r="AC1237" s="16" t="str">
        <f>IF($AA1237="","",IF($B1237="I",VLOOKUP($AA1237,#REF!,53,0),INDEX(VALUES!$B$1:$GP$1,1,$AA1237)))</f>
        <v/>
      </c>
    </row>
    <row r="1238" spans="1:29" hidden="1" outlineLevel="1">
      <c r="A1238" s="21"/>
      <c r="B1238" s="40" t="str">
        <f t="shared" si="94"/>
        <v/>
      </c>
      <c r="C1238" s="41">
        <f t="shared" si="95"/>
        <v>1237</v>
      </c>
      <c r="D1238" s="260"/>
      <c r="E1238" s="37"/>
      <c r="F1238" s="305" t="s">
        <v>9</v>
      </c>
      <c r="G1238" s="188"/>
      <c r="H1238" s="37"/>
      <c r="I1238" s="37" t="s">
        <v>9</v>
      </c>
      <c r="J1238" s="37"/>
      <c r="K1238" s="13" t="s">
        <v>46</v>
      </c>
      <c r="L1238" s="13" t="s">
        <v>29</v>
      </c>
      <c r="M1238" s="235" t="s">
        <v>2549</v>
      </c>
      <c r="N1238" s="13" t="s">
        <v>2550</v>
      </c>
      <c r="O1238" s="42">
        <v>1</v>
      </c>
      <c r="R1238" s="37" t="s">
        <v>106</v>
      </c>
      <c r="S1238" s="37"/>
      <c r="T1238" s="37"/>
      <c r="W1238" s="14" t="str">
        <f>IF(IFERROR(VLOOKUP($M1238,'IMPORT GS-Tür OL FL 2S2 20'!$H$2:$H$847,1,0),"-")="-","","GS")</f>
        <v>GS</v>
      </c>
      <c r="X1238" s="14" t="str">
        <f t="shared" si="96"/>
        <v/>
      </c>
      <c r="Z1238" s="58" t="str">
        <f>IF(OR($M1238="",NOT($O1238="{array}")),"",IFERROR(MATCH(PARAMETERS!$M1238,DEFAULT!$B$5:$CI$5,0),""))</f>
        <v/>
      </c>
      <c r="AA1238" s="55" t="str">
        <f t="shared" si="93"/>
        <v/>
      </c>
      <c r="AB1238" s="62" t="str">
        <f>IF(AND(OR($A1238="G",$A1238="P"),NOT($O1238="{array}")),IF(VLOOKUP($K1238,base!$B$2:$D$20,3,0)="S",IF(OR($O1238="",ISTEXT($O1238)),"","STRING!"),IF(VLOOKUP($K1238,base!$B$2:$D$20,3,0)="","",IF(ISTEXT($O1238),"NUMERIC!",""))),"")</f>
        <v/>
      </c>
      <c r="AC1238" s="16" t="str">
        <f>IF($AA1238="","",IF($B1238="I",VLOOKUP($AA1238,#REF!,53,0),INDEX(VALUES!$B$1:$GP$1,1,$AA1238)))</f>
        <v/>
      </c>
    </row>
    <row r="1239" spans="1:29" hidden="1" outlineLevel="1">
      <c r="A1239" s="21"/>
      <c r="B1239" s="40" t="str">
        <f t="shared" si="94"/>
        <v/>
      </c>
      <c r="C1239" s="41">
        <f t="shared" si="95"/>
        <v>1238</v>
      </c>
      <c r="D1239" s="260"/>
      <c r="E1239" s="37"/>
      <c r="F1239" s="305" t="s">
        <v>9</v>
      </c>
      <c r="G1239" s="188"/>
      <c r="H1239" s="37"/>
      <c r="I1239" s="37" t="s">
        <v>9</v>
      </c>
      <c r="J1239" s="37"/>
      <c r="K1239" s="13" t="s">
        <v>26</v>
      </c>
      <c r="L1239" s="13" t="s">
        <v>29</v>
      </c>
      <c r="M1239" s="235" t="s">
        <v>2551</v>
      </c>
      <c r="N1239" s="13" t="s">
        <v>2552</v>
      </c>
      <c r="O1239" s="42">
        <v>0.02</v>
      </c>
      <c r="R1239" s="37" t="s">
        <v>106</v>
      </c>
      <c r="S1239" s="37"/>
      <c r="T1239" s="37"/>
      <c r="W1239" s="14" t="str">
        <f>IF(IFERROR(VLOOKUP($M1239,'IMPORT GS-Tür OL FL 2S2 20'!$H$2:$H$847,1,0),"-")="-","","GS")</f>
        <v>GS</v>
      </c>
      <c r="X1239" s="14" t="str">
        <f t="shared" si="96"/>
        <v/>
      </c>
      <c r="Z1239" s="58" t="str">
        <f>IF(OR($M1239="",NOT($O1239="{array}")),"",IFERROR(MATCH(PARAMETERS!$M1239,DEFAULT!$B$5:$CI$5,0),""))</f>
        <v/>
      </c>
      <c r="AA1239" s="55" t="str">
        <f t="shared" si="93"/>
        <v/>
      </c>
      <c r="AB1239" s="62" t="str">
        <f>IF(AND(OR($A1239="G",$A1239="P"),NOT($O1239="{array}")),IF(VLOOKUP($K1239,base!$B$2:$D$20,3,0)="S",IF(OR($O1239="",ISTEXT($O1239)),"","STRING!"),IF(VLOOKUP($K1239,base!$B$2:$D$20,3,0)="","",IF(ISTEXT($O1239),"NUMERIC!",""))),"")</f>
        <v/>
      </c>
      <c r="AC1239" s="16" t="str">
        <f>IF($AA1239="","",IF($B1239="I",VLOOKUP($AA1239,#REF!,53,0),INDEX(VALUES!$B$1:$GP$1,1,$AA1239)))</f>
        <v/>
      </c>
    </row>
    <row r="1240" spans="1:29" hidden="1" outlineLevel="1">
      <c r="A1240" s="21"/>
      <c r="B1240" s="40" t="str">
        <f t="shared" si="94"/>
        <v/>
      </c>
      <c r="C1240" s="41">
        <f t="shared" si="95"/>
        <v>1239</v>
      </c>
      <c r="D1240" s="260"/>
      <c r="E1240" s="37"/>
      <c r="F1240" s="305" t="s">
        <v>9</v>
      </c>
      <c r="G1240" s="188"/>
      <c r="H1240" s="37"/>
      <c r="I1240" s="37" t="s">
        <v>9</v>
      </c>
      <c r="J1240" s="37"/>
      <c r="K1240" s="13" t="s">
        <v>49</v>
      </c>
      <c r="L1240" s="13" t="s">
        <v>29</v>
      </c>
      <c r="M1240" s="235" t="s">
        <v>2553</v>
      </c>
      <c r="N1240" s="13" t="s">
        <v>2554</v>
      </c>
      <c r="O1240" s="42">
        <v>1</v>
      </c>
      <c r="R1240" s="37" t="s">
        <v>106</v>
      </c>
      <c r="S1240" s="37"/>
      <c r="T1240" s="37"/>
      <c r="W1240" s="14" t="str">
        <f>IF(IFERROR(VLOOKUP($M1240,'IMPORT GS-Tür OL FL 2S2 20'!$H$2:$H$847,1,0),"-")="-","","GS")</f>
        <v>GS</v>
      </c>
      <c r="X1240" s="14" t="str">
        <f t="shared" si="96"/>
        <v/>
      </c>
      <c r="Z1240" s="58" t="str">
        <f>IF(OR($M1240="",NOT($O1240="{array}")),"",IFERROR(MATCH(PARAMETERS!$M1240,DEFAULT!$B$5:$CI$5,0),""))</f>
        <v/>
      </c>
      <c r="AA1240" s="55" t="str">
        <f t="shared" si="93"/>
        <v/>
      </c>
      <c r="AB1240" s="62" t="str">
        <f>IF(AND(OR($A1240="G",$A1240="P"),NOT($O1240="{array}")),IF(VLOOKUP($K1240,base!$B$2:$D$20,3,0)="S",IF(OR($O1240="",ISTEXT($O1240)),"","STRING!"),IF(VLOOKUP($K1240,base!$B$2:$D$20,3,0)="","",IF(ISTEXT($O1240),"NUMERIC!",""))),"")</f>
        <v/>
      </c>
      <c r="AC1240" s="16" t="str">
        <f>IF($AA1240="","",IF($B1240="I",VLOOKUP($AA1240,#REF!,53,0),INDEX(VALUES!$B$1:$GP$1,1,$AA1240)))</f>
        <v/>
      </c>
    </row>
    <row r="1241" spans="1:29" hidden="1" outlineLevel="1">
      <c r="A1241" s="21"/>
      <c r="B1241" s="40" t="str">
        <f t="shared" si="94"/>
        <v/>
      </c>
      <c r="C1241" s="41">
        <f t="shared" si="95"/>
        <v>1240</v>
      </c>
      <c r="D1241" s="260"/>
      <c r="E1241" s="37"/>
      <c r="F1241" s="305" t="s">
        <v>9</v>
      </c>
      <c r="G1241" s="188"/>
      <c r="H1241" s="37"/>
      <c r="I1241" s="37" t="s">
        <v>9</v>
      </c>
      <c r="J1241" s="37"/>
      <c r="K1241" s="13" t="s">
        <v>49</v>
      </c>
      <c r="L1241" s="13" t="s">
        <v>29</v>
      </c>
      <c r="M1241" s="235" t="s">
        <v>2555</v>
      </c>
      <c r="N1241" s="13" t="s">
        <v>2556</v>
      </c>
      <c r="O1241" s="42">
        <v>1</v>
      </c>
      <c r="R1241" s="37" t="s">
        <v>106</v>
      </c>
      <c r="S1241" s="37"/>
      <c r="T1241" s="37"/>
      <c r="W1241" s="14" t="str">
        <f>IF(IFERROR(VLOOKUP($M1241,'IMPORT GS-Tür OL FL 2S2 20'!$H$2:$H$847,1,0),"-")="-","","GS")</f>
        <v>GS</v>
      </c>
      <c r="X1241" s="14" t="str">
        <f t="shared" si="96"/>
        <v/>
      </c>
      <c r="Z1241" s="58" t="str">
        <f>IF(OR($M1241="",NOT($O1241="{array}")),"",IFERROR(MATCH(PARAMETERS!$M1241,DEFAULT!$B$5:$CI$5,0),""))</f>
        <v/>
      </c>
      <c r="AA1241" s="55" t="str">
        <f t="shared" si="93"/>
        <v/>
      </c>
      <c r="AB1241" s="62" t="str">
        <f>IF(AND(OR($A1241="G",$A1241="P"),NOT($O1241="{array}")),IF(VLOOKUP($K1241,base!$B$2:$D$20,3,0)="S",IF(OR($O1241="",ISTEXT($O1241)),"","STRING!"),IF(VLOOKUP($K1241,base!$B$2:$D$20,3,0)="","",IF(ISTEXT($O1241),"NUMERIC!",""))),"")</f>
        <v/>
      </c>
      <c r="AC1241" s="16" t="str">
        <f>IF($AA1241="","",IF($B1241="I",VLOOKUP($AA1241,#REF!,53,0),INDEX(VALUES!$B$1:$GP$1,1,$AA1241)))</f>
        <v/>
      </c>
    </row>
    <row r="1242" spans="1:29" hidden="1" outlineLevel="1">
      <c r="A1242" s="21"/>
      <c r="B1242" s="40" t="str">
        <f t="shared" si="94"/>
        <v/>
      </c>
      <c r="C1242" s="41">
        <f t="shared" si="95"/>
        <v>1241</v>
      </c>
      <c r="D1242" s="260"/>
      <c r="E1242" s="37"/>
      <c r="F1242" s="305" t="s">
        <v>9</v>
      </c>
      <c r="G1242" s="188"/>
      <c r="H1242" s="37"/>
      <c r="I1242" s="37" t="s">
        <v>9</v>
      </c>
      <c r="J1242" s="37"/>
      <c r="K1242" s="13" t="s">
        <v>26</v>
      </c>
      <c r="L1242" s="13" t="s">
        <v>29</v>
      </c>
      <c r="M1242" s="235" t="s">
        <v>2557</v>
      </c>
      <c r="N1242" s="13" t="s">
        <v>2558</v>
      </c>
      <c r="O1242" s="42">
        <v>0.05</v>
      </c>
      <c r="R1242" s="37" t="s">
        <v>106</v>
      </c>
      <c r="S1242" s="37"/>
      <c r="T1242" s="37"/>
      <c r="W1242" s="14" t="str">
        <f>IF(IFERROR(VLOOKUP($M1242,'IMPORT GS-Tür OL FL 2S2 20'!$H$2:$H$847,1,0),"-")="-","","GS")</f>
        <v>GS</v>
      </c>
      <c r="X1242" s="14" t="str">
        <f t="shared" si="96"/>
        <v/>
      </c>
      <c r="Z1242" s="58" t="str">
        <f>IF(OR($M1242="",NOT($O1242="{array}")),"",IFERROR(MATCH(PARAMETERS!$M1242,DEFAULT!$B$5:$CI$5,0),""))</f>
        <v/>
      </c>
      <c r="AA1242" s="55" t="str">
        <f t="shared" si="93"/>
        <v/>
      </c>
      <c r="AB1242" s="62" t="str">
        <f>IF(AND(OR($A1242="G",$A1242="P"),NOT($O1242="{array}")),IF(VLOOKUP($K1242,base!$B$2:$D$20,3,0)="S",IF(OR($O1242="",ISTEXT($O1242)),"","STRING!"),IF(VLOOKUP($K1242,base!$B$2:$D$20,3,0)="","",IF(ISTEXT($O1242),"NUMERIC!",""))),"")</f>
        <v/>
      </c>
      <c r="AC1242" s="16" t="str">
        <f>IF($AA1242="","",IF($B1242="I",VLOOKUP($AA1242,#REF!,53,0),INDEX(VALUES!$B$1:$GP$1,1,$AA1242)))</f>
        <v/>
      </c>
    </row>
    <row r="1243" spans="1:29" hidden="1" outlineLevel="1">
      <c r="A1243" s="21"/>
      <c r="B1243" s="40" t="str">
        <f t="shared" si="94"/>
        <v/>
      </c>
      <c r="C1243" s="41">
        <f t="shared" si="95"/>
        <v>1242</v>
      </c>
      <c r="D1243" s="260"/>
      <c r="E1243" s="37"/>
      <c r="F1243" s="305" t="s">
        <v>9</v>
      </c>
      <c r="G1243" s="188"/>
      <c r="H1243" s="37"/>
      <c r="I1243" s="37" t="s">
        <v>9</v>
      </c>
      <c r="J1243" s="37"/>
      <c r="K1243" s="13" t="s">
        <v>26</v>
      </c>
      <c r="L1243" s="13" t="s">
        <v>29</v>
      </c>
      <c r="M1243" s="235" t="s">
        <v>2559</v>
      </c>
      <c r="N1243" s="13" t="s">
        <v>2560</v>
      </c>
      <c r="O1243" s="42">
        <v>0.05</v>
      </c>
      <c r="R1243" s="37" t="s">
        <v>106</v>
      </c>
      <c r="S1243" s="37"/>
      <c r="T1243" s="37"/>
      <c r="W1243" s="14" t="str">
        <f>IF(IFERROR(VLOOKUP($M1243,'IMPORT GS-Tür OL FL 2S2 20'!$H$2:$H$847,1,0),"-")="-","","GS")</f>
        <v>GS</v>
      </c>
      <c r="X1243" s="14" t="str">
        <f t="shared" si="96"/>
        <v/>
      </c>
      <c r="Z1243" s="58" t="str">
        <f>IF(OR($M1243="",NOT($O1243="{array}")),"",IFERROR(MATCH(PARAMETERS!$M1243,DEFAULT!$B$5:$CI$5,0),""))</f>
        <v/>
      </c>
      <c r="AA1243" s="55" t="str">
        <f t="shared" si="93"/>
        <v/>
      </c>
      <c r="AB1243" s="62" t="str">
        <f>IF(AND(OR($A1243="G",$A1243="P"),NOT($O1243="{array}")),IF(VLOOKUP($K1243,base!$B$2:$D$20,3,0)="S",IF(OR($O1243="",ISTEXT($O1243)),"","STRING!"),IF(VLOOKUP($K1243,base!$B$2:$D$20,3,0)="","",IF(ISTEXT($O1243),"NUMERIC!",""))),"")</f>
        <v/>
      </c>
      <c r="AC1243" s="16" t="str">
        <f>IF($AA1243="","",IF($B1243="I",VLOOKUP($AA1243,#REF!,53,0),INDEX(VALUES!$B$1:$GP$1,1,$AA1243)))</f>
        <v/>
      </c>
    </row>
    <row r="1244" spans="1:29" hidden="1" outlineLevel="1">
      <c r="A1244" s="21"/>
      <c r="B1244" s="40" t="str">
        <f t="shared" si="94"/>
        <v/>
      </c>
      <c r="C1244" s="41">
        <f t="shared" si="95"/>
        <v>1243</v>
      </c>
      <c r="D1244" s="260"/>
      <c r="E1244" s="37"/>
      <c r="F1244" s="305" t="s">
        <v>9</v>
      </c>
      <c r="G1244" s="188"/>
      <c r="H1244" s="37"/>
      <c r="I1244" s="37" t="s">
        <v>9</v>
      </c>
      <c r="J1244" s="37"/>
      <c r="K1244" s="13" t="s">
        <v>26</v>
      </c>
      <c r="L1244" s="13" t="s">
        <v>29</v>
      </c>
      <c r="M1244" s="235" t="s">
        <v>2561</v>
      </c>
      <c r="N1244" s="13" t="s">
        <v>2118</v>
      </c>
      <c r="O1244" s="42">
        <v>0.05</v>
      </c>
      <c r="R1244" s="37" t="s">
        <v>106</v>
      </c>
      <c r="S1244" s="37"/>
      <c r="T1244" s="37"/>
      <c r="W1244" s="14" t="str">
        <f>IF(IFERROR(VLOOKUP($M1244,'IMPORT GS-Tür OL FL 2S2 20'!$H$2:$H$847,1,0),"-")="-","","GS")</f>
        <v>GS</v>
      </c>
      <c r="X1244" s="14" t="str">
        <f t="shared" si="96"/>
        <v/>
      </c>
      <c r="Z1244" s="58" t="str">
        <f>IF(OR($M1244="",NOT($O1244="{array}")),"",IFERROR(MATCH(PARAMETERS!$M1244,DEFAULT!$B$5:$CI$5,0),""))</f>
        <v/>
      </c>
      <c r="AA1244" s="55" t="str">
        <f t="shared" si="93"/>
        <v/>
      </c>
      <c r="AB1244" s="62" t="str">
        <f>IF(AND(OR($A1244="G",$A1244="P"),NOT($O1244="{array}")),IF(VLOOKUP($K1244,base!$B$2:$D$20,3,0)="S",IF(OR($O1244="",ISTEXT($O1244)),"","STRING!"),IF(VLOOKUP($K1244,base!$B$2:$D$20,3,0)="","",IF(ISTEXT($O1244),"NUMERIC!",""))),"")</f>
        <v/>
      </c>
      <c r="AC1244" s="16" t="str">
        <f>IF($AA1244="","",IF($B1244="I",VLOOKUP($AA1244,#REF!,53,0),INDEX(VALUES!$B$1:$GP$1,1,$AA1244)))</f>
        <v/>
      </c>
    </row>
    <row r="1245" spans="1:29" hidden="1" outlineLevel="1">
      <c r="A1245" s="21"/>
      <c r="B1245" s="40" t="str">
        <f t="shared" si="94"/>
        <v/>
      </c>
      <c r="C1245" s="41">
        <f t="shared" si="95"/>
        <v>1244</v>
      </c>
      <c r="D1245" s="260"/>
      <c r="E1245" s="37"/>
      <c r="F1245" s="305" t="s">
        <v>9</v>
      </c>
      <c r="G1245" s="188"/>
      <c r="H1245" s="37"/>
      <c r="I1245" s="37" t="s">
        <v>9</v>
      </c>
      <c r="J1245" s="37"/>
      <c r="K1245" s="13" t="s">
        <v>26</v>
      </c>
      <c r="L1245" s="13" t="s">
        <v>29</v>
      </c>
      <c r="M1245" s="235" t="s">
        <v>2562</v>
      </c>
      <c r="N1245" s="13" t="s">
        <v>2563</v>
      </c>
      <c r="O1245" s="42">
        <v>1.9E-2</v>
      </c>
      <c r="R1245" s="37" t="s">
        <v>106</v>
      </c>
      <c r="S1245" s="37"/>
      <c r="T1245" s="37"/>
      <c r="W1245" s="14" t="str">
        <f>IF(IFERROR(VLOOKUP($M1245,'IMPORT GS-Tür OL FL 2S2 20'!$H$2:$H$847,1,0),"-")="-","","GS")</f>
        <v>GS</v>
      </c>
      <c r="X1245" s="14" t="str">
        <f t="shared" si="96"/>
        <v/>
      </c>
      <c r="Z1245" s="58" t="str">
        <f>IF(OR($M1245="",NOT($O1245="{array}")),"",IFERROR(MATCH(PARAMETERS!$M1245,DEFAULT!$B$5:$CI$5,0),""))</f>
        <v/>
      </c>
      <c r="AA1245" s="55" t="str">
        <f t="shared" si="93"/>
        <v/>
      </c>
      <c r="AB1245" s="62" t="str">
        <f>IF(AND(OR($A1245="G",$A1245="P"),NOT($O1245="{array}")),IF(VLOOKUP($K1245,base!$B$2:$D$20,3,0)="S",IF(OR($O1245="",ISTEXT($O1245)),"","STRING!"),IF(VLOOKUP($K1245,base!$B$2:$D$20,3,0)="","",IF(ISTEXT($O1245),"NUMERIC!",""))),"")</f>
        <v/>
      </c>
      <c r="AC1245" s="16" t="str">
        <f>IF($AA1245="","",IF($B1245="I",VLOOKUP($AA1245,#REF!,53,0),INDEX(VALUES!$B$1:$GP$1,1,$AA1245)))</f>
        <v/>
      </c>
    </row>
    <row r="1246" spans="1:29" hidden="1" outlineLevel="1">
      <c r="A1246" s="21"/>
      <c r="B1246" s="40" t="str">
        <f t="shared" si="94"/>
        <v/>
      </c>
      <c r="C1246" s="41">
        <f t="shared" si="95"/>
        <v>1245</v>
      </c>
      <c r="D1246" s="260"/>
      <c r="E1246" s="37"/>
      <c r="F1246" s="305" t="s">
        <v>9</v>
      </c>
      <c r="G1246" s="188"/>
      <c r="H1246" s="37"/>
      <c r="I1246" s="37" t="s">
        <v>9</v>
      </c>
      <c r="J1246" s="37"/>
      <c r="K1246" s="13" t="s">
        <v>26</v>
      </c>
      <c r="L1246" s="13" t="s">
        <v>29</v>
      </c>
      <c r="M1246" s="235" t="s">
        <v>2564</v>
      </c>
      <c r="N1246" s="13" t="s">
        <v>2565</v>
      </c>
      <c r="O1246" s="42">
        <v>2.5000000000000001E-2</v>
      </c>
      <c r="R1246" s="37" t="s">
        <v>106</v>
      </c>
      <c r="S1246" s="37"/>
      <c r="T1246" s="37"/>
      <c r="W1246" s="14" t="str">
        <f>IF(IFERROR(VLOOKUP($M1246,'IMPORT GS-Tür OL FL 2S2 20'!$H$2:$H$847,1,0),"-")="-","","GS")</f>
        <v>GS</v>
      </c>
      <c r="X1246" s="14" t="str">
        <f t="shared" si="96"/>
        <v/>
      </c>
      <c r="Z1246" s="58" t="str">
        <f>IF(OR($M1246="",NOT($O1246="{array}")),"",IFERROR(MATCH(PARAMETERS!$M1246,DEFAULT!$B$5:$CI$5,0),""))</f>
        <v/>
      </c>
      <c r="AA1246" s="55" t="str">
        <f t="shared" si="93"/>
        <v/>
      </c>
      <c r="AB1246" s="62" t="str">
        <f>IF(AND(OR($A1246="G",$A1246="P"),NOT($O1246="{array}")),IF(VLOOKUP($K1246,base!$B$2:$D$20,3,0)="S",IF(OR($O1246="",ISTEXT($O1246)),"","STRING!"),IF(VLOOKUP($K1246,base!$B$2:$D$20,3,0)="","",IF(ISTEXT($O1246),"NUMERIC!",""))),"")</f>
        <v/>
      </c>
      <c r="AC1246" s="16" t="str">
        <f>IF($AA1246="","",IF($B1246="I",VLOOKUP($AA1246,#REF!,53,0),INDEX(VALUES!$B$1:$GP$1,1,$AA1246)))</f>
        <v/>
      </c>
    </row>
    <row r="1247" spans="1:29" hidden="1" outlineLevel="1">
      <c r="A1247" s="21"/>
      <c r="B1247" s="40" t="str">
        <f t="shared" si="94"/>
        <v/>
      </c>
      <c r="C1247" s="41">
        <f t="shared" si="95"/>
        <v>1246</v>
      </c>
      <c r="D1247" s="260"/>
      <c r="E1247" s="37"/>
      <c r="F1247" s="305" t="s">
        <v>9</v>
      </c>
      <c r="G1247" s="188"/>
      <c r="H1247" s="37"/>
      <c r="I1247" s="37" t="s">
        <v>9</v>
      </c>
      <c r="J1247" s="37"/>
      <c r="K1247" s="13" t="s">
        <v>26</v>
      </c>
      <c r="L1247" s="13" t="s">
        <v>29</v>
      </c>
      <c r="M1247" s="235" t="s">
        <v>2566</v>
      </c>
      <c r="N1247" s="13" t="s">
        <v>2567</v>
      </c>
      <c r="O1247" s="42">
        <v>0</v>
      </c>
      <c r="R1247" s="37" t="s">
        <v>106</v>
      </c>
      <c r="S1247" s="37"/>
      <c r="T1247" s="37"/>
      <c r="W1247" s="14" t="str">
        <f>IF(IFERROR(VLOOKUP($M1247,'IMPORT GS-Tür OL FL 2S2 20'!$H$2:$H$847,1,0),"-")="-","","GS")</f>
        <v>GS</v>
      </c>
      <c r="X1247" s="14" t="str">
        <f t="shared" si="96"/>
        <v/>
      </c>
      <c r="Z1247" s="58" t="str">
        <f>IF(OR($M1247="",NOT($O1247="{array}")),"",IFERROR(MATCH(PARAMETERS!$M1247,DEFAULT!$B$5:$CI$5,0),""))</f>
        <v/>
      </c>
      <c r="AA1247" s="55" t="str">
        <f t="shared" si="93"/>
        <v/>
      </c>
      <c r="AB1247" s="62" t="str">
        <f>IF(AND(OR($A1247="G",$A1247="P"),NOT($O1247="{array}")),IF(VLOOKUP($K1247,base!$B$2:$D$20,3,0)="S",IF(OR($O1247="",ISTEXT($O1247)),"","STRING!"),IF(VLOOKUP($K1247,base!$B$2:$D$20,3,0)="","",IF(ISTEXT($O1247),"NUMERIC!",""))),"")</f>
        <v/>
      </c>
      <c r="AC1247" s="16" t="str">
        <f>IF($AA1247="","",IF($B1247="I",VLOOKUP($AA1247,#REF!,53,0),INDEX(VALUES!$B$1:$GP$1,1,$AA1247)))</f>
        <v/>
      </c>
    </row>
    <row r="1248" spans="1:29" hidden="1" outlineLevel="1">
      <c r="A1248" s="21"/>
      <c r="B1248" s="40" t="str">
        <f t="shared" si="94"/>
        <v/>
      </c>
      <c r="C1248" s="41">
        <f t="shared" si="95"/>
        <v>1247</v>
      </c>
      <c r="D1248" s="260"/>
      <c r="E1248" s="37"/>
      <c r="F1248" s="305" t="s">
        <v>9</v>
      </c>
      <c r="G1248" s="188"/>
      <c r="H1248" s="37"/>
      <c r="I1248" s="37" t="s">
        <v>9</v>
      </c>
      <c r="J1248" s="37"/>
      <c r="K1248" s="13" t="s">
        <v>26</v>
      </c>
      <c r="L1248" s="13" t="s">
        <v>29</v>
      </c>
      <c r="M1248" s="235" t="s">
        <v>2568</v>
      </c>
      <c r="N1248" s="13" t="s">
        <v>2569</v>
      </c>
      <c r="O1248" s="42">
        <v>0.05</v>
      </c>
      <c r="R1248" s="37" t="s">
        <v>106</v>
      </c>
      <c r="S1248" s="37"/>
      <c r="T1248" s="37"/>
      <c r="W1248" s="14" t="str">
        <f>IF(IFERROR(VLOOKUP($M1248,'IMPORT GS-Tür OL FL 2S2 20'!$H$2:$H$847,1,0),"-")="-","","GS")</f>
        <v>GS</v>
      </c>
      <c r="X1248" s="14" t="str">
        <f t="shared" si="96"/>
        <v/>
      </c>
      <c r="Z1248" s="58" t="str">
        <f>IF(OR($M1248="",NOT($O1248="{array}")),"",IFERROR(MATCH(PARAMETERS!$M1248,DEFAULT!$B$5:$CI$5,0),""))</f>
        <v/>
      </c>
      <c r="AA1248" s="55" t="str">
        <f t="shared" si="93"/>
        <v/>
      </c>
      <c r="AB1248" s="62" t="str">
        <f>IF(AND(OR($A1248="G",$A1248="P"),NOT($O1248="{array}")),IF(VLOOKUP($K1248,base!$B$2:$D$20,3,0)="S",IF(OR($O1248="",ISTEXT($O1248)),"","STRING!"),IF(VLOOKUP($K1248,base!$B$2:$D$20,3,0)="","",IF(ISTEXT($O1248),"NUMERIC!",""))),"")</f>
        <v/>
      </c>
      <c r="AC1248" s="16" t="str">
        <f>IF($AA1248="","",IF($B1248="I",VLOOKUP($AA1248,#REF!,53,0),INDEX(VALUES!$B$1:$GP$1,1,$AA1248)))</f>
        <v/>
      </c>
    </row>
    <row r="1249" spans="1:29" hidden="1" outlineLevel="1">
      <c r="A1249" s="21"/>
      <c r="B1249" s="40" t="str">
        <f t="shared" si="94"/>
        <v/>
      </c>
      <c r="C1249" s="41">
        <f t="shared" si="95"/>
        <v>1248</v>
      </c>
      <c r="D1249" s="260"/>
      <c r="E1249" s="37"/>
      <c r="F1249" s="305" t="s">
        <v>9</v>
      </c>
      <c r="G1249" s="188"/>
      <c r="H1249" s="37"/>
      <c r="I1249" s="37" t="s">
        <v>9</v>
      </c>
      <c r="J1249" s="37"/>
      <c r="K1249" s="13" t="s">
        <v>26</v>
      </c>
      <c r="L1249" s="13" t="s">
        <v>29</v>
      </c>
      <c r="M1249" s="235" t="s">
        <v>2570</v>
      </c>
      <c r="N1249" s="13" t="s">
        <v>2571</v>
      </c>
      <c r="O1249" s="42">
        <v>0.1</v>
      </c>
      <c r="R1249" s="37" t="s">
        <v>106</v>
      </c>
      <c r="S1249" s="37"/>
      <c r="T1249" s="37"/>
      <c r="W1249" s="14" t="str">
        <f>IF(IFERROR(VLOOKUP($M1249,'IMPORT GS-Tür OL FL 2S2 20'!$H$2:$H$847,1,0),"-")="-","","GS")</f>
        <v>GS</v>
      </c>
      <c r="X1249" s="14" t="str">
        <f t="shared" si="96"/>
        <v/>
      </c>
      <c r="Z1249" s="58" t="str">
        <f>IF(OR($M1249="",NOT($O1249="{array}")),"",IFERROR(MATCH(PARAMETERS!$M1249,DEFAULT!$B$5:$CI$5,0),""))</f>
        <v/>
      </c>
      <c r="AA1249" s="55" t="str">
        <f t="shared" si="93"/>
        <v/>
      </c>
      <c r="AB1249" s="62" t="str">
        <f>IF(AND(OR($A1249="G",$A1249="P"),NOT($O1249="{array}")),IF(VLOOKUP($K1249,base!$B$2:$D$20,3,0)="S",IF(OR($O1249="",ISTEXT($O1249)),"","STRING!"),IF(VLOOKUP($K1249,base!$B$2:$D$20,3,0)="","",IF(ISTEXT($O1249),"NUMERIC!",""))),"")</f>
        <v/>
      </c>
      <c r="AC1249" s="16" t="str">
        <f>IF($AA1249="","",IF($B1249="I",VLOOKUP($AA1249,#REF!,53,0),INDEX(VALUES!$B$1:$GP$1,1,$AA1249)))</f>
        <v/>
      </c>
    </row>
    <row r="1250" spans="1:29" hidden="1" outlineLevel="1">
      <c r="A1250" s="21"/>
      <c r="B1250" s="40" t="str">
        <f t="shared" si="94"/>
        <v/>
      </c>
      <c r="C1250" s="41">
        <f t="shared" si="95"/>
        <v>1249</v>
      </c>
      <c r="D1250" s="260"/>
      <c r="E1250" s="37"/>
      <c r="F1250" s="305" t="s">
        <v>9</v>
      </c>
      <c r="G1250" s="188"/>
      <c r="H1250" s="37"/>
      <c r="I1250" s="37" t="s">
        <v>9</v>
      </c>
      <c r="J1250" s="37"/>
      <c r="K1250" s="13" t="s">
        <v>55</v>
      </c>
      <c r="L1250" s="13" t="s">
        <v>29</v>
      </c>
      <c r="M1250" s="235" t="s">
        <v>2572</v>
      </c>
      <c r="N1250" s="13" t="s">
        <v>2573</v>
      </c>
      <c r="O1250" s="42">
        <v>1</v>
      </c>
      <c r="R1250" s="37" t="s">
        <v>106</v>
      </c>
      <c r="S1250" s="37"/>
      <c r="T1250" s="37"/>
      <c r="W1250" s="14" t="str">
        <f>IF(IFERROR(VLOOKUP($M1250,'IMPORT GS-Tür OL FL 2S2 20'!$H$2:$H$847,1,0),"-")="-","","GS")</f>
        <v>GS</v>
      </c>
      <c r="X1250" s="14" t="str">
        <f t="shared" si="96"/>
        <v/>
      </c>
      <c r="Z1250" s="58" t="str">
        <f>IF(OR($M1250="",NOT($O1250="{array}")),"",IFERROR(MATCH(PARAMETERS!$M1250,DEFAULT!$B$5:$CI$5,0),""))</f>
        <v/>
      </c>
      <c r="AA1250" s="55" t="str">
        <f t="shared" si="93"/>
        <v/>
      </c>
      <c r="AB1250" s="62" t="str">
        <f>IF(AND(OR($A1250="G",$A1250="P"),NOT($O1250="{array}")),IF(VLOOKUP($K1250,base!$B$2:$D$20,3,0)="S",IF(OR($O1250="",ISTEXT($O1250)),"","STRING!"),IF(VLOOKUP($K1250,base!$B$2:$D$20,3,0)="","",IF(ISTEXT($O1250),"NUMERIC!",""))),"")</f>
        <v/>
      </c>
      <c r="AC1250" s="16" t="str">
        <f>IF($AA1250="","",IF($B1250="I",VLOOKUP($AA1250,#REF!,53,0),INDEX(VALUES!$B$1:$GP$1,1,$AA1250)))</f>
        <v/>
      </c>
    </row>
    <row r="1251" spans="1:29" hidden="1" outlineLevel="1">
      <c r="A1251" s="21"/>
      <c r="B1251" s="40" t="str">
        <f t="shared" si="94"/>
        <v/>
      </c>
      <c r="C1251" s="41">
        <f t="shared" si="95"/>
        <v>1250</v>
      </c>
      <c r="D1251" s="260"/>
      <c r="E1251" s="37"/>
      <c r="F1251" s="305" t="s">
        <v>9</v>
      </c>
      <c r="G1251" s="188"/>
      <c r="H1251" s="37"/>
      <c r="I1251" s="37" t="s">
        <v>9</v>
      </c>
      <c r="J1251" s="37"/>
      <c r="K1251" s="13" t="s">
        <v>54</v>
      </c>
      <c r="L1251" s="13" t="s">
        <v>29</v>
      </c>
      <c r="M1251" s="235" t="s">
        <v>2574</v>
      </c>
      <c r="N1251" s="13" t="s">
        <v>2575</v>
      </c>
      <c r="O1251" s="42">
        <v>65</v>
      </c>
      <c r="R1251" s="37" t="s">
        <v>106</v>
      </c>
      <c r="S1251" s="37"/>
      <c r="T1251" s="37"/>
      <c r="W1251" s="14" t="str">
        <f>IF(IFERROR(VLOOKUP($M1251,'IMPORT GS-Tür OL FL 2S2 20'!$H$2:$H$847,1,0),"-")="-","","GS")</f>
        <v>GS</v>
      </c>
      <c r="X1251" s="14" t="str">
        <f t="shared" si="96"/>
        <v/>
      </c>
      <c r="Z1251" s="58" t="str">
        <f>IF(OR($M1251="",NOT($O1251="{array}")),"",IFERROR(MATCH(PARAMETERS!$M1251,DEFAULT!$B$5:$CI$5,0),""))</f>
        <v/>
      </c>
      <c r="AA1251" s="55" t="str">
        <f t="shared" si="93"/>
        <v/>
      </c>
      <c r="AB1251" s="62" t="str">
        <f>IF(AND(OR($A1251="G",$A1251="P"),NOT($O1251="{array}")),IF(VLOOKUP($K1251,base!$B$2:$D$20,3,0)="S",IF(OR($O1251="",ISTEXT($O1251)),"","STRING!"),IF(VLOOKUP($K1251,base!$B$2:$D$20,3,0)="","",IF(ISTEXT($O1251),"NUMERIC!",""))),"")</f>
        <v/>
      </c>
      <c r="AC1251" s="16" t="str">
        <f>IF($AA1251="","",IF($B1251="I",VLOOKUP($AA1251,#REF!,53,0),INDEX(VALUES!$B$1:$GP$1,1,$AA1251)))</f>
        <v/>
      </c>
    </row>
    <row r="1252" spans="1:29" hidden="1" outlineLevel="1">
      <c r="A1252" s="21"/>
      <c r="B1252" s="40" t="str">
        <f t="shared" si="94"/>
        <v/>
      </c>
      <c r="C1252" s="41">
        <f t="shared" si="95"/>
        <v>1251</v>
      </c>
      <c r="D1252" s="260"/>
      <c r="E1252" s="37"/>
      <c r="F1252" s="305" t="s">
        <v>9</v>
      </c>
      <c r="G1252" s="188"/>
      <c r="H1252" s="37"/>
      <c r="I1252" s="37" t="s">
        <v>9</v>
      </c>
      <c r="J1252" s="37"/>
      <c r="K1252" s="13" t="s">
        <v>55</v>
      </c>
      <c r="L1252" s="13" t="s">
        <v>29</v>
      </c>
      <c r="M1252" s="235" t="s">
        <v>2576</v>
      </c>
      <c r="N1252" s="13" t="s">
        <v>2577</v>
      </c>
      <c r="O1252" s="42">
        <v>19</v>
      </c>
      <c r="R1252" s="37" t="s">
        <v>106</v>
      </c>
      <c r="S1252" s="37"/>
      <c r="T1252" s="37"/>
      <c r="W1252" s="14" t="str">
        <f>IF(IFERROR(VLOOKUP($M1252,'IMPORT GS-Tür OL FL 2S2 20'!$H$2:$H$847,1,0),"-")="-","","GS")</f>
        <v>GS</v>
      </c>
      <c r="X1252" s="14" t="str">
        <f t="shared" si="96"/>
        <v/>
      </c>
      <c r="Z1252" s="58" t="str">
        <f>IF(OR($M1252="",NOT($O1252="{array}")),"",IFERROR(MATCH(PARAMETERS!$M1252,DEFAULT!$B$5:$CI$5,0),""))</f>
        <v/>
      </c>
      <c r="AA1252" s="55" t="str">
        <f t="shared" si="93"/>
        <v/>
      </c>
      <c r="AB1252" s="62" t="str">
        <f>IF(AND(OR($A1252="G",$A1252="P"),NOT($O1252="{array}")),IF(VLOOKUP($K1252,base!$B$2:$D$20,3,0)="S",IF(OR($O1252="",ISTEXT($O1252)),"","STRING!"),IF(VLOOKUP($K1252,base!$B$2:$D$20,3,0)="","",IF(ISTEXT($O1252),"NUMERIC!",""))),"")</f>
        <v/>
      </c>
      <c r="AC1252" s="16" t="str">
        <f>IF($AA1252="","",IF($B1252="I",VLOOKUP($AA1252,#REF!,53,0),INDEX(VALUES!$B$1:$GP$1,1,$AA1252)))</f>
        <v/>
      </c>
    </row>
    <row r="1253" spans="1:29" hidden="1" outlineLevel="1">
      <c r="A1253" s="21"/>
      <c r="B1253" s="40" t="str">
        <f t="shared" si="94"/>
        <v/>
      </c>
      <c r="C1253" s="41">
        <f t="shared" si="95"/>
        <v>1252</v>
      </c>
      <c r="D1253" s="260"/>
      <c r="E1253" s="37"/>
      <c r="F1253" s="305" t="s">
        <v>9</v>
      </c>
      <c r="G1253" s="188"/>
      <c r="H1253" s="37"/>
      <c r="I1253" s="37" t="s">
        <v>9</v>
      </c>
      <c r="J1253" s="37"/>
      <c r="K1253" s="13" t="s">
        <v>55</v>
      </c>
      <c r="L1253" s="13" t="s">
        <v>29</v>
      </c>
      <c r="M1253" s="235" t="s">
        <v>2578</v>
      </c>
      <c r="N1253" s="13" t="s">
        <v>2579</v>
      </c>
      <c r="O1253" s="42">
        <v>19</v>
      </c>
      <c r="R1253" s="37" t="s">
        <v>106</v>
      </c>
      <c r="S1253" s="37"/>
      <c r="T1253" s="37"/>
      <c r="W1253" s="14" t="str">
        <f>IF(IFERROR(VLOOKUP($M1253,'IMPORT GS-Tür OL FL 2S2 20'!$H$2:$H$847,1,0),"-")="-","","GS")</f>
        <v>GS</v>
      </c>
      <c r="X1253" s="14" t="str">
        <f t="shared" si="96"/>
        <v/>
      </c>
      <c r="Z1253" s="58" t="str">
        <f>IF(OR($M1253="",NOT($O1253="{array}")),"",IFERROR(MATCH(PARAMETERS!$M1253,DEFAULT!$B$5:$CI$5,0),""))</f>
        <v/>
      </c>
      <c r="AA1253" s="55" t="str">
        <f t="shared" si="93"/>
        <v/>
      </c>
      <c r="AB1253" s="62" t="str">
        <f>IF(AND(OR($A1253="G",$A1253="P"),NOT($O1253="{array}")),IF(VLOOKUP($K1253,base!$B$2:$D$20,3,0)="S",IF(OR($O1253="",ISTEXT($O1253)),"","STRING!"),IF(VLOOKUP($K1253,base!$B$2:$D$20,3,0)="","",IF(ISTEXT($O1253),"NUMERIC!",""))),"")</f>
        <v/>
      </c>
      <c r="AC1253" s="16" t="str">
        <f>IF($AA1253="","",IF($B1253="I",VLOOKUP($AA1253,#REF!,53,0),INDEX(VALUES!$B$1:$GP$1,1,$AA1253)))</f>
        <v/>
      </c>
    </row>
    <row r="1254" spans="1:29" hidden="1" outlineLevel="1">
      <c r="A1254" s="21"/>
      <c r="B1254" s="40" t="str">
        <f t="shared" si="94"/>
        <v/>
      </c>
      <c r="C1254" s="41">
        <f t="shared" si="95"/>
        <v>1253</v>
      </c>
      <c r="D1254" s="260"/>
      <c r="E1254" s="37"/>
      <c r="F1254" s="305" t="s">
        <v>9</v>
      </c>
      <c r="G1254" s="188"/>
      <c r="H1254" s="37" t="s">
        <v>9</v>
      </c>
      <c r="I1254" s="37"/>
      <c r="J1254" s="37"/>
      <c r="K1254" s="13" t="s">
        <v>49</v>
      </c>
      <c r="L1254" s="13" t="s">
        <v>29</v>
      </c>
      <c r="M1254" s="235" t="s">
        <v>2580</v>
      </c>
      <c r="N1254" s="13" t="s">
        <v>2581</v>
      </c>
      <c r="O1254" s="42">
        <v>0</v>
      </c>
      <c r="R1254" s="37" t="s">
        <v>106</v>
      </c>
      <c r="S1254" s="37"/>
      <c r="T1254" s="37"/>
      <c r="W1254" s="14" t="str">
        <f>IF(IFERROR(VLOOKUP($M1254,'IMPORT GS-Tür OL FL 2S2 20'!$H$2:$H$847,1,0),"-")="-","","GS")</f>
        <v>GS</v>
      </c>
      <c r="X1254" s="14" t="str">
        <f t="shared" si="96"/>
        <v/>
      </c>
      <c r="Z1254" s="58" t="str">
        <f>IF(OR($M1254="",NOT($O1254="{array}")),"",IFERROR(MATCH(PARAMETERS!$M1254,DEFAULT!$B$5:$CI$5,0),""))</f>
        <v/>
      </c>
      <c r="AA1254" s="55" t="str">
        <f t="shared" si="93"/>
        <v/>
      </c>
      <c r="AB1254" s="62" t="str">
        <f>IF(AND(OR($A1254="G",$A1254="P"),NOT($O1254="{array}")),IF(VLOOKUP($K1254,base!$B$2:$D$20,3,0)="S",IF(OR($O1254="",ISTEXT($O1254)),"","STRING!"),IF(VLOOKUP($K1254,base!$B$2:$D$20,3,0)="","",IF(ISTEXT($O1254),"NUMERIC!",""))),"")</f>
        <v/>
      </c>
      <c r="AC1254" s="16" t="str">
        <f>IF($AA1254="","",IF($B1254="I",VLOOKUP($AA1254,#REF!,53,0),INDEX(VALUES!$B$1:$GP$1,1,$AA1254)))</f>
        <v/>
      </c>
    </row>
    <row r="1255" spans="1:29" hidden="1" outlineLevel="1">
      <c r="A1255" s="21"/>
      <c r="B1255" s="40" t="str">
        <f t="shared" ref="B1255:B1328" si="97">IF($A1255="P",IF(NOT($Z1255=""),"A",IF(NOT($AA1255=""),"I","")),IF(NOT($AA1255=""),IF($A1255="G","V","X"),IF(NOT($Z1255=""),"A","")))</f>
        <v/>
      </c>
      <c r="C1255" s="41">
        <f t="shared" si="95"/>
        <v>1254</v>
      </c>
      <c r="D1255" s="260"/>
      <c r="E1255" s="37"/>
      <c r="F1255" s="305" t="s">
        <v>9</v>
      </c>
      <c r="G1255" s="188" t="s">
        <v>9</v>
      </c>
      <c r="H1255" s="37"/>
      <c r="I1255" s="37" t="s">
        <v>9</v>
      </c>
      <c r="J1255" s="37"/>
      <c r="K1255" s="13" t="s">
        <v>20</v>
      </c>
      <c r="L1255" s="13" t="s">
        <v>29</v>
      </c>
      <c r="M1255" s="235" t="s">
        <v>2582</v>
      </c>
      <c r="N1255" s="13" t="s">
        <v>2583</v>
      </c>
      <c r="O1255" s="42" t="s">
        <v>2311</v>
      </c>
      <c r="R1255" s="37" t="s">
        <v>106</v>
      </c>
      <c r="S1255" s="37"/>
      <c r="T1255" s="37"/>
      <c r="W1255" s="14" t="str">
        <f>IF(IFERROR(VLOOKUP($M1255,'IMPORT GS-Tür OL FL 2S2 20'!$H$2:$H$847,1,0),"-")="-","","GS")</f>
        <v>GS</v>
      </c>
      <c r="X1255" s="14" t="str">
        <f t="shared" si="96"/>
        <v/>
      </c>
      <c r="Z1255" s="58" t="str">
        <f>IF(OR($M1255="",NOT($O1255="{array}")),"",IFERROR(MATCH(PARAMETERS!$M1255,DEFAULT!$B$5:$CI$5,0),""))</f>
        <v/>
      </c>
      <c r="AA1255" s="55" t="str">
        <f t="shared" si="93"/>
        <v/>
      </c>
      <c r="AB1255" s="62" t="str">
        <f>IF(AND(OR($A1255="G",$A1255="P"),NOT($O1255="{array}")),IF(VLOOKUP($K1255,base!$B$2:$D$20,3,0)="S",IF(OR($O1255="",ISTEXT($O1255)),"","STRING!"),IF(VLOOKUP($K1255,base!$B$2:$D$20,3,0)="","",IF(ISTEXT($O1255),"NUMERIC!",""))),"")</f>
        <v/>
      </c>
      <c r="AC1255" s="16" t="str">
        <f>IF($AA1255="","",IF($B1255="I",VLOOKUP($AA1255,#REF!,53,0),INDEX(VALUES!$B$1:$GP$1,1,$AA1255)))</f>
        <v/>
      </c>
    </row>
    <row r="1256" spans="1:29" hidden="1" outlineLevel="1">
      <c r="A1256" s="21"/>
      <c r="B1256" s="40" t="str">
        <f t="shared" si="97"/>
        <v/>
      </c>
      <c r="C1256" s="41">
        <f t="shared" si="95"/>
        <v>1255</v>
      </c>
      <c r="D1256" s="260"/>
      <c r="E1256" s="37"/>
      <c r="F1256" s="305" t="s">
        <v>9</v>
      </c>
      <c r="G1256" s="188" t="s">
        <v>9</v>
      </c>
      <c r="H1256" s="37"/>
      <c r="I1256" s="37" t="s">
        <v>9</v>
      </c>
      <c r="J1256" s="37"/>
      <c r="K1256" s="13" t="s">
        <v>46</v>
      </c>
      <c r="L1256" s="13" t="s">
        <v>29</v>
      </c>
      <c r="M1256" s="235" t="s">
        <v>2584</v>
      </c>
      <c r="N1256" s="13" t="s">
        <v>2583</v>
      </c>
      <c r="O1256" s="42">
        <v>1</v>
      </c>
      <c r="R1256" s="37" t="s">
        <v>106</v>
      </c>
      <c r="S1256" s="37"/>
      <c r="T1256" s="37"/>
      <c r="W1256" s="14" t="str">
        <f>IF(IFERROR(VLOOKUP($M1256,'IMPORT GS-Tür OL FL 2S2 20'!$H$2:$H$847,1,0),"-")="-","","GS")</f>
        <v>GS</v>
      </c>
      <c r="X1256" s="14" t="str">
        <f t="shared" si="96"/>
        <v/>
      </c>
      <c r="Z1256" s="58" t="str">
        <f>IF(OR($M1256="",NOT($O1256="{array}")),"",IFERROR(MATCH(PARAMETERS!$M1256,DEFAULT!$B$5:$CI$5,0),""))</f>
        <v/>
      </c>
      <c r="AA1256" s="55" t="str">
        <f t="shared" si="93"/>
        <v/>
      </c>
      <c r="AB1256" s="62" t="str">
        <f>IF(AND(OR($A1256="G",$A1256="P"),NOT($O1256="{array}")),IF(VLOOKUP($K1256,base!$B$2:$D$20,3,0)="S",IF(OR($O1256="",ISTEXT($O1256)),"","STRING!"),IF(VLOOKUP($K1256,base!$B$2:$D$20,3,0)="","",IF(ISTEXT($O1256),"NUMERIC!",""))),"")</f>
        <v/>
      </c>
      <c r="AC1256" s="16" t="str">
        <f>IF($AA1256="","",IF($B1256="I",VLOOKUP($AA1256,#REF!,53,0),INDEX(VALUES!$B$1:$GP$1,1,$AA1256)))</f>
        <v/>
      </c>
    </row>
    <row r="1257" spans="1:29" hidden="1" outlineLevel="1">
      <c r="A1257" s="21"/>
      <c r="B1257" s="40" t="str">
        <f t="shared" si="97"/>
        <v/>
      </c>
      <c r="C1257" s="41">
        <f t="shared" si="95"/>
        <v>1256</v>
      </c>
      <c r="D1257" s="260"/>
      <c r="E1257" s="37"/>
      <c r="F1257" s="305" t="s">
        <v>9</v>
      </c>
      <c r="G1257" s="188"/>
      <c r="H1257" s="37"/>
      <c r="I1257" s="37" t="s">
        <v>9</v>
      </c>
      <c r="J1257" s="37"/>
      <c r="K1257" s="13" t="s">
        <v>49</v>
      </c>
      <c r="L1257" s="13" t="s">
        <v>29</v>
      </c>
      <c r="M1257" s="235" t="s">
        <v>2585</v>
      </c>
      <c r="N1257" s="13" t="s">
        <v>2554</v>
      </c>
      <c r="O1257" s="42">
        <v>1</v>
      </c>
      <c r="R1257" s="37" t="s">
        <v>106</v>
      </c>
      <c r="S1257" s="37"/>
      <c r="T1257" s="37"/>
      <c r="W1257" s="14" t="str">
        <f>IF(IFERROR(VLOOKUP($M1257,'IMPORT GS-Tür OL FL 2S2 20'!$H$2:$H$847,1,0),"-")="-","","GS")</f>
        <v>GS</v>
      </c>
      <c r="X1257" s="14" t="str">
        <f t="shared" si="96"/>
        <v/>
      </c>
      <c r="Z1257" s="58" t="str">
        <f>IF(OR($M1257="",NOT($O1257="{array}")),"",IFERROR(MATCH(PARAMETERS!$M1257,DEFAULT!$B$5:$CI$5,0),""))</f>
        <v/>
      </c>
      <c r="AA1257" s="55" t="str">
        <f t="shared" si="93"/>
        <v/>
      </c>
      <c r="AB1257" s="62" t="str">
        <f>IF(AND(OR($A1257="G",$A1257="P"),NOT($O1257="{array}")),IF(VLOOKUP($K1257,base!$B$2:$D$20,3,0)="S",IF(OR($O1257="",ISTEXT($O1257)),"","STRING!"),IF(VLOOKUP($K1257,base!$B$2:$D$20,3,0)="","",IF(ISTEXT($O1257),"NUMERIC!",""))),"")</f>
        <v/>
      </c>
      <c r="AC1257" s="16" t="str">
        <f>IF($AA1257="","",IF($B1257="I",VLOOKUP($AA1257,#REF!,53,0),INDEX(VALUES!$B$1:$GP$1,1,$AA1257)))</f>
        <v/>
      </c>
    </row>
    <row r="1258" spans="1:29" hidden="1" outlineLevel="1">
      <c r="A1258" s="21"/>
      <c r="B1258" s="40" t="str">
        <f t="shared" si="97"/>
        <v/>
      </c>
      <c r="C1258" s="41">
        <f t="shared" si="95"/>
        <v>1257</v>
      </c>
      <c r="D1258" s="260"/>
      <c r="E1258" s="37"/>
      <c r="F1258" s="305" t="s">
        <v>9</v>
      </c>
      <c r="G1258" s="188"/>
      <c r="H1258" s="37"/>
      <c r="I1258" s="37" t="s">
        <v>9</v>
      </c>
      <c r="J1258" s="37"/>
      <c r="K1258" s="13" t="s">
        <v>49</v>
      </c>
      <c r="L1258" s="13" t="s">
        <v>29</v>
      </c>
      <c r="M1258" s="235" t="s">
        <v>2586</v>
      </c>
      <c r="N1258" s="13" t="s">
        <v>2556</v>
      </c>
      <c r="O1258" s="42">
        <v>1</v>
      </c>
      <c r="R1258" s="37" t="s">
        <v>106</v>
      </c>
      <c r="S1258" s="37"/>
      <c r="T1258" s="37"/>
      <c r="W1258" s="14" t="str">
        <f>IF(IFERROR(VLOOKUP($M1258,'IMPORT GS-Tür OL FL 2S2 20'!$H$2:$H$847,1,0),"-")="-","","GS")</f>
        <v>GS</v>
      </c>
      <c r="X1258" s="14" t="str">
        <f t="shared" si="96"/>
        <v/>
      </c>
      <c r="Z1258" s="58" t="str">
        <f>IF(OR($M1258="",NOT($O1258="{array}")),"",IFERROR(MATCH(PARAMETERS!$M1258,DEFAULT!$B$5:$CI$5,0),""))</f>
        <v/>
      </c>
      <c r="AA1258" s="55" t="str">
        <f t="shared" si="93"/>
        <v/>
      </c>
      <c r="AB1258" s="62" t="str">
        <f>IF(AND(OR($A1258="G",$A1258="P"),NOT($O1258="{array}")),IF(VLOOKUP($K1258,base!$B$2:$D$20,3,0)="S",IF(OR($O1258="",ISTEXT($O1258)),"","STRING!"),IF(VLOOKUP($K1258,base!$B$2:$D$20,3,0)="","",IF(ISTEXT($O1258),"NUMERIC!",""))),"")</f>
        <v/>
      </c>
      <c r="AC1258" s="16" t="str">
        <f>IF($AA1258="","",IF($B1258="I",VLOOKUP($AA1258,#REF!,53,0),INDEX(VALUES!$B$1:$GP$1,1,$AA1258)))</f>
        <v/>
      </c>
    </row>
    <row r="1259" spans="1:29" hidden="1" outlineLevel="1">
      <c r="A1259" s="21"/>
      <c r="B1259" s="40" t="str">
        <f t="shared" si="97"/>
        <v/>
      </c>
      <c r="C1259" s="41">
        <f t="shared" si="95"/>
        <v>1258</v>
      </c>
      <c r="D1259" s="260"/>
      <c r="E1259" s="37"/>
      <c r="F1259" s="305" t="s">
        <v>9</v>
      </c>
      <c r="G1259" s="188"/>
      <c r="H1259" s="37"/>
      <c r="I1259" s="37" t="s">
        <v>9</v>
      </c>
      <c r="J1259" s="37"/>
      <c r="K1259" s="13" t="s">
        <v>26</v>
      </c>
      <c r="L1259" s="13" t="s">
        <v>29</v>
      </c>
      <c r="M1259" s="235" t="s">
        <v>2587</v>
      </c>
      <c r="N1259" s="13" t="s">
        <v>2558</v>
      </c>
      <c r="O1259" s="42">
        <v>0.05</v>
      </c>
      <c r="R1259" s="37" t="s">
        <v>106</v>
      </c>
      <c r="S1259" s="37"/>
      <c r="T1259" s="37"/>
      <c r="W1259" s="14" t="str">
        <f>IF(IFERROR(VLOOKUP($M1259,'IMPORT GS-Tür OL FL 2S2 20'!$H$2:$H$847,1,0),"-")="-","","GS")</f>
        <v>GS</v>
      </c>
      <c r="X1259" s="14" t="str">
        <f t="shared" si="96"/>
        <v/>
      </c>
      <c r="Z1259" s="58" t="str">
        <f>IF(OR($M1259="",NOT($O1259="{array}")),"",IFERROR(MATCH(PARAMETERS!$M1259,DEFAULT!$B$5:$CI$5,0),""))</f>
        <v/>
      </c>
      <c r="AA1259" s="55" t="str">
        <f t="shared" si="93"/>
        <v/>
      </c>
      <c r="AB1259" s="62" t="str">
        <f>IF(AND(OR($A1259="G",$A1259="P"),NOT($O1259="{array}")),IF(VLOOKUP($K1259,base!$B$2:$D$20,3,0)="S",IF(OR($O1259="",ISTEXT($O1259)),"","STRING!"),IF(VLOOKUP($K1259,base!$B$2:$D$20,3,0)="","",IF(ISTEXT($O1259),"NUMERIC!",""))),"")</f>
        <v/>
      </c>
      <c r="AC1259" s="16" t="str">
        <f>IF($AA1259="","",IF($B1259="I",VLOOKUP($AA1259,#REF!,53,0),INDEX(VALUES!$B$1:$GP$1,1,$AA1259)))</f>
        <v/>
      </c>
    </row>
    <row r="1260" spans="1:29" hidden="1" outlineLevel="1">
      <c r="A1260" s="21"/>
      <c r="B1260" s="40" t="str">
        <f t="shared" si="97"/>
        <v/>
      </c>
      <c r="C1260" s="41">
        <f t="shared" si="95"/>
        <v>1259</v>
      </c>
      <c r="D1260" s="260"/>
      <c r="E1260" s="37"/>
      <c r="F1260" s="305" t="s">
        <v>9</v>
      </c>
      <c r="G1260" s="188"/>
      <c r="H1260" s="37"/>
      <c r="I1260" s="37" t="s">
        <v>9</v>
      </c>
      <c r="J1260" s="37"/>
      <c r="K1260" s="13" t="s">
        <v>26</v>
      </c>
      <c r="L1260" s="13" t="s">
        <v>29</v>
      </c>
      <c r="M1260" s="235" t="s">
        <v>2588</v>
      </c>
      <c r="N1260" s="13" t="s">
        <v>2560</v>
      </c>
      <c r="O1260" s="42">
        <v>0.05</v>
      </c>
      <c r="R1260" s="37" t="s">
        <v>106</v>
      </c>
      <c r="S1260" s="37"/>
      <c r="T1260" s="37"/>
      <c r="W1260" s="14" t="str">
        <f>IF(IFERROR(VLOOKUP($M1260,'IMPORT GS-Tür OL FL 2S2 20'!$H$2:$H$847,1,0),"-")="-","","GS")</f>
        <v>GS</v>
      </c>
      <c r="X1260" s="14" t="str">
        <f t="shared" si="96"/>
        <v/>
      </c>
      <c r="Z1260" s="58" t="str">
        <f>IF(OR($M1260="",NOT($O1260="{array}")),"",IFERROR(MATCH(PARAMETERS!$M1260,DEFAULT!$B$5:$CI$5,0),""))</f>
        <v/>
      </c>
      <c r="AA1260" s="55" t="str">
        <f t="shared" si="93"/>
        <v/>
      </c>
      <c r="AB1260" s="62" t="str">
        <f>IF(AND(OR($A1260="G",$A1260="P"),NOT($O1260="{array}")),IF(VLOOKUP($K1260,base!$B$2:$D$20,3,0)="S",IF(OR($O1260="",ISTEXT($O1260)),"","STRING!"),IF(VLOOKUP($K1260,base!$B$2:$D$20,3,0)="","",IF(ISTEXT($O1260),"NUMERIC!",""))),"")</f>
        <v/>
      </c>
      <c r="AC1260" s="16" t="str">
        <f>IF($AA1260="","",IF($B1260="I",VLOOKUP($AA1260,#REF!,53,0),INDEX(VALUES!$B$1:$GP$1,1,$AA1260)))</f>
        <v/>
      </c>
    </row>
    <row r="1261" spans="1:29" hidden="1" outlineLevel="1">
      <c r="A1261" s="21"/>
      <c r="B1261" s="40" t="str">
        <f t="shared" si="97"/>
        <v/>
      </c>
      <c r="C1261" s="41">
        <f t="shared" si="95"/>
        <v>1260</v>
      </c>
      <c r="D1261" s="260"/>
      <c r="E1261" s="37"/>
      <c r="F1261" s="305" t="s">
        <v>9</v>
      </c>
      <c r="G1261" s="188"/>
      <c r="H1261" s="37"/>
      <c r="I1261" s="37" t="s">
        <v>9</v>
      </c>
      <c r="J1261" s="37"/>
      <c r="K1261" s="13" t="s">
        <v>26</v>
      </c>
      <c r="L1261" s="13" t="s">
        <v>29</v>
      </c>
      <c r="M1261" s="235" t="s">
        <v>2589</v>
      </c>
      <c r="N1261" s="13" t="s">
        <v>2118</v>
      </c>
      <c r="O1261" s="42">
        <v>0.05</v>
      </c>
      <c r="R1261" s="37" t="s">
        <v>106</v>
      </c>
      <c r="S1261" s="37"/>
      <c r="T1261" s="37"/>
      <c r="W1261" s="14" t="str">
        <f>IF(IFERROR(VLOOKUP($M1261,'IMPORT GS-Tür OL FL 2S2 20'!$H$2:$H$847,1,0),"-")="-","","GS")</f>
        <v>GS</v>
      </c>
      <c r="X1261" s="14" t="str">
        <f t="shared" si="96"/>
        <v/>
      </c>
      <c r="Z1261" s="58" t="str">
        <f>IF(OR($M1261="",NOT($O1261="{array}")),"",IFERROR(MATCH(PARAMETERS!$M1261,DEFAULT!$B$5:$CI$5,0),""))</f>
        <v/>
      </c>
      <c r="AA1261" s="55" t="str">
        <f t="shared" si="93"/>
        <v/>
      </c>
      <c r="AB1261" s="62" t="str">
        <f>IF(AND(OR($A1261="G",$A1261="P"),NOT($O1261="{array}")),IF(VLOOKUP($K1261,base!$B$2:$D$20,3,0)="S",IF(OR($O1261="",ISTEXT($O1261)),"","STRING!"),IF(VLOOKUP($K1261,base!$B$2:$D$20,3,0)="","",IF(ISTEXT($O1261),"NUMERIC!",""))),"")</f>
        <v/>
      </c>
      <c r="AC1261" s="16" t="str">
        <f>IF($AA1261="","",IF($B1261="I",VLOOKUP($AA1261,#REF!,53,0),INDEX(VALUES!$B$1:$GP$1,1,$AA1261)))</f>
        <v/>
      </c>
    </row>
    <row r="1262" spans="1:29" hidden="1" outlineLevel="1">
      <c r="A1262" s="21"/>
      <c r="B1262" s="40" t="str">
        <f t="shared" si="97"/>
        <v/>
      </c>
      <c r="C1262" s="41">
        <f t="shared" si="95"/>
        <v>1261</v>
      </c>
      <c r="D1262" s="260"/>
      <c r="E1262" s="37"/>
      <c r="F1262" s="305" t="s">
        <v>9</v>
      </c>
      <c r="G1262" s="188"/>
      <c r="H1262" s="37"/>
      <c r="I1262" s="37" t="s">
        <v>9</v>
      </c>
      <c r="J1262" s="37"/>
      <c r="K1262" s="13" t="s">
        <v>26</v>
      </c>
      <c r="L1262" s="13" t="s">
        <v>29</v>
      </c>
      <c r="M1262" s="235" t="s">
        <v>2590</v>
      </c>
      <c r="N1262" s="13" t="s">
        <v>2563</v>
      </c>
      <c r="O1262" s="42">
        <v>1.9E-2</v>
      </c>
      <c r="R1262" s="37" t="s">
        <v>106</v>
      </c>
      <c r="S1262" s="37"/>
      <c r="T1262" s="37"/>
      <c r="W1262" s="14" t="str">
        <f>IF(IFERROR(VLOOKUP($M1262,'IMPORT GS-Tür OL FL 2S2 20'!$H$2:$H$847,1,0),"-")="-","","GS")</f>
        <v>GS</v>
      </c>
      <c r="X1262" s="14" t="str">
        <f t="shared" si="96"/>
        <v/>
      </c>
      <c r="Z1262" s="58" t="str">
        <f>IF(OR($M1262="",NOT($O1262="{array}")),"",IFERROR(MATCH(PARAMETERS!$M1262,DEFAULT!$B$5:$CI$5,0),""))</f>
        <v/>
      </c>
      <c r="AA1262" s="55" t="str">
        <f t="shared" si="93"/>
        <v/>
      </c>
      <c r="AB1262" s="62" t="str">
        <f>IF(AND(OR($A1262="G",$A1262="P"),NOT($O1262="{array}")),IF(VLOOKUP($K1262,base!$B$2:$D$20,3,0)="S",IF(OR($O1262="",ISTEXT($O1262)),"","STRING!"),IF(VLOOKUP($K1262,base!$B$2:$D$20,3,0)="","",IF(ISTEXT($O1262),"NUMERIC!",""))),"")</f>
        <v/>
      </c>
      <c r="AC1262" s="16" t="str">
        <f>IF($AA1262="","",IF($B1262="I",VLOOKUP($AA1262,#REF!,53,0),INDEX(VALUES!$B$1:$GP$1,1,$AA1262)))</f>
        <v/>
      </c>
    </row>
    <row r="1263" spans="1:29" hidden="1" outlineLevel="1">
      <c r="A1263" s="21"/>
      <c r="B1263" s="40" t="str">
        <f t="shared" si="97"/>
        <v/>
      </c>
      <c r="C1263" s="41">
        <f t="shared" si="95"/>
        <v>1262</v>
      </c>
      <c r="D1263" s="260"/>
      <c r="E1263" s="37"/>
      <c r="F1263" s="305" t="s">
        <v>9</v>
      </c>
      <c r="G1263" s="188"/>
      <c r="H1263" s="37"/>
      <c r="I1263" s="37" t="s">
        <v>9</v>
      </c>
      <c r="J1263" s="37"/>
      <c r="K1263" s="13" t="s">
        <v>26</v>
      </c>
      <c r="L1263" s="13" t="s">
        <v>29</v>
      </c>
      <c r="M1263" s="235" t="s">
        <v>2591</v>
      </c>
      <c r="N1263" s="13" t="s">
        <v>2565</v>
      </c>
      <c r="O1263" s="42">
        <v>2.5000000000000001E-2</v>
      </c>
      <c r="R1263" s="37" t="s">
        <v>106</v>
      </c>
      <c r="S1263" s="37"/>
      <c r="T1263" s="37"/>
      <c r="W1263" s="14" t="str">
        <f>IF(IFERROR(VLOOKUP($M1263,'IMPORT GS-Tür OL FL 2S2 20'!$H$2:$H$847,1,0),"-")="-","","GS")</f>
        <v>GS</v>
      </c>
      <c r="X1263" s="14" t="str">
        <f t="shared" si="96"/>
        <v/>
      </c>
      <c r="Z1263" s="58" t="str">
        <f>IF(OR($M1263="",NOT($O1263="{array}")),"",IFERROR(MATCH(PARAMETERS!$M1263,DEFAULT!$B$5:$CI$5,0),""))</f>
        <v/>
      </c>
      <c r="AA1263" s="55" t="str">
        <f t="shared" si="93"/>
        <v/>
      </c>
      <c r="AB1263" s="62" t="str">
        <f>IF(AND(OR($A1263="G",$A1263="P"),NOT($O1263="{array}")),IF(VLOOKUP($K1263,base!$B$2:$D$20,3,0)="S",IF(OR($O1263="",ISTEXT($O1263)),"","STRING!"),IF(VLOOKUP($K1263,base!$B$2:$D$20,3,0)="","",IF(ISTEXT($O1263),"NUMERIC!",""))),"")</f>
        <v/>
      </c>
      <c r="AC1263" s="16" t="str">
        <f>IF($AA1263="","",IF($B1263="I",VLOOKUP($AA1263,#REF!,53,0),INDEX(VALUES!$B$1:$GP$1,1,$AA1263)))</f>
        <v/>
      </c>
    </row>
    <row r="1264" spans="1:29" hidden="1" outlineLevel="1">
      <c r="A1264" s="21"/>
      <c r="B1264" s="40" t="str">
        <f t="shared" si="97"/>
        <v/>
      </c>
      <c r="C1264" s="41">
        <f t="shared" si="95"/>
        <v>1263</v>
      </c>
      <c r="D1264" s="260"/>
      <c r="E1264" s="37"/>
      <c r="F1264" s="305" t="s">
        <v>9</v>
      </c>
      <c r="G1264" s="188"/>
      <c r="H1264" s="37"/>
      <c r="I1264" s="37" t="s">
        <v>9</v>
      </c>
      <c r="J1264" s="37"/>
      <c r="K1264" s="13" t="s">
        <v>26</v>
      </c>
      <c r="L1264" s="13" t="s">
        <v>29</v>
      </c>
      <c r="M1264" s="235" t="s">
        <v>2592</v>
      </c>
      <c r="N1264" s="13" t="s">
        <v>2567</v>
      </c>
      <c r="O1264" s="42">
        <v>0</v>
      </c>
      <c r="R1264" s="37" t="s">
        <v>106</v>
      </c>
      <c r="S1264" s="37"/>
      <c r="T1264" s="37"/>
      <c r="W1264" s="14" t="str">
        <f>IF(IFERROR(VLOOKUP($M1264,'IMPORT GS-Tür OL FL 2S2 20'!$H$2:$H$847,1,0),"-")="-","","GS")</f>
        <v>GS</v>
      </c>
      <c r="X1264" s="14" t="str">
        <f t="shared" si="96"/>
        <v/>
      </c>
      <c r="Z1264" s="58" t="str">
        <f>IF(OR($M1264="",NOT($O1264="{array}")),"",IFERROR(MATCH(PARAMETERS!$M1264,DEFAULT!$B$5:$CI$5,0),""))</f>
        <v/>
      </c>
      <c r="AA1264" s="55" t="str">
        <f t="shared" si="93"/>
        <v/>
      </c>
      <c r="AB1264" s="62" t="str">
        <f>IF(AND(OR($A1264="G",$A1264="P"),NOT($O1264="{array}")),IF(VLOOKUP($K1264,base!$B$2:$D$20,3,0)="S",IF(OR($O1264="",ISTEXT($O1264)),"","STRING!"),IF(VLOOKUP($K1264,base!$B$2:$D$20,3,0)="","",IF(ISTEXT($O1264),"NUMERIC!",""))),"")</f>
        <v/>
      </c>
      <c r="AC1264" s="16" t="str">
        <f>IF($AA1264="","",IF($B1264="I",VLOOKUP($AA1264,#REF!,53,0),INDEX(VALUES!$B$1:$GP$1,1,$AA1264)))</f>
        <v/>
      </c>
    </row>
    <row r="1265" spans="1:29" hidden="1" outlineLevel="1">
      <c r="A1265" s="21"/>
      <c r="B1265" s="40" t="str">
        <f t="shared" si="97"/>
        <v/>
      </c>
      <c r="C1265" s="41">
        <f t="shared" si="95"/>
        <v>1264</v>
      </c>
      <c r="D1265" s="260"/>
      <c r="E1265" s="37"/>
      <c r="F1265" s="305" t="s">
        <v>9</v>
      </c>
      <c r="G1265" s="188"/>
      <c r="H1265" s="37"/>
      <c r="I1265" s="37" t="s">
        <v>9</v>
      </c>
      <c r="J1265" s="37"/>
      <c r="K1265" s="13" t="s">
        <v>26</v>
      </c>
      <c r="L1265" s="13" t="s">
        <v>29</v>
      </c>
      <c r="M1265" s="235" t="s">
        <v>2593</v>
      </c>
      <c r="N1265" s="13" t="s">
        <v>2569</v>
      </c>
      <c r="O1265" s="42">
        <v>0.03</v>
      </c>
      <c r="R1265" s="37" t="s">
        <v>106</v>
      </c>
      <c r="S1265" s="37"/>
      <c r="T1265" s="37"/>
      <c r="W1265" s="14" t="str">
        <f>IF(IFERROR(VLOOKUP($M1265,'IMPORT GS-Tür OL FL 2S2 20'!$H$2:$H$847,1,0),"-")="-","","GS")</f>
        <v>GS</v>
      </c>
      <c r="X1265" s="14" t="str">
        <f t="shared" si="96"/>
        <v/>
      </c>
      <c r="Z1265" s="58" t="str">
        <f>IF(OR($M1265="",NOT($O1265="{array}")),"",IFERROR(MATCH(PARAMETERS!$M1265,DEFAULT!$B$5:$CI$5,0),""))</f>
        <v/>
      </c>
      <c r="AA1265" s="55" t="str">
        <f t="shared" si="93"/>
        <v/>
      </c>
      <c r="AB1265" s="62" t="str">
        <f>IF(AND(OR($A1265="G",$A1265="P"),NOT($O1265="{array}")),IF(VLOOKUP($K1265,base!$B$2:$D$20,3,0)="S",IF(OR($O1265="",ISTEXT($O1265)),"","STRING!"),IF(VLOOKUP($K1265,base!$B$2:$D$20,3,0)="","",IF(ISTEXT($O1265),"NUMERIC!",""))),"")</f>
        <v/>
      </c>
      <c r="AC1265" s="16" t="str">
        <f>IF($AA1265="","",IF($B1265="I",VLOOKUP($AA1265,#REF!,53,0),INDEX(VALUES!$B$1:$GP$1,1,$AA1265)))</f>
        <v/>
      </c>
    </row>
    <row r="1266" spans="1:29" hidden="1" outlineLevel="1">
      <c r="A1266" s="21"/>
      <c r="B1266" s="40" t="str">
        <f t="shared" si="97"/>
        <v/>
      </c>
      <c r="C1266" s="41">
        <f t="shared" si="95"/>
        <v>1265</v>
      </c>
      <c r="D1266" s="260"/>
      <c r="E1266" s="37"/>
      <c r="F1266" s="305" t="s">
        <v>9</v>
      </c>
      <c r="G1266" s="188"/>
      <c r="H1266" s="37"/>
      <c r="I1266" s="37" t="s">
        <v>9</v>
      </c>
      <c r="J1266" s="37"/>
      <c r="K1266" s="13" t="s">
        <v>26</v>
      </c>
      <c r="L1266" s="13" t="s">
        <v>29</v>
      </c>
      <c r="M1266" s="235" t="s">
        <v>2594</v>
      </c>
      <c r="N1266" s="13" t="s">
        <v>2571</v>
      </c>
      <c r="O1266" s="42">
        <v>0.1</v>
      </c>
      <c r="R1266" s="37" t="s">
        <v>106</v>
      </c>
      <c r="S1266" s="37"/>
      <c r="T1266" s="37"/>
      <c r="W1266" s="14" t="str">
        <f>IF(IFERROR(VLOOKUP($M1266,'IMPORT GS-Tür OL FL 2S2 20'!$H$2:$H$847,1,0),"-")="-","","GS")</f>
        <v>GS</v>
      </c>
      <c r="X1266" s="14" t="str">
        <f t="shared" si="96"/>
        <v/>
      </c>
      <c r="Z1266" s="58" t="str">
        <f>IF(OR($M1266="",NOT($O1266="{array}")),"",IFERROR(MATCH(PARAMETERS!$M1266,DEFAULT!$B$5:$CI$5,0),""))</f>
        <v/>
      </c>
      <c r="AA1266" s="55" t="str">
        <f t="shared" si="93"/>
        <v/>
      </c>
      <c r="AB1266" s="62" t="str">
        <f>IF(AND(OR($A1266="G",$A1266="P"),NOT($O1266="{array}")),IF(VLOOKUP($K1266,base!$B$2:$D$20,3,0)="S",IF(OR($O1266="",ISTEXT($O1266)),"","STRING!"),IF(VLOOKUP($K1266,base!$B$2:$D$20,3,0)="","",IF(ISTEXT($O1266),"NUMERIC!",""))),"")</f>
        <v/>
      </c>
      <c r="AC1266" s="16" t="str">
        <f>IF($AA1266="","",IF($B1266="I",VLOOKUP($AA1266,#REF!,53,0),INDEX(VALUES!$B$1:$GP$1,1,$AA1266)))</f>
        <v/>
      </c>
    </row>
    <row r="1267" spans="1:29" hidden="1" outlineLevel="1">
      <c r="A1267" s="21"/>
      <c r="B1267" s="40" t="str">
        <f t="shared" si="97"/>
        <v/>
      </c>
      <c r="C1267" s="41">
        <f t="shared" si="95"/>
        <v>1266</v>
      </c>
      <c r="D1267" s="260"/>
      <c r="E1267" s="37"/>
      <c r="F1267" s="305" t="s">
        <v>9</v>
      </c>
      <c r="G1267" s="188"/>
      <c r="H1267" s="37"/>
      <c r="I1267" s="37" t="s">
        <v>9</v>
      </c>
      <c r="J1267" s="37"/>
      <c r="K1267" s="13" t="s">
        <v>54</v>
      </c>
      <c r="L1267" s="13" t="s">
        <v>29</v>
      </c>
      <c r="M1267" s="235" t="s">
        <v>2595</v>
      </c>
      <c r="N1267" s="13" t="s">
        <v>2596</v>
      </c>
      <c r="O1267" s="42">
        <v>65</v>
      </c>
      <c r="R1267" s="37" t="s">
        <v>106</v>
      </c>
      <c r="S1267" s="37"/>
      <c r="T1267" s="37"/>
      <c r="W1267" s="14" t="str">
        <f>IF(IFERROR(VLOOKUP($M1267,'IMPORT GS-Tür OL FL 2S2 20'!$H$2:$H$847,1,0),"-")="-","","GS")</f>
        <v>GS</v>
      </c>
      <c r="X1267" s="14" t="str">
        <f t="shared" si="96"/>
        <v/>
      </c>
      <c r="Z1267" s="58" t="str">
        <f>IF(OR($M1267="",NOT($O1267="{array}")),"",IFERROR(MATCH(PARAMETERS!$M1267,DEFAULT!$B$5:$CI$5,0),""))</f>
        <v/>
      </c>
      <c r="AA1267" s="55" t="str">
        <f t="shared" si="93"/>
        <v/>
      </c>
      <c r="AB1267" s="62" t="str">
        <f>IF(AND(OR($A1267="G",$A1267="P"),NOT($O1267="{array}")),IF(VLOOKUP($K1267,base!$B$2:$D$20,3,0)="S",IF(OR($O1267="",ISTEXT($O1267)),"","STRING!"),IF(VLOOKUP($K1267,base!$B$2:$D$20,3,0)="","",IF(ISTEXT($O1267),"NUMERIC!",""))),"")</f>
        <v/>
      </c>
      <c r="AC1267" s="16" t="str">
        <f>IF($AA1267="","",IF($B1267="I",VLOOKUP($AA1267,#REF!,53,0),INDEX(VALUES!$B$1:$GP$1,1,$AA1267)))</f>
        <v/>
      </c>
    </row>
    <row r="1268" spans="1:29" hidden="1" outlineLevel="1">
      <c r="A1268" s="21"/>
      <c r="B1268" s="40" t="str">
        <f t="shared" si="97"/>
        <v/>
      </c>
      <c r="C1268" s="41">
        <f t="shared" si="95"/>
        <v>1267</v>
      </c>
      <c r="D1268" s="260"/>
      <c r="E1268" s="37"/>
      <c r="F1268" s="305" t="s">
        <v>9</v>
      </c>
      <c r="G1268" s="188"/>
      <c r="H1268" s="37"/>
      <c r="I1268" s="37" t="s">
        <v>9</v>
      </c>
      <c r="J1268" s="37"/>
      <c r="K1268" s="13" t="s">
        <v>55</v>
      </c>
      <c r="L1268" s="13" t="s">
        <v>29</v>
      </c>
      <c r="M1268" s="235" t="s">
        <v>2597</v>
      </c>
      <c r="N1268" s="13" t="s">
        <v>2598</v>
      </c>
      <c r="O1268" s="42">
        <v>19</v>
      </c>
      <c r="R1268" s="37" t="s">
        <v>106</v>
      </c>
      <c r="S1268" s="37"/>
      <c r="T1268" s="37"/>
      <c r="W1268" s="14" t="str">
        <f>IF(IFERROR(VLOOKUP($M1268,'IMPORT GS-Tür OL FL 2S2 20'!$H$2:$H$847,1,0),"-")="-","","GS")</f>
        <v>GS</v>
      </c>
      <c r="X1268" s="14" t="str">
        <f t="shared" si="96"/>
        <v/>
      </c>
      <c r="Z1268" s="58" t="str">
        <f>IF(OR($M1268="",NOT($O1268="{array}")),"",IFERROR(MATCH(PARAMETERS!$M1268,DEFAULT!$B$5:$CI$5,0),""))</f>
        <v/>
      </c>
      <c r="AA1268" s="55" t="str">
        <f t="shared" si="93"/>
        <v/>
      </c>
      <c r="AB1268" s="62" t="str">
        <f>IF(AND(OR($A1268="G",$A1268="P"),NOT($O1268="{array}")),IF(VLOOKUP($K1268,base!$B$2:$D$20,3,0)="S",IF(OR($O1268="",ISTEXT($O1268)),"","STRING!"),IF(VLOOKUP($K1268,base!$B$2:$D$20,3,0)="","",IF(ISTEXT($O1268),"NUMERIC!",""))),"")</f>
        <v/>
      </c>
      <c r="AC1268" s="16" t="str">
        <f>IF($AA1268="","",IF($B1268="I",VLOOKUP($AA1268,#REF!,53,0),INDEX(VALUES!$B$1:$GP$1,1,$AA1268)))</f>
        <v/>
      </c>
    </row>
    <row r="1269" spans="1:29" hidden="1" outlineLevel="1">
      <c r="A1269" s="21"/>
      <c r="B1269" s="40" t="str">
        <f t="shared" si="97"/>
        <v/>
      </c>
      <c r="C1269" s="41">
        <f t="shared" si="95"/>
        <v>1268</v>
      </c>
      <c r="D1269" s="260"/>
      <c r="E1269" s="37"/>
      <c r="F1269" s="305" t="s">
        <v>9</v>
      </c>
      <c r="G1269" s="188"/>
      <c r="H1269" s="37"/>
      <c r="I1269" s="37" t="s">
        <v>9</v>
      </c>
      <c r="J1269" s="37"/>
      <c r="K1269" s="13" t="s">
        <v>55</v>
      </c>
      <c r="L1269" s="13" t="s">
        <v>29</v>
      </c>
      <c r="M1269" s="235" t="s">
        <v>2599</v>
      </c>
      <c r="N1269" s="13" t="s">
        <v>2600</v>
      </c>
      <c r="O1269" s="42">
        <v>19</v>
      </c>
      <c r="R1269" s="37" t="s">
        <v>106</v>
      </c>
      <c r="S1269" s="37"/>
      <c r="T1269" s="37"/>
      <c r="W1269" s="14" t="str">
        <f>IF(IFERROR(VLOOKUP($M1269,'IMPORT GS-Tür OL FL 2S2 20'!$H$2:$H$847,1,0),"-")="-","","GS")</f>
        <v>GS</v>
      </c>
      <c r="X1269" s="14" t="str">
        <f t="shared" si="96"/>
        <v/>
      </c>
      <c r="Z1269" s="58" t="str">
        <f>IF(OR($M1269="",NOT($O1269="{array}")),"",IFERROR(MATCH(PARAMETERS!$M1269,DEFAULT!$B$5:$CI$5,0),""))</f>
        <v/>
      </c>
      <c r="AA1269" s="55" t="str">
        <f t="shared" si="93"/>
        <v/>
      </c>
      <c r="AB1269" s="62" t="str">
        <f>IF(AND(OR($A1269="G",$A1269="P"),NOT($O1269="{array}")),IF(VLOOKUP($K1269,base!$B$2:$D$20,3,0)="S",IF(OR($O1269="",ISTEXT($O1269)),"","STRING!"),IF(VLOOKUP($K1269,base!$B$2:$D$20,3,0)="","",IF(ISTEXT($O1269),"NUMERIC!",""))),"")</f>
        <v/>
      </c>
      <c r="AC1269" s="16" t="str">
        <f>IF($AA1269="","",IF($B1269="I",VLOOKUP($AA1269,#REF!,53,0),INDEX(VALUES!$B$1:$GP$1,1,$AA1269)))</f>
        <v/>
      </c>
    </row>
    <row r="1270" spans="1:29" hidden="1" outlineLevel="1">
      <c r="A1270" s="21"/>
      <c r="B1270" s="40" t="str">
        <f t="shared" si="97"/>
        <v/>
      </c>
      <c r="C1270" s="41">
        <f t="shared" si="95"/>
        <v>1269</v>
      </c>
      <c r="D1270" s="260"/>
      <c r="E1270" s="37"/>
      <c r="F1270" s="305"/>
      <c r="G1270" s="188"/>
      <c r="H1270" s="37"/>
      <c r="I1270" s="37" t="s">
        <v>9</v>
      </c>
      <c r="J1270" s="37"/>
      <c r="K1270" s="13" t="s">
        <v>55</v>
      </c>
      <c r="L1270" s="13" t="s">
        <v>29</v>
      </c>
      <c r="M1270" s="235" t="s">
        <v>2601</v>
      </c>
      <c r="N1270" s="13" t="s">
        <v>2602</v>
      </c>
      <c r="O1270" s="42">
        <v>19</v>
      </c>
      <c r="R1270" s="37" t="s">
        <v>106</v>
      </c>
      <c r="S1270" s="37"/>
      <c r="T1270" s="37"/>
      <c r="W1270" s="14" t="str">
        <f>IF(IFERROR(VLOOKUP($M1270,'IMPORT GS-Tür OL FL 2S2 20'!$H$2:$H$847,1,0),"-")="-","","GS")</f>
        <v>GS</v>
      </c>
      <c r="X1270" s="14" t="str">
        <f t="shared" si="96"/>
        <v/>
      </c>
      <c r="Z1270" s="58" t="str">
        <f>IF(OR($M1270="",NOT($O1270="{array}")),"",IFERROR(MATCH(PARAMETERS!$M1270,DEFAULT!$B$5:$CI$5,0),""))</f>
        <v/>
      </c>
      <c r="AA1270" s="55" t="str">
        <f t="shared" si="93"/>
        <v/>
      </c>
      <c r="AB1270" s="62" t="str">
        <f>IF(AND(OR($A1270="G",$A1270="P"),NOT($O1270="{array}")),IF(VLOOKUP($K1270,base!$B$2:$D$20,3,0)="S",IF(OR($O1270="",ISTEXT($O1270)),"","STRING!"),IF(VLOOKUP($K1270,base!$B$2:$D$20,3,0)="","",IF(ISTEXT($O1270),"NUMERIC!",""))),"")</f>
        <v/>
      </c>
      <c r="AC1270" s="16" t="str">
        <f>IF($AA1270="","",IF($B1270="I",VLOOKUP($AA1270,#REF!,53,0),INDEX(VALUES!$B$1:$GP$1,1,$AA1270)))</f>
        <v/>
      </c>
    </row>
    <row r="1271" spans="1:29" collapsed="1">
      <c r="A1271" s="21" t="s">
        <v>86</v>
      </c>
      <c r="B1271" s="40" t="str">
        <f t="shared" si="97"/>
        <v/>
      </c>
      <c r="C1271" s="41">
        <f t="shared" si="95"/>
        <v>1270</v>
      </c>
      <c r="D1271" s="260"/>
      <c r="E1271" s="37"/>
      <c r="F1271" s="305" t="s">
        <v>9</v>
      </c>
      <c r="G1271" s="188" t="s">
        <v>9</v>
      </c>
      <c r="H1271" s="37"/>
      <c r="I1271" s="37"/>
      <c r="J1271" s="37"/>
      <c r="K1271" s="13" t="s">
        <v>59</v>
      </c>
      <c r="L1271" s="13" t="s">
        <v>40</v>
      </c>
      <c r="M1271" s="47" t="s">
        <v>2603</v>
      </c>
      <c r="N1271" s="40" t="s">
        <v>2604</v>
      </c>
      <c r="R1271" s="37" t="s">
        <v>106</v>
      </c>
      <c r="S1271" s="37"/>
      <c r="T1271" s="37"/>
      <c r="W1271" s="14" t="str">
        <f>IF(IFERROR(VLOOKUP($M1271,'IMPORT GS-Tür OL FL 2S2 20'!$H$2:$H$847,1,0),"-")="-","","GS")</f>
        <v>GS</v>
      </c>
      <c r="X1271" s="14" t="str">
        <f t="shared" si="96"/>
        <v>...</v>
      </c>
      <c r="Z1271" s="58" t="str">
        <f>IF(OR($M1271="",NOT($O1271="{array}")),"",IFERROR(MATCH(PARAMETERS!$M1271,DEFAULT!$B$5:$CI$5,0),""))</f>
        <v/>
      </c>
      <c r="AA1271" s="55" t="str">
        <f t="shared" si="93"/>
        <v/>
      </c>
      <c r="AB1271" s="62" t="str">
        <f>IF(AND(OR($A1271="G",$A1271="P"),NOT($O1271="{array}")),IF(VLOOKUP($K1271,base!$B$2:$D$20,3,0)="S",IF(OR($O1271="",ISTEXT($O1271)),"","STRING!"),IF(VLOOKUP($K1271,base!$B$2:$D$20,3,0)="","",IF(ISTEXT($O1271),"NUMERIC!",""))),"")</f>
        <v/>
      </c>
      <c r="AC1271" s="16" t="str">
        <f>IF($AA1271="","",IF($B1271="I",VLOOKUP($AA1271,#REF!,53,0),INDEX(VALUES!$B$1:$GP$1,1,$AA1271)))</f>
        <v/>
      </c>
    </row>
    <row r="1272" spans="1:29" hidden="1" outlineLevel="1">
      <c r="A1272" s="21" t="s">
        <v>86</v>
      </c>
      <c r="B1272" s="40" t="str">
        <f t="shared" si="97"/>
        <v>V</v>
      </c>
      <c r="C1272" s="41">
        <f t="shared" si="95"/>
        <v>1271</v>
      </c>
      <c r="D1272" s="260" t="s">
        <v>9</v>
      </c>
      <c r="E1272" s="37"/>
      <c r="F1272" s="305"/>
      <c r="G1272" s="188" t="s">
        <v>9</v>
      </c>
      <c r="H1272" s="37"/>
      <c r="I1272" s="37" t="s">
        <v>9</v>
      </c>
      <c r="J1272" s="37"/>
      <c r="K1272" s="52" t="s">
        <v>46</v>
      </c>
      <c r="L1272" s="52" t="s">
        <v>29</v>
      </c>
      <c r="M1272" s="154" t="s">
        <v>3488</v>
      </c>
      <c r="N1272" s="52" t="s">
        <v>3489</v>
      </c>
      <c r="O1272" s="153">
        <v>1</v>
      </c>
      <c r="P1272" s="52"/>
      <c r="Q1272" s="188"/>
      <c r="R1272" s="188" t="s">
        <v>204</v>
      </c>
      <c r="S1272" s="37"/>
      <c r="T1272" s="37"/>
      <c r="W1272" s="14" t="str">
        <f>IF(IFERROR(VLOOKUP($M1272,'IMPORT GS-Tür OL FL 2S2 20'!$H$2:$H$847,1,0),"-")="-","","GS")</f>
        <v/>
      </c>
      <c r="X1272" s="14" t="str">
        <f t="shared" si="96"/>
        <v>...</v>
      </c>
      <c r="Z1272" s="58" t="str">
        <f>IF(OR($M1272="",NOT($O1272="{array}")),"",IFERROR(MATCH(PARAMETERS!$M1272,DEFAULT!$B$5:$CI$5,0),""))</f>
        <v/>
      </c>
      <c r="AA1272" s="55">
        <f t="shared" ref="AA1272:AA1335" si="98">IF($M1272="","",IFERROR(MATCH($M1272,VALUESnames,0),""))</f>
        <v>166</v>
      </c>
      <c r="AB1272" s="62" t="str">
        <f>IF(AND(OR($A1272="G",$A1272="P"),NOT($O1272="{array}")),IF(VLOOKUP($K1272,base!$B$2:$D$20,3,0)="S",IF(OR($O1272="",ISTEXT($O1272)),"","STRING!"),IF(VLOOKUP($K1272,base!$B$2:$D$20,3,0)="","",IF(ISTEXT($O1272),"NUMERIC!",""))),"")</f>
        <v/>
      </c>
      <c r="AC1272" s="16" t="str">
        <f>IF($AA1272="","",IF($B1272="I",VLOOKUP($AA1272,#REF!,53,0),INDEX(VALUES!$B$1:$GP$1,1,$AA1272)))</f>
        <v>0 | 1 | 2 | 4</v>
      </c>
    </row>
    <row r="1273" spans="1:29" hidden="1" outlineLevel="1">
      <c r="A1273" s="21" t="s">
        <v>86</v>
      </c>
      <c r="B1273" s="40" t="str">
        <f t="shared" si="97"/>
        <v>V</v>
      </c>
      <c r="C1273" s="41">
        <f t="shared" si="95"/>
        <v>1272</v>
      </c>
      <c r="D1273" s="260" t="s">
        <v>9</v>
      </c>
      <c r="E1273" s="37"/>
      <c r="F1273" s="305"/>
      <c r="G1273" s="188" t="s">
        <v>9</v>
      </c>
      <c r="H1273" s="37"/>
      <c r="I1273" s="37" t="s">
        <v>9</v>
      </c>
      <c r="J1273" s="37"/>
      <c r="K1273" s="52" t="s">
        <v>46</v>
      </c>
      <c r="L1273" s="52" t="s">
        <v>29</v>
      </c>
      <c r="M1273" s="154" t="s">
        <v>3491</v>
      </c>
      <c r="N1273" s="52" t="s">
        <v>3493</v>
      </c>
      <c r="O1273" s="153">
        <v>1</v>
      </c>
      <c r="P1273" s="52"/>
      <c r="Q1273" s="188"/>
      <c r="R1273" s="188" t="s">
        <v>204</v>
      </c>
      <c r="S1273" s="37"/>
      <c r="T1273" s="37"/>
      <c r="W1273" s="14" t="str">
        <f>IF(IFERROR(VLOOKUP($M1273,'IMPORT GS-Tür OL FL 2S2 20'!$H$2:$H$847,1,0),"-")="-","","GS")</f>
        <v/>
      </c>
      <c r="X1273" s="14" t="str">
        <f t="shared" si="96"/>
        <v>...</v>
      </c>
      <c r="Z1273" s="58" t="str">
        <f>IF(OR($M1273="",NOT($O1273="{array}")),"",IFERROR(MATCH(PARAMETERS!$M1273,DEFAULT!$B$5:$CI$5,0),""))</f>
        <v/>
      </c>
      <c r="AA1273" s="55">
        <f t="shared" si="98"/>
        <v>169</v>
      </c>
      <c r="AB1273" s="62" t="str">
        <f>IF(AND(OR($A1273="G",$A1273="P"),NOT($O1273="{array}")),IF(VLOOKUP($K1273,base!$B$2:$D$20,3,0)="S",IF(OR($O1273="",ISTEXT($O1273)),"","STRING!"),IF(VLOOKUP($K1273,base!$B$2:$D$20,3,0)="","",IF(ISTEXT($O1273),"NUMERIC!",""))),"")</f>
        <v/>
      </c>
      <c r="AC1273" s="16" t="str">
        <f>IF($AA1273="","",IF($B1273="I",VLOOKUP($AA1273,#REF!,53,0),INDEX(VALUES!$B$1:$GP$1,1,$AA1273)))</f>
        <v>0 | 1 | 2 | 4</v>
      </c>
    </row>
    <row r="1274" spans="1:29" hidden="1" outlineLevel="1">
      <c r="A1274" s="21" t="s">
        <v>86</v>
      </c>
      <c r="B1274" s="40" t="str">
        <f t="shared" si="97"/>
        <v>V</v>
      </c>
      <c r="C1274" s="41">
        <f t="shared" si="95"/>
        <v>1273</v>
      </c>
      <c r="D1274" s="260" t="s">
        <v>9</v>
      </c>
      <c r="E1274" s="37"/>
      <c r="F1274" s="305"/>
      <c r="G1274" s="188" t="s">
        <v>9</v>
      </c>
      <c r="H1274" s="37"/>
      <c r="I1274" s="37" t="s">
        <v>9</v>
      </c>
      <c r="J1274" s="37"/>
      <c r="K1274" s="52" t="s">
        <v>46</v>
      </c>
      <c r="L1274" s="52" t="s">
        <v>29</v>
      </c>
      <c r="M1274" s="154" t="s">
        <v>3492</v>
      </c>
      <c r="N1274" s="52" t="s">
        <v>3494</v>
      </c>
      <c r="O1274" s="153">
        <v>1</v>
      </c>
      <c r="P1274" s="52"/>
      <c r="Q1274" s="188"/>
      <c r="R1274" s="188" t="s">
        <v>204</v>
      </c>
      <c r="S1274" s="37"/>
      <c r="T1274" s="37"/>
      <c r="W1274" s="14" t="str">
        <f>IF(IFERROR(VLOOKUP($M1274,'IMPORT GS-Tür OL FL 2S2 20'!$H$2:$H$847,1,0),"-")="-","","GS")</f>
        <v/>
      </c>
      <c r="X1274" s="14" t="str">
        <f t="shared" si="96"/>
        <v>...</v>
      </c>
      <c r="Z1274" s="58" t="str">
        <f>IF(OR($M1274="",NOT($O1274="{array}")),"",IFERROR(MATCH(PARAMETERS!$M1274,DEFAULT!$B$5:$CI$5,0),""))</f>
        <v/>
      </c>
      <c r="AA1274" s="55">
        <f t="shared" si="98"/>
        <v>172</v>
      </c>
      <c r="AB1274" s="62" t="str">
        <f>IF(AND(OR($A1274="G",$A1274="P"),NOT($O1274="{array}")),IF(VLOOKUP($K1274,base!$B$2:$D$20,3,0)="S",IF(OR($O1274="",ISTEXT($O1274)),"","STRING!"),IF(VLOOKUP($K1274,base!$B$2:$D$20,3,0)="","",IF(ISTEXT($O1274),"NUMERIC!",""))),"")</f>
        <v/>
      </c>
      <c r="AC1274" s="16" t="str">
        <f>IF($AA1274="","",IF($B1274="I",VLOOKUP($AA1274,#REF!,53,0),INDEX(VALUES!$B$1:$GP$1,1,$AA1274)))</f>
        <v>0 | 1 | 2 | 4</v>
      </c>
    </row>
    <row r="1275" spans="1:29" hidden="1" outlineLevel="1">
      <c r="A1275" s="21"/>
      <c r="B1275" s="40" t="str">
        <f t="shared" si="97"/>
        <v/>
      </c>
      <c r="C1275" s="41">
        <f t="shared" si="95"/>
        <v>1274</v>
      </c>
      <c r="D1275" s="260"/>
      <c r="E1275" s="37"/>
      <c r="F1275" s="305" t="s">
        <v>9</v>
      </c>
      <c r="G1275" s="188"/>
      <c r="H1275" s="37"/>
      <c r="I1275" s="37" t="s">
        <v>9</v>
      </c>
      <c r="J1275" s="37"/>
      <c r="K1275" s="13" t="s">
        <v>46</v>
      </c>
      <c r="L1275" s="13" t="s">
        <v>29</v>
      </c>
      <c r="M1275" s="19" t="s">
        <v>2605</v>
      </c>
      <c r="N1275" s="13" t="s">
        <v>2606</v>
      </c>
      <c r="O1275" s="42">
        <v>2</v>
      </c>
      <c r="R1275" s="37" t="s">
        <v>106</v>
      </c>
      <c r="S1275" s="37"/>
      <c r="T1275" s="37"/>
      <c r="W1275" s="14" t="str">
        <f>IF(IFERROR(VLOOKUP($M1275,'IMPORT GS-Tür OL FL 2S2 20'!$H$2:$H$847,1,0),"-")="-","","GS")</f>
        <v>GS</v>
      </c>
      <c r="X1275" s="14" t="str">
        <f t="shared" si="96"/>
        <v/>
      </c>
      <c r="Z1275" s="58" t="str">
        <f>IF(OR($M1275="",NOT($O1275="{array}")),"",IFERROR(MATCH(PARAMETERS!$M1275,DEFAULT!$B$5:$CI$5,0),""))</f>
        <v/>
      </c>
      <c r="AA1275" s="55" t="str">
        <f t="shared" si="98"/>
        <v/>
      </c>
      <c r="AB1275" s="62" t="str">
        <f>IF(AND(OR($A1275="G",$A1275="P"),NOT($O1275="{array}")),IF(VLOOKUP($K1275,base!$B$2:$D$20,3,0)="S",IF(OR($O1275="",ISTEXT($O1275)),"","STRING!"),IF(VLOOKUP($K1275,base!$B$2:$D$20,3,0)="","",IF(ISTEXT($O1275),"NUMERIC!",""))),"")</f>
        <v/>
      </c>
      <c r="AC1275" s="16" t="str">
        <f>IF($AA1275="","",IF($B1275="I",VLOOKUP($AA1275,#REF!,53,0),INDEX(VALUES!$B$1:$GP$1,1,$AA1275)))</f>
        <v/>
      </c>
    </row>
    <row r="1276" spans="1:29" hidden="1" outlineLevel="1">
      <c r="A1276" s="21" t="s">
        <v>86</v>
      </c>
      <c r="B1276" s="40" t="str">
        <f t="shared" si="97"/>
        <v/>
      </c>
      <c r="C1276" s="41">
        <f t="shared" si="95"/>
        <v>1275</v>
      </c>
      <c r="D1276" s="260" t="s">
        <v>9</v>
      </c>
      <c r="E1276" s="37"/>
      <c r="F1276" s="305" t="s">
        <v>9</v>
      </c>
      <c r="G1276" s="188" t="s">
        <v>9</v>
      </c>
      <c r="H1276" s="37"/>
      <c r="I1276" s="37" t="s">
        <v>9</v>
      </c>
      <c r="J1276" s="37"/>
      <c r="K1276" s="13" t="s">
        <v>33</v>
      </c>
      <c r="L1276" s="13" t="s">
        <v>29</v>
      </c>
      <c r="M1276" s="149" t="s">
        <v>2607</v>
      </c>
      <c r="N1276" s="13" t="s">
        <v>2608</v>
      </c>
      <c r="O1276" s="42">
        <v>90</v>
      </c>
      <c r="R1276" s="37" t="s">
        <v>106</v>
      </c>
      <c r="S1276" s="37"/>
      <c r="T1276" s="37"/>
      <c r="W1276" s="14" t="str">
        <f>IF(IFERROR(VLOOKUP($M1276,'IMPORT GS-Tür OL FL 2S2 20'!$H$2:$H$847,1,0),"-")="-","","GS")</f>
        <v>GS</v>
      </c>
      <c r="X1276" s="14" t="str">
        <f t="shared" si="96"/>
        <v>...</v>
      </c>
      <c r="Z1276" s="58" t="str">
        <f>IF(OR($M1276="",NOT($O1276="{array}")),"",IFERROR(MATCH(PARAMETERS!$M1276,DEFAULT!$B$5:$CI$5,0),""))</f>
        <v/>
      </c>
      <c r="AA1276" s="55" t="str">
        <f t="shared" si="98"/>
        <v/>
      </c>
      <c r="AB1276" s="62" t="str">
        <f>IF(AND(OR($A1276="G",$A1276="P"),NOT($O1276="{array}")),IF(VLOOKUP($K1276,base!$B$2:$D$20,3,0)="S",IF(OR($O1276="",ISTEXT($O1276)),"","STRING!"),IF(VLOOKUP($K1276,base!$B$2:$D$20,3,0)="","",IF(ISTEXT($O1276),"NUMERIC!",""))),"")</f>
        <v/>
      </c>
      <c r="AC1276" s="16" t="str">
        <f>IF($AA1276="","",IF($B1276="I",VLOOKUP($AA1276,#REF!,53,0),INDEX(VALUES!$B$1:$GP$1,1,$AA1276)))</f>
        <v/>
      </c>
    </row>
    <row r="1277" spans="1:29" hidden="1" outlineLevel="1">
      <c r="A1277" s="21" t="s">
        <v>86</v>
      </c>
      <c r="B1277" s="40" t="str">
        <f t="shared" si="97"/>
        <v/>
      </c>
      <c r="C1277" s="41">
        <f t="shared" si="95"/>
        <v>1276</v>
      </c>
      <c r="D1277" s="260" t="s">
        <v>9</v>
      </c>
      <c r="E1277" s="37"/>
      <c r="F1277" s="305"/>
      <c r="G1277" s="188" t="s">
        <v>9</v>
      </c>
      <c r="H1277" s="37"/>
      <c r="I1277" s="37" t="s">
        <v>9</v>
      </c>
      <c r="J1277" s="37"/>
      <c r="K1277" s="13" t="s">
        <v>33</v>
      </c>
      <c r="L1277" s="13" t="s">
        <v>29</v>
      </c>
      <c r="M1277" s="149" t="s">
        <v>2609</v>
      </c>
      <c r="N1277" s="13" t="s">
        <v>2610</v>
      </c>
      <c r="O1277" s="42">
        <v>90</v>
      </c>
      <c r="R1277" s="37" t="s">
        <v>106</v>
      </c>
      <c r="S1277" s="37"/>
      <c r="T1277" s="37"/>
      <c r="W1277" s="14" t="str">
        <f>IF(IFERROR(VLOOKUP($M1277,'IMPORT GS-Tür OL FL 2S2 20'!$H$2:$H$847,1,0),"-")="-","","GS")</f>
        <v>GS</v>
      </c>
      <c r="X1277" s="14" t="str">
        <f t="shared" si="96"/>
        <v>...</v>
      </c>
      <c r="Z1277" s="58" t="str">
        <f>IF(OR($M1277="",NOT($O1277="{array}")),"",IFERROR(MATCH(PARAMETERS!$M1277,DEFAULT!$B$5:$CI$5,0),""))</f>
        <v/>
      </c>
      <c r="AA1277" s="55" t="str">
        <f t="shared" si="98"/>
        <v/>
      </c>
      <c r="AB1277" s="62" t="str">
        <f>IF(AND(OR($A1277="G",$A1277="P"),NOT($O1277="{array}")),IF(VLOOKUP($K1277,base!$B$2:$D$20,3,0)="S",IF(OR($O1277="",ISTEXT($O1277)),"","STRING!"),IF(VLOOKUP($K1277,base!$B$2:$D$20,3,0)="","",IF(ISTEXT($O1277),"NUMERIC!",""))),"")</f>
        <v/>
      </c>
      <c r="AC1277" s="16" t="str">
        <f>IF($AA1277="","",IF($B1277="I",VLOOKUP($AA1277,#REF!,53,0),INDEX(VALUES!$B$1:$GP$1,1,$AA1277)))</f>
        <v/>
      </c>
    </row>
    <row r="1278" spans="1:29" hidden="1" outlineLevel="1">
      <c r="A1278" s="21" t="s">
        <v>86</v>
      </c>
      <c r="B1278" s="40" t="str">
        <f t="shared" si="97"/>
        <v/>
      </c>
      <c r="C1278" s="41">
        <f t="shared" si="95"/>
        <v>1277</v>
      </c>
      <c r="D1278" s="260" t="s">
        <v>9</v>
      </c>
      <c r="E1278" s="37"/>
      <c r="F1278" s="305" t="s">
        <v>9</v>
      </c>
      <c r="G1278" s="188" t="s">
        <v>9</v>
      </c>
      <c r="H1278" s="37"/>
      <c r="I1278" s="37" t="s">
        <v>9</v>
      </c>
      <c r="J1278" s="37"/>
      <c r="K1278" s="13" t="s">
        <v>33</v>
      </c>
      <c r="L1278" s="13" t="s">
        <v>29</v>
      </c>
      <c r="M1278" s="149" t="s">
        <v>2611</v>
      </c>
      <c r="N1278" s="13" t="s">
        <v>2612</v>
      </c>
      <c r="O1278" s="42">
        <v>0</v>
      </c>
      <c r="P1278" s="213"/>
      <c r="Q1278" s="192"/>
      <c r="R1278" s="192" t="s">
        <v>106</v>
      </c>
      <c r="S1278" s="37"/>
      <c r="T1278" s="37"/>
      <c r="W1278" s="14" t="str">
        <f>IF(IFERROR(VLOOKUP($M1278,'IMPORT GS-Tür OL FL 2S2 20'!$H$2:$H$847,1,0),"-")="-","","GS")</f>
        <v>GS</v>
      </c>
      <c r="X1278" s="14" t="str">
        <f t="shared" si="96"/>
        <v>...</v>
      </c>
      <c r="Z1278" s="58" t="str">
        <f>IF(OR($M1278="",NOT($O1278="{array}")),"",IFERROR(MATCH(PARAMETERS!$M1278,DEFAULT!$B$5:$CI$5,0),""))</f>
        <v/>
      </c>
      <c r="AA1278" s="55" t="str">
        <f t="shared" si="98"/>
        <v/>
      </c>
      <c r="AB1278" s="62" t="str">
        <f>IF(AND(OR($A1278="G",$A1278="P"),NOT($O1278="{array}")),IF(VLOOKUP($K1278,base!$B$2:$D$20,3,0)="S",IF(OR($O1278="",ISTEXT($O1278)),"","STRING!"),IF(VLOOKUP($K1278,base!$B$2:$D$20,3,0)="","",IF(ISTEXT($O1278),"NUMERIC!",""))),"")</f>
        <v/>
      </c>
      <c r="AC1278" s="16" t="str">
        <f>IF($AA1278="","",IF($B1278="I",VLOOKUP($AA1278,#REF!,53,0),INDEX(VALUES!$B$1:$GP$1,1,$AA1278)))</f>
        <v/>
      </c>
    </row>
    <row r="1279" spans="1:29" hidden="1" outlineLevel="1">
      <c r="A1279" s="21" t="s">
        <v>86</v>
      </c>
      <c r="B1279" s="40" t="str">
        <f t="shared" si="97"/>
        <v/>
      </c>
      <c r="C1279" s="41">
        <f t="shared" si="95"/>
        <v>1278</v>
      </c>
      <c r="D1279" s="260" t="s">
        <v>9</v>
      </c>
      <c r="E1279" s="37"/>
      <c r="F1279" s="305"/>
      <c r="G1279" s="188" t="s">
        <v>9</v>
      </c>
      <c r="H1279" s="37"/>
      <c r="I1279" s="37" t="s">
        <v>9</v>
      </c>
      <c r="J1279" s="37"/>
      <c r="K1279" s="13" t="s">
        <v>33</v>
      </c>
      <c r="L1279" s="13" t="s">
        <v>29</v>
      </c>
      <c r="M1279" s="149" t="s">
        <v>2613</v>
      </c>
      <c r="N1279" s="13" t="s">
        <v>2614</v>
      </c>
      <c r="O1279" s="42">
        <v>0</v>
      </c>
      <c r="P1279" s="213"/>
      <c r="Q1279" s="192"/>
      <c r="R1279" s="192" t="s">
        <v>106</v>
      </c>
      <c r="S1279" s="37"/>
      <c r="T1279" s="37"/>
      <c r="W1279" s="14" t="str">
        <f>IF(IFERROR(VLOOKUP($M1279,'IMPORT GS-Tür OL FL 2S2 20'!$H$2:$H$847,1,0),"-")="-","","GS")</f>
        <v>GS</v>
      </c>
      <c r="X1279" s="14" t="str">
        <f t="shared" si="96"/>
        <v>...</v>
      </c>
      <c r="Z1279" s="58" t="str">
        <f>IF(OR($M1279="",NOT($O1279="{array}")),"",IFERROR(MATCH(PARAMETERS!$M1279,DEFAULT!$B$5:$CI$5,0),""))</f>
        <v/>
      </c>
      <c r="AA1279" s="55" t="str">
        <f t="shared" si="98"/>
        <v/>
      </c>
      <c r="AB1279" s="62" t="str">
        <f>IF(AND(OR($A1279="G",$A1279="P"),NOT($O1279="{array}")),IF(VLOOKUP($K1279,base!$B$2:$D$20,3,0)="S",IF(OR($O1279="",ISTEXT($O1279)),"","STRING!"),IF(VLOOKUP($K1279,base!$B$2:$D$20,3,0)="","",IF(ISTEXT($O1279),"NUMERIC!",""))),"")</f>
        <v/>
      </c>
      <c r="AC1279" s="16" t="str">
        <f>IF($AA1279="","",IF($B1279="I",VLOOKUP($AA1279,#REF!,53,0),INDEX(VALUES!$B$1:$GP$1,1,$AA1279)))</f>
        <v/>
      </c>
    </row>
    <row r="1280" spans="1:29" hidden="1" outlineLevel="1">
      <c r="A1280" s="21" t="s">
        <v>86</v>
      </c>
      <c r="B1280" s="40" t="str">
        <f t="shared" si="97"/>
        <v>A</v>
      </c>
      <c r="C1280" s="41">
        <f t="shared" si="95"/>
        <v>1279</v>
      </c>
      <c r="D1280" s="260" t="s">
        <v>9</v>
      </c>
      <c r="E1280" s="37"/>
      <c r="F1280" s="305"/>
      <c r="G1280" s="188" t="s">
        <v>9</v>
      </c>
      <c r="H1280" s="37"/>
      <c r="I1280" s="37" t="s">
        <v>9</v>
      </c>
      <c r="J1280" s="37"/>
      <c r="K1280" s="13" t="s">
        <v>33</v>
      </c>
      <c r="L1280" s="13" t="s">
        <v>29</v>
      </c>
      <c r="M1280" s="154" t="s">
        <v>3504</v>
      </c>
      <c r="N1280" s="52" t="s">
        <v>3505</v>
      </c>
      <c r="O1280" s="153" t="s">
        <v>35</v>
      </c>
      <c r="P1280" s="52"/>
      <c r="Q1280" s="188"/>
      <c r="R1280" s="188" t="s">
        <v>204</v>
      </c>
      <c r="S1280" s="37"/>
      <c r="T1280" s="37"/>
      <c r="W1280" s="14" t="str">
        <f>IF(IFERROR(VLOOKUP($M1280,'IMPORT GS-Tür OL FL 2S2 20'!$H$2:$H$847,1,0),"-")="-","","GS")</f>
        <v/>
      </c>
      <c r="X1280" s="14" t="str">
        <f t="shared" si="96"/>
        <v>...</v>
      </c>
      <c r="Z1280" s="58">
        <f>IF(OR($M1280="",NOT($O1280="{array}")),"",IFERROR(MATCH(PARAMETERS!$M1280,DEFAULT!$B$5:$CI$5,0),""))</f>
        <v>52</v>
      </c>
      <c r="AA1280" s="55" t="str">
        <f t="shared" si="98"/>
        <v/>
      </c>
      <c r="AB1280" s="62" t="str">
        <f>IF(AND(OR($A1280="G",$A1280="P"),NOT($O1280="{array}")),IF(VLOOKUP($K1280,base!$B$2:$D$20,3,0)="S",IF(OR($O1280="",ISTEXT($O1280)),"","STRING!"),IF(VLOOKUP($K1280,base!$B$2:$D$20,3,0)="","",IF(ISTEXT($O1280),"NUMERIC!",""))),"")</f>
        <v/>
      </c>
      <c r="AC1280" s="16" t="str">
        <f>IF($AA1280="","",IF($B1280="I",VLOOKUP($AA1280,#REF!,53,0),INDEX(VALUES!$B$1:$GP$1,1,$AA1280)))</f>
        <v/>
      </c>
    </row>
    <row r="1281" spans="1:29" hidden="1" outlineLevel="1">
      <c r="A1281" s="21" t="s">
        <v>86</v>
      </c>
      <c r="B1281" s="40" t="str">
        <f>IF($A1281="P",IF(NOT($Z1281=""),"A",IF(NOT($AA1281=""),"I","")),IF(NOT($AA1281=""),IF($A1281="G","V","X"),IF(NOT($Z1281=""),"A","")))</f>
        <v/>
      </c>
      <c r="C1281" s="41">
        <f t="shared" si="95"/>
        <v>1280</v>
      </c>
      <c r="D1281" s="260" t="s">
        <v>9</v>
      </c>
      <c r="E1281" s="37"/>
      <c r="F1281" s="305"/>
      <c r="G1281" s="188" t="s">
        <v>9</v>
      </c>
      <c r="H1281" s="37"/>
      <c r="I1281" s="37" t="s">
        <v>9</v>
      </c>
      <c r="J1281" s="37"/>
      <c r="K1281" s="52" t="s">
        <v>49</v>
      </c>
      <c r="L1281" s="52" t="s">
        <v>29</v>
      </c>
      <c r="M1281" s="154" t="s">
        <v>3726</v>
      </c>
      <c r="N1281" s="52" t="s">
        <v>3725</v>
      </c>
      <c r="O1281" s="153">
        <v>1</v>
      </c>
      <c r="P1281" s="52"/>
      <c r="Q1281" s="188"/>
      <c r="R1281" s="188" t="s">
        <v>204</v>
      </c>
      <c r="S1281" s="37"/>
      <c r="T1281" s="37"/>
      <c r="W1281" s="14" t="str">
        <f>IF(IFERROR(VLOOKUP($M1281,'IMPORT GS-Tür OL FL 2S2 20'!$H$2:$H$847,1,0),"-")="-","","GS")</f>
        <v/>
      </c>
      <c r="X1281" s="14" t="str">
        <f t="shared" si="96"/>
        <v>&gt;&lt;</v>
      </c>
      <c r="Z1281" s="58" t="str">
        <f>IF(OR($M1281="",NOT($O1281="{array}")),"",IFERROR(MATCH(PARAMETERS!$M1281,DEFAULT!$B$5:$CI$5,0),""))</f>
        <v/>
      </c>
      <c r="AA1281" s="55" t="str">
        <f t="shared" si="98"/>
        <v/>
      </c>
      <c r="AB1281" s="62" t="str">
        <f>IF(AND(OR($A1281="G",$A1281="P"),NOT($O1281="{array}")),IF(VLOOKUP($K1281,base!$B$2:$D$20,3,0)="S",IF(OR($O1281="",ISTEXT($O1281)),"","STRING!"),IF(VLOOKUP($K1281,base!$B$2:$D$20,3,0)="","",IF(ISTEXT($O1281),"NUMERIC!",""))),"")</f>
        <v/>
      </c>
      <c r="AC1281" s="16" t="str">
        <f>IF($AA1281="","",IF($B1281="I",VLOOKUP($AA1281,#REF!,53,0),INDEX(VALUES!$B$1:$GP$1,1,$AA1281)))</f>
        <v/>
      </c>
    </row>
    <row r="1282" spans="1:29" hidden="1" outlineLevel="1">
      <c r="A1282" s="21"/>
      <c r="B1282" s="40" t="str">
        <f t="shared" si="97"/>
        <v/>
      </c>
      <c r="C1282" s="41">
        <f t="shared" si="95"/>
        <v>1281</v>
      </c>
      <c r="D1282" s="260"/>
      <c r="E1282" s="37"/>
      <c r="F1282" s="305"/>
      <c r="G1282" s="188"/>
      <c r="H1282" s="37"/>
      <c r="I1282" s="37" t="s">
        <v>9</v>
      </c>
      <c r="J1282" s="37"/>
      <c r="K1282" s="13" t="s">
        <v>49</v>
      </c>
      <c r="L1282" s="13" t="s">
        <v>29</v>
      </c>
      <c r="M1282" s="19" t="s">
        <v>2615</v>
      </c>
      <c r="N1282" s="13" t="s">
        <v>2616</v>
      </c>
      <c r="O1282" s="42">
        <v>1</v>
      </c>
      <c r="R1282" s="37" t="s">
        <v>106</v>
      </c>
      <c r="S1282" s="37"/>
      <c r="T1282" s="37"/>
      <c r="W1282" s="14" t="str">
        <f>IF(IFERROR(VLOOKUP($M1282,'IMPORT GS-Tür OL FL 2S2 20'!$H$2:$H$847,1,0),"-")="-","","GS")</f>
        <v>GS</v>
      </c>
      <c r="X1282" s="14" t="str">
        <f t="shared" si="96"/>
        <v/>
      </c>
      <c r="Z1282" s="58" t="str">
        <f>IF(OR($M1282="",NOT($O1282="{array}")),"",IFERROR(MATCH(PARAMETERS!$M1282,DEFAULT!$B$5:$CI$5,0),""))</f>
        <v/>
      </c>
      <c r="AA1282" s="55" t="str">
        <f t="shared" si="98"/>
        <v/>
      </c>
      <c r="AB1282" s="62" t="str">
        <f>IF(AND(OR($A1282="G",$A1282="P"),NOT($O1282="{array}")),IF(VLOOKUP($K1282,base!$B$2:$D$20,3,0)="S",IF(OR($O1282="",ISTEXT($O1282)),"","STRING!"),IF(VLOOKUP($K1282,base!$B$2:$D$20,3,0)="","",IF(ISTEXT($O1282),"NUMERIC!",""))),"")</f>
        <v/>
      </c>
      <c r="AC1282" s="16" t="str">
        <f>IF($AA1282="","",IF($B1282="I",VLOOKUP($AA1282,#REF!,53,0),INDEX(VALUES!$B$1:$GP$1,1,$AA1282)))</f>
        <v/>
      </c>
    </row>
    <row r="1283" spans="1:29" hidden="1" outlineLevel="1">
      <c r="A1283" s="21"/>
      <c r="B1283" s="40" t="str">
        <f t="shared" si="97"/>
        <v/>
      </c>
      <c r="C1283" s="41">
        <f t="shared" si="95"/>
        <v>1282</v>
      </c>
      <c r="D1283" s="260"/>
      <c r="E1283" s="37"/>
      <c r="F1283" s="305" t="s">
        <v>9</v>
      </c>
      <c r="G1283" s="188"/>
      <c r="H1283" s="37" t="s">
        <v>9</v>
      </c>
      <c r="I1283" s="37" t="s">
        <v>9</v>
      </c>
      <c r="J1283" s="37"/>
      <c r="K1283" s="13" t="s">
        <v>49</v>
      </c>
      <c r="L1283" s="13" t="s">
        <v>29</v>
      </c>
      <c r="M1283" s="19" t="s">
        <v>2617</v>
      </c>
      <c r="N1283" s="13" t="s">
        <v>2618</v>
      </c>
      <c r="O1283" s="42">
        <v>0</v>
      </c>
      <c r="R1283" s="37" t="s">
        <v>106</v>
      </c>
      <c r="S1283" s="37"/>
      <c r="T1283" s="37"/>
      <c r="W1283" s="14" t="str">
        <f>IF(IFERROR(VLOOKUP($M1283,'IMPORT GS-Tür OL FL 2S2 20'!$H$2:$H$847,1,0),"-")="-","","GS")</f>
        <v>GS</v>
      </c>
      <c r="X1283" s="14" t="str">
        <f t="shared" si="96"/>
        <v/>
      </c>
      <c r="Z1283" s="58" t="str">
        <f>IF(OR($M1283="",NOT($O1283="{array}")),"",IFERROR(MATCH(PARAMETERS!$M1283,DEFAULT!$B$5:$CI$5,0),""))</f>
        <v/>
      </c>
      <c r="AA1283" s="55" t="str">
        <f t="shared" si="98"/>
        <v/>
      </c>
      <c r="AB1283" s="62" t="str">
        <f>IF(AND(OR($A1283="G",$A1283="P"),NOT($O1283="{array}")),IF(VLOOKUP($K1283,base!$B$2:$D$20,3,0)="S",IF(OR($O1283="",ISTEXT($O1283)),"","STRING!"),IF(VLOOKUP($K1283,base!$B$2:$D$20,3,0)="","",IF(ISTEXT($O1283),"NUMERIC!",""))),"")</f>
        <v/>
      </c>
      <c r="AC1283" s="16" t="str">
        <f>IF($AA1283="","",IF($B1283="I",VLOOKUP($AA1283,#REF!,53,0),INDEX(VALUES!$B$1:$GP$1,1,$AA1283)))</f>
        <v/>
      </c>
    </row>
    <row r="1284" spans="1:29" hidden="1" outlineLevel="1">
      <c r="A1284" s="21"/>
      <c r="B1284" s="40" t="str">
        <f t="shared" si="97"/>
        <v/>
      </c>
      <c r="C1284" s="41">
        <f t="shared" si="95"/>
        <v>1283</v>
      </c>
      <c r="D1284" s="260"/>
      <c r="E1284" s="37"/>
      <c r="F1284" s="305" t="s">
        <v>9</v>
      </c>
      <c r="G1284" s="188"/>
      <c r="H1284" s="37"/>
      <c r="I1284" s="37" t="s">
        <v>9</v>
      </c>
      <c r="J1284" s="37"/>
      <c r="K1284" s="13" t="s">
        <v>49</v>
      </c>
      <c r="L1284" s="13" t="s">
        <v>29</v>
      </c>
      <c r="M1284" s="19" t="s">
        <v>2619</v>
      </c>
      <c r="N1284" s="13" t="s">
        <v>2620</v>
      </c>
      <c r="O1284" s="42">
        <v>1</v>
      </c>
      <c r="R1284" s="37" t="s">
        <v>106</v>
      </c>
      <c r="S1284" s="37"/>
      <c r="T1284" s="37"/>
      <c r="W1284" s="14" t="str">
        <f>IF(IFERROR(VLOOKUP($M1284,'IMPORT GS-Tür OL FL 2S2 20'!$H$2:$H$847,1,0),"-")="-","","GS")</f>
        <v>GS</v>
      </c>
      <c r="X1284" s="14" t="str">
        <f t="shared" si="96"/>
        <v/>
      </c>
      <c r="Z1284" s="58" t="str">
        <f>IF(OR($M1284="",NOT($O1284="{array}")),"",IFERROR(MATCH(PARAMETERS!$M1284,DEFAULT!$B$5:$CI$5,0),""))</f>
        <v/>
      </c>
      <c r="AA1284" s="55" t="str">
        <f t="shared" si="98"/>
        <v/>
      </c>
      <c r="AB1284" s="62" t="str">
        <f>IF(AND(OR($A1284="G",$A1284="P"),NOT($O1284="{array}")),IF(VLOOKUP($K1284,base!$B$2:$D$20,3,0)="S",IF(OR($O1284="",ISTEXT($O1284)),"","STRING!"),IF(VLOOKUP($K1284,base!$B$2:$D$20,3,0)="","",IF(ISTEXT($O1284),"NUMERIC!",""))),"")</f>
        <v/>
      </c>
      <c r="AC1284" s="16" t="str">
        <f>IF($AA1284="","",IF($B1284="I",VLOOKUP($AA1284,#REF!,53,0),INDEX(VALUES!$B$1:$GP$1,1,$AA1284)))</f>
        <v/>
      </c>
    </row>
    <row r="1285" spans="1:29" hidden="1" outlineLevel="1">
      <c r="A1285" s="21" t="s">
        <v>86</v>
      </c>
      <c r="B1285" s="40" t="str">
        <f t="shared" si="97"/>
        <v/>
      </c>
      <c r="C1285" s="41">
        <f t="shared" si="95"/>
        <v>1284</v>
      </c>
      <c r="D1285" s="260" t="s">
        <v>9</v>
      </c>
      <c r="E1285" s="37"/>
      <c r="F1285" s="305" t="s">
        <v>9</v>
      </c>
      <c r="G1285" s="188" t="s">
        <v>9</v>
      </c>
      <c r="H1285" s="37"/>
      <c r="I1285" s="37" t="s">
        <v>9</v>
      </c>
      <c r="J1285" s="37"/>
      <c r="K1285" s="13" t="s">
        <v>53</v>
      </c>
      <c r="L1285" s="13" t="s">
        <v>29</v>
      </c>
      <c r="M1285" s="149" t="s">
        <v>2621</v>
      </c>
      <c r="N1285" s="13" t="s">
        <v>2622</v>
      </c>
      <c r="O1285" s="42">
        <v>1</v>
      </c>
      <c r="R1285" s="37" t="s">
        <v>106</v>
      </c>
      <c r="S1285" s="37"/>
      <c r="T1285" s="37"/>
      <c r="W1285" s="14" t="str">
        <f>IF(IFERROR(VLOOKUP($M1285,'IMPORT GS-Tür OL FL 2S2 20'!$H$2:$H$847,1,0),"-")="-","","GS")</f>
        <v>GS</v>
      </c>
      <c r="X1285" s="14" t="str">
        <f t="shared" si="96"/>
        <v>...</v>
      </c>
      <c r="Z1285" s="58" t="str">
        <f>IF(OR($M1285="",NOT($O1285="{array}")),"",IFERROR(MATCH(PARAMETERS!$M1285,DEFAULT!$B$5:$CI$5,0),""))</f>
        <v/>
      </c>
      <c r="AA1285" s="55" t="str">
        <f t="shared" si="98"/>
        <v/>
      </c>
      <c r="AB1285" s="62" t="str">
        <f>IF(AND(OR($A1285="G",$A1285="P"),NOT($O1285="{array}")),IF(VLOOKUP($K1285,base!$B$2:$D$20,3,0)="S",IF(OR($O1285="",ISTEXT($O1285)),"","STRING!"),IF(VLOOKUP($K1285,base!$B$2:$D$20,3,0)="","",IF(ISTEXT($O1285),"NUMERIC!",""))),"")</f>
        <v/>
      </c>
      <c r="AC1285" s="16" t="str">
        <f>IF($AA1285="","",IF($B1285="I",VLOOKUP($AA1285,#REF!,53,0),INDEX(VALUES!$B$1:$GP$1,1,$AA1285)))</f>
        <v/>
      </c>
    </row>
    <row r="1286" spans="1:29" hidden="1" outlineLevel="1">
      <c r="A1286" s="21" t="s">
        <v>86</v>
      </c>
      <c r="B1286" s="40" t="str">
        <f t="shared" si="97"/>
        <v/>
      </c>
      <c r="C1286" s="41">
        <f t="shared" si="95"/>
        <v>1285</v>
      </c>
      <c r="D1286" s="260" t="s">
        <v>9</v>
      </c>
      <c r="E1286" s="37"/>
      <c r="F1286" s="305" t="s">
        <v>9</v>
      </c>
      <c r="G1286" s="188" t="s">
        <v>9</v>
      </c>
      <c r="H1286" s="37"/>
      <c r="I1286" s="37" t="s">
        <v>9</v>
      </c>
      <c r="J1286" s="37"/>
      <c r="K1286" s="13" t="s">
        <v>53</v>
      </c>
      <c r="L1286" s="13" t="s">
        <v>29</v>
      </c>
      <c r="M1286" s="149" t="s">
        <v>2623</v>
      </c>
      <c r="N1286" s="13" t="s">
        <v>2624</v>
      </c>
      <c r="O1286" s="42">
        <v>4</v>
      </c>
      <c r="R1286" s="37" t="s">
        <v>106</v>
      </c>
      <c r="S1286" s="37"/>
      <c r="T1286" s="37"/>
      <c r="W1286" s="14" t="str">
        <f>IF(IFERROR(VLOOKUP($M1286,'IMPORT GS-Tür OL FL 2S2 20'!$H$2:$H$847,1,0),"-")="-","","GS")</f>
        <v>GS</v>
      </c>
      <c r="X1286" s="14" t="str">
        <f t="shared" si="96"/>
        <v>...</v>
      </c>
      <c r="Z1286" s="58" t="str">
        <f>IF(OR($M1286="",NOT($O1286="{array}")),"",IFERROR(MATCH(PARAMETERS!$M1286,DEFAULT!$B$5:$CI$5,0),""))</f>
        <v/>
      </c>
      <c r="AA1286" s="55" t="str">
        <f t="shared" si="98"/>
        <v/>
      </c>
      <c r="AB1286" s="62" t="str">
        <f>IF(AND(OR($A1286="G",$A1286="P"),NOT($O1286="{array}")),IF(VLOOKUP($K1286,base!$B$2:$D$20,3,0)="S",IF(OR($O1286="",ISTEXT($O1286)),"","STRING!"),IF(VLOOKUP($K1286,base!$B$2:$D$20,3,0)="","",IF(ISTEXT($O1286),"NUMERIC!",""))),"")</f>
        <v/>
      </c>
      <c r="AC1286" s="16" t="str">
        <f>IF($AA1286="","",IF($B1286="I",VLOOKUP($AA1286,#REF!,53,0),INDEX(VALUES!$B$1:$GP$1,1,$AA1286)))</f>
        <v/>
      </c>
    </row>
    <row r="1287" spans="1:29" hidden="1" outlineLevel="1">
      <c r="A1287" s="21"/>
      <c r="B1287" s="40" t="str">
        <f t="shared" si="97"/>
        <v/>
      </c>
      <c r="C1287" s="41">
        <f t="shared" si="95"/>
        <v>1286</v>
      </c>
      <c r="D1287" s="260"/>
      <c r="E1287" s="37"/>
      <c r="F1287" s="305" t="s">
        <v>9</v>
      </c>
      <c r="G1287" s="188"/>
      <c r="H1287" s="37"/>
      <c r="I1287" s="37" t="s">
        <v>9</v>
      </c>
      <c r="J1287" s="37"/>
      <c r="K1287" s="13" t="s">
        <v>20</v>
      </c>
      <c r="L1287" s="13" t="s">
        <v>29</v>
      </c>
      <c r="M1287" s="19" t="s">
        <v>2625</v>
      </c>
      <c r="N1287" s="13" t="s">
        <v>2626</v>
      </c>
      <c r="O1287" s="42" t="s">
        <v>2627</v>
      </c>
      <c r="R1287" s="37" t="s">
        <v>106</v>
      </c>
      <c r="S1287" s="37"/>
      <c r="T1287" s="37"/>
      <c r="W1287" s="14" t="str">
        <f>IF(IFERROR(VLOOKUP($M1287,'IMPORT GS-Tür OL FL 2S2 20'!$H$2:$H$847,1,0),"-")="-","","GS")</f>
        <v>GS</v>
      </c>
      <c r="X1287" s="14" t="str">
        <f t="shared" si="96"/>
        <v/>
      </c>
      <c r="Z1287" s="58" t="str">
        <f>IF(OR($M1287="",NOT($O1287="{array}")),"",IFERROR(MATCH(PARAMETERS!$M1287,DEFAULT!$B$5:$CI$5,0),""))</f>
        <v/>
      </c>
      <c r="AA1287" s="55" t="str">
        <f t="shared" si="98"/>
        <v/>
      </c>
      <c r="AB1287" s="62" t="str">
        <f>IF(AND(OR($A1287="G",$A1287="P"),NOT($O1287="{array}")),IF(VLOOKUP($K1287,base!$B$2:$D$20,3,0)="S",IF(OR($O1287="",ISTEXT($O1287)),"","STRING!"),IF(VLOOKUP($K1287,base!$B$2:$D$20,3,0)="","",IF(ISTEXT($O1287),"NUMERIC!",""))),"")</f>
        <v/>
      </c>
      <c r="AC1287" s="16" t="str">
        <f>IF($AA1287="","",IF($B1287="I",VLOOKUP($AA1287,#REF!,53,0),INDEX(VALUES!$B$1:$GP$1,1,$AA1287)))</f>
        <v/>
      </c>
    </row>
    <row r="1288" spans="1:29" hidden="1" outlineLevel="1">
      <c r="A1288" s="21"/>
      <c r="B1288" s="40" t="str">
        <f t="shared" si="97"/>
        <v/>
      </c>
      <c r="C1288" s="41">
        <f t="shared" si="95"/>
        <v>1287</v>
      </c>
      <c r="D1288" s="260"/>
      <c r="E1288" s="37"/>
      <c r="F1288" s="305" t="s">
        <v>9</v>
      </c>
      <c r="G1288" s="188" t="s">
        <v>9</v>
      </c>
      <c r="H1288" s="37"/>
      <c r="I1288" s="37" t="s">
        <v>9</v>
      </c>
      <c r="J1288" s="37"/>
      <c r="K1288" s="13" t="s">
        <v>46</v>
      </c>
      <c r="L1288" s="13" t="s">
        <v>29</v>
      </c>
      <c r="M1288" s="19" t="s">
        <v>2628</v>
      </c>
      <c r="N1288" s="13" t="s">
        <v>2626</v>
      </c>
      <c r="O1288" s="42">
        <v>1</v>
      </c>
      <c r="R1288" s="37" t="s">
        <v>106</v>
      </c>
      <c r="S1288" s="37"/>
      <c r="T1288" s="37"/>
      <c r="W1288" s="14" t="str">
        <f>IF(IFERROR(VLOOKUP($M1288,'IMPORT GS-Tür OL FL 2S2 20'!$H$2:$H$847,1,0),"-")="-","","GS")</f>
        <v>GS</v>
      </c>
      <c r="X1288" s="14" t="str">
        <f t="shared" si="96"/>
        <v/>
      </c>
      <c r="Z1288" s="58" t="str">
        <f>IF(OR($M1288="",NOT($O1288="{array}")),"",IFERROR(MATCH(PARAMETERS!$M1288,DEFAULT!$B$5:$CI$5,0),""))</f>
        <v/>
      </c>
      <c r="AA1288" s="55" t="str">
        <f t="shared" si="98"/>
        <v/>
      </c>
      <c r="AB1288" s="62" t="str">
        <f>IF(AND(OR($A1288="G",$A1288="P"),NOT($O1288="{array}")),IF(VLOOKUP($K1288,base!$B$2:$D$20,3,0)="S",IF(OR($O1288="",ISTEXT($O1288)),"","STRING!"),IF(VLOOKUP($K1288,base!$B$2:$D$20,3,0)="","",IF(ISTEXT($O1288),"NUMERIC!",""))),"")</f>
        <v/>
      </c>
      <c r="AC1288" s="16" t="str">
        <f>IF($AA1288="","",IF($B1288="I",VLOOKUP($AA1288,#REF!,53,0),INDEX(VALUES!$B$1:$GP$1,1,$AA1288)))</f>
        <v/>
      </c>
    </row>
    <row r="1289" spans="1:29" hidden="1" outlineLevel="1">
      <c r="A1289" s="21"/>
      <c r="B1289" s="40" t="str">
        <f t="shared" si="97"/>
        <v/>
      </c>
      <c r="C1289" s="41">
        <f t="shared" si="95"/>
        <v>1288</v>
      </c>
      <c r="D1289" s="260"/>
      <c r="E1289" s="37"/>
      <c r="F1289" s="305" t="s">
        <v>9</v>
      </c>
      <c r="G1289" s="188"/>
      <c r="H1289" s="37"/>
      <c r="I1289" s="37" t="s">
        <v>9</v>
      </c>
      <c r="J1289" s="37"/>
      <c r="K1289" s="13" t="s">
        <v>20</v>
      </c>
      <c r="L1289" s="13" t="s">
        <v>29</v>
      </c>
      <c r="M1289" s="19" t="s">
        <v>2629</v>
      </c>
      <c r="N1289" s="13" t="s">
        <v>2626</v>
      </c>
      <c r="O1289" s="42" t="s">
        <v>2630</v>
      </c>
      <c r="R1289" s="37" t="s">
        <v>106</v>
      </c>
      <c r="S1289" s="37"/>
      <c r="T1289" s="37"/>
      <c r="W1289" s="14" t="str">
        <f>IF(IFERROR(VLOOKUP($M1289,'IMPORT GS-Tür OL FL 2S2 20'!$H$2:$H$847,1,0),"-")="-","","GS")</f>
        <v>GS</v>
      </c>
      <c r="X1289" s="14" t="str">
        <f t="shared" si="96"/>
        <v/>
      </c>
      <c r="Z1289" s="58" t="str">
        <f>IF(OR($M1289="",NOT($O1289="{array}")),"",IFERROR(MATCH(PARAMETERS!$M1289,DEFAULT!$B$5:$CI$5,0),""))</f>
        <v/>
      </c>
      <c r="AA1289" s="55" t="str">
        <f t="shared" si="98"/>
        <v/>
      </c>
      <c r="AB1289" s="62" t="str">
        <f>IF(AND(OR($A1289="G",$A1289="P"),NOT($O1289="{array}")),IF(VLOOKUP($K1289,base!$B$2:$D$20,3,0)="S",IF(OR($O1289="",ISTEXT($O1289)),"","STRING!"),IF(VLOOKUP($K1289,base!$B$2:$D$20,3,0)="","",IF(ISTEXT($O1289),"NUMERIC!",""))),"")</f>
        <v/>
      </c>
      <c r="AC1289" s="16" t="str">
        <f>IF($AA1289="","",IF($B1289="I",VLOOKUP($AA1289,#REF!,53,0),INDEX(VALUES!$B$1:$GP$1,1,$AA1289)))</f>
        <v/>
      </c>
    </row>
    <row r="1290" spans="1:29" hidden="1" outlineLevel="1">
      <c r="A1290" s="21"/>
      <c r="B1290" s="40" t="str">
        <f t="shared" si="97"/>
        <v/>
      </c>
      <c r="C1290" s="41">
        <f t="shared" si="95"/>
        <v>1289</v>
      </c>
      <c r="D1290" s="260"/>
      <c r="E1290" s="37"/>
      <c r="F1290" s="305" t="s">
        <v>9</v>
      </c>
      <c r="G1290" s="188" t="s">
        <v>9</v>
      </c>
      <c r="H1290" s="37"/>
      <c r="I1290" s="37" t="s">
        <v>9</v>
      </c>
      <c r="J1290" s="37"/>
      <c r="K1290" s="13" t="s">
        <v>46</v>
      </c>
      <c r="L1290" s="13" t="s">
        <v>29</v>
      </c>
      <c r="M1290" s="19" t="s">
        <v>2631</v>
      </c>
      <c r="N1290" s="13" t="s">
        <v>2626</v>
      </c>
      <c r="O1290" s="42">
        <v>0</v>
      </c>
      <c r="R1290" s="37" t="s">
        <v>106</v>
      </c>
      <c r="S1290" s="37"/>
      <c r="T1290" s="37"/>
      <c r="W1290" s="14" t="str">
        <f>IF(IFERROR(VLOOKUP($M1290,'IMPORT GS-Tür OL FL 2S2 20'!$H$2:$H$847,1,0),"-")="-","","GS")</f>
        <v>GS</v>
      </c>
      <c r="X1290" s="14" t="str">
        <f t="shared" si="96"/>
        <v/>
      </c>
      <c r="Z1290" s="58" t="str">
        <f>IF(OR($M1290="",NOT($O1290="{array}")),"",IFERROR(MATCH(PARAMETERS!$M1290,DEFAULT!$B$5:$CI$5,0),""))</f>
        <v/>
      </c>
      <c r="AA1290" s="55" t="str">
        <f t="shared" si="98"/>
        <v/>
      </c>
      <c r="AB1290" s="62" t="str">
        <f>IF(AND(OR($A1290="G",$A1290="P"),NOT($O1290="{array}")),IF(VLOOKUP($K1290,base!$B$2:$D$20,3,0)="S",IF(OR($O1290="",ISTEXT($O1290)),"","STRING!"),IF(VLOOKUP($K1290,base!$B$2:$D$20,3,0)="","",IF(ISTEXT($O1290),"NUMERIC!",""))),"")</f>
        <v/>
      </c>
      <c r="AC1290" s="16" t="str">
        <f>IF($AA1290="","",IF($B1290="I",VLOOKUP($AA1290,#REF!,53,0),INDEX(VALUES!$B$1:$GP$1,1,$AA1290)))</f>
        <v/>
      </c>
    </row>
    <row r="1291" spans="1:29" hidden="1" outlineLevel="1">
      <c r="A1291" s="21" t="s">
        <v>86</v>
      </c>
      <c r="B1291" s="40" t="str">
        <f>IF($A1291="P",IF(NOT($Z1291=""),"A",IF(NOT($AA1291=""),"I","")),IF(NOT($AA1291=""),IF($A1291="G","V","X"),IF(NOT($Z1291=""),"A","")))</f>
        <v>V</v>
      </c>
      <c r="C1291" s="41">
        <f t="shared" si="95"/>
        <v>1290</v>
      </c>
      <c r="D1291" s="260" t="s">
        <v>9</v>
      </c>
      <c r="E1291" s="37"/>
      <c r="F1291" s="305" t="s">
        <v>9</v>
      </c>
      <c r="G1291" s="188" t="s">
        <v>9</v>
      </c>
      <c r="H1291" s="37"/>
      <c r="I1291" s="37" t="s">
        <v>9</v>
      </c>
      <c r="J1291" s="37"/>
      <c r="K1291" s="52" t="s">
        <v>46</v>
      </c>
      <c r="L1291" s="52" t="s">
        <v>29</v>
      </c>
      <c r="M1291" s="154" t="s">
        <v>3495</v>
      </c>
      <c r="N1291" s="52" t="s">
        <v>3496</v>
      </c>
      <c r="O1291" s="153">
        <v>1</v>
      </c>
      <c r="P1291" s="52"/>
      <c r="Q1291" s="188"/>
      <c r="R1291" s="188" t="s">
        <v>204</v>
      </c>
      <c r="S1291" s="37"/>
      <c r="T1291" s="37"/>
      <c r="W1291" s="14" t="str">
        <f>IF(IFERROR(VLOOKUP($M1291,'IMPORT GS-Tür OL FL 2S2 20'!$H$2:$H$847,1,0),"-")="-","","GS")</f>
        <v/>
      </c>
      <c r="X1291" s="14" t="str">
        <f t="shared" si="96"/>
        <v>...</v>
      </c>
      <c r="Z1291" s="58" t="str">
        <f>IF(OR($M1291="",NOT($O1291="{array}")),"",IFERROR(MATCH(PARAMETERS!$M1291,DEFAULT!$B$5:$CI$5,0),""))</f>
        <v/>
      </c>
      <c r="AA1291" s="55">
        <f t="shared" si="98"/>
        <v>175</v>
      </c>
      <c r="AB1291" s="62" t="str">
        <f>IF(AND(OR($A1291="G",$A1291="P"),NOT($O1291="{array}")),IF(VLOOKUP($K1291,base!$B$2:$D$20,3,0)="S",IF(OR($O1291="",ISTEXT($O1291)),"","STRING!"),IF(VLOOKUP($K1291,base!$B$2:$D$20,3,0)="","",IF(ISTEXT($O1291),"NUMERIC!",""))),"")</f>
        <v/>
      </c>
      <c r="AC1291" s="16" t="str">
        <f>IF($AA1291="","",IF($B1291="I",VLOOKUP($AA1291,#REF!,53,0),INDEX(VALUES!$B$1:$GP$1,1,$AA1291)))</f>
        <v>1 | 2 | 3 | 4</v>
      </c>
    </row>
    <row r="1292" spans="1:29" hidden="1" outlineLevel="1">
      <c r="A1292" s="21" t="s">
        <v>86</v>
      </c>
      <c r="B1292" s="40" t="str">
        <f>IF($A1292="P",IF(NOT($Z1292=""),"A",IF(NOT($AA1292=""),"I","")),IF(NOT($AA1292=""),IF($A1292="G","V","X"),IF(NOT($Z1292=""),"A","")))</f>
        <v>V</v>
      </c>
      <c r="C1292" s="41">
        <f t="shared" si="95"/>
        <v>1291</v>
      </c>
      <c r="D1292" s="260" t="s">
        <v>9</v>
      </c>
      <c r="E1292" s="37"/>
      <c r="F1292" s="305" t="s">
        <v>9</v>
      </c>
      <c r="G1292" s="188" t="s">
        <v>9</v>
      </c>
      <c r="H1292" s="37"/>
      <c r="I1292" s="37" t="s">
        <v>9</v>
      </c>
      <c r="J1292" s="37"/>
      <c r="K1292" s="52" t="s">
        <v>46</v>
      </c>
      <c r="L1292" s="52" t="s">
        <v>29</v>
      </c>
      <c r="M1292" s="154" t="s">
        <v>3497</v>
      </c>
      <c r="N1292" s="52" t="s">
        <v>3498</v>
      </c>
      <c r="O1292" s="153">
        <v>1</v>
      </c>
      <c r="P1292" s="52"/>
      <c r="Q1292" s="188"/>
      <c r="R1292" s="188" t="s">
        <v>204</v>
      </c>
      <c r="S1292" s="37"/>
      <c r="T1292" s="37"/>
      <c r="W1292" s="14" t="str">
        <f>IF(IFERROR(VLOOKUP($M1292,'IMPORT GS-Tür OL FL 2S2 20'!$H$2:$H$847,1,0),"-")="-","","GS")</f>
        <v/>
      </c>
      <c r="X1292" s="14" t="str">
        <f t="shared" ref="X1292:X1355" si="99">IF($A1292="G",IF(IFERROR(VLOOKUP($M1292,Reimport,1,0),"-")="-","&gt;&lt;",IF($O1292=VLOOKUP($M1292,Reimport,2,0),"...",VLOOKUP($M1292,Reimport,2,0))),"")</f>
        <v>...</v>
      </c>
      <c r="Z1292" s="58" t="str">
        <f>IF(OR($M1292="",NOT($O1292="{array}")),"",IFERROR(MATCH(PARAMETERS!$M1292,DEFAULT!$B$5:$CI$5,0),""))</f>
        <v/>
      </c>
      <c r="AA1292" s="55">
        <f t="shared" si="98"/>
        <v>177</v>
      </c>
      <c r="AB1292" s="62" t="str">
        <f>IF(AND(OR($A1292="G",$A1292="P"),NOT($O1292="{array}")),IF(VLOOKUP($K1292,base!$B$2:$D$20,3,0)="S",IF(OR($O1292="",ISTEXT($O1292)),"","STRING!"),IF(VLOOKUP($K1292,base!$B$2:$D$20,3,0)="","",IF(ISTEXT($O1292),"NUMERIC!",""))),"")</f>
        <v/>
      </c>
      <c r="AC1292" s="16" t="str">
        <f>IF($AA1292="","",IF($B1292="I",VLOOKUP($AA1292,#REF!,53,0),INDEX(VALUES!$B$1:$GP$1,1,$AA1292)))</f>
        <v>1 | 2 | 3 | 4</v>
      </c>
    </row>
    <row r="1293" spans="1:29" hidden="1" outlineLevel="1">
      <c r="A1293" s="21" t="s">
        <v>86</v>
      </c>
      <c r="B1293" s="40" t="str">
        <f>IF($A1293="P",IF(NOT($Z1293=""),"A",IF(NOT($AA1293=""),"I","")),IF(NOT($AA1293=""),IF($A1293="G","V","X"),IF(NOT($Z1293=""),"A","")))</f>
        <v>V</v>
      </c>
      <c r="C1293" s="41">
        <f t="shared" si="95"/>
        <v>1292</v>
      </c>
      <c r="D1293" s="260" t="s">
        <v>9</v>
      </c>
      <c r="E1293" s="37"/>
      <c r="F1293" s="305" t="s">
        <v>9</v>
      </c>
      <c r="G1293" s="188" t="s">
        <v>9</v>
      </c>
      <c r="H1293" s="37"/>
      <c r="I1293" s="37" t="s">
        <v>9</v>
      </c>
      <c r="J1293" s="37"/>
      <c r="K1293" s="52" t="s">
        <v>46</v>
      </c>
      <c r="L1293" s="52" t="s">
        <v>29</v>
      </c>
      <c r="M1293" s="154" t="s">
        <v>3499</v>
      </c>
      <c r="N1293" s="52" t="s">
        <v>3500</v>
      </c>
      <c r="O1293" s="153">
        <v>2</v>
      </c>
      <c r="P1293" s="52"/>
      <c r="Q1293" s="188"/>
      <c r="R1293" s="188" t="s">
        <v>204</v>
      </c>
      <c r="S1293" s="37"/>
      <c r="T1293" s="37"/>
      <c r="W1293" s="14" t="str">
        <f>IF(IFERROR(VLOOKUP($M1293,'IMPORT GS-Tür OL FL 2S2 20'!$H$2:$H$847,1,0),"-")="-","","GS")</f>
        <v/>
      </c>
      <c r="X1293" s="14" t="str">
        <f t="shared" si="99"/>
        <v>...</v>
      </c>
      <c r="Z1293" s="58" t="str">
        <f>IF(OR($M1293="",NOT($O1293="{array}")),"",IFERROR(MATCH(PARAMETERS!$M1293,DEFAULT!$B$5:$CI$5,0),""))</f>
        <v/>
      </c>
      <c r="AA1293" s="55">
        <f t="shared" si="98"/>
        <v>179</v>
      </c>
      <c r="AB1293" s="62" t="str">
        <f>IF(AND(OR($A1293="G",$A1293="P"),NOT($O1293="{array}")),IF(VLOOKUP($K1293,base!$B$2:$D$20,3,0)="S",IF(OR($O1293="",ISTEXT($O1293)),"","STRING!"),IF(VLOOKUP($K1293,base!$B$2:$D$20,3,0)="","",IF(ISTEXT($O1293),"NUMERIC!",""))),"")</f>
        <v/>
      </c>
      <c r="AC1293" s="16" t="str">
        <f>IF($AA1293="","",IF($B1293="I",VLOOKUP($AA1293,#REF!,53,0),INDEX(VALUES!$B$1:$GP$1,1,$AA1293)))</f>
        <v>0 | 1 | 2 | 3 | 4</v>
      </c>
    </row>
    <row r="1294" spans="1:29" hidden="1" outlineLevel="1">
      <c r="A1294" s="21"/>
      <c r="B1294" s="40" t="str">
        <f t="shared" si="97"/>
        <v/>
      </c>
      <c r="C1294" s="41">
        <f t="shared" si="95"/>
        <v>1293</v>
      </c>
      <c r="D1294" s="260"/>
      <c r="E1294" s="37"/>
      <c r="F1294" s="305" t="s">
        <v>9</v>
      </c>
      <c r="G1294" s="188"/>
      <c r="H1294" s="37"/>
      <c r="I1294" s="37" t="s">
        <v>9</v>
      </c>
      <c r="J1294" s="37"/>
      <c r="K1294" s="13" t="s">
        <v>55</v>
      </c>
      <c r="L1294" s="13" t="s">
        <v>29</v>
      </c>
      <c r="M1294" s="214" t="s">
        <v>2632</v>
      </c>
      <c r="N1294" s="13" t="s">
        <v>2633</v>
      </c>
      <c r="O1294" s="42">
        <v>1</v>
      </c>
      <c r="R1294" s="37" t="s">
        <v>106</v>
      </c>
      <c r="S1294" s="37"/>
      <c r="T1294" s="37"/>
      <c r="W1294" s="14" t="str">
        <f>IF(IFERROR(VLOOKUP($M1294,'IMPORT GS-Tür OL FL 2S2 20'!$H$2:$H$847,1,0),"-")="-","","GS")</f>
        <v>GS</v>
      </c>
      <c r="X1294" s="14" t="str">
        <f t="shared" si="99"/>
        <v/>
      </c>
      <c r="Z1294" s="58" t="str">
        <f>IF(OR($M1294="",NOT($O1294="{array}")),"",IFERROR(MATCH(PARAMETERS!$M1294,DEFAULT!$B$5:$CI$5,0),""))</f>
        <v/>
      </c>
      <c r="AA1294" s="55" t="str">
        <f t="shared" si="98"/>
        <v/>
      </c>
      <c r="AB1294" s="62" t="str">
        <f>IF(AND(OR($A1294="G",$A1294="P"),NOT($O1294="{array}")),IF(VLOOKUP($K1294,base!$B$2:$D$20,3,0)="S",IF(OR($O1294="",ISTEXT($O1294)),"","STRING!"),IF(VLOOKUP($K1294,base!$B$2:$D$20,3,0)="","",IF(ISTEXT($O1294),"NUMERIC!",""))),"")</f>
        <v/>
      </c>
      <c r="AC1294" s="16" t="str">
        <f>IF($AA1294="","",IF($B1294="I",VLOOKUP($AA1294,#REF!,53,0),INDEX(VALUES!$B$1:$GP$1,1,$AA1294)))</f>
        <v/>
      </c>
    </row>
    <row r="1295" spans="1:29" hidden="1" outlineLevel="1">
      <c r="A1295" s="21"/>
      <c r="B1295" s="40" t="str">
        <f t="shared" si="97"/>
        <v/>
      </c>
      <c r="C1295" s="41">
        <f t="shared" si="95"/>
        <v>1294</v>
      </c>
      <c r="D1295" s="260"/>
      <c r="E1295" s="37"/>
      <c r="F1295" s="305" t="s">
        <v>9</v>
      </c>
      <c r="G1295" s="188" t="s">
        <v>9</v>
      </c>
      <c r="H1295" s="37"/>
      <c r="I1295" s="37" t="s">
        <v>9</v>
      </c>
      <c r="J1295" s="37"/>
      <c r="K1295" s="13" t="s">
        <v>46</v>
      </c>
      <c r="L1295" s="13" t="s">
        <v>29</v>
      </c>
      <c r="M1295" s="19" t="s">
        <v>2634</v>
      </c>
      <c r="N1295" s="13" t="s">
        <v>2633</v>
      </c>
      <c r="O1295" s="42">
        <v>1</v>
      </c>
      <c r="R1295" s="37" t="s">
        <v>106</v>
      </c>
      <c r="S1295" s="37"/>
      <c r="T1295" s="37"/>
      <c r="W1295" s="14" t="str">
        <f>IF(IFERROR(VLOOKUP($M1295,'IMPORT GS-Tür OL FL 2S2 20'!$H$2:$H$847,1,0),"-")="-","","GS")</f>
        <v>GS</v>
      </c>
      <c r="X1295" s="14" t="str">
        <f t="shared" si="99"/>
        <v/>
      </c>
      <c r="Z1295" s="58" t="str">
        <f>IF(OR($M1295="",NOT($O1295="{array}")),"",IFERROR(MATCH(PARAMETERS!$M1295,DEFAULT!$B$5:$CI$5,0),""))</f>
        <v/>
      </c>
      <c r="AA1295" s="55" t="str">
        <f t="shared" si="98"/>
        <v/>
      </c>
      <c r="AB1295" s="62" t="str">
        <f>IF(AND(OR($A1295="G",$A1295="P"),NOT($O1295="{array}")),IF(VLOOKUP($K1295,base!$B$2:$D$20,3,0)="S",IF(OR($O1295="",ISTEXT($O1295)),"","STRING!"),IF(VLOOKUP($K1295,base!$B$2:$D$20,3,0)="","",IF(ISTEXT($O1295),"NUMERIC!",""))),"")</f>
        <v/>
      </c>
      <c r="AC1295" s="16" t="str">
        <f>IF($AA1295="","",IF($B1295="I",VLOOKUP($AA1295,#REF!,53,0),INDEX(VALUES!$B$1:$GP$1,1,$AA1295)))</f>
        <v/>
      </c>
    </row>
    <row r="1296" spans="1:29" hidden="1" outlineLevel="1">
      <c r="A1296" s="21"/>
      <c r="B1296" s="40" t="str">
        <f t="shared" si="97"/>
        <v/>
      </c>
      <c r="C1296" s="41">
        <f t="shared" si="95"/>
        <v>1295</v>
      </c>
      <c r="D1296" s="260"/>
      <c r="E1296" s="37"/>
      <c r="F1296" s="305" t="s">
        <v>9</v>
      </c>
      <c r="G1296" s="188"/>
      <c r="H1296" s="37" t="s">
        <v>9</v>
      </c>
      <c r="I1296" s="37" t="s">
        <v>9</v>
      </c>
      <c r="J1296" s="37"/>
      <c r="K1296" s="13" t="s">
        <v>49</v>
      </c>
      <c r="L1296" s="13" t="s">
        <v>29</v>
      </c>
      <c r="M1296" s="19" t="s">
        <v>2635</v>
      </c>
      <c r="N1296" s="13" t="s">
        <v>2636</v>
      </c>
      <c r="O1296" s="42">
        <v>1</v>
      </c>
      <c r="R1296" s="37" t="s">
        <v>106</v>
      </c>
      <c r="S1296" s="37"/>
      <c r="T1296" s="37"/>
      <c r="W1296" s="14" t="str">
        <f>IF(IFERROR(VLOOKUP($M1296,'IMPORT GS-Tür OL FL 2S2 20'!$H$2:$H$847,1,0),"-")="-","","GS")</f>
        <v>GS</v>
      </c>
      <c r="X1296" s="14" t="str">
        <f t="shared" si="99"/>
        <v/>
      </c>
      <c r="Z1296" s="58" t="str">
        <f>IF(OR($M1296="",NOT($O1296="{array}")),"",IFERROR(MATCH(PARAMETERS!$M1296,DEFAULT!$B$5:$CI$5,0),""))</f>
        <v/>
      </c>
      <c r="AA1296" s="55" t="str">
        <f t="shared" si="98"/>
        <v/>
      </c>
      <c r="AB1296" s="62" t="str">
        <f>IF(AND(OR($A1296="G",$A1296="P"),NOT($O1296="{array}")),IF(VLOOKUP($K1296,base!$B$2:$D$20,3,0)="S",IF(OR($O1296="",ISTEXT($O1296)),"","STRING!"),IF(VLOOKUP($K1296,base!$B$2:$D$20,3,0)="","",IF(ISTEXT($O1296),"NUMERIC!",""))),"")</f>
        <v/>
      </c>
      <c r="AC1296" s="16" t="str">
        <f>IF($AA1296="","",IF($B1296="I",VLOOKUP($AA1296,#REF!,53,0),INDEX(VALUES!$B$1:$GP$1,1,$AA1296)))</f>
        <v/>
      </c>
    </row>
    <row r="1297" spans="1:29" hidden="1" outlineLevel="1">
      <c r="A1297" s="21"/>
      <c r="B1297" s="40" t="str">
        <f t="shared" si="97"/>
        <v/>
      </c>
      <c r="C1297" s="41">
        <f t="shared" si="95"/>
        <v>1296</v>
      </c>
      <c r="D1297" s="260"/>
      <c r="E1297" s="37"/>
      <c r="F1297" s="305" t="s">
        <v>9</v>
      </c>
      <c r="G1297" s="188"/>
      <c r="H1297" s="37"/>
      <c r="I1297" s="37" t="s">
        <v>9</v>
      </c>
      <c r="J1297" s="37"/>
      <c r="K1297" s="13" t="s">
        <v>49</v>
      </c>
      <c r="L1297" s="13" t="s">
        <v>29</v>
      </c>
      <c r="M1297" s="19" t="s">
        <v>2637</v>
      </c>
      <c r="N1297" s="13" t="s">
        <v>2638</v>
      </c>
      <c r="O1297" s="42">
        <v>1</v>
      </c>
      <c r="R1297" s="37" t="s">
        <v>106</v>
      </c>
      <c r="S1297" s="37"/>
      <c r="T1297" s="37"/>
      <c r="W1297" s="14" t="str">
        <f>IF(IFERROR(VLOOKUP($M1297,'IMPORT GS-Tür OL FL 2S2 20'!$H$2:$H$847,1,0),"-")="-","","GS")</f>
        <v>GS</v>
      </c>
      <c r="X1297" s="14" t="str">
        <f t="shared" si="99"/>
        <v/>
      </c>
      <c r="Z1297" s="58" t="str">
        <f>IF(OR($M1297="",NOT($O1297="{array}")),"",IFERROR(MATCH(PARAMETERS!$M1297,DEFAULT!$B$5:$CI$5,0),""))</f>
        <v/>
      </c>
      <c r="AA1297" s="55" t="str">
        <f t="shared" si="98"/>
        <v/>
      </c>
      <c r="AB1297" s="62" t="str">
        <f>IF(AND(OR($A1297="G",$A1297="P"),NOT($O1297="{array}")),IF(VLOOKUP($K1297,base!$B$2:$D$20,3,0)="S",IF(OR($O1297="",ISTEXT($O1297)),"","STRING!"),IF(VLOOKUP($K1297,base!$B$2:$D$20,3,0)="","",IF(ISTEXT($O1297),"NUMERIC!",""))),"")</f>
        <v/>
      </c>
      <c r="AC1297" s="16" t="str">
        <f>IF($AA1297="","",IF($B1297="I",VLOOKUP($AA1297,#REF!,53,0),INDEX(VALUES!$B$1:$GP$1,1,$AA1297)))</f>
        <v/>
      </c>
    </row>
    <row r="1298" spans="1:29" hidden="1" outlineLevel="1">
      <c r="A1298" s="21"/>
      <c r="B1298" s="40" t="str">
        <f t="shared" si="97"/>
        <v/>
      </c>
      <c r="C1298" s="41">
        <f t="shared" si="95"/>
        <v>1297</v>
      </c>
      <c r="D1298" s="260"/>
      <c r="E1298" s="37"/>
      <c r="F1298" s="305" t="s">
        <v>9</v>
      </c>
      <c r="G1298" s="188"/>
      <c r="H1298" s="37"/>
      <c r="I1298" s="37" t="s">
        <v>9</v>
      </c>
      <c r="J1298" s="37"/>
      <c r="K1298" s="13" t="s">
        <v>20</v>
      </c>
      <c r="L1298" s="13" t="s">
        <v>29</v>
      </c>
      <c r="M1298" s="19" t="s">
        <v>2639</v>
      </c>
      <c r="N1298" s="13" t="s">
        <v>2640</v>
      </c>
      <c r="O1298" s="42" t="s">
        <v>2641</v>
      </c>
      <c r="R1298" s="37" t="s">
        <v>106</v>
      </c>
      <c r="S1298" s="37"/>
      <c r="T1298" s="37"/>
      <c r="W1298" s="14" t="str">
        <f>IF(IFERROR(VLOOKUP($M1298,'IMPORT GS-Tür OL FL 2S2 20'!$H$2:$H$847,1,0),"-")="-","","GS")</f>
        <v>GS</v>
      </c>
      <c r="X1298" s="14" t="str">
        <f t="shared" si="99"/>
        <v/>
      </c>
      <c r="Z1298" s="58" t="str">
        <f>IF(OR($M1298="",NOT($O1298="{array}")),"",IFERROR(MATCH(PARAMETERS!$M1298,DEFAULT!$B$5:$CI$5,0),""))</f>
        <v/>
      </c>
      <c r="AA1298" s="55" t="str">
        <f t="shared" si="98"/>
        <v/>
      </c>
      <c r="AB1298" s="62" t="str">
        <f>IF(AND(OR($A1298="G",$A1298="P"),NOT($O1298="{array}")),IF(VLOOKUP($K1298,base!$B$2:$D$20,3,0)="S",IF(OR($O1298="",ISTEXT($O1298)),"","STRING!"),IF(VLOOKUP($K1298,base!$B$2:$D$20,3,0)="","",IF(ISTEXT($O1298),"NUMERIC!",""))),"")</f>
        <v/>
      </c>
      <c r="AC1298" s="16" t="str">
        <f>IF($AA1298="","",IF($B1298="I",VLOOKUP($AA1298,#REF!,53,0),INDEX(VALUES!$B$1:$GP$1,1,$AA1298)))</f>
        <v/>
      </c>
    </row>
    <row r="1299" spans="1:29" hidden="1" outlineLevel="1">
      <c r="A1299" s="21"/>
      <c r="B1299" s="40" t="str">
        <f t="shared" si="97"/>
        <v/>
      </c>
      <c r="C1299" s="41">
        <f t="shared" si="95"/>
        <v>1298</v>
      </c>
      <c r="D1299" s="260"/>
      <c r="E1299" s="37"/>
      <c r="F1299" s="305" t="s">
        <v>9</v>
      </c>
      <c r="G1299" s="188" t="s">
        <v>9</v>
      </c>
      <c r="H1299" s="37"/>
      <c r="I1299" s="37" t="s">
        <v>9</v>
      </c>
      <c r="J1299" s="37"/>
      <c r="K1299" s="13" t="s">
        <v>46</v>
      </c>
      <c r="L1299" s="13" t="s">
        <v>29</v>
      </c>
      <c r="M1299" s="19" t="s">
        <v>2642</v>
      </c>
      <c r="N1299" s="13" t="s">
        <v>2640</v>
      </c>
      <c r="O1299" s="42">
        <v>0</v>
      </c>
      <c r="R1299" s="37" t="s">
        <v>106</v>
      </c>
      <c r="S1299" s="37"/>
      <c r="T1299" s="37"/>
      <c r="W1299" s="14" t="str">
        <f>IF(IFERROR(VLOOKUP($M1299,'IMPORT GS-Tür OL FL 2S2 20'!$H$2:$H$847,1,0),"-")="-","","GS")</f>
        <v>GS</v>
      </c>
      <c r="X1299" s="14" t="str">
        <f t="shared" si="99"/>
        <v/>
      </c>
      <c r="Z1299" s="58" t="str">
        <f>IF(OR($M1299="",NOT($O1299="{array}")),"",IFERROR(MATCH(PARAMETERS!$M1299,DEFAULT!$B$5:$CI$5,0),""))</f>
        <v/>
      </c>
      <c r="AA1299" s="55" t="str">
        <f t="shared" si="98"/>
        <v/>
      </c>
      <c r="AB1299" s="62" t="str">
        <f>IF(AND(OR($A1299="G",$A1299="P"),NOT($O1299="{array}")),IF(VLOOKUP($K1299,base!$B$2:$D$20,3,0)="S",IF(OR($O1299="",ISTEXT($O1299)),"","STRING!"),IF(VLOOKUP($K1299,base!$B$2:$D$20,3,0)="","",IF(ISTEXT($O1299),"NUMERIC!",""))),"")</f>
        <v/>
      </c>
      <c r="AC1299" s="16" t="str">
        <f>IF($AA1299="","",IF($B1299="I",VLOOKUP($AA1299,#REF!,53,0),INDEX(VALUES!$B$1:$GP$1,1,$AA1299)))</f>
        <v/>
      </c>
    </row>
    <row r="1300" spans="1:29" hidden="1" outlineLevel="1">
      <c r="A1300" s="21"/>
      <c r="B1300" s="40" t="str">
        <f t="shared" si="97"/>
        <v/>
      </c>
      <c r="C1300" s="41">
        <f t="shared" si="95"/>
        <v>1299</v>
      </c>
      <c r="D1300" s="260"/>
      <c r="E1300" s="37"/>
      <c r="F1300" s="305" t="s">
        <v>9</v>
      </c>
      <c r="G1300" s="188"/>
      <c r="H1300" s="37"/>
      <c r="I1300" s="37" t="s">
        <v>9</v>
      </c>
      <c r="J1300" s="37"/>
      <c r="K1300" s="13" t="s">
        <v>20</v>
      </c>
      <c r="L1300" s="13" t="s">
        <v>29</v>
      </c>
      <c r="M1300" s="19" t="s">
        <v>2643</v>
      </c>
      <c r="N1300" s="13" t="s">
        <v>2644</v>
      </c>
      <c r="O1300" s="42" t="s">
        <v>2645</v>
      </c>
      <c r="R1300" s="37" t="s">
        <v>106</v>
      </c>
      <c r="S1300" s="37"/>
      <c r="T1300" s="37"/>
      <c r="W1300" s="14" t="str">
        <f>IF(IFERROR(VLOOKUP($M1300,'IMPORT GS-Tür OL FL 2S2 20'!$H$2:$H$847,1,0),"-")="-","","GS")</f>
        <v>GS</v>
      </c>
      <c r="X1300" s="14" t="str">
        <f t="shared" si="99"/>
        <v/>
      </c>
      <c r="Z1300" s="58" t="str">
        <f>IF(OR($M1300="",NOT($O1300="{array}")),"",IFERROR(MATCH(PARAMETERS!$M1300,DEFAULT!$B$5:$CI$5,0),""))</f>
        <v/>
      </c>
      <c r="AA1300" s="55" t="str">
        <f t="shared" si="98"/>
        <v/>
      </c>
      <c r="AB1300" s="62" t="str">
        <f>IF(AND(OR($A1300="G",$A1300="P"),NOT($O1300="{array}")),IF(VLOOKUP($K1300,base!$B$2:$D$20,3,0)="S",IF(OR($O1300="",ISTEXT($O1300)),"","STRING!"),IF(VLOOKUP($K1300,base!$B$2:$D$20,3,0)="","",IF(ISTEXT($O1300),"NUMERIC!",""))),"")</f>
        <v/>
      </c>
      <c r="AC1300" s="16" t="str">
        <f>IF($AA1300="","",IF($B1300="I",VLOOKUP($AA1300,#REF!,53,0),INDEX(VALUES!$B$1:$GP$1,1,$AA1300)))</f>
        <v/>
      </c>
    </row>
    <row r="1301" spans="1:29" hidden="1" outlineLevel="1">
      <c r="A1301" s="21"/>
      <c r="B1301" s="40" t="str">
        <f t="shared" si="97"/>
        <v/>
      </c>
      <c r="C1301" s="41">
        <f t="shared" si="95"/>
        <v>1300</v>
      </c>
      <c r="D1301" s="260"/>
      <c r="E1301" s="37"/>
      <c r="F1301" s="305" t="s">
        <v>9</v>
      </c>
      <c r="G1301" s="188" t="s">
        <v>9</v>
      </c>
      <c r="H1301" s="37"/>
      <c r="I1301" s="37" t="s">
        <v>9</v>
      </c>
      <c r="J1301" s="37"/>
      <c r="K1301" s="13" t="s">
        <v>46</v>
      </c>
      <c r="L1301" s="13" t="s">
        <v>29</v>
      </c>
      <c r="M1301" s="19" t="s">
        <v>2646</v>
      </c>
      <c r="N1301" s="13" t="s">
        <v>2644</v>
      </c>
      <c r="O1301" s="42">
        <v>1</v>
      </c>
      <c r="R1301" s="37" t="s">
        <v>106</v>
      </c>
      <c r="S1301" s="37"/>
      <c r="T1301" s="37"/>
      <c r="W1301" s="14" t="str">
        <f>IF(IFERROR(VLOOKUP($M1301,'IMPORT GS-Tür OL FL 2S2 20'!$H$2:$H$847,1,0),"-")="-","","GS")</f>
        <v>GS</v>
      </c>
      <c r="X1301" s="14" t="str">
        <f t="shared" si="99"/>
        <v/>
      </c>
      <c r="Z1301" s="58" t="str">
        <f>IF(OR($M1301="",NOT($O1301="{array}")),"",IFERROR(MATCH(PARAMETERS!$M1301,DEFAULT!$B$5:$CI$5,0),""))</f>
        <v/>
      </c>
      <c r="AA1301" s="55" t="str">
        <f t="shared" si="98"/>
        <v/>
      </c>
      <c r="AB1301" s="62" t="str">
        <f>IF(AND(OR($A1301="G",$A1301="P"),NOT($O1301="{array}")),IF(VLOOKUP($K1301,base!$B$2:$D$20,3,0)="S",IF(OR($O1301="",ISTEXT($O1301)),"","STRING!"),IF(VLOOKUP($K1301,base!$B$2:$D$20,3,0)="","",IF(ISTEXT($O1301),"NUMERIC!",""))),"")</f>
        <v/>
      </c>
      <c r="AC1301" s="16" t="str">
        <f>IF($AA1301="","",IF($B1301="I",VLOOKUP($AA1301,#REF!,53,0),INDEX(VALUES!$B$1:$GP$1,1,$AA1301)))</f>
        <v/>
      </c>
    </row>
    <row r="1302" spans="1:29" hidden="1" outlineLevel="1">
      <c r="A1302" s="21"/>
      <c r="B1302" s="40" t="str">
        <f t="shared" si="97"/>
        <v/>
      </c>
      <c r="C1302" s="41">
        <f t="shared" si="95"/>
        <v>1301</v>
      </c>
      <c r="D1302" s="260"/>
      <c r="E1302" s="37"/>
      <c r="F1302" s="305" t="s">
        <v>9</v>
      </c>
      <c r="G1302" s="188"/>
      <c r="H1302" s="37"/>
      <c r="I1302" s="37" t="s">
        <v>9</v>
      </c>
      <c r="J1302" s="37"/>
      <c r="K1302" s="13" t="s">
        <v>20</v>
      </c>
      <c r="L1302" s="13" t="s">
        <v>29</v>
      </c>
      <c r="M1302" s="19" t="s">
        <v>2647</v>
      </c>
      <c r="N1302" s="13" t="s">
        <v>2648</v>
      </c>
      <c r="O1302" s="42" t="s">
        <v>2645</v>
      </c>
      <c r="R1302" s="37" t="s">
        <v>106</v>
      </c>
      <c r="S1302" s="37"/>
      <c r="T1302" s="37"/>
      <c r="W1302" s="14" t="str">
        <f>IF(IFERROR(VLOOKUP($M1302,'IMPORT GS-Tür OL FL 2S2 20'!$H$2:$H$847,1,0),"-")="-","","GS")</f>
        <v>GS</v>
      </c>
      <c r="X1302" s="14" t="str">
        <f t="shared" si="99"/>
        <v/>
      </c>
      <c r="Z1302" s="58" t="str">
        <f>IF(OR($M1302="",NOT($O1302="{array}")),"",IFERROR(MATCH(PARAMETERS!$M1302,DEFAULT!$B$5:$CI$5,0),""))</f>
        <v/>
      </c>
      <c r="AA1302" s="55" t="str">
        <f t="shared" si="98"/>
        <v/>
      </c>
      <c r="AB1302" s="62" t="str">
        <f>IF(AND(OR($A1302="G",$A1302="P"),NOT($O1302="{array}")),IF(VLOOKUP($K1302,base!$B$2:$D$20,3,0)="S",IF(OR($O1302="",ISTEXT($O1302)),"","STRING!"),IF(VLOOKUP($K1302,base!$B$2:$D$20,3,0)="","",IF(ISTEXT($O1302),"NUMERIC!",""))),"")</f>
        <v/>
      </c>
      <c r="AC1302" s="16" t="str">
        <f>IF($AA1302="","",IF($B1302="I",VLOOKUP($AA1302,#REF!,53,0),INDEX(VALUES!$B$1:$GP$1,1,$AA1302)))</f>
        <v/>
      </c>
    </row>
    <row r="1303" spans="1:29" hidden="1" outlineLevel="1">
      <c r="A1303" s="21"/>
      <c r="B1303" s="40" t="str">
        <f t="shared" si="97"/>
        <v/>
      </c>
      <c r="C1303" s="41">
        <f t="shared" si="95"/>
        <v>1302</v>
      </c>
      <c r="D1303" s="260"/>
      <c r="E1303" s="37"/>
      <c r="F1303" s="305" t="s">
        <v>9</v>
      </c>
      <c r="G1303" s="188" t="s">
        <v>9</v>
      </c>
      <c r="H1303" s="37"/>
      <c r="I1303" s="37" t="s">
        <v>9</v>
      </c>
      <c r="J1303" s="37"/>
      <c r="K1303" s="13" t="s">
        <v>46</v>
      </c>
      <c r="L1303" s="13" t="s">
        <v>29</v>
      </c>
      <c r="M1303" s="19" t="s">
        <v>2649</v>
      </c>
      <c r="N1303" s="13" t="s">
        <v>2650</v>
      </c>
      <c r="O1303" s="42">
        <v>1</v>
      </c>
      <c r="R1303" s="37" t="s">
        <v>106</v>
      </c>
      <c r="S1303" s="37"/>
      <c r="T1303" s="37"/>
      <c r="W1303" s="14" t="str">
        <f>IF(IFERROR(VLOOKUP($M1303,'IMPORT GS-Tür OL FL 2S2 20'!$H$2:$H$847,1,0),"-")="-","","GS")</f>
        <v>GS</v>
      </c>
      <c r="X1303" s="14" t="str">
        <f t="shared" si="99"/>
        <v/>
      </c>
      <c r="Z1303" s="58" t="str">
        <f>IF(OR($M1303="",NOT($O1303="{array}")),"",IFERROR(MATCH(PARAMETERS!$M1303,DEFAULT!$B$5:$CI$5,0),""))</f>
        <v/>
      </c>
      <c r="AA1303" s="55" t="str">
        <f t="shared" si="98"/>
        <v/>
      </c>
      <c r="AB1303" s="62" t="str">
        <f>IF(AND(OR($A1303="G",$A1303="P"),NOT($O1303="{array}")),IF(VLOOKUP($K1303,base!$B$2:$D$20,3,0)="S",IF(OR($O1303="",ISTEXT($O1303)),"","STRING!"),IF(VLOOKUP($K1303,base!$B$2:$D$20,3,0)="","",IF(ISTEXT($O1303),"NUMERIC!",""))),"")</f>
        <v/>
      </c>
      <c r="AC1303" s="16" t="str">
        <f>IF($AA1303="","",IF($B1303="I",VLOOKUP($AA1303,#REF!,53,0),INDEX(VALUES!$B$1:$GP$1,1,$AA1303)))</f>
        <v/>
      </c>
    </row>
    <row r="1304" spans="1:29" hidden="1" outlineLevel="1">
      <c r="A1304" s="21"/>
      <c r="B1304" s="40" t="str">
        <f t="shared" si="97"/>
        <v/>
      </c>
      <c r="C1304" s="41">
        <f t="shared" si="95"/>
        <v>1303</v>
      </c>
      <c r="D1304" s="260"/>
      <c r="E1304" s="37"/>
      <c r="F1304" s="305" t="s">
        <v>9</v>
      </c>
      <c r="G1304" s="188"/>
      <c r="H1304" s="37"/>
      <c r="I1304" s="37" t="s">
        <v>9</v>
      </c>
      <c r="J1304" s="37"/>
      <c r="K1304" s="13" t="s">
        <v>20</v>
      </c>
      <c r="L1304" s="13" t="s">
        <v>29</v>
      </c>
      <c r="M1304" s="19" t="s">
        <v>2651</v>
      </c>
      <c r="N1304" s="13" t="s">
        <v>2652</v>
      </c>
      <c r="O1304" s="42" t="s">
        <v>1157</v>
      </c>
      <c r="R1304" s="37" t="s">
        <v>106</v>
      </c>
      <c r="S1304" s="37"/>
      <c r="T1304" s="37"/>
      <c r="W1304" s="14" t="str">
        <f>IF(IFERROR(VLOOKUP($M1304,'IMPORT GS-Tür OL FL 2S2 20'!$H$2:$H$847,1,0),"-")="-","","GS")</f>
        <v>GS</v>
      </c>
      <c r="X1304" s="14" t="str">
        <f t="shared" si="99"/>
        <v/>
      </c>
      <c r="Z1304" s="58" t="str">
        <f>IF(OR($M1304="",NOT($O1304="{array}")),"",IFERROR(MATCH(PARAMETERS!$M1304,DEFAULT!$B$5:$CI$5,0),""))</f>
        <v/>
      </c>
      <c r="AA1304" s="55" t="str">
        <f t="shared" si="98"/>
        <v/>
      </c>
      <c r="AB1304" s="62" t="str">
        <f>IF(AND(OR($A1304="G",$A1304="P"),NOT($O1304="{array}")),IF(VLOOKUP($K1304,base!$B$2:$D$20,3,0)="S",IF(OR($O1304="",ISTEXT($O1304)),"","STRING!"),IF(VLOOKUP($K1304,base!$B$2:$D$20,3,0)="","",IF(ISTEXT($O1304),"NUMERIC!",""))),"")</f>
        <v/>
      </c>
      <c r="AC1304" s="16" t="str">
        <f>IF($AA1304="","",IF($B1304="I",VLOOKUP($AA1304,#REF!,53,0),INDEX(VALUES!$B$1:$GP$1,1,$AA1304)))</f>
        <v/>
      </c>
    </row>
    <row r="1305" spans="1:29" hidden="1" outlineLevel="1">
      <c r="A1305" s="21"/>
      <c r="B1305" s="40" t="str">
        <f t="shared" si="97"/>
        <v/>
      </c>
      <c r="C1305" s="41">
        <f t="shared" si="95"/>
        <v>1304</v>
      </c>
      <c r="D1305" s="260"/>
      <c r="E1305" s="37"/>
      <c r="F1305" s="305" t="s">
        <v>9</v>
      </c>
      <c r="G1305" s="188" t="s">
        <v>9</v>
      </c>
      <c r="H1305" s="37"/>
      <c r="I1305" s="37" t="s">
        <v>9</v>
      </c>
      <c r="J1305" s="37"/>
      <c r="K1305" s="13" t="s">
        <v>46</v>
      </c>
      <c r="L1305" s="13" t="s">
        <v>29</v>
      </c>
      <c r="M1305" s="19" t="s">
        <v>2653</v>
      </c>
      <c r="N1305" s="13" t="s">
        <v>2652</v>
      </c>
      <c r="O1305" s="42">
        <v>1</v>
      </c>
      <c r="R1305" s="37" t="s">
        <v>106</v>
      </c>
      <c r="S1305" s="37"/>
      <c r="T1305" s="37"/>
      <c r="W1305" s="14" t="str">
        <f>IF(IFERROR(VLOOKUP($M1305,'IMPORT GS-Tür OL FL 2S2 20'!$H$2:$H$847,1,0),"-")="-","","GS")</f>
        <v>GS</v>
      </c>
      <c r="X1305" s="14" t="str">
        <f t="shared" si="99"/>
        <v/>
      </c>
      <c r="Z1305" s="58" t="str">
        <f>IF(OR($M1305="",NOT($O1305="{array}")),"",IFERROR(MATCH(PARAMETERS!$M1305,DEFAULT!$B$5:$CI$5,0),""))</f>
        <v/>
      </c>
      <c r="AA1305" s="55" t="str">
        <f t="shared" si="98"/>
        <v/>
      </c>
      <c r="AB1305" s="62" t="str">
        <f>IF(AND(OR($A1305="G",$A1305="P"),NOT($O1305="{array}")),IF(VLOOKUP($K1305,base!$B$2:$D$20,3,0)="S",IF(OR($O1305="",ISTEXT($O1305)),"","STRING!"),IF(VLOOKUP($K1305,base!$B$2:$D$20,3,0)="","",IF(ISTEXT($O1305),"NUMERIC!",""))),"")</f>
        <v/>
      </c>
      <c r="AC1305" s="16" t="str">
        <f>IF($AA1305="","",IF($B1305="I",VLOOKUP($AA1305,#REF!,53,0),INDEX(VALUES!$B$1:$GP$1,1,$AA1305)))</f>
        <v/>
      </c>
    </row>
    <row r="1306" spans="1:29" hidden="1" outlineLevel="1">
      <c r="A1306" s="21" t="s">
        <v>86</v>
      </c>
      <c r="B1306" s="40" t="str">
        <f t="shared" si="97"/>
        <v>V</v>
      </c>
      <c r="C1306" s="41">
        <f t="shared" si="95"/>
        <v>1305</v>
      </c>
      <c r="D1306" s="260" t="s">
        <v>9</v>
      </c>
      <c r="E1306" s="37"/>
      <c r="F1306" s="305"/>
      <c r="G1306" s="188" t="s">
        <v>9</v>
      </c>
      <c r="H1306" s="37"/>
      <c r="I1306" s="37" t="s">
        <v>9</v>
      </c>
      <c r="J1306" s="37"/>
      <c r="K1306" s="52" t="s">
        <v>46</v>
      </c>
      <c r="L1306" s="52" t="s">
        <v>29</v>
      </c>
      <c r="M1306" s="154" t="s">
        <v>3717</v>
      </c>
      <c r="N1306" s="52" t="s">
        <v>3724</v>
      </c>
      <c r="O1306" s="153">
        <v>0</v>
      </c>
      <c r="P1306" s="52"/>
      <c r="Q1306" s="188"/>
      <c r="R1306" s="188" t="s">
        <v>204</v>
      </c>
      <c r="S1306" s="37"/>
      <c r="T1306" s="37"/>
      <c r="W1306" s="14" t="str">
        <f>IF(IFERROR(VLOOKUP($M1306,'IMPORT GS-Tür OL FL 2S2 20'!$H$2:$H$847,1,0),"-")="-","","GS")</f>
        <v/>
      </c>
      <c r="X1306" s="14" t="str">
        <f t="shared" si="99"/>
        <v>&gt;&lt;</v>
      </c>
      <c r="Z1306" s="58" t="str">
        <f>IF(OR($M1306="",NOT($O1306="{array}")),"",IFERROR(MATCH(PARAMETERS!$M1306,DEFAULT!$B$5:$CI$5,0),""))</f>
        <v/>
      </c>
      <c r="AA1306" s="55">
        <f t="shared" si="98"/>
        <v>181</v>
      </c>
      <c r="AB1306" s="62" t="str">
        <f>IF(AND(OR($A1306="G",$A1306="P"),NOT($O1306="{array}")),IF(VLOOKUP($K1306,base!$B$2:$D$20,3,0)="S",IF(OR($O1306="",ISTEXT($O1306)),"","STRING!"),IF(VLOOKUP($K1306,base!$B$2:$D$20,3,0)="","",IF(ISTEXT($O1306),"NUMERIC!",""))),"")</f>
        <v/>
      </c>
      <c r="AC1306" s="16" t="str">
        <f>IF($AA1306="","",IF($B1306="I",VLOOKUP($AA1306,#REF!,53,0),INDEX(VALUES!$B$1:$GP$1,1,$AA1306)))</f>
        <v>0 | 1 | 2 | 3 | 4</v>
      </c>
    </row>
    <row r="1307" spans="1:29" hidden="1" outlineLevel="1">
      <c r="A1307" s="21" t="s">
        <v>86</v>
      </c>
      <c r="B1307" s="40" t="str">
        <f t="shared" si="97"/>
        <v>V</v>
      </c>
      <c r="C1307" s="41">
        <f t="shared" si="95"/>
        <v>1306</v>
      </c>
      <c r="D1307" s="260" t="s">
        <v>9</v>
      </c>
      <c r="E1307" s="37"/>
      <c r="F1307" s="305"/>
      <c r="G1307" s="188" t="s">
        <v>9</v>
      </c>
      <c r="H1307" s="37"/>
      <c r="I1307" s="37" t="s">
        <v>9</v>
      </c>
      <c r="J1307" s="37"/>
      <c r="K1307" s="52" t="s">
        <v>46</v>
      </c>
      <c r="L1307" s="52" t="s">
        <v>29</v>
      </c>
      <c r="M1307" s="154" t="s">
        <v>3722</v>
      </c>
      <c r="N1307" s="52" t="s">
        <v>3723</v>
      </c>
      <c r="O1307" s="153">
        <v>0</v>
      </c>
      <c r="P1307" s="52"/>
      <c r="Q1307" s="188"/>
      <c r="R1307" s="188" t="s">
        <v>204</v>
      </c>
      <c r="S1307" s="37"/>
      <c r="T1307" s="37"/>
      <c r="W1307" s="14" t="str">
        <f>IF(IFERROR(VLOOKUP($M1307,'IMPORT GS-Tür OL FL 2S2 20'!$H$2:$H$847,1,0),"-")="-","","GS")</f>
        <v/>
      </c>
      <c r="X1307" s="14" t="str">
        <f t="shared" si="99"/>
        <v>&gt;&lt;</v>
      </c>
      <c r="Z1307" s="58" t="str">
        <f>IF(OR($M1307="",NOT($O1307="{array}")),"",IFERROR(MATCH(PARAMETERS!$M1307,DEFAULT!$B$5:$CI$5,0),""))</f>
        <v/>
      </c>
      <c r="AA1307" s="55">
        <f t="shared" si="98"/>
        <v>183</v>
      </c>
      <c r="AB1307" s="62" t="str">
        <f>IF(AND(OR($A1307="G",$A1307="P"),NOT($O1307="{array}")),IF(VLOOKUP($K1307,base!$B$2:$D$20,3,0)="S",IF(OR($O1307="",ISTEXT($O1307)),"","STRING!"),IF(VLOOKUP($K1307,base!$B$2:$D$20,3,0)="","",IF(ISTEXT($O1307),"NUMERIC!",""))),"")</f>
        <v/>
      </c>
      <c r="AC1307" s="16" t="str">
        <f>IF($AA1307="","",IF($B1307="I",VLOOKUP($AA1307,#REF!,53,0),INDEX(VALUES!$B$1:$GP$1,1,$AA1307)))</f>
        <v>0 | 1 | 2 | 3 | 4</v>
      </c>
    </row>
    <row r="1308" spans="1:29" collapsed="1">
      <c r="A1308" s="21" t="s">
        <v>86</v>
      </c>
      <c r="B1308" s="40" t="str">
        <f t="shared" si="97"/>
        <v/>
      </c>
      <c r="C1308" s="41">
        <f t="shared" si="95"/>
        <v>1307</v>
      </c>
      <c r="D1308" s="260"/>
      <c r="E1308" s="37"/>
      <c r="F1308" s="305" t="s">
        <v>9</v>
      </c>
      <c r="G1308" s="188" t="s">
        <v>9</v>
      </c>
      <c r="H1308" s="37"/>
      <c r="I1308" s="37"/>
      <c r="J1308" s="37"/>
      <c r="K1308" s="13" t="s">
        <v>59</v>
      </c>
      <c r="L1308" s="13" t="s">
        <v>40</v>
      </c>
      <c r="M1308" s="47" t="s">
        <v>2654</v>
      </c>
      <c r="N1308" s="40" t="s">
        <v>2655</v>
      </c>
      <c r="R1308" s="37" t="s">
        <v>106</v>
      </c>
      <c r="S1308" s="37"/>
      <c r="T1308" s="37"/>
      <c r="W1308" s="14" t="str">
        <f>IF(IFERROR(VLOOKUP($M1308,'IMPORT GS-Tür OL FL 2S2 20'!$H$2:$H$847,1,0),"-")="-","","GS")</f>
        <v>GS</v>
      </c>
      <c r="X1308" s="14" t="str">
        <f t="shared" si="99"/>
        <v>...</v>
      </c>
      <c r="Z1308" s="58" t="str">
        <f>IF(OR($M1308="",NOT($O1308="{array}")),"",IFERROR(MATCH(PARAMETERS!$M1308,DEFAULT!$B$5:$CI$5,0),""))</f>
        <v/>
      </c>
      <c r="AA1308" s="55" t="str">
        <f t="shared" si="98"/>
        <v/>
      </c>
      <c r="AB1308" s="62" t="str">
        <f>IF(AND(OR($A1308="G",$A1308="P"),NOT($O1308="{array}")),IF(VLOOKUP($K1308,base!$B$2:$D$20,3,0)="S",IF(OR($O1308="",ISTEXT($O1308)),"","STRING!"),IF(VLOOKUP($K1308,base!$B$2:$D$20,3,0)="","",IF(ISTEXT($O1308),"NUMERIC!",""))),"")</f>
        <v/>
      </c>
      <c r="AC1308" s="16" t="str">
        <f>IF($AA1308="","",IF($B1308="I",VLOOKUP($AA1308,#REF!,53,0),INDEX(VALUES!$B$1:$GP$1,1,$AA1308)))</f>
        <v/>
      </c>
    </row>
    <row r="1309" spans="1:29" hidden="1" outlineLevel="1">
      <c r="A1309" s="21"/>
      <c r="B1309" s="40" t="str">
        <f t="shared" si="97"/>
        <v/>
      </c>
      <c r="C1309" s="41">
        <f t="shared" si="95"/>
        <v>1308</v>
      </c>
      <c r="D1309" s="260"/>
      <c r="E1309" s="37"/>
      <c r="F1309" s="305" t="s">
        <v>9</v>
      </c>
      <c r="G1309" s="188"/>
      <c r="H1309" s="37"/>
      <c r="I1309" s="37" t="s">
        <v>9</v>
      </c>
      <c r="J1309" s="37"/>
      <c r="K1309" s="13" t="s">
        <v>46</v>
      </c>
      <c r="L1309" s="13" t="s">
        <v>29</v>
      </c>
      <c r="M1309" s="19" t="s">
        <v>2656</v>
      </c>
      <c r="N1309" s="13" t="s">
        <v>2657</v>
      </c>
      <c r="O1309" s="42">
        <v>1</v>
      </c>
      <c r="R1309" s="37" t="s">
        <v>106</v>
      </c>
      <c r="S1309" s="37"/>
      <c r="T1309" s="37"/>
      <c r="W1309" s="14" t="str">
        <f>IF(IFERROR(VLOOKUP($M1309,'IMPORT GS-Tür OL FL 2S2 20'!$H$2:$H$847,1,0),"-")="-","","GS")</f>
        <v>GS</v>
      </c>
      <c r="X1309" s="14" t="str">
        <f t="shared" si="99"/>
        <v/>
      </c>
      <c r="Z1309" s="58" t="str">
        <f>IF(OR($M1309="",NOT($O1309="{array}")),"",IFERROR(MATCH(PARAMETERS!$M1309,DEFAULT!$B$5:$CI$5,0),""))</f>
        <v/>
      </c>
      <c r="AA1309" s="55" t="str">
        <f t="shared" si="98"/>
        <v/>
      </c>
      <c r="AB1309" s="62" t="str">
        <f>IF(AND(OR($A1309="G",$A1309="P"),NOT($O1309="{array}")),IF(VLOOKUP($K1309,base!$B$2:$D$20,3,0)="S",IF(OR($O1309="",ISTEXT($O1309)),"","STRING!"),IF(VLOOKUP($K1309,base!$B$2:$D$20,3,0)="","",IF(ISTEXT($O1309),"NUMERIC!",""))),"")</f>
        <v/>
      </c>
      <c r="AC1309" s="16" t="str">
        <f>IF($AA1309="","",IF($B1309="I",VLOOKUP($AA1309,#REF!,53,0),INDEX(VALUES!$B$1:$GP$1,1,$AA1309)))</f>
        <v/>
      </c>
    </row>
    <row r="1310" spans="1:29" hidden="1" outlineLevel="1">
      <c r="A1310" s="21"/>
      <c r="B1310" s="40" t="str">
        <f t="shared" si="97"/>
        <v/>
      </c>
      <c r="C1310" s="41">
        <f t="shared" si="95"/>
        <v>1309</v>
      </c>
      <c r="D1310" s="260"/>
      <c r="E1310" s="37"/>
      <c r="F1310" s="305" t="s">
        <v>9</v>
      </c>
      <c r="G1310" s="188"/>
      <c r="H1310" s="37"/>
      <c r="I1310" s="37" t="s">
        <v>9</v>
      </c>
      <c r="J1310" s="37"/>
      <c r="K1310" s="13" t="s">
        <v>46</v>
      </c>
      <c r="L1310" s="13" t="s">
        <v>29</v>
      </c>
      <c r="M1310" s="19" t="s">
        <v>2658</v>
      </c>
      <c r="N1310" s="13" t="s">
        <v>2659</v>
      </c>
      <c r="O1310" s="42">
        <v>2</v>
      </c>
      <c r="R1310" s="37" t="s">
        <v>106</v>
      </c>
      <c r="S1310" s="37"/>
      <c r="T1310" s="37"/>
      <c r="W1310" s="14" t="str">
        <f>IF(IFERROR(VLOOKUP($M1310,'IMPORT GS-Tür OL FL 2S2 20'!$H$2:$H$847,1,0),"-")="-","","GS")</f>
        <v>GS</v>
      </c>
      <c r="X1310" s="14" t="str">
        <f t="shared" si="99"/>
        <v/>
      </c>
      <c r="Z1310" s="58" t="str">
        <f>IF(OR($M1310="",NOT($O1310="{array}")),"",IFERROR(MATCH(PARAMETERS!$M1310,DEFAULT!$B$5:$CI$5,0),""))</f>
        <v/>
      </c>
      <c r="AA1310" s="55" t="str">
        <f t="shared" si="98"/>
        <v/>
      </c>
      <c r="AB1310" s="62" t="str">
        <f>IF(AND(OR($A1310="G",$A1310="P"),NOT($O1310="{array}")),IF(VLOOKUP($K1310,base!$B$2:$D$20,3,0)="S",IF(OR($O1310="",ISTEXT($O1310)),"","STRING!"),IF(VLOOKUP($K1310,base!$B$2:$D$20,3,0)="","",IF(ISTEXT($O1310),"NUMERIC!",""))),"")</f>
        <v/>
      </c>
      <c r="AC1310" s="16" t="str">
        <f>IF($AA1310="","",IF($B1310="I",VLOOKUP($AA1310,#REF!,53,0),INDEX(VALUES!$B$1:$GP$1,1,$AA1310)))</f>
        <v/>
      </c>
    </row>
    <row r="1311" spans="1:29" hidden="1" outlineLevel="1">
      <c r="A1311" s="21"/>
      <c r="B1311" s="40" t="str">
        <f t="shared" si="97"/>
        <v/>
      </c>
      <c r="C1311" s="41">
        <f t="shared" si="95"/>
        <v>1310</v>
      </c>
      <c r="D1311" s="260"/>
      <c r="E1311" s="37"/>
      <c r="F1311" s="305" t="s">
        <v>9</v>
      </c>
      <c r="G1311" s="188"/>
      <c r="H1311" s="37"/>
      <c r="I1311" s="37" t="s">
        <v>9</v>
      </c>
      <c r="J1311" s="37"/>
      <c r="K1311" s="13" t="s">
        <v>46</v>
      </c>
      <c r="L1311" s="13" t="s">
        <v>29</v>
      </c>
      <c r="M1311" s="19" t="s">
        <v>2660</v>
      </c>
      <c r="N1311" s="13" t="s">
        <v>2661</v>
      </c>
      <c r="O1311" s="42">
        <v>1</v>
      </c>
      <c r="R1311" s="37" t="s">
        <v>106</v>
      </c>
      <c r="S1311" s="37"/>
      <c r="T1311" s="37"/>
      <c r="W1311" s="14" t="str">
        <f>IF(IFERROR(VLOOKUP($M1311,'IMPORT GS-Tür OL FL 2S2 20'!$H$2:$H$847,1,0),"-")="-","","GS")</f>
        <v>GS</v>
      </c>
      <c r="X1311" s="14" t="str">
        <f t="shared" si="99"/>
        <v/>
      </c>
      <c r="Z1311" s="58" t="str">
        <f>IF(OR($M1311="",NOT($O1311="{array}")),"",IFERROR(MATCH(PARAMETERS!$M1311,DEFAULT!$B$5:$CI$5,0),""))</f>
        <v/>
      </c>
      <c r="AA1311" s="55" t="str">
        <f t="shared" si="98"/>
        <v/>
      </c>
      <c r="AB1311" s="62" t="str">
        <f>IF(AND(OR($A1311="G",$A1311="P"),NOT($O1311="{array}")),IF(VLOOKUP($K1311,base!$B$2:$D$20,3,0)="S",IF(OR($O1311="",ISTEXT($O1311)),"","STRING!"),IF(VLOOKUP($K1311,base!$B$2:$D$20,3,0)="","",IF(ISTEXT($O1311),"NUMERIC!",""))),"")</f>
        <v/>
      </c>
      <c r="AC1311" s="16" t="str">
        <f>IF($AA1311="","",IF($B1311="I",VLOOKUP($AA1311,#REF!,53,0),INDEX(VALUES!$B$1:$GP$1,1,$AA1311)))</f>
        <v/>
      </c>
    </row>
    <row r="1312" spans="1:29" hidden="1" outlineLevel="1">
      <c r="A1312" s="21"/>
      <c r="B1312" s="40" t="str">
        <f t="shared" si="97"/>
        <v/>
      </c>
      <c r="C1312" s="41">
        <f t="shared" si="95"/>
        <v>1311</v>
      </c>
      <c r="D1312" s="260"/>
      <c r="E1312" s="37"/>
      <c r="F1312" s="305" t="s">
        <v>9</v>
      </c>
      <c r="G1312" s="188"/>
      <c r="H1312" s="37"/>
      <c r="I1312" s="37" t="s">
        <v>9</v>
      </c>
      <c r="J1312" s="37"/>
      <c r="K1312" s="13" t="s">
        <v>46</v>
      </c>
      <c r="L1312" s="13" t="s">
        <v>29</v>
      </c>
      <c r="M1312" s="19" t="s">
        <v>2662</v>
      </c>
      <c r="N1312" s="13" t="s">
        <v>2663</v>
      </c>
      <c r="O1312" s="42">
        <v>1</v>
      </c>
      <c r="R1312" s="37" t="s">
        <v>106</v>
      </c>
      <c r="S1312" s="37"/>
      <c r="T1312" s="37"/>
      <c r="W1312" s="14" t="str">
        <f>IF(IFERROR(VLOOKUP($M1312,'IMPORT GS-Tür OL FL 2S2 20'!$H$2:$H$847,1,0),"-")="-","","GS")</f>
        <v>GS</v>
      </c>
      <c r="X1312" s="14" t="str">
        <f t="shared" si="99"/>
        <v/>
      </c>
      <c r="Z1312" s="58" t="str">
        <f>IF(OR($M1312="",NOT($O1312="{array}")),"",IFERROR(MATCH(PARAMETERS!$M1312,DEFAULT!$B$5:$CI$5,0),""))</f>
        <v/>
      </c>
      <c r="AA1312" s="55" t="str">
        <f t="shared" si="98"/>
        <v/>
      </c>
      <c r="AB1312" s="62" t="str">
        <f>IF(AND(OR($A1312="G",$A1312="P"),NOT($O1312="{array}")),IF(VLOOKUP($K1312,base!$B$2:$D$20,3,0)="S",IF(OR($O1312="",ISTEXT($O1312)),"","STRING!"),IF(VLOOKUP($K1312,base!$B$2:$D$20,3,0)="","",IF(ISTEXT($O1312),"NUMERIC!",""))),"")</f>
        <v/>
      </c>
      <c r="AC1312" s="16" t="str">
        <f>IF($AA1312="","",IF($B1312="I",VLOOKUP($AA1312,#REF!,53,0),INDEX(VALUES!$B$1:$GP$1,1,$AA1312)))</f>
        <v/>
      </c>
    </row>
    <row r="1313" spans="1:29" hidden="1" outlineLevel="1">
      <c r="A1313" s="21"/>
      <c r="B1313" s="40" t="str">
        <f t="shared" si="97"/>
        <v/>
      </c>
      <c r="C1313" s="41">
        <f t="shared" si="95"/>
        <v>1312</v>
      </c>
      <c r="D1313" s="260"/>
      <c r="E1313" s="37"/>
      <c r="F1313" s="305" t="s">
        <v>9</v>
      </c>
      <c r="G1313" s="188"/>
      <c r="H1313" s="37" t="s">
        <v>9</v>
      </c>
      <c r="I1313" s="37"/>
      <c r="J1313" s="37"/>
      <c r="K1313" s="13" t="s">
        <v>49</v>
      </c>
      <c r="L1313" s="13" t="s">
        <v>29</v>
      </c>
      <c r="M1313" s="19" t="s">
        <v>2664</v>
      </c>
      <c r="N1313" s="13" t="s">
        <v>2665</v>
      </c>
      <c r="O1313" s="42">
        <v>0</v>
      </c>
      <c r="R1313" s="37" t="s">
        <v>106</v>
      </c>
      <c r="S1313" s="37"/>
      <c r="T1313" s="37"/>
      <c r="W1313" s="14" t="str">
        <f>IF(IFERROR(VLOOKUP($M1313,'IMPORT GS-Tür OL FL 2S2 20'!$H$2:$H$847,1,0),"-")="-","","GS")</f>
        <v>GS</v>
      </c>
      <c r="X1313" s="14" t="str">
        <f t="shared" si="99"/>
        <v/>
      </c>
      <c r="Z1313" s="58" t="str">
        <f>IF(OR($M1313="",NOT($O1313="{array}")),"",IFERROR(MATCH(PARAMETERS!$M1313,DEFAULT!$B$5:$CI$5,0),""))</f>
        <v/>
      </c>
      <c r="AA1313" s="55" t="str">
        <f t="shared" si="98"/>
        <v/>
      </c>
      <c r="AB1313" s="62" t="str">
        <f>IF(AND(OR($A1313="G",$A1313="P"),NOT($O1313="{array}")),IF(VLOOKUP($K1313,base!$B$2:$D$20,3,0)="S",IF(OR($O1313="",ISTEXT($O1313)),"","STRING!"),IF(VLOOKUP($K1313,base!$B$2:$D$20,3,0)="","",IF(ISTEXT($O1313),"NUMERIC!",""))),"")</f>
        <v/>
      </c>
      <c r="AC1313" s="16" t="str">
        <f>IF($AA1313="","",IF($B1313="I",VLOOKUP($AA1313,#REF!,53,0),INDEX(VALUES!$B$1:$GP$1,1,$AA1313)))</f>
        <v/>
      </c>
    </row>
    <row r="1314" spans="1:29" hidden="1" outlineLevel="1">
      <c r="A1314" s="21"/>
      <c r="B1314" s="40" t="str">
        <f t="shared" si="97"/>
        <v/>
      </c>
      <c r="C1314" s="41">
        <f t="shared" si="95"/>
        <v>1313</v>
      </c>
      <c r="D1314" s="260"/>
      <c r="E1314" s="37"/>
      <c r="F1314" s="305" t="s">
        <v>9</v>
      </c>
      <c r="G1314" s="188"/>
      <c r="H1314" s="37"/>
      <c r="I1314" s="37" t="s">
        <v>9</v>
      </c>
      <c r="J1314" s="37"/>
      <c r="K1314" s="13" t="s">
        <v>54</v>
      </c>
      <c r="L1314" s="13" t="s">
        <v>29</v>
      </c>
      <c r="M1314" s="19" t="s">
        <v>2666</v>
      </c>
      <c r="N1314" s="13" t="s">
        <v>2016</v>
      </c>
      <c r="O1314" s="42">
        <v>65</v>
      </c>
      <c r="R1314" s="37" t="s">
        <v>106</v>
      </c>
      <c r="S1314" s="37"/>
      <c r="T1314" s="37"/>
      <c r="W1314" s="14" t="str">
        <f>IF(IFERROR(VLOOKUP($M1314,'IMPORT GS-Tür OL FL 2S2 20'!$H$2:$H$847,1,0),"-")="-","","GS")</f>
        <v>GS</v>
      </c>
      <c r="X1314" s="14" t="str">
        <f t="shared" si="99"/>
        <v/>
      </c>
      <c r="Z1314" s="58" t="str">
        <f>IF(OR($M1314="",NOT($O1314="{array}")),"",IFERROR(MATCH(PARAMETERS!$M1314,DEFAULT!$B$5:$CI$5,0),""))</f>
        <v/>
      </c>
      <c r="AA1314" s="55" t="str">
        <f t="shared" si="98"/>
        <v/>
      </c>
      <c r="AB1314" s="62" t="str">
        <f>IF(AND(OR($A1314="G",$A1314="P"),NOT($O1314="{array}")),IF(VLOOKUP($K1314,base!$B$2:$D$20,3,0)="S",IF(OR($O1314="",ISTEXT($O1314)),"","STRING!"),IF(VLOOKUP($K1314,base!$B$2:$D$20,3,0)="","",IF(ISTEXT($O1314),"NUMERIC!",""))),"")</f>
        <v/>
      </c>
      <c r="AC1314" s="16" t="str">
        <f>IF($AA1314="","",IF($B1314="I",VLOOKUP($AA1314,#REF!,53,0),INDEX(VALUES!$B$1:$GP$1,1,$AA1314)))</f>
        <v/>
      </c>
    </row>
    <row r="1315" spans="1:29" hidden="1" outlineLevel="1">
      <c r="A1315" s="21"/>
      <c r="B1315" s="40" t="str">
        <f t="shared" si="97"/>
        <v/>
      </c>
      <c r="C1315" s="41">
        <f t="shared" si="95"/>
        <v>1314</v>
      </c>
      <c r="D1315" s="260"/>
      <c r="E1315" s="37"/>
      <c r="F1315" s="305" t="s">
        <v>9</v>
      </c>
      <c r="G1315" s="188"/>
      <c r="H1315" s="37"/>
      <c r="I1315" s="37" t="s">
        <v>9</v>
      </c>
      <c r="J1315" s="37"/>
      <c r="K1315" s="13" t="s">
        <v>55</v>
      </c>
      <c r="L1315" s="13" t="s">
        <v>29</v>
      </c>
      <c r="M1315" s="19" t="s">
        <v>2667</v>
      </c>
      <c r="N1315" s="13" t="s">
        <v>2018</v>
      </c>
      <c r="O1315" s="42">
        <v>1</v>
      </c>
      <c r="R1315" s="37" t="s">
        <v>106</v>
      </c>
      <c r="S1315" s="37"/>
      <c r="T1315" s="37"/>
      <c r="W1315" s="14" t="str">
        <f>IF(IFERROR(VLOOKUP($M1315,'IMPORT GS-Tür OL FL 2S2 20'!$H$2:$H$847,1,0),"-")="-","","GS")</f>
        <v>GS</v>
      </c>
      <c r="X1315" s="14" t="str">
        <f t="shared" si="99"/>
        <v/>
      </c>
      <c r="Z1315" s="58" t="str">
        <f>IF(OR($M1315="",NOT($O1315="{array}")),"",IFERROR(MATCH(PARAMETERS!$M1315,DEFAULT!$B$5:$CI$5,0),""))</f>
        <v/>
      </c>
      <c r="AA1315" s="55" t="str">
        <f t="shared" si="98"/>
        <v/>
      </c>
      <c r="AB1315" s="62" t="str">
        <f>IF(AND(OR($A1315="G",$A1315="P"),NOT($O1315="{array}")),IF(VLOOKUP($K1315,base!$B$2:$D$20,3,0)="S",IF(OR($O1315="",ISTEXT($O1315)),"","STRING!"),IF(VLOOKUP($K1315,base!$B$2:$D$20,3,0)="","",IF(ISTEXT($O1315),"NUMERIC!",""))),"")</f>
        <v/>
      </c>
      <c r="AC1315" s="16" t="str">
        <f>IF($AA1315="","",IF($B1315="I",VLOOKUP($AA1315,#REF!,53,0),INDEX(VALUES!$B$1:$GP$1,1,$AA1315)))</f>
        <v/>
      </c>
    </row>
    <row r="1316" spans="1:29" hidden="1" outlineLevel="1">
      <c r="A1316" s="21"/>
      <c r="B1316" s="40" t="str">
        <f t="shared" si="97"/>
        <v/>
      </c>
      <c r="C1316" s="41">
        <f t="shared" si="95"/>
        <v>1315</v>
      </c>
      <c r="D1316" s="260"/>
      <c r="E1316" s="37"/>
      <c r="F1316" s="305" t="s">
        <v>9</v>
      </c>
      <c r="G1316" s="188"/>
      <c r="H1316" s="37"/>
      <c r="I1316" s="37" t="s">
        <v>9</v>
      </c>
      <c r="J1316" s="37"/>
      <c r="K1316" s="13" t="s">
        <v>55</v>
      </c>
      <c r="L1316" s="13" t="s">
        <v>29</v>
      </c>
      <c r="M1316" s="19" t="s">
        <v>2668</v>
      </c>
      <c r="N1316" s="13" t="s">
        <v>1869</v>
      </c>
      <c r="O1316" s="42">
        <v>91</v>
      </c>
      <c r="R1316" s="37" t="s">
        <v>106</v>
      </c>
      <c r="S1316" s="37"/>
      <c r="T1316" s="37"/>
      <c r="W1316" s="14" t="str">
        <f>IF(IFERROR(VLOOKUP($M1316,'IMPORT GS-Tür OL FL 2S2 20'!$H$2:$H$847,1,0),"-")="-","","GS")</f>
        <v>GS</v>
      </c>
      <c r="X1316" s="14" t="str">
        <f t="shared" si="99"/>
        <v/>
      </c>
      <c r="Z1316" s="58" t="str">
        <f>IF(OR($M1316="",NOT($O1316="{array}")),"",IFERROR(MATCH(PARAMETERS!$M1316,DEFAULT!$B$5:$CI$5,0),""))</f>
        <v/>
      </c>
      <c r="AA1316" s="55" t="str">
        <f t="shared" si="98"/>
        <v/>
      </c>
      <c r="AB1316" s="62" t="str">
        <f>IF(AND(OR($A1316="G",$A1316="P"),NOT($O1316="{array}")),IF(VLOOKUP($K1316,base!$B$2:$D$20,3,0)="S",IF(OR($O1316="",ISTEXT($O1316)),"","STRING!"),IF(VLOOKUP($K1316,base!$B$2:$D$20,3,0)="","",IF(ISTEXT($O1316),"NUMERIC!",""))),"")</f>
        <v/>
      </c>
      <c r="AC1316" s="16" t="str">
        <f>IF($AA1316="","",IF($B1316="I",VLOOKUP($AA1316,#REF!,53,0),INDEX(VALUES!$B$1:$GP$1,1,$AA1316)))</f>
        <v/>
      </c>
    </row>
    <row r="1317" spans="1:29" hidden="1" outlineLevel="1">
      <c r="A1317" s="21"/>
      <c r="B1317" s="40" t="str">
        <f t="shared" si="97"/>
        <v/>
      </c>
      <c r="C1317" s="41">
        <f t="shared" si="95"/>
        <v>1316</v>
      </c>
      <c r="D1317" s="260"/>
      <c r="E1317" s="37"/>
      <c r="F1317" s="305" t="s">
        <v>9</v>
      </c>
      <c r="G1317" s="188"/>
      <c r="H1317" s="37" t="s">
        <v>9</v>
      </c>
      <c r="I1317" s="37"/>
      <c r="J1317" s="37"/>
      <c r="K1317" s="13" t="s">
        <v>49</v>
      </c>
      <c r="L1317" s="13" t="s">
        <v>29</v>
      </c>
      <c r="M1317" s="19" t="s">
        <v>2669</v>
      </c>
      <c r="N1317" s="13" t="s">
        <v>2670</v>
      </c>
      <c r="O1317" s="42">
        <v>0</v>
      </c>
      <c r="R1317" s="37" t="s">
        <v>106</v>
      </c>
      <c r="S1317" s="37"/>
      <c r="T1317" s="37"/>
      <c r="W1317" s="14" t="str">
        <f>IF(IFERROR(VLOOKUP($M1317,'IMPORT GS-Tür OL FL 2S2 20'!$H$2:$H$847,1,0),"-")="-","","GS")</f>
        <v>GS</v>
      </c>
      <c r="X1317" s="14" t="str">
        <f t="shared" si="99"/>
        <v/>
      </c>
      <c r="Z1317" s="58" t="str">
        <f>IF(OR($M1317="",NOT($O1317="{array}")),"",IFERROR(MATCH(PARAMETERS!$M1317,DEFAULT!$B$5:$CI$5,0),""))</f>
        <v/>
      </c>
      <c r="AA1317" s="55" t="str">
        <f t="shared" si="98"/>
        <v/>
      </c>
      <c r="AB1317" s="62" t="str">
        <f>IF(AND(OR($A1317="G",$A1317="P"),NOT($O1317="{array}")),IF(VLOOKUP($K1317,base!$B$2:$D$20,3,0)="S",IF(OR($O1317="",ISTEXT($O1317)),"","STRING!"),IF(VLOOKUP($K1317,base!$B$2:$D$20,3,0)="","",IF(ISTEXT($O1317),"NUMERIC!",""))),"")</f>
        <v/>
      </c>
      <c r="AC1317" s="16" t="str">
        <f>IF($AA1317="","",IF($B1317="I",VLOOKUP($AA1317,#REF!,53,0),INDEX(VALUES!$B$1:$GP$1,1,$AA1317)))</f>
        <v/>
      </c>
    </row>
    <row r="1318" spans="1:29" hidden="1" outlineLevel="1">
      <c r="A1318" s="21"/>
      <c r="B1318" s="40" t="str">
        <f t="shared" si="97"/>
        <v/>
      </c>
      <c r="C1318" s="41">
        <f t="shared" si="95"/>
        <v>1317</v>
      </c>
      <c r="D1318" s="260"/>
      <c r="E1318" s="37"/>
      <c r="F1318" s="305" t="s">
        <v>9</v>
      </c>
      <c r="G1318" s="188"/>
      <c r="H1318" s="37"/>
      <c r="I1318" s="37" t="s">
        <v>9</v>
      </c>
      <c r="J1318" s="37"/>
      <c r="K1318" s="13" t="s">
        <v>20</v>
      </c>
      <c r="L1318" s="13" t="s">
        <v>29</v>
      </c>
      <c r="M1318" s="19" t="s">
        <v>2671</v>
      </c>
      <c r="N1318" s="13" t="s">
        <v>2672</v>
      </c>
      <c r="O1318" s="42" t="s">
        <v>2673</v>
      </c>
      <c r="R1318" s="37" t="s">
        <v>106</v>
      </c>
      <c r="S1318" s="37"/>
      <c r="T1318" s="37"/>
      <c r="W1318" s="14" t="str">
        <f>IF(IFERROR(VLOOKUP($M1318,'IMPORT GS-Tür OL FL 2S2 20'!$H$2:$H$847,1,0),"-")="-","","GS")</f>
        <v>GS</v>
      </c>
      <c r="X1318" s="14" t="str">
        <f t="shared" si="99"/>
        <v/>
      </c>
      <c r="Z1318" s="58" t="str">
        <f>IF(OR($M1318="",NOT($O1318="{array}")),"",IFERROR(MATCH(PARAMETERS!$M1318,DEFAULT!$B$5:$CI$5,0),""))</f>
        <v/>
      </c>
      <c r="AA1318" s="55" t="str">
        <f t="shared" si="98"/>
        <v/>
      </c>
      <c r="AB1318" s="62" t="str">
        <f>IF(AND(OR($A1318="G",$A1318="P"),NOT($O1318="{array}")),IF(VLOOKUP($K1318,base!$B$2:$D$20,3,0)="S",IF(OR($O1318="",ISTEXT($O1318)),"","STRING!"),IF(VLOOKUP($K1318,base!$B$2:$D$20,3,0)="","",IF(ISTEXT($O1318),"NUMERIC!",""))),"")</f>
        <v/>
      </c>
      <c r="AC1318" s="16" t="str">
        <f>IF($AA1318="","",IF($B1318="I",VLOOKUP($AA1318,#REF!,53,0),INDEX(VALUES!$B$1:$GP$1,1,$AA1318)))</f>
        <v/>
      </c>
    </row>
    <row r="1319" spans="1:29" hidden="1" outlineLevel="1">
      <c r="A1319" s="21"/>
      <c r="B1319" s="40" t="str">
        <f t="shared" si="97"/>
        <v/>
      </c>
      <c r="C1319" s="41">
        <f t="shared" si="95"/>
        <v>1318</v>
      </c>
      <c r="D1319" s="260"/>
      <c r="E1319" s="37"/>
      <c r="F1319" s="305" t="s">
        <v>9</v>
      </c>
      <c r="G1319" s="188" t="s">
        <v>9</v>
      </c>
      <c r="H1319" s="37"/>
      <c r="I1319" s="37" t="s">
        <v>9</v>
      </c>
      <c r="J1319" s="37"/>
      <c r="K1319" s="13" t="s">
        <v>46</v>
      </c>
      <c r="L1319" s="13" t="s">
        <v>29</v>
      </c>
      <c r="M1319" s="19" t="s">
        <v>2674</v>
      </c>
      <c r="N1319" s="13" t="s">
        <v>2672</v>
      </c>
      <c r="O1319" s="42">
        <v>3</v>
      </c>
      <c r="R1319" s="37" t="s">
        <v>106</v>
      </c>
      <c r="S1319" s="37"/>
      <c r="T1319" s="37"/>
      <c r="W1319" s="14" t="str">
        <f>IF(IFERROR(VLOOKUP($M1319,'IMPORT GS-Tür OL FL 2S2 20'!$H$2:$H$847,1,0),"-")="-","","GS")</f>
        <v>GS</v>
      </c>
      <c r="X1319" s="14" t="str">
        <f t="shared" si="99"/>
        <v/>
      </c>
      <c r="Z1319" s="58" t="str">
        <f>IF(OR($M1319="",NOT($O1319="{array}")),"",IFERROR(MATCH(PARAMETERS!$M1319,DEFAULT!$B$5:$CI$5,0),""))</f>
        <v/>
      </c>
      <c r="AA1319" s="55" t="str">
        <f t="shared" si="98"/>
        <v/>
      </c>
      <c r="AB1319" s="62" t="str">
        <f>IF(AND(OR($A1319="G",$A1319="P"),NOT($O1319="{array}")),IF(VLOOKUP($K1319,base!$B$2:$D$20,3,0)="S",IF(OR($O1319="",ISTEXT($O1319)),"","STRING!"),IF(VLOOKUP($K1319,base!$B$2:$D$20,3,0)="","",IF(ISTEXT($O1319),"NUMERIC!",""))),"")</f>
        <v/>
      </c>
      <c r="AC1319" s="16" t="str">
        <f>IF($AA1319="","",IF($B1319="I",VLOOKUP($AA1319,#REF!,53,0),INDEX(VALUES!$B$1:$GP$1,1,$AA1319)))</f>
        <v/>
      </c>
    </row>
    <row r="1320" spans="1:29" hidden="1" outlineLevel="1">
      <c r="A1320" s="21"/>
      <c r="B1320" s="40" t="str">
        <f t="shared" si="97"/>
        <v/>
      </c>
      <c r="C1320" s="41">
        <f t="shared" si="95"/>
        <v>1319</v>
      </c>
      <c r="D1320" s="260"/>
      <c r="E1320" s="37"/>
      <c r="F1320" s="305" t="s">
        <v>9</v>
      </c>
      <c r="G1320" s="188"/>
      <c r="H1320" s="37"/>
      <c r="I1320" s="37" t="s">
        <v>9</v>
      </c>
      <c r="J1320" s="37"/>
      <c r="K1320" s="13" t="s">
        <v>46</v>
      </c>
      <c r="L1320" s="13" t="s">
        <v>29</v>
      </c>
      <c r="M1320" s="19" t="s">
        <v>2675</v>
      </c>
      <c r="N1320" s="13" t="s">
        <v>2676</v>
      </c>
      <c r="O1320" s="42">
        <v>1</v>
      </c>
      <c r="R1320" s="37" t="s">
        <v>106</v>
      </c>
      <c r="S1320" s="37"/>
      <c r="T1320" s="37"/>
      <c r="W1320" s="14" t="str">
        <f>IF(IFERROR(VLOOKUP($M1320,'IMPORT GS-Tür OL FL 2S2 20'!$H$2:$H$847,1,0),"-")="-","","GS")</f>
        <v>GS</v>
      </c>
      <c r="X1320" s="14" t="str">
        <f t="shared" si="99"/>
        <v/>
      </c>
      <c r="Z1320" s="58" t="str">
        <f>IF(OR($M1320="",NOT($O1320="{array}")),"",IFERROR(MATCH(PARAMETERS!$M1320,DEFAULT!$B$5:$CI$5,0),""))</f>
        <v/>
      </c>
      <c r="AA1320" s="55" t="str">
        <f t="shared" si="98"/>
        <v/>
      </c>
      <c r="AB1320" s="62" t="str">
        <f>IF(AND(OR($A1320="G",$A1320="P"),NOT($O1320="{array}")),IF(VLOOKUP($K1320,base!$B$2:$D$20,3,0)="S",IF(OR($O1320="",ISTEXT($O1320)),"","STRING!"),IF(VLOOKUP($K1320,base!$B$2:$D$20,3,0)="","",IF(ISTEXT($O1320),"NUMERIC!",""))),"")</f>
        <v/>
      </c>
      <c r="AC1320" s="16" t="str">
        <f>IF($AA1320="","",IF($B1320="I",VLOOKUP($AA1320,#REF!,53,0),INDEX(VALUES!$B$1:$GP$1,1,$AA1320)))</f>
        <v/>
      </c>
    </row>
    <row r="1321" spans="1:29" hidden="1" outlineLevel="1">
      <c r="A1321" s="21"/>
      <c r="B1321" s="40" t="str">
        <f t="shared" si="97"/>
        <v/>
      </c>
      <c r="C1321" s="41">
        <f t="shared" si="95"/>
        <v>1320</v>
      </c>
      <c r="D1321" s="260"/>
      <c r="E1321" s="37"/>
      <c r="F1321" s="305" t="s">
        <v>9</v>
      </c>
      <c r="G1321" s="188"/>
      <c r="H1321" s="37"/>
      <c r="I1321" s="37" t="s">
        <v>9</v>
      </c>
      <c r="J1321" s="37"/>
      <c r="K1321" s="13" t="s">
        <v>20</v>
      </c>
      <c r="L1321" s="13" t="s">
        <v>29</v>
      </c>
      <c r="M1321" s="19" t="s">
        <v>2677</v>
      </c>
      <c r="N1321" s="13" t="s">
        <v>2678</v>
      </c>
      <c r="O1321" s="42" t="s">
        <v>2676</v>
      </c>
      <c r="R1321" s="37" t="s">
        <v>106</v>
      </c>
      <c r="S1321" s="37"/>
      <c r="T1321" s="37"/>
      <c r="W1321" s="14" t="str">
        <f>IF(IFERROR(VLOOKUP($M1321,'IMPORT GS-Tür OL FL 2S2 20'!$H$2:$H$847,1,0),"-")="-","","GS")</f>
        <v>GS</v>
      </c>
      <c r="X1321" s="14" t="str">
        <f t="shared" si="99"/>
        <v/>
      </c>
      <c r="Z1321" s="58" t="str">
        <f>IF(OR($M1321="",NOT($O1321="{array}")),"",IFERROR(MATCH(PARAMETERS!$M1321,DEFAULT!$B$5:$CI$5,0),""))</f>
        <v/>
      </c>
      <c r="AA1321" s="55" t="str">
        <f t="shared" si="98"/>
        <v/>
      </c>
      <c r="AB1321" s="62" t="str">
        <f>IF(AND(OR($A1321="G",$A1321="P"),NOT($O1321="{array}")),IF(VLOOKUP($K1321,base!$B$2:$D$20,3,0)="S",IF(OR($O1321="",ISTEXT($O1321)),"","STRING!"),IF(VLOOKUP($K1321,base!$B$2:$D$20,3,0)="","",IF(ISTEXT($O1321),"NUMERIC!",""))),"")</f>
        <v/>
      </c>
      <c r="AC1321" s="16" t="str">
        <f>IF($AA1321="","",IF($B1321="I",VLOOKUP($AA1321,#REF!,53,0),INDEX(VALUES!$B$1:$GP$1,1,$AA1321)))</f>
        <v/>
      </c>
    </row>
    <row r="1322" spans="1:29" hidden="1" outlineLevel="1">
      <c r="A1322" s="21"/>
      <c r="B1322" s="40" t="str">
        <f t="shared" si="97"/>
        <v/>
      </c>
      <c r="C1322" s="41">
        <f t="shared" si="95"/>
        <v>1321</v>
      </c>
      <c r="D1322" s="260"/>
      <c r="E1322" s="37"/>
      <c r="F1322" s="305" t="s">
        <v>9</v>
      </c>
      <c r="G1322" s="188"/>
      <c r="H1322" s="37"/>
      <c r="I1322" s="37" t="s">
        <v>9</v>
      </c>
      <c r="J1322" s="37"/>
      <c r="K1322" s="13" t="s">
        <v>26</v>
      </c>
      <c r="L1322" s="13" t="s">
        <v>29</v>
      </c>
      <c r="M1322" s="19" t="s">
        <v>2679</v>
      </c>
      <c r="N1322" s="13" t="s">
        <v>2680</v>
      </c>
      <c r="O1322" s="42">
        <v>0</v>
      </c>
      <c r="R1322" s="37" t="s">
        <v>106</v>
      </c>
      <c r="S1322" s="37"/>
      <c r="T1322" s="37"/>
      <c r="W1322" s="14" t="str">
        <f>IF(IFERROR(VLOOKUP($M1322,'IMPORT GS-Tür OL FL 2S2 20'!$H$2:$H$847,1,0),"-")="-","","GS")</f>
        <v>GS</v>
      </c>
      <c r="X1322" s="14" t="str">
        <f t="shared" si="99"/>
        <v/>
      </c>
      <c r="Z1322" s="58" t="str">
        <f>IF(OR($M1322="",NOT($O1322="{array}")),"",IFERROR(MATCH(PARAMETERS!$M1322,DEFAULT!$B$5:$CI$5,0),""))</f>
        <v/>
      </c>
      <c r="AA1322" s="55" t="str">
        <f t="shared" si="98"/>
        <v/>
      </c>
      <c r="AB1322" s="62" t="str">
        <f>IF(AND(OR($A1322="G",$A1322="P"),NOT($O1322="{array}")),IF(VLOOKUP($K1322,base!$B$2:$D$20,3,0)="S",IF(OR($O1322="",ISTEXT($O1322)),"","STRING!"),IF(VLOOKUP($K1322,base!$B$2:$D$20,3,0)="","",IF(ISTEXT($O1322),"NUMERIC!",""))),"")</f>
        <v/>
      </c>
      <c r="AC1322" s="16" t="str">
        <f>IF($AA1322="","",IF($B1322="I",VLOOKUP($AA1322,#REF!,53,0),INDEX(VALUES!$B$1:$GP$1,1,$AA1322)))</f>
        <v/>
      </c>
    </row>
    <row r="1323" spans="1:29" hidden="1" outlineLevel="1">
      <c r="A1323" s="21"/>
      <c r="B1323" s="40" t="str">
        <f t="shared" si="97"/>
        <v/>
      </c>
      <c r="C1323" s="41">
        <f t="shared" si="95"/>
        <v>1322</v>
      </c>
      <c r="D1323" s="260"/>
      <c r="E1323" s="37"/>
      <c r="F1323" s="305" t="s">
        <v>9</v>
      </c>
      <c r="G1323" s="188"/>
      <c r="H1323" s="37"/>
      <c r="I1323" s="37" t="s">
        <v>9</v>
      </c>
      <c r="J1323" s="37"/>
      <c r="K1323" s="13" t="s">
        <v>46</v>
      </c>
      <c r="L1323" s="13" t="s">
        <v>29</v>
      </c>
      <c r="M1323" s="19" t="s">
        <v>2681</v>
      </c>
      <c r="N1323" s="13" t="s">
        <v>2682</v>
      </c>
      <c r="O1323" s="42">
        <v>1</v>
      </c>
      <c r="R1323" s="37" t="s">
        <v>106</v>
      </c>
      <c r="S1323" s="37"/>
      <c r="T1323" s="37"/>
      <c r="W1323" s="14" t="str">
        <f>IF(IFERROR(VLOOKUP($M1323,'IMPORT GS-Tür OL FL 2S2 20'!$H$2:$H$847,1,0),"-")="-","","GS")</f>
        <v>GS</v>
      </c>
      <c r="X1323" s="14" t="str">
        <f t="shared" si="99"/>
        <v/>
      </c>
      <c r="Z1323" s="58" t="str">
        <f>IF(OR($M1323="",NOT($O1323="{array}")),"",IFERROR(MATCH(PARAMETERS!$M1323,DEFAULT!$B$5:$CI$5,0),""))</f>
        <v/>
      </c>
      <c r="AA1323" s="55" t="str">
        <f t="shared" si="98"/>
        <v/>
      </c>
      <c r="AB1323" s="62" t="str">
        <f>IF(AND(OR($A1323="G",$A1323="P"),NOT($O1323="{array}")),IF(VLOOKUP($K1323,base!$B$2:$D$20,3,0)="S",IF(OR($O1323="",ISTEXT($O1323)),"","STRING!"),IF(VLOOKUP($K1323,base!$B$2:$D$20,3,0)="","",IF(ISTEXT($O1323),"NUMERIC!",""))),"")</f>
        <v/>
      </c>
      <c r="AC1323" s="16" t="str">
        <f>IF($AA1323="","",IF($B1323="I",VLOOKUP($AA1323,#REF!,53,0),INDEX(VALUES!$B$1:$GP$1,1,$AA1323)))</f>
        <v/>
      </c>
    </row>
    <row r="1324" spans="1:29" hidden="1" outlineLevel="1">
      <c r="A1324" s="21"/>
      <c r="B1324" s="40" t="str">
        <f t="shared" si="97"/>
        <v/>
      </c>
      <c r="C1324" s="41">
        <f t="shared" si="95"/>
        <v>1323</v>
      </c>
      <c r="D1324" s="260"/>
      <c r="E1324" s="37"/>
      <c r="F1324" s="305" t="s">
        <v>9</v>
      </c>
      <c r="G1324" s="188"/>
      <c r="H1324" s="37"/>
      <c r="I1324" s="37" t="s">
        <v>9</v>
      </c>
      <c r="J1324" s="37"/>
      <c r="K1324" s="13" t="s">
        <v>20</v>
      </c>
      <c r="L1324" s="13" t="s">
        <v>29</v>
      </c>
      <c r="M1324" s="19" t="s">
        <v>2683</v>
      </c>
      <c r="N1324" s="13" t="s">
        <v>2684</v>
      </c>
      <c r="O1324" s="42" t="s">
        <v>2682</v>
      </c>
      <c r="R1324" s="37" t="s">
        <v>106</v>
      </c>
      <c r="S1324" s="37"/>
      <c r="T1324" s="37"/>
      <c r="W1324" s="14" t="str">
        <f>IF(IFERROR(VLOOKUP($M1324,'IMPORT GS-Tür OL FL 2S2 20'!$H$2:$H$847,1,0),"-")="-","","GS")</f>
        <v>GS</v>
      </c>
      <c r="X1324" s="14" t="str">
        <f t="shared" si="99"/>
        <v/>
      </c>
      <c r="Z1324" s="58" t="str">
        <f>IF(OR($M1324="",NOT($O1324="{array}")),"",IFERROR(MATCH(PARAMETERS!$M1324,DEFAULT!$B$5:$CI$5,0),""))</f>
        <v/>
      </c>
      <c r="AA1324" s="55" t="str">
        <f t="shared" si="98"/>
        <v/>
      </c>
      <c r="AB1324" s="62" t="str">
        <f>IF(AND(OR($A1324="G",$A1324="P"),NOT($O1324="{array}")),IF(VLOOKUP($K1324,base!$B$2:$D$20,3,0)="S",IF(OR($O1324="",ISTEXT($O1324)),"","STRING!"),IF(VLOOKUP($K1324,base!$B$2:$D$20,3,0)="","",IF(ISTEXT($O1324),"NUMERIC!",""))),"")</f>
        <v/>
      </c>
      <c r="AC1324" s="16" t="str">
        <f>IF($AA1324="","",IF($B1324="I",VLOOKUP($AA1324,#REF!,53,0),INDEX(VALUES!$B$1:$GP$1,1,$AA1324)))</f>
        <v/>
      </c>
    </row>
    <row r="1325" spans="1:29" hidden="1" outlineLevel="1">
      <c r="A1325" s="21"/>
      <c r="B1325" s="40" t="str">
        <f t="shared" si="97"/>
        <v/>
      </c>
      <c r="C1325" s="41">
        <f t="shared" si="95"/>
        <v>1324</v>
      </c>
      <c r="D1325" s="260" t="s">
        <v>9</v>
      </c>
      <c r="E1325" s="37"/>
      <c r="F1325" s="305" t="s">
        <v>9</v>
      </c>
      <c r="G1325" s="188"/>
      <c r="H1325" s="37"/>
      <c r="I1325" s="37" t="s">
        <v>9</v>
      </c>
      <c r="J1325" s="37"/>
      <c r="K1325" s="13" t="s">
        <v>26</v>
      </c>
      <c r="L1325" s="13" t="s">
        <v>29</v>
      </c>
      <c r="M1325" s="19" t="s">
        <v>2685</v>
      </c>
      <c r="N1325" s="13" t="s">
        <v>2686</v>
      </c>
      <c r="O1325" s="42">
        <v>0</v>
      </c>
      <c r="R1325" s="37" t="s">
        <v>106</v>
      </c>
      <c r="S1325" s="37"/>
      <c r="T1325" s="37"/>
      <c r="W1325" s="14" t="str">
        <f>IF(IFERROR(VLOOKUP($M1325,'IMPORT GS-Tür OL FL 2S2 20'!$H$2:$H$847,1,0),"-")="-","","GS")</f>
        <v>GS</v>
      </c>
      <c r="X1325" s="14" t="str">
        <f t="shared" si="99"/>
        <v/>
      </c>
      <c r="Z1325" s="58" t="str">
        <f>IF(OR($M1325="",NOT($O1325="{array}")),"",IFERROR(MATCH(PARAMETERS!$M1325,DEFAULT!$B$5:$CI$5,0),""))</f>
        <v/>
      </c>
      <c r="AA1325" s="55" t="str">
        <f t="shared" si="98"/>
        <v/>
      </c>
      <c r="AB1325" s="62" t="str">
        <f>IF(AND(OR($A1325="G",$A1325="P"),NOT($O1325="{array}")),IF(VLOOKUP($K1325,base!$B$2:$D$20,3,0)="S",IF(OR($O1325="",ISTEXT($O1325)),"","STRING!"),IF(VLOOKUP($K1325,base!$B$2:$D$20,3,0)="","",IF(ISTEXT($O1325),"NUMERIC!",""))),"")</f>
        <v/>
      </c>
      <c r="AC1325" s="16" t="str">
        <f>IF($AA1325="","",IF($B1325="I",VLOOKUP($AA1325,#REF!,53,0),INDEX(VALUES!$B$1:$GP$1,1,$AA1325)))</f>
        <v/>
      </c>
    </row>
    <row r="1326" spans="1:29" hidden="1" outlineLevel="1">
      <c r="A1326" s="21"/>
      <c r="B1326" s="40" t="str">
        <f t="shared" si="97"/>
        <v/>
      </c>
      <c r="C1326" s="41">
        <f t="shared" si="95"/>
        <v>1325</v>
      </c>
      <c r="D1326" s="260"/>
      <c r="E1326" s="37"/>
      <c r="F1326" s="305" t="s">
        <v>9</v>
      </c>
      <c r="G1326" s="188"/>
      <c r="H1326" s="37"/>
      <c r="I1326" s="37" t="s">
        <v>9</v>
      </c>
      <c r="J1326" s="37"/>
      <c r="K1326" s="13" t="s">
        <v>46</v>
      </c>
      <c r="L1326" s="13" t="s">
        <v>29</v>
      </c>
      <c r="M1326" s="19" t="s">
        <v>2687</v>
      </c>
      <c r="N1326" s="13" t="s">
        <v>2688</v>
      </c>
      <c r="O1326" s="42">
        <v>1</v>
      </c>
      <c r="R1326" s="37" t="s">
        <v>106</v>
      </c>
      <c r="S1326" s="37"/>
      <c r="T1326" s="37"/>
      <c r="W1326" s="14" t="str">
        <f>IF(IFERROR(VLOOKUP($M1326,'IMPORT GS-Tür OL FL 2S2 20'!$H$2:$H$847,1,0),"-")="-","","GS")</f>
        <v>GS</v>
      </c>
      <c r="X1326" s="14" t="str">
        <f t="shared" si="99"/>
        <v/>
      </c>
      <c r="Z1326" s="58" t="str">
        <f>IF(OR($M1326="",NOT($O1326="{array}")),"",IFERROR(MATCH(PARAMETERS!$M1326,DEFAULT!$B$5:$CI$5,0),""))</f>
        <v/>
      </c>
      <c r="AA1326" s="55" t="str">
        <f t="shared" si="98"/>
        <v/>
      </c>
      <c r="AB1326" s="62" t="str">
        <f>IF(AND(OR($A1326="G",$A1326="P"),NOT($O1326="{array}")),IF(VLOOKUP($K1326,base!$B$2:$D$20,3,0)="S",IF(OR($O1326="",ISTEXT($O1326)),"","STRING!"),IF(VLOOKUP($K1326,base!$B$2:$D$20,3,0)="","",IF(ISTEXT($O1326),"NUMERIC!",""))),"")</f>
        <v/>
      </c>
      <c r="AC1326" s="16" t="str">
        <f>IF($AA1326="","",IF($B1326="I",VLOOKUP($AA1326,#REF!,53,0),INDEX(VALUES!$B$1:$GP$1,1,$AA1326)))</f>
        <v/>
      </c>
    </row>
    <row r="1327" spans="1:29" hidden="1" outlineLevel="1">
      <c r="A1327" s="21"/>
      <c r="B1327" s="40" t="str">
        <f t="shared" si="97"/>
        <v/>
      </c>
      <c r="C1327" s="41">
        <f t="shared" si="95"/>
        <v>1326</v>
      </c>
      <c r="D1327" s="260"/>
      <c r="E1327" s="37"/>
      <c r="F1327" s="305" t="s">
        <v>9</v>
      </c>
      <c r="G1327" s="188"/>
      <c r="H1327" s="37"/>
      <c r="I1327" s="37" t="s">
        <v>9</v>
      </c>
      <c r="J1327" s="37"/>
      <c r="K1327" s="13" t="s">
        <v>20</v>
      </c>
      <c r="L1327" s="13" t="s">
        <v>29</v>
      </c>
      <c r="M1327" s="19" t="s">
        <v>2689</v>
      </c>
      <c r="N1327" s="13" t="s">
        <v>2690</v>
      </c>
      <c r="O1327" s="42" t="s">
        <v>2688</v>
      </c>
      <c r="R1327" s="37" t="s">
        <v>106</v>
      </c>
      <c r="S1327" s="37"/>
      <c r="T1327" s="37"/>
      <c r="W1327" s="14" t="str">
        <f>IF(IFERROR(VLOOKUP($M1327,'IMPORT GS-Tür OL FL 2S2 20'!$H$2:$H$847,1,0),"-")="-","","GS")</f>
        <v>GS</v>
      </c>
      <c r="X1327" s="14" t="str">
        <f t="shared" si="99"/>
        <v/>
      </c>
      <c r="Z1327" s="58" t="str">
        <f>IF(OR($M1327="",NOT($O1327="{array}")),"",IFERROR(MATCH(PARAMETERS!$M1327,DEFAULT!$B$5:$CI$5,0),""))</f>
        <v/>
      </c>
      <c r="AA1327" s="55" t="str">
        <f t="shared" si="98"/>
        <v/>
      </c>
      <c r="AB1327" s="62" t="str">
        <f>IF(AND(OR($A1327="G",$A1327="P"),NOT($O1327="{array}")),IF(VLOOKUP($K1327,base!$B$2:$D$20,3,0)="S",IF(OR($O1327="",ISTEXT($O1327)),"","STRING!"),IF(VLOOKUP($K1327,base!$B$2:$D$20,3,0)="","",IF(ISTEXT($O1327),"NUMERIC!",""))),"")</f>
        <v/>
      </c>
      <c r="AC1327" s="16" t="str">
        <f>IF($AA1327="","",IF($B1327="I",VLOOKUP($AA1327,#REF!,53,0),INDEX(VALUES!$B$1:$GP$1,1,$AA1327)))</f>
        <v/>
      </c>
    </row>
    <row r="1328" spans="1:29" hidden="1" outlineLevel="1">
      <c r="A1328" s="21"/>
      <c r="B1328" s="40" t="str">
        <f t="shared" si="97"/>
        <v/>
      </c>
      <c r="C1328" s="41">
        <f t="shared" si="95"/>
        <v>1327</v>
      </c>
      <c r="D1328" s="260"/>
      <c r="E1328" s="37"/>
      <c r="F1328" s="305" t="s">
        <v>9</v>
      </c>
      <c r="G1328" s="188"/>
      <c r="H1328" s="37"/>
      <c r="I1328" s="37" t="s">
        <v>9</v>
      </c>
      <c r="J1328" s="37"/>
      <c r="K1328" s="13" t="s">
        <v>26</v>
      </c>
      <c r="L1328" s="13" t="s">
        <v>29</v>
      </c>
      <c r="M1328" s="19" t="s">
        <v>2691</v>
      </c>
      <c r="N1328" s="13" t="s">
        <v>2686</v>
      </c>
      <c r="O1328" s="42">
        <v>0</v>
      </c>
      <c r="R1328" s="37" t="s">
        <v>106</v>
      </c>
      <c r="S1328" s="37"/>
      <c r="T1328" s="37"/>
      <c r="W1328" s="14" t="str">
        <f>IF(IFERROR(VLOOKUP($M1328,'IMPORT GS-Tür OL FL 2S2 20'!$H$2:$H$847,1,0),"-")="-","","GS")</f>
        <v>GS</v>
      </c>
      <c r="X1328" s="14" t="str">
        <f t="shared" si="99"/>
        <v/>
      </c>
      <c r="Z1328" s="58" t="str">
        <f>IF(OR($M1328="",NOT($O1328="{array}")),"",IFERROR(MATCH(PARAMETERS!$M1328,DEFAULT!$B$5:$CI$5,0),""))</f>
        <v/>
      </c>
      <c r="AA1328" s="55" t="str">
        <f t="shared" si="98"/>
        <v/>
      </c>
      <c r="AB1328" s="62" t="str">
        <f>IF(AND(OR($A1328="G",$A1328="P"),NOT($O1328="{array}")),IF(VLOOKUP($K1328,base!$B$2:$D$20,3,0)="S",IF(OR($O1328="",ISTEXT($O1328)),"","STRING!"),IF(VLOOKUP($K1328,base!$B$2:$D$20,3,0)="","",IF(ISTEXT($O1328),"NUMERIC!",""))),"")</f>
        <v/>
      </c>
      <c r="AC1328" s="16" t="str">
        <f>IF($AA1328="","",IF($B1328="I",VLOOKUP($AA1328,#REF!,53,0),INDEX(VALUES!$B$1:$GP$1,1,$AA1328)))</f>
        <v/>
      </c>
    </row>
    <row r="1329" spans="1:29" hidden="1" outlineLevel="1">
      <c r="A1329" s="21"/>
      <c r="B1329" s="40" t="str">
        <f t="shared" ref="B1329:B1402" si="100">IF($A1329="P",IF(NOT($Z1329=""),"A",IF(NOT($AA1329=""),"I","")),IF(NOT($AA1329=""),IF($A1329="G","V","X"),IF(NOT($Z1329=""),"A","")))</f>
        <v/>
      </c>
      <c r="C1329" s="41">
        <f t="shared" si="95"/>
        <v>1328</v>
      </c>
      <c r="D1329" s="260"/>
      <c r="E1329" s="37"/>
      <c r="F1329" s="305" t="s">
        <v>9</v>
      </c>
      <c r="G1329" s="188"/>
      <c r="H1329" s="37"/>
      <c r="I1329" s="37" t="s">
        <v>9</v>
      </c>
      <c r="J1329" s="37"/>
      <c r="K1329" s="13" t="s">
        <v>46</v>
      </c>
      <c r="L1329" s="13" t="s">
        <v>29</v>
      </c>
      <c r="M1329" s="19" t="s">
        <v>2692</v>
      </c>
      <c r="N1329" s="13" t="s">
        <v>486</v>
      </c>
      <c r="O1329" s="42">
        <v>1</v>
      </c>
      <c r="R1329" s="37" t="s">
        <v>106</v>
      </c>
      <c r="S1329" s="37"/>
      <c r="T1329" s="37"/>
      <c r="W1329" s="14" t="str">
        <f>IF(IFERROR(VLOOKUP($M1329,'IMPORT GS-Tür OL FL 2S2 20'!$H$2:$H$847,1,0),"-")="-","","GS")</f>
        <v>GS</v>
      </c>
      <c r="X1329" s="14" t="str">
        <f t="shared" si="99"/>
        <v/>
      </c>
      <c r="Z1329" s="58" t="str">
        <f>IF(OR($M1329="",NOT($O1329="{array}")),"",IFERROR(MATCH(PARAMETERS!$M1329,DEFAULT!$B$5:$CI$5,0),""))</f>
        <v/>
      </c>
      <c r="AA1329" s="55" t="str">
        <f t="shared" si="98"/>
        <v/>
      </c>
      <c r="AB1329" s="62" t="str">
        <f>IF(AND(OR($A1329="G",$A1329="P"),NOT($O1329="{array}")),IF(VLOOKUP($K1329,base!$B$2:$D$20,3,0)="S",IF(OR($O1329="",ISTEXT($O1329)),"","STRING!"),IF(VLOOKUP($K1329,base!$B$2:$D$20,3,0)="","",IF(ISTEXT($O1329),"NUMERIC!",""))),"")</f>
        <v/>
      </c>
      <c r="AC1329" s="16" t="str">
        <f>IF($AA1329="","",IF($B1329="I",VLOOKUP($AA1329,#REF!,53,0),INDEX(VALUES!$B$1:$GP$1,1,$AA1329)))</f>
        <v/>
      </c>
    </row>
    <row r="1330" spans="1:29" hidden="1" outlineLevel="1">
      <c r="A1330" s="21"/>
      <c r="B1330" s="40" t="str">
        <f t="shared" si="100"/>
        <v/>
      </c>
      <c r="C1330" s="41">
        <f t="shared" si="95"/>
        <v>1329</v>
      </c>
      <c r="D1330" s="260"/>
      <c r="E1330" s="37"/>
      <c r="F1330" s="305" t="s">
        <v>9</v>
      </c>
      <c r="G1330" s="188"/>
      <c r="H1330" s="37"/>
      <c r="I1330" s="37" t="s">
        <v>9</v>
      </c>
      <c r="J1330" s="37"/>
      <c r="K1330" s="13" t="s">
        <v>20</v>
      </c>
      <c r="L1330" s="13" t="s">
        <v>29</v>
      </c>
      <c r="M1330" s="19" t="s">
        <v>2693</v>
      </c>
      <c r="N1330" s="13" t="s">
        <v>2694</v>
      </c>
      <c r="O1330" s="42" t="s">
        <v>486</v>
      </c>
      <c r="R1330" s="37" t="s">
        <v>106</v>
      </c>
      <c r="S1330" s="37"/>
      <c r="T1330" s="37"/>
      <c r="W1330" s="14" t="str">
        <f>IF(IFERROR(VLOOKUP($M1330,'IMPORT GS-Tür OL FL 2S2 20'!$H$2:$H$847,1,0),"-")="-","","GS")</f>
        <v>GS</v>
      </c>
      <c r="X1330" s="14" t="str">
        <f t="shared" si="99"/>
        <v/>
      </c>
      <c r="Z1330" s="58" t="str">
        <f>IF(OR($M1330="",NOT($O1330="{array}")),"",IFERROR(MATCH(PARAMETERS!$M1330,DEFAULT!$B$5:$CI$5,0),""))</f>
        <v/>
      </c>
      <c r="AA1330" s="55" t="str">
        <f t="shared" si="98"/>
        <v/>
      </c>
      <c r="AB1330" s="62" t="str">
        <f>IF(AND(OR($A1330="G",$A1330="P"),NOT($O1330="{array}")),IF(VLOOKUP($K1330,base!$B$2:$D$20,3,0)="S",IF(OR($O1330="",ISTEXT($O1330)),"","STRING!"),IF(VLOOKUP($K1330,base!$B$2:$D$20,3,0)="","",IF(ISTEXT($O1330),"NUMERIC!",""))),"")</f>
        <v/>
      </c>
      <c r="AC1330" s="16" t="str">
        <f>IF($AA1330="","",IF($B1330="I",VLOOKUP($AA1330,#REF!,53,0),INDEX(VALUES!$B$1:$GP$1,1,$AA1330)))</f>
        <v/>
      </c>
    </row>
    <row r="1331" spans="1:29" hidden="1" outlineLevel="1">
      <c r="A1331" s="21"/>
      <c r="B1331" s="40" t="str">
        <f t="shared" si="100"/>
        <v/>
      </c>
      <c r="C1331" s="41">
        <f t="shared" si="95"/>
        <v>1330</v>
      </c>
      <c r="D1331" s="260" t="s">
        <v>9</v>
      </c>
      <c r="E1331" s="37"/>
      <c r="F1331" s="305" t="s">
        <v>9</v>
      </c>
      <c r="G1331" s="188"/>
      <c r="H1331" s="37"/>
      <c r="I1331" s="37" t="s">
        <v>9</v>
      </c>
      <c r="J1331" s="37"/>
      <c r="K1331" s="13" t="s">
        <v>26</v>
      </c>
      <c r="L1331" s="13" t="s">
        <v>29</v>
      </c>
      <c r="M1331" s="19" t="s">
        <v>2695</v>
      </c>
      <c r="N1331" s="13" t="s">
        <v>2696</v>
      </c>
      <c r="O1331" s="42">
        <v>0</v>
      </c>
      <c r="R1331" s="37" t="s">
        <v>106</v>
      </c>
      <c r="S1331" s="37"/>
      <c r="T1331" s="37"/>
      <c r="W1331" s="14" t="str">
        <f>IF(IFERROR(VLOOKUP($M1331,'IMPORT GS-Tür OL FL 2S2 20'!$H$2:$H$847,1,0),"-")="-","","GS")</f>
        <v>GS</v>
      </c>
      <c r="X1331" s="14" t="str">
        <f t="shared" si="99"/>
        <v/>
      </c>
      <c r="Z1331" s="58" t="str">
        <f>IF(OR($M1331="",NOT($O1331="{array}")),"",IFERROR(MATCH(PARAMETERS!$M1331,DEFAULT!$B$5:$CI$5,0),""))</f>
        <v/>
      </c>
      <c r="AA1331" s="55" t="str">
        <f t="shared" si="98"/>
        <v/>
      </c>
      <c r="AB1331" s="62" t="str">
        <f>IF(AND(OR($A1331="G",$A1331="P"),NOT($O1331="{array}")),IF(VLOOKUP($K1331,base!$B$2:$D$20,3,0)="S",IF(OR($O1331="",ISTEXT($O1331)),"","STRING!"),IF(VLOOKUP($K1331,base!$B$2:$D$20,3,0)="","",IF(ISTEXT($O1331),"NUMERIC!",""))),"")</f>
        <v/>
      </c>
      <c r="AC1331" s="16" t="str">
        <f>IF($AA1331="","",IF($B1331="I",VLOOKUP($AA1331,#REF!,53,0),INDEX(VALUES!$B$1:$GP$1,1,$AA1331)))</f>
        <v/>
      </c>
    </row>
    <row r="1332" spans="1:29" hidden="1" outlineLevel="1">
      <c r="A1332" s="21"/>
      <c r="B1332" s="40" t="str">
        <f t="shared" si="100"/>
        <v/>
      </c>
      <c r="C1332" s="41">
        <f t="shared" si="95"/>
        <v>1331</v>
      </c>
      <c r="D1332" s="260"/>
      <c r="E1332" s="37"/>
      <c r="F1332" s="305" t="s">
        <v>9</v>
      </c>
      <c r="G1332" s="188"/>
      <c r="H1332" s="37"/>
      <c r="I1332" s="37" t="s">
        <v>9</v>
      </c>
      <c r="J1332" s="37"/>
      <c r="K1332" s="13" t="s">
        <v>20</v>
      </c>
      <c r="L1332" s="13" t="s">
        <v>29</v>
      </c>
      <c r="M1332" s="19" t="s">
        <v>2697</v>
      </c>
      <c r="N1332" s="13" t="s">
        <v>2698</v>
      </c>
      <c r="O1332" s="42" t="s">
        <v>2699</v>
      </c>
      <c r="R1332" s="37" t="s">
        <v>106</v>
      </c>
      <c r="S1332" s="37"/>
      <c r="T1332" s="37"/>
      <c r="W1332" s="14" t="str">
        <f>IF(IFERROR(VLOOKUP($M1332,'IMPORT GS-Tür OL FL 2S2 20'!$H$2:$H$847,1,0),"-")="-","","GS")</f>
        <v>GS</v>
      </c>
      <c r="X1332" s="14" t="str">
        <f t="shared" si="99"/>
        <v/>
      </c>
      <c r="Z1332" s="58" t="str">
        <f>IF(OR($M1332="",NOT($O1332="{array}")),"",IFERROR(MATCH(PARAMETERS!$M1332,DEFAULT!$B$5:$CI$5,0),""))</f>
        <v/>
      </c>
      <c r="AA1332" s="55" t="str">
        <f t="shared" si="98"/>
        <v/>
      </c>
      <c r="AB1332" s="62" t="str">
        <f>IF(AND(OR($A1332="G",$A1332="P"),NOT($O1332="{array}")),IF(VLOOKUP($K1332,base!$B$2:$D$20,3,0)="S",IF(OR($O1332="",ISTEXT($O1332)),"","STRING!"),IF(VLOOKUP($K1332,base!$B$2:$D$20,3,0)="","",IF(ISTEXT($O1332),"NUMERIC!",""))),"")</f>
        <v/>
      </c>
      <c r="AC1332" s="16" t="str">
        <f>IF($AA1332="","",IF($B1332="I",VLOOKUP($AA1332,#REF!,53,0),INDEX(VALUES!$B$1:$GP$1,1,$AA1332)))</f>
        <v/>
      </c>
    </row>
    <row r="1333" spans="1:29" hidden="1" outlineLevel="1">
      <c r="A1333" s="21"/>
      <c r="B1333" s="40" t="str">
        <f t="shared" si="100"/>
        <v/>
      </c>
      <c r="C1333" s="41">
        <f t="shared" si="95"/>
        <v>1332</v>
      </c>
      <c r="D1333" s="260"/>
      <c r="E1333" s="37"/>
      <c r="F1333" s="305" t="s">
        <v>9</v>
      </c>
      <c r="G1333" s="188" t="s">
        <v>9</v>
      </c>
      <c r="H1333" s="37"/>
      <c r="I1333" s="37" t="s">
        <v>9</v>
      </c>
      <c r="J1333" s="37"/>
      <c r="K1333" s="13" t="s">
        <v>46</v>
      </c>
      <c r="L1333" s="13" t="s">
        <v>29</v>
      </c>
      <c r="M1333" s="19" t="s">
        <v>2700</v>
      </c>
      <c r="N1333" s="13" t="s">
        <v>2701</v>
      </c>
      <c r="O1333" s="42">
        <v>2</v>
      </c>
      <c r="R1333" s="37" t="s">
        <v>106</v>
      </c>
      <c r="S1333" s="37"/>
      <c r="T1333" s="37"/>
      <c r="W1333" s="14" t="str">
        <f>IF(IFERROR(VLOOKUP($M1333,'IMPORT GS-Tür OL FL 2S2 20'!$H$2:$H$847,1,0),"-")="-","","GS")</f>
        <v>GS</v>
      </c>
      <c r="X1333" s="14" t="str">
        <f t="shared" si="99"/>
        <v/>
      </c>
      <c r="Z1333" s="58" t="str">
        <f>IF(OR($M1333="",NOT($O1333="{array}")),"",IFERROR(MATCH(PARAMETERS!$M1333,DEFAULT!$B$5:$CI$5,0),""))</f>
        <v/>
      </c>
      <c r="AA1333" s="55" t="str">
        <f t="shared" si="98"/>
        <v/>
      </c>
      <c r="AB1333" s="62" t="str">
        <f>IF(AND(OR($A1333="G",$A1333="P"),NOT($O1333="{array}")),IF(VLOOKUP($K1333,base!$B$2:$D$20,3,0)="S",IF(OR($O1333="",ISTEXT($O1333)),"","STRING!"),IF(VLOOKUP($K1333,base!$B$2:$D$20,3,0)="","",IF(ISTEXT($O1333),"NUMERIC!",""))),"")</f>
        <v/>
      </c>
      <c r="AC1333" s="16" t="str">
        <f>IF($AA1333="","",IF($B1333="I",VLOOKUP($AA1333,#REF!,53,0),INDEX(VALUES!$B$1:$GP$1,1,$AA1333)))</f>
        <v/>
      </c>
    </row>
    <row r="1334" spans="1:29" hidden="1" outlineLevel="1">
      <c r="A1334" s="21"/>
      <c r="B1334" s="40" t="str">
        <f t="shared" si="100"/>
        <v/>
      </c>
      <c r="C1334" s="41">
        <f t="shared" si="95"/>
        <v>1333</v>
      </c>
      <c r="D1334" s="260"/>
      <c r="E1334" s="37"/>
      <c r="F1334" s="305" t="s">
        <v>9</v>
      </c>
      <c r="G1334" s="188"/>
      <c r="H1334" s="37"/>
      <c r="I1334" s="37" t="s">
        <v>9</v>
      </c>
      <c r="J1334" s="37"/>
      <c r="K1334" s="13" t="s">
        <v>20</v>
      </c>
      <c r="L1334" s="13" t="s">
        <v>29</v>
      </c>
      <c r="M1334" s="19" t="s">
        <v>2702</v>
      </c>
      <c r="N1334" s="13" t="s">
        <v>2703</v>
      </c>
      <c r="O1334" s="42" t="s">
        <v>2537</v>
      </c>
      <c r="R1334" s="37" t="s">
        <v>106</v>
      </c>
      <c r="S1334" s="37"/>
      <c r="T1334" s="37"/>
      <c r="W1334" s="14" t="str">
        <f>IF(IFERROR(VLOOKUP($M1334,'IMPORT GS-Tür OL FL 2S2 20'!$H$2:$H$847,1,0),"-")="-","","GS")</f>
        <v>GS</v>
      </c>
      <c r="X1334" s="14" t="str">
        <f t="shared" si="99"/>
        <v/>
      </c>
      <c r="Z1334" s="58" t="str">
        <f>IF(OR($M1334="",NOT($O1334="{array}")),"",IFERROR(MATCH(PARAMETERS!$M1334,DEFAULT!$B$5:$CI$5,0),""))</f>
        <v/>
      </c>
      <c r="AA1334" s="55" t="str">
        <f t="shared" si="98"/>
        <v/>
      </c>
      <c r="AB1334" s="62" t="str">
        <f>IF(AND(OR($A1334="G",$A1334="P"),NOT($O1334="{array}")),IF(VLOOKUP($K1334,base!$B$2:$D$20,3,0)="S",IF(OR($O1334="",ISTEXT($O1334)),"","STRING!"),IF(VLOOKUP($K1334,base!$B$2:$D$20,3,0)="","",IF(ISTEXT($O1334),"NUMERIC!",""))),"")</f>
        <v/>
      </c>
      <c r="AC1334" s="16" t="str">
        <f>IF($AA1334="","",IF($B1334="I",VLOOKUP($AA1334,#REF!,53,0),INDEX(VALUES!$B$1:$GP$1,1,$AA1334)))</f>
        <v/>
      </c>
    </row>
    <row r="1335" spans="1:29" hidden="1" outlineLevel="1">
      <c r="A1335" s="21"/>
      <c r="B1335" s="40" t="str">
        <f t="shared" si="100"/>
        <v/>
      </c>
      <c r="C1335" s="41">
        <f t="shared" si="95"/>
        <v>1334</v>
      </c>
      <c r="D1335" s="260"/>
      <c r="E1335" s="37"/>
      <c r="F1335" s="305" t="s">
        <v>9</v>
      </c>
      <c r="G1335" s="188"/>
      <c r="H1335" s="37"/>
      <c r="I1335" s="37" t="s">
        <v>9</v>
      </c>
      <c r="J1335" s="37"/>
      <c r="K1335" s="13" t="s">
        <v>26</v>
      </c>
      <c r="L1335" s="13" t="s">
        <v>29</v>
      </c>
      <c r="M1335" s="19" t="s">
        <v>2704</v>
      </c>
      <c r="N1335" s="13" t="s">
        <v>2705</v>
      </c>
      <c r="O1335" s="42">
        <v>7.4999999999999997E-2</v>
      </c>
      <c r="R1335" s="37" t="s">
        <v>106</v>
      </c>
      <c r="S1335" s="37"/>
      <c r="T1335" s="37"/>
      <c r="W1335" s="14" t="str">
        <f>IF(IFERROR(VLOOKUP($M1335,'IMPORT GS-Tür OL FL 2S2 20'!$H$2:$H$847,1,0),"-")="-","","GS")</f>
        <v>GS</v>
      </c>
      <c r="X1335" s="14" t="str">
        <f t="shared" si="99"/>
        <v/>
      </c>
      <c r="Z1335" s="58" t="str">
        <f>IF(OR($M1335="",NOT($O1335="{array}")),"",IFERROR(MATCH(PARAMETERS!$M1335,DEFAULT!$B$5:$CI$5,0),""))</f>
        <v/>
      </c>
      <c r="AA1335" s="55" t="str">
        <f t="shared" si="98"/>
        <v/>
      </c>
      <c r="AB1335" s="62" t="str">
        <f>IF(AND(OR($A1335="G",$A1335="P"),NOT($O1335="{array}")),IF(VLOOKUP($K1335,base!$B$2:$D$20,3,0)="S",IF(OR($O1335="",ISTEXT($O1335)),"","STRING!"),IF(VLOOKUP($K1335,base!$B$2:$D$20,3,0)="","",IF(ISTEXT($O1335),"NUMERIC!",""))),"")</f>
        <v/>
      </c>
      <c r="AC1335" s="16" t="str">
        <f>IF($AA1335="","",IF($B1335="I",VLOOKUP($AA1335,#REF!,53,0),INDEX(VALUES!$B$1:$GP$1,1,$AA1335)))</f>
        <v/>
      </c>
    </row>
    <row r="1336" spans="1:29" hidden="1" outlineLevel="1">
      <c r="A1336" s="21"/>
      <c r="B1336" s="40" t="str">
        <f t="shared" si="100"/>
        <v/>
      </c>
      <c r="C1336" s="41">
        <f t="shared" si="95"/>
        <v>1335</v>
      </c>
      <c r="D1336" s="260"/>
      <c r="E1336" s="37"/>
      <c r="F1336" s="305" t="s">
        <v>9</v>
      </c>
      <c r="G1336" s="188"/>
      <c r="H1336" s="37"/>
      <c r="I1336" s="37" t="s">
        <v>9</v>
      </c>
      <c r="J1336" s="37"/>
      <c r="K1336" s="13" t="s">
        <v>38</v>
      </c>
      <c r="L1336" s="13" t="s">
        <v>29</v>
      </c>
      <c r="M1336" s="19" t="s">
        <v>2706</v>
      </c>
      <c r="N1336" s="13" t="s">
        <v>2707</v>
      </c>
      <c r="O1336" s="42">
        <v>1.5</v>
      </c>
      <c r="R1336" s="37" t="s">
        <v>106</v>
      </c>
      <c r="S1336" s="37"/>
      <c r="T1336" s="37"/>
      <c r="W1336" s="14" t="str">
        <f>IF(IFERROR(VLOOKUP($M1336,'IMPORT GS-Tür OL FL 2S2 20'!$H$2:$H$847,1,0),"-")="-","","GS")</f>
        <v>GS</v>
      </c>
      <c r="X1336" s="14" t="str">
        <f t="shared" si="99"/>
        <v/>
      </c>
      <c r="Z1336" s="58" t="str">
        <f>IF(OR($M1336="",NOT($O1336="{array}")),"",IFERROR(MATCH(PARAMETERS!$M1336,DEFAULT!$B$5:$CI$5,0),""))</f>
        <v/>
      </c>
      <c r="AA1336" s="55" t="str">
        <f t="shared" ref="AA1336:AA1371" si="101">IF($M1336="","",IFERROR(MATCH($M1336,VALUESnames,0),""))</f>
        <v/>
      </c>
      <c r="AB1336" s="62" t="str">
        <f>IF(AND(OR($A1336="G",$A1336="P"),NOT($O1336="{array}")),IF(VLOOKUP($K1336,base!$B$2:$D$20,3,0)="S",IF(OR($O1336="",ISTEXT($O1336)),"","STRING!"),IF(VLOOKUP($K1336,base!$B$2:$D$20,3,0)="","",IF(ISTEXT($O1336),"NUMERIC!",""))),"")</f>
        <v/>
      </c>
      <c r="AC1336" s="16" t="str">
        <f>IF($AA1336="","",IF($B1336="I",VLOOKUP($AA1336,#REF!,53,0),INDEX(VALUES!$B$1:$GP$1,1,$AA1336)))</f>
        <v/>
      </c>
    </row>
    <row r="1337" spans="1:29" hidden="1" outlineLevel="1">
      <c r="A1337" s="21"/>
      <c r="B1337" s="40" t="str">
        <f t="shared" si="100"/>
        <v/>
      </c>
      <c r="C1337" s="41">
        <f t="shared" si="95"/>
        <v>1336</v>
      </c>
      <c r="D1337" s="260"/>
      <c r="E1337" s="37"/>
      <c r="F1337" s="305" t="s">
        <v>9</v>
      </c>
      <c r="G1337" s="188"/>
      <c r="H1337" s="37"/>
      <c r="I1337" s="37" t="s">
        <v>9</v>
      </c>
      <c r="J1337" s="37"/>
      <c r="K1337" s="13" t="s">
        <v>55</v>
      </c>
      <c r="L1337" s="13" t="s">
        <v>29</v>
      </c>
      <c r="M1337" s="19" t="s">
        <v>2708</v>
      </c>
      <c r="N1337" s="13" t="s">
        <v>2709</v>
      </c>
      <c r="O1337" s="42">
        <v>1</v>
      </c>
      <c r="R1337" s="37" t="s">
        <v>106</v>
      </c>
      <c r="S1337" s="37"/>
      <c r="T1337" s="37"/>
      <c r="W1337" s="14" t="str">
        <f>IF(IFERROR(VLOOKUP($M1337,'IMPORT GS-Tür OL FL 2S2 20'!$H$2:$H$847,1,0),"-")="-","","GS")</f>
        <v>GS</v>
      </c>
      <c r="X1337" s="14" t="str">
        <f t="shared" si="99"/>
        <v/>
      </c>
      <c r="Z1337" s="58" t="str">
        <f>IF(OR($M1337="",NOT($O1337="{array}")),"",IFERROR(MATCH(PARAMETERS!$M1337,DEFAULT!$B$5:$CI$5,0),""))</f>
        <v/>
      </c>
      <c r="AA1337" s="55" t="str">
        <f t="shared" si="101"/>
        <v/>
      </c>
      <c r="AB1337" s="62" t="str">
        <f>IF(AND(OR($A1337="G",$A1337="P"),NOT($O1337="{array}")),IF(VLOOKUP($K1337,base!$B$2:$D$20,3,0)="S",IF(OR($O1337="",ISTEXT($O1337)),"","STRING!"),IF(VLOOKUP($K1337,base!$B$2:$D$20,3,0)="","",IF(ISTEXT($O1337),"NUMERIC!",""))),"")</f>
        <v/>
      </c>
      <c r="AC1337" s="16" t="str">
        <f>IF($AA1337="","",IF($B1337="I",VLOOKUP($AA1337,#REF!,53,0),INDEX(VALUES!$B$1:$GP$1,1,$AA1337)))</f>
        <v/>
      </c>
    </row>
    <row r="1338" spans="1:29" hidden="1" outlineLevel="1">
      <c r="A1338" s="21"/>
      <c r="B1338" s="40" t="str">
        <f t="shared" si="100"/>
        <v/>
      </c>
      <c r="C1338" s="41">
        <f t="shared" si="95"/>
        <v>1337</v>
      </c>
      <c r="D1338" s="260"/>
      <c r="E1338" s="37"/>
      <c r="F1338" s="305" t="s">
        <v>9</v>
      </c>
      <c r="G1338" s="188"/>
      <c r="H1338" s="37"/>
      <c r="I1338" s="37" t="s">
        <v>9</v>
      </c>
      <c r="J1338" s="37"/>
      <c r="K1338" s="13" t="s">
        <v>26</v>
      </c>
      <c r="L1338" s="13" t="s">
        <v>29</v>
      </c>
      <c r="M1338" s="19" t="s">
        <v>2710</v>
      </c>
      <c r="N1338" s="13" t="s">
        <v>2711</v>
      </c>
      <c r="O1338" s="42">
        <v>0</v>
      </c>
      <c r="R1338" s="37" t="s">
        <v>106</v>
      </c>
      <c r="S1338" s="37"/>
      <c r="T1338" s="37"/>
      <c r="W1338" s="14" t="str">
        <f>IF(IFERROR(VLOOKUP($M1338,'IMPORT GS-Tür OL FL 2S2 20'!$H$2:$H$847,1,0),"-")="-","","GS")</f>
        <v>GS</v>
      </c>
      <c r="X1338" s="14" t="str">
        <f t="shared" si="99"/>
        <v/>
      </c>
      <c r="Z1338" s="58" t="str">
        <f>IF(OR($M1338="",NOT($O1338="{array}")),"",IFERROR(MATCH(PARAMETERS!$M1338,DEFAULT!$B$5:$CI$5,0),""))</f>
        <v/>
      </c>
      <c r="AA1338" s="55" t="str">
        <f t="shared" si="101"/>
        <v/>
      </c>
      <c r="AB1338" s="62" t="str">
        <f>IF(AND(OR($A1338="G",$A1338="P"),NOT($O1338="{array}")),IF(VLOOKUP($K1338,base!$B$2:$D$20,3,0)="S",IF(OR($O1338="",ISTEXT($O1338)),"","STRING!"),IF(VLOOKUP($K1338,base!$B$2:$D$20,3,0)="","",IF(ISTEXT($O1338),"NUMERIC!",""))),"")</f>
        <v/>
      </c>
      <c r="AC1338" s="16" t="str">
        <f>IF($AA1338="","",IF($B1338="I",VLOOKUP($AA1338,#REF!,53,0),INDEX(VALUES!$B$1:$GP$1,1,$AA1338)))</f>
        <v/>
      </c>
    </row>
    <row r="1339" spans="1:29" hidden="1" outlineLevel="1">
      <c r="A1339" s="21"/>
      <c r="B1339" s="40" t="str">
        <f t="shared" si="100"/>
        <v/>
      </c>
      <c r="C1339" s="41">
        <f t="shared" si="95"/>
        <v>1338</v>
      </c>
      <c r="D1339" s="260"/>
      <c r="E1339" s="37"/>
      <c r="F1339" s="305"/>
      <c r="G1339" s="188" t="s">
        <v>9</v>
      </c>
      <c r="H1339" s="37"/>
      <c r="I1339" s="37" t="s">
        <v>9</v>
      </c>
      <c r="J1339" s="37"/>
      <c r="K1339" s="13" t="s">
        <v>38</v>
      </c>
      <c r="L1339" s="13" t="s">
        <v>29</v>
      </c>
      <c r="M1339" s="19" t="s">
        <v>2712</v>
      </c>
      <c r="N1339" s="13" t="s">
        <v>2713</v>
      </c>
      <c r="O1339" s="42">
        <v>0</v>
      </c>
      <c r="R1339" s="37" t="s">
        <v>106</v>
      </c>
      <c r="S1339" s="37"/>
      <c r="T1339" s="37"/>
      <c r="W1339" s="14" t="str">
        <f>IF(IFERROR(VLOOKUP($M1339,'IMPORT GS-Tür OL FL 2S2 20'!$H$2:$H$847,1,0),"-")="-","","GS")</f>
        <v>GS</v>
      </c>
      <c r="X1339" s="14" t="str">
        <f t="shared" si="99"/>
        <v/>
      </c>
      <c r="Z1339" s="58" t="str">
        <f>IF(OR($M1339="",NOT($O1339="{array}")),"",IFERROR(MATCH(PARAMETERS!$M1339,DEFAULT!$B$5:$CI$5,0),""))</f>
        <v/>
      </c>
      <c r="AA1339" s="55" t="str">
        <f t="shared" si="101"/>
        <v/>
      </c>
      <c r="AB1339" s="62" t="str">
        <f>IF(AND(OR($A1339="G",$A1339="P"),NOT($O1339="{array}")),IF(VLOOKUP($K1339,base!$B$2:$D$20,3,0)="S",IF(OR($O1339="",ISTEXT($O1339)),"","STRING!"),IF(VLOOKUP($K1339,base!$B$2:$D$20,3,0)="","",IF(ISTEXT($O1339),"NUMERIC!",""))),"")</f>
        <v/>
      </c>
      <c r="AC1339" s="16" t="str">
        <f>IF($AA1339="","",IF($B1339="I",VLOOKUP($AA1339,#REF!,53,0),INDEX(VALUES!$B$1:$GP$1,1,$AA1339)))</f>
        <v/>
      </c>
    </row>
    <row r="1340" spans="1:29" hidden="1" outlineLevel="1">
      <c r="A1340" s="21"/>
      <c r="B1340" s="40" t="str">
        <f t="shared" si="100"/>
        <v/>
      </c>
      <c r="C1340" s="41">
        <f t="shared" si="95"/>
        <v>1339</v>
      </c>
      <c r="D1340" s="260"/>
      <c r="E1340" s="37"/>
      <c r="F1340" s="305" t="s">
        <v>9</v>
      </c>
      <c r="G1340" s="188"/>
      <c r="H1340" s="37"/>
      <c r="I1340" s="37" t="s">
        <v>9</v>
      </c>
      <c r="J1340" s="37"/>
      <c r="K1340" s="13" t="s">
        <v>38</v>
      </c>
      <c r="L1340" s="13" t="s">
        <v>29</v>
      </c>
      <c r="M1340" s="19" t="s">
        <v>2714</v>
      </c>
      <c r="N1340" s="13" t="s">
        <v>2715</v>
      </c>
      <c r="O1340" s="42">
        <v>0</v>
      </c>
      <c r="R1340" s="37" t="s">
        <v>106</v>
      </c>
      <c r="S1340" s="37"/>
      <c r="T1340" s="37"/>
      <c r="W1340" s="14" t="str">
        <f>IF(IFERROR(VLOOKUP($M1340,'IMPORT GS-Tür OL FL 2S2 20'!$H$2:$H$847,1,0),"-")="-","","GS")</f>
        <v>GS</v>
      </c>
      <c r="X1340" s="14" t="str">
        <f t="shared" si="99"/>
        <v/>
      </c>
      <c r="Z1340" s="58" t="str">
        <f>IF(OR($M1340="",NOT($O1340="{array}")),"",IFERROR(MATCH(PARAMETERS!$M1340,DEFAULT!$B$5:$CI$5,0),""))</f>
        <v/>
      </c>
      <c r="AA1340" s="55" t="str">
        <f t="shared" si="101"/>
        <v/>
      </c>
      <c r="AB1340" s="62" t="str">
        <f>IF(AND(OR($A1340="G",$A1340="P"),NOT($O1340="{array}")),IF(VLOOKUP($K1340,base!$B$2:$D$20,3,0)="S",IF(OR($O1340="",ISTEXT($O1340)),"","STRING!"),IF(VLOOKUP($K1340,base!$B$2:$D$20,3,0)="","",IF(ISTEXT($O1340),"NUMERIC!",""))),"")</f>
        <v/>
      </c>
      <c r="AC1340" s="16" t="str">
        <f>IF($AA1340="","",IF($B1340="I",VLOOKUP($AA1340,#REF!,53,0),INDEX(VALUES!$B$1:$GP$1,1,$AA1340)))</f>
        <v/>
      </c>
    </row>
    <row r="1341" spans="1:29" hidden="1" outlineLevel="1">
      <c r="A1341" s="21"/>
      <c r="B1341" s="40" t="str">
        <f t="shared" si="100"/>
        <v/>
      </c>
      <c r="C1341" s="41">
        <f t="shared" si="95"/>
        <v>1340</v>
      </c>
      <c r="D1341" s="260"/>
      <c r="E1341" s="37"/>
      <c r="F1341" s="305" t="s">
        <v>9</v>
      </c>
      <c r="G1341" s="188"/>
      <c r="H1341" s="37"/>
      <c r="I1341" s="37" t="s">
        <v>9</v>
      </c>
      <c r="J1341" s="37"/>
      <c r="K1341" s="13" t="s">
        <v>26</v>
      </c>
      <c r="L1341" s="13" t="s">
        <v>29</v>
      </c>
      <c r="M1341" s="19" t="s">
        <v>2716</v>
      </c>
      <c r="N1341" s="13" t="s">
        <v>2717</v>
      </c>
      <c r="O1341" s="42">
        <v>0.4</v>
      </c>
      <c r="R1341" s="37" t="s">
        <v>106</v>
      </c>
      <c r="S1341" s="37"/>
      <c r="T1341" s="37"/>
      <c r="W1341" s="14" t="str">
        <f>IF(IFERROR(VLOOKUP($M1341,'IMPORT GS-Tür OL FL 2S2 20'!$H$2:$H$847,1,0),"-")="-","","GS")</f>
        <v>GS</v>
      </c>
      <c r="X1341" s="14" t="str">
        <f t="shared" si="99"/>
        <v/>
      </c>
      <c r="Z1341" s="58" t="str">
        <f>IF(OR($M1341="",NOT($O1341="{array}")),"",IFERROR(MATCH(PARAMETERS!$M1341,DEFAULT!$B$5:$CI$5,0),""))</f>
        <v/>
      </c>
      <c r="AA1341" s="55" t="str">
        <f t="shared" si="101"/>
        <v/>
      </c>
      <c r="AB1341" s="62" t="str">
        <f>IF(AND(OR($A1341="G",$A1341="P"),NOT($O1341="{array}")),IF(VLOOKUP($K1341,base!$B$2:$D$20,3,0)="S",IF(OR($O1341="",ISTEXT($O1341)),"","STRING!"),IF(VLOOKUP($K1341,base!$B$2:$D$20,3,0)="","",IF(ISTEXT($O1341),"NUMERIC!",""))),"")</f>
        <v/>
      </c>
      <c r="AC1341" s="16" t="str">
        <f>IF($AA1341="","",IF($B1341="I",VLOOKUP($AA1341,#REF!,53,0),INDEX(VALUES!$B$1:$GP$1,1,$AA1341)))</f>
        <v/>
      </c>
    </row>
    <row r="1342" spans="1:29" hidden="1" outlineLevel="1">
      <c r="A1342" s="21"/>
      <c r="B1342" s="40" t="str">
        <f t="shared" si="100"/>
        <v/>
      </c>
      <c r="C1342" s="41">
        <f t="shared" si="95"/>
        <v>1341</v>
      </c>
      <c r="D1342" s="260"/>
      <c r="E1342" s="37"/>
      <c r="F1342" s="305"/>
      <c r="G1342" s="188" t="s">
        <v>9</v>
      </c>
      <c r="H1342" s="37"/>
      <c r="I1342" s="37" t="s">
        <v>9</v>
      </c>
      <c r="J1342" s="37"/>
      <c r="K1342" s="13" t="s">
        <v>38</v>
      </c>
      <c r="L1342" s="13" t="s">
        <v>29</v>
      </c>
      <c r="M1342" s="19" t="s">
        <v>2718</v>
      </c>
      <c r="N1342" s="13" t="s">
        <v>2719</v>
      </c>
      <c r="O1342" s="42">
        <v>0</v>
      </c>
      <c r="R1342" s="37" t="s">
        <v>106</v>
      </c>
      <c r="S1342" s="37"/>
      <c r="T1342" s="37"/>
      <c r="W1342" s="14" t="str">
        <f>IF(IFERROR(VLOOKUP($M1342,'IMPORT GS-Tür OL FL 2S2 20'!$H$2:$H$847,1,0),"-")="-","","GS")</f>
        <v>GS</v>
      </c>
      <c r="X1342" s="14" t="str">
        <f t="shared" si="99"/>
        <v/>
      </c>
      <c r="Z1342" s="58" t="str">
        <f>IF(OR($M1342="",NOT($O1342="{array}")),"",IFERROR(MATCH(PARAMETERS!$M1342,DEFAULT!$B$5:$CI$5,0),""))</f>
        <v/>
      </c>
      <c r="AA1342" s="55" t="str">
        <f t="shared" si="101"/>
        <v/>
      </c>
      <c r="AB1342" s="62" t="str">
        <f>IF(AND(OR($A1342="G",$A1342="P"),NOT($O1342="{array}")),IF(VLOOKUP($K1342,base!$B$2:$D$20,3,0)="S",IF(OR($O1342="",ISTEXT($O1342)),"","STRING!"),IF(VLOOKUP($K1342,base!$B$2:$D$20,3,0)="","",IF(ISTEXT($O1342),"NUMERIC!",""))),"")</f>
        <v/>
      </c>
      <c r="AC1342" s="16" t="str">
        <f>IF($AA1342="","",IF($B1342="I",VLOOKUP($AA1342,#REF!,53,0),INDEX(VALUES!$B$1:$GP$1,1,$AA1342)))</f>
        <v/>
      </c>
    </row>
    <row r="1343" spans="1:29" hidden="1" outlineLevel="1">
      <c r="A1343" s="21"/>
      <c r="B1343" s="40" t="str">
        <f t="shared" si="100"/>
        <v/>
      </c>
      <c r="C1343" s="41">
        <f t="shared" si="95"/>
        <v>1342</v>
      </c>
      <c r="D1343" s="260"/>
      <c r="E1343" s="37"/>
      <c r="F1343" s="305" t="s">
        <v>9</v>
      </c>
      <c r="G1343" s="188"/>
      <c r="H1343" s="37"/>
      <c r="I1343" s="37" t="s">
        <v>9</v>
      </c>
      <c r="J1343" s="37"/>
      <c r="K1343" s="13" t="s">
        <v>38</v>
      </c>
      <c r="L1343" s="13" t="s">
        <v>29</v>
      </c>
      <c r="M1343" s="19" t="s">
        <v>2720</v>
      </c>
      <c r="N1343" s="13" t="s">
        <v>2721</v>
      </c>
      <c r="O1343" s="42">
        <v>2</v>
      </c>
      <c r="R1343" s="37" t="s">
        <v>106</v>
      </c>
      <c r="S1343" s="37"/>
      <c r="T1343" s="37"/>
      <c r="W1343" s="14" t="str">
        <f>IF(IFERROR(VLOOKUP($M1343,'IMPORT GS-Tür OL FL 2S2 20'!$H$2:$H$847,1,0),"-")="-","","GS")</f>
        <v>GS</v>
      </c>
      <c r="X1343" s="14" t="str">
        <f t="shared" si="99"/>
        <v/>
      </c>
      <c r="Z1343" s="58" t="str">
        <f>IF(OR($M1343="",NOT($O1343="{array}")),"",IFERROR(MATCH(PARAMETERS!$M1343,DEFAULT!$B$5:$CI$5,0),""))</f>
        <v/>
      </c>
      <c r="AA1343" s="55" t="str">
        <f t="shared" si="101"/>
        <v/>
      </c>
      <c r="AB1343" s="62" t="str">
        <f>IF(AND(OR($A1343="G",$A1343="P"),NOT($O1343="{array}")),IF(VLOOKUP($K1343,base!$B$2:$D$20,3,0)="S",IF(OR($O1343="",ISTEXT($O1343)),"","STRING!"),IF(VLOOKUP($K1343,base!$B$2:$D$20,3,0)="","",IF(ISTEXT($O1343),"NUMERIC!",""))),"")</f>
        <v/>
      </c>
      <c r="AC1343" s="16" t="str">
        <f>IF($AA1343="","",IF($B1343="I",VLOOKUP($AA1343,#REF!,53,0),INDEX(VALUES!$B$1:$GP$1,1,$AA1343)))</f>
        <v/>
      </c>
    </row>
    <row r="1344" spans="1:29" hidden="1" outlineLevel="1">
      <c r="A1344" s="21"/>
      <c r="B1344" s="40" t="str">
        <f t="shared" si="100"/>
        <v/>
      </c>
      <c r="C1344" s="41">
        <f t="shared" si="95"/>
        <v>1343</v>
      </c>
      <c r="D1344" s="260"/>
      <c r="E1344" s="37"/>
      <c r="F1344" s="305" t="s">
        <v>9</v>
      </c>
      <c r="G1344" s="188"/>
      <c r="H1344" s="37"/>
      <c r="I1344" s="37" t="s">
        <v>9</v>
      </c>
      <c r="J1344" s="37"/>
      <c r="K1344" s="13" t="s">
        <v>49</v>
      </c>
      <c r="L1344" s="13" t="s">
        <v>29</v>
      </c>
      <c r="M1344" s="19" t="s">
        <v>2722</v>
      </c>
      <c r="N1344" s="13" t="s">
        <v>2723</v>
      </c>
      <c r="O1344" s="42">
        <v>0</v>
      </c>
      <c r="R1344" s="37" t="s">
        <v>106</v>
      </c>
      <c r="S1344" s="37"/>
      <c r="T1344" s="37"/>
      <c r="W1344" s="14" t="str">
        <f>IF(IFERROR(VLOOKUP($M1344,'IMPORT GS-Tür OL FL 2S2 20'!$H$2:$H$847,1,0),"-")="-","","GS")</f>
        <v>GS</v>
      </c>
      <c r="X1344" s="14" t="str">
        <f t="shared" si="99"/>
        <v/>
      </c>
      <c r="Z1344" s="58" t="str">
        <f>IF(OR($M1344="",NOT($O1344="{array}")),"",IFERROR(MATCH(PARAMETERS!$M1344,DEFAULT!$B$5:$CI$5,0),""))</f>
        <v/>
      </c>
      <c r="AA1344" s="55" t="str">
        <f t="shared" si="101"/>
        <v/>
      </c>
      <c r="AB1344" s="62" t="str">
        <f>IF(AND(OR($A1344="G",$A1344="P"),NOT($O1344="{array}")),IF(VLOOKUP($K1344,base!$B$2:$D$20,3,0)="S",IF(OR($O1344="",ISTEXT($O1344)),"","STRING!"),IF(VLOOKUP($K1344,base!$B$2:$D$20,3,0)="","",IF(ISTEXT($O1344),"NUMERIC!",""))),"")</f>
        <v/>
      </c>
      <c r="AC1344" s="16" t="str">
        <f>IF($AA1344="","",IF($B1344="I",VLOOKUP($AA1344,#REF!,53,0),INDEX(VALUES!$B$1:$GP$1,1,$AA1344)))</f>
        <v/>
      </c>
    </row>
    <row r="1345" spans="1:29" hidden="1" outlineLevel="1">
      <c r="A1345" s="21"/>
      <c r="B1345" s="40" t="str">
        <f t="shared" si="100"/>
        <v/>
      </c>
      <c r="C1345" s="41">
        <f t="shared" si="95"/>
        <v>1344</v>
      </c>
      <c r="D1345" s="260"/>
      <c r="E1345" s="37"/>
      <c r="F1345" s="305" t="s">
        <v>9</v>
      </c>
      <c r="G1345" s="188"/>
      <c r="H1345" s="37"/>
      <c r="I1345" s="37" t="s">
        <v>9</v>
      </c>
      <c r="J1345" s="37"/>
      <c r="K1345" s="13" t="s">
        <v>26</v>
      </c>
      <c r="L1345" s="13" t="s">
        <v>29</v>
      </c>
      <c r="M1345" s="19" t="s">
        <v>2724</v>
      </c>
      <c r="N1345" s="13" t="s">
        <v>2725</v>
      </c>
      <c r="O1345" s="42">
        <v>0.05</v>
      </c>
      <c r="R1345" s="37" t="s">
        <v>106</v>
      </c>
      <c r="S1345" s="37"/>
      <c r="T1345" s="37"/>
      <c r="W1345" s="14" t="str">
        <f>IF(IFERROR(VLOOKUP($M1345,'IMPORT GS-Tür OL FL 2S2 20'!$H$2:$H$847,1,0),"-")="-","","GS")</f>
        <v>GS</v>
      </c>
      <c r="X1345" s="14" t="str">
        <f t="shared" si="99"/>
        <v/>
      </c>
      <c r="Z1345" s="58" t="str">
        <f>IF(OR($M1345="",NOT($O1345="{array}")),"",IFERROR(MATCH(PARAMETERS!$M1345,DEFAULT!$B$5:$CI$5,0),""))</f>
        <v/>
      </c>
      <c r="AA1345" s="55" t="str">
        <f t="shared" si="101"/>
        <v/>
      </c>
      <c r="AB1345" s="62" t="str">
        <f>IF(AND(OR($A1345="G",$A1345="P"),NOT($O1345="{array}")),IF(VLOOKUP($K1345,base!$B$2:$D$20,3,0)="S",IF(OR($O1345="",ISTEXT($O1345)),"","STRING!"),IF(VLOOKUP($K1345,base!$B$2:$D$20,3,0)="","",IF(ISTEXT($O1345),"NUMERIC!",""))),"")</f>
        <v/>
      </c>
      <c r="AC1345" s="16" t="str">
        <f>IF($AA1345="","",IF($B1345="I",VLOOKUP($AA1345,#REF!,53,0),INDEX(VALUES!$B$1:$GP$1,1,$AA1345)))</f>
        <v/>
      </c>
    </row>
    <row r="1346" spans="1:29" hidden="1" outlineLevel="1">
      <c r="A1346" s="21"/>
      <c r="B1346" s="40" t="str">
        <f t="shared" si="100"/>
        <v/>
      </c>
      <c r="C1346" s="41">
        <f t="shared" si="95"/>
        <v>1345</v>
      </c>
      <c r="D1346" s="260"/>
      <c r="E1346" s="37"/>
      <c r="F1346" s="305" t="s">
        <v>9</v>
      </c>
      <c r="G1346" s="188"/>
      <c r="H1346" s="37"/>
      <c r="I1346" s="37" t="s">
        <v>9</v>
      </c>
      <c r="J1346" s="37"/>
      <c r="K1346" s="13" t="s">
        <v>38</v>
      </c>
      <c r="L1346" s="13" t="s">
        <v>29</v>
      </c>
      <c r="M1346" s="19" t="s">
        <v>2726</v>
      </c>
      <c r="N1346" s="13" t="s">
        <v>2727</v>
      </c>
      <c r="O1346" s="42">
        <v>1</v>
      </c>
      <c r="R1346" s="37" t="s">
        <v>106</v>
      </c>
      <c r="S1346" s="37"/>
      <c r="T1346" s="37"/>
      <c r="W1346" s="14" t="str">
        <f>IF(IFERROR(VLOOKUP($M1346,'IMPORT GS-Tür OL FL 2S2 20'!$H$2:$H$847,1,0),"-")="-","","GS")</f>
        <v>GS</v>
      </c>
      <c r="X1346" s="14" t="str">
        <f t="shared" si="99"/>
        <v/>
      </c>
      <c r="Z1346" s="58" t="str">
        <f>IF(OR($M1346="",NOT($O1346="{array}")),"",IFERROR(MATCH(PARAMETERS!$M1346,DEFAULT!$B$5:$CI$5,0),""))</f>
        <v/>
      </c>
      <c r="AA1346" s="55" t="str">
        <f t="shared" si="101"/>
        <v/>
      </c>
      <c r="AB1346" s="62" t="str">
        <f>IF(AND(OR($A1346="G",$A1346="P"),NOT($O1346="{array}")),IF(VLOOKUP($K1346,base!$B$2:$D$20,3,0)="S",IF(OR($O1346="",ISTEXT($O1346)),"","STRING!"),IF(VLOOKUP($K1346,base!$B$2:$D$20,3,0)="","",IF(ISTEXT($O1346),"NUMERIC!",""))),"")</f>
        <v/>
      </c>
      <c r="AC1346" s="16" t="str">
        <f>IF($AA1346="","",IF($B1346="I",VLOOKUP($AA1346,#REF!,53,0),INDEX(VALUES!$B$1:$GP$1,1,$AA1346)))</f>
        <v/>
      </c>
    </row>
    <row r="1347" spans="1:29" hidden="1" outlineLevel="1">
      <c r="A1347" s="21"/>
      <c r="B1347" s="40" t="str">
        <f t="shared" si="100"/>
        <v/>
      </c>
      <c r="C1347" s="41">
        <f t="shared" si="95"/>
        <v>1346</v>
      </c>
      <c r="D1347" s="260"/>
      <c r="E1347" s="37"/>
      <c r="F1347" s="305" t="s">
        <v>9</v>
      </c>
      <c r="G1347" s="188"/>
      <c r="H1347" s="37"/>
      <c r="I1347" s="37" t="s">
        <v>9</v>
      </c>
      <c r="J1347" s="37"/>
      <c r="K1347" s="13" t="s">
        <v>26</v>
      </c>
      <c r="L1347" s="13" t="s">
        <v>29</v>
      </c>
      <c r="M1347" s="19" t="s">
        <v>2728</v>
      </c>
      <c r="N1347" s="13" t="s">
        <v>2729</v>
      </c>
      <c r="O1347" s="42">
        <v>0</v>
      </c>
      <c r="R1347" s="37" t="s">
        <v>106</v>
      </c>
      <c r="S1347" s="37"/>
      <c r="T1347" s="37"/>
      <c r="W1347" s="14" t="str">
        <f>IF(IFERROR(VLOOKUP($M1347,'IMPORT GS-Tür OL FL 2S2 20'!$H$2:$H$847,1,0),"-")="-","","GS")</f>
        <v>GS</v>
      </c>
      <c r="X1347" s="14" t="str">
        <f t="shared" si="99"/>
        <v/>
      </c>
      <c r="Z1347" s="58" t="str">
        <f>IF(OR($M1347="",NOT($O1347="{array}")),"",IFERROR(MATCH(PARAMETERS!$M1347,DEFAULT!$B$5:$CI$5,0),""))</f>
        <v/>
      </c>
      <c r="AA1347" s="55" t="str">
        <f t="shared" si="101"/>
        <v/>
      </c>
      <c r="AB1347" s="62" t="str">
        <f>IF(AND(OR($A1347="G",$A1347="P"),NOT($O1347="{array}")),IF(VLOOKUP($K1347,base!$B$2:$D$20,3,0)="S",IF(OR($O1347="",ISTEXT($O1347)),"","STRING!"),IF(VLOOKUP($K1347,base!$B$2:$D$20,3,0)="","",IF(ISTEXT($O1347),"NUMERIC!",""))),"")</f>
        <v/>
      </c>
      <c r="AC1347" s="16" t="str">
        <f>IF($AA1347="","",IF($B1347="I",VLOOKUP($AA1347,#REF!,53,0),INDEX(VALUES!$B$1:$GP$1,1,$AA1347)))</f>
        <v/>
      </c>
    </row>
    <row r="1348" spans="1:29" hidden="1" outlineLevel="1">
      <c r="A1348" s="21"/>
      <c r="B1348" s="40" t="str">
        <f t="shared" si="100"/>
        <v/>
      </c>
      <c r="C1348" s="41">
        <f t="shared" si="95"/>
        <v>1347</v>
      </c>
      <c r="D1348" s="260"/>
      <c r="E1348" s="37"/>
      <c r="F1348" s="305"/>
      <c r="G1348" s="188" t="s">
        <v>9</v>
      </c>
      <c r="H1348" s="37"/>
      <c r="I1348" s="37" t="s">
        <v>9</v>
      </c>
      <c r="J1348" s="37"/>
      <c r="K1348" s="13" t="s">
        <v>33</v>
      </c>
      <c r="L1348" s="13" t="s">
        <v>29</v>
      </c>
      <c r="M1348" s="19" t="s">
        <v>2730</v>
      </c>
      <c r="N1348" s="13" t="s">
        <v>2731</v>
      </c>
      <c r="O1348" s="42">
        <v>0</v>
      </c>
      <c r="R1348" s="37" t="s">
        <v>106</v>
      </c>
      <c r="S1348" s="37"/>
      <c r="T1348" s="37"/>
      <c r="W1348" s="14" t="str">
        <f>IF(IFERROR(VLOOKUP($M1348,'IMPORT GS-Tür OL FL 2S2 20'!$H$2:$H$847,1,0),"-")="-","","GS")</f>
        <v>GS</v>
      </c>
      <c r="X1348" s="14" t="str">
        <f t="shared" si="99"/>
        <v/>
      </c>
      <c r="Z1348" s="58" t="str">
        <f>IF(OR($M1348="",NOT($O1348="{array}")),"",IFERROR(MATCH(PARAMETERS!$M1348,DEFAULT!$B$5:$CI$5,0),""))</f>
        <v/>
      </c>
      <c r="AA1348" s="55" t="str">
        <f t="shared" si="101"/>
        <v/>
      </c>
      <c r="AB1348" s="62" t="str">
        <f>IF(AND(OR($A1348="G",$A1348="P"),NOT($O1348="{array}")),IF(VLOOKUP($K1348,base!$B$2:$D$20,3,0)="S",IF(OR($O1348="",ISTEXT($O1348)),"","STRING!"),IF(VLOOKUP($K1348,base!$B$2:$D$20,3,0)="","",IF(ISTEXT($O1348),"NUMERIC!",""))),"")</f>
        <v/>
      </c>
      <c r="AC1348" s="16" t="str">
        <f>IF($AA1348="","",IF($B1348="I",VLOOKUP($AA1348,#REF!,53,0),INDEX(VALUES!$B$1:$GP$1,1,$AA1348)))</f>
        <v/>
      </c>
    </row>
    <row r="1349" spans="1:29" hidden="1" outlineLevel="1">
      <c r="A1349" s="21"/>
      <c r="B1349" s="40" t="str">
        <f t="shared" si="100"/>
        <v/>
      </c>
      <c r="C1349" s="41">
        <f t="shared" si="95"/>
        <v>1348</v>
      </c>
      <c r="D1349" s="260"/>
      <c r="E1349" s="37"/>
      <c r="F1349" s="305" t="s">
        <v>9</v>
      </c>
      <c r="G1349" s="188"/>
      <c r="H1349" s="37" t="s">
        <v>9</v>
      </c>
      <c r="I1349" s="37"/>
      <c r="J1349" s="37"/>
      <c r="K1349" s="13" t="s">
        <v>49</v>
      </c>
      <c r="L1349" s="13" t="s">
        <v>29</v>
      </c>
      <c r="M1349" s="19" t="s">
        <v>2732</v>
      </c>
      <c r="N1349" s="13" t="s">
        <v>2733</v>
      </c>
      <c r="O1349" s="42">
        <v>0</v>
      </c>
      <c r="R1349" s="37" t="s">
        <v>106</v>
      </c>
      <c r="S1349" s="37"/>
      <c r="T1349" s="37"/>
      <c r="W1349" s="14" t="str">
        <f>IF(IFERROR(VLOOKUP($M1349,'IMPORT GS-Tür OL FL 2S2 20'!$H$2:$H$847,1,0),"-")="-","","GS")</f>
        <v>GS</v>
      </c>
      <c r="X1349" s="14" t="str">
        <f t="shared" si="99"/>
        <v/>
      </c>
      <c r="Z1349" s="58" t="str">
        <f>IF(OR($M1349="",NOT($O1349="{array}")),"",IFERROR(MATCH(PARAMETERS!$M1349,DEFAULT!$B$5:$CI$5,0),""))</f>
        <v/>
      </c>
      <c r="AA1349" s="55" t="str">
        <f t="shared" si="101"/>
        <v/>
      </c>
      <c r="AB1349" s="62" t="str">
        <f>IF(AND(OR($A1349="G",$A1349="P"),NOT($O1349="{array}")),IF(VLOOKUP($K1349,base!$B$2:$D$20,3,0)="S",IF(OR($O1349="",ISTEXT($O1349)),"","STRING!"),IF(VLOOKUP($K1349,base!$B$2:$D$20,3,0)="","",IF(ISTEXT($O1349),"NUMERIC!",""))),"")</f>
        <v/>
      </c>
      <c r="AC1349" s="16" t="str">
        <f>IF($AA1349="","",IF($B1349="I",VLOOKUP($AA1349,#REF!,53,0),INDEX(VALUES!$B$1:$GP$1,1,$AA1349)))</f>
        <v/>
      </c>
    </row>
    <row r="1350" spans="1:29" hidden="1" outlineLevel="1">
      <c r="A1350" s="21"/>
      <c r="B1350" s="40" t="str">
        <f t="shared" si="100"/>
        <v/>
      </c>
      <c r="C1350" s="41">
        <f t="shared" si="95"/>
        <v>1349</v>
      </c>
      <c r="D1350" s="260"/>
      <c r="E1350" s="37"/>
      <c r="F1350" s="305" t="s">
        <v>9</v>
      </c>
      <c r="G1350" s="188"/>
      <c r="H1350" s="37"/>
      <c r="I1350" s="37" t="s">
        <v>9</v>
      </c>
      <c r="J1350" s="37"/>
      <c r="K1350" s="13" t="s">
        <v>46</v>
      </c>
      <c r="L1350" s="13" t="s">
        <v>29</v>
      </c>
      <c r="M1350" s="19" t="s">
        <v>2734</v>
      </c>
      <c r="N1350" s="13" t="s">
        <v>2735</v>
      </c>
      <c r="O1350" s="42">
        <v>1</v>
      </c>
      <c r="R1350" s="37" t="s">
        <v>106</v>
      </c>
      <c r="S1350" s="37"/>
      <c r="T1350" s="37"/>
      <c r="W1350" s="14" t="str">
        <f>IF(IFERROR(VLOOKUP($M1350,'IMPORT GS-Tür OL FL 2S2 20'!$H$2:$H$847,1,0),"-")="-","","GS")</f>
        <v>GS</v>
      </c>
      <c r="X1350" s="14" t="str">
        <f t="shared" si="99"/>
        <v/>
      </c>
      <c r="Z1350" s="58" t="str">
        <f>IF(OR($M1350="",NOT($O1350="{array}")),"",IFERROR(MATCH(PARAMETERS!$M1350,DEFAULT!$B$5:$CI$5,0),""))</f>
        <v/>
      </c>
      <c r="AA1350" s="55" t="str">
        <f t="shared" si="101"/>
        <v/>
      </c>
      <c r="AB1350" s="62" t="str">
        <f>IF(AND(OR($A1350="G",$A1350="P"),NOT($O1350="{array}")),IF(VLOOKUP($K1350,base!$B$2:$D$20,3,0)="S",IF(OR($O1350="",ISTEXT($O1350)),"","STRING!"),IF(VLOOKUP($K1350,base!$B$2:$D$20,3,0)="","",IF(ISTEXT($O1350),"NUMERIC!",""))),"")</f>
        <v/>
      </c>
      <c r="AC1350" s="16" t="str">
        <f>IF($AA1350="","",IF($B1350="I",VLOOKUP($AA1350,#REF!,53,0),INDEX(VALUES!$B$1:$GP$1,1,$AA1350)))</f>
        <v/>
      </c>
    </row>
    <row r="1351" spans="1:29" hidden="1" outlineLevel="1">
      <c r="A1351" s="21"/>
      <c r="B1351" s="40" t="str">
        <f t="shared" si="100"/>
        <v/>
      </c>
      <c r="C1351" s="41">
        <f t="shared" si="95"/>
        <v>1350</v>
      </c>
      <c r="D1351" s="260"/>
      <c r="E1351" s="37"/>
      <c r="F1351" s="305" t="s">
        <v>9</v>
      </c>
      <c r="G1351" s="188"/>
      <c r="H1351" s="37"/>
      <c r="I1351" s="37" t="s">
        <v>9</v>
      </c>
      <c r="J1351" s="37"/>
      <c r="K1351" s="13" t="s">
        <v>49</v>
      </c>
      <c r="L1351" s="13" t="s">
        <v>29</v>
      </c>
      <c r="M1351" s="19" t="s">
        <v>2736</v>
      </c>
      <c r="N1351" s="13" t="s">
        <v>2737</v>
      </c>
      <c r="O1351" s="42">
        <v>1</v>
      </c>
      <c r="R1351" s="37" t="s">
        <v>106</v>
      </c>
      <c r="S1351" s="37"/>
      <c r="T1351" s="37"/>
      <c r="W1351" s="14" t="str">
        <f>IF(IFERROR(VLOOKUP($M1351,'IMPORT GS-Tür OL FL 2S2 20'!$H$2:$H$847,1,0),"-")="-","","GS")</f>
        <v>GS</v>
      </c>
      <c r="X1351" s="14" t="str">
        <f t="shared" si="99"/>
        <v/>
      </c>
      <c r="Z1351" s="58" t="str">
        <f>IF(OR($M1351="",NOT($O1351="{array}")),"",IFERROR(MATCH(PARAMETERS!$M1351,DEFAULT!$B$5:$CI$5,0),""))</f>
        <v/>
      </c>
      <c r="AA1351" s="55" t="str">
        <f t="shared" si="101"/>
        <v/>
      </c>
      <c r="AB1351" s="62" t="str">
        <f>IF(AND(OR($A1351="G",$A1351="P"),NOT($O1351="{array}")),IF(VLOOKUP($K1351,base!$B$2:$D$20,3,0)="S",IF(OR($O1351="",ISTEXT($O1351)),"","STRING!"),IF(VLOOKUP($K1351,base!$B$2:$D$20,3,0)="","",IF(ISTEXT($O1351),"NUMERIC!",""))),"")</f>
        <v/>
      </c>
      <c r="AC1351" s="16" t="str">
        <f>IF($AA1351="","",IF($B1351="I",VLOOKUP($AA1351,#REF!,53,0),INDEX(VALUES!$B$1:$GP$1,1,$AA1351)))</f>
        <v/>
      </c>
    </row>
    <row r="1352" spans="1:29" hidden="1" outlineLevel="1">
      <c r="A1352" s="21"/>
      <c r="B1352" s="40" t="str">
        <f t="shared" si="100"/>
        <v/>
      </c>
      <c r="C1352" s="41">
        <f t="shared" si="95"/>
        <v>1351</v>
      </c>
      <c r="D1352" s="260"/>
      <c r="E1352" s="37"/>
      <c r="F1352" s="305" t="s">
        <v>9</v>
      </c>
      <c r="G1352" s="188"/>
      <c r="H1352" s="37"/>
      <c r="I1352" s="37" t="s">
        <v>9</v>
      </c>
      <c r="J1352" s="37"/>
      <c r="K1352" s="13" t="s">
        <v>20</v>
      </c>
      <c r="L1352" s="13" t="s">
        <v>29</v>
      </c>
      <c r="M1352" s="19" t="s">
        <v>2738</v>
      </c>
      <c r="N1352" s="13" t="s">
        <v>2739</v>
      </c>
      <c r="O1352" s="42" t="s">
        <v>2740</v>
      </c>
      <c r="R1352" s="37" t="s">
        <v>106</v>
      </c>
      <c r="S1352" s="37"/>
      <c r="T1352" s="37"/>
      <c r="W1352" s="14" t="str">
        <f>IF(IFERROR(VLOOKUP($M1352,'IMPORT GS-Tür OL FL 2S2 20'!$H$2:$H$847,1,0),"-")="-","","GS")</f>
        <v>GS</v>
      </c>
      <c r="X1352" s="14" t="str">
        <f t="shared" si="99"/>
        <v/>
      </c>
      <c r="Z1352" s="58" t="str">
        <f>IF(OR($M1352="",NOT($O1352="{array}")),"",IFERROR(MATCH(PARAMETERS!$M1352,DEFAULT!$B$5:$CI$5,0),""))</f>
        <v/>
      </c>
      <c r="AA1352" s="55" t="str">
        <f t="shared" si="101"/>
        <v/>
      </c>
      <c r="AB1352" s="62" t="str">
        <f>IF(AND(OR($A1352="G",$A1352="P"),NOT($O1352="{array}")),IF(VLOOKUP($K1352,base!$B$2:$D$20,3,0)="S",IF(OR($O1352="",ISTEXT($O1352)),"","STRING!"),IF(VLOOKUP($K1352,base!$B$2:$D$20,3,0)="","",IF(ISTEXT($O1352),"NUMERIC!",""))),"")</f>
        <v/>
      </c>
      <c r="AC1352" s="16" t="str">
        <f>IF($AA1352="","",IF($B1352="I",VLOOKUP($AA1352,#REF!,53,0),INDEX(VALUES!$B$1:$GP$1,1,$AA1352)))</f>
        <v/>
      </c>
    </row>
    <row r="1353" spans="1:29" hidden="1" outlineLevel="1">
      <c r="A1353" s="21"/>
      <c r="B1353" s="40" t="str">
        <f t="shared" si="100"/>
        <v/>
      </c>
      <c r="C1353" s="41">
        <f t="shared" si="95"/>
        <v>1352</v>
      </c>
      <c r="D1353" s="260"/>
      <c r="E1353" s="37"/>
      <c r="F1353" s="305" t="s">
        <v>9</v>
      </c>
      <c r="G1353" s="188"/>
      <c r="H1353" s="37"/>
      <c r="I1353" s="37" t="s">
        <v>9</v>
      </c>
      <c r="J1353" s="37"/>
      <c r="K1353" s="13" t="s">
        <v>49</v>
      </c>
      <c r="L1353" s="13" t="s">
        <v>29</v>
      </c>
      <c r="M1353" s="19" t="s">
        <v>2741</v>
      </c>
      <c r="N1353" s="13" t="s">
        <v>2742</v>
      </c>
      <c r="O1353" s="42">
        <v>1</v>
      </c>
      <c r="R1353" s="37" t="s">
        <v>106</v>
      </c>
      <c r="S1353" s="37"/>
      <c r="T1353" s="37"/>
      <c r="W1353" s="14" t="str">
        <f>IF(IFERROR(VLOOKUP($M1353,'IMPORT GS-Tür OL FL 2S2 20'!$H$2:$H$847,1,0),"-")="-","","GS")</f>
        <v>GS</v>
      </c>
      <c r="X1353" s="14" t="str">
        <f t="shared" si="99"/>
        <v/>
      </c>
      <c r="Z1353" s="58" t="str">
        <f>IF(OR($M1353="",NOT($O1353="{array}")),"",IFERROR(MATCH(PARAMETERS!$M1353,DEFAULT!$B$5:$CI$5,0),""))</f>
        <v/>
      </c>
      <c r="AA1353" s="55" t="str">
        <f t="shared" si="101"/>
        <v/>
      </c>
      <c r="AB1353" s="62" t="str">
        <f>IF(AND(OR($A1353="G",$A1353="P"),NOT($O1353="{array}")),IF(VLOOKUP($K1353,base!$B$2:$D$20,3,0)="S",IF(OR($O1353="",ISTEXT($O1353)),"","STRING!"),IF(VLOOKUP($K1353,base!$B$2:$D$20,3,0)="","",IF(ISTEXT($O1353),"NUMERIC!",""))),"")</f>
        <v/>
      </c>
      <c r="AC1353" s="16" t="str">
        <f>IF($AA1353="","",IF($B1353="I",VLOOKUP($AA1353,#REF!,53,0),INDEX(VALUES!$B$1:$GP$1,1,$AA1353)))</f>
        <v/>
      </c>
    </row>
    <row r="1354" spans="1:29" hidden="1" outlineLevel="1">
      <c r="A1354" s="21"/>
      <c r="B1354" s="40" t="str">
        <f t="shared" si="100"/>
        <v/>
      </c>
      <c r="C1354" s="41">
        <f t="shared" si="95"/>
        <v>1353</v>
      </c>
      <c r="D1354" s="260"/>
      <c r="E1354" s="37"/>
      <c r="F1354" s="305" t="s">
        <v>9</v>
      </c>
      <c r="G1354" s="188"/>
      <c r="H1354" s="37"/>
      <c r="I1354" s="37" t="s">
        <v>9</v>
      </c>
      <c r="J1354" s="37"/>
      <c r="K1354" s="13" t="s">
        <v>49</v>
      </c>
      <c r="L1354" s="13" t="s">
        <v>29</v>
      </c>
      <c r="M1354" s="19" t="s">
        <v>2743</v>
      </c>
      <c r="N1354" s="13" t="s">
        <v>2744</v>
      </c>
      <c r="O1354" s="42">
        <v>1</v>
      </c>
      <c r="R1354" s="37" t="s">
        <v>106</v>
      </c>
      <c r="S1354" s="37"/>
      <c r="T1354" s="37"/>
      <c r="W1354" s="14" t="str">
        <f>IF(IFERROR(VLOOKUP($M1354,'IMPORT GS-Tür OL FL 2S2 20'!$H$2:$H$847,1,0),"-")="-","","GS")</f>
        <v>GS</v>
      </c>
      <c r="X1354" s="14" t="str">
        <f t="shared" si="99"/>
        <v/>
      </c>
      <c r="Z1354" s="58" t="str">
        <f>IF(OR($M1354="",NOT($O1354="{array}")),"",IFERROR(MATCH(PARAMETERS!$M1354,DEFAULT!$B$5:$CI$5,0),""))</f>
        <v/>
      </c>
      <c r="AA1354" s="55" t="str">
        <f t="shared" si="101"/>
        <v/>
      </c>
      <c r="AB1354" s="62" t="str">
        <f>IF(AND(OR($A1354="G",$A1354="P"),NOT($O1354="{array}")),IF(VLOOKUP($K1354,base!$B$2:$D$20,3,0)="S",IF(OR($O1354="",ISTEXT($O1354)),"","STRING!"),IF(VLOOKUP($K1354,base!$B$2:$D$20,3,0)="","",IF(ISTEXT($O1354),"NUMERIC!",""))),"")</f>
        <v/>
      </c>
      <c r="AC1354" s="16" t="str">
        <f>IF($AA1354="","",IF($B1354="I",VLOOKUP($AA1354,#REF!,53,0),INDEX(VALUES!$B$1:$GP$1,1,$AA1354)))</f>
        <v/>
      </c>
    </row>
    <row r="1355" spans="1:29" hidden="1" outlineLevel="1">
      <c r="A1355" s="21"/>
      <c r="B1355" s="40" t="str">
        <f t="shared" si="100"/>
        <v/>
      </c>
      <c r="C1355" s="41">
        <f t="shared" si="95"/>
        <v>1354</v>
      </c>
      <c r="D1355" s="260"/>
      <c r="E1355" s="37"/>
      <c r="F1355" s="305" t="s">
        <v>9</v>
      </c>
      <c r="G1355" s="188"/>
      <c r="H1355" s="37"/>
      <c r="I1355" s="37" t="s">
        <v>9</v>
      </c>
      <c r="J1355" s="37"/>
      <c r="K1355" s="13" t="s">
        <v>26</v>
      </c>
      <c r="L1355" s="13" t="s">
        <v>29</v>
      </c>
      <c r="M1355" s="19" t="s">
        <v>2745</v>
      </c>
      <c r="N1355" s="13" t="s">
        <v>2746</v>
      </c>
      <c r="O1355" s="42">
        <v>0</v>
      </c>
      <c r="R1355" s="37" t="s">
        <v>106</v>
      </c>
      <c r="S1355" s="37"/>
      <c r="T1355" s="37"/>
      <c r="W1355" s="14" t="str">
        <f>IF(IFERROR(VLOOKUP($M1355,'IMPORT GS-Tür OL FL 2S2 20'!$H$2:$H$847,1,0),"-")="-","","GS")</f>
        <v>GS</v>
      </c>
      <c r="X1355" s="14" t="str">
        <f t="shared" si="99"/>
        <v/>
      </c>
      <c r="Z1355" s="58" t="str">
        <f>IF(OR($M1355="",NOT($O1355="{array}")),"",IFERROR(MATCH(PARAMETERS!$M1355,DEFAULT!$B$5:$CI$5,0),""))</f>
        <v/>
      </c>
      <c r="AA1355" s="55" t="str">
        <f t="shared" si="101"/>
        <v/>
      </c>
      <c r="AB1355" s="62" t="str">
        <f>IF(AND(OR($A1355="G",$A1355="P"),NOT($O1355="{array}")),IF(VLOOKUP($K1355,base!$B$2:$D$20,3,0)="S",IF(OR($O1355="",ISTEXT($O1355)),"","STRING!"),IF(VLOOKUP($K1355,base!$B$2:$D$20,3,0)="","",IF(ISTEXT($O1355),"NUMERIC!",""))),"")</f>
        <v/>
      </c>
      <c r="AC1355" s="16" t="str">
        <f>IF($AA1355="","",IF($B1355="I",VLOOKUP($AA1355,#REF!,53,0),INDEX(VALUES!$B$1:$GP$1,1,$AA1355)))</f>
        <v/>
      </c>
    </row>
    <row r="1356" spans="1:29" hidden="1" outlineLevel="1">
      <c r="A1356" s="21"/>
      <c r="B1356" s="40" t="str">
        <f t="shared" si="100"/>
        <v/>
      </c>
      <c r="C1356" s="41">
        <f t="shared" si="95"/>
        <v>1355</v>
      </c>
      <c r="D1356" s="260"/>
      <c r="E1356" s="37"/>
      <c r="F1356" s="305" t="s">
        <v>9</v>
      </c>
      <c r="G1356" s="188"/>
      <c r="H1356" s="37"/>
      <c r="I1356" s="37" t="s">
        <v>9</v>
      </c>
      <c r="J1356" s="37"/>
      <c r="K1356" s="13" t="s">
        <v>26</v>
      </c>
      <c r="L1356" s="13" t="s">
        <v>29</v>
      </c>
      <c r="M1356" s="19" t="s">
        <v>2747</v>
      </c>
      <c r="N1356" s="13" t="s">
        <v>2748</v>
      </c>
      <c r="O1356" s="42">
        <v>0.4</v>
      </c>
      <c r="R1356" s="37" t="s">
        <v>106</v>
      </c>
      <c r="S1356" s="37"/>
      <c r="T1356" s="37"/>
      <c r="W1356" s="14" t="str">
        <f>IF(IFERROR(VLOOKUP($M1356,'IMPORT GS-Tür OL FL 2S2 20'!$H$2:$H$847,1,0),"-")="-","","GS")</f>
        <v>GS</v>
      </c>
      <c r="X1356" s="14" t="str">
        <f t="shared" ref="X1356:X1371" si="102">IF($A1356="G",IF(IFERROR(VLOOKUP($M1356,Reimport,1,0),"-")="-","&gt;&lt;",IF($O1356=VLOOKUP($M1356,Reimport,2,0),"...",VLOOKUP($M1356,Reimport,2,0))),"")</f>
        <v/>
      </c>
      <c r="Z1356" s="58" t="str">
        <f>IF(OR($M1356="",NOT($O1356="{array}")),"",IFERROR(MATCH(PARAMETERS!$M1356,DEFAULT!$B$5:$CI$5,0),""))</f>
        <v/>
      </c>
      <c r="AA1356" s="55" t="str">
        <f t="shared" si="101"/>
        <v/>
      </c>
      <c r="AB1356" s="62" t="str">
        <f>IF(AND(OR($A1356="G",$A1356="P"),NOT($O1356="{array}")),IF(VLOOKUP($K1356,base!$B$2:$D$20,3,0)="S",IF(OR($O1356="",ISTEXT($O1356)),"","STRING!"),IF(VLOOKUP($K1356,base!$B$2:$D$20,3,0)="","",IF(ISTEXT($O1356),"NUMERIC!",""))),"")</f>
        <v/>
      </c>
      <c r="AC1356" s="16" t="str">
        <f>IF($AA1356="","",IF($B1356="I",VLOOKUP($AA1356,#REF!,53,0),INDEX(VALUES!$B$1:$GP$1,1,$AA1356)))</f>
        <v/>
      </c>
    </row>
    <row r="1357" spans="1:29" hidden="1" outlineLevel="1">
      <c r="A1357" s="21"/>
      <c r="B1357" s="40" t="str">
        <f t="shared" si="100"/>
        <v/>
      </c>
      <c r="C1357" s="41">
        <f t="shared" si="95"/>
        <v>1356</v>
      </c>
      <c r="D1357" s="260"/>
      <c r="E1357" s="37"/>
      <c r="F1357" s="305" t="s">
        <v>9</v>
      </c>
      <c r="G1357" s="188"/>
      <c r="H1357" s="37"/>
      <c r="I1357" s="37" t="s">
        <v>9</v>
      </c>
      <c r="J1357" s="37"/>
      <c r="K1357" s="13" t="s">
        <v>38</v>
      </c>
      <c r="L1357" s="13" t="s">
        <v>29</v>
      </c>
      <c r="M1357" s="19" t="s">
        <v>2749</v>
      </c>
      <c r="N1357" s="13" t="s">
        <v>2750</v>
      </c>
      <c r="O1357" s="42">
        <v>0</v>
      </c>
      <c r="R1357" s="37" t="s">
        <v>106</v>
      </c>
      <c r="S1357" s="37"/>
      <c r="T1357" s="37"/>
      <c r="W1357" s="14" t="str">
        <f>IF(IFERROR(VLOOKUP($M1357,'IMPORT GS-Tür OL FL 2S2 20'!$H$2:$H$847,1,0),"-")="-","","GS")</f>
        <v>GS</v>
      </c>
      <c r="X1357" s="14" t="str">
        <f t="shared" si="102"/>
        <v/>
      </c>
      <c r="Z1357" s="58" t="str">
        <f>IF(OR($M1357="",NOT($O1357="{array}")),"",IFERROR(MATCH(PARAMETERS!$M1357,DEFAULT!$B$5:$CI$5,0),""))</f>
        <v/>
      </c>
      <c r="AA1357" s="55" t="str">
        <f t="shared" si="101"/>
        <v/>
      </c>
      <c r="AB1357" s="62" t="str">
        <f>IF(AND(OR($A1357="G",$A1357="P"),NOT($O1357="{array}")),IF(VLOOKUP($K1357,base!$B$2:$D$20,3,0)="S",IF(OR($O1357="",ISTEXT($O1357)),"","STRING!"),IF(VLOOKUP($K1357,base!$B$2:$D$20,3,0)="","",IF(ISTEXT($O1357),"NUMERIC!",""))),"")</f>
        <v/>
      </c>
      <c r="AC1357" s="16" t="str">
        <f>IF($AA1357="","",IF($B1357="I",VLOOKUP($AA1357,#REF!,53,0),INDEX(VALUES!$B$1:$GP$1,1,$AA1357)))</f>
        <v/>
      </c>
    </row>
    <row r="1358" spans="1:29" hidden="1" outlineLevel="1">
      <c r="A1358" s="21"/>
      <c r="B1358" s="40" t="str">
        <f t="shared" si="100"/>
        <v/>
      </c>
      <c r="C1358" s="41">
        <f t="shared" si="95"/>
        <v>1357</v>
      </c>
      <c r="D1358" s="260"/>
      <c r="E1358" s="37"/>
      <c r="F1358" s="305" t="s">
        <v>9</v>
      </c>
      <c r="G1358" s="188"/>
      <c r="H1358" s="37"/>
      <c r="I1358" s="37" t="s">
        <v>9</v>
      </c>
      <c r="J1358" s="37"/>
      <c r="K1358" s="13" t="s">
        <v>38</v>
      </c>
      <c r="L1358" s="13" t="s">
        <v>29</v>
      </c>
      <c r="M1358" s="19" t="s">
        <v>2751</v>
      </c>
      <c r="N1358" s="13" t="s">
        <v>2752</v>
      </c>
      <c r="O1358" s="42">
        <v>8</v>
      </c>
      <c r="R1358" s="37" t="s">
        <v>106</v>
      </c>
      <c r="S1358" s="37"/>
      <c r="T1358" s="37"/>
      <c r="W1358" s="14" t="str">
        <f>IF(IFERROR(VLOOKUP($M1358,'IMPORT GS-Tür OL FL 2S2 20'!$H$2:$H$847,1,0),"-")="-","","GS")</f>
        <v>GS</v>
      </c>
      <c r="X1358" s="14" t="str">
        <f t="shared" si="102"/>
        <v/>
      </c>
      <c r="Z1358" s="58" t="str">
        <f>IF(OR($M1358="",NOT($O1358="{array}")),"",IFERROR(MATCH(PARAMETERS!$M1358,DEFAULT!$B$5:$CI$5,0),""))</f>
        <v/>
      </c>
      <c r="AA1358" s="55" t="str">
        <f t="shared" si="101"/>
        <v/>
      </c>
      <c r="AB1358" s="62" t="str">
        <f>IF(AND(OR($A1358="G",$A1358="P"),NOT($O1358="{array}")),IF(VLOOKUP($K1358,base!$B$2:$D$20,3,0)="S",IF(OR($O1358="",ISTEXT($O1358)),"","STRING!"),IF(VLOOKUP($K1358,base!$B$2:$D$20,3,0)="","",IF(ISTEXT($O1358),"NUMERIC!",""))),"")</f>
        <v/>
      </c>
      <c r="AC1358" s="16" t="str">
        <f>IF($AA1358="","",IF($B1358="I",VLOOKUP($AA1358,#REF!,53,0),INDEX(VALUES!$B$1:$GP$1,1,$AA1358)))</f>
        <v/>
      </c>
    </row>
    <row r="1359" spans="1:29" hidden="1" outlineLevel="1">
      <c r="A1359" s="21"/>
      <c r="B1359" s="40" t="str">
        <f t="shared" si="100"/>
        <v/>
      </c>
      <c r="C1359" s="41">
        <f t="shared" si="95"/>
        <v>1358</v>
      </c>
      <c r="D1359" s="260"/>
      <c r="E1359" s="37"/>
      <c r="F1359" s="305" t="s">
        <v>9</v>
      </c>
      <c r="G1359" s="188"/>
      <c r="H1359" s="37"/>
      <c r="I1359" s="37" t="s">
        <v>9</v>
      </c>
      <c r="J1359" s="37"/>
      <c r="K1359" s="13" t="s">
        <v>20</v>
      </c>
      <c r="L1359" s="13" t="s">
        <v>29</v>
      </c>
      <c r="M1359" s="19" t="s">
        <v>2753</v>
      </c>
      <c r="N1359" s="13" t="s">
        <v>2698</v>
      </c>
      <c r="O1359" s="42" t="s">
        <v>2699</v>
      </c>
      <c r="R1359" s="37" t="s">
        <v>106</v>
      </c>
      <c r="S1359" s="37"/>
      <c r="T1359" s="37"/>
      <c r="W1359" s="14" t="str">
        <f>IF(IFERROR(VLOOKUP($M1359,'IMPORT GS-Tür OL FL 2S2 20'!$H$2:$H$847,1,0),"-")="-","","GS")</f>
        <v>GS</v>
      </c>
      <c r="X1359" s="14" t="str">
        <f t="shared" si="102"/>
        <v/>
      </c>
      <c r="Z1359" s="58" t="str">
        <f>IF(OR($M1359="",NOT($O1359="{array}")),"",IFERROR(MATCH(PARAMETERS!$M1359,DEFAULT!$B$5:$CI$5,0),""))</f>
        <v/>
      </c>
      <c r="AA1359" s="55" t="str">
        <f t="shared" si="101"/>
        <v/>
      </c>
      <c r="AB1359" s="62" t="str">
        <f>IF(AND(OR($A1359="G",$A1359="P"),NOT($O1359="{array}")),IF(VLOOKUP($K1359,base!$B$2:$D$20,3,0)="S",IF(OR($O1359="",ISTEXT($O1359)),"","STRING!"),IF(VLOOKUP($K1359,base!$B$2:$D$20,3,0)="","",IF(ISTEXT($O1359),"NUMERIC!",""))),"")</f>
        <v/>
      </c>
      <c r="AC1359" s="16" t="str">
        <f>IF($AA1359="","",IF($B1359="I",VLOOKUP($AA1359,#REF!,53,0),INDEX(VALUES!$B$1:$GP$1,1,$AA1359)))</f>
        <v/>
      </c>
    </row>
    <row r="1360" spans="1:29" hidden="1" outlineLevel="1">
      <c r="A1360" s="21"/>
      <c r="B1360" s="40" t="str">
        <f t="shared" si="100"/>
        <v/>
      </c>
      <c r="C1360" s="41">
        <f t="shared" si="95"/>
        <v>1359</v>
      </c>
      <c r="D1360" s="260"/>
      <c r="E1360" s="37"/>
      <c r="F1360" s="305" t="s">
        <v>9</v>
      </c>
      <c r="G1360" s="188" t="s">
        <v>9</v>
      </c>
      <c r="H1360" s="37"/>
      <c r="I1360" s="37" t="s">
        <v>9</v>
      </c>
      <c r="J1360" s="37"/>
      <c r="K1360" s="13" t="s">
        <v>46</v>
      </c>
      <c r="L1360" s="13" t="s">
        <v>29</v>
      </c>
      <c r="M1360" s="19" t="s">
        <v>2754</v>
      </c>
      <c r="N1360" s="13" t="s">
        <v>2701</v>
      </c>
      <c r="O1360" s="42">
        <v>2</v>
      </c>
      <c r="R1360" s="37" t="s">
        <v>106</v>
      </c>
      <c r="S1360" s="37"/>
      <c r="T1360" s="37"/>
      <c r="W1360" s="14" t="str">
        <f>IF(IFERROR(VLOOKUP($M1360,'IMPORT GS-Tür OL FL 2S2 20'!$H$2:$H$847,1,0),"-")="-","","GS")</f>
        <v>GS</v>
      </c>
      <c r="X1360" s="14" t="str">
        <f t="shared" si="102"/>
        <v/>
      </c>
      <c r="Z1360" s="58" t="str">
        <f>IF(OR($M1360="",NOT($O1360="{array}")),"",IFERROR(MATCH(PARAMETERS!$M1360,DEFAULT!$B$5:$CI$5,0),""))</f>
        <v/>
      </c>
      <c r="AA1360" s="55" t="str">
        <f t="shared" si="101"/>
        <v/>
      </c>
      <c r="AB1360" s="62" t="str">
        <f>IF(AND(OR($A1360="G",$A1360="P"),NOT($O1360="{array}")),IF(VLOOKUP($K1360,base!$B$2:$D$20,3,0)="S",IF(OR($O1360="",ISTEXT($O1360)),"","STRING!"),IF(VLOOKUP($K1360,base!$B$2:$D$20,3,0)="","",IF(ISTEXT($O1360),"NUMERIC!",""))),"")</f>
        <v/>
      </c>
      <c r="AC1360" s="16" t="str">
        <f>IF($AA1360="","",IF($B1360="I",VLOOKUP($AA1360,#REF!,53,0),INDEX(VALUES!$B$1:$GP$1,1,$AA1360)))</f>
        <v/>
      </c>
    </row>
    <row r="1361" spans="1:29" hidden="1" outlineLevel="1">
      <c r="A1361" s="21"/>
      <c r="B1361" s="40" t="str">
        <f t="shared" si="100"/>
        <v/>
      </c>
      <c r="C1361" s="41">
        <f t="shared" si="95"/>
        <v>1360</v>
      </c>
      <c r="D1361" s="260"/>
      <c r="E1361" s="37"/>
      <c r="F1361" s="305" t="s">
        <v>9</v>
      </c>
      <c r="G1361" s="188"/>
      <c r="H1361" s="37"/>
      <c r="I1361" s="37" t="s">
        <v>9</v>
      </c>
      <c r="J1361" s="37"/>
      <c r="K1361" s="13" t="s">
        <v>38</v>
      </c>
      <c r="L1361" s="13" t="s">
        <v>29</v>
      </c>
      <c r="M1361" s="19" t="s">
        <v>2755</v>
      </c>
      <c r="N1361" s="13" t="s">
        <v>2707</v>
      </c>
      <c r="O1361" s="42">
        <v>2</v>
      </c>
      <c r="R1361" s="37" t="s">
        <v>106</v>
      </c>
      <c r="S1361" s="37"/>
      <c r="T1361" s="37"/>
      <c r="W1361" s="14" t="str">
        <f>IF(IFERROR(VLOOKUP($M1361,'IMPORT GS-Tür OL FL 2S2 20'!$H$2:$H$847,1,0),"-")="-","","GS")</f>
        <v>GS</v>
      </c>
      <c r="X1361" s="14" t="str">
        <f t="shared" si="102"/>
        <v/>
      </c>
      <c r="Z1361" s="58" t="str">
        <f>IF(OR($M1361="",NOT($O1361="{array}")),"",IFERROR(MATCH(PARAMETERS!$M1361,DEFAULT!$B$5:$CI$5,0),""))</f>
        <v/>
      </c>
      <c r="AA1361" s="55" t="str">
        <f t="shared" si="101"/>
        <v/>
      </c>
      <c r="AB1361" s="62" t="str">
        <f>IF(AND(OR($A1361="G",$A1361="P"),NOT($O1361="{array}")),IF(VLOOKUP($K1361,base!$B$2:$D$20,3,0)="S",IF(OR($O1361="",ISTEXT($O1361)),"","STRING!"),IF(VLOOKUP($K1361,base!$B$2:$D$20,3,0)="","",IF(ISTEXT($O1361),"NUMERIC!",""))),"")</f>
        <v/>
      </c>
      <c r="AC1361" s="16" t="str">
        <f>IF($AA1361="","",IF($B1361="I",VLOOKUP($AA1361,#REF!,53,0),INDEX(VALUES!$B$1:$GP$1,1,$AA1361)))</f>
        <v/>
      </c>
    </row>
    <row r="1362" spans="1:29" hidden="1" outlineLevel="1">
      <c r="A1362" s="21"/>
      <c r="B1362" s="40" t="str">
        <f t="shared" si="100"/>
        <v/>
      </c>
      <c r="C1362" s="41">
        <f t="shared" si="95"/>
        <v>1361</v>
      </c>
      <c r="D1362" s="260"/>
      <c r="E1362" s="37"/>
      <c r="F1362" s="305" t="s">
        <v>9</v>
      </c>
      <c r="G1362" s="188"/>
      <c r="H1362" s="37"/>
      <c r="I1362" s="37" t="s">
        <v>9</v>
      </c>
      <c r="J1362" s="37"/>
      <c r="K1362" s="13" t="s">
        <v>26</v>
      </c>
      <c r="L1362" s="13" t="s">
        <v>29</v>
      </c>
      <c r="M1362" s="19" t="s">
        <v>2756</v>
      </c>
      <c r="N1362" s="13" t="s">
        <v>2705</v>
      </c>
      <c r="O1362" s="42">
        <v>0.1</v>
      </c>
      <c r="R1362" s="37" t="s">
        <v>106</v>
      </c>
      <c r="S1362" s="37"/>
      <c r="T1362" s="37"/>
      <c r="W1362" s="14" t="str">
        <f>IF(IFERROR(VLOOKUP($M1362,'IMPORT GS-Tür OL FL 2S2 20'!$H$2:$H$847,1,0),"-")="-","","GS")</f>
        <v>GS</v>
      </c>
      <c r="X1362" s="14" t="str">
        <f t="shared" si="102"/>
        <v/>
      </c>
      <c r="Z1362" s="58" t="str">
        <f>IF(OR($M1362="",NOT($O1362="{array}")),"",IFERROR(MATCH(PARAMETERS!$M1362,DEFAULT!$B$5:$CI$5,0),""))</f>
        <v/>
      </c>
      <c r="AA1362" s="55" t="str">
        <f t="shared" si="101"/>
        <v/>
      </c>
      <c r="AB1362" s="62" t="str">
        <f>IF(AND(OR($A1362="G",$A1362="P"),NOT($O1362="{array}")),IF(VLOOKUP($K1362,base!$B$2:$D$20,3,0)="S",IF(OR($O1362="",ISTEXT($O1362)),"","STRING!"),IF(VLOOKUP($K1362,base!$B$2:$D$20,3,0)="","",IF(ISTEXT($O1362),"NUMERIC!",""))),"")</f>
        <v/>
      </c>
      <c r="AC1362" s="16" t="str">
        <f>IF($AA1362="","",IF($B1362="I",VLOOKUP($AA1362,#REF!,53,0),INDEX(VALUES!$B$1:$GP$1,1,$AA1362)))</f>
        <v/>
      </c>
    </row>
    <row r="1363" spans="1:29" hidden="1" outlineLevel="1">
      <c r="A1363" s="21"/>
      <c r="B1363" s="40" t="str">
        <f t="shared" si="100"/>
        <v/>
      </c>
      <c r="C1363" s="41">
        <f t="shared" si="95"/>
        <v>1362</v>
      </c>
      <c r="D1363" s="260"/>
      <c r="E1363" s="37"/>
      <c r="F1363" s="305" t="s">
        <v>9</v>
      </c>
      <c r="G1363" s="188"/>
      <c r="H1363" s="37"/>
      <c r="I1363" s="37" t="s">
        <v>9</v>
      </c>
      <c r="J1363" s="37"/>
      <c r="K1363" s="13" t="s">
        <v>20</v>
      </c>
      <c r="L1363" s="13" t="s">
        <v>29</v>
      </c>
      <c r="M1363" s="19" t="s">
        <v>2757</v>
      </c>
      <c r="N1363" s="13" t="s">
        <v>2703</v>
      </c>
      <c r="O1363" s="42" t="s">
        <v>2537</v>
      </c>
      <c r="R1363" s="37" t="s">
        <v>106</v>
      </c>
      <c r="S1363" s="37"/>
      <c r="T1363" s="37"/>
      <c r="W1363" s="14" t="str">
        <f>IF(IFERROR(VLOOKUP($M1363,'IMPORT GS-Tür OL FL 2S2 20'!$H$2:$H$847,1,0),"-")="-","","GS")</f>
        <v>GS</v>
      </c>
      <c r="X1363" s="14" t="str">
        <f t="shared" si="102"/>
        <v/>
      </c>
      <c r="Z1363" s="58" t="str">
        <f>IF(OR($M1363="",NOT($O1363="{array}")),"",IFERROR(MATCH(PARAMETERS!$M1363,DEFAULT!$B$5:$CI$5,0),""))</f>
        <v/>
      </c>
      <c r="AA1363" s="55" t="str">
        <f t="shared" si="101"/>
        <v/>
      </c>
      <c r="AB1363" s="62" t="str">
        <f>IF(AND(OR($A1363="G",$A1363="P"),NOT($O1363="{array}")),IF(VLOOKUP($K1363,base!$B$2:$D$20,3,0)="S",IF(OR($O1363="",ISTEXT($O1363)),"","STRING!"),IF(VLOOKUP($K1363,base!$B$2:$D$20,3,0)="","",IF(ISTEXT($O1363),"NUMERIC!",""))),"")</f>
        <v/>
      </c>
      <c r="AC1363" s="16" t="str">
        <f>IF($AA1363="","",IF($B1363="I",VLOOKUP($AA1363,#REF!,53,0),INDEX(VALUES!$B$1:$GP$1,1,$AA1363)))</f>
        <v/>
      </c>
    </row>
    <row r="1364" spans="1:29" hidden="1" outlineLevel="1">
      <c r="A1364" s="21"/>
      <c r="B1364" s="40" t="str">
        <f t="shared" si="100"/>
        <v/>
      </c>
      <c r="C1364" s="41">
        <f t="shared" si="95"/>
        <v>1363</v>
      </c>
      <c r="D1364" s="260"/>
      <c r="E1364" s="37"/>
      <c r="F1364" s="305" t="s">
        <v>9</v>
      </c>
      <c r="G1364" s="188"/>
      <c r="H1364" s="37"/>
      <c r="I1364" s="37" t="s">
        <v>9</v>
      </c>
      <c r="J1364" s="37"/>
      <c r="K1364" s="13" t="s">
        <v>55</v>
      </c>
      <c r="L1364" s="13" t="s">
        <v>29</v>
      </c>
      <c r="M1364" s="19" t="s">
        <v>2758</v>
      </c>
      <c r="N1364" s="13" t="s">
        <v>2759</v>
      </c>
      <c r="O1364" s="42">
        <v>1</v>
      </c>
      <c r="R1364" s="37" t="s">
        <v>106</v>
      </c>
      <c r="S1364" s="37"/>
      <c r="T1364" s="37"/>
      <c r="W1364" s="14" t="str">
        <f>IF(IFERROR(VLOOKUP($M1364,'IMPORT GS-Tür OL FL 2S2 20'!$H$2:$H$847,1,0),"-")="-","","GS")</f>
        <v>GS</v>
      </c>
      <c r="X1364" s="14" t="str">
        <f t="shared" si="102"/>
        <v/>
      </c>
      <c r="Z1364" s="58" t="str">
        <f>IF(OR($M1364="",NOT($O1364="{array}")),"",IFERROR(MATCH(PARAMETERS!$M1364,DEFAULT!$B$5:$CI$5,0),""))</f>
        <v/>
      </c>
      <c r="AA1364" s="55" t="str">
        <f t="shared" si="101"/>
        <v/>
      </c>
      <c r="AB1364" s="62" t="str">
        <f>IF(AND(OR($A1364="G",$A1364="P"),NOT($O1364="{array}")),IF(VLOOKUP($K1364,base!$B$2:$D$20,3,0)="S",IF(OR($O1364="",ISTEXT($O1364)),"","STRING!"),IF(VLOOKUP($K1364,base!$B$2:$D$20,3,0)="","",IF(ISTEXT($O1364),"NUMERIC!",""))),"")</f>
        <v/>
      </c>
      <c r="AC1364" s="16" t="str">
        <f>IF($AA1364="","",IF($B1364="I",VLOOKUP($AA1364,#REF!,53,0),INDEX(VALUES!$B$1:$GP$1,1,$AA1364)))</f>
        <v/>
      </c>
    </row>
    <row r="1365" spans="1:29" hidden="1" outlineLevel="1">
      <c r="A1365" s="21"/>
      <c r="B1365" s="40" t="str">
        <f t="shared" si="100"/>
        <v/>
      </c>
      <c r="C1365" s="41">
        <f t="shared" si="95"/>
        <v>1364</v>
      </c>
      <c r="D1365" s="260"/>
      <c r="E1365" s="37"/>
      <c r="F1365" s="305" t="s">
        <v>9</v>
      </c>
      <c r="G1365" s="188"/>
      <c r="H1365" s="37" t="s">
        <v>9</v>
      </c>
      <c r="I1365" s="37"/>
      <c r="J1365" s="37"/>
      <c r="K1365" s="13" t="s">
        <v>49</v>
      </c>
      <c r="L1365" s="13" t="s">
        <v>29</v>
      </c>
      <c r="M1365" s="19" t="s">
        <v>2760</v>
      </c>
      <c r="N1365" s="13" t="s">
        <v>2761</v>
      </c>
      <c r="O1365" s="42">
        <v>1</v>
      </c>
      <c r="R1365" s="37" t="s">
        <v>106</v>
      </c>
      <c r="S1365" s="37"/>
      <c r="T1365" s="37"/>
      <c r="W1365" s="14" t="str">
        <f>IF(IFERROR(VLOOKUP($M1365,'IMPORT GS-Tür OL FL 2S2 20'!$H$2:$H$847,1,0),"-")="-","","GS")</f>
        <v>GS</v>
      </c>
      <c r="X1365" s="14" t="str">
        <f t="shared" si="102"/>
        <v/>
      </c>
      <c r="Z1365" s="58" t="str">
        <f>IF(OR($M1365="",NOT($O1365="{array}")),"",IFERROR(MATCH(PARAMETERS!$M1365,DEFAULT!$B$5:$CI$5,0),""))</f>
        <v/>
      </c>
      <c r="AA1365" s="55" t="str">
        <f t="shared" si="101"/>
        <v/>
      </c>
      <c r="AB1365" s="62" t="str">
        <f>IF(AND(OR($A1365="G",$A1365="P"),NOT($O1365="{array}")),IF(VLOOKUP($K1365,base!$B$2:$D$20,3,0)="S",IF(OR($O1365="",ISTEXT($O1365)),"","STRING!"),IF(VLOOKUP($K1365,base!$B$2:$D$20,3,0)="","",IF(ISTEXT($O1365),"NUMERIC!",""))),"")</f>
        <v/>
      </c>
      <c r="AC1365" s="16" t="str">
        <f>IF($AA1365="","",IF($B1365="I",VLOOKUP($AA1365,#REF!,53,0),INDEX(VALUES!$B$1:$GP$1,1,$AA1365)))</f>
        <v/>
      </c>
    </row>
    <row r="1366" spans="1:29" hidden="1" outlineLevel="1">
      <c r="A1366" s="21"/>
      <c r="B1366" s="40" t="str">
        <f t="shared" si="100"/>
        <v/>
      </c>
      <c r="C1366" s="41">
        <f t="shared" si="95"/>
        <v>1365</v>
      </c>
      <c r="D1366" s="260"/>
      <c r="E1366" s="37"/>
      <c r="F1366" s="305" t="s">
        <v>9</v>
      </c>
      <c r="G1366" s="188"/>
      <c r="H1366" s="37"/>
      <c r="I1366" s="37" t="s">
        <v>9</v>
      </c>
      <c r="J1366" s="37"/>
      <c r="K1366" s="13" t="s">
        <v>53</v>
      </c>
      <c r="L1366" s="13" t="s">
        <v>29</v>
      </c>
      <c r="M1366" s="19" t="s">
        <v>2762</v>
      </c>
      <c r="N1366" s="13" t="s">
        <v>2763</v>
      </c>
      <c r="O1366" s="42">
        <v>21</v>
      </c>
      <c r="R1366" s="37" t="s">
        <v>106</v>
      </c>
      <c r="S1366" s="37"/>
      <c r="T1366" s="37"/>
      <c r="W1366" s="14" t="str">
        <f>IF(IFERROR(VLOOKUP($M1366,'IMPORT GS-Tür OL FL 2S2 20'!$H$2:$H$847,1,0),"-")="-","","GS")</f>
        <v>GS</v>
      </c>
      <c r="X1366" s="14" t="str">
        <f t="shared" si="102"/>
        <v/>
      </c>
      <c r="Z1366" s="58" t="str">
        <f>IF(OR($M1366="",NOT($O1366="{array}")),"",IFERROR(MATCH(PARAMETERS!$M1366,DEFAULT!$B$5:$CI$5,0),""))</f>
        <v/>
      </c>
      <c r="AA1366" s="55" t="str">
        <f t="shared" si="101"/>
        <v/>
      </c>
      <c r="AB1366" s="62" t="str">
        <f>IF(AND(OR($A1366="G",$A1366="P"),NOT($O1366="{array}")),IF(VLOOKUP($K1366,base!$B$2:$D$20,3,0)="S",IF(OR($O1366="",ISTEXT($O1366)),"","STRING!"),IF(VLOOKUP($K1366,base!$B$2:$D$20,3,0)="","",IF(ISTEXT($O1366),"NUMERIC!",""))),"")</f>
        <v/>
      </c>
      <c r="AC1366" s="16" t="str">
        <f>IF($AA1366="","",IF($B1366="I",VLOOKUP($AA1366,#REF!,53,0),INDEX(VALUES!$B$1:$GP$1,1,$AA1366)))</f>
        <v/>
      </c>
    </row>
    <row r="1367" spans="1:29" hidden="1" outlineLevel="1">
      <c r="A1367" s="21"/>
      <c r="B1367" s="40" t="str">
        <f t="shared" si="100"/>
        <v/>
      </c>
      <c r="C1367" s="41">
        <f t="shared" si="95"/>
        <v>1366</v>
      </c>
      <c r="D1367" s="260"/>
      <c r="E1367" s="37"/>
      <c r="F1367" s="305" t="s">
        <v>9</v>
      </c>
      <c r="G1367" s="188"/>
      <c r="H1367" s="37"/>
      <c r="I1367" s="37" t="s">
        <v>9</v>
      </c>
      <c r="J1367" s="37"/>
      <c r="K1367" s="13" t="s">
        <v>55</v>
      </c>
      <c r="L1367" s="13" t="s">
        <v>29</v>
      </c>
      <c r="M1367" s="19" t="s">
        <v>2764</v>
      </c>
      <c r="N1367" s="13" t="s">
        <v>2765</v>
      </c>
      <c r="O1367" s="42">
        <v>6</v>
      </c>
      <c r="R1367" s="37" t="s">
        <v>106</v>
      </c>
      <c r="S1367" s="37"/>
      <c r="T1367" s="37"/>
      <c r="W1367" s="14" t="str">
        <f>IF(IFERROR(VLOOKUP($M1367,'IMPORT GS-Tür OL FL 2S2 20'!$H$2:$H$847,1,0),"-")="-","","GS")</f>
        <v>GS</v>
      </c>
      <c r="X1367" s="14" t="str">
        <f t="shared" si="102"/>
        <v/>
      </c>
      <c r="Z1367" s="58" t="str">
        <f>IF(OR($M1367="",NOT($O1367="{array}")),"",IFERROR(MATCH(PARAMETERS!$M1367,DEFAULT!$B$5:$CI$5,0),""))</f>
        <v/>
      </c>
      <c r="AA1367" s="55" t="str">
        <f t="shared" si="101"/>
        <v/>
      </c>
      <c r="AB1367" s="62" t="str">
        <f>IF(AND(OR($A1367="G",$A1367="P"),NOT($O1367="{array}")),IF(VLOOKUP($K1367,base!$B$2:$D$20,3,0)="S",IF(OR($O1367="",ISTEXT($O1367)),"","STRING!"),IF(VLOOKUP($K1367,base!$B$2:$D$20,3,0)="","",IF(ISTEXT($O1367),"NUMERIC!",""))),"")</f>
        <v/>
      </c>
      <c r="AC1367" s="16" t="str">
        <f>IF($AA1367="","",IF($B1367="I",VLOOKUP($AA1367,#REF!,53,0),INDEX(VALUES!$B$1:$GP$1,1,$AA1367)))</f>
        <v/>
      </c>
    </row>
    <row r="1368" spans="1:29" collapsed="1">
      <c r="A1368" s="21" t="s">
        <v>86</v>
      </c>
      <c r="B1368" s="40" t="str">
        <f t="shared" si="100"/>
        <v/>
      </c>
      <c r="C1368" s="41">
        <f t="shared" si="95"/>
        <v>1367</v>
      </c>
      <c r="D1368" s="260"/>
      <c r="E1368" s="37"/>
      <c r="F1368" s="305" t="s">
        <v>9</v>
      </c>
      <c r="G1368" s="188"/>
      <c r="H1368" s="37"/>
      <c r="I1368" s="37"/>
      <c r="J1368" s="37"/>
      <c r="K1368" s="13" t="s">
        <v>59</v>
      </c>
      <c r="L1368" s="13" t="s">
        <v>29</v>
      </c>
      <c r="M1368" s="47" t="s">
        <v>2766</v>
      </c>
      <c r="N1368" s="40" t="s">
        <v>2767</v>
      </c>
      <c r="R1368" s="37" t="s">
        <v>106</v>
      </c>
      <c r="S1368" s="37"/>
      <c r="T1368" s="37"/>
      <c r="W1368" s="14" t="str">
        <f>IF(IFERROR(VLOOKUP($M1368,'IMPORT GS-Tür OL FL 2S2 20'!$H$2:$H$847,1,0),"-")="-","","GS")</f>
        <v>GS</v>
      </c>
      <c r="X1368" s="14" t="str">
        <f t="shared" si="102"/>
        <v>...</v>
      </c>
      <c r="Z1368" s="58" t="str">
        <f>IF(OR($M1368="",NOT($O1368="{array}")),"",IFERROR(MATCH(PARAMETERS!$M1368,DEFAULT!$B$5:$CI$5,0),""))</f>
        <v/>
      </c>
      <c r="AA1368" s="55" t="str">
        <f t="shared" si="101"/>
        <v/>
      </c>
      <c r="AB1368" s="62" t="str">
        <f>IF(AND(OR($A1368="G",$A1368="P"),NOT($O1368="{array}")),IF(VLOOKUP($K1368,base!$B$2:$D$20,3,0)="S",IF(OR($O1368="",ISTEXT($O1368)),"","STRING!"),IF(VLOOKUP($K1368,base!$B$2:$D$20,3,0)="","",IF(ISTEXT($O1368),"NUMERIC!",""))),"")</f>
        <v/>
      </c>
      <c r="AC1368" s="16" t="str">
        <f>IF($AA1368="","",IF($B1368="I",VLOOKUP($AA1368,#REF!,53,0),INDEX(VALUES!$B$1:$GP$1,1,$AA1368)))</f>
        <v/>
      </c>
    </row>
    <row r="1369" spans="1:29" hidden="1" outlineLevel="1">
      <c r="A1369" s="21" t="s">
        <v>86</v>
      </c>
      <c r="B1369" s="40" t="str">
        <f t="shared" si="100"/>
        <v>V</v>
      </c>
      <c r="C1369" s="41">
        <f t="shared" si="95"/>
        <v>1368</v>
      </c>
      <c r="D1369" s="260" t="s">
        <v>9</v>
      </c>
      <c r="E1369" s="37"/>
      <c r="F1369" s="305" t="s">
        <v>9</v>
      </c>
      <c r="G1369" s="188" t="s">
        <v>9</v>
      </c>
      <c r="H1369" s="37"/>
      <c r="I1369" s="37" t="s">
        <v>9</v>
      </c>
      <c r="J1369" s="37"/>
      <c r="K1369" s="13" t="s">
        <v>46</v>
      </c>
      <c r="L1369" s="13" t="s">
        <v>29</v>
      </c>
      <c r="M1369" s="184" t="s">
        <v>4035</v>
      </c>
      <c r="N1369" s="52" t="s">
        <v>4036</v>
      </c>
      <c r="O1369" s="42">
        <v>0</v>
      </c>
      <c r="R1369" s="37" t="s">
        <v>204</v>
      </c>
      <c r="S1369" s="37"/>
      <c r="T1369" s="37"/>
      <c r="W1369" s="14" t="str">
        <f>IF(IFERROR(VLOOKUP($M1369,'IMPORT GS-Tür OL FL 2S2 20'!$H$2:$H$847,1,0),"-")="-","","GS")</f>
        <v/>
      </c>
      <c r="X1369" s="14" t="str">
        <f t="shared" si="102"/>
        <v>&gt;&lt;</v>
      </c>
      <c r="Z1369" s="58" t="str">
        <f>IF(OR($M1369="",NOT($O1369="{array}")),"",IFERROR(MATCH(PARAMETERS!$M1369,DEFAULT!$B$5:$CI$5,0),""))</f>
        <v/>
      </c>
      <c r="AA1369" s="55">
        <f t="shared" si="101"/>
        <v>28</v>
      </c>
      <c r="AB1369" s="62" t="str">
        <f>IF(AND(OR($A1369="G",$A1369="P"),NOT($O1369="{array}")),IF(VLOOKUP($K1369,base!$B$2:$D$20,3,0)="S",IF(OR($O1369="",ISTEXT($O1369)),"","STRING!"),IF(VLOOKUP($K1369,base!$B$2:$D$20,3,0)="","",IF(ISTEXT($O1369),"NUMERIC!",""))),"")</f>
        <v/>
      </c>
      <c r="AC1369" s="16" t="str">
        <f>IF($AA1369="","",IF($B1369="I",VLOOKUP($AA1369,#REF!,53,0),INDEX(VALUES!$B$1:$GP$1,1,$AA1369)))</f>
        <v>0 | 1 | 2 | 5 | 6</v>
      </c>
    </row>
    <row r="1370" spans="1:29" hidden="1" outlineLevel="1">
      <c r="A1370" s="21" t="s">
        <v>86</v>
      </c>
      <c r="B1370" s="40" t="str">
        <f t="shared" si="100"/>
        <v/>
      </c>
      <c r="C1370" s="41">
        <f t="shared" si="95"/>
        <v>1369</v>
      </c>
      <c r="D1370" s="260" t="s">
        <v>9</v>
      </c>
      <c r="E1370" s="37"/>
      <c r="F1370" s="305" t="s">
        <v>9</v>
      </c>
      <c r="G1370" s="188"/>
      <c r="H1370" s="37"/>
      <c r="I1370" s="37" t="s">
        <v>9</v>
      </c>
      <c r="J1370" s="37"/>
      <c r="K1370" s="13" t="s">
        <v>26</v>
      </c>
      <c r="L1370" s="13" t="s">
        <v>29</v>
      </c>
      <c r="M1370" s="19" t="s">
        <v>2768</v>
      </c>
      <c r="N1370" s="13" t="s">
        <v>4041</v>
      </c>
      <c r="O1370" s="42">
        <v>0.1</v>
      </c>
      <c r="R1370" s="37" t="s">
        <v>106</v>
      </c>
      <c r="S1370" s="37"/>
      <c r="T1370" s="37"/>
      <c r="W1370" s="14" t="str">
        <f>IF(IFERROR(VLOOKUP($M1370,'IMPORT GS-Tür OL FL 2S2 20'!$H$2:$H$847,1,0),"-")="-","","GS")</f>
        <v>GS</v>
      </c>
      <c r="X1370" s="14" t="str">
        <f t="shared" si="102"/>
        <v>...</v>
      </c>
      <c r="Z1370" s="58" t="str">
        <f>IF(OR($M1370="",NOT($O1370="{array}")),"",IFERROR(MATCH(PARAMETERS!$M1370,DEFAULT!$B$5:$CI$5,0),""))</f>
        <v/>
      </c>
      <c r="AA1370" s="55" t="str">
        <f t="shared" si="101"/>
        <v/>
      </c>
      <c r="AB1370" s="62" t="str">
        <f>IF(AND(OR($A1370="G",$A1370="P"),NOT($O1370="{array}")),IF(VLOOKUP($K1370,base!$B$2:$D$20,3,0)="S",IF(OR($O1370="",ISTEXT($O1370)),"","STRING!"),IF(VLOOKUP($K1370,base!$B$2:$D$20,3,0)="","",IF(ISTEXT($O1370),"NUMERIC!",""))),"")</f>
        <v/>
      </c>
      <c r="AC1370" s="16" t="str">
        <f>IF($AA1370="","",IF($B1370="I",VLOOKUP($AA1370,#REF!,53,0),INDEX(VALUES!$B$1:$GP$1,1,$AA1370)))</f>
        <v/>
      </c>
    </row>
    <row r="1371" spans="1:29" hidden="1" outlineLevel="1">
      <c r="A1371" s="21" t="s">
        <v>86</v>
      </c>
      <c r="B1371" s="40" t="str">
        <f t="shared" si="100"/>
        <v/>
      </c>
      <c r="C1371" s="41">
        <f t="shared" si="95"/>
        <v>1370</v>
      </c>
      <c r="D1371" s="260" t="s">
        <v>9</v>
      </c>
      <c r="E1371" s="37"/>
      <c r="F1371" s="305" t="s">
        <v>9</v>
      </c>
      <c r="G1371" s="188"/>
      <c r="H1371" s="37"/>
      <c r="I1371" s="37" t="s">
        <v>9</v>
      </c>
      <c r="J1371" s="37"/>
      <c r="K1371" s="13" t="s">
        <v>26</v>
      </c>
      <c r="L1371" s="13" t="s">
        <v>29</v>
      </c>
      <c r="M1371" s="19" t="s">
        <v>2769</v>
      </c>
      <c r="N1371" s="13" t="s">
        <v>4042</v>
      </c>
      <c r="O1371" s="42">
        <v>0.1</v>
      </c>
      <c r="R1371" s="37" t="s">
        <v>106</v>
      </c>
      <c r="S1371" s="37"/>
      <c r="T1371" s="37"/>
      <c r="W1371" s="14" t="str">
        <f>IF(IFERROR(VLOOKUP($M1371,'IMPORT GS-Tür OL FL 2S2 20'!$H$2:$H$847,1,0),"-")="-","","GS")</f>
        <v>GS</v>
      </c>
      <c r="X1371" s="14" t="str">
        <f t="shared" si="102"/>
        <v>...</v>
      </c>
      <c r="Z1371" s="58" t="str">
        <f>IF(OR($M1371="",NOT($O1371="{array}")),"",IFERROR(MATCH(PARAMETERS!$M1371,DEFAULT!$B$5:$CI$5,0),""))</f>
        <v/>
      </c>
      <c r="AA1371" s="55" t="str">
        <f t="shared" si="101"/>
        <v/>
      </c>
      <c r="AB1371" s="62" t="str">
        <f>IF(AND(OR($A1371="G",$A1371="P"),NOT($O1371="{array}")),IF(VLOOKUP($K1371,base!$B$2:$D$20,3,0)="S",IF(OR($O1371="",ISTEXT($O1371)),"","STRING!"),IF(VLOOKUP($K1371,base!$B$2:$D$20,3,0)="","",IF(ISTEXT($O1371),"NUMERIC!",""))),"")</f>
        <v/>
      </c>
      <c r="AC1371" s="16" t="str">
        <f>IF($AA1371="","",IF($B1371="I",VLOOKUP($AA1371,#REF!,53,0),INDEX(VALUES!$B$1:$GP$1,1,$AA1371)))</f>
        <v/>
      </c>
    </row>
    <row r="1372" spans="1:29" hidden="1" outlineLevel="1">
      <c r="A1372" s="21" t="s">
        <v>86</v>
      </c>
      <c r="B1372" s="40" t="str">
        <f t="shared" si="100"/>
        <v/>
      </c>
      <c r="C1372" s="41">
        <f t="shared" si="95"/>
        <v>1371</v>
      </c>
      <c r="D1372" s="260" t="s">
        <v>9</v>
      </c>
      <c r="E1372" s="37"/>
      <c r="F1372" s="305" t="s">
        <v>9</v>
      </c>
      <c r="G1372" s="188"/>
      <c r="H1372" s="37"/>
      <c r="I1372" s="37" t="s">
        <v>9</v>
      </c>
      <c r="J1372" s="37"/>
      <c r="K1372" s="13" t="s">
        <v>26</v>
      </c>
      <c r="L1372" s="13" t="s">
        <v>29</v>
      </c>
      <c r="M1372" s="19" t="s">
        <v>2770</v>
      </c>
      <c r="N1372" s="13" t="s">
        <v>2771</v>
      </c>
      <c r="O1372" s="42">
        <v>1.8</v>
      </c>
      <c r="R1372" s="37" t="s">
        <v>106</v>
      </c>
      <c r="S1372" s="37"/>
      <c r="T1372" s="37"/>
      <c r="W1372" s="14" t="str">
        <f>IF(IFERROR(VLOOKUP($M1372,'IMPORT GS-Tür OL FL 2S2 20'!$H$2:$H$847,1,0),"-")="-","","GS")</f>
        <v>GS</v>
      </c>
      <c r="X1372" s="14" t="str">
        <f t="shared" ref="X1372:X1427" si="103">IF($A1372="G",IF(IFERROR(VLOOKUP($M1372,Reimport,1,0),"-")="-","&gt;&lt;",IF($O1372=VLOOKUP($M1372,Reimport,2,0),"...",VLOOKUP($M1372,Reimport,2,0))),"")</f>
        <v>...</v>
      </c>
      <c r="Z1372" s="58" t="str">
        <f>IF(OR($M1372="",NOT($O1372="{array}")),"",IFERROR(MATCH(PARAMETERS!$M1372,DEFAULT!$B$5:$CI$5,0),""))</f>
        <v/>
      </c>
      <c r="AA1372" s="55" t="str">
        <f t="shared" si="93"/>
        <v/>
      </c>
      <c r="AB1372" s="62" t="str">
        <f>IF(AND(OR($A1372="G",$A1372="P"),NOT($O1372="{array}")),IF(VLOOKUP($K1372,base!$B$2:$D$20,3,0)="S",IF(OR($O1372="",ISTEXT($O1372)),"","STRING!"),IF(VLOOKUP($K1372,base!$B$2:$D$20,3,0)="","",IF(ISTEXT($O1372),"NUMERIC!",""))),"")</f>
        <v/>
      </c>
      <c r="AC1372" s="16" t="str">
        <f>IF($AA1372="","",IF($B1372="I",VLOOKUP($AA1372,#REF!,53,0),INDEX(VALUES!$B$1:$GP$1,1,$AA1372)))</f>
        <v/>
      </c>
    </row>
    <row r="1373" spans="1:29" hidden="1" outlineLevel="1">
      <c r="A1373" s="21" t="s">
        <v>86</v>
      </c>
      <c r="B1373" s="40" t="str">
        <f t="shared" si="100"/>
        <v/>
      </c>
      <c r="C1373" s="41">
        <f t="shared" si="95"/>
        <v>1372</v>
      </c>
      <c r="D1373" s="260" t="s">
        <v>9</v>
      </c>
      <c r="E1373" s="37"/>
      <c r="F1373" s="305" t="s">
        <v>9</v>
      </c>
      <c r="G1373" s="188"/>
      <c r="H1373" s="37"/>
      <c r="I1373" s="37" t="s">
        <v>9</v>
      </c>
      <c r="J1373" s="37"/>
      <c r="K1373" s="13" t="s">
        <v>26</v>
      </c>
      <c r="L1373" s="13" t="s">
        <v>29</v>
      </c>
      <c r="M1373" s="19" t="s">
        <v>2772</v>
      </c>
      <c r="N1373" s="13" t="s">
        <v>4043</v>
      </c>
      <c r="O1373" s="42">
        <v>0.1</v>
      </c>
      <c r="R1373" s="37" t="s">
        <v>106</v>
      </c>
      <c r="S1373" s="37"/>
      <c r="T1373" s="37"/>
      <c r="W1373" s="14" t="str">
        <f>IF(IFERROR(VLOOKUP($M1373,'IMPORT GS-Tür OL FL 2S2 20'!$H$2:$H$847,1,0),"-")="-","","GS")</f>
        <v>GS</v>
      </c>
      <c r="X1373" s="14" t="str">
        <f t="shared" si="103"/>
        <v>...</v>
      </c>
      <c r="Z1373" s="58" t="str">
        <f>IF(OR($M1373="",NOT($O1373="{array}")),"",IFERROR(MATCH(PARAMETERS!$M1373,DEFAULT!$B$5:$CI$5,0),""))</f>
        <v/>
      </c>
      <c r="AA1373" s="55" t="str">
        <f t="shared" si="93"/>
        <v/>
      </c>
      <c r="AB1373" s="62" t="str">
        <f>IF(AND(OR($A1373="G",$A1373="P"),NOT($O1373="{array}")),IF(VLOOKUP($K1373,base!$B$2:$D$20,3,0)="S",IF(OR($O1373="",ISTEXT($O1373)),"","STRING!"),IF(VLOOKUP($K1373,base!$B$2:$D$20,3,0)="","",IF(ISTEXT($O1373),"NUMERIC!",""))),"")</f>
        <v/>
      </c>
      <c r="AC1373" s="16" t="str">
        <f>IF($AA1373="","",IF($B1373="I",VLOOKUP($AA1373,#REF!,53,0),INDEX(VALUES!$B$1:$GP$1,1,$AA1373)))</f>
        <v/>
      </c>
    </row>
    <row r="1374" spans="1:29" hidden="1" outlineLevel="1">
      <c r="A1374" s="21" t="s">
        <v>86</v>
      </c>
      <c r="B1374" s="40" t="str">
        <f t="shared" si="100"/>
        <v/>
      </c>
      <c r="C1374" s="41">
        <f t="shared" si="95"/>
        <v>1373</v>
      </c>
      <c r="D1374" s="260" t="s">
        <v>9</v>
      </c>
      <c r="E1374" s="37"/>
      <c r="F1374" s="305" t="s">
        <v>9</v>
      </c>
      <c r="G1374" s="188"/>
      <c r="H1374" s="37"/>
      <c r="I1374" s="37" t="s">
        <v>9</v>
      </c>
      <c r="J1374" s="37"/>
      <c r="K1374" s="13" t="s">
        <v>26</v>
      </c>
      <c r="L1374" s="13" t="s">
        <v>29</v>
      </c>
      <c r="M1374" s="19" t="s">
        <v>2773</v>
      </c>
      <c r="N1374" s="13" t="s">
        <v>4044</v>
      </c>
      <c r="O1374" s="42">
        <v>0.1</v>
      </c>
      <c r="R1374" s="37" t="s">
        <v>106</v>
      </c>
      <c r="S1374" s="37"/>
      <c r="T1374" s="37"/>
      <c r="W1374" s="14" t="str">
        <f>IF(IFERROR(VLOOKUP($M1374,'IMPORT GS-Tür OL FL 2S2 20'!$H$2:$H$847,1,0),"-")="-","","GS")</f>
        <v>GS</v>
      </c>
      <c r="X1374" s="14" t="str">
        <f t="shared" si="103"/>
        <v>...</v>
      </c>
      <c r="Z1374" s="58" t="str">
        <f>IF(OR($M1374="",NOT($O1374="{array}")),"",IFERROR(MATCH(PARAMETERS!$M1374,DEFAULT!$B$5:$CI$5,0),""))</f>
        <v/>
      </c>
      <c r="AA1374" s="55" t="str">
        <f t="shared" si="93"/>
        <v/>
      </c>
      <c r="AB1374" s="62" t="str">
        <f>IF(AND(OR($A1374="G",$A1374="P"),NOT($O1374="{array}")),IF(VLOOKUP($K1374,base!$B$2:$D$20,3,0)="S",IF(OR($O1374="",ISTEXT($O1374)),"","STRING!"),IF(VLOOKUP($K1374,base!$B$2:$D$20,3,0)="","",IF(ISTEXT($O1374),"NUMERIC!",""))),"")</f>
        <v/>
      </c>
      <c r="AC1374" s="16" t="str">
        <f>IF($AA1374="","",IF($B1374="I",VLOOKUP($AA1374,#REF!,53,0),INDEX(VALUES!$B$1:$GP$1,1,$AA1374)))</f>
        <v/>
      </c>
    </row>
    <row r="1375" spans="1:29" hidden="1" outlineLevel="1">
      <c r="A1375" s="21" t="s">
        <v>86</v>
      </c>
      <c r="B1375" s="40" t="str">
        <f t="shared" si="100"/>
        <v/>
      </c>
      <c r="C1375" s="41">
        <f t="shared" si="95"/>
        <v>1374</v>
      </c>
      <c r="D1375" s="260" t="s">
        <v>9</v>
      </c>
      <c r="E1375" s="37"/>
      <c r="F1375" s="305" t="s">
        <v>9</v>
      </c>
      <c r="G1375" s="188"/>
      <c r="H1375" s="37"/>
      <c r="I1375" s="37" t="s">
        <v>9</v>
      </c>
      <c r="J1375" s="37"/>
      <c r="K1375" s="13" t="s">
        <v>26</v>
      </c>
      <c r="L1375" s="13" t="s">
        <v>29</v>
      </c>
      <c r="M1375" s="19" t="s">
        <v>2774</v>
      </c>
      <c r="N1375" s="13" t="s">
        <v>2775</v>
      </c>
      <c r="O1375" s="42">
        <v>1.2</v>
      </c>
      <c r="R1375" s="37" t="s">
        <v>106</v>
      </c>
      <c r="S1375" s="37"/>
      <c r="T1375" s="37"/>
      <c r="W1375" s="14" t="str">
        <f>IF(IFERROR(VLOOKUP($M1375,'IMPORT GS-Tür OL FL 2S2 20'!$H$2:$H$847,1,0),"-")="-","","GS")</f>
        <v>GS</v>
      </c>
      <c r="X1375" s="14" t="str">
        <f t="shared" si="103"/>
        <v>...</v>
      </c>
      <c r="Z1375" s="58" t="str">
        <f>IF(OR($M1375="",NOT($O1375="{array}")),"",IFERROR(MATCH(PARAMETERS!$M1375,DEFAULT!$B$5:$CI$5,0),""))</f>
        <v/>
      </c>
      <c r="AA1375" s="55" t="str">
        <f t="shared" si="93"/>
        <v/>
      </c>
      <c r="AB1375" s="62" t="str">
        <f>IF(AND(OR($A1375="G",$A1375="P"),NOT($O1375="{array}")),IF(VLOOKUP($K1375,base!$B$2:$D$20,3,0)="S",IF(OR($O1375="",ISTEXT($O1375)),"","STRING!"),IF(VLOOKUP($K1375,base!$B$2:$D$20,3,0)="","",IF(ISTEXT($O1375),"NUMERIC!",""))),"")</f>
        <v/>
      </c>
      <c r="AC1375" s="16" t="str">
        <f>IF($AA1375="","",IF($B1375="I",VLOOKUP($AA1375,#REF!,53,0),INDEX(VALUES!$B$1:$GP$1,1,$AA1375)))</f>
        <v/>
      </c>
    </row>
    <row r="1376" spans="1:29" hidden="1" outlineLevel="1">
      <c r="A1376" s="21"/>
      <c r="B1376" s="40" t="str">
        <f t="shared" si="100"/>
        <v/>
      </c>
      <c r="C1376" s="41">
        <f t="shared" si="95"/>
        <v>1375</v>
      </c>
      <c r="D1376" s="260"/>
      <c r="E1376" s="37"/>
      <c r="F1376" s="305" t="s">
        <v>9</v>
      </c>
      <c r="G1376" s="188"/>
      <c r="H1376" s="37"/>
      <c r="I1376" s="37" t="s">
        <v>9</v>
      </c>
      <c r="J1376" s="37"/>
      <c r="K1376" s="13" t="s">
        <v>26</v>
      </c>
      <c r="L1376" s="13" t="s">
        <v>29</v>
      </c>
      <c r="M1376" s="234" t="s">
        <v>3616</v>
      </c>
      <c r="N1376" s="219" t="s">
        <v>3619</v>
      </c>
      <c r="O1376" s="42">
        <v>0</v>
      </c>
      <c r="R1376" s="37" t="s">
        <v>106</v>
      </c>
      <c r="S1376" s="37"/>
      <c r="T1376" s="37"/>
      <c r="W1376" s="14" t="str">
        <f>IF(IFERROR(VLOOKUP($M1376,'IMPORT GS-Tür OL FL 2S2 20'!$H$2:$H$847,1,0),"-")="-","","GS")</f>
        <v/>
      </c>
      <c r="X1376" s="14" t="str">
        <f t="shared" si="103"/>
        <v/>
      </c>
      <c r="Y1376" s="219" t="s">
        <v>3620</v>
      </c>
      <c r="Z1376" s="58" t="str">
        <f>IF(OR($M1376="",NOT($O1376="{array}")),"",IFERROR(MATCH(PARAMETERS!$M1376,DEFAULT!$B$5:$CI$5,0),""))</f>
        <v/>
      </c>
      <c r="AA1376" s="55" t="str">
        <f>IF($M1376="","",IFERROR(MATCH($M1376,VALUESnames,0),""))</f>
        <v/>
      </c>
      <c r="AB1376" s="62" t="str">
        <f>IF(AND(OR($A1376="G",$A1376="P"),NOT($O1376="{array}")),IF(VLOOKUP($K1376,base!$B$2:$D$20,3,0)="S",IF(OR($O1376="",ISTEXT($O1376)),"","STRING!"),IF(VLOOKUP($K1376,base!$B$2:$D$20,3,0)="","",IF(ISTEXT($O1376),"NUMERIC!",""))),"")</f>
        <v/>
      </c>
      <c r="AC1376" s="16" t="str">
        <f>IF($AA1376="","",IF($B1376="I",VLOOKUP($AA1376,#REF!,53,0),INDEX(VALUES!$B$1:$GP$1,1,$AA1376)))</f>
        <v/>
      </c>
    </row>
    <row r="1377" spans="1:29" hidden="1" outlineLevel="1">
      <c r="A1377" s="21"/>
      <c r="B1377" s="40" t="str">
        <f t="shared" si="100"/>
        <v/>
      </c>
      <c r="C1377" s="41">
        <f t="shared" si="95"/>
        <v>1376</v>
      </c>
      <c r="D1377" s="260"/>
      <c r="E1377" s="37"/>
      <c r="F1377" s="305" t="s">
        <v>9</v>
      </c>
      <c r="G1377" s="188"/>
      <c r="H1377" s="37"/>
      <c r="I1377" s="37" t="s">
        <v>9</v>
      </c>
      <c r="J1377" s="37"/>
      <c r="K1377" s="13" t="s">
        <v>26</v>
      </c>
      <c r="L1377" s="13" t="s">
        <v>29</v>
      </c>
      <c r="M1377" s="234" t="s">
        <v>3617</v>
      </c>
      <c r="N1377" s="219" t="s">
        <v>3618</v>
      </c>
      <c r="O1377" s="42">
        <v>0</v>
      </c>
      <c r="R1377" s="37" t="s">
        <v>106</v>
      </c>
      <c r="S1377" s="37"/>
      <c r="T1377" s="37"/>
      <c r="W1377" s="14" t="str">
        <f>IF(IFERROR(VLOOKUP($M1377,'IMPORT GS-Tür OL FL 2S2 20'!$H$2:$H$847,1,0),"-")="-","","GS")</f>
        <v/>
      </c>
      <c r="X1377" s="14" t="str">
        <f t="shared" si="103"/>
        <v/>
      </c>
      <c r="Y1377" s="219" t="s">
        <v>3620</v>
      </c>
      <c r="Z1377" s="58" t="str">
        <f>IF(OR($M1377="",NOT($O1377="{array}")),"",IFERROR(MATCH(PARAMETERS!$M1377,DEFAULT!$B$5:$CI$5,0),""))</f>
        <v/>
      </c>
      <c r="AA1377" s="55" t="str">
        <f>IF($M1377="","",IFERROR(MATCH($M1377,VALUESnames,0),""))</f>
        <v/>
      </c>
      <c r="AB1377" s="62" t="str">
        <f>IF(AND(OR($A1377="G",$A1377="P"),NOT($O1377="{array}")),IF(VLOOKUP($K1377,base!$B$2:$D$20,3,0)="S",IF(OR($O1377="",ISTEXT($O1377)),"","STRING!"),IF(VLOOKUP($K1377,base!$B$2:$D$20,3,0)="","",IF(ISTEXT($O1377),"NUMERIC!",""))),"")</f>
        <v/>
      </c>
      <c r="AC1377" s="16" t="str">
        <f>IF($AA1377="","",IF($B1377="I",VLOOKUP($AA1377,#REF!,53,0),INDEX(VALUES!$B$1:$GP$1,1,$AA1377)))</f>
        <v/>
      </c>
    </row>
    <row r="1378" spans="1:29" hidden="1" outlineLevel="1">
      <c r="A1378" s="21"/>
      <c r="B1378" s="40" t="str">
        <f t="shared" si="100"/>
        <v/>
      </c>
      <c r="C1378" s="41">
        <f t="shared" si="95"/>
        <v>1377</v>
      </c>
      <c r="D1378" s="260"/>
      <c r="E1378" s="37"/>
      <c r="F1378" s="305"/>
      <c r="G1378" s="188" t="s">
        <v>9</v>
      </c>
      <c r="H1378" s="37"/>
      <c r="I1378" s="37" t="s">
        <v>9</v>
      </c>
      <c r="J1378" s="37"/>
      <c r="K1378" s="13" t="s">
        <v>46</v>
      </c>
      <c r="L1378" s="13" t="s">
        <v>29</v>
      </c>
      <c r="M1378" s="234" t="s">
        <v>2776</v>
      </c>
      <c r="N1378" s="13" t="s">
        <v>2777</v>
      </c>
      <c r="O1378" s="42">
        <v>0</v>
      </c>
      <c r="R1378" s="37" t="s">
        <v>106</v>
      </c>
      <c r="S1378" s="37"/>
      <c r="T1378" s="37"/>
      <c r="W1378" s="14" t="str">
        <f>IF(IFERROR(VLOOKUP($M1378,'IMPORT GS-Tür OL FL 2S2 20'!$H$2:$H$847,1,0),"-")="-","","GS")</f>
        <v>GS</v>
      </c>
      <c r="X1378" s="14" t="str">
        <f t="shared" si="103"/>
        <v/>
      </c>
      <c r="Y1378" s="52" t="s">
        <v>2778</v>
      </c>
      <c r="Z1378" s="58" t="str">
        <f>IF(OR($M1378="",NOT($O1378="{array}")),"",IFERROR(MATCH(PARAMETERS!$M1378,DEFAULT!$B$5:$CI$5,0),""))</f>
        <v/>
      </c>
      <c r="AA1378" s="55" t="str">
        <f t="shared" si="93"/>
        <v/>
      </c>
      <c r="AB1378" s="62" t="str">
        <f>IF(AND(OR($A1378="G",$A1378="P"),NOT($O1378="{array}")),IF(VLOOKUP($K1378,base!$B$2:$D$20,3,0)="S",IF(OR($O1378="",ISTEXT($O1378)),"","STRING!"),IF(VLOOKUP($K1378,base!$B$2:$D$20,3,0)="","",IF(ISTEXT($O1378),"NUMERIC!",""))),"")</f>
        <v/>
      </c>
      <c r="AC1378" s="16" t="str">
        <f>IF($AA1378="","",IF($B1378="I",VLOOKUP($AA1378,#REF!,53,0),INDEX(VALUES!$B$1:$GP$1,1,$AA1378)))</f>
        <v/>
      </c>
    </row>
    <row r="1379" spans="1:29" collapsed="1">
      <c r="A1379" s="21" t="s">
        <v>86</v>
      </c>
      <c r="B1379" s="40" t="str">
        <f t="shared" si="100"/>
        <v/>
      </c>
      <c r="C1379" s="41">
        <f t="shared" si="95"/>
        <v>1378</v>
      </c>
      <c r="D1379" s="260"/>
      <c r="E1379" s="37"/>
      <c r="F1379" s="305" t="s">
        <v>9</v>
      </c>
      <c r="G1379" s="188" t="s">
        <v>9</v>
      </c>
      <c r="H1379" s="37"/>
      <c r="I1379" s="37"/>
      <c r="J1379" s="37"/>
      <c r="K1379" s="13" t="s">
        <v>59</v>
      </c>
      <c r="L1379" s="13" t="s">
        <v>40</v>
      </c>
      <c r="M1379" s="47" t="s">
        <v>2779</v>
      </c>
      <c r="N1379" s="40" t="s">
        <v>2780</v>
      </c>
      <c r="R1379" s="37" t="s">
        <v>106</v>
      </c>
      <c r="S1379" s="37"/>
      <c r="T1379" s="37"/>
      <c r="W1379" s="14" t="str">
        <f>IF(IFERROR(VLOOKUP($M1379,'IMPORT GS-Tür OL FL 2S2 20'!$H$2:$H$847,1,0),"-")="-","","GS")</f>
        <v>GS</v>
      </c>
      <c r="X1379" s="14" t="str">
        <f t="shared" si="103"/>
        <v>...</v>
      </c>
      <c r="Z1379" s="58" t="str">
        <f>IF(OR($M1379="",NOT($O1379="{array}")),"",IFERROR(MATCH(PARAMETERS!$M1379,DEFAULT!$B$5:$CI$5,0),""))</f>
        <v/>
      </c>
      <c r="AA1379" s="55" t="str">
        <f t="shared" si="93"/>
        <v/>
      </c>
      <c r="AB1379" s="62" t="str">
        <f>IF(AND(OR($A1379="G",$A1379="P"),NOT($O1379="{array}")),IF(VLOOKUP($K1379,base!$B$2:$D$20,3,0)="S",IF(OR($O1379="",ISTEXT($O1379)),"","STRING!"),IF(VLOOKUP($K1379,base!$B$2:$D$20,3,0)="","",IF(ISTEXT($O1379),"NUMERIC!",""))),"")</f>
        <v/>
      </c>
      <c r="AC1379" s="16" t="str">
        <f>IF($AA1379="","",IF($B1379="I",VLOOKUP($AA1379,#REF!,53,0),INDEX(VALUES!$B$1:$GP$1,1,$AA1379)))</f>
        <v/>
      </c>
    </row>
    <row r="1380" spans="1:29">
      <c r="A1380" s="21"/>
      <c r="B1380" s="40" t="str">
        <f t="shared" si="100"/>
        <v/>
      </c>
      <c r="C1380" s="41">
        <f t="shared" si="95"/>
        <v>1379</v>
      </c>
      <c r="D1380" s="260"/>
      <c r="E1380" s="37"/>
      <c r="F1380" s="305" t="s">
        <v>9</v>
      </c>
      <c r="G1380" s="188" t="s">
        <v>9</v>
      </c>
      <c r="H1380" s="37"/>
      <c r="I1380" s="37"/>
      <c r="J1380" s="37"/>
      <c r="K1380" s="13" t="s">
        <v>59</v>
      </c>
      <c r="L1380" s="13" t="s">
        <v>40</v>
      </c>
      <c r="M1380" s="47" t="s">
        <v>213</v>
      </c>
      <c r="N1380" s="40" t="s">
        <v>214</v>
      </c>
      <c r="R1380" s="37" t="s">
        <v>106</v>
      </c>
      <c r="S1380" s="37"/>
      <c r="T1380" s="37"/>
      <c r="W1380" s="14" t="str">
        <f>IF(IFERROR(VLOOKUP($M1380,'IMPORT GS-Tür OL FL 2S2 20'!$H$2:$H$847,1,0),"-")="-","","GS")</f>
        <v>GS</v>
      </c>
      <c r="X1380" s="14" t="str">
        <f t="shared" si="103"/>
        <v/>
      </c>
      <c r="Z1380" s="58" t="str">
        <f>IF(OR($M1380="",NOT($O1380="{array}")),"",IFERROR(MATCH(PARAMETERS!$M1380,DEFAULT!$B$5:$CI$5,0),""))</f>
        <v/>
      </c>
      <c r="AA1380" s="55" t="str">
        <f t="shared" si="93"/>
        <v/>
      </c>
      <c r="AB1380" s="62" t="str">
        <f>IF(AND(OR($A1380="G",$A1380="P"),NOT($O1380="{array}")),IF(VLOOKUP($K1380,base!$B$2:$D$20,3,0)="S",IF(OR($O1380="",ISTEXT($O1380)),"","STRING!"),IF(VLOOKUP($K1380,base!$B$2:$D$20,3,0)="","",IF(ISTEXT($O1380),"NUMERIC!",""))),"")</f>
        <v/>
      </c>
      <c r="AC1380" s="16" t="str">
        <f>IF($AA1380="","",IF($B1380="I",VLOOKUP($AA1380,#REF!,53,0),INDEX(VALUES!$B$1:$GP$1,1,$AA1380)))</f>
        <v/>
      </c>
    </row>
    <row r="1381" spans="1:29" hidden="1" outlineLevel="1">
      <c r="A1381" s="21" t="s">
        <v>86</v>
      </c>
      <c r="B1381" s="40" t="str">
        <f t="shared" si="100"/>
        <v>A</v>
      </c>
      <c r="C1381" s="41">
        <f t="shared" si="95"/>
        <v>1380</v>
      </c>
      <c r="D1381" s="260" t="s">
        <v>9</v>
      </c>
      <c r="E1381" s="37"/>
      <c r="F1381" s="305"/>
      <c r="G1381" s="188" t="s">
        <v>9</v>
      </c>
      <c r="H1381" s="37"/>
      <c r="I1381" s="37" t="s">
        <v>9</v>
      </c>
      <c r="J1381" s="37"/>
      <c r="K1381" s="13" t="s">
        <v>52</v>
      </c>
      <c r="L1381" s="13" t="s">
        <v>29</v>
      </c>
      <c r="M1381" s="214" t="s">
        <v>215</v>
      </c>
      <c r="N1381" s="13" t="s">
        <v>216</v>
      </c>
      <c r="O1381" s="42" t="s">
        <v>35</v>
      </c>
      <c r="R1381" s="37" t="s">
        <v>204</v>
      </c>
      <c r="S1381" s="37"/>
      <c r="T1381" s="37"/>
      <c r="W1381" s="14" t="str">
        <f>IF(IFERROR(VLOOKUP($M1381,'IMPORT GS-Tür OL FL 2S2 20'!$H$2:$H$847,1,0),"-")="-","","GS")</f>
        <v/>
      </c>
      <c r="X1381" s="14" t="str">
        <f t="shared" si="103"/>
        <v>...</v>
      </c>
      <c r="Z1381" s="58">
        <f>IF(OR($M1381="",NOT($O1381="{array}")),"",IFERROR(MATCH(PARAMETERS!$M1381,DEFAULT!$B$5:$CI$5,0),""))</f>
        <v>34</v>
      </c>
      <c r="AA1381" s="55" t="str">
        <f t="shared" si="93"/>
        <v/>
      </c>
      <c r="AB1381" s="62" t="str">
        <f>IF(AND(OR($A1381="G",$A1381="P"),NOT($O1381="{array}")),IF(VLOOKUP($K1381,base!$B$2:$D$20,3,0)="S",IF(OR($O1381="",ISTEXT($O1381)),"","STRING!"),IF(VLOOKUP($K1381,base!$B$2:$D$20,3,0)="","",IF(ISTEXT($O1381),"NUMERIC!",""))),"")</f>
        <v/>
      </c>
      <c r="AC1381" s="16" t="str">
        <f>IF($AA1381="","",IF($B1381="I",VLOOKUP($AA1381,#REF!,53,0),INDEX(VALUES!$B$1:$GP$1,1,$AA1381)))</f>
        <v/>
      </c>
    </row>
    <row r="1382" spans="1:29" hidden="1" outlineLevel="1">
      <c r="A1382" s="21"/>
      <c r="B1382" s="40" t="str">
        <f>IF($A1382="P",IF(NOT($Z1382=""),"A",IF(NOT($AA1382=""),"I","")),IF(NOT($AA1382=""),IF($A1382="G","V","X"),IF(NOT($Z1382=""),"A","")))</f>
        <v/>
      </c>
      <c r="C1382" s="41">
        <f>(ROW()-1)</f>
        <v>1381</v>
      </c>
      <c r="D1382" s="260"/>
      <c r="E1382" s="37"/>
      <c r="F1382" s="305" t="s">
        <v>9</v>
      </c>
      <c r="G1382" s="188"/>
      <c r="H1382" s="37"/>
      <c r="I1382" s="37" t="s">
        <v>9</v>
      </c>
      <c r="J1382" s="37"/>
      <c r="K1382" s="13" t="s">
        <v>52</v>
      </c>
      <c r="L1382" s="13" t="s">
        <v>29</v>
      </c>
      <c r="M1382" s="235" t="s">
        <v>936</v>
      </c>
      <c r="N1382" s="13" t="s">
        <v>937</v>
      </c>
      <c r="O1382" s="42">
        <v>54</v>
      </c>
      <c r="R1382" s="37" t="s">
        <v>106</v>
      </c>
      <c r="S1382" s="37"/>
      <c r="T1382" s="37"/>
      <c r="W1382" s="14" t="str">
        <f>IF(IFERROR(VLOOKUP($M1382,'IMPORT GS-Tür OL FL 2S2 20'!$H$2:$H$847,1,0),"-")="-","","GS")</f>
        <v>GS</v>
      </c>
      <c r="X1382" s="14" t="str">
        <f>IF($A1382="G",IF(IFERROR(VLOOKUP($M1382,Reimport,1,0),"-")="-","&gt;&lt;",IF($O1382=VLOOKUP($M1382,Reimport,2,0),"...",VLOOKUP($M1382,Reimport,2,0))),"")</f>
        <v/>
      </c>
      <c r="Z1382" s="58" t="str">
        <f>IF(OR($M1382="",NOT($O1382="{array}")),"",IFERROR(MATCH(PARAMETERS!$M1382,DEFAULT!$B$5:$CI$5,0),""))</f>
        <v/>
      </c>
      <c r="AA1382" s="55" t="str">
        <f>IF($M1382="","",IFERROR(MATCH($M1382,VALUESnames,0),""))</f>
        <v/>
      </c>
      <c r="AB1382" s="62" t="str">
        <f>IF(AND(OR($A1382="G",$A1382="P"),NOT($O1382="{array}")),IF(VLOOKUP($K1382,base!$B$2:$D$20,3,0)="S",IF(OR($O1382="",ISTEXT($O1382)),"","STRING!"),IF(VLOOKUP($K1382,base!$B$2:$D$20,3,0)="","",IF(ISTEXT($O1382),"NUMERIC!",""))),"")</f>
        <v/>
      </c>
      <c r="AC1382" s="16" t="str">
        <f>IF($AA1382="","",IF($B1382="I",VLOOKUP($AA1382,#REF!,53,0),INDEX(VALUES!$B$1:$GP$1,1,$AA1382)))</f>
        <v/>
      </c>
    </row>
    <row r="1383" spans="1:29" hidden="1" outlineLevel="1">
      <c r="A1383" s="21"/>
      <c r="B1383" s="40" t="str">
        <f>IF($A1383="P",IF(NOT($Z1383=""),"A",IF(NOT($AA1383=""),"I","")),IF(NOT($AA1383=""),IF($A1383="G","V","X"),IF(NOT($Z1383=""),"A","")))</f>
        <v/>
      </c>
      <c r="C1383" s="41">
        <f>(ROW()-1)</f>
        <v>1382</v>
      </c>
      <c r="D1383" s="260"/>
      <c r="E1383" s="37"/>
      <c r="F1383" s="305" t="s">
        <v>9</v>
      </c>
      <c r="G1383" s="188"/>
      <c r="H1383" s="37"/>
      <c r="I1383" s="37" t="s">
        <v>9</v>
      </c>
      <c r="J1383" s="37"/>
      <c r="K1383" s="13" t="s">
        <v>52</v>
      </c>
      <c r="L1383" s="13" t="s">
        <v>29</v>
      </c>
      <c r="M1383" s="235" t="s">
        <v>825</v>
      </c>
      <c r="N1383" s="13" t="s">
        <v>826</v>
      </c>
      <c r="O1383" s="42">
        <v>133</v>
      </c>
      <c r="R1383" s="37" t="s">
        <v>106</v>
      </c>
      <c r="S1383" s="37"/>
      <c r="T1383" s="37"/>
      <c r="W1383" s="14" t="str">
        <f>IF(IFERROR(VLOOKUP($M1383,'IMPORT GS-Tür OL FL 2S2 20'!$H$2:$H$847,1,0),"-")="-","","GS")</f>
        <v>GS</v>
      </c>
      <c r="X1383" s="14" t="str">
        <f>IF($A1383="G",IF(IFERROR(VLOOKUP($M1383,Reimport,1,0),"-")="-","&gt;&lt;",IF($O1383=VLOOKUP($M1383,Reimport,2,0),"...",VLOOKUP($M1383,Reimport,2,0))),"")</f>
        <v/>
      </c>
      <c r="Z1383" s="58" t="str">
        <f>IF(OR($M1383="",NOT($O1383="{array}")),"",IFERROR(MATCH(PARAMETERS!$M1383,DEFAULT!$B$5:$CI$5,0),""))</f>
        <v/>
      </c>
      <c r="AA1383" s="55" t="str">
        <f>IF($M1383="","",IFERROR(MATCH($M1383,VALUESnames,0),""))</f>
        <v/>
      </c>
      <c r="AB1383" s="62" t="str">
        <f>IF(AND(OR($A1383="G",$A1383="P"),NOT($O1383="{array}")),IF(VLOOKUP($K1383,base!$B$2:$D$20,3,0)="S",IF(OR($O1383="",ISTEXT($O1383)),"","STRING!"),IF(VLOOKUP($K1383,base!$B$2:$D$20,3,0)="","",IF(ISTEXT($O1383),"NUMERIC!",""))),"")</f>
        <v/>
      </c>
      <c r="AC1383" s="16" t="str">
        <f>IF($AA1383="","",IF($B1383="I",VLOOKUP($AA1383,#REF!,53,0),INDEX(VALUES!$B$1:$GP$1,1,$AA1383)))</f>
        <v/>
      </c>
    </row>
    <row r="1384" spans="1:29" hidden="1" outlineLevel="1">
      <c r="A1384" s="21"/>
      <c r="B1384" s="40" t="str">
        <f t="shared" si="100"/>
        <v/>
      </c>
      <c r="C1384" s="41">
        <f t="shared" si="95"/>
        <v>1383</v>
      </c>
      <c r="D1384" s="260"/>
      <c r="E1384" s="37"/>
      <c r="F1384" s="305" t="s">
        <v>9</v>
      </c>
      <c r="G1384" s="188"/>
      <c r="H1384" s="37"/>
      <c r="I1384" s="37" t="s">
        <v>9</v>
      </c>
      <c r="J1384" s="37"/>
      <c r="K1384" s="13" t="s">
        <v>52</v>
      </c>
      <c r="L1384" s="13" t="s">
        <v>29</v>
      </c>
      <c r="M1384" s="235" t="s">
        <v>1461</v>
      </c>
      <c r="N1384" s="13" t="s">
        <v>1462</v>
      </c>
      <c r="O1384" s="42">
        <v>133</v>
      </c>
      <c r="R1384" s="37" t="s">
        <v>106</v>
      </c>
      <c r="S1384" s="37"/>
      <c r="T1384" s="37"/>
      <c r="W1384" s="14" t="str">
        <f>IF(IFERROR(VLOOKUP($M1384,'IMPORT GS-Tür OL FL 2S2 20'!$H$2:$H$847,1,0),"-")="-","","GS")</f>
        <v>GS</v>
      </c>
      <c r="X1384" s="14" t="str">
        <f t="shared" si="103"/>
        <v/>
      </c>
      <c r="Z1384" s="58" t="str">
        <f>IF(OR($M1384="",NOT($O1384="{array}")),"",IFERROR(MATCH(PARAMETERS!$M1384,DEFAULT!$B$5:$CI$5,0),""))</f>
        <v/>
      </c>
      <c r="AA1384" s="55" t="str">
        <f t="shared" si="93"/>
        <v/>
      </c>
      <c r="AB1384" s="62" t="str">
        <f>IF(AND(OR($A1384="G",$A1384="P"),NOT($O1384="{array}")),IF(VLOOKUP($K1384,base!$B$2:$D$20,3,0)="S",IF(OR($O1384="",ISTEXT($O1384)),"","STRING!"),IF(VLOOKUP($K1384,base!$B$2:$D$20,3,0)="","",IF(ISTEXT($O1384),"NUMERIC!",""))),"")</f>
        <v/>
      </c>
      <c r="AC1384" s="16" t="str">
        <f>IF($AA1384="","",IF($B1384="I",VLOOKUP($AA1384,#REF!,53,0),INDEX(VALUES!$B$1:$GP$1,1,$AA1384)))</f>
        <v/>
      </c>
    </row>
    <row r="1385" spans="1:29" hidden="1" outlineLevel="1">
      <c r="A1385" s="21"/>
      <c r="B1385" s="40" t="str">
        <f t="shared" si="100"/>
        <v/>
      </c>
      <c r="C1385" s="41">
        <f t="shared" si="95"/>
        <v>1384</v>
      </c>
      <c r="D1385" s="260"/>
      <c r="E1385" s="37"/>
      <c r="F1385" s="305" t="s">
        <v>9</v>
      </c>
      <c r="G1385" s="188"/>
      <c r="H1385" s="37"/>
      <c r="I1385" s="37" t="s">
        <v>9</v>
      </c>
      <c r="J1385" s="37"/>
      <c r="K1385" s="13" t="s">
        <v>52</v>
      </c>
      <c r="L1385" s="13" t="s">
        <v>29</v>
      </c>
      <c r="M1385" s="235" t="s">
        <v>1463</v>
      </c>
      <c r="N1385" s="13" t="s">
        <v>1464</v>
      </c>
      <c r="O1385" s="42">
        <v>24</v>
      </c>
      <c r="R1385" s="37" t="s">
        <v>106</v>
      </c>
      <c r="S1385" s="37"/>
      <c r="T1385" s="37"/>
      <c r="W1385" s="14" t="str">
        <f>IF(IFERROR(VLOOKUP($M1385,'IMPORT GS-Tür OL FL 2S2 20'!$H$2:$H$847,1,0),"-")="-","","GS")</f>
        <v>GS</v>
      </c>
      <c r="X1385" s="14" t="str">
        <f t="shared" si="103"/>
        <v/>
      </c>
      <c r="Z1385" s="58" t="str">
        <f>IF(OR($M1385="",NOT($O1385="{array}")),"",IFERROR(MATCH(PARAMETERS!$M1385,DEFAULT!$B$5:$CI$5,0),""))</f>
        <v/>
      </c>
      <c r="AA1385" s="55" t="str">
        <f t="shared" si="93"/>
        <v/>
      </c>
      <c r="AB1385" s="62" t="str">
        <f>IF(AND(OR($A1385="G",$A1385="P"),NOT($O1385="{array}")),IF(VLOOKUP($K1385,base!$B$2:$D$20,3,0)="S",IF(OR($O1385="",ISTEXT($O1385)),"","STRING!"),IF(VLOOKUP($K1385,base!$B$2:$D$20,3,0)="","",IF(ISTEXT($O1385),"NUMERIC!",""))),"")</f>
        <v/>
      </c>
      <c r="AC1385" s="16" t="str">
        <f>IF($AA1385="","",IF($B1385="I",VLOOKUP($AA1385,#REF!,53,0),INDEX(VALUES!$B$1:$GP$1,1,$AA1385)))</f>
        <v/>
      </c>
    </row>
    <row r="1386" spans="1:29" hidden="1" outlineLevel="1">
      <c r="A1386" s="21"/>
      <c r="B1386" s="40" t="str">
        <f t="shared" si="100"/>
        <v/>
      </c>
      <c r="C1386" s="41">
        <f t="shared" si="95"/>
        <v>1385</v>
      </c>
      <c r="D1386" s="260"/>
      <c r="E1386" s="37"/>
      <c r="F1386" s="305" t="s">
        <v>9</v>
      </c>
      <c r="G1386" s="188"/>
      <c r="H1386" s="37"/>
      <c r="I1386" s="37" t="s">
        <v>9</v>
      </c>
      <c r="J1386" s="37"/>
      <c r="K1386" s="13" t="s">
        <v>52</v>
      </c>
      <c r="L1386" s="13" t="s">
        <v>29</v>
      </c>
      <c r="M1386" s="235" t="s">
        <v>1465</v>
      </c>
      <c r="N1386" s="13" t="s">
        <v>1466</v>
      </c>
      <c r="O1386" s="42">
        <v>40</v>
      </c>
      <c r="R1386" s="37" t="s">
        <v>106</v>
      </c>
      <c r="S1386" s="37"/>
      <c r="T1386" s="37"/>
      <c r="W1386" s="14" t="str">
        <f>IF(IFERROR(VLOOKUP($M1386,'IMPORT GS-Tür OL FL 2S2 20'!$H$2:$H$847,1,0),"-")="-","","GS")</f>
        <v>GS</v>
      </c>
      <c r="X1386" s="14" t="str">
        <f t="shared" si="103"/>
        <v/>
      </c>
      <c r="Z1386" s="58" t="str">
        <f>IF(OR($M1386="",NOT($O1386="{array}")),"",IFERROR(MATCH(PARAMETERS!$M1386,DEFAULT!$B$5:$CI$5,0),""))</f>
        <v/>
      </c>
      <c r="AA1386" s="55" t="str">
        <f t="shared" si="93"/>
        <v/>
      </c>
      <c r="AB1386" s="62" t="str">
        <f>IF(AND(OR($A1386="G",$A1386="P"),NOT($O1386="{array}")),IF(VLOOKUP($K1386,base!$B$2:$D$20,3,0)="S",IF(OR($O1386="",ISTEXT($O1386)),"","STRING!"),IF(VLOOKUP($K1386,base!$B$2:$D$20,3,0)="","",IF(ISTEXT($O1386),"NUMERIC!",""))),"")</f>
        <v/>
      </c>
      <c r="AC1386" s="16" t="str">
        <f>IF($AA1386="","",IF($B1386="I",VLOOKUP($AA1386,#REF!,53,0),INDEX(VALUES!$B$1:$GP$1,1,$AA1386)))</f>
        <v/>
      </c>
    </row>
    <row r="1387" spans="1:29" hidden="1" outlineLevel="1">
      <c r="A1387" s="21"/>
      <c r="B1387" s="40" t="str">
        <f t="shared" si="100"/>
        <v/>
      </c>
      <c r="C1387" s="41">
        <f t="shared" si="95"/>
        <v>1386</v>
      </c>
      <c r="D1387" s="260"/>
      <c r="E1387" s="37"/>
      <c r="F1387" s="305" t="s">
        <v>9</v>
      </c>
      <c r="G1387" s="188"/>
      <c r="H1387" s="37"/>
      <c r="I1387" s="37" t="s">
        <v>9</v>
      </c>
      <c r="J1387" s="37"/>
      <c r="K1387" s="13" t="s">
        <v>52</v>
      </c>
      <c r="L1387" s="13" t="s">
        <v>29</v>
      </c>
      <c r="M1387" s="235" t="s">
        <v>1467</v>
      </c>
      <c r="N1387" s="13" t="s">
        <v>1468</v>
      </c>
      <c r="O1387" s="42">
        <v>133</v>
      </c>
      <c r="R1387" s="37" t="s">
        <v>106</v>
      </c>
      <c r="S1387" s="37"/>
      <c r="T1387" s="37"/>
      <c r="W1387" s="14" t="str">
        <f>IF(IFERROR(VLOOKUP($M1387,'IMPORT GS-Tür OL FL 2S2 20'!$H$2:$H$847,1,0),"-")="-","","GS")</f>
        <v>GS</v>
      </c>
      <c r="X1387" s="14" t="str">
        <f t="shared" si="103"/>
        <v/>
      </c>
      <c r="Z1387" s="58" t="str">
        <f>IF(OR($M1387="",NOT($O1387="{array}")),"",IFERROR(MATCH(PARAMETERS!$M1387,DEFAULT!$B$5:$CI$5,0),""))</f>
        <v/>
      </c>
      <c r="AA1387" s="55" t="str">
        <f t="shared" si="93"/>
        <v/>
      </c>
      <c r="AB1387" s="62" t="str">
        <f>IF(AND(OR($A1387="G",$A1387="P"),NOT($O1387="{array}")),IF(VLOOKUP($K1387,base!$B$2:$D$20,3,0)="S",IF(OR($O1387="",ISTEXT($O1387)),"","STRING!"),IF(VLOOKUP($K1387,base!$B$2:$D$20,3,0)="","",IF(ISTEXT($O1387),"NUMERIC!",""))),"")</f>
        <v/>
      </c>
      <c r="AC1387" s="16" t="str">
        <f>IF($AA1387="","",IF($B1387="I",VLOOKUP($AA1387,#REF!,53,0),INDEX(VALUES!$B$1:$GP$1,1,$AA1387)))</f>
        <v/>
      </c>
    </row>
    <row r="1388" spans="1:29" hidden="1" outlineLevel="1">
      <c r="A1388" s="21"/>
      <c r="B1388" s="40" t="str">
        <f t="shared" si="100"/>
        <v/>
      </c>
      <c r="C1388" s="41">
        <f t="shared" si="95"/>
        <v>1387</v>
      </c>
      <c r="D1388" s="260"/>
      <c r="E1388" s="37"/>
      <c r="F1388" s="305"/>
      <c r="G1388" s="188"/>
      <c r="H1388" s="37"/>
      <c r="I1388" s="37" t="s">
        <v>9</v>
      </c>
      <c r="J1388" s="37"/>
      <c r="K1388" s="13" t="s">
        <v>49</v>
      </c>
      <c r="L1388" s="13" t="s">
        <v>29</v>
      </c>
      <c r="M1388" s="235" t="s">
        <v>1469</v>
      </c>
      <c r="N1388" s="13" t="s">
        <v>1470</v>
      </c>
      <c r="O1388" s="42">
        <v>1</v>
      </c>
      <c r="R1388" s="37" t="s">
        <v>106</v>
      </c>
      <c r="S1388" s="37"/>
      <c r="T1388" s="37"/>
      <c r="W1388" s="14" t="str">
        <f>IF(IFERROR(VLOOKUP($M1388,'IMPORT GS-Tür OL FL 2S2 20'!$H$2:$H$847,1,0),"-")="-","","GS")</f>
        <v>GS</v>
      </c>
      <c r="X1388" s="14" t="str">
        <f t="shared" si="103"/>
        <v/>
      </c>
      <c r="Z1388" s="58" t="str">
        <f>IF(OR($M1388="",NOT($O1388="{array}")),"",IFERROR(MATCH(PARAMETERS!$M1388,DEFAULT!$B$5:$CI$5,0),""))</f>
        <v/>
      </c>
      <c r="AA1388" s="55" t="str">
        <f t="shared" si="93"/>
        <v/>
      </c>
      <c r="AB1388" s="62" t="str">
        <f>IF(AND(OR($A1388="G",$A1388="P"),NOT($O1388="{array}")),IF(VLOOKUP($K1388,base!$B$2:$D$20,3,0)="S",IF(OR($O1388="",ISTEXT($O1388)),"","STRING!"),IF(VLOOKUP($K1388,base!$B$2:$D$20,3,0)="","",IF(ISTEXT($O1388),"NUMERIC!",""))),"")</f>
        <v/>
      </c>
      <c r="AC1388" s="16" t="str">
        <f>IF($AA1388="","",IF($B1388="I",VLOOKUP($AA1388,#REF!,53,0),INDEX(VALUES!$B$1:$GP$1,1,$AA1388)))</f>
        <v/>
      </c>
    </row>
    <row r="1389" spans="1:29" hidden="1" outlineLevel="1">
      <c r="A1389" s="21"/>
      <c r="B1389" s="40" t="str">
        <f t="shared" si="100"/>
        <v>A</v>
      </c>
      <c r="C1389" s="41">
        <f t="shared" si="95"/>
        <v>1388</v>
      </c>
      <c r="D1389" s="260"/>
      <c r="E1389" s="37"/>
      <c r="F1389" s="305"/>
      <c r="G1389" s="188" t="s">
        <v>9</v>
      </c>
      <c r="H1389" s="37"/>
      <c r="I1389" s="37" t="s">
        <v>9</v>
      </c>
      <c r="J1389" s="37"/>
      <c r="K1389" s="13" t="s">
        <v>46</v>
      </c>
      <c r="L1389" s="13" t="s">
        <v>29</v>
      </c>
      <c r="M1389" s="235" t="s">
        <v>1471</v>
      </c>
      <c r="O1389" s="42" t="s">
        <v>35</v>
      </c>
      <c r="R1389" s="37" t="s">
        <v>106</v>
      </c>
      <c r="S1389" s="37"/>
      <c r="T1389" s="37"/>
      <c r="W1389" s="14" t="str">
        <f>IF(IFERROR(VLOOKUP($M1389,'IMPORT GS-Tür OL FL 2S2 20'!$H$2:$H$847,1,0),"-")="-","","GS")</f>
        <v>GS</v>
      </c>
      <c r="X1389" s="14" t="str">
        <f t="shared" si="103"/>
        <v/>
      </c>
      <c r="Z1389" s="58">
        <f>IF(OR($M1389="",NOT($O1389="{array}")),"",IFERROR(MATCH(PARAMETERS!$M1389,DEFAULT!$B$5:$CI$5,0),""))</f>
        <v>5</v>
      </c>
      <c r="AA1389" s="55" t="str">
        <f t="shared" si="93"/>
        <v/>
      </c>
      <c r="AB1389" s="62" t="str">
        <f>IF(AND(OR($A1389="G",$A1389="P"),NOT($O1389="{array}")),IF(VLOOKUP($K1389,base!$B$2:$D$20,3,0)="S",IF(OR($O1389="",ISTEXT($O1389)),"","STRING!"),IF(VLOOKUP($K1389,base!$B$2:$D$20,3,0)="","",IF(ISTEXT($O1389),"NUMERIC!",""))),"")</f>
        <v/>
      </c>
      <c r="AC1389" s="16" t="str">
        <f>IF($AA1389="","",IF($B1389="I",VLOOKUP($AA1389,#REF!,53,0),INDEX(VALUES!$B$1:$GP$1,1,$AA1389)))</f>
        <v/>
      </c>
    </row>
    <row r="1390" spans="1:29" hidden="1" outlineLevel="1">
      <c r="A1390" s="21"/>
      <c r="B1390" s="40" t="str">
        <f t="shared" si="100"/>
        <v/>
      </c>
      <c r="C1390" s="41">
        <f t="shared" si="95"/>
        <v>1389</v>
      </c>
      <c r="D1390" s="260"/>
      <c r="E1390" s="37"/>
      <c r="F1390" s="305" t="s">
        <v>9</v>
      </c>
      <c r="G1390" s="188"/>
      <c r="H1390" s="37"/>
      <c r="I1390" s="37" t="s">
        <v>9</v>
      </c>
      <c r="J1390" s="37"/>
      <c r="K1390" s="13" t="s">
        <v>52</v>
      </c>
      <c r="L1390" s="13" t="s">
        <v>29</v>
      </c>
      <c r="M1390" s="235" t="s">
        <v>1472</v>
      </c>
      <c r="N1390" s="13" t="s">
        <v>1473</v>
      </c>
      <c r="O1390" s="42">
        <v>133</v>
      </c>
      <c r="R1390" s="37" t="s">
        <v>106</v>
      </c>
      <c r="S1390" s="37"/>
      <c r="T1390" s="37"/>
      <c r="W1390" s="14" t="str">
        <f>IF(IFERROR(VLOOKUP($M1390,'IMPORT GS-Tür OL FL 2S2 20'!$H$2:$H$847,1,0),"-")="-","","GS")</f>
        <v>GS</v>
      </c>
      <c r="X1390" s="14" t="str">
        <f t="shared" si="103"/>
        <v/>
      </c>
      <c r="Z1390" s="58" t="str">
        <f>IF(OR($M1390="",NOT($O1390="{array}")),"",IFERROR(MATCH(PARAMETERS!$M1390,DEFAULT!$B$5:$CI$5,0),""))</f>
        <v/>
      </c>
      <c r="AA1390" s="55" t="str">
        <f t="shared" si="93"/>
        <v/>
      </c>
      <c r="AB1390" s="62" t="str">
        <f>IF(AND(OR($A1390="G",$A1390="P"),NOT($O1390="{array}")),IF(VLOOKUP($K1390,base!$B$2:$D$20,3,0)="S",IF(OR($O1390="",ISTEXT($O1390)),"","STRING!"),IF(VLOOKUP($K1390,base!$B$2:$D$20,3,0)="","",IF(ISTEXT($O1390),"NUMERIC!",""))),"")</f>
        <v/>
      </c>
      <c r="AC1390" s="16" t="str">
        <f>IF($AA1390="","",IF($B1390="I",VLOOKUP($AA1390,#REF!,53,0),INDEX(VALUES!$B$1:$GP$1,1,$AA1390)))</f>
        <v/>
      </c>
    </row>
    <row r="1391" spans="1:29" hidden="1" outlineLevel="1">
      <c r="A1391" s="21"/>
      <c r="B1391" s="40" t="str">
        <f t="shared" si="100"/>
        <v/>
      </c>
      <c r="C1391" s="41">
        <f t="shared" si="95"/>
        <v>1390</v>
      </c>
      <c r="D1391" s="260"/>
      <c r="E1391" s="37"/>
      <c r="F1391" s="305" t="s">
        <v>9</v>
      </c>
      <c r="G1391" s="188"/>
      <c r="H1391" s="37"/>
      <c r="I1391" s="37" t="s">
        <v>9</v>
      </c>
      <c r="J1391" s="37"/>
      <c r="K1391" s="13" t="s">
        <v>52</v>
      </c>
      <c r="L1391" s="13" t="s">
        <v>29</v>
      </c>
      <c r="M1391" s="235" t="s">
        <v>1474</v>
      </c>
      <c r="N1391" s="13" t="s">
        <v>1475</v>
      </c>
      <c r="O1391" s="42">
        <v>133</v>
      </c>
      <c r="R1391" s="37" t="s">
        <v>106</v>
      </c>
      <c r="S1391" s="37"/>
      <c r="T1391" s="37"/>
      <c r="W1391" s="14" t="str">
        <f>IF(IFERROR(VLOOKUP($M1391,'IMPORT GS-Tür OL FL 2S2 20'!$H$2:$H$847,1,0),"-")="-","","GS")</f>
        <v>GS</v>
      </c>
      <c r="X1391" s="14" t="str">
        <f t="shared" si="103"/>
        <v/>
      </c>
      <c r="Z1391" s="58" t="str">
        <f>IF(OR($M1391="",NOT($O1391="{array}")),"",IFERROR(MATCH(PARAMETERS!$M1391,DEFAULT!$B$5:$CI$5,0),""))</f>
        <v/>
      </c>
      <c r="AA1391" s="55" t="str">
        <f t="shared" si="93"/>
        <v/>
      </c>
      <c r="AB1391" s="62" t="str">
        <f>IF(AND(OR($A1391="G",$A1391="P"),NOT($O1391="{array}")),IF(VLOOKUP($K1391,base!$B$2:$D$20,3,0)="S",IF(OR($O1391="",ISTEXT($O1391)),"","STRING!"),IF(VLOOKUP($K1391,base!$B$2:$D$20,3,0)="","",IF(ISTEXT($O1391),"NUMERIC!",""))),"")</f>
        <v/>
      </c>
      <c r="AC1391" s="16" t="str">
        <f>IF($AA1391="","",IF($B1391="I",VLOOKUP($AA1391,#REF!,53,0),INDEX(VALUES!$B$1:$GP$1,1,$AA1391)))</f>
        <v/>
      </c>
    </row>
    <row r="1392" spans="1:29" s="276" customFormat="1" hidden="1" outlineLevel="1">
      <c r="A1392" s="263"/>
      <c r="B1392" s="264" t="str">
        <f>IF($A1392="P",IF(NOT($Z1392=""),"A",IF(NOT($AA1392=""),"I","")),IF(NOT($AA1392=""),IF($A1392="G","V","X"),IF(NOT($Z1392=""),"A","")))</f>
        <v/>
      </c>
      <c r="C1392" s="302">
        <f>(ROW()-1)</f>
        <v>1391</v>
      </c>
      <c r="D1392" s="266"/>
      <c r="E1392" s="266"/>
      <c r="F1392" s="305" t="s">
        <v>9</v>
      </c>
      <c r="G1392" s="188"/>
      <c r="H1392" s="266"/>
      <c r="I1392" s="266" t="s">
        <v>9</v>
      </c>
      <c r="J1392" s="266"/>
      <c r="K1392" s="276" t="s">
        <v>52</v>
      </c>
      <c r="L1392" s="276" t="s">
        <v>29</v>
      </c>
      <c r="M1392" s="301" t="s">
        <v>1238</v>
      </c>
      <c r="N1392" s="276" t="s">
        <v>3930</v>
      </c>
      <c r="O1392" s="286">
        <v>40</v>
      </c>
      <c r="Q1392" s="266"/>
      <c r="R1392" s="266" t="s">
        <v>106</v>
      </c>
      <c r="S1392" s="266"/>
      <c r="T1392" s="266"/>
      <c r="W1392" s="272" t="str">
        <f>IF(IFERROR(VLOOKUP($M1392,'IMPORT GS-Tür OL FL 2S2 20'!$H$2:$H$847,1,0),"-")="-","","GS")</f>
        <v>GS</v>
      </c>
      <c r="X1392" s="272" t="str">
        <f>IF($A1392="G",IF(IFERROR(VLOOKUP($M1392,Reimport,1,0),"-")="-","&gt;&lt;",IF($O1392=VLOOKUP($M1392,Reimport,2,0),"...",VLOOKUP($M1392,Reimport,2,0))),"")</f>
        <v/>
      </c>
      <c r="Z1392" s="273" t="str">
        <f>IF(OR($M1392="",NOT($O1392="{array}")),"",IFERROR(MATCH(PARAMETERS!$M1392,DEFAULT!$B$5:$CI$5,0),""))</f>
        <v/>
      </c>
      <c r="AA1392" s="272" t="str">
        <f>IF($M1392="","",IFERROR(MATCH($M1392,VALUESnames,0),""))</f>
        <v/>
      </c>
      <c r="AB1392" s="274" t="str">
        <f>IF(AND(OR($A1392="G",$A1392="P"),NOT($O1392="{array}")),IF(VLOOKUP($K1392,base!$B$2:$D$20,3,0)="S",IF(OR($O1392="",ISTEXT($O1392)),"","STRING!"),IF(VLOOKUP($K1392,base!$B$2:$D$20,3,0)="","",IF(ISTEXT($O1392),"NUMERIC!",""))),"")</f>
        <v/>
      </c>
      <c r="AC1392" s="275" t="str">
        <f>IF($AA1392="","",IF($B1392="I",VLOOKUP($AA1392,#REF!,53,0),INDEX(VALUES!$B$1:$GP$1,1,$AA1392)))</f>
        <v/>
      </c>
    </row>
    <row r="1393" spans="1:29" s="276" customFormat="1" hidden="1" outlineLevel="1">
      <c r="A1393" s="263"/>
      <c r="B1393" s="264" t="str">
        <f>IF($A1393="P",IF(NOT($Z1393=""),"A",IF(NOT($AA1393=""),"I","")),IF(NOT($AA1393=""),IF($A1393="G","V","X"),IF(NOT($Z1393=""),"A","")))</f>
        <v/>
      </c>
      <c r="C1393" s="265">
        <f>(ROW()-1)</f>
        <v>1392</v>
      </c>
      <c r="D1393" s="266"/>
      <c r="E1393" s="266"/>
      <c r="F1393" s="305" t="s">
        <v>9</v>
      </c>
      <c r="G1393" s="188"/>
      <c r="H1393" s="266"/>
      <c r="I1393" s="266" t="s">
        <v>9</v>
      </c>
      <c r="J1393" s="266"/>
      <c r="K1393" s="276" t="s">
        <v>52</v>
      </c>
      <c r="L1393" s="276" t="s">
        <v>29</v>
      </c>
      <c r="M1393" s="301" t="s">
        <v>1156</v>
      </c>
      <c r="N1393" s="276" t="s">
        <v>1157</v>
      </c>
      <c r="O1393" s="286">
        <v>40</v>
      </c>
      <c r="Q1393" s="266"/>
      <c r="R1393" s="266" t="s">
        <v>106</v>
      </c>
      <c r="S1393" s="266"/>
      <c r="T1393" s="266"/>
      <c r="W1393" s="272" t="str">
        <f>IF(IFERROR(VLOOKUP($M1393,'IMPORT GS-Tür OL FL 2S2 20'!$H$2:$H$847,1,0),"-")="-","","GS")</f>
        <v>GS</v>
      </c>
      <c r="X1393" s="272" t="str">
        <f>IF($A1393="G",IF(IFERROR(VLOOKUP($M1393,Reimport,1,0),"-")="-","&gt;&lt;",IF($O1393=VLOOKUP($M1393,Reimport,2,0),"...",VLOOKUP($M1393,Reimport,2,0))),"")</f>
        <v/>
      </c>
      <c r="Z1393" s="273" t="str">
        <f>IF(OR($M1393="",NOT($O1393="{array}")),"",IFERROR(MATCH(PARAMETERS!$M1393,DEFAULT!$B$5:$CI$5,0),""))</f>
        <v/>
      </c>
      <c r="AA1393" s="272" t="str">
        <f>IF($M1393="","",IFERROR(MATCH($M1393,VALUESnames,0),""))</f>
        <v/>
      </c>
      <c r="AB1393" s="274" t="str">
        <f>IF(AND(OR($A1393="G",$A1393="P"),NOT($O1393="{array}")),IF(VLOOKUP($K1393,base!$B$2:$D$20,3,0)="S",IF(OR($O1393="",ISTEXT($O1393)),"","STRING!"),IF(VLOOKUP($K1393,base!$B$2:$D$20,3,0)="","",IF(ISTEXT($O1393),"NUMERIC!",""))),"")</f>
        <v/>
      </c>
      <c r="AC1393" s="275" t="str">
        <f>IF($AA1393="","",IF($B1393="I",VLOOKUP($AA1393,#REF!,53,0),INDEX(VALUES!$B$1:$GP$1,1,$AA1393)))</f>
        <v/>
      </c>
    </row>
    <row r="1394" spans="1:29" collapsed="1">
      <c r="A1394" s="21" t="s">
        <v>86</v>
      </c>
      <c r="B1394" s="40" t="str">
        <f t="shared" ref="B1394:B1400" si="104">IF($A1394="P",IF(NOT($Z1394=""),"A",IF(NOT($AA1394=""),"I","")),IF(NOT($AA1394=""),IF($A1394="G","V","X"),IF(NOT($Z1394=""),"A","")))</f>
        <v/>
      </c>
      <c r="C1394" s="41">
        <f t="shared" si="95"/>
        <v>1393</v>
      </c>
      <c r="D1394" s="260"/>
      <c r="E1394" s="37"/>
      <c r="F1394" s="305" t="s">
        <v>9</v>
      </c>
      <c r="G1394" s="188" t="s">
        <v>9</v>
      </c>
      <c r="H1394" s="37"/>
      <c r="I1394" s="37"/>
      <c r="J1394" s="37"/>
      <c r="K1394" s="13" t="s">
        <v>59</v>
      </c>
      <c r="L1394" s="13" t="s">
        <v>40</v>
      </c>
      <c r="M1394" s="47" t="s">
        <v>1476</v>
      </c>
      <c r="N1394" s="40" t="s">
        <v>1477</v>
      </c>
      <c r="R1394" s="37" t="s">
        <v>106</v>
      </c>
      <c r="S1394" s="37"/>
      <c r="T1394" s="37"/>
      <c r="W1394" s="14" t="str">
        <f>IF(IFERROR(VLOOKUP($M1394,'IMPORT GS-Tür OL FL 2S2 20'!$H$2:$H$847,1,0),"-")="-","","GS")</f>
        <v>GS</v>
      </c>
      <c r="X1394" s="14" t="str">
        <f t="shared" si="103"/>
        <v>...</v>
      </c>
      <c r="Z1394" s="58" t="str">
        <f>IF(OR($M1394="",NOT($O1394="{array}")),"",IFERROR(MATCH(PARAMETERS!$M1394,DEFAULT!$B$5:$CI$5,0),""))</f>
        <v/>
      </c>
      <c r="AA1394" s="55" t="str">
        <f t="shared" si="93"/>
        <v/>
      </c>
      <c r="AB1394" s="62" t="str">
        <f>IF(AND(OR($A1394="G",$A1394="P"),NOT($O1394="{array}")),IF(VLOOKUP($K1394,base!$B$2:$D$20,3,0)="S",IF(OR($O1394="",ISTEXT($O1394)),"","STRING!"),IF(VLOOKUP($K1394,base!$B$2:$D$20,3,0)="","",IF(ISTEXT($O1394),"NUMERIC!",""))),"")</f>
        <v/>
      </c>
      <c r="AC1394" s="16" t="str">
        <f>IF($AA1394="","",IF($B1394="I",VLOOKUP($AA1394,#REF!,53,0),INDEX(VALUES!$B$1:$GP$1,1,$AA1394)))</f>
        <v/>
      </c>
    </row>
    <row r="1395" spans="1:29" hidden="1" outlineLevel="1">
      <c r="A1395" s="21" t="s">
        <v>86</v>
      </c>
      <c r="B1395" s="40" t="str">
        <f t="shared" si="104"/>
        <v/>
      </c>
      <c r="C1395" s="41">
        <f t="shared" si="95"/>
        <v>1394</v>
      </c>
      <c r="D1395" s="260" t="s">
        <v>9</v>
      </c>
      <c r="E1395" s="37"/>
      <c r="F1395" s="305" t="s">
        <v>9</v>
      </c>
      <c r="G1395" s="188" t="s">
        <v>9</v>
      </c>
      <c r="H1395" s="37"/>
      <c r="I1395" s="37" t="s">
        <v>9</v>
      </c>
      <c r="J1395" s="37"/>
      <c r="K1395" s="13" t="s">
        <v>20</v>
      </c>
      <c r="L1395" s="13" t="s">
        <v>29</v>
      </c>
      <c r="M1395" s="235" t="s">
        <v>1478</v>
      </c>
      <c r="N1395" s="13" t="s">
        <v>1479</v>
      </c>
      <c r="O1395" s="42" t="s">
        <v>1480</v>
      </c>
      <c r="R1395" s="37" t="s">
        <v>106</v>
      </c>
      <c r="S1395" s="37"/>
      <c r="T1395" s="37"/>
      <c r="W1395" s="14" t="str">
        <f>IF(IFERROR(VLOOKUP($M1395,'IMPORT GS-Tür OL FL 2S2 20'!$H$2:$H$847,1,0),"-")="-","","GS")</f>
        <v>GS</v>
      </c>
      <c r="X1395" s="14" t="str">
        <f t="shared" si="103"/>
        <v>...</v>
      </c>
      <c r="Z1395" s="58" t="str">
        <f>IF(OR($M1395="",NOT($O1395="{array}")),"",IFERROR(MATCH(PARAMETERS!$M1395,DEFAULT!$B$5:$CI$5,0),""))</f>
        <v/>
      </c>
      <c r="AA1395" s="55" t="str">
        <f t="shared" ref="AA1395:AA1402" si="105">IF($M1395="","",IFERROR(MATCH($M1395,VALUESnames,0),""))</f>
        <v/>
      </c>
      <c r="AB1395" s="62" t="str">
        <f>IF(AND(OR($A1395="G",$A1395="P"),NOT($O1395="{array}")),IF(VLOOKUP($K1395,base!$B$2:$D$20,3,0)="S",IF(OR($O1395="",ISTEXT($O1395)),"","STRING!"),IF(VLOOKUP($K1395,base!$B$2:$D$20,3,0)="","",IF(ISTEXT($O1395),"NUMERIC!",""))),"")</f>
        <v/>
      </c>
      <c r="AC1395" s="16" t="str">
        <f>IF($AA1395="","",IF($B1395="I",VLOOKUP($AA1395,#REF!,53,0),INDEX(VALUES!$B$1:$GP$1,1,$AA1395)))</f>
        <v/>
      </c>
    </row>
    <row r="1396" spans="1:29" hidden="1" outlineLevel="1">
      <c r="A1396" s="21" t="s">
        <v>86</v>
      </c>
      <c r="B1396" s="40" t="str">
        <f t="shared" si="104"/>
        <v>V</v>
      </c>
      <c r="C1396" s="41">
        <f t="shared" si="95"/>
        <v>1395</v>
      </c>
      <c r="D1396" s="260" t="s">
        <v>9</v>
      </c>
      <c r="E1396" s="37"/>
      <c r="F1396" s="305" t="s">
        <v>9</v>
      </c>
      <c r="G1396" s="188" t="s">
        <v>9</v>
      </c>
      <c r="H1396" s="37"/>
      <c r="I1396" s="37" t="s">
        <v>9</v>
      </c>
      <c r="J1396" s="37"/>
      <c r="K1396" s="13" t="s">
        <v>46</v>
      </c>
      <c r="L1396" s="13" t="s">
        <v>29</v>
      </c>
      <c r="M1396" s="253" t="s">
        <v>1481</v>
      </c>
      <c r="N1396" s="13" t="s">
        <v>1479</v>
      </c>
      <c r="O1396" s="254">
        <v>3</v>
      </c>
      <c r="R1396" s="37" t="s">
        <v>106</v>
      </c>
      <c r="S1396" s="37"/>
      <c r="T1396" s="37"/>
      <c r="W1396" s="14" t="str">
        <f>IF(IFERROR(VLOOKUP($M1396,'IMPORT GS-Tür OL FL 2S2 20'!$H$2:$H$847,1,0),"-")="-","","GS")</f>
        <v>GS</v>
      </c>
      <c r="X1396" s="14">
        <f t="shared" si="103"/>
        <v>1</v>
      </c>
      <c r="Z1396" s="58" t="str">
        <f>IF(OR($M1396="",NOT($O1396="{array}")),"",IFERROR(MATCH(PARAMETERS!$M1396,DEFAULT!$B$5:$CI$5,0),""))</f>
        <v/>
      </c>
      <c r="AA1396" s="55">
        <f t="shared" si="105"/>
        <v>46</v>
      </c>
      <c r="AB1396" s="62" t="str">
        <f>IF(AND(OR($A1396="G",$A1396="P"),NOT($O1396="{array}")),IF(VLOOKUP($K1396,base!$B$2:$D$20,3,0)="S",IF(OR($O1396="",ISTEXT($O1396)),"","STRING!"),IF(VLOOKUP($K1396,base!$B$2:$D$20,3,0)="","",IF(ISTEXT($O1396),"NUMERIC!",""))),"")</f>
        <v/>
      </c>
      <c r="AC1396" s="16" t="str">
        <f>IF($AA1396="","",IF($B1396="I",VLOOKUP($AA1396,#REF!,53,0),INDEX(VALUES!$B$1:$GP$1,1,$AA1396)))</f>
        <v>0 | 2 | 1 | 3</v>
      </c>
    </row>
    <row r="1397" spans="1:29" hidden="1" outlineLevel="1">
      <c r="A1397" s="21" t="s">
        <v>86</v>
      </c>
      <c r="B1397" s="40" t="str">
        <f t="shared" si="104"/>
        <v/>
      </c>
      <c r="C1397" s="41">
        <f t="shared" si="95"/>
        <v>1396</v>
      </c>
      <c r="D1397" s="260" t="s">
        <v>9</v>
      </c>
      <c r="E1397" s="37"/>
      <c r="F1397" s="305" t="s">
        <v>9</v>
      </c>
      <c r="G1397" s="188" t="s">
        <v>9</v>
      </c>
      <c r="H1397" s="37"/>
      <c r="I1397" s="37" t="s">
        <v>9</v>
      </c>
      <c r="J1397" s="37"/>
      <c r="K1397" s="13" t="s">
        <v>49</v>
      </c>
      <c r="L1397" s="13" t="s">
        <v>29</v>
      </c>
      <c r="M1397" s="253" t="s">
        <v>4023</v>
      </c>
      <c r="N1397" s="13" t="s">
        <v>4024</v>
      </c>
      <c r="O1397" s="254">
        <v>1</v>
      </c>
      <c r="R1397" s="37" t="s">
        <v>204</v>
      </c>
      <c r="S1397" s="37"/>
      <c r="T1397" s="37"/>
      <c r="W1397" s="14" t="str">
        <f>IF(IFERROR(VLOOKUP($M1397,'IMPORT GS-Tür OL FL 2S2 20'!$H$2:$H$847,1,0),"-")="-","","GS")</f>
        <v/>
      </c>
      <c r="X1397" s="14" t="str">
        <f t="shared" si="103"/>
        <v>&gt;&lt;</v>
      </c>
      <c r="Z1397" s="58" t="str">
        <f>IF(OR($M1397="",NOT($O1397="{array}")),"",IFERROR(MATCH(PARAMETERS!$M1397,DEFAULT!$B$5:$CI$5,0),""))</f>
        <v/>
      </c>
      <c r="AA1397" s="55" t="str">
        <f t="shared" si="105"/>
        <v/>
      </c>
      <c r="AB1397" s="62" t="str">
        <f>IF(AND(OR($A1397="G",$A1397="P"),NOT($O1397="{array}")),IF(VLOOKUP($K1397,base!$B$2:$D$20,3,0)="S",IF(OR($O1397="",ISTEXT($O1397)),"","STRING!"),IF(VLOOKUP($K1397,base!$B$2:$D$20,3,0)="","",IF(ISTEXT($O1397),"NUMERIC!",""))),"")</f>
        <v/>
      </c>
      <c r="AC1397" s="16" t="str">
        <f>IF($AA1397="","",IF($B1397="I",VLOOKUP($AA1397,#REF!,53,0),INDEX(VALUES!$B$1:$GP$1,1,$AA1397)))</f>
        <v/>
      </c>
    </row>
    <row r="1398" spans="1:29" hidden="1" outlineLevel="1">
      <c r="A1398" s="21" t="s">
        <v>86</v>
      </c>
      <c r="B1398" s="40" t="str">
        <f t="shared" si="104"/>
        <v>V</v>
      </c>
      <c r="C1398" s="41">
        <f t="shared" si="95"/>
        <v>1397</v>
      </c>
      <c r="D1398" s="260" t="s">
        <v>9</v>
      </c>
      <c r="E1398" s="37"/>
      <c r="F1398" s="305" t="s">
        <v>9</v>
      </c>
      <c r="G1398" s="188" t="s">
        <v>9</v>
      </c>
      <c r="H1398" s="37"/>
      <c r="I1398" s="37" t="s">
        <v>9</v>
      </c>
      <c r="J1398" s="37"/>
      <c r="K1398" s="13" t="s">
        <v>46</v>
      </c>
      <c r="L1398" s="13" t="s">
        <v>29</v>
      </c>
      <c r="M1398" s="253" t="s">
        <v>4018</v>
      </c>
      <c r="N1398" s="13" t="s">
        <v>4017</v>
      </c>
      <c r="O1398" s="42" t="s">
        <v>35</v>
      </c>
      <c r="R1398" s="37" t="s">
        <v>204</v>
      </c>
      <c r="S1398" s="37"/>
      <c r="T1398" s="37"/>
      <c r="W1398" s="14" t="str">
        <f>IF(IFERROR(VLOOKUP($M1398,'IMPORT GS-Tür OL FL 2S2 20'!$H$2:$H$847,1,0),"-")="-","","GS")</f>
        <v/>
      </c>
      <c r="X1398" s="14" t="str">
        <f t="shared" si="103"/>
        <v>&gt;&lt;</v>
      </c>
      <c r="Z1398" s="58">
        <f>IF(OR($M1398="",NOT($O1398="{array}")),"",IFERROR(MATCH(PARAMETERS!$M1398,DEFAULT!$B$5:$CI$5,0),""))</f>
        <v>20</v>
      </c>
      <c r="AA1398" s="55">
        <f t="shared" si="105"/>
        <v>48</v>
      </c>
      <c r="AB1398" s="62" t="str">
        <f>IF(AND(OR($A1398="G",$A1398="P"),NOT($O1398="{array}")),IF(VLOOKUP($K1398,base!$B$2:$D$20,3,0)="S",IF(OR($O1398="",ISTEXT($O1398)),"","STRING!"),IF(VLOOKUP($K1398,base!$B$2:$D$20,3,0)="","",IF(ISTEXT($O1398),"NUMERIC!",""))),"")</f>
        <v/>
      </c>
      <c r="AC1398" s="16" t="str">
        <f>IF($AA1398="","",IF($B1398="I",VLOOKUP($AA1398,#REF!,53,0),INDEX(VALUES!$B$1:$GP$1,1,$AA1398)))</f>
        <v>0 | 1 | 2 | 3 | 4</v>
      </c>
    </row>
    <row r="1399" spans="1:29" hidden="1" outlineLevel="1">
      <c r="A1399" s="21" t="s">
        <v>86</v>
      </c>
      <c r="B1399" s="40" t="str">
        <f t="shared" si="104"/>
        <v>V</v>
      </c>
      <c r="C1399" s="41">
        <f t="shared" si="95"/>
        <v>1398</v>
      </c>
      <c r="D1399" s="260" t="s">
        <v>9</v>
      </c>
      <c r="E1399" s="37"/>
      <c r="F1399" s="305" t="s">
        <v>9</v>
      </c>
      <c r="G1399" s="188" t="s">
        <v>9</v>
      </c>
      <c r="H1399" s="37"/>
      <c r="I1399" s="37" t="s">
        <v>9</v>
      </c>
      <c r="J1399" s="37"/>
      <c r="K1399" s="13" t="s">
        <v>46</v>
      </c>
      <c r="L1399" s="13" t="s">
        <v>29</v>
      </c>
      <c r="M1399" s="253" t="s">
        <v>4033</v>
      </c>
      <c r="N1399" s="13" t="s">
        <v>4034</v>
      </c>
      <c r="O1399" s="254">
        <v>4</v>
      </c>
      <c r="R1399" s="37" t="s">
        <v>204</v>
      </c>
      <c r="S1399" s="37"/>
      <c r="T1399" s="37"/>
      <c r="W1399" s="14" t="str">
        <f>IF(IFERROR(VLOOKUP($M1399,'IMPORT GS-Tür OL FL 2S2 20'!$H$2:$H$847,1,0),"-")="-","","GS")</f>
        <v/>
      </c>
      <c r="X1399" s="14" t="str">
        <f t="shared" si="103"/>
        <v>&gt;&lt;</v>
      </c>
      <c r="Z1399" s="58" t="str">
        <f>IF(OR($M1399="",NOT($O1399="{array}")),"",IFERROR(MATCH(PARAMETERS!$M1399,DEFAULT!$B$5:$CI$5,0),""))</f>
        <v/>
      </c>
      <c r="AA1399" s="55">
        <f t="shared" si="105"/>
        <v>51</v>
      </c>
      <c r="AB1399" s="62" t="str">
        <f>IF(AND(OR($A1399="G",$A1399="P"),NOT($O1399="{array}")),IF(VLOOKUP($K1399,base!$B$2:$D$20,3,0)="S",IF(OR($O1399="",ISTEXT($O1399)),"","STRING!"),IF(VLOOKUP($K1399,base!$B$2:$D$20,3,0)="","",IF(ISTEXT($O1399),"NUMERIC!",""))),"")</f>
        <v/>
      </c>
      <c r="AC1399" s="16" t="str">
        <f>IF($AA1399="","",IF($B1399="I",VLOOKUP($AA1399,#REF!,53,0),INDEX(VALUES!$B$1:$GP$1,1,$AA1399)))</f>
        <v>2 | 3 | 4 | 5 | 6</v>
      </c>
    </row>
    <row r="1400" spans="1:29" hidden="1" outlineLevel="1">
      <c r="A1400" s="21"/>
      <c r="B1400" s="40" t="str">
        <f t="shared" si="104"/>
        <v/>
      </c>
      <c r="C1400" s="41">
        <f t="shared" si="95"/>
        <v>1399</v>
      </c>
      <c r="D1400" s="260"/>
      <c r="E1400" s="37"/>
      <c r="F1400" s="305" t="s">
        <v>9</v>
      </c>
      <c r="G1400" s="188"/>
      <c r="H1400" s="37"/>
      <c r="I1400" s="37" t="s">
        <v>9</v>
      </c>
      <c r="J1400" s="37"/>
      <c r="K1400" s="13" t="s">
        <v>20</v>
      </c>
      <c r="L1400" s="13" t="s">
        <v>29</v>
      </c>
      <c r="M1400" s="235" t="s">
        <v>1482</v>
      </c>
      <c r="N1400" s="13" t="s">
        <v>1483</v>
      </c>
      <c r="O1400" s="42" t="s">
        <v>1484</v>
      </c>
      <c r="R1400" s="37" t="s">
        <v>106</v>
      </c>
      <c r="S1400" s="37"/>
      <c r="T1400" s="37"/>
      <c r="W1400" s="14" t="str">
        <f>IF(IFERROR(VLOOKUP($M1400,'IMPORT GS-Tür OL FL 2S2 20'!$H$2:$H$847,1,0),"-")="-","","GS")</f>
        <v>GS</v>
      </c>
      <c r="X1400" s="14" t="str">
        <f t="shared" si="103"/>
        <v/>
      </c>
      <c r="Z1400" s="58" t="str">
        <f>IF(OR($M1400="",NOT($O1400="{array}")),"",IFERROR(MATCH(PARAMETERS!$M1400,DEFAULT!$B$5:$CI$5,0),""))</f>
        <v/>
      </c>
      <c r="AA1400" s="55" t="str">
        <f t="shared" si="105"/>
        <v/>
      </c>
      <c r="AB1400" s="62" t="str">
        <f>IF(AND(OR($A1400="G",$A1400="P"),NOT($O1400="{array}")),IF(VLOOKUP($K1400,base!$B$2:$D$20,3,0)="S",IF(OR($O1400="",ISTEXT($O1400)),"","STRING!"),IF(VLOOKUP($K1400,base!$B$2:$D$20,3,0)="","",IF(ISTEXT($O1400),"NUMERIC!",""))),"")</f>
        <v/>
      </c>
      <c r="AC1400" s="16" t="str">
        <f>IF($AA1400="","",IF($B1400="I",VLOOKUP($AA1400,#REF!,53,0),INDEX(VALUES!$B$1:$GP$1,1,$AA1400)))</f>
        <v/>
      </c>
    </row>
    <row r="1401" spans="1:29" hidden="1" outlineLevel="1">
      <c r="A1401" s="21"/>
      <c r="B1401" s="40" t="str">
        <f t="shared" si="100"/>
        <v/>
      </c>
      <c r="C1401" s="41">
        <f t="shared" si="95"/>
        <v>1400</v>
      </c>
      <c r="D1401" s="260"/>
      <c r="E1401" s="37"/>
      <c r="F1401" s="305" t="s">
        <v>9</v>
      </c>
      <c r="G1401" s="188"/>
      <c r="H1401" s="37"/>
      <c r="I1401" s="37" t="s">
        <v>9</v>
      </c>
      <c r="J1401" s="37"/>
      <c r="K1401" s="13" t="s">
        <v>46</v>
      </c>
      <c r="L1401" s="13" t="s">
        <v>29</v>
      </c>
      <c r="M1401" s="235" t="s">
        <v>1485</v>
      </c>
      <c r="N1401" s="13" t="s">
        <v>1483</v>
      </c>
      <c r="O1401" s="42">
        <v>4</v>
      </c>
      <c r="R1401" s="37" t="s">
        <v>106</v>
      </c>
      <c r="S1401" s="37"/>
      <c r="T1401" s="37"/>
      <c r="W1401" s="14" t="str">
        <f>IF(IFERROR(VLOOKUP($M1401,'IMPORT GS-Tür OL FL 2S2 20'!$H$2:$H$847,1,0),"-")="-","","GS")</f>
        <v>GS</v>
      </c>
      <c r="X1401" s="14" t="str">
        <f t="shared" si="103"/>
        <v/>
      </c>
      <c r="Z1401" s="58" t="str">
        <f>IF(OR($M1401="",NOT($O1401="{array}")),"",IFERROR(MATCH(PARAMETERS!$M1401,DEFAULT!$B$5:$CI$5,0),""))</f>
        <v/>
      </c>
      <c r="AA1401" s="55" t="str">
        <f t="shared" si="105"/>
        <v/>
      </c>
      <c r="AB1401" s="62" t="str">
        <f>IF(AND(OR($A1401="G",$A1401="P"),NOT($O1401="{array}")),IF(VLOOKUP($K1401,base!$B$2:$D$20,3,0)="S",IF(OR($O1401="",ISTEXT($O1401)),"","STRING!"),IF(VLOOKUP($K1401,base!$B$2:$D$20,3,0)="","",IF(ISTEXT($O1401),"NUMERIC!",""))),"")</f>
        <v/>
      </c>
      <c r="AC1401" s="16" t="str">
        <f>IF($AA1401="","",IF($B1401="I",VLOOKUP($AA1401,#REF!,53,0),INDEX(VALUES!$B$1:$GP$1,1,$AA1401)))</f>
        <v/>
      </c>
    </row>
    <row r="1402" spans="1:29" hidden="1" outlineLevel="1">
      <c r="A1402" s="21"/>
      <c r="B1402" s="40" t="str">
        <f t="shared" si="100"/>
        <v/>
      </c>
      <c r="C1402" s="41">
        <f t="shared" si="95"/>
        <v>1401</v>
      </c>
      <c r="D1402" s="260"/>
      <c r="E1402" s="37"/>
      <c r="F1402" s="305" t="s">
        <v>9</v>
      </c>
      <c r="G1402" s="188"/>
      <c r="H1402" s="37"/>
      <c r="I1402" s="37" t="s">
        <v>9</v>
      </c>
      <c r="J1402" s="37"/>
      <c r="K1402" s="13" t="s">
        <v>49</v>
      </c>
      <c r="L1402" s="13" t="s">
        <v>29</v>
      </c>
      <c r="M1402" s="235" t="s">
        <v>1486</v>
      </c>
      <c r="N1402" s="13" t="s">
        <v>1487</v>
      </c>
      <c r="O1402" s="42">
        <v>0</v>
      </c>
      <c r="R1402" s="37" t="s">
        <v>106</v>
      </c>
      <c r="S1402" s="37"/>
      <c r="T1402" s="37"/>
      <c r="W1402" s="14" t="str">
        <f>IF(IFERROR(VLOOKUP($M1402,'IMPORT GS-Tür OL FL 2S2 20'!$H$2:$H$847,1,0),"-")="-","","GS")</f>
        <v>GS</v>
      </c>
      <c r="X1402" s="14" t="str">
        <f t="shared" si="103"/>
        <v/>
      </c>
      <c r="Z1402" s="58" t="str">
        <f>IF(OR($M1402="",NOT($O1402="{array}")),"",IFERROR(MATCH(PARAMETERS!$M1402,DEFAULT!$B$5:$CI$5,0),""))</f>
        <v/>
      </c>
      <c r="AA1402" s="55" t="str">
        <f t="shared" si="105"/>
        <v/>
      </c>
      <c r="AB1402" s="62" t="str">
        <f>IF(AND(OR($A1402="G",$A1402="P"),NOT($O1402="{array}")),IF(VLOOKUP($K1402,base!$B$2:$D$20,3,0)="S",IF(OR($O1402="",ISTEXT($O1402)),"","STRING!"),IF(VLOOKUP($K1402,base!$B$2:$D$20,3,0)="","",IF(ISTEXT($O1402),"NUMERIC!",""))),"")</f>
        <v/>
      </c>
      <c r="AC1402" s="16" t="str">
        <f>IF($AA1402="","",IF($B1402="I",VLOOKUP($AA1402,#REF!,53,0),INDEX(VALUES!$B$1:$GP$1,1,$AA1402)))</f>
        <v/>
      </c>
    </row>
    <row r="1403" spans="1:29" hidden="1" outlineLevel="1">
      <c r="A1403" s="21"/>
      <c r="B1403" s="40" t="str">
        <f t="shared" ref="B1403:B1466" si="106">IF($A1403="P",IF(NOT($Z1403=""),"A",IF(NOT($AA1403=""),"I","")),IF(NOT($AA1403=""),IF($A1403="G","V","X"),IF(NOT($Z1403=""),"A","")))</f>
        <v/>
      </c>
      <c r="C1403" s="41">
        <f t="shared" si="95"/>
        <v>1402</v>
      </c>
      <c r="D1403" s="260"/>
      <c r="E1403" s="37"/>
      <c r="F1403" s="305" t="s">
        <v>9</v>
      </c>
      <c r="G1403" s="188"/>
      <c r="H1403" s="37"/>
      <c r="I1403" s="37" t="s">
        <v>9</v>
      </c>
      <c r="J1403" s="37"/>
      <c r="K1403" s="13" t="s">
        <v>49</v>
      </c>
      <c r="L1403" s="13" t="s">
        <v>29</v>
      </c>
      <c r="M1403" s="235" t="s">
        <v>1488</v>
      </c>
      <c r="N1403" s="13" t="s">
        <v>1489</v>
      </c>
      <c r="O1403" s="42">
        <v>1</v>
      </c>
      <c r="R1403" s="37" t="s">
        <v>106</v>
      </c>
      <c r="S1403" s="37"/>
      <c r="T1403" s="37"/>
      <c r="W1403" s="14" t="str">
        <f>IF(IFERROR(VLOOKUP($M1403,'IMPORT GS-Tür OL FL 2S2 20'!$H$2:$H$847,1,0),"-")="-","","GS")</f>
        <v>GS</v>
      </c>
      <c r="X1403" s="14" t="str">
        <f t="shared" si="103"/>
        <v/>
      </c>
      <c r="Z1403" s="58" t="str">
        <f>IF(OR($M1403="",NOT($O1403="{array}")),"",IFERROR(MATCH(PARAMETERS!$M1403,DEFAULT!$B$5:$CI$5,0),""))</f>
        <v/>
      </c>
      <c r="AA1403" s="55" t="str">
        <f t="shared" si="93"/>
        <v/>
      </c>
      <c r="AB1403" s="62" t="str">
        <f>IF(AND(OR($A1403="G",$A1403="P"),NOT($O1403="{array}")),IF(VLOOKUP($K1403,base!$B$2:$D$20,3,0)="S",IF(OR($O1403="",ISTEXT($O1403)),"","STRING!"),IF(VLOOKUP($K1403,base!$B$2:$D$20,3,0)="","",IF(ISTEXT($O1403),"NUMERIC!",""))),"")</f>
        <v/>
      </c>
      <c r="AC1403" s="16" t="str">
        <f>IF($AA1403="","",IF($B1403="I",VLOOKUP($AA1403,#REF!,53,0),INDEX(VALUES!$B$1:$GP$1,1,$AA1403)))</f>
        <v/>
      </c>
    </row>
    <row r="1404" spans="1:29" hidden="1" outlineLevel="1">
      <c r="A1404" s="21"/>
      <c r="B1404" s="40" t="str">
        <f t="shared" si="106"/>
        <v/>
      </c>
      <c r="C1404" s="41">
        <f t="shared" si="95"/>
        <v>1403</v>
      </c>
      <c r="D1404" s="260"/>
      <c r="E1404" s="37"/>
      <c r="F1404" s="305" t="s">
        <v>9</v>
      </c>
      <c r="G1404" s="188"/>
      <c r="H1404" s="37"/>
      <c r="I1404" s="37" t="s">
        <v>9</v>
      </c>
      <c r="J1404" s="37"/>
      <c r="K1404" s="13" t="s">
        <v>49</v>
      </c>
      <c r="L1404" s="13" t="s">
        <v>29</v>
      </c>
      <c r="M1404" s="235" t="s">
        <v>1490</v>
      </c>
      <c r="N1404" s="13" t="s">
        <v>1491</v>
      </c>
      <c r="O1404" s="42">
        <v>1</v>
      </c>
      <c r="R1404" s="37" t="s">
        <v>106</v>
      </c>
      <c r="S1404" s="37"/>
      <c r="T1404" s="37"/>
      <c r="W1404" s="14" t="str">
        <f>IF(IFERROR(VLOOKUP($M1404,'IMPORT GS-Tür OL FL 2S2 20'!$H$2:$H$847,1,0),"-")="-","","GS")</f>
        <v>GS</v>
      </c>
      <c r="X1404" s="14" t="str">
        <f t="shared" si="103"/>
        <v/>
      </c>
      <c r="Z1404" s="58" t="str">
        <f>IF(OR($M1404="",NOT($O1404="{array}")),"",IFERROR(MATCH(PARAMETERS!$M1404,DEFAULT!$B$5:$CI$5,0),""))</f>
        <v/>
      </c>
      <c r="AA1404" s="55" t="str">
        <f t="shared" si="93"/>
        <v/>
      </c>
      <c r="AB1404" s="62" t="str">
        <f>IF(AND(OR($A1404="G",$A1404="P"),NOT($O1404="{array}")),IF(VLOOKUP($K1404,base!$B$2:$D$20,3,0)="S",IF(OR($O1404="",ISTEXT($O1404)),"","STRING!"),IF(VLOOKUP($K1404,base!$B$2:$D$20,3,0)="","",IF(ISTEXT($O1404),"NUMERIC!",""))),"")</f>
        <v/>
      </c>
      <c r="AC1404" s="16" t="str">
        <f>IF($AA1404="","",IF($B1404="I",VLOOKUP($AA1404,#REF!,53,0),INDEX(VALUES!$B$1:$GP$1,1,$AA1404)))</f>
        <v/>
      </c>
    </row>
    <row r="1405" spans="1:29" hidden="1" outlineLevel="1">
      <c r="A1405" s="21"/>
      <c r="B1405" s="40" t="str">
        <f t="shared" si="106"/>
        <v/>
      </c>
      <c r="C1405" s="41">
        <f t="shared" si="95"/>
        <v>1404</v>
      </c>
      <c r="D1405" s="260"/>
      <c r="E1405" s="37"/>
      <c r="F1405" s="305" t="s">
        <v>9</v>
      </c>
      <c r="G1405" s="188"/>
      <c r="H1405" s="37"/>
      <c r="I1405" s="37" t="s">
        <v>9</v>
      </c>
      <c r="J1405" s="37"/>
      <c r="K1405" s="13" t="s">
        <v>53</v>
      </c>
      <c r="L1405" s="13" t="s">
        <v>29</v>
      </c>
      <c r="M1405" s="235" t="s">
        <v>1492</v>
      </c>
      <c r="N1405" s="13" t="s">
        <v>1493</v>
      </c>
      <c r="O1405" s="42">
        <v>1</v>
      </c>
      <c r="R1405" s="37" t="s">
        <v>106</v>
      </c>
      <c r="S1405" s="37"/>
      <c r="T1405" s="37"/>
      <c r="W1405" s="14" t="str">
        <f>IF(IFERROR(VLOOKUP($M1405,'IMPORT GS-Tür OL FL 2S2 20'!$H$2:$H$847,1,0),"-")="-","","GS")</f>
        <v>GS</v>
      </c>
      <c r="X1405" s="14" t="str">
        <f t="shared" si="103"/>
        <v/>
      </c>
      <c r="Z1405" s="58" t="str">
        <f>IF(OR($M1405="",NOT($O1405="{array}")),"",IFERROR(MATCH(PARAMETERS!$M1405,DEFAULT!$B$5:$CI$5,0),""))</f>
        <v/>
      </c>
      <c r="AA1405" s="55" t="str">
        <f t="shared" si="93"/>
        <v/>
      </c>
      <c r="AB1405" s="62" t="str">
        <f>IF(AND(OR($A1405="G",$A1405="P"),NOT($O1405="{array}")),IF(VLOOKUP($K1405,base!$B$2:$D$20,3,0)="S",IF(OR($O1405="",ISTEXT($O1405)),"","STRING!"),IF(VLOOKUP($K1405,base!$B$2:$D$20,3,0)="","",IF(ISTEXT($O1405),"NUMERIC!",""))),"")</f>
        <v/>
      </c>
      <c r="AC1405" s="16" t="str">
        <f>IF($AA1405="","",IF($B1405="I",VLOOKUP($AA1405,#REF!,53,0),INDEX(VALUES!$B$1:$GP$1,1,$AA1405)))</f>
        <v/>
      </c>
    </row>
    <row r="1406" spans="1:29" hidden="1" outlineLevel="1">
      <c r="A1406" s="21"/>
      <c r="B1406" s="40" t="str">
        <f t="shared" si="106"/>
        <v/>
      </c>
      <c r="C1406" s="41">
        <f t="shared" si="95"/>
        <v>1405</v>
      </c>
      <c r="D1406" s="260"/>
      <c r="E1406" s="37"/>
      <c r="F1406" s="305" t="s">
        <v>9</v>
      </c>
      <c r="G1406" s="188"/>
      <c r="H1406" s="37"/>
      <c r="I1406" s="37" t="s">
        <v>9</v>
      </c>
      <c r="J1406" s="37"/>
      <c r="K1406" s="13" t="s">
        <v>53</v>
      </c>
      <c r="L1406" s="13" t="s">
        <v>29</v>
      </c>
      <c r="M1406" s="235" t="s">
        <v>1494</v>
      </c>
      <c r="N1406" s="13" t="s">
        <v>1495</v>
      </c>
      <c r="O1406" s="42">
        <v>1</v>
      </c>
      <c r="R1406" s="37" t="s">
        <v>106</v>
      </c>
      <c r="S1406" s="37"/>
      <c r="T1406" s="37"/>
      <c r="W1406" s="14" t="str">
        <f>IF(IFERROR(VLOOKUP($M1406,'IMPORT GS-Tür OL FL 2S2 20'!$H$2:$H$847,1,0),"-")="-","","GS")</f>
        <v>GS</v>
      </c>
      <c r="X1406" s="14" t="str">
        <f t="shared" si="103"/>
        <v/>
      </c>
      <c r="Z1406" s="58" t="str">
        <f>IF(OR($M1406="",NOT($O1406="{array}")),"",IFERROR(MATCH(PARAMETERS!$M1406,DEFAULT!$B$5:$CI$5,0),""))</f>
        <v/>
      </c>
      <c r="AA1406" s="55" t="str">
        <f t="shared" si="93"/>
        <v/>
      </c>
      <c r="AB1406" s="62" t="str">
        <f>IF(AND(OR($A1406="G",$A1406="P"),NOT($O1406="{array}")),IF(VLOOKUP($K1406,base!$B$2:$D$20,3,0)="S",IF(OR($O1406="",ISTEXT($O1406)),"","STRING!"),IF(VLOOKUP($K1406,base!$B$2:$D$20,3,0)="","",IF(ISTEXT($O1406),"NUMERIC!",""))),"")</f>
        <v/>
      </c>
      <c r="AC1406" s="16" t="str">
        <f>IF($AA1406="","",IF($B1406="I",VLOOKUP($AA1406,#REF!,53,0),INDEX(VALUES!$B$1:$GP$1,1,$AA1406)))</f>
        <v/>
      </c>
    </row>
    <row r="1407" spans="1:29" hidden="1" outlineLevel="1">
      <c r="A1407" s="21"/>
      <c r="B1407" s="40" t="str">
        <f t="shared" si="106"/>
        <v/>
      </c>
      <c r="C1407" s="41">
        <f t="shared" si="95"/>
        <v>1406</v>
      </c>
      <c r="D1407" s="260"/>
      <c r="E1407" s="37"/>
      <c r="F1407" s="305" t="s">
        <v>9</v>
      </c>
      <c r="G1407" s="188"/>
      <c r="H1407" s="37"/>
      <c r="I1407" s="37" t="s">
        <v>9</v>
      </c>
      <c r="J1407" s="37"/>
      <c r="K1407" s="13" t="s">
        <v>49</v>
      </c>
      <c r="L1407" s="13" t="s">
        <v>29</v>
      </c>
      <c r="M1407" s="235" t="s">
        <v>1496</v>
      </c>
      <c r="N1407" s="13" t="s">
        <v>1497</v>
      </c>
      <c r="O1407" s="42">
        <v>1</v>
      </c>
      <c r="R1407" s="37" t="s">
        <v>106</v>
      </c>
      <c r="S1407" s="37"/>
      <c r="T1407" s="37"/>
      <c r="W1407" s="14" t="str">
        <f>IF(IFERROR(VLOOKUP($M1407,'IMPORT GS-Tür OL FL 2S2 20'!$H$2:$H$847,1,0),"-")="-","","GS")</f>
        <v>GS</v>
      </c>
      <c r="X1407" s="14" t="str">
        <f t="shared" si="103"/>
        <v/>
      </c>
      <c r="Z1407" s="58" t="str">
        <f>IF(OR($M1407="",NOT($O1407="{array}")),"",IFERROR(MATCH(PARAMETERS!$M1407,DEFAULT!$B$5:$CI$5,0),""))</f>
        <v/>
      </c>
      <c r="AA1407" s="55" t="str">
        <f t="shared" si="93"/>
        <v/>
      </c>
      <c r="AB1407" s="62" t="str">
        <f>IF(AND(OR($A1407="G",$A1407="P"),NOT($O1407="{array}")),IF(VLOOKUP($K1407,base!$B$2:$D$20,3,0)="S",IF(OR($O1407="",ISTEXT($O1407)),"","STRING!"),IF(VLOOKUP($K1407,base!$B$2:$D$20,3,0)="","",IF(ISTEXT($O1407),"NUMERIC!",""))),"")</f>
        <v/>
      </c>
      <c r="AC1407" s="16" t="str">
        <f>IF($AA1407="","",IF($B1407="I",VLOOKUP($AA1407,#REF!,53,0),INDEX(VALUES!$B$1:$GP$1,1,$AA1407)))</f>
        <v/>
      </c>
    </row>
    <row r="1408" spans="1:29" hidden="1" outlineLevel="1">
      <c r="A1408" s="21"/>
      <c r="B1408" s="40" t="str">
        <f t="shared" si="106"/>
        <v/>
      </c>
      <c r="C1408" s="41">
        <f t="shared" si="95"/>
        <v>1407</v>
      </c>
      <c r="D1408" s="260"/>
      <c r="E1408" s="37"/>
      <c r="F1408" s="305" t="s">
        <v>9</v>
      </c>
      <c r="G1408" s="188"/>
      <c r="H1408" s="37"/>
      <c r="I1408" s="37" t="s">
        <v>9</v>
      </c>
      <c r="J1408" s="37"/>
      <c r="K1408" s="13" t="s">
        <v>49</v>
      </c>
      <c r="L1408" s="13" t="s">
        <v>29</v>
      </c>
      <c r="M1408" s="235" t="s">
        <v>1498</v>
      </c>
      <c r="N1408" s="13" t="s">
        <v>1499</v>
      </c>
      <c r="O1408" s="42">
        <v>1</v>
      </c>
      <c r="R1408" s="37" t="s">
        <v>106</v>
      </c>
      <c r="S1408" s="37"/>
      <c r="T1408" s="37"/>
      <c r="W1408" s="14" t="str">
        <f>IF(IFERROR(VLOOKUP($M1408,'IMPORT GS-Tür OL FL 2S2 20'!$H$2:$H$847,1,0),"-")="-","","GS")</f>
        <v>GS</v>
      </c>
      <c r="X1408" s="14" t="str">
        <f t="shared" si="103"/>
        <v/>
      </c>
      <c r="Z1408" s="58" t="str">
        <f>IF(OR($M1408="",NOT($O1408="{array}")),"",IFERROR(MATCH(PARAMETERS!$M1408,DEFAULT!$B$5:$CI$5,0),""))</f>
        <v/>
      </c>
      <c r="AA1408" s="55" t="str">
        <f t="shared" si="93"/>
        <v/>
      </c>
      <c r="AB1408" s="62" t="str">
        <f>IF(AND(OR($A1408="G",$A1408="P"),NOT($O1408="{array}")),IF(VLOOKUP($K1408,base!$B$2:$D$20,3,0)="S",IF(OR($O1408="",ISTEXT($O1408)),"","STRING!"),IF(VLOOKUP($K1408,base!$B$2:$D$20,3,0)="","",IF(ISTEXT($O1408),"NUMERIC!",""))),"")</f>
        <v/>
      </c>
      <c r="AC1408" s="16" t="str">
        <f>IF($AA1408="","",IF($B1408="I",VLOOKUP($AA1408,#REF!,53,0),INDEX(VALUES!$B$1:$GP$1,1,$AA1408)))</f>
        <v/>
      </c>
    </row>
    <row r="1409" spans="1:29" hidden="1" outlineLevel="1">
      <c r="A1409" s="21"/>
      <c r="B1409" s="40" t="str">
        <f t="shared" si="106"/>
        <v/>
      </c>
      <c r="C1409" s="41">
        <f t="shared" si="95"/>
        <v>1408</v>
      </c>
      <c r="D1409" s="260"/>
      <c r="E1409" s="37"/>
      <c r="F1409" s="305" t="s">
        <v>9</v>
      </c>
      <c r="G1409" s="188"/>
      <c r="H1409" s="37"/>
      <c r="I1409" s="37" t="s">
        <v>9</v>
      </c>
      <c r="J1409" s="37"/>
      <c r="K1409" s="13" t="s">
        <v>53</v>
      </c>
      <c r="L1409" s="13" t="s">
        <v>29</v>
      </c>
      <c r="M1409" s="235" t="s">
        <v>1500</v>
      </c>
      <c r="N1409" s="13" t="s">
        <v>1501</v>
      </c>
      <c r="O1409" s="42">
        <v>1</v>
      </c>
      <c r="R1409" s="37" t="s">
        <v>106</v>
      </c>
      <c r="S1409" s="37"/>
      <c r="T1409" s="37"/>
      <c r="W1409" s="14" t="str">
        <f>IF(IFERROR(VLOOKUP($M1409,'IMPORT GS-Tür OL FL 2S2 20'!$H$2:$H$847,1,0),"-")="-","","GS")</f>
        <v>GS</v>
      </c>
      <c r="X1409" s="14" t="str">
        <f t="shared" si="103"/>
        <v/>
      </c>
      <c r="Z1409" s="58" t="str">
        <f>IF(OR($M1409="",NOT($O1409="{array}")),"",IFERROR(MATCH(PARAMETERS!$M1409,DEFAULT!$B$5:$CI$5,0),""))</f>
        <v/>
      </c>
      <c r="AA1409" s="55" t="str">
        <f t="shared" si="93"/>
        <v/>
      </c>
      <c r="AB1409" s="62" t="str">
        <f>IF(AND(OR($A1409="G",$A1409="P"),NOT($O1409="{array}")),IF(VLOOKUP($K1409,base!$B$2:$D$20,3,0)="S",IF(OR($O1409="",ISTEXT($O1409)),"","STRING!"),IF(VLOOKUP($K1409,base!$B$2:$D$20,3,0)="","",IF(ISTEXT($O1409),"NUMERIC!",""))),"")</f>
        <v/>
      </c>
      <c r="AC1409" s="16" t="str">
        <f>IF($AA1409="","",IF($B1409="I",VLOOKUP($AA1409,#REF!,53,0),INDEX(VALUES!$B$1:$GP$1,1,$AA1409)))</f>
        <v/>
      </c>
    </row>
    <row r="1410" spans="1:29" hidden="1" outlineLevel="1">
      <c r="A1410" s="21"/>
      <c r="B1410" s="40" t="str">
        <f t="shared" si="106"/>
        <v/>
      </c>
      <c r="C1410" s="41">
        <f t="shared" si="95"/>
        <v>1409</v>
      </c>
      <c r="D1410" s="260"/>
      <c r="E1410" s="37"/>
      <c r="F1410" s="305" t="s">
        <v>9</v>
      </c>
      <c r="G1410" s="188"/>
      <c r="H1410" s="37"/>
      <c r="I1410" s="37" t="s">
        <v>9</v>
      </c>
      <c r="J1410" s="37"/>
      <c r="K1410" s="13" t="s">
        <v>53</v>
      </c>
      <c r="L1410" s="13" t="s">
        <v>29</v>
      </c>
      <c r="M1410" s="235" t="s">
        <v>1502</v>
      </c>
      <c r="N1410" s="13" t="s">
        <v>1503</v>
      </c>
      <c r="O1410" s="42">
        <v>1</v>
      </c>
      <c r="R1410" s="37" t="s">
        <v>106</v>
      </c>
      <c r="S1410" s="37"/>
      <c r="T1410" s="37"/>
      <c r="W1410" s="14" t="str">
        <f>IF(IFERROR(VLOOKUP($M1410,'IMPORT GS-Tür OL FL 2S2 20'!$H$2:$H$847,1,0),"-")="-","","GS")</f>
        <v>GS</v>
      </c>
      <c r="X1410" s="14" t="str">
        <f t="shared" si="103"/>
        <v/>
      </c>
      <c r="Z1410" s="58" t="str">
        <f>IF(OR($M1410="",NOT($O1410="{array}")),"",IFERROR(MATCH(PARAMETERS!$M1410,DEFAULT!$B$5:$CI$5,0),""))</f>
        <v/>
      </c>
      <c r="AA1410" s="55" t="str">
        <f t="shared" si="93"/>
        <v/>
      </c>
      <c r="AB1410" s="62" t="str">
        <f>IF(AND(OR($A1410="G",$A1410="P"),NOT($O1410="{array}")),IF(VLOOKUP($K1410,base!$B$2:$D$20,3,0)="S",IF(OR($O1410="",ISTEXT($O1410)),"","STRING!"),IF(VLOOKUP($K1410,base!$B$2:$D$20,3,0)="","",IF(ISTEXT($O1410),"NUMERIC!",""))),"")</f>
        <v/>
      </c>
      <c r="AC1410" s="16" t="str">
        <f>IF($AA1410="","",IF($B1410="I",VLOOKUP($AA1410,#REF!,53,0),INDEX(VALUES!$B$1:$GP$1,1,$AA1410)))</f>
        <v/>
      </c>
    </row>
    <row r="1411" spans="1:29" hidden="1" outlineLevel="1">
      <c r="A1411" s="21"/>
      <c r="B1411" s="40" t="str">
        <f t="shared" si="106"/>
        <v/>
      </c>
      <c r="C1411" s="41">
        <f t="shared" si="95"/>
        <v>1410</v>
      </c>
      <c r="D1411" s="260"/>
      <c r="E1411" s="37"/>
      <c r="F1411" s="305" t="s">
        <v>9</v>
      </c>
      <c r="G1411" s="188"/>
      <c r="H1411" s="37"/>
      <c r="I1411" s="37" t="s">
        <v>9</v>
      </c>
      <c r="J1411" s="37"/>
      <c r="K1411" s="13" t="s">
        <v>55</v>
      </c>
      <c r="L1411" s="13" t="s">
        <v>29</v>
      </c>
      <c r="M1411" s="235" t="s">
        <v>1504</v>
      </c>
      <c r="N1411" s="13" t="s">
        <v>1505</v>
      </c>
      <c r="O1411" s="42">
        <v>1</v>
      </c>
      <c r="R1411" s="37" t="s">
        <v>106</v>
      </c>
      <c r="S1411" s="37"/>
      <c r="T1411" s="37"/>
      <c r="W1411" s="14" t="str">
        <f>IF(IFERROR(VLOOKUP($M1411,'IMPORT GS-Tür OL FL 2S2 20'!$H$2:$H$847,1,0),"-")="-","","GS")</f>
        <v>GS</v>
      </c>
      <c r="X1411" s="14" t="str">
        <f t="shared" si="103"/>
        <v/>
      </c>
      <c r="Z1411" s="58" t="str">
        <f>IF(OR($M1411="",NOT($O1411="{array}")),"",IFERROR(MATCH(PARAMETERS!$M1411,DEFAULT!$B$5:$CI$5,0),""))</f>
        <v/>
      </c>
      <c r="AA1411" s="55" t="str">
        <f t="shared" si="93"/>
        <v/>
      </c>
      <c r="AB1411" s="62" t="str">
        <f>IF(AND(OR($A1411="G",$A1411="P"),NOT($O1411="{array}")),IF(VLOOKUP($K1411,base!$B$2:$D$20,3,0)="S",IF(OR($O1411="",ISTEXT($O1411)),"","STRING!"),IF(VLOOKUP($K1411,base!$B$2:$D$20,3,0)="","",IF(ISTEXT($O1411),"NUMERIC!",""))),"")</f>
        <v/>
      </c>
      <c r="AC1411" s="16" t="str">
        <f>IF($AA1411="","",IF($B1411="I",VLOOKUP($AA1411,#REF!,53,0),INDEX(VALUES!$B$1:$GP$1,1,$AA1411)))</f>
        <v/>
      </c>
    </row>
    <row r="1412" spans="1:29" hidden="1" outlineLevel="1">
      <c r="A1412" s="21"/>
      <c r="B1412" s="40" t="str">
        <f t="shared" si="106"/>
        <v/>
      </c>
      <c r="C1412" s="41">
        <f t="shared" si="95"/>
        <v>1411</v>
      </c>
      <c r="D1412" s="260"/>
      <c r="E1412" s="37"/>
      <c r="F1412" s="305" t="s">
        <v>9</v>
      </c>
      <c r="G1412" s="188"/>
      <c r="H1412" s="37"/>
      <c r="I1412" s="37" t="s">
        <v>9</v>
      </c>
      <c r="J1412" s="37"/>
      <c r="K1412" s="13" t="s">
        <v>55</v>
      </c>
      <c r="L1412" s="13" t="s">
        <v>29</v>
      </c>
      <c r="M1412" s="235" t="s">
        <v>1506</v>
      </c>
      <c r="N1412" s="13" t="s">
        <v>1507</v>
      </c>
      <c r="O1412" s="42">
        <v>1</v>
      </c>
      <c r="R1412" s="37" t="s">
        <v>106</v>
      </c>
      <c r="S1412" s="37"/>
      <c r="T1412" s="37"/>
      <c r="W1412" s="14" t="str">
        <f>IF(IFERROR(VLOOKUP($M1412,'IMPORT GS-Tür OL FL 2S2 20'!$H$2:$H$847,1,0),"-")="-","","GS")</f>
        <v>GS</v>
      </c>
      <c r="X1412" s="14" t="str">
        <f t="shared" si="103"/>
        <v/>
      </c>
      <c r="Z1412" s="58" t="str">
        <f>IF(OR($M1412="",NOT($O1412="{array}")),"",IFERROR(MATCH(PARAMETERS!$M1412,DEFAULT!$B$5:$CI$5,0),""))</f>
        <v/>
      </c>
      <c r="AA1412" s="55" t="str">
        <f t="shared" si="93"/>
        <v/>
      </c>
      <c r="AB1412" s="62" t="str">
        <f>IF(AND(OR($A1412="G",$A1412="P"),NOT($O1412="{array}")),IF(VLOOKUP($K1412,base!$B$2:$D$20,3,0)="S",IF(OR($O1412="",ISTEXT($O1412)),"","STRING!"),IF(VLOOKUP($K1412,base!$B$2:$D$20,3,0)="","",IF(ISTEXT($O1412),"NUMERIC!",""))),"")</f>
        <v/>
      </c>
      <c r="AC1412" s="16" t="str">
        <f>IF($AA1412="","",IF($B1412="I",VLOOKUP($AA1412,#REF!,53,0),INDEX(VALUES!$B$1:$GP$1,1,$AA1412)))</f>
        <v/>
      </c>
    </row>
    <row r="1413" spans="1:29" collapsed="1">
      <c r="A1413" s="21"/>
      <c r="B1413" s="40" t="str">
        <f t="shared" si="106"/>
        <v/>
      </c>
      <c r="C1413" s="41">
        <f t="shared" si="95"/>
        <v>1412</v>
      </c>
      <c r="D1413" s="260"/>
      <c r="E1413" s="37"/>
      <c r="F1413" s="305" t="s">
        <v>9</v>
      </c>
      <c r="G1413" s="188"/>
      <c r="H1413" s="37"/>
      <c r="I1413" s="37"/>
      <c r="J1413" s="37"/>
      <c r="K1413" s="13" t="s">
        <v>59</v>
      </c>
      <c r="L1413" s="13" t="s">
        <v>40</v>
      </c>
      <c r="M1413" s="47" t="s">
        <v>1508</v>
      </c>
      <c r="N1413" s="40" t="s">
        <v>1509</v>
      </c>
      <c r="R1413" s="37" t="s">
        <v>106</v>
      </c>
      <c r="S1413" s="37"/>
      <c r="T1413" s="37"/>
      <c r="W1413" s="14" t="str">
        <f>IF(IFERROR(VLOOKUP($M1413,'IMPORT GS-Tür OL FL 2S2 20'!$H$2:$H$847,1,0),"-")="-","","GS")</f>
        <v>GS</v>
      </c>
      <c r="X1413" s="14" t="str">
        <f t="shared" si="103"/>
        <v/>
      </c>
      <c r="Z1413" s="58" t="str">
        <f>IF(OR($M1413="",NOT($O1413="{array}")),"",IFERROR(MATCH(PARAMETERS!$M1413,DEFAULT!$B$5:$CI$5,0),""))</f>
        <v/>
      </c>
      <c r="AA1413" s="55" t="str">
        <f t="shared" si="93"/>
        <v/>
      </c>
      <c r="AB1413" s="62" t="str">
        <f>IF(AND(OR($A1413="G",$A1413="P"),NOT($O1413="{array}")),IF(VLOOKUP($K1413,base!$B$2:$D$20,3,0)="S",IF(OR($O1413="",ISTEXT($O1413)),"","STRING!"),IF(VLOOKUP($K1413,base!$B$2:$D$20,3,0)="","",IF(ISTEXT($O1413),"NUMERIC!",""))),"")</f>
        <v/>
      </c>
      <c r="AC1413" s="16" t="str">
        <f>IF($AA1413="","",IF($B1413="I",VLOOKUP($AA1413,#REF!,53,0),INDEX(VALUES!$B$1:$GP$1,1,$AA1413)))</f>
        <v/>
      </c>
    </row>
    <row r="1414" spans="1:29" hidden="1" outlineLevel="1">
      <c r="A1414" s="21"/>
      <c r="B1414" s="40" t="str">
        <f t="shared" si="106"/>
        <v/>
      </c>
      <c r="C1414" s="41">
        <f t="shared" si="95"/>
        <v>1413</v>
      </c>
      <c r="D1414" s="260"/>
      <c r="E1414" s="37"/>
      <c r="F1414" s="305" t="s">
        <v>9</v>
      </c>
      <c r="G1414" s="188"/>
      <c r="H1414" s="37"/>
      <c r="I1414" s="37" t="s">
        <v>9</v>
      </c>
      <c r="J1414" s="37"/>
      <c r="K1414" s="13" t="s">
        <v>46</v>
      </c>
      <c r="L1414" s="13" t="s">
        <v>29</v>
      </c>
      <c r="M1414" s="19" t="s">
        <v>1510</v>
      </c>
      <c r="N1414" s="13" t="s">
        <v>1511</v>
      </c>
      <c r="O1414" s="42">
        <v>0</v>
      </c>
      <c r="R1414" s="37" t="s">
        <v>106</v>
      </c>
      <c r="S1414" s="37"/>
      <c r="T1414" s="37"/>
      <c r="W1414" s="14" t="str">
        <f>IF(IFERROR(VLOOKUP($M1414,'IMPORT GS-Tür OL FL 2S2 20'!$H$2:$H$847,1,0),"-")="-","","GS")</f>
        <v>GS</v>
      </c>
      <c r="X1414" s="14" t="str">
        <f t="shared" si="103"/>
        <v/>
      </c>
      <c r="Z1414" s="58" t="str">
        <f>IF(OR($M1414="",NOT($O1414="{array}")),"",IFERROR(MATCH(PARAMETERS!$M1414,DEFAULT!$B$5:$CI$5,0),""))</f>
        <v/>
      </c>
      <c r="AA1414" s="55" t="str">
        <f t="shared" si="93"/>
        <v/>
      </c>
      <c r="AB1414" s="62" t="str">
        <f>IF(AND(OR($A1414="G",$A1414="P"),NOT($O1414="{array}")),IF(VLOOKUP($K1414,base!$B$2:$D$20,3,0)="S",IF(OR($O1414="",ISTEXT($O1414)),"","STRING!"),IF(VLOOKUP($K1414,base!$B$2:$D$20,3,0)="","",IF(ISTEXT($O1414),"NUMERIC!",""))),"")</f>
        <v/>
      </c>
      <c r="AC1414" s="16" t="str">
        <f>IF($AA1414="","",IF($B1414="I",VLOOKUP($AA1414,#REF!,53,0),INDEX(VALUES!$B$1:$GP$1,1,$AA1414)))</f>
        <v/>
      </c>
    </row>
    <row r="1415" spans="1:29" hidden="1" outlineLevel="1">
      <c r="A1415" s="21"/>
      <c r="B1415" s="40" t="str">
        <f t="shared" si="106"/>
        <v/>
      </c>
      <c r="C1415" s="41">
        <f t="shared" si="95"/>
        <v>1414</v>
      </c>
      <c r="D1415" s="260"/>
      <c r="E1415" s="37"/>
      <c r="F1415" s="305" t="s">
        <v>9</v>
      </c>
      <c r="G1415" s="188"/>
      <c r="H1415" s="37"/>
      <c r="I1415" s="37" t="s">
        <v>9</v>
      </c>
      <c r="J1415" s="37"/>
      <c r="K1415" s="13" t="s">
        <v>46</v>
      </c>
      <c r="L1415" s="13" t="s">
        <v>29</v>
      </c>
      <c r="M1415" s="19" t="s">
        <v>1512</v>
      </c>
      <c r="N1415" s="13" t="s">
        <v>1513</v>
      </c>
      <c r="O1415" s="42">
        <v>0</v>
      </c>
      <c r="R1415" s="37" t="s">
        <v>106</v>
      </c>
      <c r="S1415" s="37"/>
      <c r="T1415" s="37"/>
      <c r="W1415" s="14" t="str">
        <f>IF(IFERROR(VLOOKUP($M1415,'IMPORT GS-Tür OL FL 2S2 20'!$H$2:$H$847,1,0),"-")="-","","GS")</f>
        <v>GS</v>
      </c>
      <c r="X1415" s="14" t="str">
        <f t="shared" si="103"/>
        <v/>
      </c>
      <c r="Z1415" s="58" t="str">
        <f>IF(OR($M1415="",NOT($O1415="{array}")),"",IFERROR(MATCH(PARAMETERS!$M1415,DEFAULT!$B$5:$CI$5,0),""))</f>
        <v/>
      </c>
      <c r="AA1415" s="55" t="str">
        <f t="shared" si="93"/>
        <v/>
      </c>
      <c r="AB1415" s="62" t="str">
        <f>IF(AND(OR($A1415="G",$A1415="P"),NOT($O1415="{array}")),IF(VLOOKUP($K1415,base!$B$2:$D$20,3,0)="S",IF(OR($O1415="",ISTEXT($O1415)),"","STRING!"),IF(VLOOKUP($K1415,base!$B$2:$D$20,3,0)="","",IF(ISTEXT($O1415),"NUMERIC!",""))),"")</f>
        <v/>
      </c>
      <c r="AC1415" s="16" t="str">
        <f>IF($AA1415="","",IF($B1415="I",VLOOKUP($AA1415,#REF!,53,0),INDEX(VALUES!$B$1:$GP$1,1,$AA1415)))</f>
        <v/>
      </c>
    </row>
    <row r="1416" spans="1:29" hidden="1" outlineLevel="1">
      <c r="A1416" s="21"/>
      <c r="B1416" s="40" t="str">
        <f t="shared" si="106"/>
        <v/>
      </c>
      <c r="C1416" s="41">
        <f t="shared" si="95"/>
        <v>1415</v>
      </c>
      <c r="D1416" s="260"/>
      <c r="E1416" s="37"/>
      <c r="F1416" s="305" t="s">
        <v>9</v>
      </c>
      <c r="G1416" s="188"/>
      <c r="H1416" s="37"/>
      <c r="I1416" s="37" t="s">
        <v>9</v>
      </c>
      <c r="J1416" s="37"/>
      <c r="K1416" s="13" t="s">
        <v>49</v>
      </c>
      <c r="L1416" s="13" t="s">
        <v>29</v>
      </c>
      <c r="M1416" s="19" t="s">
        <v>1514</v>
      </c>
      <c r="N1416" s="13" t="s">
        <v>1515</v>
      </c>
      <c r="O1416" s="42">
        <v>0</v>
      </c>
      <c r="R1416" s="37" t="s">
        <v>106</v>
      </c>
      <c r="S1416" s="37"/>
      <c r="T1416" s="37"/>
      <c r="W1416" s="14" t="str">
        <f>IF(IFERROR(VLOOKUP($M1416,'IMPORT GS-Tür OL FL 2S2 20'!$H$2:$H$847,1,0),"-")="-","","GS")</f>
        <v>GS</v>
      </c>
      <c r="X1416" s="14" t="str">
        <f t="shared" si="103"/>
        <v/>
      </c>
      <c r="Z1416" s="58" t="str">
        <f>IF(OR($M1416="",NOT($O1416="{array}")),"",IFERROR(MATCH(PARAMETERS!$M1416,DEFAULT!$B$5:$CI$5,0),""))</f>
        <v/>
      </c>
      <c r="AA1416" s="55" t="str">
        <f t="shared" si="93"/>
        <v/>
      </c>
      <c r="AB1416" s="62" t="str">
        <f>IF(AND(OR($A1416="G",$A1416="P"),NOT($O1416="{array}")),IF(VLOOKUP($K1416,base!$B$2:$D$20,3,0)="S",IF(OR($O1416="",ISTEXT($O1416)),"","STRING!"),IF(VLOOKUP($K1416,base!$B$2:$D$20,3,0)="","",IF(ISTEXT($O1416),"NUMERIC!",""))),"")</f>
        <v/>
      </c>
      <c r="AC1416" s="16" t="str">
        <f>IF($AA1416="","",IF($B1416="I",VLOOKUP($AA1416,#REF!,53,0),INDEX(VALUES!$B$1:$GP$1,1,$AA1416)))</f>
        <v/>
      </c>
    </row>
    <row r="1417" spans="1:29" hidden="1" outlineLevel="1">
      <c r="A1417" s="21"/>
      <c r="B1417" s="40" t="str">
        <f t="shared" si="106"/>
        <v/>
      </c>
      <c r="C1417" s="41">
        <f t="shared" si="95"/>
        <v>1416</v>
      </c>
      <c r="D1417" s="260"/>
      <c r="E1417" s="37"/>
      <c r="F1417" s="305" t="s">
        <v>9</v>
      </c>
      <c r="G1417" s="188"/>
      <c r="H1417" s="37"/>
      <c r="I1417" s="37" t="s">
        <v>9</v>
      </c>
      <c r="J1417" s="37"/>
      <c r="K1417" s="13" t="s">
        <v>26</v>
      </c>
      <c r="L1417" s="13" t="s">
        <v>29</v>
      </c>
      <c r="M1417" s="19" t="s">
        <v>1516</v>
      </c>
      <c r="N1417" s="13" t="s">
        <v>1517</v>
      </c>
      <c r="O1417" s="42">
        <v>0</v>
      </c>
      <c r="R1417" s="37" t="s">
        <v>106</v>
      </c>
      <c r="S1417" s="37"/>
      <c r="T1417" s="37"/>
      <c r="W1417" s="14" t="str">
        <f>IF(IFERROR(VLOOKUP($M1417,'IMPORT GS-Tür OL FL 2S2 20'!$H$2:$H$847,1,0),"-")="-","","GS")</f>
        <v>GS</v>
      </c>
      <c r="X1417" s="14" t="str">
        <f t="shared" si="103"/>
        <v/>
      </c>
      <c r="Z1417" s="58" t="str">
        <f>IF(OR($M1417="",NOT($O1417="{array}")),"",IFERROR(MATCH(PARAMETERS!$M1417,DEFAULT!$B$5:$CI$5,0),""))</f>
        <v/>
      </c>
      <c r="AA1417" s="55" t="str">
        <f t="shared" si="93"/>
        <v/>
      </c>
      <c r="AB1417" s="62" t="str">
        <f>IF(AND(OR($A1417="G",$A1417="P"),NOT($O1417="{array}")),IF(VLOOKUP($K1417,base!$B$2:$D$20,3,0)="S",IF(OR($O1417="",ISTEXT($O1417)),"","STRING!"),IF(VLOOKUP($K1417,base!$B$2:$D$20,3,0)="","",IF(ISTEXT($O1417),"NUMERIC!",""))),"")</f>
        <v/>
      </c>
      <c r="AC1417" s="16" t="str">
        <f>IF($AA1417="","",IF($B1417="I",VLOOKUP($AA1417,#REF!,53,0),INDEX(VALUES!$B$1:$GP$1,1,$AA1417)))</f>
        <v/>
      </c>
    </row>
    <row r="1418" spans="1:29" hidden="1" outlineLevel="1">
      <c r="A1418" s="21"/>
      <c r="B1418" s="40" t="str">
        <f t="shared" si="106"/>
        <v/>
      </c>
      <c r="C1418" s="41">
        <f t="shared" si="95"/>
        <v>1417</v>
      </c>
      <c r="D1418" s="260"/>
      <c r="E1418" s="37"/>
      <c r="F1418" s="305" t="s">
        <v>9</v>
      </c>
      <c r="G1418" s="188"/>
      <c r="H1418" s="37"/>
      <c r="I1418" s="37" t="s">
        <v>9</v>
      </c>
      <c r="J1418" s="37"/>
      <c r="K1418" s="13" t="s">
        <v>26</v>
      </c>
      <c r="L1418" s="13" t="s">
        <v>29</v>
      </c>
      <c r="M1418" s="19" t="s">
        <v>1518</v>
      </c>
      <c r="N1418" s="13" t="s">
        <v>1519</v>
      </c>
      <c r="O1418" s="42">
        <v>0</v>
      </c>
      <c r="R1418" s="37" t="s">
        <v>106</v>
      </c>
      <c r="S1418" s="37"/>
      <c r="T1418" s="37"/>
      <c r="W1418" s="14" t="str">
        <f>IF(IFERROR(VLOOKUP($M1418,'IMPORT GS-Tür OL FL 2S2 20'!$H$2:$H$847,1,0),"-")="-","","GS")</f>
        <v>GS</v>
      </c>
      <c r="X1418" s="14" t="str">
        <f t="shared" si="103"/>
        <v/>
      </c>
      <c r="Z1418" s="58" t="str">
        <f>IF(OR($M1418="",NOT($O1418="{array}")),"",IFERROR(MATCH(PARAMETERS!$M1418,DEFAULT!$B$5:$CI$5,0),""))</f>
        <v/>
      </c>
      <c r="AA1418" s="55" t="str">
        <f t="shared" si="93"/>
        <v/>
      </c>
      <c r="AB1418" s="62" t="str">
        <f>IF(AND(OR($A1418="G",$A1418="P"),NOT($O1418="{array}")),IF(VLOOKUP($K1418,base!$B$2:$D$20,3,0)="S",IF(OR($O1418="",ISTEXT($O1418)),"","STRING!"),IF(VLOOKUP($K1418,base!$B$2:$D$20,3,0)="","",IF(ISTEXT($O1418),"NUMERIC!",""))),"")</f>
        <v/>
      </c>
      <c r="AC1418" s="16" t="str">
        <f>IF($AA1418="","",IF($B1418="I",VLOOKUP($AA1418,#REF!,53,0),INDEX(VALUES!$B$1:$GP$1,1,$AA1418)))</f>
        <v/>
      </c>
    </row>
    <row r="1419" spans="1:29" hidden="1" outlineLevel="1">
      <c r="A1419" s="21"/>
      <c r="B1419" s="40" t="str">
        <f t="shared" si="106"/>
        <v/>
      </c>
      <c r="C1419" s="41">
        <f t="shared" si="95"/>
        <v>1418</v>
      </c>
      <c r="D1419" s="260"/>
      <c r="E1419" s="37"/>
      <c r="F1419" s="305" t="s">
        <v>9</v>
      </c>
      <c r="G1419" s="188"/>
      <c r="H1419" s="37"/>
      <c r="I1419" s="37" t="s">
        <v>9</v>
      </c>
      <c r="J1419" s="37"/>
      <c r="K1419" s="13" t="s">
        <v>26</v>
      </c>
      <c r="L1419" s="13" t="s">
        <v>29</v>
      </c>
      <c r="M1419" s="19" t="s">
        <v>1520</v>
      </c>
      <c r="N1419" s="13" t="s">
        <v>1521</v>
      </c>
      <c r="O1419" s="42">
        <v>0.04</v>
      </c>
      <c r="R1419" s="37" t="s">
        <v>106</v>
      </c>
      <c r="S1419" s="37"/>
      <c r="T1419" s="37"/>
      <c r="W1419" s="14" t="str">
        <f>IF(IFERROR(VLOOKUP($M1419,'IMPORT GS-Tür OL FL 2S2 20'!$H$2:$H$847,1,0),"-")="-","","GS")</f>
        <v>GS</v>
      </c>
      <c r="X1419" s="14" t="str">
        <f t="shared" si="103"/>
        <v/>
      </c>
      <c r="Z1419" s="58" t="str">
        <f>IF(OR($M1419="",NOT($O1419="{array}")),"",IFERROR(MATCH(PARAMETERS!$M1419,DEFAULT!$B$5:$CI$5,0),""))</f>
        <v/>
      </c>
      <c r="AA1419" s="55" t="str">
        <f t="shared" si="93"/>
        <v/>
      </c>
      <c r="AB1419" s="62" t="str">
        <f>IF(AND(OR($A1419="G",$A1419="P"),NOT($O1419="{array}")),IF(VLOOKUP($K1419,base!$B$2:$D$20,3,0)="S",IF(OR($O1419="",ISTEXT($O1419)),"","STRING!"),IF(VLOOKUP($K1419,base!$B$2:$D$20,3,0)="","",IF(ISTEXT($O1419),"NUMERIC!",""))),"")</f>
        <v/>
      </c>
      <c r="AC1419" s="16" t="str">
        <f>IF($AA1419="","",IF($B1419="I",VLOOKUP($AA1419,#REF!,53,0),INDEX(VALUES!$B$1:$GP$1,1,$AA1419)))</f>
        <v/>
      </c>
    </row>
    <row r="1420" spans="1:29" hidden="1" outlineLevel="1">
      <c r="A1420" s="21"/>
      <c r="B1420" s="40" t="str">
        <f t="shared" si="106"/>
        <v/>
      </c>
      <c r="C1420" s="41">
        <f t="shared" si="95"/>
        <v>1419</v>
      </c>
      <c r="D1420" s="260"/>
      <c r="E1420" s="37"/>
      <c r="F1420" s="305" t="s">
        <v>9</v>
      </c>
      <c r="G1420" s="188"/>
      <c r="H1420" s="37"/>
      <c r="I1420" s="37" t="s">
        <v>9</v>
      </c>
      <c r="J1420" s="37"/>
      <c r="K1420" s="13" t="s">
        <v>26</v>
      </c>
      <c r="L1420" s="13" t="s">
        <v>29</v>
      </c>
      <c r="M1420" s="19" t="s">
        <v>1522</v>
      </c>
      <c r="N1420" s="13" t="s">
        <v>1523</v>
      </c>
      <c r="O1420" s="42">
        <v>0.05</v>
      </c>
      <c r="R1420" s="37" t="s">
        <v>106</v>
      </c>
      <c r="S1420" s="37"/>
      <c r="T1420" s="37"/>
      <c r="W1420" s="14" t="str">
        <f>IF(IFERROR(VLOOKUP($M1420,'IMPORT GS-Tür OL FL 2S2 20'!$H$2:$H$847,1,0),"-")="-","","GS")</f>
        <v>GS</v>
      </c>
      <c r="X1420" s="14" t="str">
        <f t="shared" si="103"/>
        <v/>
      </c>
      <c r="Z1420" s="58" t="str">
        <f>IF(OR($M1420="",NOT($O1420="{array}")),"",IFERROR(MATCH(PARAMETERS!$M1420,DEFAULT!$B$5:$CI$5,0),""))</f>
        <v/>
      </c>
      <c r="AA1420" s="55" t="str">
        <f t="shared" si="93"/>
        <v/>
      </c>
      <c r="AB1420" s="62" t="str">
        <f>IF(AND(OR($A1420="G",$A1420="P"),NOT($O1420="{array}")),IF(VLOOKUP($K1420,base!$B$2:$D$20,3,0)="S",IF(OR($O1420="",ISTEXT($O1420)),"","STRING!"),IF(VLOOKUP($K1420,base!$B$2:$D$20,3,0)="","",IF(ISTEXT($O1420),"NUMERIC!",""))),"")</f>
        <v/>
      </c>
      <c r="AC1420" s="16" t="str">
        <f>IF($AA1420="","",IF($B1420="I",VLOOKUP($AA1420,#REF!,53,0),INDEX(VALUES!$B$1:$GP$1,1,$AA1420)))</f>
        <v/>
      </c>
    </row>
    <row r="1421" spans="1:29" hidden="1" outlineLevel="1">
      <c r="A1421" s="21"/>
      <c r="B1421" s="40" t="str">
        <f t="shared" si="106"/>
        <v/>
      </c>
      <c r="C1421" s="41">
        <f t="shared" si="95"/>
        <v>1420</v>
      </c>
      <c r="D1421" s="260"/>
      <c r="E1421" s="37"/>
      <c r="F1421" s="305" t="s">
        <v>9</v>
      </c>
      <c r="G1421" s="188"/>
      <c r="H1421" s="37"/>
      <c r="I1421" s="37" t="s">
        <v>9</v>
      </c>
      <c r="J1421" s="37"/>
      <c r="K1421" s="13" t="s">
        <v>26</v>
      </c>
      <c r="L1421" s="13" t="s">
        <v>29</v>
      </c>
      <c r="M1421" s="19" t="s">
        <v>1524</v>
      </c>
      <c r="N1421" s="13" t="s">
        <v>1525</v>
      </c>
      <c r="O1421" s="42">
        <v>0.01</v>
      </c>
      <c r="R1421" s="37" t="s">
        <v>106</v>
      </c>
      <c r="S1421" s="37"/>
      <c r="T1421" s="37"/>
      <c r="W1421" s="14" t="str">
        <f>IF(IFERROR(VLOOKUP($M1421,'IMPORT GS-Tür OL FL 2S2 20'!$H$2:$H$847,1,0),"-")="-","","GS")</f>
        <v>GS</v>
      </c>
      <c r="X1421" s="14" t="str">
        <f t="shared" si="103"/>
        <v/>
      </c>
      <c r="Z1421" s="58" t="str">
        <f>IF(OR($M1421="",NOT($O1421="{array}")),"",IFERROR(MATCH(PARAMETERS!$M1421,DEFAULT!$B$5:$CI$5,0),""))</f>
        <v/>
      </c>
      <c r="AA1421" s="55" t="str">
        <f t="shared" si="93"/>
        <v/>
      </c>
      <c r="AB1421" s="62" t="str">
        <f>IF(AND(OR($A1421="G",$A1421="P"),NOT($O1421="{array}")),IF(VLOOKUP($K1421,base!$B$2:$D$20,3,0)="S",IF(OR($O1421="",ISTEXT($O1421)),"","STRING!"),IF(VLOOKUP($K1421,base!$B$2:$D$20,3,0)="","",IF(ISTEXT($O1421),"NUMERIC!",""))),"")</f>
        <v/>
      </c>
      <c r="AC1421" s="16" t="str">
        <f>IF($AA1421="","",IF($B1421="I",VLOOKUP($AA1421,#REF!,53,0),INDEX(VALUES!$B$1:$GP$1,1,$AA1421)))</f>
        <v/>
      </c>
    </row>
    <row r="1422" spans="1:29" hidden="1" outlineLevel="1">
      <c r="A1422" s="21"/>
      <c r="B1422" s="40" t="str">
        <f t="shared" si="106"/>
        <v/>
      </c>
      <c r="C1422" s="41">
        <f t="shared" si="95"/>
        <v>1421</v>
      </c>
      <c r="D1422" s="260"/>
      <c r="E1422" s="37"/>
      <c r="F1422" s="305" t="s">
        <v>9</v>
      </c>
      <c r="G1422" s="188"/>
      <c r="H1422" s="37"/>
      <c r="I1422" s="37" t="s">
        <v>9</v>
      </c>
      <c r="J1422" s="37"/>
      <c r="K1422" s="13" t="s">
        <v>26</v>
      </c>
      <c r="L1422" s="13" t="s">
        <v>29</v>
      </c>
      <c r="M1422" s="19" t="s">
        <v>1526</v>
      </c>
      <c r="N1422" s="13" t="s">
        <v>1527</v>
      </c>
      <c r="O1422" s="42">
        <v>0.01</v>
      </c>
      <c r="R1422" s="37" t="s">
        <v>106</v>
      </c>
      <c r="S1422" s="37"/>
      <c r="T1422" s="37"/>
      <c r="W1422" s="14" t="str">
        <f>IF(IFERROR(VLOOKUP($M1422,'IMPORT GS-Tür OL FL 2S2 20'!$H$2:$H$847,1,0),"-")="-","","GS")</f>
        <v>GS</v>
      </c>
      <c r="X1422" s="14" t="str">
        <f t="shared" si="103"/>
        <v/>
      </c>
      <c r="Z1422" s="58" t="str">
        <f>IF(OR($M1422="",NOT($O1422="{array}")),"",IFERROR(MATCH(PARAMETERS!$M1422,DEFAULT!$B$5:$CI$5,0),""))</f>
        <v/>
      </c>
      <c r="AA1422" s="55" t="str">
        <f t="shared" si="93"/>
        <v/>
      </c>
      <c r="AB1422" s="62" t="str">
        <f>IF(AND(OR($A1422="G",$A1422="P"),NOT($O1422="{array}")),IF(VLOOKUP($K1422,base!$B$2:$D$20,3,0)="S",IF(OR($O1422="",ISTEXT($O1422)),"","STRING!"),IF(VLOOKUP($K1422,base!$B$2:$D$20,3,0)="","",IF(ISTEXT($O1422),"NUMERIC!",""))),"")</f>
        <v/>
      </c>
      <c r="AC1422" s="16" t="str">
        <f>IF($AA1422="","",IF($B1422="I",VLOOKUP($AA1422,#REF!,53,0),INDEX(VALUES!$B$1:$GP$1,1,$AA1422)))</f>
        <v/>
      </c>
    </row>
    <row r="1423" spans="1:29" hidden="1" outlineLevel="1">
      <c r="A1423" s="21"/>
      <c r="B1423" s="40" t="str">
        <f t="shared" si="106"/>
        <v/>
      </c>
      <c r="C1423" s="41">
        <f t="shared" si="95"/>
        <v>1422</v>
      </c>
      <c r="D1423" s="260"/>
      <c r="E1423" s="37"/>
      <c r="F1423" s="305" t="s">
        <v>9</v>
      </c>
      <c r="G1423" s="188"/>
      <c r="H1423" s="37"/>
      <c r="I1423" s="37" t="s">
        <v>9</v>
      </c>
      <c r="J1423" s="37"/>
      <c r="K1423" s="13" t="s">
        <v>55</v>
      </c>
      <c r="L1423" s="13" t="s">
        <v>29</v>
      </c>
      <c r="M1423" s="19" t="s">
        <v>1528</v>
      </c>
      <c r="N1423" s="13" t="s">
        <v>1529</v>
      </c>
      <c r="O1423" s="42">
        <v>1</v>
      </c>
      <c r="R1423" s="37" t="s">
        <v>106</v>
      </c>
      <c r="S1423" s="37"/>
      <c r="T1423" s="37"/>
      <c r="W1423" s="14" t="str">
        <f>IF(IFERROR(VLOOKUP($M1423,'IMPORT GS-Tür OL FL 2S2 20'!$H$2:$H$847,1,0),"-")="-","","GS")</f>
        <v>GS</v>
      </c>
      <c r="X1423" s="14" t="str">
        <f t="shared" si="103"/>
        <v/>
      </c>
      <c r="Z1423" s="58" t="str">
        <f>IF(OR($M1423="",NOT($O1423="{array}")),"",IFERROR(MATCH(PARAMETERS!$M1423,DEFAULT!$B$5:$CI$5,0),""))</f>
        <v/>
      </c>
      <c r="AA1423" s="55" t="str">
        <f t="shared" si="93"/>
        <v/>
      </c>
      <c r="AB1423" s="62" t="str">
        <f>IF(AND(OR($A1423="G",$A1423="P"),NOT($O1423="{array}")),IF(VLOOKUP($K1423,base!$B$2:$D$20,3,0)="S",IF(OR($O1423="",ISTEXT($O1423)),"","STRING!"),IF(VLOOKUP($K1423,base!$B$2:$D$20,3,0)="","",IF(ISTEXT($O1423),"NUMERIC!",""))),"")</f>
        <v/>
      </c>
      <c r="AC1423" s="16" t="str">
        <f>IF($AA1423="","",IF($B1423="I",VLOOKUP($AA1423,#REF!,53,0),INDEX(VALUES!$B$1:$GP$1,1,$AA1423)))</f>
        <v/>
      </c>
    </row>
    <row r="1424" spans="1:29" hidden="1" outlineLevel="1">
      <c r="A1424" s="21"/>
      <c r="B1424" s="40" t="str">
        <f t="shared" si="106"/>
        <v/>
      </c>
      <c r="C1424" s="41">
        <f t="shared" ref="C1424:C1432" si="107">(ROW()-1)</f>
        <v>1423</v>
      </c>
      <c r="D1424" s="260"/>
      <c r="E1424" s="37"/>
      <c r="F1424" s="305" t="s">
        <v>9</v>
      </c>
      <c r="G1424" s="188"/>
      <c r="H1424" s="37"/>
      <c r="I1424" s="37" t="s">
        <v>9</v>
      </c>
      <c r="J1424" s="37"/>
      <c r="K1424" s="13" t="s">
        <v>53</v>
      </c>
      <c r="L1424" s="13" t="s">
        <v>29</v>
      </c>
      <c r="M1424" s="19" t="s">
        <v>1530</v>
      </c>
      <c r="N1424" s="13" t="s">
        <v>1531</v>
      </c>
      <c r="O1424" s="42">
        <v>1</v>
      </c>
      <c r="R1424" s="37" t="s">
        <v>106</v>
      </c>
      <c r="S1424" s="37"/>
      <c r="T1424" s="37"/>
      <c r="W1424" s="14" t="str">
        <f>IF(IFERROR(VLOOKUP($M1424,'IMPORT GS-Tür OL FL 2S2 20'!$H$2:$H$847,1,0),"-")="-","","GS")</f>
        <v>GS</v>
      </c>
      <c r="X1424" s="14" t="str">
        <f t="shared" si="103"/>
        <v/>
      </c>
      <c r="Z1424" s="58" t="str">
        <f>IF(OR($M1424="",NOT($O1424="{array}")),"",IFERROR(MATCH(PARAMETERS!$M1424,DEFAULT!$B$5:$CI$5,0),""))</f>
        <v/>
      </c>
      <c r="AA1424" s="55" t="str">
        <f t="shared" si="93"/>
        <v/>
      </c>
      <c r="AB1424" s="62" t="str">
        <f>IF(AND(OR($A1424="G",$A1424="P"),NOT($O1424="{array}")),IF(VLOOKUP($K1424,base!$B$2:$D$20,3,0)="S",IF(OR($O1424="",ISTEXT($O1424)),"","STRING!"),IF(VLOOKUP($K1424,base!$B$2:$D$20,3,0)="","",IF(ISTEXT($O1424),"NUMERIC!",""))),"")</f>
        <v/>
      </c>
      <c r="AC1424" s="16" t="str">
        <f>IF($AA1424="","",IF($B1424="I",VLOOKUP($AA1424,#REF!,53,0),INDEX(VALUES!$B$1:$GP$1,1,$AA1424)))</f>
        <v/>
      </c>
    </row>
    <row r="1425" spans="1:29" hidden="1" outlineLevel="1">
      <c r="A1425" s="21"/>
      <c r="B1425" s="40" t="str">
        <f t="shared" si="106"/>
        <v/>
      </c>
      <c r="C1425" s="41">
        <f t="shared" si="107"/>
        <v>1424</v>
      </c>
      <c r="D1425" s="260"/>
      <c r="E1425" s="37"/>
      <c r="F1425" s="305" t="s">
        <v>9</v>
      </c>
      <c r="G1425" s="188"/>
      <c r="H1425" s="37"/>
      <c r="I1425" s="37" t="s">
        <v>9</v>
      </c>
      <c r="J1425" s="37"/>
      <c r="K1425" s="13" t="s">
        <v>54</v>
      </c>
      <c r="L1425" s="13" t="s">
        <v>29</v>
      </c>
      <c r="M1425" s="19" t="s">
        <v>1532</v>
      </c>
      <c r="N1425" s="13" t="s">
        <v>1533</v>
      </c>
      <c r="O1425" s="42">
        <v>65</v>
      </c>
      <c r="R1425" s="37" t="s">
        <v>106</v>
      </c>
      <c r="S1425" s="37"/>
      <c r="T1425" s="37"/>
      <c r="W1425" s="14" t="str">
        <f>IF(IFERROR(VLOOKUP($M1425,'IMPORT GS-Tür OL FL 2S2 20'!$H$2:$H$847,1,0),"-")="-","","GS")</f>
        <v>GS</v>
      </c>
      <c r="X1425" s="14" t="str">
        <f t="shared" si="103"/>
        <v/>
      </c>
      <c r="Z1425" s="58" t="str">
        <f>IF(OR($M1425="",NOT($O1425="{array}")),"",IFERROR(MATCH(PARAMETERS!$M1425,DEFAULT!$B$5:$CI$5,0),""))</f>
        <v/>
      </c>
      <c r="AA1425" s="55" t="str">
        <f t="shared" si="93"/>
        <v/>
      </c>
      <c r="AB1425" s="62" t="str">
        <f>IF(AND(OR($A1425="G",$A1425="P"),NOT($O1425="{array}")),IF(VLOOKUP($K1425,base!$B$2:$D$20,3,0)="S",IF(OR($O1425="",ISTEXT($O1425)),"","STRING!"),IF(VLOOKUP($K1425,base!$B$2:$D$20,3,0)="","",IF(ISTEXT($O1425),"NUMERIC!",""))),"")</f>
        <v/>
      </c>
      <c r="AC1425" s="16" t="str">
        <f>IF($AA1425="","",IF($B1425="I",VLOOKUP($AA1425,#REF!,53,0),INDEX(VALUES!$B$1:$GP$1,1,$AA1425)))</f>
        <v/>
      </c>
    </row>
    <row r="1426" spans="1:29" hidden="1" outlineLevel="1">
      <c r="A1426" s="21"/>
      <c r="B1426" s="40" t="str">
        <f t="shared" si="106"/>
        <v/>
      </c>
      <c r="C1426" s="41">
        <f t="shared" si="107"/>
        <v>1425</v>
      </c>
      <c r="D1426" s="260"/>
      <c r="E1426" s="37"/>
      <c r="F1426" s="305" t="s">
        <v>9</v>
      </c>
      <c r="G1426" s="188"/>
      <c r="H1426" s="37"/>
      <c r="I1426" s="37" t="s">
        <v>9</v>
      </c>
      <c r="J1426" s="37"/>
      <c r="K1426" s="13" t="s">
        <v>55</v>
      </c>
      <c r="L1426" s="13" t="s">
        <v>29</v>
      </c>
      <c r="M1426" s="19" t="s">
        <v>1534</v>
      </c>
      <c r="N1426" s="13" t="s">
        <v>1535</v>
      </c>
      <c r="O1426" s="42">
        <v>2</v>
      </c>
      <c r="R1426" s="37" t="s">
        <v>106</v>
      </c>
      <c r="S1426" s="37"/>
      <c r="T1426" s="37"/>
      <c r="W1426" s="14" t="str">
        <f>IF(IFERROR(VLOOKUP($M1426,'IMPORT GS-Tür OL FL 2S2 20'!$H$2:$H$847,1,0),"-")="-","","GS")</f>
        <v>GS</v>
      </c>
      <c r="X1426" s="14" t="str">
        <f t="shared" si="103"/>
        <v/>
      </c>
      <c r="Z1426" s="58" t="str">
        <f>IF(OR($M1426="",NOT($O1426="{array}")),"",IFERROR(MATCH(PARAMETERS!$M1426,DEFAULT!$B$5:$CI$5,0),""))</f>
        <v/>
      </c>
      <c r="AA1426" s="55" t="str">
        <f t="shared" si="93"/>
        <v/>
      </c>
      <c r="AB1426" s="62" t="str">
        <f>IF(AND(OR($A1426="G",$A1426="P"),NOT($O1426="{array}")),IF(VLOOKUP($K1426,base!$B$2:$D$20,3,0)="S",IF(OR($O1426="",ISTEXT($O1426)),"","STRING!"),IF(VLOOKUP($K1426,base!$B$2:$D$20,3,0)="","",IF(ISTEXT($O1426),"NUMERIC!",""))),"")</f>
        <v/>
      </c>
      <c r="AC1426" s="16" t="str">
        <f>IF($AA1426="","",IF($B1426="I",VLOOKUP($AA1426,#REF!,53,0),INDEX(VALUES!$B$1:$GP$1,1,$AA1426)))</f>
        <v/>
      </c>
    </row>
    <row r="1427" spans="1:29" hidden="1" outlineLevel="1">
      <c r="A1427" s="21"/>
      <c r="B1427" s="40" t="str">
        <f t="shared" si="106"/>
        <v/>
      </c>
      <c r="C1427" s="41">
        <f t="shared" si="107"/>
        <v>1426</v>
      </c>
      <c r="D1427" s="260"/>
      <c r="E1427" s="37"/>
      <c r="F1427" s="305" t="s">
        <v>9</v>
      </c>
      <c r="G1427" s="188"/>
      <c r="H1427" s="37"/>
      <c r="I1427" s="37" t="s">
        <v>9</v>
      </c>
      <c r="J1427" s="37"/>
      <c r="K1427" s="13" t="s">
        <v>55</v>
      </c>
      <c r="L1427" s="13" t="s">
        <v>29</v>
      </c>
      <c r="M1427" s="19" t="s">
        <v>1536</v>
      </c>
      <c r="N1427" s="13" t="s">
        <v>1537</v>
      </c>
      <c r="O1427" s="42">
        <v>19</v>
      </c>
      <c r="R1427" s="37" t="s">
        <v>106</v>
      </c>
      <c r="S1427" s="37"/>
      <c r="T1427" s="37"/>
      <c r="W1427" s="14" t="str">
        <f>IF(IFERROR(VLOOKUP($M1427,'IMPORT GS-Tür OL FL 2S2 20'!$H$2:$H$847,1,0),"-")="-","","GS")</f>
        <v>GS</v>
      </c>
      <c r="X1427" s="14" t="str">
        <f t="shared" si="103"/>
        <v/>
      </c>
      <c r="Z1427" s="58" t="str">
        <f>IF(OR($M1427="",NOT($O1427="{array}")),"",IFERROR(MATCH(PARAMETERS!$M1427,DEFAULT!$B$5:$CI$5,0),""))</f>
        <v/>
      </c>
      <c r="AA1427" s="55" t="str">
        <f t="shared" si="93"/>
        <v/>
      </c>
      <c r="AB1427" s="62" t="str">
        <f>IF(AND(OR($A1427="G",$A1427="P"),NOT($O1427="{array}")),IF(VLOOKUP($K1427,base!$B$2:$D$20,3,0)="S",IF(OR($O1427="",ISTEXT($O1427)),"","STRING!"),IF(VLOOKUP($K1427,base!$B$2:$D$20,3,0)="","",IF(ISTEXT($O1427),"NUMERIC!",""))),"")</f>
        <v/>
      </c>
      <c r="AC1427" s="16" t="str">
        <f>IF($AA1427="","",IF($B1427="I",VLOOKUP($AA1427,#REF!,53,0),INDEX(VALUES!$B$1:$GP$1,1,$AA1427)))</f>
        <v/>
      </c>
    </row>
    <row r="1428" spans="1:29" hidden="1" outlineLevel="1">
      <c r="A1428" s="21"/>
      <c r="B1428" s="40" t="str">
        <f t="shared" si="106"/>
        <v/>
      </c>
      <c r="C1428" s="41">
        <f t="shared" si="107"/>
        <v>1427</v>
      </c>
      <c r="D1428" s="260"/>
      <c r="E1428" s="37"/>
      <c r="F1428" s="305" t="s">
        <v>9</v>
      </c>
      <c r="G1428" s="188"/>
      <c r="H1428" s="37"/>
      <c r="I1428" s="37" t="s">
        <v>9</v>
      </c>
      <c r="J1428" s="37"/>
      <c r="K1428" s="13" t="s">
        <v>55</v>
      </c>
      <c r="L1428" s="13" t="s">
        <v>29</v>
      </c>
      <c r="M1428" s="19" t="s">
        <v>1538</v>
      </c>
      <c r="N1428" s="13" t="s">
        <v>1539</v>
      </c>
      <c r="O1428" s="42">
        <v>1</v>
      </c>
      <c r="R1428" s="37" t="s">
        <v>106</v>
      </c>
      <c r="S1428" s="37"/>
      <c r="T1428" s="37"/>
      <c r="W1428" s="14" t="str">
        <f>IF(IFERROR(VLOOKUP($M1428,'IMPORT GS-Tür OL FL 2S2 20'!$H$2:$H$847,1,0),"-")="-","","GS")</f>
        <v>GS</v>
      </c>
      <c r="X1428" s="14" t="str">
        <f t="shared" ref="X1428:X1491" si="108">IF($A1428="G",IF(IFERROR(VLOOKUP($M1428,Reimport,1,0),"-")="-","&gt;&lt;",IF($O1428=VLOOKUP($M1428,Reimport,2,0),"...",VLOOKUP($M1428,Reimport,2,0))),"")</f>
        <v/>
      </c>
      <c r="Z1428" s="58" t="str">
        <f>IF(OR($M1428="",NOT($O1428="{array}")),"",IFERROR(MATCH(PARAMETERS!$M1428,DEFAULT!$B$5:$CI$5,0),""))</f>
        <v/>
      </c>
      <c r="AA1428" s="55" t="str">
        <f t="shared" si="93"/>
        <v/>
      </c>
      <c r="AB1428" s="62" t="str">
        <f>IF(AND(OR($A1428="G",$A1428="P"),NOT($O1428="{array}")),IF(VLOOKUP($K1428,base!$B$2:$D$20,3,0)="S",IF(OR($O1428="",ISTEXT($O1428)),"","STRING!"),IF(VLOOKUP($K1428,base!$B$2:$D$20,3,0)="","",IF(ISTEXT($O1428),"NUMERIC!",""))),"")</f>
        <v/>
      </c>
      <c r="AC1428" s="16" t="str">
        <f>IF($AA1428="","",IF($B1428="I",VLOOKUP($AA1428,#REF!,53,0),INDEX(VALUES!$B$1:$GP$1,1,$AA1428)))</f>
        <v/>
      </c>
    </row>
    <row r="1429" spans="1:29" hidden="1" outlineLevel="1">
      <c r="A1429" s="21"/>
      <c r="B1429" s="40" t="str">
        <f t="shared" si="106"/>
        <v/>
      </c>
      <c r="C1429" s="41">
        <f t="shared" si="107"/>
        <v>1428</v>
      </c>
      <c r="D1429" s="260"/>
      <c r="E1429" s="37"/>
      <c r="F1429" s="305"/>
      <c r="G1429" s="188"/>
      <c r="H1429" s="37"/>
      <c r="I1429" s="37" t="s">
        <v>9</v>
      </c>
      <c r="J1429" s="37"/>
      <c r="K1429" s="13" t="s">
        <v>53</v>
      </c>
      <c r="L1429" s="13" t="s">
        <v>29</v>
      </c>
      <c r="M1429" s="19" t="s">
        <v>1540</v>
      </c>
      <c r="N1429" s="13" t="s">
        <v>1541</v>
      </c>
      <c r="O1429" s="42">
        <v>1</v>
      </c>
      <c r="R1429" s="37" t="s">
        <v>106</v>
      </c>
      <c r="S1429" s="37"/>
      <c r="T1429" s="37"/>
      <c r="W1429" s="14" t="str">
        <f>IF(IFERROR(VLOOKUP($M1429,'IMPORT GS-Tür OL FL 2S2 20'!$H$2:$H$847,1,0),"-")="-","","GS")</f>
        <v>GS</v>
      </c>
      <c r="X1429" s="14" t="str">
        <f t="shared" si="108"/>
        <v/>
      </c>
      <c r="Z1429" s="58" t="str">
        <f>IF(OR($M1429="",NOT($O1429="{array}")),"",IFERROR(MATCH(PARAMETERS!$M1429,DEFAULT!$B$5:$CI$5,0),""))</f>
        <v/>
      </c>
      <c r="AA1429" s="55" t="str">
        <f t="shared" si="93"/>
        <v/>
      </c>
      <c r="AB1429" s="62" t="str">
        <f>IF(AND(OR($A1429="G",$A1429="P"),NOT($O1429="{array}")),IF(VLOOKUP($K1429,base!$B$2:$D$20,3,0)="S",IF(OR($O1429="",ISTEXT($O1429)),"","STRING!"),IF(VLOOKUP($K1429,base!$B$2:$D$20,3,0)="","",IF(ISTEXT($O1429),"NUMERIC!",""))),"")</f>
        <v/>
      </c>
      <c r="AC1429" s="16" t="str">
        <f>IF($AA1429="","",IF($B1429="I",VLOOKUP($AA1429,#REF!,53,0),INDEX(VALUES!$B$1:$GP$1,1,$AA1429)))</f>
        <v/>
      </c>
    </row>
    <row r="1430" spans="1:29" hidden="1" outlineLevel="1">
      <c r="A1430" s="21"/>
      <c r="B1430" s="40" t="str">
        <f t="shared" si="106"/>
        <v/>
      </c>
      <c r="C1430" s="41">
        <f t="shared" si="107"/>
        <v>1429</v>
      </c>
      <c r="D1430" s="260"/>
      <c r="E1430" s="37"/>
      <c r="F1430" s="305"/>
      <c r="G1430" s="188"/>
      <c r="H1430" s="37"/>
      <c r="I1430" s="37" t="s">
        <v>9</v>
      </c>
      <c r="J1430" s="37"/>
      <c r="K1430" s="13" t="s">
        <v>54</v>
      </c>
      <c r="L1430" s="13" t="s">
        <v>29</v>
      </c>
      <c r="M1430" s="19" t="s">
        <v>1542</v>
      </c>
      <c r="N1430" s="13" t="s">
        <v>1543</v>
      </c>
      <c r="O1430" s="42">
        <v>64</v>
      </c>
      <c r="R1430" s="37" t="s">
        <v>106</v>
      </c>
      <c r="S1430" s="37"/>
      <c r="T1430" s="37"/>
      <c r="W1430" s="14" t="str">
        <f>IF(IFERROR(VLOOKUP($M1430,'IMPORT GS-Tür OL FL 2S2 20'!$H$2:$H$847,1,0),"-")="-","","GS")</f>
        <v>GS</v>
      </c>
      <c r="X1430" s="14" t="str">
        <f t="shared" si="108"/>
        <v/>
      </c>
      <c r="Z1430" s="58" t="str">
        <f>IF(OR($M1430="",NOT($O1430="{array}")),"",IFERROR(MATCH(PARAMETERS!$M1430,DEFAULT!$B$5:$CI$5,0),""))</f>
        <v/>
      </c>
      <c r="AA1430" s="55" t="str">
        <f t="shared" si="93"/>
        <v/>
      </c>
      <c r="AB1430" s="62" t="str">
        <f>IF(AND(OR($A1430="G",$A1430="P"),NOT($O1430="{array}")),IF(VLOOKUP($K1430,base!$B$2:$D$20,3,0)="S",IF(OR($O1430="",ISTEXT($O1430)),"","STRING!"),IF(VLOOKUP($K1430,base!$B$2:$D$20,3,0)="","",IF(ISTEXT($O1430),"NUMERIC!",""))),"")</f>
        <v/>
      </c>
      <c r="AC1430" s="16" t="str">
        <f>IF($AA1430="","",IF($B1430="I",VLOOKUP($AA1430,#REF!,53,0),INDEX(VALUES!$B$1:$GP$1,1,$AA1430)))</f>
        <v/>
      </c>
    </row>
    <row r="1431" spans="1:29" hidden="1" outlineLevel="1">
      <c r="A1431" s="21"/>
      <c r="B1431" s="40" t="str">
        <f t="shared" si="106"/>
        <v/>
      </c>
      <c r="C1431" s="41">
        <f t="shared" si="107"/>
        <v>1430</v>
      </c>
      <c r="D1431" s="260"/>
      <c r="E1431" s="37"/>
      <c r="F1431" s="305" t="s">
        <v>9</v>
      </c>
      <c r="G1431" s="188"/>
      <c r="H1431" s="37"/>
      <c r="I1431" s="37" t="s">
        <v>9</v>
      </c>
      <c r="J1431" s="37"/>
      <c r="K1431" s="13" t="s">
        <v>55</v>
      </c>
      <c r="L1431" s="13" t="s">
        <v>29</v>
      </c>
      <c r="M1431" s="19" t="s">
        <v>1544</v>
      </c>
      <c r="N1431" s="13" t="s">
        <v>1539</v>
      </c>
      <c r="O1431" s="42">
        <v>2</v>
      </c>
      <c r="R1431" s="37" t="s">
        <v>106</v>
      </c>
      <c r="S1431" s="37"/>
      <c r="T1431" s="37"/>
      <c r="W1431" s="14" t="str">
        <f>IF(IFERROR(VLOOKUP($M1431,'IMPORT GS-Tür OL FL 2S2 20'!$H$2:$H$847,1,0),"-")="-","","GS")</f>
        <v>GS</v>
      </c>
      <c r="X1431" s="14" t="str">
        <f t="shared" si="108"/>
        <v/>
      </c>
      <c r="Z1431" s="58" t="str">
        <f>IF(OR($M1431="",NOT($O1431="{array}")),"",IFERROR(MATCH(PARAMETERS!$M1431,DEFAULT!$B$5:$CI$5,0),""))</f>
        <v/>
      </c>
      <c r="AA1431" s="55" t="str">
        <f t="shared" si="93"/>
        <v/>
      </c>
      <c r="AB1431" s="62" t="str">
        <f>IF(AND(OR($A1431="G",$A1431="P"),NOT($O1431="{array}")),IF(VLOOKUP($K1431,base!$B$2:$D$20,3,0)="S",IF(OR($O1431="",ISTEXT($O1431)),"","STRING!"),IF(VLOOKUP($K1431,base!$B$2:$D$20,3,0)="","",IF(ISTEXT($O1431),"NUMERIC!",""))),"")</f>
        <v/>
      </c>
      <c r="AC1431" s="16" t="str">
        <f>IF($AA1431="","",IF($B1431="I",VLOOKUP($AA1431,#REF!,53,0),INDEX(VALUES!$B$1:$GP$1,1,$AA1431)))</f>
        <v/>
      </c>
    </row>
    <row r="1432" spans="1:29" hidden="1" outlineLevel="1">
      <c r="A1432" s="21"/>
      <c r="B1432" s="40" t="str">
        <f t="shared" si="106"/>
        <v/>
      </c>
      <c r="C1432" s="41">
        <f t="shared" si="107"/>
        <v>1431</v>
      </c>
      <c r="D1432" s="260"/>
      <c r="E1432" s="37"/>
      <c r="F1432" s="305"/>
      <c r="G1432" s="188"/>
      <c r="H1432" s="37"/>
      <c r="I1432" s="37" t="s">
        <v>9</v>
      </c>
      <c r="J1432" s="37"/>
      <c r="K1432" s="13" t="s">
        <v>55</v>
      </c>
      <c r="L1432" s="13" t="s">
        <v>29</v>
      </c>
      <c r="M1432" s="19" t="s">
        <v>1545</v>
      </c>
      <c r="N1432" s="13" t="s">
        <v>1546</v>
      </c>
      <c r="O1432" s="42">
        <v>19</v>
      </c>
      <c r="R1432" s="37" t="s">
        <v>106</v>
      </c>
      <c r="S1432" s="37"/>
      <c r="T1432" s="37"/>
      <c r="W1432" s="14" t="str">
        <f>IF(IFERROR(VLOOKUP($M1432,'IMPORT GS-Tür OL FL 2S2 20'!$H$2:$H$847,1,0),"-")="-","","GS")</f>
        <v>GS</v>
      </c>
      <c r="X1432" s="14" t="str">
        <f t="shared" si="108"/>
        <v/>
      </c>
      <c r="Z1432" s="58" t="str">
        <f>IF(OR($M1432="",NOT($O1432="{array}")),"",IFERROR(MATCH(PARAMETERS!$M1432,DEFAULT!$B$5:$CI$5,0),""))</f>
        <v/>
      </c>
      <c r="AA1432" s="55" t="str">
        <f t="shared" si="93"/>
        <v/>
      </c>
      <c r="AB1432" s="62" t="str">
        <f>IF(AND(OR($A1432="G",$A1432="P"),NOT($O1432="{array}")),IF(VLOOKUP($K1432,base!$B$2:$D$20,3,0)="S",IF(OR($O1432="",ISTEXT($O1432)),"","STRING!"),IF(VLOOKUP($K1432,base!$B$2:$D$20,3,0)="","",IF(ISTEXT($O1432),"NUMERIC!",""))),"")</f>
        <v/>
      </c>
      <c r="AC1432" s="16" t="str">
        <f>IF($AA1432="","",IF($B1432="I",VLOOKUP($AA1432,#REF!,53,0),INDEX(VALUES!$B$1:$GP$1,1,$AA1432)))</f>
        <v/>
      </c>
    </row>
    <row r="1433" spans="1:29" hidden="1" outlineLevel="1">
      <c r="A1433" s="21" t="s">
        <v>2781</v>
      </c>
      <c r="B1433" s="40"/>
      <c r="C1433" s="41"/>
      <c r="D1433" s="260"/>
      <c r="E1433" s="37"/>
      <c r="F1433" s="305"/>
      <c r="G1433" s="188"/>
      <c r="H1433" s="37"/>
      <c r="I1433" s="37"/>
      <c r="J1433" s="37"/>
      <c r="L1433" s="150"/>
      <c r="M1433" s="13"/>
      <c r="R1433" s="37"/>
      <c r="S1433" s="37"/>
      <c r="T1433" s="37"/>
      <c r="W1433" s="14" t="str">
        <f>IF(IFERROR(VLOOKUP($M1433,'IMPORT GS-Tür OL FL 2S2 20'!$H$2:$H$847,1,0),"-")="-","","GS")</f>
        <v/>
      </c>
      <c r="X1433" s="14" t="str">
        <f t="shared" si="108"/>
        <v/>
      </c>
      <c r="Z1433" s="58" t="str">
        <f>IF(OR($M1433="",NOT($O1433="{array}")),"",IFERROR(MATCH(PARAMETERS!$M1433,DEFAULT!$B$5:$CI$5,0),""))</f>
        <v/>
      </c>
      <c r="AA1433" s="55" t="str">
        <f t="shared" si="93"/>
        <v/>
      </c>
      <c r="AB1433" s="62" t="str">
        <f>IF(AND(OR($A1433="G",$A1433="P"),NOT($O1433="{array}")),IF(VLOOKUP($K1433,base!$B$2:$D$20,3,0)="S",IF(OR($O1433="",ISTEXT($O1433)),"","STRING!"),IF(VLOOKUP($K1433,base!$B$2:$D$20,3,0)="","",IF(ISTEXT($O1433),"NUMERIC!",""))),"")</f>
        <v/>
      </c>
      <c r="AC1433" s="16" t="str">
        <f>IF($AA1433="","",IF($B1433="I",VLOOKUP($AA1433,#REF!,53,0),INDEX(VALUES!$B$1:$GP$1,1,$AA1433)))</f>
        <v/>
      </c>
    </row>
    <row r="1434" spans="1:29" collapsed="1">
      <c r="A1434" s="21"/>
      <c r="B1434" s="40" t="str">
        <f t="shared" si="106"/>
        <v/>
      </c>
      <c r="C1434" s="41">
        <f t="shared" ref="C1434:C1497" si="109">(ROW()-1)</f>
        <v>1433</v>
      </c>
      <c r="D1434" s="260"/>
      <c r="E1434" s="37"/>
      <c r="F1434" s="305"/>
      <c r="G1434" s="188" t="s">
        <v>9</v>
      </c>
      <c r="H1434" s="37"/>
      <c r="I1434" s="37"/>
      <c r="J1434" s="37"/>
      <c r="K1434" s="13" t="s">
        <v>59</v>
      </c>
      <c r="L1434" s="13" t="s">
        <v>40</v>
      </c>
      <c r="M1434" s="47" t="s">
        <v>2782</v>
      </c>
      <c r="N1434" s="40" t="s">
        <v>2783</v>
      </c>
      <c r="R1434" s="37" t="s">
        <v>105</v>
      </c>
      <c r="S1434" s="37"/>
      <c r="T1434" s="37"/>
      <c r="W1434" s="14" t="str">
        <f>IF(IFERROR(VLOOKUP($M1434,'IMPORT GS-Tür OL FL 2S2 20'!$H$2:$H$847,1,0),"-")="-","","GS")</f>
        <v/>
      </c>
      <c r="X1434" s="14" t="str">
        <f t="shared" si="108"/>
        <v/>
      </c>
      <c r="Z1434" s="58" t="str">
        <f>IF(OR($M1434="",NOT($O1434="{array}")),"",IFERROR(MATCH(PARAMETERS!$M1434,DEFAULT!$B$5:$CI$5,0),""))</f>
        <v/>
      </c>
      <c r="AA1434" s="55" t="str">
        <f t="shared" si="93"/>
        <v/>
      </c>
      <c r="AB1434" s="62" t="str">
        <f>IF(AND(OR($A1434="G",$A1434="P"),NOT($O1434="{array}")),IF(VLOOKUP($K1434,base!$B$2:$D$20,3,0)="S",IF(OR($O1434="",ISTEXT($O1434)),"","STRING!"),IF(VLOOKUP($K1434,base!$B$2:$D$20,3,0)="","",IF(ISTEXT($O1434),"NUMERIC!",""))),"")</f>
        <v/>
      </c>
      <c r="AC1434" s="16" t="str">
        <f>IF($AA1434="","",IF($B1434="I",VLOOKUP($AA1434,#REF!,53,0),INDEX(VALUES!$B$1:$GP$1,1,$AA1434)))</f>
        <v/>
      </c>
    </row>
    <row r="1435" spans="1:29" hidden="1" outlineLevel="1">
      <c r="A1435" s="21" t="s">
        <v>87</v>
      </c>
      <c r="B1435" s="40" t="str">
        <f t="shared" si="106"/>
        <v/>
      </c>
      <c r="C1435" s="41">
        <f t="shared" si="109"/>
        <v>1434</v>
      </c>
      <c r="D1435" s="260"/>
      <c r="E1435" s="37"/>
      <c r="F1435" s="305"/>
      <c r="G1435" s="188"/>
      <c r="H1435" s="37"/>
      <c r="I1435" s="37"/>
      <c r="J1435" s="37"/>
      <c r="K1435" s="175" t="s">
        <v>20</v>
      </c>
      <c r="L1435" s="150" t="s">
        <v>23</v>
      </c>
      <c r="M1435" s="179" t="s">
        <v>2784</v>
      </c>
      <c r="N1435" s="179" t="s">
        <v>2784</v>
      </c>
      <c r="Q1435" s="180" t="s">
        <v>9</v>
      </c>
      <c r="R1435" s="180" t="s">
        <v>105</v>
      </c>
      <c r="S1435" s="180" t="s">
        <v>114</v>
      </c>
      <c r="T1435" s="37"/>
      <c r="U1435" s="179" t="s">
        <v>107</v>
      </c>
      <c r="V1435" s="179" t="s">
        <v>2784</v>
      </c>
      <c r="W1435" s="14" t="str">
        <f>IF(IFERROR(VLOOKUP($M1435,'IMPORT GS-Tür OL FL 2S2 20'!$H$2:$H$847,1,0),"-")="-","","GS")</f>
        <v/>
      </c>
      <c r="X1435" s="14" t="str">
        <f t="shared" si="108"/>
        <v/>
      </c>
      <c r="Y1435" s="179" t="s">
        <v>2785</v>
      </c>
      <c r="Z1435" s="58" t="str">
        <f>IF(OR($M1435="",NOT($O1435="{array}")),"",IFERROR(MATCH(PARAMETERS!$M1435,DEFAULT!$B$5:$CI$5,0),""))</f>
        <v/>
      </c>
      <c r="AA1435" s="55" t="str">
        <f t="shared" si="93"/>
        <v/>
      </c>
      <c r="AB1435" s="62" t="str">
        <f>IF(AND(OR($A1435="G",$A1435="P"),NOT($O1435="{array}")),IF(VLOOKUP($K1435,base!$B$2:$D$20,3,0)="S",IF(OR($O1435="",ISTEXT($O1435)),"","STRING!"),IF(VLOOKUP($K1435,base!$B$2:$D$20,3,0)="","",IF(ISTEXT($O1435),"NUMERIC!",""))),"")</f>
        <v/>
      </c>
      <c r="AC1435" s="16" t="str">
        <f>IF($AA1435="","",IF($B1435="I",VLOOKUP($AA1435,#REF!,53,0),INDEX(VALUES!$B$1:$GP$1,1,$AA1435)))</f>
        <v/>
      </c>
    </row>
    <row r="1436" spans="1:29" hidden="1" outlineLevel="1">
      <c r="A1436" s="21" t="s">
        <v>87</v>
      </c>
      <c r="B1436" s="40" t="str">
        <f t="shared" si="106"/>
        <v/>
      </c>
      <c r="C1436" s="41">
        <f t="shared" si="109"/>
        <v>1435</v>
      </c>
      <c r="D1436" s="260"/>
      <c r="E1436" s="37"/>
      <c r="F1436" s="305"/>
      <c r="G1436" s="188"/>
      <c r="H1436" s="37"/>
      <c r="I1436" s="37"/>
      <c r="J1436" s="37"/>
      <c r="K1436" s="175" t="s">
        <v>20</v>
      </c>
      <c r="L1436" s="150" t="s">
        <v>23</v>
      </c>
      <c r="M1436" s="179" t="s">
        <v>2786</v>
      </c>
      <c r="N1436" s="179" t="s">
        <v>2786</v>
      </c>
      <c r="O1436" s="42" t="s">
        <v>2787</v>
      </c>
      <c r="Q1436" s="180" t="s">
        <v>9</v>
      </c>
      <c r="R1436" s="180" t="s">
        <v>105</v>
      </c>
      <c r="S1436" s="180" t="s">
        <v>114</v>
      </c>
      <c r="T1436" s="37"/>
      <c r="U1436" s="197" t="s">
        <v>107</v>
      </c>
      <c r="V1436" s="179" t="s">
        <v>2786</v>
      </c>
      <c r="W1436" s="14" t="str">
        <f>IF(IFERROR(VLOOKUP($M1436,'IMPORT GS-Tür OL FL 2S2 20'!$H$2:$H$847,1,0),"-")="-","","GS")</f>
        <v/>
      </c>
      <c r="X1436" s="14" t="str">
        <f t="shared" si="108"/>
        <v/>
      </c>
      <c r="Y1436" s="179" t="s">
        <v>2788</v>
      </c>
      <c r="Z1436" s="58" t="str">
        <f>IF(OR($M1436="",NOT($O1436="{array}")),"",IFERROR(MATCH(PARAMETERS!$M1436,DEFAULT!$B$5:$CI$5,0),""))</f>
        <v/>
      </c>
      <c r="AA1436" s="55" t="str">
        <f t="shared" si="93"/>
        <v/>
      </c>
      <c r="AB1436" s="62" t="str">
        <f>IF(AND(OR($A1436="G",$A1436="P"),NOT($O1436="{array}")),IF(VLOOKUP($K1436,base!$B$2:$D$20,3,0)="S",IF(OR($O1436="",ISTEXT($O1436)),"","STRING!"),IF(VLOOKUP($K1436,base!$B$2:$D$20,3,0)="","",IF(ISTEXT($O1436),"NUMERIC!",""))),"")</f>
        <v/>
      </c>
      <c r="AC1436" s="16" t="str">
        <f>IF($AA1436="","",IF($B1436="I",VLOOKUP($AA1436,#REF!,53,0),INDEX(VALUES!$B$1:$GP$1,1,$AA1436)))</f>
        <v/>
      </c>
    </row>
    <row r="1437" spans="1:29" hidden="1" outlineLevel="1">
      <c r="A1437" s="21" t="s">
        <v>87</v>
      </c>
      <c r="B1437" s="40" t="str">
        <f t="shared" si="106"/>
        <v/>
      </c>
      <c r="C1437" s="41">
        <f t="shared" si="109"/>
        <v>1436</v>
      </c>
      <c r="D1437" s="260"/>
      <c r="E1437" s="37"/>
      <c r="F1437" s="305"/>
      <c r="G1437" s="188"/>
      <c r="H1437" s="37"/>
      <c r="I1437" s="37"/>
      <c r="J1437" s="37"/>
      <c r="K1437" s="175" t="s">
        <v>20</v>
      </c>
      <c r="L1437" s="150" t="s">
        <v>23</v>
      </c>
      <c r="M1437" s="193" t="s">
        <v>2789</v>
      </c>
      <c r="N1437" s="193" t="s">
        <v>2789</v>
      </c>
      <c r="Q1437" s="180" t="s">
        <v>9</v>
      </c>
      <c r="R1437" s="180" t="s">
        <v>105</v>
      </c>
      <c r="S1437" s="190" t="s">
        <v>114</v>
      </c>
      <c r="T1437" s="190"/>
      <c r="U1437" s="195"/>
      <c r="V1437" s="193" t="s">
        <v>2789</v>
      </c>
      <c r="W1437" s="161" t="str">
        <f>IF(IFERROR(VLOOKUP($M1437,'IMPORT GS-Tür OL FL 2S2 20'!$H$2:$H$847,1,0),"-")="-","","GS")</f>
        <v/>
      </c>
      <c r="X1437" s="14" t="str">
        <f t="shared" si="108"/>
        <v/>
      </c>
      <c r="Y1437" s="194" t="s">
        <v>2790</v>
      </c>
      <c r="Z1437" s="58" t="str">
        <f>IF(OR($M1437="",NOT($O1437="{array}")),"",IFERROR(MATCH(PARAMETERS!$M1437,DEFAULT!$B$5:$CI$5,0),""))</f>
        <v/>
      </c>
      <c r="AA1437" s="55" t="str">
        <f t="shared" si="93"/>
        <v/>
      </c>
      <c r="AB1437" s="62" t="str">
        <f>IF(AND(OR($A1437="G",$A1437="P"),NOT($O1437="{array}")),IF(VLOOKUP($K1437,base!$B$2:$D$20,3,0)="S",IF(OR($O1437="",ISTEXT($O1437)),"","STRING!"),IF(VLOOKUP($K1437,base!$B$2:$D$20,3,0)="","",IF(ISTEXT($O1437),"NUMERIC!",""))),"")</f>
        <v/>
      </c>
      <c r="AC1437" s="16" t="str">
        <f>IF($AA1437="","",IF($B1437="I",VLOOKUP($AA1437,#REF!,53,0),INDEX(VALUES!$B$1:$GP$1,1,$AA1437)))</f>
        <v/>
      </c>
    </row>
    <row r="1438" spans="1:29" hidden="1" outlineLevel="1">
      <c r="A1438" s="21" t="s">
        <v>87</v>
      </c>
      <c r="B1438" s="40" t="str">
        <f t="shared" si="106"/>
        <v/>
      </c>
      <c r="C1438" s="41">
        <f t="shared" si="109"/>
        <v>1437</v>
      </c>
      <c r="D1438" s="260"/>
      <c r="E1438" s="37"/>
      <c r="F1438" s="305"/>
      <c r="G1438" s="188"/>
      <c r="H1438" s="37"/>
      <c r="I1438" s="37"/>
      <c r="J1438" s="37"/>
      <c r="K1438" s="175" t="s">
        <v>20</v>
      </c>
      <c r="L1438" s="150" t="s">
        <v>23</v>
      </c>
      <c r="M1438" s="193" t="s">
        <v>2791</v>
      </c>
      <c r="N1438" s="193" t="s">
        <v>2791</v>
      </c>
      <c r="Q1438" s="180" t="s">
        <v>9</v>
      </c>
      <c r="R1438" s="180" t="s">
        <v>105</v>
      </c>
      <c r="S1438" s="190" t="s">
        <v>114</v>
      </c>
      <c r="T1438" s="190"/>
      <c r="U1438" s="195"/>
      <c r="V1438" s="193" t="s">
        <v>2791</v>
      </c>
      <c r="W1438" s="161" t="str">
        <f>IF(IFERROR(VLOOKUP($M1438,'IMPORT GS-Tür OL FL 2S2 20'!$H$2:$H$847,1,0),"-")="-","","GS")</f>
        <v/>
      </c>
      <c r="X1438" s="14" t="str">
        <f t="shared" si="108"/>
        <v/>
      </c>
      <c r="Y1438" s="193"/>
      <c r="Z1438" s="58" t="str">
        <f>IF(OR($M1438="",NOT($O1438="{array}")),"",IFERROR(MATCH(PARAMETERS!$M1438,DEFAULT!$B$5:$CI$5,0),""))</f>
        <v/>
      </c>
      <c r="AA1438" s="55" t="str">
        <f t="shared" si="93"/>
        <v/>
      </c>
      <c r="AB1438" s="62" t="str">
        <f>IF(AND(OR($A1438="G",$A1438="P"),NOT($O1438="{array}")),IF(VLOOKUP($K1438,base!$B$2:$D$20,3,0)="S",IF(OR($O1438="",ISTEXT($O1438)),"","STRING!"),IF(VLOOKUP($K1438,base!$B$2:$D$20,3,0)="","",IF(ISTEXT($O1438),"NUMERIC!",""))),"")</f>
        <v/>
      </c>
      <c r="AC1438" s="16" t="str">
        <f>IF($AA1438="","",IF($B1438="I",VLOOKUP($AA1438,#REF!,53,0),INDEX(VALUES!$B$1:$GP$1,1,$AA1438)))</f>
        <v/>
      </c>
    </row>
    <row r="1439" spans="1:29" hidden="1" outlineLevel="1">
      <c r="A1439" s="21" t="s">
        <v>87</v>
      </c>
      <c r="B1439" s="40" t="str">
        <f t="shared" si="106"/>
        <v/>
      </c>
      <c r="C1439" s="41">
        <f t="shared" si="109"/>
        <v>1438</v>
      </c>
      <c r="D1439" s="260"/>
      <c r="E1439" s="37"/>
      <c r="F1439" s="305"/>
      <c r="G1439" s="188"/>
      <c r="H1439" s="37"/>
      <c r="I1439" s="37"/>
      <c r="J1439" s="37"/>
      <c r="K1439" s="175" t="s">
        <v>20</v>
      </c>
      <c r="L1439" s="150" t="s">
        <v>23</v>
      </c>
      <c r="M1439" s="193" t="s">
        <v>2792</v>
      </c>
      <c r="N1439" s="193" t="s">
        <v>2793</v>
      </c>
      <c r="Q1439" s="180" t="s">
        <v>9</v>
      </c>
      <c r="R1439" s="190" t="s">
        <v>105</v>
      </c>
      <c r="S1439" s="190" t="s">
        <v>114</v>
      </c>
      <c r="T1439" s="190"/>
      <c r="U1439" s="193" t="s">
        <v>107</v>
      </c>
      <c r="V1439" s="193" t="s">
        <v>2794</v>
      </c>
      <c r="W1439" s="161" t="str">
        <f>IF(IFERROR(VLOOKUP($M1439,'IMPORT GS-Tür OL FL 2S2 20'!$H$2:$H$847,1,0),"-")="-","","GS")</f>
        <v/>
      </c>
      <c r="X1439" s="14" t="str">
        <f t="shared" si="108"/>
        <v/>
      </c>
      <c r="Y1439" s="193" t="s">
        <v>2795</v>
      </c>
      <c r="Z1439" s="58" t="str">
        <f>IF(OR($M1439="",NOT($O1439="{array}")),"",IFERROR(MATCH(PARAMETERS!$M1439,DEFAULT!$B$5:$CI$5,0),""))</f>
        <v/>
      </c>
      <c r="AA1439" s="55" t="str">
        <f t="shared" si="93"/>
        <v/>
      </c>
      <c r="AB1439" s="62" t="str">
        <f>IF(AND(OR($A1439="G",$A1439="P"),NOT($O1439="{array}")),IF(VLOOKUP($K1439,base!$B$2:$D$20,3,0)="S",IF(OR($O1439="",ISTEXT($O1439)),"","STRING!"),IF(VLOOKUP($K1439,base!$B$2:$D$20,3,0)="","",IF(ISTEXT($O1439),"NUMERIC!",""))),"")</f>
        <v/>
      </c>
      <c r="AC1439" s="16" t="str">
        <f>IF($AA1439="","",IF($B1439="I",VLOOKUP($AA1439,#REF!,53,0),INDEX(VALUES!$B$1:$GP$1,1,$AA1439)))</f>
        <v/>
      </c>
    </row>
    <row r="1440" spans="1:29" s="276" customFormat="1" hidden="1" outlineLevel="1">
      <c r="A1440" s="263"/>
      <c r="B1440" s="264" t="str">
        <f t="shared" si="106"/>
        <v/>
      </c>
      <c r="C1440" s="265">
        <f t="shared" si="109"/>
        <v>1439</v>
      </c>
      <c r="D1440" s="266"/>
      <c r="E1440" s="266"/>
      <c r="F1440" s="305" t="s">
        <v>9</v>
      </c>
      <c r="G1440" s="188"/>
      <c r="H1440" s="266"/>
      <c r="I1440" s="266" t="s">
        <v>9</v>
      </c>
      <c r="J1440" s="266"/>
      <c r="K1440" s="276" t="s">
        <v>20</v>
      </c>
      <c r="L1440" s="276" t="s">
        <v>23</v>
      </c>
      <c r="M1440" s="285" t="s">
        <v>2796</v>
      </c>
      <c r="N1440" s="276" t="s">
        <v>2797</v>
      </c>
      <c r="O1440" s="286"/>
      <c r="Q1440" s="266" t="s">
        <v>9</v>
      </c>
      <c r="R1440" s="266" t="s">
        <v>106</v>
      </c>
      <c r="S1440" s="266"/>
      <c r="T1440" s="266"/>
      <c r="W1440" s="272" t="str">
        <f>IF(IFERROR(VLOOKUP($M1440,'IMPORT GS-Tür OL FL 2S2 20'!$H$2:$H$847,1,0),"-")="-","","GS")</f>
        <v>GS</v>
      </c>
      <c r="X1440" s="272" t="str">
        <f t="shared" si="108"/>
        <v/>
      </c>
      <c r="Z1440" s="273" t="str">
        <f>IF(OR($M1440="",NOT($O1440="{array}")),"",IFERROR(MATCH(PARAMETERS!$M1440,DEFAULT!$B$5:$CI$5,0),""))</f>
        <v/>
      </c>
      <c r="AA1440" s="272" t="str">
        <f t="shared" si="93"/>
        <v/>
      </c>
      <c r="AB1440" s="274" t="str">
        <f>IF(AND(OR($A1440="G",$A1440="P"),NOT($O1440="{array}")),IF(VLOOKUP($K1440,base!$B$2:$D$20,3,0)="S",IF(OR($O1440="",ISTEXT($O1440)),"","STRING!"),IF(VLOOKUP($K1440,base!$B$2:$D$20,3,0)="","",IF(ISTEXT($O1440),"NUMERIC!",""))),"")</f>
        <v/>
      </c>
      <c r="AC1440" s="275" t="str">
        <f>IF($AA1440="","",IF($B1440="I",VLOOKUP($AA1440,#REF!,53,0),INDEX(VALUES!$B$1:$GP$1,1,$AA1440)))</f>
        <v/>
      </c>
    </row>
    <row r="1441" spans="1:29" s="276" customFormat="1" hidden="1" outlineLevel="1">
      <c r="A1441" s="263"/>
      <c r="B1441" s="264" t="str">
        <f t="shared" si="106"/>
        <v/>
      </c>
      <c r="C1441" s="265">
        <f t="shared" si="109"/>
        <v>1440</v>
      </c>
      <c r="D1441" s="266"/>
      <c r="E1441" s="266"/>
      <c r="F1441" s="305" t="s">
        <v>9</v>
      </c>
      <c r="G1441" s="188"/>
      <c r="H1441" s="266"/>
      <c r="I1441" s="266" t="s">
        <v>9</v>
      </c>
      <c r="J1441" s="266"/>
      <c r="K1441" s="276" t="s">
        <v>20</v>
      </c>
      <c r="L1441" s="276" t="s">
        <v>23</v>
      </c>
      <c r="M1441" s="285" t="s">
        <v>2798</v>
      </c>
      <c r="N1441" s="276" t="s">
        <v>2799</v>
      </c>
      <c r="O1441" s="286"/>
      <c r="Q1441" s="266" t="s">
        <v>9</v>
      </c>
      <c r="R1441" s="266" t="s">
        <v>106</v>
      </c>
      <c r="S1441" s="266"/>
      <c r="T1441" s="266"/>
      <c r="W1441" s="272" t="str">
        <f>IF(IFERROR(VLOOKUP($M1441,'IMPORT GS-Tür OL FL 2S2 20'!$H$2:$H$847,1,0),"-")="-","","GS")</f>
        <v>GS</v>
      </c>
      <c r="X1441" s="272" t="str">
        <f t="shared" si="108"/>
        <v/>
      </c>
      <c r="Z1441" s="273" t="str">
        <f>IF(OR($M1441="",NOT($O1441="{array}")),"",IFERROR(MATCH(PARAMETERS!$M1441,DEFAULT!$B$5:$CI$5,0),""))</f>
        <v/>
      </c>
      <c r="AA1441" s="272" t="str">
        <f t="shared" si="93"/>
        <v/>
      </c>
      <c r="AB1441" s="274" t="str">
        <f>IF(AND(OR($A1441="G",$A1441="P"),NOT($O1441="{array}")),IF(VLOOKUP($K1441,base!$B$2:$D$20,3,0)="S",IF(OR($O1441="",ISTEXT($O1441)),"","STRING!"),IF(VLOOKUP($K1441,base!$B$2:$D$20,3,0)="","",IF(ISTEXT($O1441),"NUMERIC!",""))),"")</f>
        <v/>
      </c>
      <c r="AC1441" s="275" t="str">
        <f>IF($AA1441="","",IF($B1441="I",VLOOKUP($AA1441,#REF!,53,0),INDEX(VALUES!$B$1:$GP$1,1,$AA1441)))</f>
        <v/>
      </c>
    </row>
    <row r="1442" spans="1:29" s="276" customFormat="1" hidden="1" outlineLevel="1">
      <c r="A1442" s="263"/>
      <c r="B1442" s="264" t="str">
        <f t="shared" si="106"/>
        <v/>
      </c>
      <c r="C1442" s="265">
        <f t="shared" si="109"/>
        <v>1441</v>
      </c>
      <c r="D1442" s="266"/>
      <c r="E1442" s="266"/>
      <c r="F1442" s="305" t="s">
        <v>9</v>
      </c>
      <c r="G1442" s="188"/>
      <c r="H1442" s="266"/>
      <c r="I1442" s="266" t="s">
        <v>9</v>
      </c>
      <c r="J1442" s="266"/>
      <c r="K1442" s="276" t="s">
        <v>20</v>
      </c>
      <c r="L1442" s="276" t="s">
        <v>23</v>
      </c>
      <c r="M1442" s="285" t="s">
        <v>2800</v>
      </c>
      <c r="N1442" s="276" t="s">
        <v>2801</v>
      </c>
      <c r="O1442" s="286"/>
      <c r="Q1442" s="266" t="s">
        <v>9</v>
      </c>
      <c r="R1442" s="266" t="s">
        <v>106</v>
      </c>
      <c r="S1442" s="266"/>
      <c r="T1442" s="266"/>
      <c r="W1442" s="272" t="str">
        <f>IF(IFERROR(VLOOKUP($M1442,'IMPORT GS-Tür OL FL 2S2 20'!$H$2:$H$847,1,0),"-")="-","","GS")</f>
        <v>GS</v>
      </c>
      <c r="X1442" s="272" t="str">
        <f t="shared" si="108"/>
        <v/>
      </c>
      <c r="Z1442" s="273" t="str">
        <f>IF(OR($M1442="",NOT($O1442="{array}")),"",IFERROR(MATCH(PARAMETERS!$M1442,DEFAULT!$B$5:$CI$5,0),""))</f>
        <v/>
      </c>
      <c r="AA1442" s="272" t="str">
        <f t="shared" si="93"/>
        <v/>
      </c>
      <c r="AB1442" s="274" t="str">
        <f>IF(AND(OR($A1442="G",$A1442="P"),NOT($O1442="{array}")),IF(VLOOKUP($K1442,base!$B$2:$D$20,3,0)="S",IF(OR($O1442="",ISTEXT($O1442)),"","STRING!"),IF(VLOOKUP($K1442,base!$B$2:$D$20,3,0)="","",IF(ISTEXT($O1442),"NUMERIC!",""))),"")</f>
        <v/>
      </c>
      <c r="AC1442" s="275" t="str">
        <f>IF($AA1442="","",IF($B1442="I",VLOOKUP($AA1442,#REF!,53,0),INDEX(VALUES!$B$1:$GP$1,1,$AA1442)))</f>
        <v/>
      </c>
    </row>
    <row r="1443" spans="1:29" hidden="1" outlineLevel="1">
      <c r="A1443" s="21" t="s">
        <v>87</v>
      </c>
      <c r="B1443" s="40" t="str">
        <f t="shared" si="106"/>
        <v/>
      </c>
      <c r="C1443" s="41">
        <f t="shared" si="109"/>
        <v>1442</v>
      </c>
      <c r="D1443" s="260"/>
      <c r="E1443" s="37"/>
      <c r="F1443" s="305"/>
      <c r="G1443" s="188"/>
      <c r="H1443" s="37"/>
      <c r="I1443" s="37"/>
      <c r="J1443" s="37"/>
      <c r="K1443" s="175" t="s">
        <v>20</v>
      </c>
      <c r="L1443" s="150" t="s">
        <v>23</v>
      </c>
      <c r="M1443" s="179" t="s">
        <v>2802</v>
      </c>
      <c r="N1443" s="179" t="s">
        <v>2802</v>
      </c>
      <c r="Q1443" s="180" t="s">
        <v>9</v>
      </c>
      <c r="R1443" s="180" t="s">
        <v>105</v>
      </c>
      <c r="S1443" s="180" t="s">
        <v>114</v>
      </c>
      <c r="T1443" s="37"/>
      <c r="U1443" s="179" t="s">
        <v>107</v>
      </c>
      <c r="V1443" s="179" t="s">
        <v>2802</v>
      </c>
      <c r="W1443" s="14" t="str">
        <f>IF(IFERROR(VLOOKUP($M1443,'IMPORT GS-Tür OL FL 2S2 20'!$H$2:$H$847,1,0),"-")="-","","GS")</f>
        <v/>
      </c>
      <c r="X1443" s="14" t="str">
        <f t="shared" si="108"/>
        <v/>
      </c>
      <c r="Y1443" s="179" t="s">
        <v>2803</v>
      </c>
      <c r="Z1443" s="58" t="str">
        <f>IF(OR($M1443="",NOT($O1443="{array}")),"",IFERROR(MATCH(PARAMETERS!$M1443,DEFAULT!$B$5:$CI$5,0),""))</f>
        <v/>
      </c>
      <c r="AA1443" s="55" t="str">
        <f t="shared" si="93"/>
        <v/>
      </c>
      <c r="AB1443" s="62" t="str">
        <f>IF(AND(OR($A1443="G",$A1443="P"),NOT($O1443="{array}")),IF(VLOOKUP($K1443,base!$B$2:$D$20,3,0)="S",IF(OR($O1443="",ISTEXT($O1443)),"","STRING!"),IF(VLOOKUP($K1443,base!$B$2:$D$20,3,0)="","",IF(ISTEXT($O1443),"NUMERIC!",""))),"")</f>
        <v/>
      </c>
      <c r="AC1443" s="16" t="str">
        <f>IF($AA1443="","",IF($B1443="I",VLOOKUP($AA1443,#REF!,53,0),INDEX(VALUES!$B$1:$GP$1,1,$AA1443)))</f>
        <v/>
      </c>
    </row>
    <row r="1444" spans="1:29" s="276" customFormat="1" collapsed="1">
      <c r="A1444" s="263"/>
      <c r="B1444" s="264" t="str">
        <f t="shared" si="106"/>
        <v/>
      </c>
      <c r="C1444" s="265">
        <f t="shared" si="109"/>
        <v>1443</v>
      </c>
      <c r="D1444" s="266"/>
      <c r="E1444" s="266"/>
      <c r="F1444" s="305"/>
      <c r="G1444" s="188" t="s">
        <v>9</v>
      </c>
      <c r="H1444" s="266"/>
      <c r="I1444" s="266"/>
      <c r="J1444" s="266"/>
      <c r="K1444" s="276" t="s">
        <v>59</v>
      </c>
      <c r="L1444" s="276" t="s">
        <v>40</v>
      </c>
      <c r="M1444" s="300" t="s">
        <v>2804</v>
      </c>
      <c r="N1444" s="264" t="s">
        <v>2805</v>
      </c>
      <c r="O1444" s="286"/>
      <c r="Q1444" s="266"/>
      <c r="R1444" s="266" t="s">
        <v>105</v>
      </c>
      <c r="S1444" s="266"/>
      <c r="T1444" s="266"/>
      <c r="W1444" s="272" t="str">
        <f>IF(IFERROR(VLOOKUP($M1444,'IMPORT GS-Tür OL FL 2S2 20'!$H$2:$H$847,1,0),"-")="-","","GS")</f>
        <v/>
      </c>
      <c r="X1444" s="272" t="str">
        <f t="shared" si="108"/>
        <v/>
      </c>
      <c r="Z1444" s="273" t="str">
        <f>IF(OR($M1444="",NOT($O1444="{array}")),"",IFERROR(MATCH(PARAMETERS!$M1444,DEFAULT!$B$5:$CI$5,0),""))</f>
        <v/>
      </c>
      <c r="AA1444" s="272" t="str">
        <f t="shared" si="93"/>
        <v/>
      </c>
      <c r="AB1444" s="274" t="str">
        <f>IF(AND(OR($A1444="G",$A1444="P"),NOT($O1444="{array}")),IF(VLOOKUP($K1444,base!$B$2:$D$20,3,0)="S",IF(OR($O1444="",ISTEXT($O1444)),"","STRING!"),IF(VLOOKUP($K1444,base!$B$2:$D$20,3,0)="","",IF(ISTEXT($O1444),"NUMERIC!",""))),"")</f>
        <v/>
      </c>
      <c r="AC1444" s="275" t="str">
        <f>IF($AA1444="","",IF($B1444="I",VLOOKUP($AA1444,#REF!,53,0),INDEX(VALUES!$B$1:$GP$1,1,$AA1444)))</f>
        <v/>
      </c>
    </row>
    <row r="1445" spans="1:29" s="276" customFormat="1" hidden="1" outlineLevel="1">
      <c r="A1445" s="263"/>
      <c r="B1445" s="264" t="str">
        <f t="shared" si="106"/>
        <v/>
      </c>
      <c r="C1445" s="265">
        <f t="shared" si="109"/>
        <v>1444</v>
      </c>
      <c r="D1445" s="266"/>
      <c r="E1445" s="266"/>
      <c r="F1445" s="305"/>
      <c r="G1445" s="188"/>
      <c r="H1445" s="266"/>
      <c r="I1445" s="266" t="s">
        <v>9</v>
      </c>
      <c r="J1445" s="266"/>
      <c r="K1445" s="278" t="s">
        <v>20</v>
      </c>
      <c r="L1445" s="278" t="s">
        <v>23</v>
      </c>
      <c r="M1445" s="278" t="s">
        <v>2806</v>
      </c>
      <c r="N1445" s="278" t="s">
        <v>298</v>
      </c>
      <c r="O1445" s="278" t="s">
        <v>298</v>
      </c>
      <c r="P1445" s="284" t="s">
        <v>298</v>
      </c>
      <c r="Q1445" s="279" t="s">
        <v>9</v>
      </c>
      <c r="R1445" s="279" t="s">
        <v>105</v>
      </c>
      <c r="S1445" s="279" t="s">
        <v>114</v>
      </c>
      <c r="T1445" s="278" t="s">
        <v>298</v>
      </c>
      <c r="U1445" s="278" t="s">
        <v>298</v>
      </c>
      <c r="V1445" s="278" t="s">
        <v>2806</v>
      </c>
      <c r="W1445" s="272" t="str">
        <f>IF(IFERROR(VLOOKUP($M1445,'IMPORT GS-Tür OL FL 2S2 20'!$H$2:$H$847,1,0),"-")="-","","GS")</f>
        <v/>
      </c>
      <c r="X1445" s="272" t="str">
        <f t="shared" si="108"/>
        <v/>
      </c>
      <c r="Y1445" s="278" t="s">
        <v>2807</v>
      </c>
      <c r="Z1445" s="273" t="str">
        <f>IF(OR($M1445="",NOT($O1445="{array}")),"",IFERROR(MATCH(PARAMETERS!$M1445,DEFAULT!$B$5:$CI$5,0),""))</f>
        <v/>
      </c>
      <c r="AA1445" s="272" t="str">
        <f t="shared" si="93"/>
        <v/>
      </c>
      <c r="AB1445" s="274" t="str">
        <f>IF(AND(OR($A1445="G",$A1445="P"),NOT($O1445="{array}")),IF(VLOOKUP($K1445,base!$B$2:$D$20,3,0)="S",IF(OR($O1445="",ISTEXT($O1445)),"","STRING!"),IF(VLOOKUP($K1445,base!$B$2:$D$20,3,0)="","",IF(ISTEXT($O1445),"NUMERIC!",""))),"")</f>
        <v/>
      </c>
      <c r="AC1445" s="275" t="str">
        <f>IF($AA1445="","",IF($B1445="I",VLOOKUP($AA1445,#REF!,53,0),INDEX(VALUES!$B$1:$GP$1,1,$AA1445)))</f>
        <v/>
      </c>
    </row>
    <row r="1446" spans="1:29" s="276" customFormat="1" hidden="1" outlineLevel="1">
      <c r="A1446" s="263"/>
      <c r="B1446" s="264" t="str">
        <f t="shared" si="106"/>
        <v/>
      </c>
      <c r="C1446" s="265">
        <f t="shared" si="109"/>
        <v>1445</v>
      </c>
      <c r="D1446" s="266"/>
      <c r="E1446" s="266"/>
      <c r="F1446" s="305"/>
      <c r="G1446" s="188"/>
      <c r="H1446" s="266"/>
      <c r="I1446" s="266" t="s">
        <v>9</v>
      </c>
      <c r="J1446" s="266"/>
      <c r="K1446" s="278" t="s">
        <v>20</v>
      </c>
      <c r="L1446" s="278" t="s">
        <v>23</v>
      </c>
      <c r="M1446" s="278" t="s">
        <v>2808</v>
      </c>
      <c r="N1446" s="278" t="s">
        <v>298</v>
      </c>
      <c r="O1446" s="278" t="s">
        <v>298</v>
      </c>
      <c r="P1446" s="284" t="s">
        <v>298</v>
      </c>
      <c r="Q1446" s="279" t="s">
        <v>9</v>
      </c>
      <c r="R1446" s="279" t="s">
        <v>105</v>
      </c>
      <c r="S1446" s="279" t="s">
        <v>114</v>
      </c>
      <c r="T1446" s="278" t="s">
        <v>104</v>
      </c>
      <c r="U1446" s="278" t="s">
        <v>298</v>
      </c>
      <c r="V1446" s="278" t="s">
        <v>2808</v>
      </c>
      <c r="W1446" s="272" t="str">
        <f>IF(IFERROR(VLOOKUP($M1446,'IMPORT GS-Tür OL FL 2S2 20'!$H$2:$H$847,1,0),"-")="-","","GS")</f>
        <v/>
      </c>
      <c r="X1446" s="272" t="str">
        <f t="shared" si="108"/>
        <v/>
      </c>
      <c r="Y1446" s="278" t="s">
        <v>2809</v>
      </c>
      <c r="Z1446" s="273" t="str">
        <f>IF(OR($M1446="",NOT($O1446="{array}")),"",IFERROR(MATCH(PARAMETERS!$M1446,DEFAULT!$B$5:$CI$5,0),""))</f>
        <v/>
      </c>
      <c r="AA1446" s="272" t="str">
        <f t="shared" si="93"/>
        <v/>
      </c>
      <c r="AB1446" s="274" t="str">
        <f>IF(AND(OR($A1446="G",$A1446="P"),NOT($O1446="{array}")),IF(VLOOKUP($K1446,base!$B$2:$D$20,3,0)="S",IF(OR($O1446="",ISTEXT($O1446)),"","STRING!"),IF(VLOOKUP($K1446,base!$B$2:$D$20,3,0)="","",IF(ISTEXT($O1446),"NUMERIC!",""))),"")</f>
        <v/>
      </c>
      <c r="AC1446" s="275" t="str">
        <f>IF($AA1446="","",IF($B1446="I",VLOOKUP($AA1446,#REF!,53,0),INDEX(VALUES!$B$1:$GP$1,1,$AA1446)))</f>
        <v/>
      </c>
    </row>
    <row r="1447" spans="1:29" s="276" customFormat="1" hidden="1" outlineLevel="1">
      <c r="A1447" s="263"/>
      <c r="B1447" s="264" t="str">
        <f t="shared" si="106"/>
        <v/>
      </c>
      <c r="C1447" s="265">
        <f t="shared" si="109"/>
        <v>1446</v>
      </c>
      <c r="D1447" s="266"/>
      <c r="E1447" s="266"/>
      <c r="F1447" s="305"/>
      <c r="G1447" s="188"/>
      <c r="H1447" s="266"/>
      <c r="I1447" s="266" t="s">
        <v>9</v>
      </c>
      <c r="J1447" s="266"/>
      <c r="K1447" s="278" t="s">
        <v>20</v>
      </c>
      <c r="L1447" s="278" t="s">
        <v>23</v>
      </c>
      <c r="M1447" s="278" t="s">
        <v>2810</v>
      </c>
      <c r="N1447" s="278" t="s">
        <v>298</v>
      </c>
      <c r="O1447" s="278" t="s">
        <v>298</v>
      </c>
      <c r="P1447" s="284" t="s">
        <v>298</v>
      </c>
      <c r="Q1447" s="279" t="s">
        <v>9</v>
      </c>
      <c r="R1447" s="279" t="s">
        <v>105</v>
      </c>
      <c r="S1447" s="279" t="s">
        <v>114</v>
      </c>
      <c r="T1447" s="278" t="s">
        <v>298</v>
      </c>
      <c r="U1447" s="278" t="s">
        <v>298</v>
      </c>
      <c r="V1447" s="278" t="s">
        <v>2810</v>
      </c>
      <c r="W1447" s="272" t="str">
        <f>IF(IFERROR(VLOOKUP($M1447,'IMPORT GS-Tür OL FL 2S2 20'!$H$2:$H$847,1,0),"-")="-","","GS")</f>
        <v/>
      </c>
      <c r="X1447" s="272" t="str">
        <f t="shared" si="108"/>
        <v/>
      </c>
      <c r="Y1447" s="278" t="s">
        <v>2811</v>
      </c>
      <c r="Z1447" s="273" t="str">
        <f>IF(OR($M1447="",NOT($O1447="{array}")),"",IFERROR(MATCH(PARAMETERS!$M1447,DEFAULT!$B$5:$CI$5,0),""))</f>
        <v/>
      </c>
      <c r="AA1447" s="272" t="str">
        <f t="shared" si="93"/>
        <v/>
      </c>
      <c r="AB1447" s="274" t="str">
        <f>IF(AND(OR($A1447="G",$A1447="P"),NOT($O1447="{array}")),IF(VLOOKUP($K1447,base!$B$2:$D$20,3,0)="S",IF(OR($O1447="",ISTEXT($O1447)),"","STRING!"),IF(VLOOKUP($K1447,base!$B$2:$D$20,3,0)="","",IF(ISTEXT($O1447),"NUMERIC!",""))),"")</f>
        <v/>
      </c>
      <c r="AC1447" s="275" t="str">
        <f>IF($AA1447="","",IF($B1447="I",VLOOKUP($AA1447,#REF!,53,0),INDEX(VALUES!$B$1:$GP$1,1,$AA1447)))</f>
        <v/>
      </c>
    </row>
    <row r="1448" spans="1:29" s="276" customFormat="1" hidden="1" outlineLevel="1">
      <c r="A1448" s="263"/>
      <c r="B1448" s="264" t="str">
        <f t="shared" si="106"/>
        <v/>
      </c>
      <c r="C1448" s="265">
        <f t="shared" si="109"/>
        <v>1447</v>
      </c>
      <c r="D1448" s="266"/>
      <c r="E1448" s="266"/>
      <c r="F1448" s="305"/>
      <c r="G1448" s="188"/>
      <c r="H1448" s="266"/>
      <c r="I1448" s="266" t="s">
        <v>9</v>
      </c>
      <c r="J1448" s="266"/>
      <c r="K1448" s="278" t="s">
        <v>20</v>
      </c>
      <c r="L1448" s="278" t="s">
        <v>23</v>
      </c>
      <c r="M1448" s="278" t="s">
        <v>1160</v>
      </c>
      <c r="N1448" s="278" t="s">
        <v>298</v>
      </c>
      <c r="O1448" s="278" t="s">
        <v>298</v>
      </c>
      <c r="P1448" s="284" t="s">
        <v>298</v>
      </c>
      <c r="Q1448" s="279" t="s">
        <v>9</v>
      </c>
      <c r="R1448" s="279" t="s">
        <v>105</v>
      </c>
      <c r="S1448" s="279" t="s">
        <v>114</v>
      </c>
      <c r="T1448" s="278" t="s">
        <v>104</v>
      </c>
      <c r="U1448" s="278" t="s">
        <v>298</v>
      </c>
      <c r="V1448" s="278" t="s">
        <v>1160</v>
      </c>
      <c r="W1448" s="272" t="str">
        <f>IF(IFERROR(VLOOKUP($M1448,'IMPORT GS-Tür OL FL 2S2 20'!$H$2:$H$847,1,0),"-")="-","","GS")</f>
        <v/>
      </c>
      <c r="X1448" s="272" t="str">
        <f t="shared" si="108"/>
        <v/>
      </c>
      <c r="Y1448" s="278" t="s">
        <v>2812</v>
      </c>
      <c r="Z1448" s="273" t="str">
        <f>IF(OR($M1448="",NOT($O1448="{array}")),"",IFERROR(MATCH(PARAMETERS!$M1448,DEFAULT!$B$5:$CI$5,0),""))</f>
        <v/>
      </c>
      <c r="AA1448" s="272" t="str">
        <f t="shared" si="93"/>
        <v/>
      </c>
      <c r="AB1448" s="274" t="str">
        <f>IF(AND(OR($A1448="G",$A1448="P"),NOT($O1448="{array}")),IF(VLOOKUP($K1448,base!$B$2:$D$20,3,0)="S",IF(OR($O1448="",ISTEXT($O1448)),"","STRING!"),IF(VLOOKUP($K1448,base!$B$2:$D$20,3,0)="","",IF(ISTEXT($O1448),"NUMERIC!",""))),"")</f>
        <v/>
      </c>
      <c r="AC1448" s="275" t="str">
        <f>IF($AA1448="","",IF($B1448="I",VLOOKUP($AA1448,#REF!,53,0),INDEX(VALUES!$B$1:$GP$1,1,$AA1448)))</f>
        <v/>
      </c>
    </row>
    <row r="1449" spans="1:29" s="276" customFormat="1" hidden="1" outlineLevel="1">
      <c r="A1449" s="263"/>
      <c r="B1449" s="264" t="str">
        <f t="shared" si="106"/>
        <v/>
      </c>
      <c r="C1449" s="265">
        <f t="shared" si="109"/>
        <v>1448</v>
      </c>
      <c r="D1449" s="266"/>
      <c r="E1449" s="266"/>
      <c r="F1449" s="305"/>
      <c r="G1449" s="188"/>
      <c r="H1449" s="266"/>
      <c r="I1449" s="266" t="s">
        <v>9</v>
      </c>
      <c r="J1449" s="266"/>
      <c r="K1449" s="278" t="s">
        <v>38</v>
      </c>
      <c r="L1449" s="278" t="s">
        <v>23</v>
      </c>
      <c r="M1449" s="278" t="s">
        <v>2813</v>
      </c>
      <c r="N1449" s="278" t="s">
        <v>298</v>
      </c>
      <c r="O1449" s="278" t="s">
        <v>298</v>
      </c>
      <c r="P1449" s="284" t="s">
        <v>298</v>
      </c>
      <c r="Q1449" s="279" t="s">
        <v>9</v>
      </c>
      <c r="R1449" s="279" t="s">
        <v>105</v>
      </c>
      <c r="S1449" s="279" t="s">
        <v>114</v>
      </c>
      <c r="T1449" s="278" t="s">
        <v>298</v>
      </c>
      <c r="U1449" s="278" t="s">
        <v>298</v>
      </c>
      <c r="V1449" s="278" t="s">
        <v>2813</v>
      </c>
      <c r="W1449" s="272" t="str">
        <f>IF(IFERROR(VLOOKUP($M1449,'IMPORT GS-Tür OL FL 2S2 20'!$H$2:$H$847,1,0),"-")="-","","GS")</f>
        <v/>
      </c>
      <c r="X1449" s="272" t="str">
        <f t="shared" si="108"/>
        <v/>
      </c>
      <c r="Y1449" s="278" t="s">
        <v>298</v>
      </c>
      <c r="Z1449" s="273" t="str">
        <f>IF(OR($M1449="",NOT($O1449="{array}")),"",IFERROR(MATCH(PARAMETERS!$M1449,DEFAULT!$B$5:$CI$5,0),""))</f>
        <v/>
      </c>
      <c r="AA1449" s="272" t="str">
        <f t="shared" si="93"/>
        <v/>
      </c>
      <c r="AB1449" s="274" t="str">
        <f>IF(AND(OR($A1449="G",$A1449="P"),NOT($O1449="{array}")),IF(VLOOKUP($K1449,base!$B$2:$D$20,3,0)="S",IF(OR($O1449="",ISTEXT($O1449)),"","STRING!"),IF(VLOOKUP($K1449,base!$B$2:$D$20,3,0)="","",IF(ISTEXT($O1449),"NUMERIC!",""))),"")</f>
        <v/>
      </c>
      <c r="AC1449" s="275" t="str">
        <f>IF($AA1449="","",IF($B1449="I",VLOOKUP($AA1449,#REF!,53,0),INDEX(VALUES!$B$1:$GP$1,1,$AA1449)))</f>
        <v/>
      </c>
    </row>
    <row r="1450" spans="1:29" s="276" customFormat="1" hidden="1" outlineLevel="1">
      <c r="A1450" s="263"/>
      <c r="B1450" s="264" t="str">
        <f t="shared" si="106"/>
        <v/>
      </c>
      <c r="C1450" s="265">
        <f t="shared" si="109"/>
        <v>1449</v>
      </c>
      <c r="D1450" s="266"/>
      <c r="E1450" s="266"/>
      <c r="F1450" s="305"/>
      <c r="G1450" s="188"/>
      <c r="H1450" s="266"/>
      <c r="I1450" s="266" t="s">
        <v>9</v>
      </c>
      <c r="J1450" s="266"/>
      <c r="K1450" s="278" t="s">
        <v>38</v>
      </c>
      <c r="L1450" s="278" t="s">
        <v>23</v>
      </c>
      <c r="M1450" s="278" t="s">
        <v>2814</v>
      </c>
      <c r="N1450" s="278" t="s">
        <v>298</v>
      </c>
      <c r="O1450" s="278" t="s">
        <v>298</v>
      </c>
      <c r="P1450" s="284" t="s">
        <v>298</v>
      </c>
      <c r="Q1450" s="279" t="s">
        <v>9</v>
      </c>
      <c r="R1450" s="279" t="s">
        <v>105</v>
      </c>
      <c r="S1450" s="279" t="s">
        <v>114</v>
      </c>
      <c r="T1450" s="278" t="s">
        <v>298</v>
      </c>
      <c r="U1450" s="278" t="s">
        <v>298</v>
      </c>
      <c r="V1450" s="278" t="s">
        <v>2814</v>
      </c>
      <c r="W1450" s="272" t="str">
        <f>IF(IFERROR(VLOOKUP($M1450,'IMPORT GS-Tür OL FL 2S2 20'!$H$2:$H$847,1,0),"-")="-","","GS")</f>
        <v/>
      </c>
      <c r="X1450" s="272" t="str">
        <f t="shared" si="108"/>
        <v/>
      </c>
      <c r="Y1450" s="278" t="s">
        <v>298</v>
      </c>
      <c r="Z1450" s="273" t="str">
        <f>IF(OR($M1450="",NOT($O1450="{array}")),"",IFERROR(MATCH(PARAMETERS!$M1450,DEFAULT!$B$5:$CI$5,0),""))</f>
        <v/>
      </c>
      <c r="AA1450" s="272" t="str">
        <f t="shared" si="93"/>
        <v/>
      </c>
      <c r="AB1450" s="274" t="str">
        <f>IF(AND(OR($A1450="G",$A1450="P"),NOT($O1450="{array}")),IF(VLOOKUP($K1450,base!$B$2:$D$20,3,0)="S",IF(OR($O1450="",ISTEXT($O1450)),"","STRING!"),IF(VLOOKUP($K1450,base!$B$2:$D$20,3,0)="","",IF(ISTEXT($O1450),"NUMERIC!",""))),"")</f>
        <v/>
      </c>
      <c r="AC1450" s="275" t="str">
        <f>IF($AA1450="","",IF($B1450="I",VLOOKUP($AA1450,#REF!,53,0),INDEX(VALUES!$B$1:$GP$1,1,$AA1450)))</f>
        <v/>
      </c>
    </row>
    <row r="1451" spans="1:29" s="276" customFormat="1" hidden="1" outlineLevel="1">
      <c r="A1451" s="263"/>
      <c r="B1451" s="264" t="str">
        <f t="shared" si="106"/>
        <v/>
      </c>
      <c r="C1451" s="265">
        <f t="shared" si="109"/>
        <v>1450</v>
      </c>
      <c r="D1451" s="266"/>
      <c r="E1451" s="266"/>
      <c r="F1451" s="305"/>
      <c r="G1451" s="188"/>
      <c r="H1451" s="266"/>
      <c r="I1451" s="266" t="s">
        <v>9</v>
      </c>
      <c r="J1451" s="266"/>
      <c r="K1451" s="278" t="s">
        <v>38</v>
      </c>
      <c r="L1451" s="278" t="s">
        <v>23</v>
      </c>
      <c r="M1451" s="285" t="s">
        <v>2815</v>
      </c>
      <c r="N1451" s="276" t="s">
        <v>2816</v>
      </c>
      <c r="O1451" s="286">
        <v>0</v>
      </c>
      <c r="P1451" s="284" t="s">
        <v>298</v>
      </c>
      <c r="Q1451" s="266" t="s">
        <v>9</v>
      </c>
      <c r="R1451" s="266" t="s">
        <v>106</v>
      </c>
      <c r="S1451" s="279" t="s">
        <v>114</v>
      </c>
      <c r="T1451" s="278" t="s">
        <v>298</v>
      </c>
      <c r="U1451" s="278" t="s">
        <v>298</v>
      </c>
      <c r="V1451" s="278" t="s">
        <v>2817</v>
      </c>
      <c r="W1451" s="272" t="str">
        <f>IF(IFERROR(VLOOKUP($M1451,'IMPORT GS-Tür OL FL 2S2 20'!$H$2:$H$847,1,0),"-")="-","","GS")</f>
        <v>GS</v>
      </c>
      <c r="X1451" s="272" t="str">
        <f t="shared" si="108"/>
        <v/>
      </c>
      <c r="Y1451" s="278" t="s">
        <v>298</v>
      </c>
      <c r="Z1451" s="273" t="str">
        <f>IF(OR($M1451="",NOT($O1451="{array}")),"",IFERROR(MATCH(PARAMETERS!$M1451,DEFAULT!$B$5:$CI$5,0),""))</f>
        <v/>
      </c>
      <c r="AA1451" s="272" t="str">
        <f t="shared" si="93"/>
        <v/>
      </c>
      <c r="AB1451" s="274" t="str">
        <f>IF(AND(OR($A1451="G",$A1451="P"),NOT($O1451="{array}")),IF(VLOOKUP($K1451,base!$B$2:$D$20,3,0)="S",IF(OR($O1451="",ISTEXT($O1451)),"","STRING!"),IF(VLOOKUP($K1451,base!$B$2:$D$20,3,0)="","",IF(ISTEXT($O1451),"NUMERIC!",""))),"")</f>
        <v/>
      </c>
      <c r="AC1451" s="275" t="str">
        <f>IF($AA1451="","",IF($B1451="I",VLOOKUP($AA1451,#REF!,53,0),INDEX(VALUES!$B$1:$GP$1,1,$AA1451)))</f>
        <v/>
      </c>
    </row>
    <row r="1452" spans="1:29" s="276" customFormat="1" hidden="1" outlineLevel="1">
      <c r="A1452" s="263"/>
      <c r="B1452" s="264" t="str">
        <f t="shared" si="106"/>
        <v/>
      </c>
      <c r="C1452" s="265">
        <f t="shared" si="109"/>
        <v>1451</v>
      </c>
      <c r="D1452" s="266"/>
      <c r="E1452" s="266"/>
      <c r="F1452" s="305" t="s">
        <v>9</v>
      </c>
      <c r="G1452" s="188"/>
      <c r="H1452" s="266"/>
      <c r="I1452" s="266" t="s">
        <v>9</v>
      </c>
      <c r="J1452" s="266"/>
      <c r="K1452" s="276" t="s">
        <v>38</v>
      </c>
      <c r="L1452" s="276" t="s">
        <v>23</v>
      </c>
      <c r="M1452" s="285" t="s">
        <v>2818</v>
      </c>
      <c r="N1452" s="276" t="s">
        <v>2819</v>
      </c>
      <c r="O1452" s="286">
        <v>0</v>
      </c>
      <c r="Q1452" s="266" t="s">
        <v>9</v>
      </c>
      <c r="R1452" s="266" t="s">
        <v>106</v>
      </c>
      <c r="S1452" s="266"/>
      <c r="T1452" s="266"/>
      <c r="W1452" s="272" t="str">
        <f>IF(IFERROR(VLOOKUP($M1452,'IMPORT GS-Tür OL FL 2S2 20'!$H$2:$H$847,1,0),"-")="-","","GS")</f>
        <v>GS</v>
      </c>
      <c r="X1452" s="272" t="str">
        <f t="shared" si="108"/>
        <v/>
      </c>
      <c r="Z1452" s="273" t="str">
        <f>IF(OR($M1452="",NOT($O1452="{array}")),"",IFERROR(MATCH(PARAMETERS!$M1452,DEFAULT!$B$5:$CI$5,0),""))</f>
        <v/>
      </c>
      <c r="AA1452" s="272" t="str">
        <f t="shared" si="93"/>
        <v/>
      </c>
      <c r="AB1452" s="274" t="str">
        <f>IF(AND(OR($A1452="G",$A1452="P"),NOT($O1452="{array}")),IF(VLOOKUP($K1452,base!$B$2:$D$20,3,0)="S",IF(OR($O1452="",ISTEXT($O1452)),"","STRING!"),IF(VLOOKUP($K1452,base!$B$2:$D$20,3,0)="","",IF(ISTEXT($O1452),"NUMERIC!",""))),"")</f>
        <v/>
      </c>
      <c r="AC1452" s="275" t="str">
        <f>IF($AA1452="","",IF($B1452="I",VLOOKUP($AA1452,#REF!,53,0),INDEX(VALUES!$B$1:$GP$1,1,$AA1452)))</f>
        <v/>
      </c>
    </row>
    <row r="1453" spans="1:29" s="276" customFormat="1" hidden="1" outlineLevel="1">
      <c r="A1453" s="263"/>
      <c r="B1453" s="264" t="str">
        <f t="shared" si="106"/>
        <v/>
      </c>
      <c r="C1453" s="265">
        <f t="shared" si="109"/>
        <v>1452</v>
      </c>
      <c r="D1453" s="266"/>
      <c r="E1453" s="266"/>
      <c r="F1453" s="305" t="s">
        <v>9</v>
      </c>
      <c r="G1453" s="188"/>
      <c r="H1453" s="266"/>
      <c r="I1453" s="266" t="s">
        <v>9</v>
      </c>
      <c r="J1453" s="266"/>
      <c r="K1453" s="276" t="s">
        <v>38</v>
      </c>
      <c r="L1453" s="276" t="s">
        <v>23</v>
      </c>
      <c r="M1453" s="285" t="s">
        <v>2820</v>
      </c>
      <c r="N1453" s="276" t="s">
        <v>2821</v>
      </c>
      <c r="O1453" s="286">
        <v>0</v>
      </c>
      <c r="Q1453" s="266" t="s">
        <v>9</v>
      </c>
      <c r="R1453" s="266" t="s">
        <v>106</v>
      </c>
      <c r="S1453" s="266"/>
      <c r="T1453" s="266"/>
      <c r="W1453" s="272" t="str">
        <f>IF(IFERROR(VLOOKUP($M1453,'IMPORT GS-Tür OL FL 2S2 20'!$H$2:$H$847,1,0),"-")="-","","GS")</f>
        <v>GS</v>
      </c>
      <c r="X1453" s="272" t="str">
        <f t="shared" si="108"/>
        <v/>
      </c>
      <c r="Z1453" s="273" t="str">
        <f>IF(OR($M1453="",NOT($O1453="{array}")),"",IFERROR(MATCH(PARAMETERS!$M1453,DEFAULT!$B$5:$CI$5,0),""))</f>
        <v/>
      </c>
      <c r="AA1453" s="272" t="str">
        <f t="shared" si="93"/>
        <v/>
      </c>
      <c r="AB1453" s="274" t="str">
        <f>IF(AND(OR($A1453="G",$A1453="P"),NOT($O1453="{array}")),IF(VLOOKUP($K1453,base!$B$2:$D$20,3,0)="S",IF(OR($O1453="",ISTEXT($O1453)),"","STRING!"),IF(VLOOKUP($K1453,base!$B$2:$D$20,3,0)="","",IF(ISTEXT($O1453),"NUMERIC!",""))),"")</f>
        <v/>
      </c>
      <c r="AC1453" s="275" t="str">
        <f>IF($AA1453="","",IF($B1453="I",VLOOKUP($AA1453,#REF!,53,0),INDEX(VALUES!$B$1:$GP$1,1,$AA1453)))</f>
        <v/>
      </c>
    </row>
    <row r="1454" spans="1:29" s="276" customFormat="1" collapsed="1">
      <c r="A1454" s="263"/>
      <c r="B1454" s="264" t="str">
        <f t="shared" si="106"/>
        <v/>
      </c>
      <c r="C1454" s="265">
        <f t="shared" si="109"/>
        <v>1453</v>
      </c>
      <c r="D1454" s="266"/>
      <c r="E1454" s="266"/>
      <c r="F1454" s="305"/>
      <c r="G1454" s="188" t="s">
        <v>9</v>
      </c>
      <c r="H1454" s="266"/>
      <c r="I1454" s="266"/>
      <c r="J1454" s="266"/>
      <c r="K1454" s="276" t="s">
        <v>59</v>
      </c>
      <c r="L1454" s="276" t="s">
        <v>40</v>
      </c>
      <c r="M1454" s="300" t="s">
        <v>2822</v>
      </c>
      <c r="N1454" s="264" t="s">
        <v>2823</v>
      </c>
      <c r="O1454" s="286"/>
      <c r="Q1454" s="266"/>
      <c r="R1454" s="266" t="s">
        <v>105</v>
      </c>
      <c r="S1454" s="266"/>
      <c r="T1454" s="266"/>
      <c r="W1454" s="272" t="str">
        <f>IF(IFERROR(VLOOKUP($M1454,'IMPORT GS-Tür OL FL 2S2 20'!$H$2:$H$847,1,0),"-")="-","","GS")</f>
        <v/>
      </c>
      <c r="X1454" s="272" t="str">
        <f t="shared" si="108"/>
        <v/>
      </c>
      <c r="Z1454" s="273" t="str">
        <f>IF(OR($M1454="",NOT($O1454="{array}")),"",IFERROR(MATCH(PARAMETERS!$M1454,DEFAULT!$B$5:$CI$5,0),""))</f>
        <v/>
      </c>
      <c r="AA1454" s="272" t="str">
        <f t="shared" si="93"/>
        <v/>
      </c>
      <c r="AB1454" s="274" t="str">
        <f>IF(AND(OR($A1454="G",$A1454="P"),NOT($O1454="{array}")),IF(VLOOKUP($K1454,base!$B$2:$D$20,3,0)="S",IF(OR($O1454="",ISTEXT($O1454)),"","STRING!"),IF(VLOOKUP($K1454,base!$B$2:$D$20,3,0)="","",IF(ISTEXT($O1454),"NUMERIC!",""))),"")</f>
        <v/>
      </c>
      <c r="AC1454" s="275" t="str">
        <f>IF($AA1454="","",IF($B1454="I",VLOOKUP($AA1454,#REF!,53,0),INDEX(VALUES!$B$1:$GP$1,1,$AA1454)))</f>
        <v/>
      </c>
    </row>
    <row r="1455" spans="1:29" s="276" customFormat="1" hidden="1" outlineLevel="1">
      <c r="A1455" s="263"/>
      <c r="B1455" s="264" t="str">
        <f t="shared" si="106"/>
        <v/>
      </c>
      <c r="C1455" s="265">
        <f t="shared" si="109"/>
        <v>1454</v>
      </c>
      <c r="D1455" s="266"/>
      <c r="E1455" s="266"/>
      <c r="F1455" s="305" t="s">
        <v>9</v>
      </c>
      <c r="G1455" s="188"/>
      <c r="H1455" s="266"/>
      <c r="I1455" s="266" t="s">
        <v>9</v>
      </c>
      <c r="J1455" s="266"/>
      <c r="K1455" s="276" t="s">
        <v>20</v>
      </c>
      <c r="L1455" s="276" t="s">
        <v>23</v>
      </c>
      <c r="M1455" s="285" t="s">
        <v>2824</v>
      </c>
      <c r="N1455" s="276" t="s">
        <v>193</v>
      </c>
      <c r="O1455" s="286" t="s">
        <v>2825</v>
      </c>
      <c r="Q1455" s="266" t="s">
        <v>9</v>
      </c>
      <c r="R1455" s="266" t="s">
        <v>106</v>
      </c>
      <c r="S1455" s="266"/>
      <c r="T1455" s="266"/>
      <c r="W1455" s="272" t="str">
        <f>IF(IFERROR(VLOOKUP($M1455,'IMPORT GS-Tür OL FL 2S2 20'!$H$2:$H$847,1,0),"-")="-","","GS")</f>
        <v>GS</v>
      </c>
      <c r="X1455" s="272" t="str">
        <f t="shared" si="108"/>
        <v/>
      </c>
      <c r="Z1455" s="273" t="str">
        <f>IF(OR($M1455="",NOT($O1455="{array}")),"",IFERROR(MATCH(PARAMETERS!$M1455,DEFAULT!$B$5:$CI$5,0),""))</f>
        <v/>
      </c>
      <c r="AA1455" s="272" t="str">
        <f t="shared" si="93"/>
        <v/>
      </c>
      <c r="AB1455" s="274" t="str">
        <f>IF(AND(OR($A1455="G",$A1455="P"),NOT($O1455="{array}")),IF(VLOOKUP($K1455,base!$B$2:$D$20,3,0)="S",IF(OR($O1455="",ISTEXT($O1455)),"","STRING!"),IF(VLOOKUP($K1455,base!$B$2:$D$20,3,0)="","",IF(ISTEXT($O1455),"NUMERIC!",""))),"")</f>
        <v/>
      </c>
      <c r="AC1455" s="275" t="str">
        <f>IF($AA1455="","",IF($B1455="I",VLOOKUP($AA1455,#REF!,53,0),INDEX(VALUES!$B$1:$GP$1,1,$AA1455)))</f>
        <v/>
      </c>
    </row>
    <row r="1456" spans="1:29" s="276" customFormat="1" hidden="1" outlineLevel="1">
      <c r="A1456" s="263"/>
      <c r="B1456" s="264" t="str">
        <f t="shared" si="106"/>
        <v/>
      </c>
      <c r="C1456" s="265">
        <f t="shared" si="109"/>
        <v>1455</v>
      </c>
      <c r="D1456" s="266"/>
      <c r="E1456" s="266"/>
      <c r="F1456" s="305" t="s">
        <v>9</v>
      </c>
      <c r="G1456" s="188" t="s">
        <v>9</v>
      </c>
      <c r="H1456" s="266"/>
      <c r="I1456" s="266" t="s">
        <v>9</v>
      </c>
      <c r="J1456" s="266"/>
      <c r="K1456" s="276" t="s">
        <v>46</v>
      </c>
      <c r="L1456" s="276" t="s">
        <v>23</v>
      </c>
      <c r="M1456" s="285" t="s">
        <v>2826</v>
      </c>
      <c r="N1456" s="276" t="s">
        <v>193</v>
      </c>
      <c r="O1456" s="286">
        <v>999</v>
      </c>
      <c r="Q1456" s="266" t="s">
        <v>9</v>
      </c>
      <c r="R1456" s="266" t="s">
        <v>106</v>
      </c>
      <c r="S1456" s="266"/>
      <c r="T1456" s="266"/>
      <c r="W1456" s="272" t="str">
        <f>IF(IFERROR(VLOOKUP($M1456,'IMPORT GS-Tür OL FL 2S2 20'!$H$2:$H$847,1,0),"-")="-","","GS")</f>
        <v>GS</v>
      </c>
      <c r="X1456" s="272" t="str">
        <f t="shared" si="108"/>
        <v/>
      </c>
      <c r="Z1456" s="273" t="str">
        <f>IF(OR($M1456="",NOT($O1456="{array}")),"",IFERROR(MATCH(PARAMETERS!$M1456,DEFAULT!$B$5:$CI$5,0),""))</f>
        <v/>
      </c>
      <c r="AA1456" s="272" t="str">
        <f t="shared" ref="AA1456:AA1519" si="110">IF($M1456="","",IFERROR(MATCH($M1456,VALUESnames,0),""))</f>
        <v/>
      </c>
      <c r="AB1456" s="274" t="str">
        <f>IF(AND(OR($A1456="G",$A1456="P"),NOT($O1456="{array}")),IF(VLOOKUP($K1456,base!$B$2:$D$20,3,0)="S",IF(OR($O1456="",ISTEXT($O1456)),"","STRING!"),IF(VLOOKUP($K1456,base!$B$2:$D$20,3,0)="","",IF(ISTEXT($O1456),"NUMERIC!",""))),"")</f>
        <v/>
      </c>
      <c r="AC1456" s="275" t="str">
        <f>IF($AA1456="","",IF($B1456="I",VLOOKUP($AA1456,#REF!,53,0),INDEX(VALUES!$B$1:$GP$1,1,$AA1456)))</f>
        <v/>
      </c>
    </row>
    <row r="1457" spans="1:29" s="276" customFormat="1" hidden="1" outlineLevel="1">
      <c r="A1457" s="263"/>
      <c r="B1457" s="264" t="str">
        <f t="shared" si="106"/>
        <v/>
      </c>
      <c r="C1457" s="265">
        <f t="shared" si="109"/>
        <v>1456</v>
      </c>
      <c r="D1457" s="266"/>
      <c r="E1457" s="266"/>
      <c r="F1457" s="305" t="s">
        <v>9</v>
      </c>
      <c r="G1457" s="188"/>
      <c r="H1457" s="266"/>
      <c r="I1457" s="266" t="s">
        <v>9</v>
      </c>
      <c r="J1457" s="266"/>
      <c r="K1457" s="276" t="s">
        <v>20</v>
      </c>
      <c r="L1457" s="276" t="s">
        <v>23</v>
      </c>
      <c r="M1457" s="285" t="s">
        <v>2827</v>
      </c>
      <c r="N1457" s="276" t="s">
        <v>2828</v>
      </c>
      <c r="O1457" s="286"/>
      <c r="Q1457" s="266" t="s">
        <v>9</v>
      </c>
      <c r="R1457" s="266" t="s">
        <v>106</v>
      </c>
      <c r="S1457" s="266"/>
      <c r="T1457" s="266"/>
      <c r="W1457" s="272" t="str">
        <f>IF(IFERROR(VLOOKUP($M1457,'IMPORT GS-Tür OL FL 2S2 20'!$H$2:$H$847,1,0),"-")="-","","GS")</f>
        <v>GS</v>
      </c>
      <c r="X1457" s="272" t="str">
        <f t="shared" si="108"/>
        <v/>
      </c>
      <c r="Z1457" s="273" t="str">
        <f>IF(OR($M1457="",NOT($O1457="{array}")),"",IFERROR(MATCH(PARAMETERS!$M1457,DEFAULT!$B$5:$CI$5,0),""))</f>
        <v/>
      </c>
      <c r="AA1457" s="272" t="str">
        <f t="shared" si="110"/>
        <v/>
      </c>
      <c r="AB1457" s="274" t="str">
        <f>IF(AND(OR($A1457="G",$A1457="P"),NOT($O1457="{array}")),IF(VLOOKUP($K1457,base!$B$2:$D$20,3,0)="S",IF(OR($O1457="",ISTEXT($O1457)),"","STRING!"),IF(VLOOKUP($K1457,base!$B$2:$D$20,3,0)="","",IF(ISTEXT($O1457),"NUMERIC!",""))),"")</f>
        <v/>
      </c>
      <c r="AC1457" s="275" t="str">
        <f>IF($AA1457="","",IF($B1457="I",VLOOKUP($AA1457,#REF!,53,0),INDEX(VALUES!$B$1:$GP$1,1,$AA1457)))</f>
        <v/>
      </c>
    </row>
    <row r="1458" spans="1:29" s="276" customFormat="1" hidden="1" outlineLevel="1">
      <c r="A1458" s="263"/>
      <c r="B1458" s="264" t="str">
        <f t="shared" si="106"/>
        <v/>
      </c>
      <c r="C1458" s="265">
        <f t="shared" si="109"/>
        <v>1457</v>
      </c>
      <c r="D1458" s="266"/>
      <c r="E1458" s="266"/>
      <c r="F1458" s="305" t="s">
        <v>9</v>
      </c>
      <c r="G1458" s="188"/>
      <c r="H1458" s="266"/>
      <c r="I1458" s="266" t="s">
        <v>9</v>
      </c>
      <c r="J1458" s="266"/>
      <c r="K1458" s="276" t="s">
        <v>20</v>
      </c>
      <c r="L1458" s="276" t="s">
        <v>23</v>
      </c>
      <c r="M1458" s="285" t="s">
        <v>2829</v>
      </c>
      <c r="N1458" s="276" t="s">
        <v>2830</v>
      </c>
      <c r="O1458" s="286"/>
      <c r="Q1458" s="266" t="s">
        <v>9</v>
      </c>
      <c r="R1458" s="266" t="s">
        <v>106</v>
      </c>
      <c r="S1458" s="266"/>
      <c r="T1458" s="266"/>
      <c r="W1458" s="272" t="str">
        <f>IF(IFERROR(VLOOKUP($M1458,'IMPORT GS-Tür OL FL 2S2 20'!$H$2:$H$847,1,0),"-")="-","","GS")</f>
        <v>GS</v>
      </c>
      <c r="X1458" s="272" t="str">
        <f t="shared" si="108"/>
        <v/>
      </c>
      <c r="Z1458" s="273" t="str">
        <f>IF(OR($M1458="",NOT($O1458="{array}")),"",IFERROR(MATCH(PARAMETERS!$M1458,DEFAULT!$B$5:$CI$5,0),""))</f>
        <v/>
      </c>
      <c r="AA1458" s="272" t="str">
        <f t="shared" si="110"/>
        <v/>
      </c>
      <c r="AB1458" s="274" t="str">
        <f>IF(AND(OR($A1458="G",$A1458="P"),NOT($O1458="{array}")),IF(VLOOKUP($K1458,base!$B$2:$D$20,3,0)="S",IF(OR($O1458="",ISTEXT($O1458)),"","STRING!"),IF(VLOOKUP($K1458,base!$B$2:$D$20,3,0)="","",IF(ISTEXT($O1458),"NUMERIC!",""))),"")</f>
        <v/>
      </c>
      <c r="AC1458" s="275" t="str">
        <f>IF($AA1458="","",IF($B1458="I",VLOOKUP($AA1458,#REF!,53,0),INDEX(VALUES!$B$1:$GP$1,1,$AA1458)))</f>
        <v/>
      </c>
    </row>
    <row r="1459" spans="1:29" s="276" customFormat="1" hidden="1" outlineLevel="1">
      <c r="A1459" s="263"/>
      <c r="B1459" s="264" t="str">
        <f t="shared" si="106"/>
        <v/>
      </c>
      <c r="C1459" s="265">
        <f t="shared" si="109"/>
        <v>1458</v>
      </c>
      <c r="D1459" s="266"/>
      <c r="E1459" s="266"/>
      <c r="F1459" s="305"/>
      <c r="G1459" s="188"/>
      <c r="H1459" s="266"/>
      <c r="I1459" s="266" t="s">
        <v>9</v>
      </c>
      <c r="J1459" s="266"/>
      <c r="K1459" s="278" t="s">
        <v>20</v>
      </c>
      <c r="L1459" s="278" t="s">
        <v>23</v>
      </c>
      <c r="M1459" s="278" t="s">
        <v>2831</v>
      </c>
      <c r="N1459" s="278" t="s">
        <v>298</v>
      </c>
      <c r="O1459" s="278" t="s">
        <v>298</v>
      </c>
      <c r="P1459" s="284" t="s">
        <v>298</v>
      </c>
      <c r="Q1459" s="279" t="s">
        <v>9</v>
      </c>
      <c r="R1459" s="279" t="s">
        <v>105</v>
      </c>
      <c r="S1459" s="279" t="s">
        <v>114</v>
      </c>
      <c r="T1459" s="278" t="s">
        <v>298</v>
      </c>
      <c r="U1459" s="278" t="s">
        <v>298</v>
      </c>
      <c r="V1459" s="278" t="s">
        <v>2831</v>
      </c>
      <c r="W1459" s="272" t="str">
        <f>IF(IFERROR(VLOOKUP($M1459,'IMPORT GS-Tür OL FL 2S2 20'!$H$2:$H$847,1,0),"-")="-","","GS")</f>
        <v/>
      </c>
      <c r="X1459" s="272" t="str">
        <f t="shared" si="108"/>
        <v/>
      </c>
      <c r="Y1459" s="278" t="s">
        <v>298</v>
      </c>
      <c r="Z1459" s="273" t="str">
        <f>IF(OR($M1459="",NOT($O1459="{array}")),"",IFERROR(MATCH(PARAMETERS!$M1459,DEFAULT!$B$5:$CI$5,0),""))</f>
        <v/>
      </c>
      <c r="AA1459" s="272" t="str">
        <f t="shared" si="110"/>
        <v/>
      </c>
      <c r="AB1459" s="274" t="str">
        <f>IF(AND(OR($A1459="G",$A1459="P"),NOT($O1459="{array}")),IF(VLOOKUP($K1459,base!$B$2:$D$20,3,0)="S",IF(OR($O1459="",ISTEXT($O1459)),"","STRING!"),IF(VLOOKUP($K1459,base!$B$2:$D$20,3,0)="","",IF(ISTEXT($O1459),"NUMERIC!",""))),"")</f>
        <v/>
      </c>
      <c r="AC1459" s="275" t="str">
        <f>IF($AA1459="","",IF($B1459="I",VLOOKUP($AA1459,#REF!,53,0),INDEX(VALUES!$B$1:$GP$1,1,$AA1459)))</f>
        <v/>
      </c>
    </row>
    <row r="1460" spans="1:29" s="276" customFormat="1" hidden="1" outlineLevel="1">
      <c r="A1460" s="263"/>
      <c r="B1460" s="264" t="str">
        <f t="shared" si="106"/>
        <v/>
      </c>
      <c r="C1460" s="265">
        <f t="shared" si="109"/>
        <v>1459</v>
      </c>
      <c r="D1460" s="266"/>
      <c r="E1460" s="266"/>
      <c r="F1460" s="305"/>
      <c r="G1460" s="188"/>
      <c r="H1460" s="266"/>
      <c r="I1460" s="266" t="s">
        <v>9</v>
      </c>
      <c r="J1460" s="266"/>
      <c r="K1460" s="278" t="s">
        <v>20</v>
      </c>
      <c r="L1460" s="278" t="s">
        <v>23</v>
      </c>
      <c r="M1460" s="278" t="s">
        <v>2832</v>
      </c>
      <c r="N1460" s="278" t="s">
        <v>298</v>
      </c>
      <c r="O1460" s="278" t="s">
        <v>298</v>
      </c>
      <c r="P1460" s="284" t="s">
        <v>298</v>
      </c>
      <c r="Q1460" s="279" t="s">
        <v>9</v>
      </c>
      <c r="R1460" s="279" t="s">
        <v>105</v>
      </c>
      <c r="S1460" s="279" t="s">
        <v>114</v>
      </c>
      <c r="T1460" s="278" t="s">
        <v>298</v>
      </c>
      <c r="U1460" s="278" t="s">
        <v>298</v>
      </c>
      <c r="V1460" s="278" t="s">
        <v>2832</v>
      </c>
      <c r="W1460" s="272" t="str">
        <f>IF(IFERROR(VLOOKUP($M1460,'IMPORT GS-Tür OL FL 2S2 20'!$H$2:$H$847,1,0),"-")="-","","GS")</f>
        <v/>
      </c>
      <c r="X1460" s="272" t="str">
        <f t="shared" si="108"/>
        <v/>
      </c>
      <c r="Y1460" s="278" t="s">
        <v>298</v>
      </c>
      <c r="Z1460" s="273" t="str">
        <f>IF(OR($M1460="",NOT($O1460="{array}")),"",IFERROR(MATCH(PARAMETERS!$M1460,DEFAULT!$B$5:$CI$5,0),""))</f>
        <v/>
      </c>
      <c r="AA1460" s="272" t="str">
        <f t="shared" si="110"/>
        <v/>
      </c>
      <c r="AB1460" s="274" t="str">
        <f>IF(AND(OR($A1460="G",$A1460="P"),NOT($O1460="{array}")),IF(VLOOKUP($K1460,base!$B$2:$D$20,3,0)="S",IF(OR($O1460="",ISTEXT($O1460)),"","STRING!"),IF(VLOOKUP($K1460,base!$B$2:$D$20,3,0)="","",IF(ISTEXT($O1460),"NUMERIC!",""))),"")</f>
        <v/>
      </c>
      <c r="AC1460" s="275" t="str">
        <f>IF($AA1460="","",IF($B1460="I",VLOOKUP($AA1460,#REF!,53,0),INDEX(VALUES!$B$1:$GP$1,1,$AA1460)))</f>
        <v/>
      </c>
    </row>
    <row r="1461" spans="1:29" s="276" customFormat="1" hidden="1" outlineLevel="1">
      <c r="A1461" s="263"/>
      <c r="B1461" s="264" t="str">
        <f t="shared" si="106"/>
        <v/>
      </c>
      <c r="C1461" s="265">
        <f t="shared" si="109"/>
        <v>1460</v>
      </c>
      <c r="D1461" s="266"/>
      <c r="E1461" s="266"/>
      <c r="F1461" s="305"/>
      <c r="G1461" s="188"/>
      <c r="H1461" s="266"/>
      <c r="I1461" s="266" t="s">
        <v>9</v>
      </c>
      <c r="J1461" s="266"/>
      <c r="K1461" s="278" t="s">
        <v>20</v>
      </c>
      <c r="L1461" s="278" t="s">
        <v>23</v>
      </c>
      <c r="M1461" s="278" t="s">
        <v>2833</v>
      </c>
      <c r="N1461" s="278" t="s">
        <v>298</v>
      </c>
      <c r="O1461" s="278" t="s">
        <v>298</v>
      </c>
      <c r="P1461" s="284" t="s">
        <v>298</v>
      </c>
      <c r="Q1461" s="279" t="s">
        <v>9</v>
      </c>
      <c r="R1461" s="279" t="s">
        <v>105</v>
      </c>
      <c r="S1461" s="279" t="s">
        <v>114</v>
      </c>
      <c r="T1461" s="278" t="s">
        <v>298</v>
      </c>
      <c r="U1461" s="278" t="s">
        <v>298</v>
      </c>
      <c r="V1461" s="278" t="s">
        <v>2833</v>
      </c>
      <c r="W1461" s="272" t="str">
        <f>IF(IFERROR(VLOOKUP($M1461,'IMPORT GS-Tür OL FL 2S2 20'!$H$2:$H$847,1,0),"-")="-","","GS")</f>
        <v/>
      </c>
      <c r="X1461" s="272" t="str">
        <f t="shared" si="108"/>
        <v/>
      </c>
      <c r="Y1461" s="278" t="s">
        <v>298</v>
      </c>
      <c r="Z1461" s="273" t="str">
        <f>IF(OR($M1461="",NOT($O1461="{array}")),"",IFERROR(MATCH(PARAMETERS!$M1461,DEFAULT!$B$5:$CI$5,0),""))</f>
        <v/>
      </c>
      <c r="AA1461" s="272" t="str">
        <f t="shared" si="110"/>
        <v/>
      </c>
      <c r="AB1461" s="274" t="str">
        <f>IF(AND(OR($A1461="G",$A1461="P"),NOT($O1461="{array}")),IF(VLOOKUP($K1461,base!$B$2:$D$20,3,0)="S",IF(OR($O1461="",ISTEXT($O1461)),"","STRING!"),IF(VLOOKUP($K1461,base!$B$2:$D$20,3,0)="","",IF(ISTEXT($O1461),"NUMERIC!",""))),"")</f>
        <v/>
      </c>
      <c r="AC1461" s="275" t="str">
        <f>IF($AA1461="","",IF($B1461="I",VLOOKUP($AA1461,#REF!,53,0),INDEX(VALUES!$B$1:$GP$1,1,$AA1461)))</f>
        <v/>
      </c>
    </row>
    <row r="1462" spans="1:29" s="276" customFormat="1" hidden="1" outlineLevel="1">
      <c r="A1462" s="263"/>
      <c r="B1462" s="264" t="str">
        <f t="shared" si="106"/>
        <v/>
      </c>
      <c r="C1462" s="265">
        <f t="shared" si="109"/>
        <v>1461</v>
      </c>
      <c r="D1462" s="266"/>
      <c r="E1462" s="266"/>
      <c r="F1462" s="305"/>
      <c r="G1462" s="188"/>
      <c r="H1462" s="266"/>
      <c r="I1462" s="266" t="s">
        <v>9</v>
      </c>
      <c r="J1462" s="266"/>
      <c r="K1462" s="278" t="s">
        <v>20</v>
      </c>
      <c r="L1462" s="278" t="s">
        <v>23</v>
      </c>
      <c r="M1462" s="278" t="s">
        <v>2834</v>
      </c>
      <c r="N1462" s="278" t="s">
        <v>298</v>
      </c>
      <c r="O1462" s="278" t="s">
        <v>298</v>
      </c>
      <c r="P1462" s="284" t="s">
        <v>298</v>
      </c>
      <c r="Q1462" s="279" t="s">
        <v>9</v>
      </c>
      <c r="R1462" s="279" t="s">
        <v>105</v>
      </c>
      <c r="S1462" s="279" t="s">
        <v>114</v>
      </c>
      <c r="T1462" s="278" t="s">
        <v>298</v>
      </c>
      <c r="U1462" s="278" t="s">
        <v>298</v>
      </c>
      <c r="V1462" s="278" t="s">
        <v>2834</v>
      </c>
      <c r="W1462" s="272" t="str">
        <f>IF(IFERROR(VLOOKUP($M1462,'IMPORT GS-Tür OL FL 2S2 20'!$H$2:$H$847,1,0),"-")="-","","GS")</f>
        <v/>
      </c>
      <c r="X1462" s="272" t="str">
        <f t="shared" si="108"/>
        <v/>
      </c>
      <c r="Y1462" s="278" t="s">
        <v>298</v>
      </c>
      <c r="Z1462" s="273" t="str">
        <f>IF(OR($M1462="",NOT($O1462="{array}")),"",IFERROR(MATCH(PARAMETERS!$M1462,DEFAULT!$B$5:$CI$5,0),""))</f>
        <v/>
      </c>
      <c r="AA1462" s="272" t="str">
        <f t="shared" si="110"/>
        <v/>
      </c>
      <c r="AB1462" s="274" t="str">
        <f>IF(AND(OR($A1462="G",$A1462="P"),NOT($O1462="{array}")),IF(VLOOKUP($K1462,base!$B$2:$D$20,3,0)="S",IF(OR($O1462="",ISTEXT($O1462)),"","STRING!"),IF(VLOOKUP($K1462,base!$B$2:$D$20,3,0)="","",IF(ISTEXT($O1462),"NUMERIC!",""))),"")</f>
        <v/>
      </c>
      <c r="AC1462" s="275" t="str">
        <f>IF($AA1462="","",IF($B1462="I",VLOOKUP($AA1462,#REF!,53,0),INDEX(VALUES!$B$1:$GP$1,1,$AA1462)))</f>
        <v/>
      </c>
    </row>
    <row r="1463" spans="1:29" s="276" customFormat="1" hidden="1" outlineLevel="1">
      <c r="A1463" s="263"/>
      <c r="B1463" s="264" t="str">
        <f t="shared" si="106"/>
        <v/>
      </c>
      <c r="C1463" s="265">
        <f t="shared" si="109"/>
        <v>1462</v>
      </c>
      <c r="D1463" s="266"/>
      <c r="E1463" s="266"/>
      <c r="F1463" s="305"/>
      <c r="G1463" s="188"/>
      <c r="H1463" s="266"/>
      <c r="I1463" s="266" t="s">
        <v>9</v>
      </c>
      <c r="J1463" s="266"/>
      <c r="K1463" s="278" t="s">
        <v>20</v>
      </c>
      <c r="L1463" s="278" t="s">
        <v>23</v>
      </c>
      <c r="M1463" s="278" t="s">
        <v>2835</v>
      </c>
      <c r="N1463" s="278" t="s">
        <v>298</v>
      </c>
      <c r="O1463" s="278" t="s">
        <v>298</v>
      </c>
      <c r="P1463" s="284" t="s">
        <v>298</v>
      </c>
      <c r="Q1463" s="279" t="s">
        <v>9</v>
      </c>
      <c r="R1463" s="279" t="s">
        <v>105</v>
      </c>
      <c r="S1463" s="279" t="s">
        <v>114</v>
      </c>
      <c r="T1463" s="278" t="s">
        <v>298</v>
      </c>
      <c r="U1463" s="278" t="s">
        <v>298</v>
      </c>
      <c r="V1463" s="278" t="s">
        <v>2835</v>
      </c>
      <c r="W1463" s="272" t="str">
        <f>IF(IFERROR(VLOOKUP($M1463,'IMPORT GS-Tür OL FL 2S2 20'!$H$2:$H$847,1,0),"-")="-","","GS")</f>
        <v/>
      </c>
      <c r="X1463" s="272" t="str">
        <f t="shared" si="108"/>
        <v/>
      </c>
      <c r="Y1463" s="278" t="s">
        <v>298</v>
      </c>
      <c r="Z1463" s="273" t="str">
        <f>IF(OR($M1463="",NOT($O1463="{array}")),"",IFERROR(MATCH(PARAMETERS!$M1463,DEFAULT!$B$5:$CI$5,0),""))</f>
        <v/>
      </c>
      <c r="AA1463" s="272" t="str">
        <f t="shared" si="110"/>
        <v/>
      </c>
      <c r="AB1463" s="274" t="str">
        <f>IF(AND(OR($A1463="G",$A1463="P"),NOT($O1463="{array}")),IF(VLOOKUP($K1463,base!$B$2:$D$20,3,0)="S",IF(OR($O1463="",ISTEXT($O1463)),"","STRING!"),IF(VLOOKUP($K1463,base!$B$2:$D$20,3,0)="","",IF(ISTEXT($O1463),"NUMERIC!",""))),"")</f>
        <v/>
      </c>
      <c r="AC1463" s="275" t="str">
        <f>IF($AA1463="","",IF($B1463="I",VLOOKUP($AA1463,#REF!,53,0),INDEX(VALUES!$B$1:$GP$1,1,$AA1463)))</f>
        <v/>
      </c>
    </row>
    <row r="1464" spans="1:29" s="276" customFormat="1" hidden="1" outlineLevel="1">
      <c r="A1464" s="263"/>
      <c r="B1464" s="264" t="str">
        <f t="shared" si="106"/>
        <v/>
      </c>
      <c r="C1464" s="265">
        <f t="shared" si="109"/>
        <v>1463</v>
      </c>
      <c r="D1464" s="266"/>
      <c r="E1464" s="266"/>
      <c r="F1464" s="305"/>
      <c r="G1464" s="188"/>
      <c r="H1464" s="266"/>
      <c r="I1464" s="266" t="s">
        <v>9</v>
      </c>
      <c r="J1464" s="266"/>
      <c r="K1464" s="278" t="s">
        <v>20</v>
      </c>
      <c r="L1464" s="278" t="s">
        <v>23</v>
      </c>
      <c r="M1464" s="278" t="s">
        <v>2836</v>
      </c>
      <c r="N1464" s="278" t="s">
        <v>298</v>
      </c>
      <c r="O1464" s="278" t="s">
        <v>298</v>
      </c>
      <c r="P1464" s="284" t="s">
        <v>298</v>
      </c>
      <c r="Q1464" s="279" t="s">
        <v>9</v>
      </c>
      <c r="R1464" s="279" t="s">
        <v>105</v>
      </c>
      <c r="S1464" s="279" t="s">
        <v>114</v>
      </c>
      <c r="T1464" s="278" t="s">
        <v>298</v>
      </c>
      <c r="U1464" s="278" t="s">
        <v>298</v>
      </c>
      <c r="V1464" s="278" t="s">
        <v>2836</v>
      </c>
      <c r="W1464" s="272" t="str">
        <f>IF(IFERROR(VLOOKUP($M1464,'IMPORT GS-Tür OL FL 2S2 20'!$H$2:$H$847,1,0),"-")="-","","GS")</f>
        <v/>
      </c>
      <c r="X1464" s="272" t="str">
        <f t="shared" si="108"/>
        <v/>
      </c>
      <c r="Y1464" s="278" t="s">
        <v>298</v>
      </c>
      <c r="Z1464" s="273" t="str">
        <f>IF(OR($M1464="",NOT($O1464="{array}")),"",IFERROR(MATCH(PARAMETERS!$M1464,DEFAULT!$B$5:$CI$5,0),""))</f>
        <v/>
      </c>
      <c r="AA1464" s="272" t="str">
        <f t="shared" si="110"/>
        <v/>
      </c>
      <c r="AB1464" s="274" t="str">
        <f>IF(AND(OR($A1464="G",$A1464="P"),NOT($O1464="{array}")),IF(VLOOKUP($K1464,base!$B$2:$D$20,3,0)="S",IF(OR($O1464="",ISTEXT($O1464)),"","STRING!"),IF(VLOOKUP($K1464,base!$B$2:$D$20,3,0)="","",IF(ISTEXT($O1464),"NUMERIC!",""))),"")</f>
        <v/>
      </c>
      <c r="AC1464" s="275" t="str">
        <f>IF($AA1464="","",IF($B1464="I",VLOOKUP($AA1464,#REF!,53,0),INDEX(VALUES!$B$1:$GP$1,1,$AA1464)))</f>
        <v/>
      </c>
    </row>
    <row r="1465" spans="1:29" s="276" customFormat="1" hidden="1" outlineLevel="1">
      <c r="A1465" s="263"/>
      <c r="B1465" s="264" t="str">
        <f t="shared" si="106"/>
        <v/>
      </c>
      <c r="C1465" s="265">
        <f t="shared" si="109"/>
        <v>1464</v>
      </c>
      <c r="D1465" s="266"/>
      <c r="E1465" s="266"/>
      <c r="F1465" s="305" t="s">
        <v>9</v>
      </c>
      <c r="G1465" s="188"/>
      <c r="H1465" s="266"/>
      <c r="I1465" s="266" t="s">
        <v>9</v>
      </c>
      <c r="J1465" s="266"/>
      <c r="K1465" s="276" t="s">
        <v>20</v>
      </c>
      <c r="L1465" s="276" t="s">
        <v>23</v>
      </c>
      <c r="M1465" s="285" t="s">
        <v>2837</v>
      </c>
      <c r="N1465" s="276" t="s">
        <v>1160</v>
      </c>
      <c r="O1465" s="286"/>
      <c r="Q1465" s="266" t="s">
        <v>9</v>
      </c>
      <c r="R1465" s="266" t="s">
        <v>106</v>
      </c>
      <c r="S1465" s="279" t="s">
        <v>114</v>
      </c>
      <c r="T1465" s="278" t="s">
        <v>104</v>
      </c>
      <c r="U1465" s="278" t="s">
        <v>298</v>
      </c>
      <c r="V1465" s="278" t="s">
        <v>1160</v>
      </c>
      <c r="W1465" s="272" t="str">
        <f>IF(IFERROR(VLOOKUP($M1465,'IMPORT GS-Tür OL FL 2S2 20'!$H$2:$H$847,1,0),"-")="-","","GS")</f>
        <v>GS</v>
      </c>
      <c r="X1465" s="272" t="str">
        <f t="shared" si="108"/>
        <v/>
      </c>
      <c r="Y1465" s="278" t="s">
        <v>298</v>
      </c>
      <c r="Z1465" s="273" t="str">
        <f>IF(OR($M1465="",NOT($O1465="{array}")),"",IFERROR(MATCH(PARAMETERS!$M1465,DEFAULT!$B$5:$CI$5,0),""))</f>
        <v/>
      </c>
      <c r="AA1465" s="272" t="str">
        <f t="shared" si="110"/>
        <v/>
      </c>
      <c r="AB1465" s="274" t="str">
        <f>IF(AND(OR($A1465="G",$A1465="P"),NOT($O1465="{array}")),IF(VLOOKUP($K1465,base!$B$2:$D$20,3,0)="S",IF(OR($O1465="",ISTEXT($O1465)),"","STRING!"),IF(VLOOKUP($K1465,base!$B$2:$D$20,3,0)="","",IF(ISTEXT($O1465),"NUMERIC!",""))),"")</f>
        <v/>
      </c>
      <c r="AC1465" s="275" t="str">
        <f>IF($AA1465="","",IF($B1465="I",VLOOKUP($AA1465,#REF!,53,0),INDEX(VALUES!$B$1:$GP$1,1,$AA1465)))</f>
        <v/>
      </c>
    </row>
    <row r="1466" spans="1:29" s="276" customFormat="1" hidden="1" outlineLevel="1">
      <c r="A1466" s="263"/>
      <c r="B1466" s="264" t="str">
        <f t="shared" si="106"/>
        <v/>
      </c>
      <c r="C1466" s="265">
        <f t="shared" si="109"/>
        <v>1465</v>
      </c>
      <c r="D1466" s="266"/>
      <c r="E1466" s="266"/>
      <c r="F1466" s="305" t="s">
        <v>9</v>
      </c>
      <c r="G1466" s="188"/>
      <c r="H1466" s="266"/>
      <c r="I1466" s="266" t="s">
        <v>9</v>
      </c>
      <c r="J1466" s="266"/>
      <c r="K1466" s="276" t="s">
        <v>20</v>
      </c>
      <c r="L1466" s="276" t="s">
        <v>23</v>
      </c>
      <c r="M1466" s="285" t="s">
        <v>2838</v>
      </c>
      <c r="N1466" s="276" t="s">
        <v>2839</v>
      </c>
      <c r="O1466" s="286"/>
      <c r="Q1466" s="266" t="s">
        <v>9</v>
      </c>
      <c r="R1466" s="266" t="s">
        <v>106</v>
      </c>
      <c r="S1466" s="279" t="s">
        <v>114</v>
      </c>
      <c r="T1466" s="278" t="s">
        <v>104</v>
      </c>
      <c r="U1466" s="278" t="s">
        <v>298</v>
      </c>
      <c r="V1466" s="278" t="s">
        <v>2839</v>
      </c>
      <c r="W1466" s="272" t="str">
        <f>IF(IFERROR(VLOOKUP($M1466,'IMPORT GS-Tür OL FL 2S2 20'!$H$2:$H$847,1,0),"-")="-","","GS")</f>
        <v>GS</v>
      </c>
      <c r="X1466" s="272" t="str">
        <f t="shared" si="108"/>
        <v/>
      </c>
      <c r="Y1466" s="278" t="s">
        <v>298</v>
      </c>
      <c r="Z1466" s="273" t="str">
        <f>IF(OR($M1466="",NOT($O1466="{array}")),"",IFERROR(MATCH(PARAMETERS!$M1466,DEFAULT!$B$5:$CI$5,0),""))</f>
        <v/>
      </c>
      <c r="AA1466" s="272" t="str">
        <f t="shared" si="110"/>
        <v/>
      </c>
      <c r="AB1466" s="274" t="str">
        <f>IF(AND(OR($A1466="G",$A1466="P"),NOT($O1466="{array}")),IF(VLOOKUP($K1466,base!$B$2:$D$20,3,0)="S",IF(OR($O1466="",ISTEXT($O1466)),"","STRING!"),IF(VLOOKUP($K1466,base!$B$2:$D$20,3,0)="","",IF(ISTEXT($O1466),"NUMERIC!",""))),"")</f>
        <v/>
      </c>
      <c r="AC1466" s="275" t="str">
        <f>IF($AA1466="","",IF($B1466="I",VLOOKUP($AA1466,#REF!,53,0),INDEX(VALUES!$B$1:$GP$1,1,$AA1466)))</f>
        <v/>
      </c>
    </row>
    <row r="1467" spans="1:29" s="276" customFormat="1" hidden="1" outlineLevel="1">
      <c r="A1467" s="263"/>
      <c r="B1467" s="264" t="str">
        <f t="shared" ref="B1467:B1530" si="111">IF($A1467="P",IF(NOT($Z1467=""),"A",IF(NOT($AA1467=""),"I","")),IF(NOT($AA1467=""),IF($A1467="G","V","X"),IF(NOT($Z1467=""),"A","")))</f>
        <v/>
      </c>
      <c r="C1467" s="265">
        <f t="shared" si="109"/>
        <v>1466</v>
      </c>
      <c r="D1467" s="266"/>
      <c r="E1467" s="266"/>
      <c r="F1467" s="305" t="s">
        <v>9</v>
      </c>
      <c r="G1467" s="188"/>
      <c r="H1467" s="266"/>
      <c r="I1467" s="266" t="s">
        <v>9</v>
      </c>
      <c r="J1467" s="266"/>
      <c r="K1467" s="276" t="s">
        <v>20</v>
      </c>
      <c r="L1467" s="276" t="s">
        <v>23</v>
      </c>
      <c r="M1467" s="285" t="s">
        <v>2840</v>
      </c>
      <c r="N1467" s="276" t="s">
        <v>2841</v>
      </c>
      <c r="O1467" s="286"/>
      <c r="Q1467" s="266" t="s">
        <v>9</v>
      </c>
      <c r="R1467" s="266" t="s">
        <v>106</v>
      </c>
      <c r="S1467" s="279" t="s">
        <v>114</v>
      </c>
      <c r="T1467" s="278" t="s">
        <v>298</v>
      </c>
      <c r="U1467" s="278" t="s">
        <v>298</v>
      </c>
      <c r="V1467" s="278" t="s">
        <v>2842</v>
      </c>
      <c r="W1467" s="272" t="str">
        <f>IF(IFERROR(VLOOKUP($M1467,'IMPORT GS-Tür OL FL 2S2 20'!$H$2:$H$847,1,0),"-")="-","","GS")</f>
        <v>GS</v>
      </c>
      <c r="X1467" s="272" t="str">
        <f t="shared" si="108"/>
        <v/>
      </c>
      <c r="Y1467" s="278" t="s">
        <v>2843</v>
      </c>
      <c r="Z1467" s="273" t="str">
        <f>IF(OR($M1467="",NOT($O1467="{array}")),"",IFERROR(MATCH(PARAMETERS!$M1467,DEFAULT!$B$5:$CI$5,0),""))</f>
        <v/>
      </c>
      <c r="AA1467" s="272" t="str">
        <f t="shared" si="110"/>
        <v/>
      </c>
      <c r="AB1467" s="274" t="str">
        <f>IF(AND(OR($A1467="G",$A1467="P"),NOT($O1467="{array}")),IF(VLOOKUP($K1467,base!$B$2:$D$20,3,0)="S",IF(OR($O1467="",ISTEXT($O1467)),"","STRING!"),IF(VLOOKUP($K1467,base!$B$2:$D$20,3,0)="","",IF(ISTEXT($O1467),"NUMERIC!",""))),"")</f>
        <v/>
      </c>
      <c r="AC1467" s="275" t="str">
        <f>IF($AA1467="","",IF($B1467="I",VLOOKUP($AA1467,#REF!,53,0),INDEX(VALUES!$B$1:$GP$1,1,$AA1467)))</f>
        <v/>
      </c>
    </row>
    <row r="1468" spans="1:29" s="276" customFormat="1" hidden="1" outlineLevel="1">
      <c r="A1468" s="263"/>
      <c r="B1468" s="264" t="str">
        <f t="shared" si="111"/>
        <v/>
      </c>
      <c r="C1468" s="265">
        <f t="shared" si="109"/>
        <v>1467</v>
      </c>
      <c r="D1468" s="266"/>
      <c r="E1468" s="266"/>
      <c r="F1468" s="305"/>
      <c r="G1468" s="188"/>
      <c r="H1468" s="266"/>
      <c r="I1468" s="266" t="s">
        <v>9</v>
      </c>
      <c r="J1468" s="266"/>
      <c r="K1468" s="276" t="s">
        <v>38</v>
      </c>
      <c r="L1468" s="276" t="s">
        <v>23</v>
      </c>
      <c r="M1468" s="285" t="s">
        <v>2844</v>
      </c>
      <c r="N1468" s="276" t="s">
        <v>2845</v>
      </c>
      <c r="O1468" s="286">
        <v>0</v>
      </c>
      <c r="Q1468" s="266" t="s">
        <v>9</v>
      </c>
      <c r="R1468" s="266" t="s">
        <v>106</v>
      </c>
      <c r="S1468" s="266"/>
      <c r="T1468" s="266"/>
      <c r="W1468" s="272" t="str">
        <f>IF(IFERROR(VLOOKUP($M1468,'IMPORT GS-Tür OL FL 2S2 20'!$H$2:$H$847,1,0),"-")="-","","GS")</f>
        <v>GS</v>
      </c>
      <c r="X1468" s="272" t="str">
        <f t="shared" si="108"/>
        <v/>
      </c>
      <c r="Z1468" s="273" t="str">
        <f>IF(OR($M1468="",NOT($O1468="{array}")),"",IFERROR(MATCH(PARAMETERS!$M1468,DEFAULT!$B$5:$CI$5,0),""))</f>
        <v/>
      </c>
      <c r="AA1468" s="272" t="str">
        <f t="shared" si="110"/>
        <v/>
      </c>
      <c r="AB1468" s="274" t="str">
        <f>IF(AND(OR($A1468="G",$A1468="P"),NOT($O1468="{array}")),IF(VLOOKUP($K1468,base!$B$2:$D$20,3,0)="S",IF(OR($O1468="",ISTEXT($O1468)),"","STRING!"),IF(VLOOKUP($K1468,base!$B$2:$D$20,3,0)="","",IF(ISTEXT($O1468),"NUMERIC!",""))),"")</f>
        <v/>
      </c>
      <c r="AC1468" s="275" t="str">
        <f>IF($AA1468="","",IF($B1468="I",VLOOKUP($AA1468,#REF!,53,0),INDEX(VALUES!$B$1:$GP$1,1,$AA1468)))</f>
        <v/>
      </c>
    </row>
    <row r="1469" spans="1:29" s="276" customFormat="1" hidden="1" outlineLevel="1">
      <c r="A1469" s="263"/>
      <c r="B1469" s="264" t="str">
        <f t="shared" si="111"/>
        <v/>
      </c>
      <c r="C1469" s="265">
        <f t="shared" si="109"/>
        <v>1468</v>
      </c>
      <c r="D1469" s="266"/>
      <c r="E1469" s="266"/>
      <c r="F1469" s="305" t="s">
        <v>9</v>
      </c>
      <c r="G1469" s="188"/>
      <c r="H1469" s="266"/>
      <c r="I1469" s="266" t="s">
        <v>9</v>
      </c>
      <c r="J1469" s="266"/>
      <c r="K1469" s="276" t="s">
        <v>20</v>
      </c>
      <c r="L1469" s="276" t="s">
        <v>23</v>
      </c>
      <c r="M1469" s="285" t="s">
        <v>2846</v>
      </c>
      <c r="N1469" s="276" t="s">
        <v>2847</v>
      </c>
      <c r="O1469" s="286" t="s">
        <v>2848</v>
      </c>
      <c r="Q1469" s="266" t="s">
        <v>9</v>
      </c>
      <c r="R1469" s="266" t="s">
        <v>106</v>
      </c>
      <c r="S1469" s="266"/>
      <c r="T1469" s="266"/>
      <c r="W1469" s="272" t="str">
        <f>IF(IFERROR(VLOOKUP($M1469,'IMPORT GS-Tür OL FL 2S2 20'!$H$2:$H$847,1,0),"-")="-","","GS")</f>
        <v>GS</v>
      </c>
      <c r="X1469" s="272" t="str">
        <f t="shared" si="108"/>
        <v/>
      </c>
      <c r="Z1469" s="273" t="str">
        <f>IF(OR($M1469="",NOT($O1469="{array}")),"",IFERROR(MATCH(PARAMETERS!$M1469,DEFAULT!$B$5:$CI$5,0),""))</f>
        <v/>
      </c>
      <c r="AA1469" s="272" t="str">
        <f t="shared" si="110"/>
        <v/>
      </c>
      <c r="AB1469" s="274" t="str">
        <f>IF(AND(OR($A1469="G",$A1469="P"),NOT($O1469="{array}")),IF(VLOOKUP($K1469,base!$B$2:$D$20,3,0)="S",IF(OR($O1469="",ISTEXT($O1469)),"","STRING!"),IF(VLOOKUP($K1469,base!$B$2:$D$20,3,0)="","",IF(ISTEXT($O1469),"NUMERIC!",""))),"")</f>
        <v/>
      </c>
      <c r="AC1469" s="275" t="str">
        <f>IF($AA1469="","",IF($B1469="I",VLOOKUP($AA1469,#REF!,53,0),INDEX(VALUES!$B$1:$GP$1,1,$AA1469)))</f>
        <v/>
      </c>
    </row>
    <row r="1470" spans="1:29" s="276" customFormat="1" hidden="1" outlineLevel="1">
      <c r="A1470" s="263"/>
      <c r="B1470" s="264" t="str">
        <f t="shared" si="111"/>
        <v/>
      </c>
      <c r="C1470" s="265">
        <f t="shared" si="109"/>
        <v>1469</v>
      </c>
      <c r="D1470" s="266"/>
      <c r="E1470" s="266"/>
      <c r="F1470" s="305"/>
      <c r="G1470" s="188"/>
      <c r="H1470" s="266"/>
      <c r="I1470" s="266" t="s">
        <v>9</v>
      </c>
      <c r="J1470" s="266"/>
      <c r="K1470" s="278" t="s">
        <v>20</v>
      </c>
      <c r="L1470" s="278" t="s">
        <v>23</v>
      </c>
      <c r="M1470" s="278" t="s">
        <v>2849</v>
      </c>
      <c r="N1470" s="278" t="s">
        <v>2850</v>
      </c>
      <c r="O1470" s="278" t="s">
        <v>298</v>
      </c>
      <c r="P1470" s="284" t="s">
        <v>298</v>
      </c>
      <c r="Q1470" s="279" t="s">
        <v>9</v>
      </c>
      <c r="R1470" s="279" t="s">
        <v>105</v>
      </c>
      <c r="S1470" s="279" t="s">
        <v>114</v>
      </c>
      <c r="T1470" s="278" t="s">
        <v>104</v>
      </c>
      <c r="U1470" s="278" t="s">
        <v>298</v>
      </c>
      <c r="V1470" s="278" t="s">
        <v>2849</v>
      </c>
      <c r="W1470" s="272" t="str">
        <f>IF(IFERROR(VLOOKUP($M1470,'IMPORT GS-Tür OL FL 2S2 20'!$H$2:$H$847,1,0),"-")="-","","GS")</f>
        <v/>
      </c>
      <c r="X1470" s="272" t="str">
        <f t="shared" si="108"/>
        <v/>
      </c>
      <c r="Y1470" s="278" t="s">
        <v>919</v>
      </c>
      <c r="Z1470" s="273" t="str">
        <f>IF(OR($M1470="",NOT($O1470="{array}")),"",IFERROR(MATCH(PARAMETERS!$M1470,DEFAULT!$B$5:$CI$5,0),""))</f>
        <v/>
      </c>
      <c r="AA1470" s="272" t="str">
        <f t="shared" si="110"/>
        <v/>
      </c>
      <c r="AB1470" s="274" t="str">
        <f>IF(AND(OR($A1470="G",$A1470="P"),NOT($O1470="{array}")),IF(VLOOKUP($K1470,base!$B$2:$D$20,3,0)="S",IF(OR($O1470="",ISTEXT($O1470)),"","STRING!"),IF(VLOOKUP($K1470,base!$B$2:$D$20,3,0)="","",IF(ISTEXT($O1470),"NUMERIC!",""))),"")</f>
        <v/>
      </c>
      <c r="AC1470" s="275" t="str">
        <f>IF($AA1470="","",IF($B1470="I",VLOOKUP($AA1470,#REF!,53,0),INDEX(VALUES!$B$1:$GP$1,1,$AA1470)))</f>
        <v/>
      </c>
    </row>
    <row r="1471" spans="1:29" s="276" customFormat="1" collapsed="1">
      <c r="A1471" s="263"/>
      <c r="B1471" s="264" t="str">
        <f t="shared" si="111"/>
        <v/>
      </c>
      <c r="C1471" s="265">
        <f t="shared" si="109"/>
        <v>1470</v>
      </c>
      <c r="D1471" s="266"/>
      <c r="E1471" s="266"/>
      <c r="F1471" s="305" t="s">
        <v>9</v>
      </c>
      <c r="G1471" s="188"/>
      <c r="H1471" s="266"/>
      <c r="I1471" s="266"/>
      <c r="J1471" s="266"/>
      <c r="K1471" s="276" t="s">
        <v>59</v>
      </c>
      <c r="L1471" s="276" t="s">
        <v>40</v>
      </c>
      <c r="M1471" s="300" t="s">
        <v>2851</v>
      </c>
      <c r="N1471" s="264" t="s">
        <v>2852</v>
      </c>
      <c r="O1471" s="286"/>
      <c r="Q1471" s="266" t="s">
        <v>9</v>
      </c>
      <c r="R1471" s="266" t="s">
        <v>106</v>
      </c>
      <c r="S1471" s="266"/>
      <c r="T1471" s="266"/>
      <c r="W1471" s="272" t="str">
        <f>IF(IFERROR(VLOOKUP($M1471,'IMPORT GS-Tür OL FL 2S2 20'!$H$2:$H$847,1,0),"-")="-","","GS")</f>
        <v>GS</v>
      </c>
      <c r="X1471" s="272" t="str">
        <f t="shared" si="108"/>
        <v/>
      </c>
      <c r="Y1471" s="276" t="s">
        <v>2853</v>
      </c>
      <c r="Z1471" s="273" t="str">
        <f>IF(OR($M1471="",NOT($O1471="{array}")),"",IFERROR(MATCH(PARAMETERS!$M1471,DEFAULT!$B$5:$CI$5,0),""))</f>
        <v/>
      </c>
      <c r="AA1471" s="272" t="str">
        <f t="shared" si="110"/>
        <v/>
      </c>
      <c r="AB1471" s="274" t="str">
        <f>IF(AND(OR($A1471="G",$A1471="P"),NOT($O1471="{array}")),IF(VLOOKUP($K1471,base!$B$2:$D$20,3,0)="S",IF(OR($O1471="",ISTEXT($O1471)),"","STRING!"),IF(VLOOKUP($K1471,base!$B$2:$D$20,3,0)="","",IF(ISTEXT($O1471),"NUMERIC!",""))),"")</f>
        <v/>
      </c>
      <c r="AC1471" s="275" t="str">
        <f>IF($AA1471="","",IF($B1471="I",VLOOKUP($AA1471,#REF!,53,0),INDEX(VALUES!$B$1:$GP$1,1,$AA1471)))</f>
        <v/>
      </c>
    </row>
    <row r="1472" spans="1:29" s="276" customFormat="1" hidden="1" outlineLevel="1">
      <c r="A1472" s="263"/>
      <c r="B1472" s="264" t="str">
        <f t="shared" si="111"/>
        <v/>
      </c>
      <c r="C1472" s="265">
        <f t="shared" si="109"/>
        <v>1471</v>
      </c>
      <c r="D1472" s="266"/>
      <c r="E1472" s="266"/>
      <c r="F1472" s="305" t="s">
        <v>9</v>
      </c>
      <c r="G1472" s="188"/>
      <c r="H1472" s="266"/>
      <c r="I1472" s="266" t="s">
        <v>9</v>
      </c>
      <c r="J1472" s="266"/>
      <c r="K1472" s="276" t="s">
        <v>20</v>
      </c>
      <c r="L1472" s="276" t="s">
        <v>23</v>
      </c>
      <c r="M1472" s="285" t="s">
        <v>2854</v>
      </c>
      <c r="N1472" s="276" t="s">
        <v>2487</v>
      </c>
      <c r="O1472" s="286"/>
      <c r="Q1472" s="266" t="s">
        <v>9</v>
      </c>
      <c r="R1472" s="266" t="s">
        <v>106</v>
      </c>
      <c r="S1472" s="266"/>
      <c r="T1472" s="266"/>
      <c r="W1472" s="272" t="str">
        <f>IF(IFERROR(VLOOKUP($M1472,'IMPORT GS-Tür OL FL 2S2 20'!$H$2:$H$847,1,0),"-")="-","","GS")</f>
        <v>GS</v>
      </c>
      <c r="X1472" s="272" t="str">
        <f t="shared" si="108"/>
        <v/>
      </c>
      <c r="Z1472" s="273" t="str">
        <f>IF(OR($M1472="",NOT($O1472="{array}")),"",IFERROR(MATCH(PARAMETERS!$M1472,DEFAULT!$B$5:$CI$5,0),""))</f>
        <v/>
      </c>
      <c r="AA1472" s="272" t="str">
        <f t="shared" si="110"/>
        <v/>
      </c>
      <c r="AB1472" s="274" t="str">
        <f>IF(AND(OR($A1472="G",$A1472="P"),NOT($O1472="{array}")),IF(VLOOKUP($K1472,base!$B$2:$D$20,3,0)="S",IF(OR($O1472="",ISTEXT($O1472)),"","STRING!"),IF(VLOOKUP($K1472,base!$B$2:$D$20,3,0)="","",IF(ISTEXT($O1472),"NUMERIC!",""))),"")</f>
        <v/>
      </c>
      <c r="AC1472" s="275" t="str">
        <f>IF($AA1472="","",IF($B1472="I",VLOOKUP($AA1472,#REF!,53,0),INDEX(VALUES!$B$1:$GP$1,1,$AA1472)))</f>
        <v/>
      </c>
    </row>
    <row r="1473" spans="1:29" s="276" customFormat="1" hidden="1" outlineLevel="1">
      <c r="A1473" s="263"/>
      <c r="B1473" s="264" t="str">
        <f t="shared" si="111"/>
        <v/>
      </c>
      <c r="C1473" s="265">
        <f t="shared" si="109"/>
        <v>1472</v>
      </c>
      <c r="D1473" s="266"/>
      <c r="E1473" s="266"/>
      <c r="F1473" s="305" t="s">
        <v>9</v>
      </c>
      <c r="G1473" s="188"/>
      <c r="H1473" s="266"/>
      <c r="I1473" s="266" t="s">
        <v>9</v>
      </c>
      <c r="J1473" s="266"/>
      <c r="K1473" s="276" t="s">
        <v>20</v>
      </c>
      <c r="L1473" s="276" t="s">
        <v>23</v>
      </c>
      <c r="M1473" s="285" t="s">
        <v>2855</v>
      </c>
      <c r="N1473" s="276" t="s">
        <v>2856</v>
      </c>
      <c r="O1473" s="286"/>
      <c r="Q1473" s="266" t="s">
        <v>9</v>
      </c>
      <c r="R1473" s="266" t="s">
        <v>106</v>
      </c>
      <c r="S1473" s="266"/>
      <c r="T1473" s="266"/>
      <c r="W1473" s="272" t="str">
        <f>IF(IFERROR(VLOOKUP($M1473,'IMPORT GS-Tür OL FL 2S2 20'!$H$2:$H$847,1,0),"-")="-","","GS")</f>
        <v>GS</v>
      </c>
      <c r="X1473" s="272" t="str">
        <f t="shared" si="108"/>
        <v/>
      </c>
      <c r="Z1473" s="273" t="str">
        <f>IF(OR($M1473="",NOT($O1473="{array}")),"",IFERROR(MATCH(PARAMETERS!$M1473,DEFAULT!$B$5:$CI$5,0),""))</f>
        <v/>
      </c>
      <c r="AA1473" s="272" t="str">
        <f t="shared" si="110"/>
        <v/>
      </c>
      <c r="AB1473" s="274" t="str">
        <f>IF(AND(OR($A1473="G",$A1473="P"),NOT($O1473="{array}")),IF(VLOOKUP($K1473,base!$B$2:$D$20,3,0)="S",IF(OR($O1473="",ISTEXT($O1473)),"","STRING!"),IF(VLOOKUP($K1473,base!$B$2:$D$20,3,0)="","",IF(ISTEXT($O1473),"NUMERIC!",""))),"")</f>
        <v/>
      </c>
      <c r="AC1473" s="275" t="str">
        <f>IF($AA1473="","",IF($B1473="I",VLOOKUP($AA1473,#REF!,53,0),INDEX(VALUES!$B$1:$GP$1,1,$AA1473)))</f>
        <v/>
      </c>
    </row>
    <row r="1474" spans="1:29" s="276" customFormat="1" hidden="1" outlineLevel="1">
      <c r="A1474" s="263"/>
      <c r="B1474" s="264" t="str">
        <f t="shared" si="111"/>
        <v/>
      </c>
      <c r="C1474" s="265">
        <f t="shared" si="109"/>
        <v>1473</v>
      </c>
      <c r="D1474" s="266"/>
      <c r="E1474" s="266"/>
      <c r="F1474" s="305" t="s">
        <v>9</v>
      </c>
      <c r="G1474" s="188"/>
      <c r="H1474" s="266"/>
      <c r="I1474" s="266" t="s">
        <v>9</v>
      </c>
      <c r="J1474" s="266"/>
      <c r="K1474" s="276" t="s">
        <v>20</v>
      </c>
      <c r="L1474" s="276" t="s">
        <v>23</v>
      </c>
      <c r="M1474" s="285" t="s">
        <v>2857</v>
      </c>
      <c r="N1474" s="276" t="s">
        <v>2858</v>
      </c>
      <c r="O1474" s="286"/>
      <c r="Q1474" s="266" t="s">
        <v>9</v>
      </c>
      <c r="R1474" s="266" t="s">
        <v>106</v>
      </c>
      <c r="S1474" s="266"/>
      <c r="T1474" s="266"/>
      <c r="W1474" s="272" t="str">
        <f>IF(IFERROR(VLOOKUP($M1474,'IMPORT GS-Tür OL FL 2S2 20'!$H$2:$H$847,1,0),"-")="-","","GS")</f>
        <v>GS</v>
      </c>
      <c r="X1474" s="272" t="str">
        <f t="shared" si="108"/>
        <v/>
      </c>
      <c r="Z1474" s="273" t="str">
        <f>IF(OR($M1474="",NOT($O1474="{array}")),"",IFERROR(MATCH(PARAMETERS!$M1474,DEFAULT!$B$5:$CI$5,0),""))</f>
        <v/>
      </c>
      <c r="AA1474" s="272" t="str">
        <f t="shared" si="110"/>
        <v/>
      </c>
      <c r="AB1474" s="274" t="str">
        <f>IF(AND(OR($A1474="G",$A1474="P"),NOT($O1474="{array}")),IF(VLOOKUP($K1474,base!$B$2:$D$20,3,0)="S",IF(OR($O1474="",ISTEXT($O1474)),"","STRING!"),IF(VLOOKUP($K1474,base!$B$2:$D$20,3,0)="","",IF(ISTEXT($O1474),"NUMERIC!",""))),"")</f>
        <v/>
      </c>
      <c r="AC1474" s="275" t="str">
        <f>IF($AA1474="","",IF($B1474="I",VLOOKUP($AA1474,#REF!,53,0),INDEX(VALUES!$B$1:$GP$1,1,$AA1474)))</f>
        <v/>
      </c>
    </row>
    <row r="1475" spans="1:29" s="276" customFormat="1" hidden="1" outlineLevel="1">
      <c r="A1475" s="263"/>
      <c r="B1475" s="264" t="str">
        <f t="shared" si="111"/>
        <v/>
      </c>
      <c r="C1475" s="265">
        <f t="shared" si="109"/>
        <v>1474</v>
      </c>
      <c r="D1475" s="266"/>
      <c r="E1475" s="266"/>
      <c r="F1475" s="305" t="s">
        <v>9</v>
      </c>
      <c r="G1475" s="188"/>
      <c r="H1475" s="266"/>
      <c r="I1475" s="266" t="s">
        <v>9</v>
      </c>
      <c r="J1475" s="266"/>
      <c r="K1475" s="276" t="s">
        <v>20</v>
      </c>
      <c r="L1475" s="276" t="s">
        <v>23</v>
      </c>
      <c r="M1475" s="285" t="s">
        <v>2859</v>
      </c>
      <c r="N1475" s="276" t="s">
        <v>2860</v>
      </c>
      <c r="O1475" s="286"/>
      <c r="Q1475" s="266" t="s">
        <v>9</v>
      </c>
      <c r="R1475" s="266" t="s">
        <v>106</v>
      </c>
      <c r="S1475" s="266"/>
      <c r="T1475" s="266"/>
      <c r="W1475" s="272" t="str">
        <f>IF(IFERROR(VLOOKUP($M1475,'IMPORT GS-Tür OL FL 2S2 20'!$H$2:$H$847,1,0),"-")="-","","GS")</f>
        <v>GS</v>
      </c>
      <c r="X1475" s="272" t="str">
        <f t="shared" si="108"/>
        <v/>
      </c>
      <c r="Z1475" s="273" t="str">
        <f>IF(OR($M1475="",NOT($O1475="{array}")),"",IFERROR(MATCH(PARAMETERS!$M1475,DEFAULT!$B$5:$CI$5,0),""))</f>
        <v/>
      </c>
      <c r="AA1475" s="272" t="str">
        <f t="shared" si="110"/>
        <v/>
      </c>
      <c r="AB1475" s="274" t="str">
        <f>IF(AND(OR($A1475="G",$A1475="P"),NOT($O1475="{array}")),IF(VLOOKUP($K1475,base!$B$2:$D$20,3,0)="S",IF(OR($O1475="",ISTEXT($O1475)),"","STRING!"),IF(VLOOKUP($K1475,base!$B$2:$D$20,3,0)="","",IF(ISTEXT($O1475),"NUMERIC!",""))),"")</f>
        <v/>
      </c>
      <c r="AC1475" s="275" t="str">
        <f>IF($AA1475="","",IF($B1475="I",VLOOKUP($AA1475,#REF!,53,0),INDEX(VALUES!$B$1:$GP$1,1,$AA1475)))</f>
        <v/>
      </c>
    </row>
    <row r="1476" spans="1:29" s="276" customFormat="1" hidden="1" outlineLevel="1">
      <c r="A1476" s="263"/>
      <c r="B1476" s="264" t="str">
        <f t="shared" si="111"/>
        <v/>
      </c>
      <c r="C1476" s="265">
        <f t="shared" si="109"/>
        <v>1475</v>
      </c>
      <c r="D1476" s="266"/>
      <c r="E1476" s="266"/>
      <c r="F1476" s="305" t="s">
        <v>9</v>
      </c>
      <c r="G1476" s="188"/>
      <c r="H1476" s="266"/>
      <c r="I1476" s="266" t="s">
        <v>9</v>
      </c>
      <c r="J1476" s="266"/>
      <c r="K1476" s="276" t="s">
        <v>20</v>
      </c>
      <c r="L1476" s="276" t="s">
        <v>23</v>
      </c>
      <c r="M1476" s="285" t="s">
        <v>2861</v>
      </c>
      <c r="N1476" s="276" t="s">
        <v>2862</v>
      </c>
      <c r="O1476" s="286"/>
      <c r="Q1476" s="266" t="s">
        <v>9</v>
      </c>
      <c r="R1476" s="266" t="s">
        <v>106</v>
      </c>
      <c r="S1476" s="266"/>
      <c r="T1476" s="266"/>
      <c r="W1476" s="272" t="str">
        <f>IF(IFERROR(VLOOKUP($M1476,'IMPORT GS-Tür OL FL 2S2 20'!$H$2:$H$847,1,0),"-")="-","","GS")</f>
        <v>GS</v>
      </c>
      <c r="X1476" s="272" t="str">
        <f t="shared" si="108"/>
        <v/>
      </c>
      <c r="Z1476" s="273" t="str">
        <f>IF(OR($M1476="",NOT($O1476="{array}")),"",IFERROR(MATCH(PARAMETERS!$M1476,DEFAULT!$B$5:$CI$5,0),""))</f>
        <v/>
      </c>
      <c r="AA1476" s="272" t="str">
        <f t="shared" si="110"/>
        <v/>
      </c>
      <c r="AB1476" s="274" t="str">
        <f>IF(AND(OR($A1476="G",$A1476="P"),NOT($O1476="{array}")),IF(VLOOKUP($K1476,base!$B$2:$D$20,3,0)="S",IF(OR($O1476="",ISTEXT($O1476)),"","STRING!"),IF(VLOOKUP($K1476,base!$B$2:$D$20,3,0)="","",IF(ISTEXT($O1476),"NUMERIC!",""))),"")</f>
        <v/>
      </c>
      <c r="AC1476" s="275" t="str">
        <f>IF($AA1476="","",IF($B1476="I",VLOOKUP($AA1476,#REF!,53,0),INDEX(VALUES!$B$1:$GP$1,1,$AA1476)))</f>
        <v/>
      </c>
    </row>
    <row r="1477" spans="1:29" s="276" customFormat="1" hidden="1" outlineLevel="1">
      <c r="A1477" s="263"/>
      <c r="B1477" s="264" t="str">
        <f t="shared" si="111"/>
        <v/>
      </c>
      <c r="C1477" s="265">
        <f t="shared" si="109"/>
        <v>1476</v>
      </c>
      <c r="D1477" s="266"/>
      <c r="E1477" s="266"/>
      <c r="F1477" s="305" t="s">
        <v>9</v>
      </c>
      <c r="G1477" s="188"/>
      <c r="H1477" s="266"/>
      <c r="I1477" s="266" t="s">
        <v>9</v>
      </c>
      <c r="J1477" s="266"/>
      <c r="K1477" s="276" t="s">
        <v>20</v>
      </c>
      <c r="L1477" s="276" t="s">
        <v>23</v>
      </c>
      <c r="M1477" s="285" t="s">
        <v>2863</v>
      </c>
      <c r="N1477" s="276" t="s">
        <v>2864</v>
      </c>
      <c r="O1477" s="286"/>
      <c r="Q1477" s="266" t="s">
        <v>9</v>
      </c>
      <c r="R1477" s="266" t="s">
        <v>106</v>
      </c>
      <c r="S1477" s="266"/>
      <c r="T1477" s="266"/>
      <c r="W1477" s="272" t="str">
        <f>IF(IFERROR(VLOOKUP($M1477,'IMPORT GS-Tür OL FL 2S2 20'!$H$2:$H$847,1,0),"-")="-","","GS")</f>
        <v>GS</v>
      </c>
      <c r="X1477" s="272" t="str">
        <f t="shared" si="108"/>
        <v/>
      </c>
      <c r="Z1477" s="273" t="str">
        <f>IF(OR($M1477="",NOT($O1477="{array}")),"",IFERROR(MATCH(PARAMETERS!$M1477,DEFAULT!$B$5:$CI$5,0),""))</f>
        <v/>
      </c>
      <c r="AA1477" s="272" t="str">
        <f t="shared" si="110"/>
        <v/>
      </c>
      <c r="AB1477" s="274" t="str">
        <f>IF(AND(OR($A1477="G",$A1477="P"),NOT($O1477="{array}")),IF(VLOOKUP($K1477,base!$B$2:$D$20,3,0)="S",IF(OR($O1477="",ISTEXT($O1477)),"","STRING!"),IF(VLOOKUP($K1477,base!$B$2:$D$20,3,0)="","",IF(ISTEXT($O1477),"NUMERIC!",""))),"")</f>
        <v/>
      </c>
      <c r="AC1477" s="275" t="str">
        <f>IF($AA1477="","",IF($B1477="I",VLOOKUP($AA1477,#REF!,53,0),INDEX(VALUES!$B$1:$GP$1,1,$AA1477)))</f>
        <v/>
      </c>
    </row>
    <row r="1478" spans="1:29" s="276" customFormat="1" hidden="1" outlineLevel="1">
      <c r="A1478" s="263"/>
      <c r="B1478" s="264" t="str">
        <f t="shared" si="111"/>
        <v/>
      </c>
      <c r="C1478" s="265">
        <f t="shared" si="109"/>
        <v>1477</v>
      </c>
      <c r="D1478" s="266"/>
      <c r="E1478" s="266"/>
      <c r="F1478" s="305" t="s">
        <v>9</v>
      </c>
      <c r="G1478" s="188"/>
      <c r="H1478" s="266"/>
      <c r="I1478" s="266" t="s">
        <v>9</v>
      </c>
      <c r="J1478" s="266"/>
      <c r="K1478" s="276" t="s">
        <v>20</v>
      </c>
      <c r="L1478" s="276" t="s">
        <v>23</v>
      </c>
      <c r="M1478" s="285" t="s">
        <v>2865</v>
      </c>
      <c r="N1478" s="276" t="s">
        <v>2866</v>
      </c>
      <c r="O1478" s="286"/>
      <c r="Q1478" s="266" t="s">
        <v>9</v>
      </c>
      <c r="R1478" s="266" t="s">
        <v>106</v>
      </c>
      <c r="S1478" s="266"/>
      <c r="T1478" s="266"/>
      <c r="W1478" s="272" t="str">
        <f>IF(IFERROR(VLOOKUP($M1478,'IMPORT GS-Tür OL FL 2S2 20'!$H$2:$H$847,1,0),"-")="-","","GS")</f>
        <v>GS</v>
      </c>
      <c r="X1478" s="272" t="str">
        <f t="shared" si="108"/>
        <v/>
      </c>
      <c r="Z1478" s="273" t="str">
        <f>IF(OR($M1478="",NOT($O1478="{array}")),"",IFERROR(MATCH(PARAMETERS!$M1478,DEFAULT!$B$5:$CI$5,0),""))</f>
        <v/>
      </c>
      <c r="AA1478" s="272" t="str">
        <f t="shared" si="110"/>
        <v/>
      </c>
      <c r="AB1478" s="274" t="str">
        <f>IF(AND(OR($A1478="G",$A1478="P"),NOT($O1478="{array}")),IF(VLOOKUP($K1478,base!$B$2:$D$20,3,0)="S",IF(OR($O1478="",ISTEXT($O1478)),"","STRING!"),IF(VLOOKUP($K1478,base!$B$2:$D$20,3,0)="","",IF(ISTEXT($O1478),"NUMERIC!",""))),"")</f>
        <v/>
      </c>
      <c r="AC1478" s="275" t="str">
        <f>IF($AA1478="","",IF($B1478="I",VLOOKUP($AA1478,#REF!,53,0),INDEX(VALUES!$B$1:$GP$1,1,$AA1478)))</f>
        <v/>
      </c>
    </row>
    <row r="1479" spans="1:29" s="276" customFormat="1" hidden="1" outlineLevel="1">
      <c r="A1479" s="263"/>
      <c r="B1479" s="264" t="str">
        <f t="shared" si="111"/>
        <v/>
      </c>
      <c r="C1479" s="265">
        <f t="shared" si="109"/>
        <v>1478</v>
      </c>
      <c r="D1479" s="266"/>
      <c r="E1479" s="266"/>
      <c r="F1479" s="305" t="s">
        <v>9</v>
      </c>
      <c r="G1479" s="188"/>
      <c r="H1479" s="266"/>
      <c r="I1479" s="266" t="s">
        <v>9</v>
      </c>
      <c r="J1479" s="266"/>
      <c r="K1479" s="276" t="s">
        <v>20</v>
      </c>
      <c r="L1479" s="276" t="s">
        <v>23</v>
      </c>
      <c r="M1479" s="285" t="s">
        <v>2867</v>
      </c>
      <c r="N1479" s="276" t="s">
        <v>2868</v>
      </c>
      <c r="O1479" s="286"/>
      <c r="Q1479" s="266" t="s">
        <v>9</v>
      </c>
      <c r="R1479" s="266" t="s">
        <v>106</v>
      </c>
      <c r="S1479" s="266"/>
      <c r="T1479" s="266"/>
      <c r="W1479" s="272" t="str">
        <f>IF(IFERROR(VLOOKUP($M1479,'IMPORT GS-Tür OL FL 2S2 20'!$H$2:$H$847,1,0),"-")="-","","GS")</f>
        <v>GS</v>
      </c>
      <c r="X1479" s="272" t="str">
        <f t="shared" si="108"/>
        <v/>
      </c>
      <c r="Z1479" s="273" t="str">
        <f>IF(OR($M1479="",NOT($O1479="{array}")),"",IFERROR(MATCH(PARAMETERS!$M1479,DEFAULT!$B$5:$CI$5,0),""))</f>
        <v/>
      </c>
      <c r="AA1479" s="272" t="str">
        <f t="shared" si="110"/>
        <v/>
      </c>
      <c r="AB1479" s="274" t="str">
        <f>IF(AND(OR($A1479="G",$A1479="P"),NOT($O1479="{array}")),IF(VLOOKUP($K1479,base!$B$2:$D$20,3,0)="S",IF(OR($O1479="",ISTEXT($O1479)),"","STRING!"),IF(VLOOKUP($K1479,base!$B$2:$D$20,3,0)="","",IF(ISTEXT($O1479),"NUMERIC!",""))),"")</f>
        <v/>
      </c>
      <c r="AC1479" s="275" t="str">
        <f>IF($AA1479="","",IF($B1479="I",VLOOKUP($AA1479,#REF!,53,0),INDEX(VALUES!$B$1:$GP$1,1,$AA1479)))</f>
        <v/>
      </c>
    </row>
    <row r="1480" spans="1:29" s="276" customFormat="1" hidden="1" outlineLevel="1">
      <c r="A1480" s="263"/>
      <c r="B1480" s="264" t="str">
        <f t="shared" si="111"/>
        <v/>
      </c>
      <c r="C1480" s="265">
        <f t="shared" si="109"/>
        <v>1479</v>
      </c>
      <c r="D1480" s="266"/>
      <c r="E1480" s="266"/>
      <c r="F1480" s="305" t="s">
        <v>9</v>
      </c>
      <c r="G1480" s="188"/>
      <c r="H1480" s="266"/>
      <c r="I1480" s="266" t="s">
        <v>9</v>
      </c>
      <c r="J1480" s="266"/>
      <c r="K1480" s="267" t="s">
        <v>49</v>
      </c>
      <c r="L1480" s="267" t="s">
        <v>23</v>
      </c>
      <c r="M1480" s="268" t="s">
        <v>2869</v>
      </c>
      <c r="N1480" s="267" t="s">
        <v>1841</v>
      </c>
      <c r="O1480" s="269">
        <v>0</v>
      </c>
      <c r="P1480" s="267"/>
      <c r="Q1480" s="270" t="s">
        <v>9</v>
      </c>
      <c r="R1480" s="270" t="s">
        <v>106</v>
      </c>
      <c r="S1480" s="270"/>
      <c r="T1480" s="270"/>
      <c r="U1480" s="267"/>
      <c r="V1480" s="267"/>
      <c r="W1480" s="271" t="str">
        <f>IF(IFERROR(VLOOKUP($M1480,'IMPORT GS-Tür OL FL 2S2 20'!$H$2:$H$847,1,0),"-")="-","","GS")</f>
        <v>GS</v>
      </c>
      <c r="X1480" s="272" t="str">
        <f t="shared" si="108"/>
        <v/>
      </c>
      <c r="Z1480" s="273" t="str">
        <f>IF(OR($M1480="",NOT($O1480="{array}")),"",IFERROR(MATCH(PARAMETERS!$M1480,DEFAULT!$B$5:$CI$5,0),""))</f>
        <v/>
      </c>
      <c r="AA1480" s="272" t="str">
        <f t="shared" si="110"/>
        <v/>
      </c>
      <c r="AB1480" s="274" t="str">
        <f>IF(AND(OR($A1480="G",$A1480="P"),NOT($O1480="{array}")),IF(VLOOKUP($K1480,base!$B$2:$D$20,3,0)="S",IF(OR($O1480="",ISTEXT($O1480)),"","STRING!"),IF(VLOOKUP($K1480,base!$B$2:$D$20,3,0)="","",IF(ISTEXT($O1480),"NUMERIC!",""))),"")</f>
        <v/>
      </c>
      <c r="AC1480" s="275" t="str">
        <f>IF($AA1480="","",IF($B1480="I",VLOOKUP($AA1480,#REF!,53,0),INDEX(VALUES!$B$1:$GP$1,1,$AA1480)))</f>
        <v/>
      </c>
    </row>
    <row r="1481" spans="1:29" s="276" customFormat="1" hidden="1" outlineLevel="1">
      <c r="A1481" s="263"/>
      <c r="B1481" s="264" t="str">
        <f t="shared" si="111"/>
        <v/>
      </c>
      <c r="C1481" s="265">
        <f t="shared" si="109"/>
        <v>1480</v>
      </c>
      <c r="D1481" s="266"/>
      <c r="E1481" s="266"/>
      <c r="F1481" s="305" t="s">
        <v>9</v>
      </c>
      <c r="G1481" s="188"/>
      <c r="H1481" s="266"/>
      <c r="I1481" s="266" t="s">
        <v>9</v>
      </c>
      <c r="J1481" s="266"/>
      <c r="K1481" s="267" t="s">
        <v>49</v>
      </c>
      <c r="L1481" s="267" t="s">
        <v>23</v>
      </c>
      <c r="M1481" s="268" t="s">
        <v>2870</v>
      </c>
      <c r="N1481" s="267" t="s">
        <v>355</v>
      </c>
      <c r="O1481" s="269">
        <v>0</v>
      </c>
      <c r="P1481" s="267"/>
      <c r="Q1481" s="270" t="s">
        <v>9</v>
      </c>
      <c r="R1481" s="270" t="s">
        <v>106</v>
      </c>
      <c r="S1481" s="270"/>
      <c r="T1481" s="270"/>
      <c r="U1481" s="267"/>
      <c r="V1481" s="267"/>
      <c r="W1481" s="271" t="str">
        <f>IF(IFERROR(VLOOKUP($M1481,'IMPORT GS-Tür OL FL 2S2 20'!$H$2:$H$847,1,0),"-")="-","","GS")</f>
        <v>GS</v>
      </c>
      <c r="X1481" s="272" t="str">
        <f t="shared" si="108"/>
        <v/>
      </c>
      <c r="Z1481" s="273" t="str">
        <f>IF(OR($M1481="",NOT($O1481="{array}")),"",IFERROR(MATCH(PARAMETERS!$M1481,DEFAULT!$B$5:$CI$5,0),""))</f>
        <v/>
      </c>
      <c r="AA1481" s="272" t="str">
        <f t="shared" si="110"/>
        <v/>
      </c>
      <c r="AB1481" s="274" t="str">
        <f>IF(AND(OR($A1481="G",$A1481="P"),NOT($O1481="{array}")),IF(VLOOKUP($K1481,base!$B$2:$D$20,3,0)="S",IF(OR($O1481="",ISTEXT($O1481)),"","STRING!"),IF(VLOOKUP($K1481,base!$B$2:$D$20,3,0)="","",IF(ISTEXT($O1481),"NUMERIC!",""))),"")</f>
        <v/>
      </c>
      <c r="AC1481" s="275" t="str">
        <f>IF($AA1481="","",IF($B1481="I",VLOOKUP($AA1481,#REF!,53,0),INDEX(VALUES!$B$1:$GP$1,1,$AA1481)))</f>
        <v/>
      </c>
    </row>
    <row r="1482" spans="1:29" s="276" customFormat="1" hidden="1" outlineLevel="1">
      <c r="A1482" s="263"/>
      <c r="B1482" s="264" t="str">
        <f t="shared" si="111"/>
        <v/>
      </c>
      <c r="C1482" s="265">
        <f t="shared" si="109"/>
        <v>1481</v>
      </c>
      <c r="D1482" s="266"/>
      <c r="E1482" s="266"/>
      <c r="F1482" s="305"/>
      <c r="G1482" s="188"/>
      <c r="H1482" s="266"/>
      <c r="I1482" s="266" t="s">
        <v>9</v>
      </c>
      <c r="J1482" s="266"/>
      <c r="K1482" s="267" t="s">
        <v>49</v>
      </c>
      <c r="L1482" s="267" t="s">
        <v>23</v>
      </c>
      <c r="M1482" s="268" t="s">
        <v>2871</v>
      </c>
      <c r="N1482" s="267" t="s">
        <v>2872</v>
      </c>
      <c r="O1482" s="269">
        <v>0</v>
      </c>
      <c r="P1482" s="267"/>
      <c r="Q1482" s="270" t="s">
        <v>9</v>
      </c>
      <c r="R1482" s="270" t="s">
        <v>106</v>
      </c>
      <c r="S1482" s="270"/>
      <c r="T1482" s="270"/>
      <c r="U1482" s="267"/>
      <c r="V1482" s="267"/>
      <c r="W1482" s="271" t="str">
        <f>IF(IFERROR(VLOOKUP($M1482,'IMPORT GS-Tür OL FL 2S2 20'!$H$2:$H$847,1,0),"-")="-","","GS")</f>
        <v>GS</v>
      </c>
      <c r="X1482" s="272" t="str">
        <f t="shared" si="108"/>
        <v/>
      </c>
      <c r="Z1482" s="273" t="str">
        <f>IF(OR($M1482="",NOT($O1482="{array}")),"",IFERROR(MATCH(PARAMETERS!$M1482,DEFAULT!$B$5:$CI$5,0),""))</f>
        <v/>
      </c>
      <c r="AA1482" s="272" t="str">
        <f t="shared" si="110"/>
        <v/>
      </c>
      <c r="AB1482" s="274" t="str">
        <f>IF(AND(OR($A1482="G",$A1482="P"),NOT($O1482="{array}")),IF(VLOOKUP($K1482,base!$B$2:$D$20,3,0)="S",IF(OR($O1482="",ISTEXT($O1482)),"","STRING!"),IF(VLOOKUP($K1482,base!$B$2:$D$20,3,0)="","",IF(ISTEXT($O1482),"NUMERIC!",""))),"")</f>
        <v/>
      </c>
      <c r="AC1482" s="275" t="str">
        <f>IF($AA1482="","",IF($B1482="I",VLOOKUP($AA1482,#REF!,53,0),INDEX(VALUES!$B$1:$GP$1,1,$AA1482)))</f>
        <v/>
      </c>
    </row>
    <row r="1483" spans="1:29" s="276" customFormat="1" hidden="1" outlineLevel="1">
      <c r="A1483" s="263"/>
      <c r="B1483" s="264" t="str">
        <f t="shared" si="111"/>
        <v/>
      </c>
      <c r="C1483" s="265">
        <f t="shared" si="109"/>
        <v>1482</v>
      </c>
      <c r="D1483" s="266"/>
      <c r="E1483" s="266"/>
      <c r="F1483" s="305" t="s">
        <v>9</v>
      </c>
      <c r="G1483" s="188"/>
      <c r="H1483" s="266"/>
      <c r="I1483" s="266" t="s">
        <v>9</v>
      </c>
      <c r="J1483" s="266"/>
      <c r="K1483" s="267" t="s">
        <v>20</v>
      </c>
      <c r="L1483" s="267" t="s">
        <v>23</v>
      </c>
      <c r="M1483" s="268" t="s">
        <v>2873</v>
      </c>
      <c r="N1483" s="267" t="s">
        <v>2874</v>
      </c>
      <c r="O1483" s="269">
        <v>200</v>
      </c>
      <c r="P1483" s="267"/>
      <c r="Q1483" s="270" t="s">
        <v>9</v>
      </c>
      <c r="R1483" s="270" t="s">
        <v>106</v>
      </c>
      <c r="S1483" s="270"/>
      <c r="T1483" s="270"/>
      <c r="U1483" s="267"/>
      <c r="V1483" s="267"/>
      <c r="W1483" s="271" t="str">
        <f>IF(IFERROR(VLOOKUP($M1483,'IMPORT GS-Tür OL FL 2S2 20'!$H$2:$H$847,1,0),"-")="-","","GS")</f>
        <v>GS</v>
      </c>
      <c r="X1483" s="272" t="str">
        <f t="shared" si="108"/>
        <v/>
      </c>
      <c r="Z1483" s="273" t="str">
        <f>IF(OR($M1483="",NOT($O1483="{array}")),"",IFERROR(MATCH(PARAMETERS!$M1483,DEFAULT!$B$5:$CI$5,0),""))</f>
        <v/>
      </c>
      <c r="AA1483" s="272" t="str">
        <f t="shared" si="110"/>
        <v/>
      </c>
      <c r="AB1483" s="274" t="str">
        <f>IF(AND(OR($A1483="G",$A1483="P"),NOT($O1483="{array}")),IF(VLOOKUP($K1483,base!$B$2:$D$20,3,0)="S",IF(OR($O1483="",ISTEXT($O1483)),"","STRING!"),IF(VLOOKUP($K1483,base!$B$2:$D$20,3,0)="","",IF(ISTEXT($O1483),"NUMERIC!",""))),"")</f>
        <v/>
      </c>
      <c r="AC1483" s="275" t="str">
        <f>IF($AA1483="","",IF($B1483="I",VLOOKUP($AA1483,#REF!,53,0),INDEX(VALUES!$B$1:$GP$1,1,$AA1483)))</f>
        <v/>
      </c>
    </row>
    <row r="1484" spans="1:29" s="276" customFormat="1" hidden="1" outlineLevel="1">
      <c r="A1484" s="263"/>
      <c r="B1484" s="264" t="str">
        <f t="shared" si="111"/>
        <v/>
      </c>
      <c r="C1484" s="265">
        <f t="shared" si="109"/>
        <v>1483</v>
      </c>
      <c r="D1484" s="270"/>
      <c r="E1484" s="270"/>
      <c r="F1484" s="306" t="s">
        <v>9</v>
      </c>
      <c r="G1484" s="309"/>
      <c r="H1484" s="270"/>
      <c r="I1484" s="270" t="s">
        <v>9</v>
      </c>
      <c r="J1484" s="270"/>
      <c r="K1484" s="267" t="s">
        <v>20</v>
      </c>
      <c r="L1484" s="267" t="s">
        <v>23</v>
      </c>
      <c r="M1484" s="268" t="s">
        <v>2875</v>
      </c>
      <c r="N1484" s="267" t="s">
        <v>2876</v>
      </c>
      <c r="O1484" s="269">
        <v>2</v>
      </c>
      <c r="P1484" s="267"/>
      <c r="Q1484" s="270" t="s">
        <v>9</v>
      </c>
      <c r="R1484" s="270" t="s">
        <v>106</v>
      </c>
      <c r="S1484" s="270"/>
      <c r="T1484" s="270"/>
      <c r="U1484" s="267"/>
      <c r="V1484" s="267"/>
      <c r="W1484" s="271" t="str">
        <f>IF(IFERROR(VLOOKUP($M1484,'IMPORT GS-Tür OL FL 2S2 20'!$H$2:$H$847,1,0),"-")="-","","GS")</f>
        <v>GS</v>
      </c>
      <c r="X1484" s="272" t="str">
        <f t="shared" si="108"/>
        <v/>
      </c>
      <c r="Y1484" s="267"/>
      <c r="Z1484" s="273" t="str">
        <f>IF(OR($M1484="",NOT($O1484="{array}")),"",IFERROR(MATCH(PARAMETERS!$M1484,DEFAULT!$B$5:$CI$5,0),""))</f>
        <v/>
      </c>
      <c r="AA1484" s="272" t="str">
        <f t="shared" si="110"/>
        <v/>
      </c>
      <c r="AB1484" s="274" t="str">
        <f>IF(AND(OR($A1484="G",$A1484="P"),NOT($O1484="{array}")),IF(VLOOKUP($K1484,base!$B$2:$D$20,3,0)="S",IF(OR($O1484="",ISTEXT($O1484)),"","STRING!"),IF(VLOOKUP($K1484,base!$B$2:$D$20,3,0)="","",IF(ISTEXT($O1484),"NUMERIC!",""))),"")</f>
        <v/>
      </c>
      <c r="AC1484" s="275" t="str">
        <f>IF($AA1484="","",IF($B1484="I",VLOOKUP($AA1484,#REF!,53,0),INDEX(VALUES!$B$1:$GP$1,1,$AA1484)))</f>
        <v/>
      </c>
    </row>
    <row r="1485" spans="1:29" s="276" customFormat="1" hidden="1" outlineLevel="1">
      <c r="A1485" s="263"/>
      <c r="B1485" s="264" t="str">
        <f t="shared" si="111"/>
        <v/>
      </c>
      <c r="C1485" s="265">
        <f t="shared" si="109"/>
        <v>1484</v>
      </c>
      <c r="D1485" s="270"/>
      <c r="E1485" s="270"/>
      <c r="F1485" s="306" t="s">
        <v>9</v>
      </c>
      <c r="G1485" s="309"/>
      <c r="H1485" s="270"/>
      <c r="I1485" s="270" t="s">
        <v>9</v>
      </c>
      <c r="J1485" s="270"/>
      <c r="K1485" s="267" t="s">
        <v>20</v>
      </c>
      <c r="L1485" s="267" t="s">
        <v>23</v>
      </c>
      <c r="M1485" s="268" t="s">
        <v>2877</v>
      </c>
      <c r="N1485" s="267" t="s">
        <v>97</v>
      </c>
      <c r="O1485" s="277" t="s">
        <v>298</v>
      </c>
      <c r="P1485" s="287" t="s">
        <v>298</v>
      </c>
      <c r="Q1485" s="270" t="s">
        <v>9</v>
      </c>
      <c r="R1485" s="270" t="s">
        <v>106</v>
      </c>
      <c r="S1485" s="270"/>
      <c r="T1485" s="270"/>
      <c r="U1485" s="267"/>
      <c r="V1485" s="267"/>
      <c r="W1485" s="271" t="str">
        <f>IF(IFERROR(VLOOKUP($M1485,'IMPORT GS-Tür OL FL 2S2 20'!$H$2:$H$847,1,0),"-")="-","","GS")</f>
        <v>GS</v>
      </c>
      <c r="X1485" s="272" t="str">
        <f t="shared" si="108"/>
        <v/>
      </c>
      <c r="Y1485" s="267"/>
      <c r="Z1485" s="273" t="str">
        <f>IF(OR($M1485="",NOT($O1485="{array}")),"",IFERROR(MATCH(PARAMETERS!$M1485,DEFAULT!$B$5:$CI$5,0),""))</f>
        <v/>
      </c>
      <c r="AA1485" s="272" t="str">
        <f t="shared" si="110"/>
        <v/>
      </c>
      <c r="AB1485" s="274" t="str">
        <f>IF(AND(OR($A1485="G",$A1485="P"),NOT($O1485="{array}")),IF(VLOOKUP($K1485,base!$B$2:$D$20,3,0)="S",IF(OR($O1485="",ISTEXT($O1485)),"","STRING!"),IF(VLOOKUP($K1485,base!$B$2:$D$20,3,0)="","",IF(ISTEXT($O1485),"NUMERIC!",""))),"")</f>
        <v/>
      </c>
      <c r="AC1485" s="275" t="str">
        <f>IF($AA1485="","",IF($B1485="I",VLOOKUP($AA1485,#REF!,53,0),INDEX(VALUES!$B$1:$GP$1,1,$AA1485)))</f>
        <v/>
      </c>
    </row>
    <row r="1486" spans="1:29" s="276" customFormat="1" hidden="1" outlineLevel="1">
      <c r="A1486" s="263"/>
      <c r="B1486" s="264" t="str">
        <f t="shared" si="111"/>
        <v/>
      </c>
      <c r="C1486" s="265">
        <f t="shared" si="109"/>
        <v>1485</v>
      </c>
      <c r="D1486" s="270"/>
      <c r="E1486" s="270"/>
      <c r="F1486" s="306" t="s">
        <v>9</v>
      </c>
      <c r="G1486" s="309"/>
      <c r="H1486" s="270"/>
      <c r="I1486" s="270" t="s">
        <v>9</v>
      </c>
      <c r="J1486" s="270"/>
      <c r="K1486" s="267" t="s">
        <v>20</v>
      </c>
      <c r="L1486" s="267" t="s">
        <v>23</v>
      </c>
      <c r="M1486" s="268" t="s">
        <v>2878</v>
      </c>
      <c r="N1486" s="267" t="s">
        <v>305</v>
      </c>
      <c r="O1486" s="277" t="s">
        <v>298</v>
      </c>
      <c r="P1486" s="287" t="s">
        <v>298</v>
      </c>
      <c r="Q1486" s="270" t="s">
        <v>9</v>
      </c>
      <c r="R1486" s="270" t="s">
        <v>106</v>
      </c>
      <c r="S1486" s="270"/>
      <c r="T1486" s="270"/>
      <c r="U1486" s="267"/>
      <c r="V1486" s="267"/>
      <c r="W1486" s="271" t="str">
        <f>IF(IFERROR(VLOOKUP($M1486,'IMPORT GS-Tür OL FL 2S2 20'!$H$2:$H$847,1,0),"-")="-","","GS")</f>
        <v>GS</v>
      </c>
      <c r="X1486" s="272" t="str">
        <f t="shared" si="108"/>
        <v/>
      </c>
      <c r="Y1486" s="267"/>
      <c r="Z1486" s="273" t="str">
        <f>IF(OR($M1486="",NOT($O1486="{array}")),"",IFERROR(MATCH(PARAMETERS!$M1486,DEFAULT!$B$5:$CI$5,0),""))</f>
        <v/>
      </c>
      <c r="AA1486" s="272" t="str">
        <f t="shared" si="110"/>
        <v/>
      </c>
      <c r="AB1486" s="274" t="str">
        <f>IF(AND(OR($A1486="G",$A1486="P"),NOT($O1486="{array}")),IF(VLOOKUP($K1486,base!$B$2:$D$20,3,0)="S",IF(OR($O1486="",ISTEXT($O1486)),"","STRING!"),IF(VLOOKUP($K1486,base!$B$2:$D$20,3,0)="","",IF(ISTEXT($O1486),"NUMERIC!",""))),"")</f>
        <v/>
      </c>
      <c r="AC1486" s="275" t="str">
        <f>IF($AA1486="","",IF($B1486="I",VLOOKUP($AA1486,#REF!,53,0),INDEX(VALUES!$B$1:$GP$1,1,$AA1486)))</f>
        <v/>
      </c>
    </row>
    <row r="1487" spans="1:29" s="276" customFormat="1" hidden="1" outlineLevel="1">
      <c r="A1487" s="263"/>
      <c r="B1487" s="264" t="str">
        <f t="shared" si="111"/>
        <v/>
      </c>
      <c r="C1487" s="265">
        <f t="shared" si="109"/>
        <v>1486</v>
      </c>
      <c r="D1487" s="270"/>
      <c r="E1487" s="270"/>
      <c r="F1487" s="306" t="s">
        <v>9</v>
      </c>
      <c r="G1487" s="309"/>
      <c r="H1487" s="270"/>
      <c r="I1487" s="270" t="s">
        <v>9</v>
      </c>
      <c r="J1487" s="270"/>
      <c r="K1487" s="267" t="s">
        <v>20</v>
      </c>
      <c r="L1487" s="267" t="s">
        <v>23</v>
      </c>
      <c r="M1487" s="268" t="s">
        <v>2879</v>
      </c>
      <c r="N1487" s="267" t="s">
        <v>2880</v>
      </c>
      <c r="O1487" s="277" t="s">
        <v>298</v>
      </c>
      <c r="P1487" s="287" t="s">
        <v>298</v>
      </c>
      <c r="Q1487" s="270" t="s">
        <v>9</v>
      </c>
      <c r="R1487" s="270" t="s">
        <v>106</v>
      </c>
      <c r="S1487" s="270"/>
      <c r="T1487" s="270"/>
      <c r="U1487" s="267"/>
      <c r="V1487" s="267"/>
      <c r="W1487" s="271" t="str">
        <f>IF(IFERROR(VLOOKUP($M1487,'IMPORT GS-Tür OL FL 2S2 20'!$H$2:$H$847,1,0),"-")="-","","GS")</f>
        <v>GS</v>
      </c>
      <c r="X1487" s="272" t="str">
        <f t="shared" si="108"/>
        <v/>
      </c>
      <c r="Y1487" s="267"/>
      <c r="Z1487" s="273" t="str">
        <f>IF(OR($M1487="",NOT($O1487="{array}")),"",IFERROR(MATCH(PARAMETERS!$M1487,DEFAULT!$B$5:$CI$5,0),""))</f>
        <v/>
      </c>
      <c r="AA1487" s="272" t="str">
        <f t="shared" si="110"/>
        <v/>
      </c>
      <c r="AB1487" s="274" t="str">
        <f>IF(AND(OR($A1487="G",$A1487="P"),NOT($O1487="{array}")),IF(VLOOKUP($K1487,base!$B$2:$D$20,3,0)="S",IF(OR($O1487="",ISTEXT($O1487)),"","STRING!"),IF(VLOOKUP($K1487,base!$B$2:$D$20,3,0)="","",IF(ISTEXT($O1487),"NUMERIC!",""))),"")</f>
        <v/>
      </c>
      <c r="AC1487" s="275" t="str">
        <f>IF($AA1487="","",IF($B1487="I",VLOOKUP($AA1487,#REF!,53,0),INDEX(VALUES!$B$1:$GP$1,1,$AA1487)))</f>
        <v/>
      </c>
    </row>
    <row r="1488" spans="1:29" s="276" customFormat="1" hidden="1" outlineLevel="1">
      <c r="A1488" s="263"/>
      <c r="B1488" s="264" t="str">
        <f t="shared" si="111"/>
        <v/>
      </c>
      <c r="C1488" s="265">
        <f t="shared" si="109"/>
        <v>1487</v>
      </c>
      <c r="D1488" s="266"/>
      <c r="E1488" s="266"/>
      <c r="F1488" s="305" t="s">
        <v>9</v>
      </c>
      <c r="G1488" s="188"/>
      <c r="H1488" s="266"/>
      <c r="I1488" s="266" t="s">
        <v>9</v>
      </c>
      <c r="J1488" s="266"/>
      <c r="K1488" s="267" t="s">
        <v>20</v>
      </c>
      <c r="L1488" s="267" t="s">
        <v>23</v>
      </c>
      <c r="M1488" s="268" t="s">
        <v>2881</v>
      </c>
      <c r="N1488" s="267" t="s">
        <v>2882</v>
      </c>
      <c r="O1488" s="269"/>
      <c r="P1488" s="267"/>
      <c r="Q1488" s="270" t="s">
        <v>9</v>
      </c>
      <c r="R1488" s="270" t="s">
        <v>106</v>
      </c>
      <c r="S1488" s="270"/>
      <c r="T1488" s="270"/>
      <c r="U1488" s="267"/>
      <c r="V1488" s="267"/>
      <c r="W1488" s="271" t="str">
        <f>IF(IFERROR(VLOOKUP($M1488,'IMPORT GS-Tür OL FL 2S2 20'!$H$2:$H$847,1,0),"-")="-","","GS")</f>
        <v>GS</v>
      </c>
      <c r="X1488" s="272" t="str">
        <f t="shared" si="108"/>
        <v/>
      </c>
      <c r="Z1488" s="273" t="str">
        <f>IF(OR($M1488="",NOT($O1488="{array}")),"",IFERROR(MATCH(PARAMETERS!$M1488,DEFAULT!$B$5:$CI$5,0),""))</f>
        <v/>
      </c>
      <c r="AA1488" s="272" t="str">
        <f t="shared" si="110"/>
        <v/>
      </c>
      <c r="AB1488" s="274" t="str">
        <f>IF(AND(OR($A1488="G",$A1488="P"),NOT($O1488="{array}")),IF(VLOOKUP($K1488,base!$B$2:$D$20,3,0)="S",IF(OR($O1488="",ISTEXT($O1488)),"","STRING!"),IF(VLOOKUP($K1488,base!$B$2:$D$20,3,0)="","",IF(ISTEXT($O1488),"NUMERIC!",""))),"")</f>
        <v/>
      </c>
      <c r="AC1488" s="275" t="str">
        <f>IF($AA1488="","",IF($B1488="I",VLOOKUP($AA1488,#REF!,53,0),INDEX(VALUES!$B$1:$GP$1,1,$AA1488)))</f>
        <v/>
      </c>
    </row>
    <row r="1489" spans="1:29" s="276" customFormat="1" hidden="1" outlineLevel="1">
      <c r="A1489" s="263"/>
      <c r="B1489" s="264" t="str">
        <f t="shared" si="111"/>
        <v/>
      </c>
      <c r="C1489" s="265">
        <f t="shared" si="109"/>
        <v>1488</v>
      </c>
      <c r="D1489" s="266"/>
      <c r="E1489" s="266"/>
      <c r="F1489" s="305" t="s">
        <v>9</v>
      </c>
      <c r="G1489" s="188"/>
      <c r="H1489" s="266"/>
      <c r="I1489" s="266" t="s">
        <v>9</v>
      </c>
      <c r="J1489" s="266"/>
      <c r="K1489" s="276" t="s">
        <v>20</v>
      </c>
      <c r="L1489" s="276" t="s">
        <v>23</v>
      </c>
      <c r="M1489" s="285" t="s">
        <v>2883</v>
      </c>
      <c r="N1489" s="276" t="s">
        <v>2884</v>
      </c>
      <c r="O1489" s="286"/>
      <c r="Q1489" s="266" t="s">
        <v>9</v>
      </c>
      <c r="R1489" s="266" t="s">
        <v>106</v>
      </c>
      <c r="S1489" s="266"/>
      <c r="T1489" s="266"/>
      <c r="W1489" s="272" t="str">
        <f>IF(IFERROR(VLOOKUP($M1489,'IMPORT GS-Tür OL FL 2S2 20'!$H$2:$H$847,1,0),"-")="-","","GS")</f>
        <v>GS</v>
      </c>
      <c r="X1489" s="272" t="str">
        <f t="shared" si="108"/>
        <v/>
      </c>
      <c r="Z1489" s="273" t="str">
        <f>IF(OR($M1489="",NOT($O1489="{array}")),"",IFERROR(MATCH(PARAMETERS!$M1489,DEFAULT!$B$5:$CI$5,0),""))</f>
        <v/>
      </c>
      <c r="AA1489" s="272" t="str">
        <f t="shared" si="110"/>
        <v/>
      </c>
      <c r="AB1489" s="274" t="str">
        <f>IF(AND(OR($A1489="G",$A1489="P"),NOT($O1489="{array}")),IF(VLOOKUP($K1489,base!$B$2:$D$20,3,0)="S",IF(OR($O1489="",ISTEXT($O1489)),"","STRING!"),IF(VLOOKUP($K1489,base!$B$2:$D$20,3,0)="","",IF(ISTEXT($O1489),"NUMERIC!",""))),"")</f>
        <v/>
      </c>
      <c r="AC1489" s="275" t="str">
        <f>IF($AA1489="","",IF($B1489="I",VLOOKUP($AA1489,#REF!,53,0),INDEX(VALUES!$B$1:$GP$1,1,$AA1489)))</f>
        <v/>
      </c>
    </row>
    <row r="1490" spans="1:29" s="276" customFormat="1" hidden="1" outlineLevel="1">
      <c r="A1490" s="263"/>
      <c r="B1490" s="264" t="str">
        <f t="shared" si="111"/>
        <v/>
      </c>
      <c r="C1490" s="265">
        <f t="shared" si="109"/>
        <v>1489</v>
      </c>
      <c r="D1490" s="266"/>
      <c r="E1490" s="266"/>
      <c r="F1490" s="305" t="s">
        <v>9</v>
      </c>
      <c r="G1490" s="188"/>
      <c r="H1490" s="266"/>
      <c r="I1490" s="266" t="s">
        <v>9</v>
      </c>
      <c r="J1490" s="266"/>
      <c r="K1490" s="276" t="s">
        <v>20</v>
      </c>
      <c r="L1490" s="276" t="s">
        <v>23</v>
      </c>
      <c r="M1490" s="285" t="s">
        <v>2885</v>
      </c>
      <c r="N1490" s="276" t="s">
        <v>2886</v>
      </c>
      <c r="O1490" s="286"/>
      <c r="Q1490" s="266" t="s">
        <v>9</v>
      </c>
      <c r="R1490" s="266" t="s">
        <v>106</v>
      </c>
      <c r="S1490" s="266"/>
      <c r="T1490" s="266"/>
      <c r="W1490" s="272" t="str">
        <f>IF(IFERROR(VLOOKUP($M1490,'IMPORT GS-Tür OL FL 2S2 20'!$H$2:$H$847,1,0),"-")="-","","GS")</f>
        <v>GS</v>
      </c>
      <c r="X1490" s="272" t="str">
        <f t="shared" si="108"/>
        <v/>
      </c>
      <c r="Z1490" s="273" t="str">
        <f>IF(OR($M1490="",NOT($O1490="{array}")),"",IFERROR(MATCH(PARAMETERS!$M1490,DEFAULT!$B$5:$CI$5,0),""))</f>
        <v/>
      </c>
      <c r="AA1490" s="272" t="str">
        <f t="shared" si="110"/>
        <v/>
      </c>
      <c r="AB1490" s="274" t="str">
        <f>IF(AND(OR($A1490="G",$A1490="P"),NOT($O1490="{array}")),IF(VLOOKUP($K1490,base!$B$2:$D$20,3,0)="S",IF(OR($O1490="",ISTEXT($O1490)),"","STRING!"),IF(VLOOKUP($K1490,base!$B$2:$D$20,3,0)="","",IF(ISTEXT($O1490),"NUMERIC!",""))),"")</f>
        <v/>
      </c>
      <c r="AC1490" s="275" t="str">
        <f>IF($AA1490="","",IF($B1490="I",VLOOKUP($AA1490,#REF!,53,0),INDEX(VALUES!$B$1:$GP$1,1,$AA1490)))</f>
        <v/>
      </c>
    </row>
    <row r="1491" spans="1:29" s="276" customFormat="1" hidden="1" outlineLevel="1">
      <c r="A1491" s="263"/>
      <c r="B1491" s="264" t="str">
        <f t="shared" si="111"/>
        <v/>
      </c>
      <c r="C1491" s="265">
        <f t="shared" si="109"/>
        <v>1490</v>
      </c>
      <c r="D1491" s="266"/>
      <c r="E1491" s="266"/>
      <c r="F1491" s="305" t="s">
        <v>9</v>
      </c>
      <c r="G1491" s="188"/>
      <c r="H1491" s="266"/>
      <c r="I1491" s="266" t="s">
        <v>9</v>
      </c>
      <c r="J1491" s="266"/>
      <c r="K1491" s="276" t="s">
        <v>20</v>
      </c>
      <c r="L1491" s="276" t="s">
        <v>23</v>
      </c>
      <c r="M1491" s="285" t="s">
        <v>2887</v>
      </c>
      <c r="N1491" s="276" t="s">
        <v>613</v>
      </c>
      <c r="O1491" s="286"/>
      <c r="Q1491" s="266" t="s">
        <v>9</v>
      </c>
      <c r="R1491" s="266" t="s">
        <v>106</v>
      </c>
      <c r="S1491" s="266"/>
      <c r="T1491" s="266"/>
      <c r="W1491" s="272" t="str">
        <f>IF(IFERROR(VLOOKUP($M1491,'IMPORT GS-Tür OL FL 2S2 20'!$H$2:$H$847,1,0),"-")="-","","GS")</f>
        <v>GS</v>
      </c>
      <c r="X1491" s="272" t="str">
        <f t="shared" si="108"/>
        <v/>
      </c>
      <c r="Z1491" s="273" t="str">
        <f>IF(OR($M1491="",NOT($O1491="{array}")),"",IFERROR(MATCH(PARAMETERS!$M1491,DEFAULT!$B$5:$CI$5,0),""))</f>
        <v/>
      </c>
      <c r="AA1491" s="272" t="str">
        <f t="shared" si="110"/>
        <v/>
      </c>
      <c r="AB1491" s="274" t="str">
        <f>IF(AND(OR($A1491="G",$A1491="P"),NOT($O1491="{array}")),IF(VLOOKUP($K1491,base!$B$2:$D$20,3,0)="S",IF(OR($O1491="",ISTEXT($O1491)),"","STRING!"),IF(VLOOKUP($K1491,base!$B$2:$D$20,3,0)="","",IF(ISTEXT($O1491),"NUMERIC!",""))),"")</f>
        <v/>
      </c>
      <c r="AC1491" s="275" t="str">
        <f>IF($AA1491="","",IF($B1491="I",VLOOKUP($AA1491,#REF!,53,0),INDEX(VALUES!$B$1:$GP$1,1,$AA1491)))</f>
        <v/>
      </c>
    </row>
    <row r="1492" spans="1:29" s="276" customFormat="1" hidden="1" outlineLevel="1">
      <c r="A1492" s="263"/>
      <c r="B1492" s="264" t="str">
        <f t="shared" si="111"/>
        <v/>
      </c>
      <c r="C1492" s="265">
        <f t="shared" si="109"/>
        <v>1491</v>
      </c>
      <c r="D1492" s="266"/>
      <c r="E1492" s="266"/>
      <c r="F1492" s="305" t="s">
        <v>9</v>
      </c>
      <c r="G1492" s="188"/>
      <c r="H1492" s="266"/>
      <c r="I1492" s="266" t="s">
        <v>9</v>
      </c>
      <c r="J1492" s="266"/>
      <c r="K1492" s="276" t="s">
        <v>20</v>
      </c>
      <c r="L1492" s="276" t="s">
        <v>23</v>
      </c>
      <c r="M1492" s="285" t="s">
        <v>2888</v>
      </c>
      <c r="N1492" s="276" t="s">
        <v>2889</v>
      </c>
      <c r="O1492" s="286"/>
      <c r="Q1492" s="266" t="s">
        <v>9</v>
      </c>
      <c r="R1492" s="266" t="s">
        <v>106</v>
      </c>
      <c r="S1492" s="266"/>
      <c r="T1492" s="266"/>
      <c r="W1492" s="272" t="str">
        <f>IF(IFERROR(VLOOKUP($M1492,'IMPORT GS-Tür OL FL 2S2 20'!$H$2:$H$847,1,0),"-")="-","","GS")</f>
        <v>GS</v>
      </c>
      <c r="X1492" s="272" t="str">
        <f t="shared" ref="X1492:X1555" si="112">IF($A1492="G",IF(IFERROR(VLOOKUP($M1492,Reimport,1,0),"-")="-","&gt;&lt;",IF($O1492=VLOOKUP($M1492,Reimport,2,0),"...",VLOOKUP($M1492,Reimport,2,0))),"")</f>
        <v/>
      </c>
      <c r="Z1492" s="273" t="str">
        <f>IF(OR($M1492="",NOT($O1492="{array}")),"",IFERROR(MATCH(PARAMETERS!$M1492,DEFAULT!$B$5:$CI$5,0),""))</f>
        <v/>
      </c>
      <c r="AA1492" s="272" t="str">
        <f t="shared" si="110"/>
        <v/>
      </c>
      <c r="AB1492" s="274" t="str">
        <f>IF(AND(OR($A1492="G",$A1492="P"),NOT($O1492="{array}")),IF(VLOOKUP($K1492,base!$B$2:$D$20,3,0)="S",IF(OR($O1492="",ISTEXT($O1492)),"","STRING!"),IF(VLOOKUP($K1492,base!$B$2:$D$20,3,0)="","",IF(ISTEXT($O1492),"NUMERIC!",""))),"")</f>
        <v/>
      </c>
      <c r="AC1492" s="275" t="str">
        <f>IF($AA1492="","",IF($B1492="I",VLOOKUP($AA1492,#REF!,53,0),INDEX(VALUES!$B$1:$GP$1,1,$AA1492)))</f>
        <v/>
      </c>
    </row>
    <row r="1493" spans="1:29" s="276" customFormat="1" hidden="1" outlineLevel="1">
      <c r="A1493" s="263"/>
      <c r="B1493" s="264" t="str">
        <f t="shared" si="111"/>
        <v/>
      </c>
      <c r="C1493" s="265">
        <f t="shared" si="109"/>
        <v>1492</v>
      </c>
      <c r="D1493" s="266"/>
      <c r="E1493" s="266"/>
      <c r="F1493" s="305" t="s">
        <v>9</v>
      </c>
      <c r="G1493" s="188"/>
      <c r="H1493" s="266"/>
      <c r="I1493" s="266" t="s">
        <v>9</v>
      </c>
      <c r="J1493" s="266"/>
      <c r="K1493" s="276" t="s">
        <v>20</v>
      </c>
      <c r="L1493" s="276" t="s">
        <v>23</v>
      </c>
      <c r="M1493" s="285" t="s">
        <v>2890</v>
      </c>
      <c r="N1493" s="276" t="s">
        <v>2891</v>
      </c>
      <c r="O1493" s="286"/>
      <c r="Q1493" s="266" t="s">
        <v>9</v>
      </c>
      <c r="R1493" s="266" t="s">
        <v>106</v>
      </c>
      <c r="S1493" s="266"/>
      <c r="T1493" s="266"/>
      <c r="W1493" s="272" t="str">
        <f>IF(IFERROR(VLOOKUP($M1493,'IMPORT GS-Tür OL FL 2S2 20'!$H$2:$H$847,1,0),"-")="-","","GS")</f>
        <v>GS</v>
      </c>
      <c r="X1493" s="272" t="str">
        <f t="shared" si="112"/>
        <v/>
      </c>
      <c r="Z1493" s="273" t="str">
        <f>IF(OR($M1493="",NOT($O1493="{array}")),"",IFERROR(MATCH(PARAMETERS!$M1493,DEFAULT!$B$5:$CI$5,0),""))</f>
        <v/>
      </c>
      <c r="AA1493" s="272" t="str">
        <f t="shared" si="110"/>
        <v/>
      </c>
      <c r="AB1493" s="274" t="str">
        <f>IF(AND(OR($A1493="G",$A1493="P"),NOT($O1493="{array}")),IF(VLOOKUP($K1493,base!$B$2:$D$20,3,0)="S",IF(OR($O1493="",ISTEXT($O1493)),"","STRING!"),IF(VLOOKUP($K1493,base!$B$2:$D$20,3,0)="","",IF(ISTEXT($O1493),"NUMERIC!",""))),"")</f>
        <v/>
      </c>
      <c r="AC1493" s="275" t="str">
        <f>IF($AA1493="","",IF($B1493="I",VLOOKUP($AA1493,#REF!,53,0),INDEX(VALUES!$B$1:$GP$1,1,$AA1493)))</f>
        <v/>
      </c>
    </row>
    <row r="1494" spans="1:29" s="276" customFormat="1" hidden="1" outlineLevel="1">
      <c r="A1494" s="263"/>
      <c r="B1494" s="264" t="str">
        <f t="shared" si="111"/>
        <v/>
      </c>
      <c r="C1494" s="265">
        <f t="shared" si="109"/>
        <v>1493</v>
      </c>
      <c r="D1494" s="266"/>
      <c r="E1494" s="266"/>
      <c r="F1494" s="305" t="s">
        <v>9</v>
      </c>
      <c r="G1494" s="188"/>
      <c r="H1494" s="266"/>
      <c r="I1494" s="266" t="s">
        <v>9</v>
      </c>
      <c r="J1494" s="266"/>
      <c r="K1494" s="276" t="s">
        <v>20</v>
      </c>
      <c r="L1494" s="276" t="s">
        <v>23</v>
      </c>
      <c r="M1494" s="285" t="s">
        <v>2892</v>
      </c>
      <c r="N1494" s="276" t="s">
        <v>2893</v>
      </c>
      <c r="O1494" s="286"/>
      <c r="Q1494" s="266" t="s">
        <v>9</v>
      </c>
      <c r="R1494" s="266" t="s">
        <v>106</v>
      </c>
      <c r="S1494" s="266"/>
      <c r="T1494" s="266"/>
      <c r="W1494" s="272" t="str">
        <f>IF(IFERROR(VLOOKUP($M1494,'IMPORT GS-Tür OL FL 2S2 20'!$H$2:$H$847,1,0),"-")="-","","GS")</f>
        <v>GS</v>
      </c>
      <c r="X1494" s="272" t="str">
        <f t="shared" si="112"/>
        <v/>
      </c>
      <c r="Z1494" s="273" t="str">
        <f>IF(OR($M1494="",NOT($O1494="{array}")),"",IFERROR(MATCH(PARAMETERS!$M1494,DEFAULT!$B$5:$CI$5,0),""))</f>
        <v/>
      </c>
      <c r="AA1494" s="272" t="str">
        <f t="shared" si="110"/>
        <v/>
      </c>
      <c r="AB1494" s="274" t="str">
        <f>IF(AND(OR($A1494="G",$A1494="P"),NOT($O1494="{array}")),IF(VLOOKUP($K1494,base!$B$2:$D$20,3,0)="S",IF(OR($O1494="",ISTEXT($O1494)),"","STRING!"),IF(VLOOKUP($K1494,base!$B$2:$D$20,3,0)="","",IF(ISTEXT($O1494),"NUMERIC!",""))),"")</f>
        <v/>
      </c>
      <c r="AC1494" s="275" t="str">
        <f>IF($AA1494="","",IF($B1494="I",VLOOKUP($AA1494,#REF!,53,0),INDEX(VALUES!$B$1:$GP$1,1,$AA1494)))</f>
        <v/>
      </c>
    </row>
    <row r="1495" spans="1:29" s="276" customFormat="1" hidden="1" outlineLevel="1">
      <c r="A1495" s="263"/>
      <c r="B1495" s="264" t="str">
        <f t="shared" si="111"/>
        <v/>
      </c>
      <c r="C1495" s="265">
        <f t="shared" si="109"/>
        <v>1494</v>
      </c>
      <c r="D1495" s="266"/>
      <c r="E1495" s="266"/>
      <c r="F1495" s="305" t="s">
        <v>9</v>
      </c>
      <c r="G1495" s="188"/>
      <c r="H1495" s="266"/>
      <c r="I1495" s="266" t="s">
        <v>9</v>
      </c>
      <c r="J1495" s="266"/>
      <c r="K1495" s="276" t="s">
        <v>20</v>
      </c>
      <c r="L1495" s="276" t="s">
        <v>23</v>
      </c>
      <c r="M1495" s="285" t="s">
        <v>2894</v>
      </c>
      <c r="N1495" s="276" t="s">
        <v>2895</v>
      </c>
      <c r="O1495" s="286"/>
      <c r="Q1495" s="266" t="s">
        <v>9</v>
      </c>
      <c r="R1495" s="266" t="s">
        <v>106</v>
      </c>
      <c r="S1495" s="266"/>
      <c r="T1495" s="266"/>
      <c r="W1495" s="272" t="str">
        <f>IF(IFERROR(VLOOKUP($M1495,'IMPORT GS-Tür OL FL 2S2 20'!$H$2:$H$847,1,0),"-")="-","","GS")</f>
        <v>GS</v>
      </c>
      <c r="X1495" s="272" t="str">
        <f t="shared" si="112"/>
        <v/>
      </c>
      <c r="Z1495" s="273" t="str">
        <f>IF(OR($M1495="",NOT($O1495="{array}")),"",IFERROR(MATCH(PARAMETERS!$M1495,DEFAULT!$B$5:$CI$5,0),""))</f>
        <v/>
      </c>
      <c r="AA1495" s="272" t="str">
        <f t="shared" si="110"/>
        <v/>
      </c>
      <c r="AB1495" s="274" t="str">
        <f>IF(AND(OR($A1495="G",$A1495="P"),NOT($O1495="{array}")),IF(VLOOKUP($K1495,base!$B$2:$D$20,3,0)="S",IF(OR($O1495="",ISTEXT($O1495)),"","STRING!"),IF(VLOOKUP($K1495,base!$B$2:$D$20,3,0)="","",IF(ISTEXT($O1495),"NUMERIC!",""))),"")</f>
        <v/>
      </c>
      <c r="AC1495" s="275" t="str">
        <f>IF($AA1495="","",IF($B1495="I",VLOOKUP($AA1495,#REF!,53,0),INDEX(VALUES!$B$1:$GP$1,1,$AA1495)))</f>
        <v/>
      </c>
    </row>
    <row r="1496" spans="1:29" s="276" customFormat="1" hidden="1" outlineLevel="1">
      <c r="A1496" s="263"/>
      <c r="B1496" s="264" t="str">
        <f t="shared" si="111"/>
        <v/>
      </c>
      <c r="C1496" s="265">
        <f t="shared" si="109"/>
        <v>1495</v>
      </c>
      <c r="D1496" s="266"/>
      <c r="E1496" s="266"/>
      <c r="F1496" s="306" t="s">
        <v>9</v>
      </c>
      <c r="G1496" s="309"/>
      <c r="H1496" s="270"/>
      <c r="I1496" s="270" t="s">
        <v>9</v>
      </c>
      <c r="J1496" s="270"/>
      <c r="K1496" s="267" t="s">
        <v>20</v>
      </c>
      <c r="L1496" s="267" t="s">
        <v>23</v>
      </c>
      <c r="M1496" s="268" t="s">
        <v>2896</v>
      </c>
      <c r="N1496" s="267" t="s">
        <v>2897</v>
      </c>
      <c r="O1496" s="269"/>
      <c r="P1496" s="267"/>
      <c r="Q1496" s="270" t="s">
        <v>9</v>
      </c>
      <c r="R1496" s="270" t="s">
        <v>106</v>
      </c>
      <c r="S1496" s="270"/>
      <c r="T1496" s="270"/>
      <c r="U1496" s="267"/>
      <c r="V1496" s="267"/>
      <c r="W1496" s="271" t="str">
        <f>IF(IFERROR(VLOOKUP($M1496,'IMPORT GS-Tür OL FL 2S2 20'!$H$2:$H$847,1,0),"-")="-","","GS")</f>
        <v>GS</v>
      </c>
      <c r="X1496" s="272" t="str">
        <f t="shared" si="112"/>
        <v/>
      </c>
      <c r="Z1496" s="273" t="str">
        <f>IF(OR($M1496="",NOT($O1496="{array}")),"",IFERROR(MATCH(PARAMETERS!$M1496,DEFAULT!$B$5:$CI$5,0),""))</f>
        <v/>
      </c>
      <c r="AA1496" s="272" t="str">
        <f t="shared" si="110"/>
        <v/>
      </c>
      <c r="AB1496" s="274" t="str">
        <f>IF(AND(OR($A1496="G",$A1496="P"),NOT($O1496="{array}")),IF(VLOOKUP($K1496,base!$B$2:$D$20,3,0)="S",IF(OR($O1496="",ISTEXT($O1496)),"","STRING!"),IF(VLOOKUP($K1496,base!$B$2:$D$20,3,0)="","",IF(ISTEXT($O1496),"NUMERIC!",""))),"")</f>
        <v/>
      </c>
      <c r="AC1496" s="275" t="str">
        <f>IF($AA1496="","",IF($B1496="I",VLOOKUP($AA1496,#REF!,53,0),INDEX(VALUES!$B$1:$GP$1,1,$AA1496)))</f>
        <v/>
      </c>
    </row>
    <row r="1497" spans="1:29" s="276" customFormat="1" hidden="1" outlineLevel="1">
      <c r="A1497" s="263"/>
      <c r="B1497" s="264" t="str">
        <f t="shared" si="111"/>
        <v/>
      </c>
      <c r="C1497" s="265">
        <f t="shared" si="109"/>
        <v>1496</v>
      </c>
      <c r="D1497" s="266"/>
      <c r="E1497" s="266"/>
      <c r="F1497" s="306" t="s">
        <v>9</v>
      </c>
      <c r="G1497" s="309"/>
      <c r="H1497" s="270"/>
      <c r="I1497" s="270" t="s">
        <v>9</v>
      </c>
      <c r="J1497" s="270"/>
      <c r="K1497" s="267" t="s">
        <v>20</v>
      </c>
      <c r="L1497" s="267" t="s">
        <v>23</v>
      </c>
      <c r="M1497" s="268" t="s">
        <v>2898</v>
      </c>
      <c r="N1497" s="267" t="s">
        <v>2899</v>
      </c>
      <c r="O1497" s="269"/>
      <c r="P1497" s="267"/>
      <c r="Q1497" s="270" t="s">
        <v>9</v>
      </c>
      <c r="R1497" s="270" t="s">
        <v>106</v>
      </c>
      <c r="S1497" s="270"/>
      <c r="T1497" s="270"/>
      <c r="U1497" s="267"/>
      <c r="V1497" s="267"/>
      <c r="W1497" s="271" t="str">
        <f>IF(IFERROR(VLOOKUP($M1497,'IMPORT GS-Tür OL FL 2S2 20'!$H$2:$H$847,1,0),"-")="-","","GS")</f>
        <v>GS</v>
      </c>
      <c r="X1497" s="272" t="str">
        <f t="shared" si="112"/>
        <v/>
      </c>
      <c r="Z1497" s="273" t="str">
        <f>IF(OR($M1497="",NOT($O1497="{array}")),"",IFERROR(MATCH(PARAMETERS!$M1497,DEFAULT!$B$5:$CI$5,0),""))</f>
        <v/>
      </c>
      <c r="AA1497" s="272" t="str">
        <f t="shared" si="110"/>
        <v/>
      </c>
      <c r="AB1497" s="274" t="str">
        <f>IF(AND(OR($A1497="G",$A1497="P"),NOT($O1497="{array}")),IF(VLOOKUP($K1497,base!$B$2:$D$20,3,0)="S",IF(OR($O1497="",ISTEXT($O1497)),"","STRING!"),IF(VLOOKUP($K1497,base!$B$2:$D$20,3,0)="","",IF(ISTEXT($O1497),"NUMERIC!",""))),"")</f>
        <v/>
      </c>
      <c r="AC1497" s="275" t="str">
        <f>IF($AA1497="","",IF($B1497="I",VLOOKUP($AA1497,#REF!,53,0),INDEX(VALUES!$B$1:$GP$1,1,$AA1497)))</f>
        <v/>
      </c>
    </row>
    <row r="1498" spans="1:29" s="276" customFormat="1" hidden="1" outlineLevel="1">
      <c r="A1498" s="263"/>
      <c r="B1498" s="264" t="str">
        <f t="shared" si="111"/>
        <v/>
      </c>
      <c r="C1498" s="265">
        <f t="shared" ref="C1498:C1556" si="113">(ROW()-1)</f>
        <v>1497</v>
      </c>
      <c r="D1498" s="266"/>
      <c r="E1498" s="266"/>
      <c r="F1498" s="305" t="s">
        <v>9</v>
      </c>
      <c r="G1498" s="188"/>
      <c r="H1498" s="266"/>
      <c r="I1498" s="266" t="s">
        <v>9</v>
      </c>
      <c r="J1498" s="266"/>
      <c r="K1498" s="276" t="s">
        <v>20</v>
      </c>
      <c r="L1498" s="276" t="s">
        <v>23</v>
      </c>
      <c r="M1498" s="285" t="s">
        <v>2900</v>
      </c>
      <c r="N1498" s="276" t="s">
        <v>2901</v>
      </c>
      <c r="O1498" s="286"/>
      <c r="Q1498" s="266" t="s">
        <v>9</v>
      </c>
      <c r="R1498" s="266" t="s">
        <v>106</v>
      </c>
      <c r="S1498" s="266"/>
      <c r="T1498" s="266"/>
      <c r="W1498" s="272" t="str">
        <f>IF(IFERROR(VLOOKUP($M1498,'IMPORT GS-Tür OL FL 2S2 20'!$H$2:$H$847,1,0),"-")="-","","GS")</f>
        <v>GS</v>
      </c>
      <c r="X1498" s="272" t="str">
        <f t="shared" si="112"/>
        <v/>
      </c>
      <c r="Z1498" s="273" t="str">
        <f>IF(OR($M1498="",NOT($O1498="{array}")),"",IFERROR(MATCH(PARAMETERS!$M1498,DEFAULT!$B$5:$CI$5,0),""))</f>
        <v/>
      </c>
      <c r="AA1498" s="272" t="str">
        <f t="shared" si="110"/>
        <v/>
      </c>
      <c r="AB1498" s="274" t="str">
        <f>IF(AND(OR($A1498="G",$A1498="P"),NOT($O1498="{array}")),IF(VLOOKUP($K1498,base!$B$2:$D$20,3,0)="S",IF(OR($O1498="",ISTEXT($O1498)),"","STRING!"),IF(VLOOKUP($K1498,base!$B$2:$D$20,3,0)="","",IF(ISTEXT($O1498),"NUMERIC!",""))),"")</f>
        <v/>
      </c>
      <c r="AC1498" s="275" t="str">
        <f>IF($AA1498="","",IF($B1498="I",VLOOKUP($AA1498,#REF!,53,0),INDEX(VALUES!$B$1:$GP$1,1,$AA1498)))</f>
        <v/>
      </c>
    </row>
    <row r="1499" spans="1:29" s="276" customFormat="1" hidden="1" outlineLevel="1">
      <c r="A1499" s="263"/>
      <c r="B1499" s="264" t="str">
        <f t="shared" si="111"/>
        <v/>
      </c>
      <c r="C1499" s="265">
        <f t="shared" si="113"/>
        <v>1498</v>
      </c>
      <c r="D1499" s="266"/>
      <c r="E1499" s="266"/>
      <c r="F1499" s="306" t="s">
        <v>9</v>
      </c>
      <c r="G1499" s="309"/>
      <c r="H1499" s="270"/>
      <c r="I1499" s="270" t="s">
        <v>9</v>
      </c>
      <c r="J1499" s="270"/>
      <c r="K1499" s="267" t="s">
        <v>20</v>
      </c>
      <c r="L1499" s="267" t="s">
        <v>23</v>
      </c>
      <c r="M1499" s="268" t="s">
        <v>2902</v>
      </c>
      <c r="N1499" s="267" t="s">
        <v>339</v>
      </c>
      <c r="O1499" s="277" t="s">
        <v>298</v>
      </c>
      <c r="P1499" s="267"/>
      <c r="Q1499" s="270" t="s">
        <v>9</v>
      </c>
      <c r="R1499" s="270" t="s">
        <v>106</v>
      </c>
      <c r="S1499" s="270"/>
      <c r="T1499" s="270"/>
      <c r="U1499" s="267"/>
      <c r="V1499" s="267"/>
      <c r="W1499" s="271" t="str">
        <f>IF(IFERROR(VLOOKUP($M1499,'IMPORT GS-Tür OL FL 2S2 20'!$H$2:$H$847,1,0),"-")="-","","GS")</f>
        <v>GS</v>
      </c>
      <c r="X1499" s="272" t="str">
        <f t="shared" si="112"/>
        <v/>
      </c>
      <c r="Y1499" s="277"/>
      <c r="Z1499" s="273" t="str">
        <f>IF(OR($M1499="",NOT($O1499="{array}")),"",IFERROR(MATCH(PARAMETERS!$M1499,DEFAULT!$B$5:$CI$5,0),""))</f>
        <v/>
      </c>
      <c r="AA1499" s="272" t="str">
        <f t="shared" si="110"/>
        <v/>
      </c>
      <c r="AB1499" s="274" t="str">
        <f>IF(AND(OR($A1499="G",$A1499="P"),NOT($O1499="{array}")),IF(VLOOKUP($K1499,base!$B$2:$D$20,3,0)="S",IF(OR($O1499="",ISTEXT($O1499)),"","STRING!"),IF(VLOOKUP($K1499,base!$B$2:$D$20,3,0)="","",IF(ISTEXT($O1499),"NUMERIC!",""))),"")</f>
        <v/>
      </c>
      <c r="AC1499" s="275" t="str">
        <f>IF($AA1499="","",IF($B1499="I",VLOOKUP($AA1499,#REF!,53,0),INDEX(VALUES!$B$1:$GP$1,1,$AA1499)))</f>
        <v/>
      </c>
    </row>
    <row r="1500" spans="1:29" s="276" customFormat="1" hidden="1" outlineLevel="1">
      <c r="A1500" s="263"/>
      <c r="B1500" s="264" t="str">
        <f t="shared" si="111"/>
        <v/>
      </c>
      <c r="C1500" s="265">
        <f t="shared" si="113"/>
        <v>1499</v>
      </c>
      <c r="D1500" s="266"/>
      <c r="E1500" s="266"/>
      <c r="F1500" s="305" t="s">
        <v>9</v>
      </c>
      <c r="G1500" s="188"/>
      <c r="H1500" s="266"/>
      <c r="I1500" s="266" t="s">
        <v>9</v>
      </c>
      <c r="J1500" s="266"/>
      <c r="K1500" s="276" t="s">
        <v>20</v>
      </c>
      <c r="L1500" s="276" t="s">
        <v>23</v>
      </c>
      <c r="M1500" s="285" t="s">
        <v>2903</v>
      </c>
      <c r="N1500" s="276" t="s">
        <v>2904</v>
      </c>
      <c r="O1500" s="286"/>
      <c r="Q1500" s="266" t="s">
        <v>9</v>
      </c>
      <c r="R1500" s="266" t="s">
        <v>106</v>
      </c>
      <c r="S1500" s="266"/>
      <c r="T1500" s="266"/>
      <c r="W1500" s="272" t="str">
        <f>IF(IFERROR(VLOOKUP($M1500,'IMPORT GS-Tür OL FL 2S2 20'!$H$2:$H$847,1,0),"-")="-","","GS")</f>
        <v>GS</v>
      </c>
      <c r="X1500" s="272" t="str">
        <f t="shared" si="112"/>
        <v/>
      </c>
      <c r="Z1500" s="273" t="str">
        <f>IF(OR($M1500="",NOT($O1500="{array}")),"",IFERROR(MATCH(PARAMETERS!$M1500,DEFAULT!$B$5:$CI$5,0),""))</f>
        <v/>
      </c>
      <c r="AA1500" s="272" t="str">
        <f t="shared" si="110"/>
        <v/>
      </c>
      <c r="AB1500" s="274" t="str">
        <f>IF(AND(OR($A1500="G",$A1500="P"),NOT($O1500="{array}")),IF(VLOOKUP($K1500,base!$B$2:$D$20,3,0)="S",IF(OR($O1500="",ISTEXT($O1500)),"","STRING!"),IF(VLOOKUP($K1500,base!$B$2:$D$20,3,0)="","",IF(ISTEXT($O1500),"NUMERIC!",""))),"")</f>
        <v/>
      </c>
      <c r="AC1500" s="275" t="str">
        <f>IF($AA1500="","",IF($B1500="I",VLOOKUP($AA1500,#REF!,53,0),INDEX(VALUES!$B$1:$GP$1,1,$AA1500)))</f>
        <v/>
      </c>
    </row>
    <row r="1501" spans="1:29" s="276" customFormat="1" hidden="1" outlineLevel="1">
      <c r="A1501" s="263"/>
      <c r="B1501" s="264" t="str">
        <f t="shared" si="111"/>
        <v/>
      </c>
      <c r="C1501" s="265">
        <f t="shared" si="113"/>
        <v>1500</v>
      </c>
      <c r="D1501" s="266"/>
      <c r="E1501" s="266"/>
      <c r="F1501" s="305" t="s">
        <v>9</v>
      </c>
      <c r="G1501" s="188"/>
      <c r="H1501" s="266"/>
      <c r="I1501" s="266" t="s">
        <v>9</v>
      </c>
      <c r="J1501" s="266"/>
      <c r="K1501" s="276" t="s">
        <v>20</v>
      </c>
      <c r="L1501" s="276" t="s">
        <v>23</v>
      </c>
      <c r="M1501" s="285" t="s">
        <v>2905</v>
      </c>
      <c r="N1501" s="276" t="s">
        <v>2906</v>
      </c>
      <c r="O1501" s="286"/>
      <c r="Q1501" s="266" t="s">
        <v>9</v>
      </c>
      <c r="R1501" s="266" t="s">
        <v>106</v>
      </c>
      <c r="S1501" s="266"/>
      <c r="T1501" s="266"/>
      <c r="W1501" s="272" t="str">
        <f>IF(IFERROR(VLOOKUP($M1501,'IMPORT GS-Tür OL FL 2S2 20'!$H$2:$H$847,1,0),"-")="-","","GS")</f>
        <v>GS</v>
      </c>
      <c r="X1501" s="272" t="str">
        <f t="shared" si="112"/>
        <v/>
      </c>
      <c r="Z1501" s="273" t="str">
        <f>IF(OR($M1501="",NOT($O1501="{array}")),"",IFERROR(MATCH(PARAMETERS!$M1501,DEFAULT!$B$5:$CI$5,0),""))</f>
        <v/>
      </c>
      <c r="AA1501" s="272" t="str">
        <f t="shared" si="110"/>
        <v/>
      </c>
      <c r="AB1501" s="274" t="str">
        <f>IF(AND(OR($A1501="G",$A1501="P"),NOT($O1501="{array}")),IF(VLOOKUP($K1501,base!$B$2:$D$20,3,0)="S",IF(OR($O1501="",ISTEXT($O1501)),"","STRING!"),IF(VLOOKUP($K1501,base!$B$2:$D$20,3,0)="","",IF(ISTEXT($O1501),"NUMERIC!",""))),"")</f>
        <v/>
      </c>
      <c r="AC1501" s="275" t="str">
        <f>IF($AA1501="","",IF($B1501="I",VLOOKUP($AA1501,#REF!,53,0),INDEX(VALUES!$B$1:$GP$1,1,$AA1501)))</f>
        <v/>
      </c>
    </row>
    <row r="1502" spans="1:29" s="276" customFormat="1" hidden="1" outlineLevel="1">
      <c r="A1502" s="263"/>
      <c r="B1502" s="264" t="str">
        <f t="shared" si="111"/>
        <v/>
      </c>
      <c r="C1502" s="265">
        <f t="shared" si="113"/>
        <v>1501</v>
      </c>
      <c r="D1502" s="266"/>
      <c r="E1502" s="266"/>
      <c r="F1502" s="305" t="s">
        <v>9</v>
      </c>
      <c r="G1502" s="188"/>
      <c r="H1502" s="266"/>
      <c r="I1502" s="266" t="s">
        <v>9</v>
      </c>
      <c r="J1502" s="266"/>
      <c r="K1502" s="276" t="s">
        <v>20</v>
      </c>
      <c r="L1502" s="276" t="s">
        <v>23</v>
      </c>
      <c r="M1502" s="285" t="s">
        <v>2907</v>
      </c>
      <c r="N1502" s="276" t="s">
        <v>2908</v>
      </c>
      <c r="O1502" s="286"/>
      <c r="Q1502" s="266" t="s">
        <v>9</v>
      </c>
      <c r="R1502" s="266" t="s">
        <v>106</v>
      </c>
      <c r="S1502" s="266"/>
      <c r="T1502" s="266"/>
      <c r="W1502" s="272" t="str">
        <f>IF(IFERROR(VLOOKUP($M1502,'IMPORT GS-Tür OL FL 2S2 20'!$H$2:$H$847,1,0),"-")="-","","GS")</f>
        <v>GS</v>
      </c>
      <c r="X1502" s="272" t="str">
        <f t="shared" si="112"/>
        <v/>
      </c>
      <c r="Z1502" s="273" t="str">
        <f>IF(OR($M1502="",NOT($O1502="{array}")),"",IFERROR(MATCH(PARAMETERS!$M1502,DEFAULT!$B$5:$CI$5,0),""))</f>
        <v/>
      </c>
      <c r="AA1502" s="272" t="str">
        <f t="shared" si="110"/>
        <v/>
      </c>
      <c r="AB1502" s="274" t="str">
        <f>IF(AND(OR($A1502="G",$A1502="P"),NOT($O1502="{array}")),IF(VLOOKUP($K1502,base!$B$2:$D$20,3,0)="S",IF(OR($O1502="",ISTEXT($O1502)),"","STRING!"),IF(VLOOKUP($K1502,base!$B$2:$D$20,3,0)="","",IF(ISTEXT($O1502),"NUMERIC!",""))),"")</f>
        <v/>
      </c>
      <c r="AC1502" s="275" t="str">
        <f>IF($AA1502="","",IF($B1502="I",VLOOKUP($AA1502,#REF!,53,0),INDEX(VALUES!$B$1:$GP$1,1,$AA1502)))</f>
        <v/>
      </c>
    </row>
    <row r="1503" spans="1:29" s="276" customFormat="1" hidden="1" outlineLevel="1">
      <c r="A1503" s="263"/>
      <c r="B1503" s="264" t="str">
        <f t="shared" si="111"/>
        <v/>
      </c>
      <c r="C1503" s="265">
        <f t="shared" si="113"/>
        <v>1502</v>
      </c>
      <c r="D1503" s="266"/>
      <c r="E1503" s="266"/>
      <c r="F1503" s="305" t="s">
        <v>9</v>
      </c>
      <c r="G1503" s="188"/>
      <c r="H1503" s="266"/>
      <c r="I1503" s="266" t="s">
        <v>9</v>
      </c>
      <c r="J1503" s="266"/>
      <c r="K1503" s="276" t="s">
        <v>20</v>
      </c>
      <c r="L1503" s="276" t="s">
        <v>23</v>
      </c>
      <c r="M1503" s="285" t="s">
        <v>2909</v>
      </c>
      <c r="N1503" s="276" t="s">
        <v>2910</v>
      </c>
      <c r="O1503" s="286"/>
      <c r="Q1503" s="266" t="s">
        <v>9</v>
      </c>
      <c r="R1503" s="266" t="s">
        <v>106</v>
      </c>
      <c r="S1503" s="266"/>
      <c r="T1503" s="266"/>
      <c r="W1503" s="272" t="str">
        <f>IF(IFERROR(VLOOKUP($M1503,'IMPORT GS-Tür OL FL 2S2 20'!$H$2:$H$847,1,0),"-")="-","","GS")</f>
        <v>GS</v>
      </c>
      <c r="X1503" s="272" t="str">
        <f t="shared" si="112"/>
        <v/>
      </c>
      <c r="Z1503" s="273" t="str">
        <f>IF(OR($M1503="",NOT($O1503="{array}")),"",IFERROR(MATCH(PARAMETERS!$M1503,DEFAULT!$B$5:$CI$5,0),""))</f>
        <v/>
      </c>
      <c r="AA1503" s="272" t="str">
        <f t="shared" si="110"/>
        <v/>
      </c>
      <c r="AB1503" s="274" t="str">
        <f>IF(AND(OR($A1503="G",$A1503="P"),NOT($O1503="{array}")),IF(VLOOKUP($K1503,base!$B$2:$D$20,3,0)="S",IF(OR($O1503="",ISTEXT($O1503)),"","STRING!"),IF(VLOOKUP($K1503,base!$B$2:$D$20,3,0)="","",IF(ISTEXT($O1503),"NUMERIC!",""))),"")</f>
        <v/>
      </c>
      <c r="AC1503" s="275" t="str">
        <f>IF($AA1503="","",IF($B1503="I",VLOOKUP($AA1503,#REF!,53,0),INDEX(VALUES!$B$1:$GP$1,1,$AA1503)))</f>
        <v/>
      </c>
    </row>
    <row r="1504" spans="1:29" s="276" customFormat="1" hidden="1" outlineLevel="1">
      <c r="A1504" s="263"/>
      <c r="B1504" s="264" t="str">
        <f t="shared" si="111"/>
        <v/>
      </c>
      <c r="C1504" s="265">
        <f t="shared" si="113"/>
        <v>1503</v>
      </c>
      <c r="D1504" s="266"/>
      <c r="E1504" s="266"/>
      <c r="F1504" s="305" t="s">
        <v>9</v>
      </c>
      <c r="G1504" s="188"/>
      <c r="H1504" s="266"/>
      <c r="I1504" s="266" t="s">
        <v>9</v>
      </c>
      <c r="J1504" s="266"/>
      <c r="K1504" s="276" t="s">
        <v>20</v>
      </c>
      <c r="L1504" s="276" t="s">
        <v>23</v>
      </c>
      <c r="M1504" s="285" t="s">
        <v>2911</v>
      </c>
      <c r="N1504" s="276" t="s">
        <v>2912</v>
      </c>
      <c r="O1504" s="286"/>
      <c r="Q1504" s="266" t="s">
        <v>9</v>
      </c>
      <c r="R1504" s="266" t="s">
        <v>106</v>
      </c>
      <c r="S1504" s="266"/>
      <c r="T1504" s="266"/>
      <c r="W1504" s="272" t="str">
        <f>IF(IFERROR(VLOOKUP($M1504,'IMPORT GS-Tür OL FL 2S2 20'!$H$2:$H$847,1,0),"-")="-","","GS")</f>
        <v>GS</v>
      </c>
      <c r="X1504" s="272" t="str">
        <f t="shared" si="112"/>
        <v/>
      </c>
      <c r="Z1504" s="273" t="str">
        <f>IF(OR($M1504="",NOT($O1504="{array}")),"",IFERROR(MATCH(PARAMETERS!$M1504,DEFAULT!$B$5:$CI$5,0),""))</f>
        <v/>
      </c>
      <c r="AA1504" s="272" t="str">
        <f t="shared" si="110"/>
        <v/>
      </c>
      <c r="AB1504" s="274" t="str">
        <f>IF(AND(OR($A1504="G",$A1504="P"),NOT($O1504="{array}")),IF(VLOOKUP($K1504,base!$B$2:$D$20,3,0)="S",IF(OR($O1504="",ISTEXT($O1504)),"","STRING!"),IF(VLOOKUP($K1504,base!$B$2:$D$20,3,0)="","",IF(ISTEXT($O1504),"NUMERIC!",""))),"")</f>
        <v/>
      </c>
      <c r="AC1504" s="275" t="str">
        <f>IF($AA1504="","",IF($B1504="I",VLOOKUP($AA1504,#REF!,53,0),INDEX(VALUES!$B$1:$GP$1,1,$AA1504)))</f>
        <v/>
      </c>
    </row>
    <row r="1505" spans="1:29" s="276" customFormat="1" hidden="1" outlineLevel="1">
      <c r="A1505" s="263"/>
      <c r="B1505" s="264" t="str">
        <f t="shared" si="111"/>
        <v/>
      </c>
      <c r="C1505" s="265">
        <f t="shared" si="113"/>
        <v>1504</v>
      </c>
      <c r="D1505" s="266"/>
      <c r="E1505" s="266"/>
      <c r="F1505" s="305" t="s">
        <v>9</v>
      </c>
      <c r="G1505" s="188"/>
      <c r="H1505" s="266"/>
      <c r="I1505" s="266" t="s">
        <v>9</v>
      </c>
      <c r="J1505" s="266"/>
      <c r="K1505" s="276" t="s">
        <v>20</v>
      </c>
      <c r="L1505" s="276" t="s">
        <v>23</v>
      </c>
      <c r="M1505" s="285" t="s">
        <v>2913</v>
      </c>
      <c r="N1505" s="276" t="s">
        <v>2914</v>
      </c>
      <c r="O1505" s="286"/>
      <c r="Q1505" s="266" t="s">
        <v>9</v>
      </c>
      <c r="R1505" s="266" t="s">
        <v>106</v>
      </c>
      <c r="S1505" s="266"/>
      <c r="T1505" s="266"/>
      <c r="W1505" s="272" t="str">
        <f>IF(IFERROR(VLOOKUP($M1505,'IMPORT GS-Tür OL FL 2S2 20'!$H$2:$H$847,1,0),"-")="-","","GS")</f>
        <v>GS</v>
      </c>
      <c r="X1505" s="272" t="str">
        <f t="shared" si="112"/>
        <v/>
      </c>
      <c r="Z1505" s="273" t="str">
        <f>IF(OR($M1505="",NOT($O1505="{array}")),"",IFERROR(MATCH(PARAMETERS!$M1505,DEFAULT!$B$5:$CI$5,0),""))</f>
        <v/>
      </c>
      <c r="AA1505" s="272" t="str">
        <f t="shared" si="110"/>
        <v/>
      </c>
      <c r="AB1505" s="274" t="str">
        <f>IF(AND(OR($A1505="G",$A1505="P"),NOT($O1505="{array}")),IF(VLOOKUP($K1505,base!$B$2:$D$20,3,0)="S",IF(OR($O1505="",ISTEXT($O1505)),"","STRING!"),IF(VLOOKUP($K1505,base!$B$2:$D$20,3,0)="","",IF(ISTEXT($O1505),"NUMERIC!",""))),"")</f>
        <v/>
      </c>
      <c r="AC1505" s="275" t="str">
        <f>IF($AA1505="","",IF($B1505="I",VLOOKUP($AA1505,#REF!,53,0),INDEX(VALUES!$B$1:$GP$1,1,$AA1505)))</f>
        <v/>
      </c>
    </row>
    <row r="1506" spans="1:29" s="276" customFormat="1" collapsed="1">
      <c r="A1506" s="263"/>
      <c r="B1506" s="264" t="str">
        <f t="shared" si="111"/>
        <v/>
      </c>
      <c r="C1506" s="265">
        <f t="shared" si="113"/>
        <v>1505</v>
      </c>
      <c r="D1506" s="266"/>
      <c r="E1506" s="266"/>
      <c r="F1506" s="305"/>
      <c r="G1506" s="188"/>
      <c r="H1506" s="266"/>
      <c r="I1506" s="266"/>
      <c r="J1506" s="266"/>
      <c r="K1506" s="276" t="s">
        <v>59</v>
      </c>
      <c r="L1506" s="276" t="s">
        <v>40</v>
      </c>
      <c r="M1506" s="300" t="s">
        <v>2915</v>
      </c>
      <c r="N1506" s="264" t="s">
        <v>2916</v>
      </c>
      <c r="O1506" s="286"/>
      <c r="Q1506" s="266" t="s">
        <v>9</v>
      </c>
      <c r="R1506" s="266" t="s">
        <v>106</v>
      </c>
      <c r="S1506" s="266"/>
      <c r="T1506" s="266"/>
      <c r="W1506" s="272" t="str">
        <f>IF(IFERROR(VLOOKUP($M1506,'IMPORT GS-Tür OL FL 2S2 20'!$H$2:$H$847,1,0),"-")="-","","GS")</f>
        <v>GS</v>
      </c>
      <c r="X1506" s="272" t="str">
        <f t="shared" si="112"/>
        <v/>
      </c>
      <c r="Y1506" s="276" t="s">
        <v>2853</v>
      </c>
      <c r="Z1506" s="273" t="str">
        <f>IF(OR($M1506="",NOT($O1506="{array}")),"",IFERROR(MATCH(PARAMETERS!$M1506,DEFAULT!$B$5:$CI$5,0),""))</f>
        <v/>
      </c>
      <c r="AA1506" s="272" t="str">
        <f t="shared" si="110"/>
        <v/>
      </c>
      <c r="AB1506" s="274" t="str">
        <f>IF(AND(OR($A1506="G",$A1506="P"),NOT($O1506="{array}")),IF(VLOOKUP($K1506,base!$B$2:$D$20,3,0)="S",IF(OR($O1506="",ISTEXT($O1506)),"","STRING!"),IF(VLOOKUP($K1506,base!$B$2:$D$20,3,0)="","",IF(ISTEXT($O1506),"NUMERIC!",""))),"")</f>
        <v/>
      </c>
      <c r="AC1506" s="275" t="str">
        <f>IF($AA1506="","",IF($B1506="I",VLOOKUP($AA1506,#REF!,53,0),INDEX(VALUES!$B$1:$GP$1,1,$AA1506)))</f>
        <v/>
      </c>
    </row>
    <row r="1507" spans="1:29" s="276" customFormat="1" hidden="1" outlineLevel="1">
      <c r="A1507" s="263"/>
      <c r="B1507" s="264" t="str">
        <f t="shared" si="111"/>
        <v/>
      </c>
      <c r="C1507" s="265">
        <f t="shared" si="113"/>
        <v>1506</v>
      </c>
      <c r="D1507" s="266"/>
      <c r="E1507" s="266"/>
      <c r="F1507" s="305" t="s">
        <v>9</v>
      </c>
      <c r="G1507" s="188"/>
      <c r="H1507" s="266"/>
      <c r="I1507" s="266" t="s">
        <v>9</v>
      </c>
      <c r="J1507" s="266"/>
      <c r="K1507" s="276" t="s">
        <v>20</v>
      </c>
      <c r="L1507" s="276" t="s">
        <v>23</v>
      </c>
      <c r="M1507" s="285" t="s">
        <v>2917</v>
      </c>
      <c r="N1507" s="276" t="s">
        <v>2918</v>
      </c>
      <c r="O1507" s="286" t="s">
        <v>577</v>
      </c>
      <c r="Q1507" s="266" t="s">
        <v>9</v>
      </c>
      <c r="R1507" s="266" t="s">
        <v>106</v>
      </c>
      <c r="S1507" s="266"/>
      <c r="T1507" s="266"/>
      <c r="W1507" s="272" t="str">
        <f>IF(IFERROR(VLOOKUP($M1507,'IMPORT GS-Tür OL FL 2S2 20'!$H$2:$H$847,1,0),"-")="-","","GS")</f>
        <v>GS</v>
      </c>
      <c r="X1507" s="272" t="str">
        <f t="shared" si="112"/>
        <v/>
      </c>
      <c r="Z1507" s="273" t="str">
        <f>IF(OR($M1507="",NOT($O1507="{array}")),"",IFERROR(MATCH(PARAMETERS!$M1507,DEFAULT!$B$5:$CI$5,0),""))</f>
        <v/>
      </c>
      <c r="AA1507" s="272" t="str">
        <f t="shared" si="110"/>
        <v/>
      </c>
      <c r="AB1507" s="274" t="str">
        <f>IF(AND(OR($A1507="G",$A1507="P"),NOT($O1507="{array}")),IF(VLOOKUP($K1507,base!$B$2:$D$20,3,0)="S",IF(OR($O1507="",ISTEXT($O1507)),"","STRING!"),IF(VLOOKUP($K1507,base!$B$2:$D$20,3,0)="","",IF(ISTEXT($O1507),"NUMERIC!",""))),"")</f>
        <v/>
      </c>
      <c r="AC1507" s="275" t="str">
        <f>IF($AA1507="","",IF($B1507="I",VLOOKUP($AA1507,#REF!,53,0),INDEX(VALUES!$B$1:$GP$1,1,$AA1507)))</f>
        <v/>
      </c>
    </row>
    <row r="1508" spans="1:29" s="276" customFormat="1" hidden="1" outlineLevel="1">
      <c r="A1508" s="263"/>
      <c r="B1508" s="264" t="str">
        <f t="shared" si="111"/>
        <v/>
      </c>
      <c r="C1508" s="265">
        <f t="shared" si="113"/>
        <v>1507</v>
      </c>
      <c r="D1508" s="266"/>
      <c r="E1508" s="266"/>
      <c r="F1508" s="305" t="s">
        <v>9</v>
      </c>
      <c r="G1508" s="188"/>
      <c r="H1508" s="266"/>
      <c r="I1508" s="266" t="s">
        <v>9</v>
      </c>
      <c r="J1508" s="266" t="s">
        <v>9</v>
      </c>
      <c r="K1508" s="276" t="s">
        <v>20</v>
      </c>
      <c r="L1508" s="276" t="s">
        <v>23</v>
      </c>
      <c r="M1508" s="285" t="s">
        <v>2919</v>
      </c>
      <c r="N1508" s="276" t="s">
        <v>145</v>
      </c>
      <c r="O1508" s="286">
        <v>130</v>
      </c>
      <c r="Q1508" s="266" t="s">
        <v>9</v>
      </c>
      <c r="R1508" s="266" t="s">
        <v>106</v>
      </c>
      <c r="S1508" s="266"/>
      <c r="T1508" s="266"/>
      <c r="W1508" s="272" t="str">
        <f>IF(IFERROR(VLOOKUP($M1508,'IMPORT GS-Tür OL FL 2S2 20'!$H$2:$H$847,1,0),"-")="-","","GS")</f>
        <v>GS</v>
      </c>
      <c r="X1508" s="272" t="str">
        <f t="shared" si="112"/>
        <v/>
      </c>
      <c r="Z1508" s="273" t="str">
        <f>IF(OR($M1508="",NOT($O1508="{array}")),"",IFERROR(MATCH(PARAMETERS!$M1508,DEFAULT!$B$5:$CI$5,0),""))</f>
        <v/>
      </c>
      <c r="AA1508" s="272" t="str">
        <f t="shared" si="110"/>
        <v/>
      </c>
      <c r="AB1508" s="274" t="str">
        <f>IF(AND(OR($A1508="G",$A1508="P"),NOT($O1508="{array}")),IF(VLOOKUP($K1508,base!$B$2:$D$20,3,0)="S",IF(OR($O1508="",ISTEXT($O1508)),"","STRING!"),IF(VLOOKUP($K1508,base!$B$2:$D$20,3,0)="","",IF(ISTEXT($O1508),"NUMERIC!",""))),"")</f>
        <v/>
      </c>
      <c r="AC1508" s="275" t="str">
        <f>IF($AA1508="","",IF($B1508="I",VLOOKUP($AA1508,#REF!,53,0),INDEX(VALUES!$B$1:$GP$1,1,$AA1508)))</f>
        <v/>
      </c>
    </row>
    <row r="1509" spans="1:29" s="276" customFormat="1" hidden="1" outlineLevel="1">
      <c r="A1509" s="263"/>
      <c r="B1509" s="264" t="str">
        <f t="shared" si="111"/>
        <v/>
      </c>
      <c r="C1509" s="265">
        <f t="shared" si="113"/>
        <v>1508</v>
      </c>
      <c r="D1509" s="266"/>
      <c r="E1509" s="266"/>
      <c r="F1509" s="305" t="s">
        <v>9</v>
      </c>
      <c r="G1509" s="188"/>
      <c r="H1509" s="266"/>
      <c r="I1509" s="266" t="s">
        <v>9</v>
      </c>
      <c r="J1509" s="266"/>
      <c r="K1509" s="276" t="s">
        <v>20</v>
      </c>
      <c r="L1509" s="276" t="s">
        <v>23</v>
      </c>
      <c r="M1509" s="285" t="s">
        <v>2920</v>
      </c>
      <c r="N1509" s="276" t="s">
        <v>2921</v>
      </c>
      <c r="O1509" s="286" t="s">
        <v>580</v>
      </c>
      <c r="Q1509" s="266" t="s">
        <v>9</v>
      </c>
      <c r="R1509" s="266" t="s">
        <v>106</v>
      </c>
      <c r="S1509" s="266"/>
      <c r="T1509" s="266"/>
      <c r="W1509" s="272" t="str">
        <f>IF(IFERROR(VLOOKUP($M1509,'IMPORT GS-Tür OL FL 2S2 20'!$H$2:$H$847,1,0),"-")="-","","GS")</f>
        <v>GS</v>
      </c>
      <c r="X1509" s="272" t="str">
        <f t="shared" si="112"/>
        <v/>
      </c>
      <c r="Z1509" s="273" t="str">
        <f>IF(OR($M1509="",NOT($O1509="{array}")),"",IFERROR(MATCH(PARAMETERS!$M1509,DEFAULT!$B$5:$CI$5,0),""))</f>
        <v/>
      </c>
      <c r="AA1509" s="272" t="str">
        <f t="shared" si="110"/>
        <v/>
      </c>
      <c r="AB1509" s="274" t="str">
        <f>IF(AND(OR($A1509="G",$A1509="P"),NOT($O1509="{array}")),IF(VLOOKUP($K1509,base!$B$2:$D$20,3,0)="S",IF(OR($O1509="",ISTEXT($O1509)),"","STRING!"),IF(VLOOKUP($K1509,base!$B$2:$D$20,3,0)="","",IF(ISTEXT($O1509),"NUMERIC!",""))),"")</f>
        <v/>
      </c>
      <c r="AC1509" s="275" t="str">
        <f>IF($AA1509="","",IF($B1509="I",VLOOKUP($AA1509,#REF!,53,0),INDEX(VALUES!$B$1:$GP$1,1,$AA1509)))</f>
        <v/>
      </c>
    </row>
    <row r="1510" spans="1:29" s="276" customFormat="1" hidden="1" outlineLevel="1">
      <c r="A1510" s="263"/>
      <c r="B1510" s="264" t="str">
        <f t="shared" si="111"/>
        <v/>
      </c>
      <c r="C1510" s="265">
        <f t="shared" si="113"/>
        <v>1509</v>
      </c>
      <c r="D1510" s="266"/>
      <c r="E1510" s="266"/>
      <c r="F1510" s="305" t="s">
        <v>9</v>
      </c>
      <c r="G1510" s="188"/>
      <c r="H1510" s="266"/>
      <c r="I1510" s="266" t="s">
        <v>9</v>
      </c>
      <c r="J1510" s="266"/>
      <c r="K1510" s="276" t="s">
        <v>20</v>
      </c>
      <c r="L1510" s="276" t="s">
        <v>23</v>
      </c>
      <c r="M1510" s="285" t="s">
        <v>2922</v>
      </c>
      <c r="N1510" s="276" t="s">
        <v>192</v>
      </c>
      <c r="O1510" s="286">
        <v>206.5</v>
      </c>
      <c r="Q1510" s="266" t="s">
        <v>9</v>
      </c>
      <c r="R1510" s="266" t="s">
        <v>106</v>
      </c>
      <c r="S1510" s="266"/>
      <c r="T1510" s="266"/>
      <c r="W1510" s="272" t="str">
        <f>IF(IFERROR(VLOOKUP($M1510,'IMPORT GS-Tür OL FL 2S2 20'!$H$2:$H$847,1,0),"-")="-","","GS")</f>
        <v>GS</v>
      </c>
      <c r="X1510" s="272" t="str">
        <f t="shared" si="112"/>
        <v/>
      </c>
      <c r="Z1510" s="273" t="str">
        <f>IF(OR($M1510="",NOT($O1510="{array}")),"",IFERROR(MATCH(PARAMETERS!$M1510,DEFAULT!$B$5:$CI$5,0),""))</f>
        <v/>
      </c>
      <c r="AA1510" s="272" t="str">
        <f t="shared" si="110"/>
        <v/>
      </c>
      <c r="AB1510" s="274" t="str">
        <f>IF(AND(OR($A1510="G",$A1510="P"),NOT($O1510="{array}")),IF(VLOOKUP($K1510,base!$B$2:$D$20,3,0)="S",IF(OR($O1510="",ISTEXT($O1510)),"","STRING!"),IF(VLOOKUP($K1510,base!$B$2:$D$20,3,0)="","",IF(ISTEXT($O1510),"NUMERIC!",""))),"")</f>
        <v/>
      </c>
      <c r="AC1510" s="275" t="str">
        <f>IF($AA1510="","",IF($B1510="I",VLOOKUP($AA1510,#REF!,53,0),INDEX(VALUES!$B$1:$GP$1,1,$AA1510)))</f>
        <v/>
      </c>
    </row>
    <row r="1511" spans="1:29" s="276" customFormat="1" hidden="1" outlineLevel="1">
      <c r="A1511" s="263"/>
      <c r="B1511" s="264" t="str">
        <f t="shared" si="111"/>
        <v/>
      </c>
      <c r="C1511" s="265">
        <f t="shared" si="113"/>
        <v>1510</v>
      </c>
      <c r="D1511" s="266"/>
      <c r="E1511" s="266"/>
      <c r="F1511" s="305" t="s">
        <v>9</v>
      </c>
      <c r="G1511" s="188"/>
      <c r="H1511" s="266"/>
      <c r="I1511" s="266" t="s">
        <v>9</v>
      </c>
      <c r="J1511" s="266"/>
      <c r="K1511" s="276" t="s">
        <v>20</v>
      </c>
      <c r="L1511" s="276" t="s">
        <v>23</v>
      </c>
      <c r="M1511" s="285" t="s">
        <v>2923</v>
      </c>
      <c r="N1511" s="276" t="s">
        <v>97</v>
      </c>
      <c r="O1511" s="286"/>
      <c r="Q1511" s="266" t="s">
        <v>9</v>
      </c>
      <c r="R1511" s="266" t="s">
        <v>106</v>
      </c>
      <c r="S1511" s="266"/>
      <c r="T1511" s="266"/>
      <c r="W1511" s="272" t="str">
        <f>IF(IFERROR(VLOOKUP($M1511,'IMPORT GS-Tür OL FL 2S2 20'!$H$2:$H$847,1,0),"-")="-","","GS")</f>
        <v>GS</v>
      </c>
      <c r="X1511" s="272" t="str">
        <f t="shared" si="112"/>
        <v/>
      </c>
      <c r="Z1511" s="273" t="str">
        <f>IF(OR($M1511="",NOT($O1511="{array}")),"",IFERROR(MATCH(PARAMETERS!$M1511,DEFAULT!$B$5:$CI$5,0),""))</f>
        <v/>
      </c>
      <c r="AA1511" s="272" t="str">
        <f t="shared" si="110"/>
        <v/>
      </c>
      <c r="AB1511" s="274" t="str">
        <f>IF(AND(OR($A1511="G",$A1511="P"),NOT($O1511="{array}")),IF(VLOOKUP($K1511,base!$B$2:$D$20,3,0)="S",IF(OR($O1511="",ISTEXT($O1511)),"","STRING!"),IF(VLOOKUP($K1511,base!$B$2:$D$20,3,0)="","",IF(ISTEXT($O1511),"NUMERIC!",""))),"")</f>
        <v/>
      </c>
      <c r="AC1511" s="275" t="str">
        <f>IF($AA1511="","",IF($B1511="I",VLOOKUP($AA1511,#REF!,53,0),INDEX(VALUES!$B$1:$GP$1,1,$AA1511)))</f>
        <v/>
      </c>
    </row>
    <row r="1512" spans="1:29" s="276" customFormat="1" hidden="1" outlineLevel="1">
      <c r="A1512" s="263"/>
      <c r="B1512" s="264" t="str">
        <f t="shared" si="111"/>
        <v/>
      </c>
      <c r="C1512" s="265">
        <f t="shared" si="113"/>
        <v>1511</v>
      </c>
      <c r="D1512" s="266"/>
      <c r="E1512" s="266"/>
      <c r="F1512" s="305" t="s">
        <v>9</v>
      </c>
      <c r="G1512" s="188"/>
      <c r="H1512" s="266"/>
      <c r="I1512" s="266" t="s">
        <v>9</v>
      </c>
      <c r="J1512" s="266"/>
      <c r="K1512" s="276" t="s">
        <v>20</v>
      </c>
      <c r="L1512" s="276" t="s">
        <v>23</v>
      </c>
      <c r="M1512" s="285" t="s">
        <v>2924</v>
      </c>
      <c r="N1512" s="276" t="s">
        <v>2925</v>
      </c>
      <c r="O1512" s="286"/>
      <c r="Q1512" s="266" t="s">
        <v>9</v>
      </c>
      <c r="R1512" s="266" t="s">
        <v>106</v>
      </c>
      <c r="S1512" s="266"/>
      <c r="T1512" s="266"/>
      <c r="W1512" s="272" t="str">
        <f>IF(IFERROR(VLOOKUP($M1512,'IMPORT GS-Tür OL FL 2S2 20'!$H$2:$H$847,1,0),"-")="-","","GS")</f>
        <v>GS</v>
      </c>
      <c r="X1512" s="272" t="str">
        <f t="shared" si="112"/>
        <v/>
      </c>
      <c r="Z1512" s="273" t="str">
        <f>IF(OR($M1512="",NOT($O1512="{array}")),"",IFERROR(MATCH(PARAMETERS!$M1512,DEFAULT!$B$5:$CI$5,0),""))</f>
        <v/>
      </c>
      <c r="AA1512" s="272" t="str">
        <f t="shared" si="110"/>
        <v/>
      </c>
      <c r="AB1512" s="274" t="str">
        <f>IF(AND(OR($A1512="G",$A1512="P"),NOT($O1512="{array}")),IF(VLOOKUP($K1512,base!$B$2:$D$20,3,0)="S",IF(OR($O1512="",ISTEXT($O1512)),"","STRING!"),IF(VLOOKUP($K1512,base!$B$2:$D$20,3,0)="","",IF(ISTEXT($O1512),"NUMERIC!",""))),"")</f>
        <v/>
      </c>
      <c r="AC1512" s="275" t="str">
        <f>IF($AA1512="","",IF($B1512="I",VLOOKUP($AA1512,#REF!,53,0),INDEX(VALUES!$B$1:$GP$1,1,$AA1512)))</f>
        <v/>
      </c>
    </row>
    <row r="1513" spans="1:29" s="276" customFormat="1" hidden="1" outlineLevel="1">
      <c r="A1513" s="263"/>
      <c r="B1513" s="264" t="str">
        <f t="shared" si="111"/>
        <v/>
      </c>
      <c r="C1513" s="265">
        <f t="shared" si="113"/>
        <v>1512</v>
      </c>
      <c r="D1513" s="266"/>
      <c r="E1513" s="266"/>
      <c r="F1513" s="305" t="s">
        <v>9</v>
      </c>
      <c r="G1513" s="188"/>
      <c r="H1513" s="266"/>
      <c r="I1513" s="266" t="s">
        <v>9</v>
      </c>
      <c r="J1513" s="266"/>
      <c r="K1513" s="276" t="s">
        <v>20</v>
      </c>
      <c r="L1513" s="276" t="s">
        <v>23</v>
      </c>
      <c r="M1513" s="285" t="s">
        <v>2926</v>
      </c>
      <c r="N1513" s="276" t="s">
        <v>2927</v>
      </c>
      <c r="O1513" s="286"/>
      <c r="Q1513" s="266" t="s">
        <v>9</v>
      </c>
      <c r="R1513" s="266" t="s">
        <v>106</v>
      </c>
      <c r="S1513" s="266"/>
      <c r="T1513" s="266"/>
      <c r="W1513" s="272" t="str">
        <f>IF(IFERROR(VLOOKUP($M1513,'IMPORT GS-Tür OL FL 2S2 20'!$H$2:$H$847,1,0),"-")="-","","GS")</f>
        <v>GS</v>
      </c>
      <c r="X1513" s="272" t="str">
        <f t="shared" si="112"/>
        <v/>
      </c>
      <c r="Z1513" s="273" t="str">
        <f>IF(OR($M1513="",NOT($O1513="{array}")),"",IFERROR(MATCH(PARAMETERS!$M1513,DEFAULT!$B$5:$CI$5,0),""))</f>
        <v/>
      </c>
      <c r="AA1513" s="272" t="str">
        <f t="shared" si="110"/>
        <v/>
      </c>
      <c r="AB1513" s="274" t="str">
        <f>IF(AND(OR($A1513="G",$A1513="P"),NOT($O1513="{array}")),IF(VLOOKUP($K1513,base!$B$2:$D$20,3,0)="S",IF(OR($O1513="",ISTEXT($O1513)),"","STRING!"),IF(VLOOKUP($K1513,base!$B$2:$D$20,3,0)="","",IF(ISTEXT($O1513),"NUMERIC!",""))),"")</f>
        <v/>
      </c>
      <c r="AC1513" s="275" t="str">
        <f>IF($AA1513="","",IF($B1513="I",VLOOKUP($AA1513,#REF!,53,0),INDEX(VALUES!$B$1:$GP$1,1,$AA1513)))</f>
        <v/>
      </c>
    </row>
    <row r="1514" spans="1:29" s="276" customFormat="1" hidden="1" outlineLevel="1">
      <c r="A1514" s="263"/>
      <c r="B1514" s="264" t="str">
        <f t="shared" si="111"/>
        <v/>
      </c>
      <c r="C1514" s="265">
        <f t="shared" si="113"/>
        <v>1513</v>
      </c>
      <c r="D1514" s="266"/>
      <c r="E1514" s="266"/>
      <c r="F1514" s="305" t="s">
        <v>9</v>
      </c>
      <c r="G1514" s="188"/>
      <c r="H1514" s="266"/>
      <c r="I1514" s="266" t="s">
        <v>9</v>
      </c>
      <c r="J1514" s="266"/>
      <c r="K1514" s="276" t="s">
        <v>20</v>
      </c>
      <c r="L1514" s="276" t="s">
        <v>23</v>
      </c>
      <c r="M1514" s="285" t="s">
        <v>2928</v>
      </c>
      <c r="N1514" s="276" t="s">
        <v>2929</v>
      </c>
      <c r="O1514" s="286"/>
      <c r="Q1514" s="266" t="s">
        <v>9</v>
      </c>
      <c r="R1514" s="266" t="s">
        <v>106</v>
      </c>
      <c r="S1514" s="266"/>
      <c r="T1514" s="266"/>
      <c r="W1514" s="272" t="str">
        <f>IF(IFERROR(VLOOKUP($M1514,'IMPORT GS-Tür OL FL 2S2 20'!$H$2:$H$847,1,0),"-")="-","","GS")</f>
        <v>GS</v>
      </c>
      <c r="X1514" s="272" t="str">
        <f t="shared" si="112"/>
        <v/>
      </c>
      <c r="Z1514" s="273" t="str">
        <f>IF(OR($M1514="",NOT($O1514="{array}")),"",IFERROR(MATCH(PARAMETERS!$M1514,DEFAULT!$B$5:$CI$5,0),""))</f>
        <v/>
      </c>
      <c r="AA1514" s="272" t="str">
        <f t="shared" si="110"/>
        <v/>
      </c>
      <c r="AB1514" s="274" t="str">
        <f>IF(AND(OR($A1514="G",$A1514="P"),NOT($O1514="{array}")),IF(VLOOKUP($K1514,base!$B$2:$D$20,3,0)="S",IF(OR($O1514="",ISTEXT($O1514)),"","STRING!"),IF(VLOOKUP($K1514,base!$B$2:$D$20,3,0)="","",IF(ISTEXT($O1514),"NUMERIC!",""))),"")</f>
        <v/>
      </c>
      <c r="AC1514" s="275" t="str">
        <f>IF($AA1514="","",IF($B1514="I",VLOOKUP($AA1514,#REF!,53,0),INDEX(VALUES!$B$1:$GP$1,1,$AA1514)))</f>
        <v/>
      </c>
    </row>
    <row r="1515" spans="1:29" s="276" customFormat="1" hidden="1" outlineLevel="1">
      <c r="A1515" s="263"/>
      <c r="B1515" s="264" t="str">
        <f t="shared" si="111"/>
        <v/>
      </c>
      <c r="C1515" s="265">
        <f t="shared" si="113"/>
        <v>1514</v>
      </c>
      <c r="D1515" s="266"/>
      <c r="E1515" s="266"/>
      <c r="F1515" s="305" t="s">
        <v>9</v>
      </c>
      <c r="G1515" s="188"/>
      <c r="H1515" s="266"/>
      <c r="I1515" s="266" t="s">
        <v>9</v>
      </c>
      <c r="J1515" s="266"/>
      <c r="K1515" s="276" t="s">
        <v>20</v>
      </c>
      <c r="L1515" s="276" t="s">
        <v>23</v>
      </c>
      <c r="M1515" s="285" t="s">
        <v>2930</v>
      </c>
      <c r="N1515" s="276" t="s">
        <v>2931</v>
      </c>
      <c r="O1515" s="286"/>
      <c r="Q1515" s="266" t="s">
        <v>9</v>
      </c>
      <c r="R1515" s="266" t="s">
        <v>106</v>
      </c>
      <c r="S1515" s="266"/>
      <c r="T1515" s="266"/>
      <c r="W1515" s="272" t="str">
        <f>IF(IFERROR(VLOOKUP($M1515,'IMPORT GS-Tür OL FL 2S2 20'!$H$2:$H$847,1,0),"-")="-","","GS")</f>
        <v>GS</v>
      </c>
      <c r="X1515" s="272" t="str">
        <f t="shared" si="112"/>
        <v/>
      </c>
      <c r="Z1515" s="273" t="str">
        <f>IF(OR($M1515="",NOT($O1515="{array}")),"",IFERROR(MATCH(PARAMETERS!$M1515,DEFAULT!$B$5:$CI$5,0),""))</f>
        <v/>
      </c>
      <c r="AA1515" s="272" t="str">
        <f t="shared" si="110"/>
        <v/>
      </c>
      <c r="AB1515" s="274" t="str">
        <f>IF(AND(OR($A1515="G",$A1515="P"),NOT($O1515="{array}")),IF(VLOOKUP($K1515,base!$B$2:$D$20,3,0)="S",IF(OR($O1515="",ISTEXT($O1515)),"","STRING!"),IF(VLOOKUP($K1515,base!$B$2:$D$20,3,0)="","",IF(ISTEXT($O1515),"NUMERIC!",""))),"")</f>
        <v/>
      </c>
      <c r="AC1515" s="275" t="str">
        <f>IF($AA1515="","",IF($B1515="I",VLOOKUP($AA1515,#REF!,53,0),INDEX(VALUES!$B$1:$GP$1,1,$AA1515)))</f>
        <v/>
      </c>
    </row>
    <row r="1516" spans="1:29" s="276" customFormat="1" hidden="1" outlineLevel="1">
      <c r="A1516" s="263"/>
      <c r="B1516" s="264" t="str">
        <f t="shared" si="111"/>
        <v/>
      </c>
      <c r="C1516" s="265">
        <f t="shared" si="113"/>
        <v>1515</v>
      </c>
      <c r="D1516" s="266"/>
      <c r="E1516" s="266"/>
      <c r="F1516" s="305" t="s">
        <v>9</v>
      </c>
      <c r="G1516" s="188"/>
      <c r="H1516" s="266"/>
      <c r="I1516" s="266" t="s">
        <v>9</v>
      </c>
      <c r="J1516" s="266"/>
      <c r="K1516" s="276" t="s">
        <v>20</v>
      </c>
      <c r="L1516" s="276" t="s">
        <v>23</v>
      </c>
      <c r="M1516" s="285" t="s">
        <v>2932</v>
      </c>
      <c r="N1516" s="276" t="s">
        <v>2933</v>
      </c>
      <c r="O1516" s="286"/>
      <c r="Q1516" s="266" t="s">
        <v>9</v>
      </c>
      <c r="R1516" s="266" t="s">
        <v>106</v>
      </c>
      <c r="S1516" s="266"/>
      <c r="T1516" s="266"/>
      <c r="W1516" s="272" t="str">
        <f>IF(IFERROR(VLOOKUP($M1516,'IMPORT GS-Tür OL FL 2S2 20'!$H$2:$H$847,1,0),"-")="-","","GS")</f>
        <v>GS</v>
      </c>
      <c r="X1516" s="272" t="str">
        <f t="shared" si="112"/>
        <v/>
      </c>
      <c r="Z1516" s="273" t="str">
        <f>IF(OR($M1516="",NOT($O1516="{array}")),"",IFERROR(MATCH(PARAMETERS!$M1516,DEFAULT!$B$5:$CI$5,0),""))</f>
        <v/>
      </c>
      <c r="AA1516" s="272" t="str">
        <f t="shared" si="110"/>
        <v/>
      </c>
      <c r="AB1516" s="274" t="str">
        <f>IF(AND(OR($A1516="G",$A1516="P"),NOT($O1516="{array}")),IF(VLOOKUP($K1516,base!$B$2:$D$20,3,0)="S",IF(OR($O1516="",ISTEXT($O1516)),"","STRING!"),IF(VLOOKUP($K1516,base!$B$2:$D$20,3,0)="","",IF(ISTEXT($O1516),"NUMERIC!",""))),"")</f>
        <v/>
      </c>
      <c r="AC1516" s="275" t="str">
        <f>IF($AA1516="","",IF($B1516="I",VLOOKUP($AA1516,#REF!,53,0),INDEX(VALUES!$B$1:$GP$1,1,$AA1516)))</f>
        <v/>
      </c>
    </row>
    <row r="1517" spans="1:29" s="276" customFormat="1" hidden="1" outlineLevel="1">
      <c r="A1517" s="263"/>
      <c r="B1517" s="264" t="str">
        <f t="shared" si="111"/>
        <v/>
      </c>
      <c r="C1517" s="265">
        <f t="shared" si="113"/>
        <v>1516</v>
      </c>
      <c r="D1517" s="266"/>
      <c r="E1517" s="266"/>
      <c r="F1517" s="305" t="s">
        <v>9</v>
      </c>
      <c r="G1517" s="188"/>
      <c r="H1517" s="266"/>
      <c r="I1517" s="266" t="s">
        <v>9</v>
      </c>
      <c r="J1517" s="266"/>
      <c r="K1517" s="276" t="s">
        <v>20</v>
      </c>
      <c r="L1517" s="276" t="s">
        <v>23</v>
      </c>
      <c r="M1517" s="285" t="s">
        <v>2934</v>
      </c>
      <c r="N1517" s="276" t="s">
        <v>2935</v>
      </c>
      <c r="O1517" s="286"/>
      <c r="Q1517" s="266" t="s">
        <v>9</v>
      </c>
      <c r="R1517" s="266" t="s">
        <v>106</v>
      </c>
      <c r="S1517" s="266"/>
      <c r="T1517" s="266"/>
      <c r="W1517" s="272" t="str">
        <f>IF(IFERROR(VLOOKUP($M1517,'IMPORT GS-Tür OL FL 2S2 20'!$H$2:$H$847,1,0),"-")="-","","GS")</f>
        <v>GS</v>
      </c>
      <c r="X1517" s="272" t="str">
        <f t="shared" si="112"/>
        <v/>
      </c>
      <c r="Z1517" s="273" t="str">
        <f>IF(OR($M1517="",NOT($O1517="{array}")),"",IFERROR(MATCH(PARAMETERS!$M1517,DEFAULT!$B$5:$CI$5,0),""))</f>
        <v/>
      </c>
      <c r="AA1517" s="272" t="str">
        <f t="shared" si="110"/>
        <v/>
      </c>
      <c r="AB1517" s="274" t="str">
        <f>IF(AND(OR($A1517="G",$A1517="P"),NOT($O1517="{array}")),IF(VLOOKUP($K1517,base!$B$2:$D$20,3,0)="S",IF(OR($O1517="",ISTEXT($O1517)),"","STRING!"),IF(VLOOKUP($K1517,base!$B$2:$D$20,3,0)="","",IF(ISTEXT($O1517),"NUMERIC!",""))),"")</f>
        <v/>
      </c>
      <c r="AC1517" s="275" t="str">
        <f>IF($AA1517="","",IF($B1517="I",VLOOKUP($AA1517,#REF!,53,0),INDEX(VALUES!$B$1:$GP$1,1,$AA1517)))</f>
        <v/>
      </c>
    </row>
    <row r="1518" spans="1:29" s="276" customFormat="1" hidden="1" outlineLevel="1">
      <c r="A1518" s="263"/>
      <c r="B1518" s="264" t="str">
        <f t="shared" si="111"/>
        <v/>
      </c>
      <c r="C1518" s="265">
        <f t="shared" si="113"/>
        <v>1517</v>
      </c>
      <c r="D1518" s="266"/>
      <c r="E1518" s="266"/>
      <c r="F1518" s="305" t="s">
        <v>9</v>
      </c>
      <c r="G1518" s="188"/>
      <c r="H1518" s="266"/>
      <c r="I1518" s="266" t="s">
        <v>9</v>
      </c>
      <c r="J1518" s="266"/>
      <c r="K1518" s="276" t="s">
        <v>20</v>
      </c>
      <c r="L1518" s="276" t="s">
        <v>23</v>
      </c>
      <c r="M1518" s="285" t="s">
        <v>2936</v>
      </c>
      <c r="N1518" s="276" t="s">
        <v>2937</v>
      </c>
      <c r="O1518" s="286"/>
      <c r="Q1518" s="266" t="s">
        <v>9</v>
      </c>
      <c r="R1518" s="266" t="s">
        <v>106</v>
      </c>
      <c r="S1518" s="266"/>
      <c r="T1518" s="266"/>
      <c r="W1518" s="272" t="str">
        <f>IF(IFERROR(VLOOKUP($M1518,'IMPORT GS-Tür OL FL 2S2 20'!$H$2:$H$847,1,0),"-")="-","","GS")</f>
        <v>GS</v>
      </c>
      <c r="X1518" s="272" t="str">
        <f t="shared" si="112"/>
        <v/>
      </c>
      <c r="Z1518" s="273" t="str">
        <f>IF(OR($M1518="",NOT($O1518="{array}")),"",IFERROR(MATCH(PARAMETERS!$M1518,DEFAULT!$B$5:$CI$5,0),""))</f>
        <v/>
      </c>
      <c r="AA1518" s="272" t="str">
        <f t="shared" si="110"/>
        <v/>
      </c>
      <c r="AB1518" s="274" t="str">
        <f>IF(AND(OR($A1518="G",$A1518="P"),NOT($O1518="{array}")),IF(VLOOKUP($K1518,base!$B$2:$D$20,3,0)="S",IF(OR($O1518="",ISTEXT($O1518)),"","STRING!"),IF(VLOOKUP($K1518,base!$B$2:$D$20,3,0)="","",IF(ISTEXT($O1518),"NUMERIC!",""))),"")</f>
        <v/>
      </c>
      <c r="AC1518" s="275" t="str">
        <f>IF($AA1518="","",IF($B1518="I",VLOOKUP($AA1518,#REF!,53,0),INDEX(VALUES!$B$1:$GP$1,1,$AA1518)))</f>
        <v/>
      </c>
    </row>
    <row r="1519" spans="1:29" s="276" customFormat="1" hidden="1" outlineLevel="1">
      <c r="A1519" s="263"/>
      <c r="B1519" s="264" t="str">
        <f t="shared" si="111"/>
        <v/>
      </c>
      <c r="C1519" s="265">
        <f t="shared" si="113"/>
        <v>1518</v>
      </c>
      <c r="D1519" s="266"/>
      <c r="E1519" s="266"/>
      <c r="F1519" s="305" t="s">
        <v>9</v>
      </c>
      <c r="G1519" s="188"/>
      <c r="H1519" s="266"/>
      <c r="I1519" s="266" t="s">
        <v>9</v>
      </c>
      <c r="J1519" s="266"/>
      <c r="K1519" s="276" t="s">
        <v>20</v>
      </c>
      <c r="L1519" s="276" t="s">
        <v>23</v>
      </c>
      <c r="M1519" s="285" t="s">
        <v>2938</v>
      </c>
      <c r="N1519" s="276" t="s">
        <v>2939</v>
      </c>
      <c r="O1519" s="286"/>
      <c r="Q1519" s="266" t="s">
        <v>9</v>
      </c>
      <c r="R1519" s="266" t="s">
        <v>106</v>
      </c>
      <c r="S1519" s="266"/>
      <c r="T1519" s="266"/>
      <c r="W1519" s="272" t="str">
        <f>IF(IFERROR(VLOOKUP($M1519,'IMPORT GS-Tür OL FL 2S2 20'!$H$2:$H$847,1,0),"-")="-","","GS")</f>
        <v>GS</v>
      </c>
      <c r="X1519" s="272" t="str">
        <f t="shared" si="112"/>
        <v/>
      </c>
      <c r="Z1519" s="273" t="str">
        <f>IF(OR($M1519="",NOT($O1519="{array}")),"",IFERROR(MATCH(PARAMETERS!$M1519,DEFAULT!$B$5:$CI$5,0),""))</f>
        <v/>
      </c>
      <c r="AA1519" s="272" t="str">
        <f t="shared" si="110"/>
        <v/>
      </c>
      <c r="AB1519" s="274" t="str">
        <f>IF(AND(OR($A1519="G",$A1519="P"),NOT($O1519="{array}")),IF(VLOOKUP($K1519,base!$B$2:$D$20,3,0)="S",IF(OR($O1519="",ISTEXT($O1519)),"","STRING!"),IF(VLOOKUP($K1519,base!$B$2:$D$20,3,0)="","",IF(ISTEXT($O1519),"NUMERIC!",""))),"")</f>
        <v/>
      </c>
      <c r="AC1519" s="275" t="str">
        <f>IF($AA1519="","",IF($B1519="I",VLOOKUP($AA1519,#REF!,53,0),INDEX(VALUES!$B$1:$GP$1,1,$AA1519)))</f>
        <v/>
      </c>
    </row>
    <row r="1520" spans="1:29" s="276" customFormat="1" hidden="1" outlineLevel="1">
      <c r="A1520" s="263"/>
      <c r="B1520" s="264" t="str">
        <f t="shared" si="111"/>
        <v/>
      </c>
      <c r="C1520" s="265">
        <f t="shared" si="113"/>
        <v>1519</v>
      </c>
      <c r="D1520" s="266"/>
      <c r="E1520" s="266"/>
      <c r="F1520" s="305" t="s">
        <v>9</v>
      </c>
      <c r="G1520" s="188"/>
      <c r="H1520" s="266"/>
      <c r="I1520" s="266" t="s">
        <v>9</v>
      </c>
      <c r="J1520" s="266"/>
      <c r="K1520" s="276" t="s">
        <v>20</v>
      </c>
      <c r="L1520" s="276" t="s">
        <v>23</v>
      </c>
      <c r="M1520" s="285" t="s">
        <v>2940</v>
      </c>
      <c r="N1520" s="276" t="s">
        <v>1873</v>
      </c>
      <c r="O1520" s="286"/>
      <c r="Q1520" s="266" t="s">
        <v>9</v>
      </c>
      <c r="R1520" s="266" t="s">
        <v>106</v>
      </c>
      <c r="S1520" s="266"/>
      <c r="T1520" s="266"/>
      <c r="W1520" s="272" t="str">
        <f>IF(IFERROR(VLOOKUP($M1520,'IMPORT GS-Tür OL FL 2S2 20'!$H$2:$H$847,1,0),"-")="-","","GS")</f>
        <v>GS</v>
      </c>
      <c r="X1520" s="272" t="str">
        <f t="shared" si="112"/>
        <v/>
      </c>
      <c r="Z1520" s="273" t="str">
        <f>IF(OR($M1520="",NOT($O1520="{array}")),"",IFERROR(MATCH(PARAMETERS!$M1520,DEFAULT!$B$5:$CI$5,0),""))</f>
        <v/>
      </c>
      <c r="AA1520" s="272" t="str">
        <f t="shared" ref="AA1520:AA1604" si="114">IF($M1520="","",IFERROR(MATCH($M1520,VALUESnames,0),""))</f>
        <v/>
      </c>
      <c r="AB1520" s="274" t="str">
        <f>IF(AND(OR($A1520="G",$A1520="P"),NOT($O1520="{array}")),IF(VLOOKUP($K1520,base!$B$2:$D$20,3,0)="S",IF(OR($O1520="",ISTEXT($O1520)),"","STRING!"),IF(VLOOKUP($K1520,base!$B$2:$D$20,3,0)="","",IF(ISTEXT($O1520),"NUMERIC!",""))),"")</f>
        <v/>
      </c>
      <c r="AC1520" s="275" t="str">
        <f>IF($AA1520="","",IF($B1520="I",VLOOKUP($AA1520,#REF!,53,0),INDEX(VALUES!$B$1:$GP$1,1,$AA1520)))</f>
        <v/>
      </c>
    </row>
    <row r="1521" spans="1:29" s="276" customFormat="1" hidden="1" outlineLevel="1">
      <c r="A1521" s="263"/>
      <c r="B1521" s="264" t="str">
        <f t="shared" si="111"/>
        <v/>
      </c>
      <c r="C1521" s="265">
        <f t="shared" si="113"/>
        <v>1520</v>
      </c>
      <c r="D1521" s="266"/>
      <c r="E1521" s="266"/>
      <c r="F1521" s="305" t="s">
        <v>9</v>
      </c>
      <c r="G1521" s="188"/>
      <c r="H1521" s="266"/>
      <c r="I1521" s="266" t="s">
        <v>9</v>
      </c>
      <c r="J1521" s="266"/>
      <c r="K1521" s="276" t="s">
        <v>20</v>
      </c>
      <c r="L1521" s="276" t="s">
        <v>23</v>
      </c>
      <c r="M1521" s="285" t="s">
        <v>2941</v>
      </c>
      <c r="N1521" s="276" t="s">
        <v>758</v>
      </c>
      <c r="O1521" s="286"/>
      <c r="Q1521" s="266" t="s">
        <v>9</v>
      </c>
      <c r="R1521" s="266" t="s">
        <v>106</v>
      </c>
      <c r="S1521" s="266"/>
      <c r="T1521" s="266"/>
      <c r="W1521" s="272" t="str">
        <f>IF(IFERROR(VLOOKUP($M1521,'IMPORT GS-Tür OL FL 2S2 20'!$H$2:$H$847,1,0),"-")="-","","GS")</f>
        <v>GS</v>
      </c>
      <c r="X1521" s="272" t="str">
        <f t="shared" si="112"/>
        <v/>
      </c>
      <c r="Z1521" s="273" t="str">
        <f>IF(OR($M1521="",NOT($O1521="{array}")),"",IFERROR(MATCH(PARAMETERS!$M1521,DEFAULT!$B$5:$CI$5,0),""))</f>
        <v/>
      </c>
      <c r="AA1521" s="272" t="str">
        <f t="shared" si="114"/>
        <v/>
      </c>
      <c r="AB1521" s="274" t="str">
        <f>IF(AND(OR($A1521="G",$A1521="P"),NOT($O1521="{array}")),IF(VLOOKUP($K1521,base!$B$2:$D$20,3,0)="S",IF(OR($O1521="",ISTEXT($O1521)),"","STRING!"),IF(VLOOKUP($K1521,base!$B$2:$D$20,3,0)="","",IF(ISTEXT($O1521),"NUMERIC!",""))),"")</f>
        <v/>
      </c>
      <c r="AC1521" s="275" t="str">
        <f>IF($AA1521="","",IF($B1521="I",VLOOKUP($AA1521,#REF!,53,0),INDEX(VALUES!$B$1:$GP$1,1,$AA1521)))</f>
        <v/>
      </c>
    </row>
    <row r="1522" spans="1:29" s="276" customFormat="1" hidden="1" outlineLevel="1">
      <c r="A1522" s="263"/>
      <c r="B1522" s="264" t="str">
        <f t="shared" si="111"/>
        <v/>
      </c>
      <c r="C1522" s="265">
        <f t="shared" si="113"/>
        <v>1521</v>
      </c>
      <c r="D1522" s="266"/>
      <c r="E1522" s="266"/>
      <c r="F1522" s="305" t="s">
        <v>9</v>
      </c>
      <c r="G1522" s="188"/>
      <c r="H1522" s="266"/>
      <c r="I1522" s="266" t="s">
        <v>9</v>
      </c>
      <c r="J1522" s="266"/>
      <c r="K1522" s="276" t="s">
        <v>20</v>
      </c>
      <c r="L1522" s="276" t="s">
        <v>23</v>
      </c>
      <c r="M1522" s="285" t="s">
        <v>2942</v>
      </c>
      <c r="N1522" s="276" t="s">
        <v>1160</v>
      </c>
      <c r="O1522" s="286"/>
      <c r="Q1522" s="266" t="s">
        <v>9</v>
      </c>
      <c r="R1522" s="266" t="s">
        <v>106</v>
      </c>
      <c r="S1522" s="266"/>
      <c r="T1522" s="266"/>
      <c r="W1522" s="272" t="str">
        <f>IF(IFERROR(VLOOKUP($M1522,'IMPORT GS-Tür OL FL 2S2 20'!$H$2:$H$847,1,0),"-")="-","","GS")</f>
        <v>GS</v>
      </c>
      <c r="X1522" s="272" t="str">
        <f t="shared" si="112"/>
        <v/>
      </c>
      <c r="Z1522" s="273" t="str">
        <f>IF(OR($M1522="",NOT($O1522="{array}")),"",IFERROR(MATCH(PARAMETERS!$M1522,DEFAULT!$B$5:$CI$5,0),""))</f>
        <v/>
      </c>
      <c r="AA1522" s="272" t="str">
        <f t="shared" si="114"/>
        <v/>
      </c>
      <c r="AB1522" s="274" t="str">
        <f>IF(AND(OR($A1522="G",$A1522="P"),NOT($O1522="{array}")),IF(VLOOKUP($K1522,base!$B$2:$D$20,3,0)="S",IF(OR($O1522="",ISTEXT($O1522)),"","STRING!"),IF(VLOOKUP($K1522,base!$B$2:$D$20,3,0)="","",IF(ISTEXT($O1522),"NUMERIC!",""))),"")</f>
        <v/>
      </c>
      <c r="AC1522" s="275" t="str">
        <f>IF($AA1522="","",IF($B1522="I",VLOOKUP($AA1522,#REF!,53,0),INDEX(VALUES!$B$1:$GP$1,1,$AA1522)))</f>
        <v/>
      </c>
    </row>
    <row r="1523" spans="1:29" s="276" customFormat="1" hidden="1" outlineLevel="1">
      <c r="A1523" s="263"/>
      <c r="B1523" s="264" t="str">
        <f t="shared" si="111"/>
        <v/>
      </c>
      <c r="C1523" s="265">
        <f t="shared" si="113"/>
        <v>1522</v>
      </c>
      <c r="D1523" s="266"/>
      <c r="E1523" s="266"/>
      <c r="F1523" s="305" t="s">
        <v>9</v>
      </c>
      <c r="G1523" s="188"/>
      <c r="H1523" s="266"/>
      <c r="I1523" s="266" t="s">
        <v>9</v>
      </c>
      <c r="J1523" s="266"/>
      <c r="K1523" s="276" t="s">
        <v>20</v>
      </c>
      <c r="L1523" s="276" t="s">
        <v>23</v>
      </c>
      <c r="M1523" s="285" t="s">
        <v>2943</v>
      </c>
      <c r="N1523" s="276" t="s">
        <v>2944</v>
      </c>
      <c r="O1523" s="286" t="s">
        <v>2945</v>
      </c>
      <c r="Q1523" s="266" t="s">
        <v>9</v>
      </c>
      <c r="R1523" s="266" t="s">
        <v>106</v>
      </c>
      <c r="S1523" s="266"/>
      <c r="T1523" s="266"/>
      <c r="W1523" s="272" t="str">
        <f>IF(IFERROR(VLOOKUP($M1523,'IMPORT GS-Tür OL FL 2S2 20'!$H$2:$H$847,1,0),"-")="-","","GS")</f>
        <v>GS</v>
      </c>
      <c r="X1523" s="272" t="str">
        <f t="shared" si="112"/>
        <v/>
      </c>
      <c r="Z1523" s="273" t="str">
        <f>IF(OR($M1523="",NOT($O1523="{array}")),"",IFERROR(MATCH(PARAMETERS!$M1523,DEFAULT!$B$5:$CI$5,0),""))</f>
        <v/>
      </c>
      <c r="AA1523" s="272" t="str">
        <f t="shared" si="114"/>
        <v/>
      </c>
      <c r="AB1523" s="274" t="str">
        <f>IF(AND(OR($A1523="G",$A1523="P"),NOT($O1523="{array}")),IF(VLOOKUP($K1523,base!$B$2:$D$20,3,0)="S",IF(OR($O1523="",ISTEXT($O1523)),"","STRING!"),IF(VLOOKUP($K1523,base!$B$2:$D$20,3,0)="","",IF(ISTEXT($O1523),"NUMERIC!",""))),"")</f>
        <v/>
      </c>
      <c r="AC1523" s="275" t="str">
        <f>IF($AA1523="","",IF($B1523="I",VLOOKUP($AA1523,#REF!,53,0),INDEX(VALUES!$B$1:$GP$1,1,$AA1523)))</f>
        <v/>
      </c>
    </row>
    <row r="1524" spans="1:29" s="276" customFormat="1" hidden="1" outlineLevel="1">
      <c r="A1524" s="263"/>
      <c r="B1524" s="264" t="str">
        <f t="shared" si="111"/>
        <v/>
      </c>
      <c r="C1524" s="265">
        <f t="shared" si="113"/>
        <v>1523</v>
      </c>
      <c r="D1524" s="266"/>
      <c r="E1524" s="266"/>
      <c r="F1524" s="305" t="s">
        <v>9</v>
      </c>
      <c r="G1524" s="188"/>
      <c r="H1524" s="266"/>
      <c r="I1524" s="266" t="s">
        <v>9</v>
      </c>
      <c r="J1524" s="266"/>
      <c r="K1524" s="276" t="s">
        <v>20</v>
      </c>
      <c r="L1524" s="276" t="s">
        <v>23</v>
      </c>
      <c r="M1524" s="285" t="s">
        <v>2946</v>
      </c>
      <c r="N1524" s="276" t="s">
        <v>2947</v>
      </c>
      <c r="O1524" s="286"/>
      <c r="Q1524" s="266" t="s">
        <v>9</v>
      </c>
      <c r="R1524" s="266" t="s">
        <v>106</v>
      </c>
      <c r="S1524" s="266"/>
      <c r="T1524" s="266"/>
      <c r="W1524" s="272" t="str">
        <f>IF(IFERROR(VLOOKUP($M1524,'IMPORT GS-Tür OL FL 2S2 20'!$H$2:$H$847,1,0),"-")="-","","GS")</f>
        <v>GS</v>
      </c>
      <c r="X1524" s="272" t="str">
        <f t="shared" si="112"/>
        <v/>
      </c>
      <c r="Z1524" s="273" t="str">
        <f>IF(OR($M1524="",NOT($O1524="{array}")),"",IFERROR(MATCH(PARAMETERS!$M1524,DEFAULT!$B$5:$CI$5,0),""))</f>
        <v/>
      </c>
      <c r="AA1524" s="272" t="str">
        <f t="shared" si="114"/>
        <v/>
      </c>
      <c r="AB1524" s="274" t="str">
        <f>IF(AND(OR($A1524="G",$A1524="P"),NOT($O1524="{array}")),IF(VLOOKUP($K1524,base!$B$2:$D$20,3,0)="S",IF(OR($O1524="",ISTEXT($O1524)),"","STRING!"),IF(VLOOKUP($K1524,base!$B$2:$D$20,3,0)="","",IF(ISTEXT($O1524),"NUMERIC!",""))),"")</f>
        <v/>
      </c>
      <c r="AC1524" s="275" t="str">
        <f>IF($AA1524="","",IF($B1524="I",VLOOKUP($AA1524,#REF!,53,0),INDEX(VALUES!$B$1:$GP$1,1,$AA1524)))</f>
        <v/>
      </c>
    </row>
    <row r="1525" spans="1:29" s="276" customFormat="1" hidden="1" outlineLevel="1">
      <c r="A1525" s="263"/>
      <c r="B1525" s="264" t="str">
        <f t="shared" si="111"/>
        <v/>
      </c>
      <c r="C1525" s="265">
        <f t="shared" si="113"/>
        <v>1524</v>
      </c>
      <c r="D1525" s="270"/>
      <c r="E1525" s="270"/>
      <c r="F1525" s="306" t="s">
        <v>9</v>
      </c>
      <c r="G1525" s="309"/>
      <c r="H1525" s="270"/>
      <c r="I1525" s="270" t="s">
        <v>9</v>
      </c>
      <c r="J1525" s="270"/>
      <c r="K1525" s="267" t="s">
        <v>20</v>
      </c>
      <c r="L1525" s="267" t="s">
        <v>23</v>
      </c>
      <c r="M1525" s="268" t="s">
        <v>2948</v>
      </c>
      <c r="N1525" s="267" t="s">
        <v>2949</v>
      </c>
      <c r="O1525" s="269"/>
      <c r="P1525" s="267"/>
      <c r="Q1525" s="270"/>
      <c r="R1525" s="270" t="s">
        <v>106</v>
      </c>
      <c r="S1525" s="270"/>
      <c r="T1525" s="270"/>
      <c r="U1525" s="267"/>
      <c r="V1525" s="267"/>
      <c r="W1525" s="271" t="str">
        <f>IF(IFERROR(VLOOKUP($M1525,'IMPORT GS-Tür OL FL 2S2 20'!$H$2:$H$847,1,0),"-")="-","","GS")</f>
        <v>GS</v>
      </c>
      <c r="X1525" s="272" t="str">
        <f t="shared" si="112"/>
        <v/>
      </c>
      <c r="Y1525" s="267"/>
      <c r="Z1525" s="273" t="str">
        <f>IF(OR($M1525="",NOT($O1525="{array}")),"",IFERROR(MATCH(PARAMETERS!$M1525,DEFAULT!$B$5:$CI$5,0),""))</f>
        <v/>
      </c>
      <c r="AA1525" s="272" t="str">
        <f t="shared" si="114"/>
        <v/>
      </c>
      <c r="AB1525" s="274" t="str">
        <f>IF(AND(OR($A1525="G",$A1525="P"),NOT($O1525="{array}")),IF(VLOOKUP($K1525,base!$B$2:$D$20,3,0)="S",IF(OR($O1525="",ISTEXT($O1525)),"","STRING!"),IF(VLOOKUP($K1525,base!$B$2:$D$20,3,0)="","",IF(ISTEXT($O1525),"NUMERIC!",""))),"")</f>
        <v/>
      </c>
      <c r="AC1525" s="275" t="str">
        <f>IF($AA1525="","",IF($B1525="I",VLOOKUP($AA1525,#REF!,53,0),INDEX(VALUES!$B$1:$GP$1,1,$AA1525)))</f>
        <v/>
      </c>
    </row>
    <row r="1526" spans="1:29" s="276" customFormat="1" hidden="1" outlineLevel="1">
      <c r="A1526" s="263"/>
      <c r="B1526" s="264" t="str">
        <f t="shared" si="111"/>
        <v/>
      </c>
      <c r="C1526" s="265">
        <f t="shared" si="113"/>
        <v>1525</v>
      </c>
      <c r="D1526" s="266"/>
      <c r="E1526" s="266"/>
      <c r="F1526" s="305" t="s">
        <v>9</v>
      </c>
      <c r="G1526" s="188"/>
      <c r="H1526" s="266"/>
      <c r="I1526" s="266" t="s">
        <v>9</v>
      </c>
      <c r="J1526" s="266"/>
      <c r="K1526" s="276" t="s">
        <v>20</v>
      </c>
      <c r="L1526" s="276" t="s">
        <v>23</v>
      </c>
      <c r="M1526" s="285" t="s">
        <v>2950</v>
      </c>
      <c r="N1526" s="276" t="s">
        <v>2951</v>
      </c>
      <c r="O1526" s="286"/>
      <c r="Q1526" s="266" t="s">
        <v>9</v>
      </c>
      <c r="R1526" s="266" t="s">
        <v>106</v>
      </c>
      <c r="S1526" s="266"/>
      <c r="T1526" s="266"/>
      <c r="W1526" s="272" t="str">
        <f>IF(IFERROR(VLOOKUP($M1526,'IMPORT GS-Tür OL FL 2S2 20'!$H$2:$H$847,1,0),"-")="-","","GS")</f>
        <v>GS</v>
      </c>
      <c r="X1526" s="272" t="str">
        <f t="shared" si="112"/>
        <v/>
      </c>
      <c r="Z1526" s="273" t="str">
        <f>IF(OR($M1526="",NOT($O1526="{array}")),"",IFERROR(MATCH(PARAMETERS!$M1526,DEFAULT!$B$5:$CI$5,0),""))</f>
        <v/>
      </c>
      <c r="AA1526" s="272" t="str">
        <f t="shared" si="114"/>
        <v/>
      </c>
      <c r="AB1526" s="274" t="str">
        <f>IF(AND(OR($A1526="G",$A1526="P"),NOT($O1526="{array}")),IF(VLOOKUP($K1526,base!$B$2:$D$20,3,0)="S",IF(OR($O1526="",ISTEXT($O1526)),"","STRING!"),IF(VLOOKUP($K1526,base!$B$2:$D$20,3,0)="","",IF(ISTEXT($O1526),"NUMERIC!",""))),"")</f>
        <v/>
      </c>
      <c r="AC1526" s="275" t="str">
        <f>IF($AA1526="","",IF($B1526="I",VLOOKUP($AA1526,#REF!,53,0),INDEX(VALUES!$B$1:$GP$1,1,$AA1526)))</f>
        <v/>
      </c>
    </row>
    <row r="1527" spans="1:29" s="276" customFormat="1" hidden="1" outlineLevel="1">
      <c r="A1527" s="263"/>
      <c r="B1527" s="264" t="str">
        <f t="shared" si="111"/>
        <v/>
      </c>
      <c r="C1527" s="265">
        <f t="shared" si="113"/>
        <v>1526</v>
      </c>
      <c r="D1527" s="266"/>
      <c r="E1527" s="266"/>
      <c r="F1527" s="305" t="s">
        <v>9</v>
      </c>
      <c r="G1527" s="188"/>
      <c r="H1527" s="266"/>
      <c r="I1527" s="266" t="s">
        <v>9</v>
      </c>
      <c r="J1527" s="266"/>
      <c r="K1527" s="276" t="s">
        <v>20</v>
      </c>
      <c r="L1527" s="276" t="s">
        <v>23</v>
      </c>
      <c r="M1527" s="285" t="s">
        <v>2952</v>
      </c>
      <c r="N1527" s="276" t="s">
        <v>2953</v>
      </c>
      <c r="O1527" s="286"/>
      <c r="Q1527" s="266" t="s">
        <v>9</v>
      </c>
      <c r="R1527" s="266" t="s">
        <v>106</v>
      </c>
      <c r="S1527" s="266"/>
      <c r="T1527" s="266"/>
      <c r="W1527" s="272" t="str">
        <f>IF(IFERROR(VLOOKUP($M1527,'IMPORT GS-Tür OL FL 2S2 20'!$H$2:$H$847,1,0),"-")="-","","GS")</f>
        <v>GS</v>
      </c>
      <c r="X1527" s="272" t="str">
        <f t="shared" si="112"/>
        <v/>
      </c>
      <c r="Z1527" s="273" t="str">
        <f>IF(OR($M1527="",NOT($O1527="{array}")),"",IFERROR(MATCH(PARAMETERS!$M1527,DEFAULT!$B$5:$CI$5,0),""))</f>
        <v/>
      </c>
      <c r="AA1527" s="272" t="str">
        <f t="shared" si="114"/>
        <v/>
      </c>
      <c r="AB1527" s="274" t="str">
        <f>IF(AND(OR($A1527="G",$A1527="P"),NOT($O1527="{array}")),IF(VLOOKUP($K1527,base!$B$2:$D$20,3,0)="S",IF(OR($O1527="",ISTEXT($O1527)),"","STRING!"),IF(VLOOKUP($K1527,base!$B$2:$D$20,3,0)="","",IF(ISTEXT($O1527),"NUMERIC!",""))),"")</f>
        <v/>
      </c>
      <c r="AC1527" s="275" t="str">
        <f>IF($AA1527="","",IF($B1527="I",VLOOKUP($AA1527,#REF!,53,0),INDEX(VALUES!$B$1:$GP$1,1,$AA1527)))</f>
        <v/>
      </c>
    </row>
    <row r="1528" spans="1:29" s="276" customFormat="1" hidden="1" outlineLevel="1">
      <c r="A1528" s="263"/>
      <c r="B1528" s="264" t="str">
        <f t="shared" si="111"/>
        <v/>
      </c>
      <c r="C1528" s="265">
        <f t="shared" si="113"/>
        <v>1527</v>
      </c>
      <c r="D1528" s="266"/>
      <c r="E1528" s="266"/>
      <c r="F1528" s="305" t="s">
        <v>9</v>
      </c>
      <c r="G1528" s="188"/>
      <c r="H1528" s="266"/>
      <c r="I1528" s="266" t="s">
        <v>9</v>
      </c>
      <c r="J1528" s="266"/>
      <c r="K1528" s="276" t="s">
        <v>20</v>
      </c>
      <c r="L1528" s="276" t="s">
        <v>23</v>
      </c>
      <c r="M1528" s="285" t="s">
        <v>2954</v>
      </c>
      <c r="N1528" s="276" t="s">
        <v>2955</v>
      </c>
      <c r="O1528" s="286"/>
      <c r="Q1528" s="266" t="s">
        <v>9</v>
      </c>
      <c r="R1528" s="266" t="s">
        <v>106</v>
      </c>
      <c r="S1528" s="266"/>
      <c r="T1528" s="266"/>
      <c r="W1528" s="272" t="str">
        <f>IF(IFERROR(VLOOKUP($M1528,'IMPORT GS-Tür OL FL 2S2 20'!$H$2:$H$847,1,0),"-")="-","","GS")</f>
        <v>GS</v>
      </c>
      <c r="X1528" s="272" t="str">
        <f t="shared" si="112"/>
        <v/>
      </c>
      <c r="Z1528" s="273" t="str">
        <f>IF(OR($M1528="",NOT($O1528="{array}")),"",IFERROR(MATCH(PARAMETERS!$M1528,DEFAULT!$B$5:$CI$5,0),""))</f>
        <v/>
      </c>
      <c r="AA1528" s="272" t="str">
        <f t="shared" si="114"/>
        <v/>
      </c>
      <c r="AB1528" s="274" t="str">
        <f>IF(AND(OR($A1528="G",$A1528="P"),NOT($O1528="{array}")),IF(VLOOKUP($K1528,base!$B$2:$D$20,3,0)="S",IF(OR($O1528="",ISTEXT($O1528)),"","STRING!"),IF(VLOOKUP($K1528,base!$B$2:$D$20,3,0)="","",IF(ISTEXT($O1528),"NUMERIC!",""))),"")</f>
        <v/>
      </c>
      <c r="AC1528" s="275" t="str">
        <f>IF($AA1528="","",IF($B1528="I",VLOOKUP($AA1528,#REF!,53,0),INDEX(VALUES!$B$1:$GP$1,1,$AA1528)))</f>
        <v/>
      </c>
    </row>
    <row r="1529" spans="1:29" s="276" customFormat="1" hidden="1" outlineLevel="1">
      <c r="A1529" s="263"/>
      <c r="B1529" s="264" t="str">
        <f t="shared" si="111"/>
        <v/>
      </c>
      <c r="C1529" s="265">
        <f t="shared" si="113"/>
        <v>1528</v>
      </c>
      <c r="D1529" s="266"/>
      <c r="E1529" s="266"/>
      <c r="F1529" s="305" t="s">
        <v>9</v>
      </c>
      <c r="G1529" s="188"/>
      <c r="H1529" s="266"/>
      <c r="I1529" s="266" t="s">
        <v>9</v>
      </c>
      <c r="J1529" s="266"/>
      <c r="K1529" s="276" t="s">
        <v>20</v>
      </c>
      <c r="L1529" s="276" t="s">
        <v>23</v>
      </c>
      <c r="M1529" s="285" t="s">
        <v>2956</v>
      </c>
      <c r="N1529" s="276" t="s">
        <v>2957</v>
      </c>
      <c r="O1529" s="286"/>
      <c r="Q1529" s="266" t="s">
        <v>9</v>
      </c>
      <c r="R1529" s="266" t="s">
        <v>106</v>
      </c>
      <c r="S1529" s="266"/>
      <c r="T1529" s="266"/>
      <c r="W1529" s="272" t="str">
        <f>IF(IFERROR(VLOOKUP($M1529,'IMPORT GS-Tür OL FL 2S2 20'!$H$2:$H$847,1,0),"-")="-","","GS")</f>
        <v>GS</v>
      </c>
      <c r="X1529" s="272" t="str">
        <f t="shared" si="112"/>
        <v/>
      </c>
      <c r="Z1529" s="273" t="str">
        <f>IF(OR($M1529="",NOT($O1529="{array}")),"",IFERROR(MATCH(PARAMETERS!$M1529,DEFAULT!$B$5:$CI$5,0),""))</f>
        <v/>
      </c>
      <c r="AA1529" s="272" t="str">
        <f t="shared" si="114"/>
        <v/>
      </c>
      <c r="AB1529" s="274" t="str">
        <f>IF(AND(OR($A1529="G",$A1529="P"),NOT($O1529="{array}")),IF(VLOOKUP($K1529,base!$B$2:$D$20,3,0)="S",IF(OR($O1529="",ISTEXT($O1529)),"","STRING!"),IF(VLOOKUP($K1529,base!$B$2:$D$20,3,0)="","",IF(ISTEXT($O1529),"NUMERIC!",""))),"")</f>
        <v/>
      </c>
      <c r="AC1529" s="275" t="str">
        <f>IF($AA1529="","",IF($B1529="I",VLOOKUP($AA1529,#REF!,53,0),INDEX(VALUES!$B$1:$GP$1,1,$AA1529)))</f>
        <v/>
      </c>
    </row>
    <row r="1530" spans="1:29" s="276" customFormat="1" hidden="1" outlineLevel="1">
      <c r="A1530" s="263"/>
      <c r="B1530" s="264" t="str">
        <f t="shared" si="111"/>
        <v/>
      </c>
      <c r="C1530" s="265">
        <f t="shared" si="113"/>
        <v>1529</v>
      </c>
      <c r="D1530" s="266"/>
      <c r="E1530" s="266"/>
      <c r="F1530" s="305" t="s">
        <v>9</v>
      </c>
      <c r="G1530" s="188"/>
      <c r="H1530" s="266"/>
      <c r="I1530" s="266" t="s">
        <v>9</v>
      </c>
      <c r="J1530" s="266"/>
      <c r="K1530" s="276" t="s">
        <v>20</v>
      </c>
      <c r="L1530" s="276" t="s">
        <v>23</v>
      </c>
      <c r="M1530" s="285" t="s">
        <v>2958</v>
      </c>
      <c r="N1530" s="276" t="s">
        <v>98</v>
      </c>
      <c r="O1530" s="286"/>
      <c r="Q1530" s="266" t="s">
        <v>9</v>
      </c>
      <c r="R1530" s="266" t="s">
        <v>106</v>
      </c>
      <c r="S1530" s="266"/>
      <c r="T1530" s="266"/>
      <c r="W1530" s="272" t="str">
        <f>IF(IFERROR(VLOOKUP($M1530,'IMPORT GS-Tür OL FL 2S2 20'!$H$2:$H$847,1,0),"-")="-","","GS")</f>
        <v>GS</v>
      </c>
      <c r="X1530" s="272" t="str">
        <f t="shared" si="112"/>
        <v/>
      </c>
      <c r="Z1530" s="273" t="str">
        <f>IF(OR($M1530="",NOT($O1530="{array}")),"",IFERROR(MATCH(PARAMETERS!$M1530,DEFAULT!$B$5:$CI$5,0),""))</f>
        <v/>
      </c>
      <c r="AA1530" s="272" t="str">
        <f t="shared" si="114"/>
        <v/>
      </c>
      <c r="AB1530" s="274" t="str">
        <f>IF(AND(OR($A1530="G",$A1530="P"),NOT($O1530="{array}")),IF(VLOOKUP($K1530,base!$B$2:$D$20,3,0)="S",IF(OR($O1530="",ISTEXT($O1530)),"","STRING!"),IF(VLOOKUP($K1530,base!$B$2:$D$20,3,0)="","",IF(ISTEXT($O1530),"NUMERIC!",""))),"")</f>
        <v/>
      </c>
      <c r="AC1530" s="275" t="str">
        <f>IF($AA1530="","",IF($B1530="I",VLOOKUP($AA1530,#REF!,53,0),INDEX(VALUES!$B$1:$GP$1,1,$AA1530)))</f>
        <v/>
      </c>
    </row>
    <row r="1531" spans="1:29" s="276" customFormat="1" hidden="1" outlineLevel="1">
      <c r="A1531" s="263"/>
      <c r="B1531" s="264" t="str">
        <f t="shared" ref="B1531:B1592" si="115">IF($A1531="P",IF(NOT($Z1531=""),"A",IF(NOT($AA1531=""),"I","")),IF(NOT($AA1531=""),IF($A1531="G","V","X"),IF(NOT($Z1531=""),"A","")))</f>
        <v/>
      </c>
      <c r="C1531" s="265">
        <f t="shared" si="113"/>
        <v>1530</v>
      </c>
      <c r="D1531" s="266"/>
      <c r="E1531" s="266"/>
      <c r="F1531" s="305" t="s">
        <v>9</v>
      </c>
      <c r="G1531" s="188"/>
      <c r="H1531" s="266"/>
      <c r="I1531" s="266" t="s">
        <v>9</v>
      </c>
      <c r="J1531" s="266"/>
      <c r="K1531" s="276" t="s">
        <v>20</v>
      </c>
      <c r="L1531" s="276" t="s">
        <v>23</v>
      </c>
      <c r="M1531" s="285" t="s">
        <v>2959</v>
      </c>
      <c r="N1531" s="276" t="s">
        <v>2960</v>
      </c>
      <c r="O1531" s="286"/>
      <c r="Q1531" s="266" t="s">
        <v>9</v>
      </c>
      <c r="R1531" s="266" t="s">
        <v>106</v>
      </c>
      <c r="S1531" s="266"/>
      <c r="T1531" s="266"/>
      <c r="W1531" s="272" t="str">
        <f>IF(IFERROR(VLOOKUP($M1531,'IMPORT GS-Tür OL FL 2S2 20'!$H$2:$H$847,1,0),"-")="-","","GS")</f>
        <v>GS</v>
      </c>
      <c r="X1531" s="272" t="str">
        <f t="shared" si="112"/>
        <v/>
      </c>
      <c r="Z1531" s="273" t="str">
        <f>IF(OR($M1531="",NOT($O1531="{array}")),"",IFERROR(MATCH(PARAMETERS!$M1531,DEFAULT!$B$5:$CI$5,0),""))</f>
        <v/>
      </c>
      <c r="AA1531" s="272" t="str">
        <f t="shared" si="114"/>
        <v/>
      </c>
      <c r="AB1531" s="274" t="str">
        <f>IF(AND(OR($A1531="G",$A1531="P"),NOT($O1531="{array}")),IF(VLOOKUP($K1531,base!$B$2:$D$20,3,0)="S",IF(OR($O1531="",ISTEXT($O1531)),"","STRING!"),IF(VLOOKUP($K1531,base!$B$2:$D$20,3,0)="","",IF(ISTEXT($O1531),"NUMERIC!",""))),"")</f>
        <v/>
      </c>
      <c r="AC1531" s="275" t="str">
        <f>IF($AA1531="","",IF($B1531="I",VLOOKUP($AA1531,#REF!,53,0),INDEX(VALUES!$B$1:$GP$1,1,$AA1531)))</f>
        <v/>
      </c>
    </row>
    <row r="1532" spans="1:29" s="276" customFormat="1" hidden="1" outlineLevel="1">
      <c r="A1532" s="263"/>
      <c r="B1532" s="264" t="str">
        <f t="shared" si="115"/>
        <v/>
      </c>
      <c r="C1532" s="265">
        <f t="shared" si="113"/>
        <v>1531</v>
      </c>
      <c r="D1532" s="266"/>
      <c r="E1532" s="266"/>
      <c r="F1532" s="305" t="s">
        <v>9</v>
      </c>
      <c r="G1532" s="188"/>
      <c r="H1532" s="266"/>
      <c r="I1532" s="266" t="s">
        <v>9</v>
      </c>
      <c r="J1532" s="266"/>
      <c r="K1532" s="276" t="s">
        <v>20</v>
      </c>
      <c r="L1532" s="276" t="s">
        <v>23</v>
      </c>
      <c r="M1532" s="285" t="s">
        <v>2961</v>
      </c>
      <c r="N1532" s="276" t="s">
        <v>2962</v>
      </c>
      <c r="O1532" s="286"/>
      <c r="Q1532" s="266" t="s">
        <v>9</v>
      </c>
      <c r="R1532" s="266" t="s">
        <v>106</v>
      </c>
      <c r="S1532" s="266"/>
      <c r="T1532" s="266"/>
      <c r="W1532" s="272" t="str">
        <f>IF(IFERROR(VLOOKUP($M1532,'IMPORT GS-Tür OL FL 2S2 20'!$H$2:$H$847,1,0),"-")="-","","GS")</f>
        <v>GS</v>
      </c>
      <c r="X1532" s="272" t="str">
        <f t="shared" si="112"/>
        <v/>
      </c>
      <c r="Z1532" s="273" t="str">
        <f>IF(OR($M1532="",NOT($O1532="{array}")),"",IFERROR(MATCH(PARAMETERS!$M1532,DEFAULT!$B$5:$CI$5,0),""))</f>
        <v/>
      </c>
      <c r="AA1532" s="272" t="str">
        <f t="shared" si="114"/>
        <v/>
      </c>
      <c r="AB1532" s="274" t="str">
        <f>IF(AND(OR($A1532="G",$A1532="P"),NOT($O1532="{array}")),IF(VLOOKUP($K1532,base!$B$2:$D$20,3,0)="S",IF(OR($O1532="",ISTEXT($O1532)),"","STRING!"),IF(VLOOKUP($K1532,base!$B$2:$D$20,3,0)="","",IF(ISTEXT($O1532),"NUMERIC!",""))),"")</f>
        <v/>
      </c>
      <c r="AC1532" s="275" t="str">
        <f>IF($AA1532="","",IF($B1532="I",VLOOKUP($AA1532,#REF!,53,0),INDEX(VALUES!$B$1:$GP$1,1,$AA1532)))</f>
        <v/>
      </c>
    </row>
    <row r="1533" spans="1:29" s="276" customFormat="1" hidden="1" outlineLevel="1">
      <c r="A1533" s="263"/>
      <c r="B1533" s="264" t="str">
        <f t="shared" si="115"/>
        <v/>
      </c>
      <c r="C1533" s="265">
        <f t="shared" si="113"/>
        <v>1532</v>
      </c>
      <c r="D1533" s="266"/>
      <c r="E1533" s="266"/>
      <c r="F1533" s="305" t="s">
        <v>9</v>
      </c>
      <c r="G1533" s="188"/>
      <c r="H1533" s="266"/>
      <c r="I1533" s="266" t="s">
        <v>9</v>
      </c>
      <c r="J1533" s="266"/>
      <c r="K1533" s="276" t="s">
        <v>20</v>
      </c>
      <c r="L1533" s="276" t="s">
        <v>23</v>
      </c>
      <c r="M1533" s="285" t="s">
        <v>2963</v>
      </c>
      <c r="N1533" s="276" t="s">
        <v>2964</v>
      </c>
      <c r="O1533" s="286"/>
      <c r="Q1533" s="266" t="s">
        <v>9</v>
      </c>
      <c r="R1533" s="266" t="s">
        <v>106</v>
      </c>
      <c r="S1533" s="266"/>
      <c r="T1533" s="266"/>
      <c r="W1533" s="272" t="str">
        <f>IF(IFERROR(VLOOKUP($M1533,'IMPORT GS-Tür OL FL 2S2 20'!$H$2:$H$847,1,0),"-")="-","","GS")</f>
        <v>GS</v>
      </c>
      <c r="X1533" s="272" t="str">
        <f t="shared" si="112"/>
        <v/>
      </c>
      <c r="Z1533" s="273" t="str">
        <f>IF(OR($M1533="",NOT($O1533="{array}")),"",IFERROR(MATCH(PARAMETERS!$M1533,DEFAULT!$B$5:$CI$5,0),""))</f>
        <v/>
      </c>
      <c r="AA1533" s="272" t="str">
        <f t="shared" si="114"/>
        <v/>
      </c>
      <c r="AB1533" s="274" t="str">
        <f>IF(AND(OR($A1533="G",$A1533="P"),NOT($O1533="{array}")),IF(VLOOKUP($K1533,base!$B$2:$D$20,3,0)="S",IF(OR($O1533="",ISTEXT($O1533)),"","STRING!"),IF(VLOOKUP($K1533,base!$B$2:$D$20,3,0)="","",IF(ISTEXT($O1533),"NUMERIC!",""))),"")</f>
        <v/>
      </c>
      <c r="AC1533" s="275" t="str">
        <f>IF($AA1533="","",IF($B1533="I",VLOOKUP($AA1533,#REF!,53,0),INDEX(VALUES!$B$1:$GP$1,1,$AA1533)))</f>
        <v/>
      </c>
    </row>
    <row r="1534" spans="1:29" s="276" customFormat="1" hidden="1" outlineLevel="1">
      <c r="A1534" s="263"/>
      <c r="B1534" s="264" t="str">
        <f t="shared" si="115"/>
        <v/>
      </c>
      <c r="C1534" s="265">
        <f t="shared" si="113"/>
        <v>1533</v>
      </c>
      <c r="D1534" s="266"/>
      <c r="E1534" s="266"/>
      <c r="F1534" s="305" t="s">
        <v>9</v>
      </c>
      <c r="G1534" s="188"/>
      <c r="H1534" s="266"/>
      <c r="I1534" s="266" t="s">
        <v>9</v>
      </c>
      <c r="J1534" s="266"/>
      <c r="K1534" s="276" t="s">
        <v>20</v>
      </c>
      <c r="L1534" s="276" t="s">
        <v>23</v>
      </c>
      <c r="M1534" s="285" t="s">
        <v>2965</v>
      </c>
      <c r="N1534" s="276" t="s">
        <v>2966</v>
      </c>
      <c r="O1534" s="286"/>
      <c r="Q1534" s="266" t="s">
        <v>9</v>
      </c>
      <c r="R1534" s="266" t="s">
        <v>106</v>
      </c>
      <c r="S1534" s="266"/>
      <c r="T1534" s="266"/>
      <c r="W1534" s="272" t="str">
        <f>IF(IFERROR(VLOOKUP($M1534,'IMPORT GS-Tür OL FL 2S2 20'!$H$2:$H$847,1,0),"-")="-","","GS")</f>
        <v>GS</v>
      </c>
      <c r="X1534" s="272" t="str">
        <f t="shared" si="112"/>
        <v/>
      </c>
      <c r="Z1534" s="273" t="str">
        <f>IF(OR($M1534="",NOT($O1534="{array}")),"",IFERROR(MATCH(PARAMETERS!$M1534,DEFAULT!$B$5:$CI$5,0),""))</f>
        <v/>
      </c>
      <c r="AA1534" s="272" t="str">
        <f t="shared" si="114"/>
        <v/>
      </c>
      <c r="AB1534" s="274" t="str">
        <f>IF(AND(OR($A1534="G",$A1534="P"),NOT($O1534="{array}")),IF(VLOOKUP($K1534,base!$B$2:$D$20,3,0)="S",IF(OR($O1534="",ISTEXT($O1534)),"","STRING!"),IF(VLOOKUP($K1534,base!$B$2:$D$20,3,0)="","",IF(ISTEXT($O1534),"NUMERIC!",""))),"")</f>
        <v/>
      </c>
      <c r="AC1534" s="275" t="str">
        <f>IF($AA1534="","",IF($B1534="I",VLOOKUP($AA1534,#REF!,53,0),INDEX(VALUES!$B$1:$GP$1,1,$AA1534)))</f>
        <v/>
      </c>
    </row>
    <row r="1535" spans="1:29" s="276" customFormat="1" hidden="1" outlineLevel="1">
      <c r="A1535" s="263"/>
      <c r="B1535" s="264" t="str">
        <f t="shared" si="115"/>
        <v/>
      </c>
      <c r="C1535" s="265">
        <f t="shared" si="113"/>
        <v>1534</v>
      </c>
      <c r="D1535" s="266"/>
      <c r="E1535" s="266"/>
      <c r="F1535" s="305" t="s">
        <v>9</v>
      </c>
      <c r="G1535" s="188"/>
      <c r="H1535" s="266"/>
      <c r="I1535" s="266" t="s">
        <v>9</v>
      </c>
      <c r="J1535" s="266"/>
      <c r="K1535" s="276" t="s">
        <v>20</v>
      </c>
      <c r="L1535" s="276" t="s">
        <v>23</v>
      </c>
      <c r="M1535" s="285" t="s">
        <v>2967</v>
      </c>
      <c r="N1535" s="276" t="s">
        <v>2968</v>
      </c>
      <c r="O1535" s="286"/>
      <c r="Q1535" s="266" t="s">
        <v>9</v>
      </c>
      <c r="R1535" s="266" t="s">
        <v>106</v>
      </c>
      <c r="S1535" s="266"/>
      <c r="T1535" s="266"/>
      <c r="W1535" s="272" t="str">
        <f>IF(IFERROR(VLOOKUP($M1535,'IMPORT GS-Tür OL FL 2S2 20'!$H$2:$H$847,1,0),"-")="-","","GS")</f>
        <v>GS</v>
      </c>
      <c r="X1535" s="272" t="str">
        <f t="shared" si="112"/>
        <v/>
      </c>
      <c r="Z1535" s="273" t="str">
        <f>IF(OR($M1535="",NOT($O1535="{array}")),"",IFERROR(MATCH(PARAMETERS!$M1535,DEFAULT!$B$5:$CI$5,0),""))</f>
        <v/>
      </c>
      <c r="AA1535" s="272" t="str">
        <f t="shared" si="114"/>
        <v/>
      </c>
      <c r="AB1535" s="274" t="str">
        <f>IF(AND(OR($A1535="G",$A1535="P"),NOT($O1535="{array}")),IF(VLOOKUP($K1535,base!$B$2:$D$20,3,0)="S",IF(OR($O1535="",ISTEXT($O1535)),"","STRING!"),IF(VLOOKUP($K1535,base!$B$2:$D$20,3,0)="","",IF(ISTEXT($O1535),"NUMERIC!",""))),"")</f>
        <v/>
      </c>
      <c r="AC1535" s="275" t="str">
        <f>IF($AA1535="","",IF($B1535="I",VLOOKUP($AA1535,#REF!,53,0),INDEX(VALUES!$B$1:$GP$1,1,$AA1535)))</f>
        <v/>
      </c>
    </row>
    <row r="1536" spans="1:29" s="276" customFormat="1" hidden="1" outlineLevel="1">
      <c r="A1536" s="263"/>
      <c r="B1536" s="264" t="str">
        <f t="shared" si="115"/>
        <v/>
      </c>
      <c r="C1536" s="265">
        <f t="shared" si="113"/>
        <v>1535</v>
      </c>
      <c r="D1536" s="266"/>
      <c r="E1536" s="266"/>
      <c r="F1536" s="305" t="s">
        <v>9</v>
      </c>
      <c r="G1536" s="188"/>
      <c r="H1536" s="266"/>
      <c r="I1536" s="266" t="s">
        <v>9</v>
      </c>
      <c r="J1536" s="266"/>
      <c r="K1536" s="276" t="s">
        <v>20</v>
      </c>
      <c r="L1536" s="276" t="s">
        <v>23</v>
      </c>
      <c r="M1536" s="285" t="s">
        <v>2969</v>
      </c>
      <c r="N1536" s="276" t="s">
        <v>2880</v>
      </c>
      <c r="O1536" s="286"/>
      <c r="Q1536" s="266" t="s">
        <v>9</v>
      </c>
      <c r="R1536" s="266" t="s">
        <v>106</v>
      </c>
      <c r="S1536" s="266"/>
      <c r="T1536" s="266"/>
      <c r="W1536" s="272" t="str">
        <f>IF(IFERROR(VLOOKUP($M1536,'IMPORT GS-Tür OL FL 2S2 20'!$H$2:$H$847,1,0),"-")="-","","GS")</f>
        <v>GS</v>
      </c>
      <c r="X1536" s="272" t="str">
        <f t="shared" si="112"/>
        <v/>
      </c>
      <c r="Z1536" s="273" t="str">
        <f>IF(OR($M1536="",NOT($O1536="{array}")),"",IFERROR(MATCH(PARAMETERS!$M1536,DEFAULT!$B$5:$CI$5,0),""))</f>
        <v/>
      </c>
      <c r="AA1536" s="272" t="str">
        <f t="shared" si="114"/>
        <v/>
      </c>
      <c r="AB1536" s="274" t="str">
        <f>IF(AND(OR($A1536="G",$A1536="P"),NOT($O1536="{array}")),IF(VLOOKUP($K1536,base!$B$2:$D$20,3,0)="S",IF(OR($O1536="",ISTEXT($O1536)),"","STRING!"),IF(VLOOKUP($K1536,base!$B$2:$D$20,3,0)="","",IF(ISTEXT($O1536),"NUMERIC!",""))),"")</f>
        <v/>
      </c>
      <c r="AC1536" s="275" t="str">
        <f>IF($AA1536="","",IF($B1536="I",VLOOKUP($AA1536,#REF!,53,0),INDEX(VALUES!$B$1:$GP$1,1,$AA1536)))</f>
        <v/>
      </c>
    </row>
    <row r="1537" spans="1:29" s="276" customFormat="1" hidden="1" outlineLevel="1">
      <c r="A1537" s="263"/>
      <c r="B1537" s="264" t="str">
        <f t="shared" si="115"/>
        <v/>
      </c>
      <c r="C1537" s="265">
        <f t="shared" si="113"/>
        <v>1536</v>
      </c>
      <c r="D1537" s="266"/>
      <c r="E1537" s="266"/>
      <c r="F1537" s="305" t="s">
        <v>9</v>
      </c>
      <c r="G1537" s="188"/>
      <c r="H1537" s="266"/>
      <c r="I1537" s="266" t="s">
        <v>9</v>
      </c>
      <c r="J1537" s="266"/>
      <c r="K1537" s="276" t="s">
        <v>20</v>
      </c>
      <c r="L1537" s="276" t="s">
        <v>23</v>
      </c>
      <c r="M1537" s="285" t="s">
        <v>2970</v>
      </c>
      <c r="N1537" s="276" t="s">
        <v>2971</v>
      </c>
      <c r="O1537" s="286"/>
      <c r="Q1537" s="266" t="s">
        <v>9</v>
      </c>
      <c r="R1537" s="266" t="s">
        <v>106</v>
      </c>
      <c r="S1537" s="266"/>
      <c r="T1537" s="266"/>
      <c r="W1537" s="272" t="str">
        <f>IF(IFERROR(VLOOKUP($M1537,'IMPORT GS-Tür OL FL 2S2 20'!$H$2:$H$847,1,0),"-")="-","","GS")</f>
        <v>GS</v>
      </c>
      <c r="X1537" s="272" t="str">
        <f t="shared" si="112"/>
        <v/>
      </c>
      <c r="Z1537" s="273" t="str">
        <f>IF(OR($M1537="",NOT($O1537="{array}")),"",IFERROR(MATCH(PARAMETERS!$M1537,DEFAULT!$B$5:$CI$5,0),""))</f>
        <v/>
      </c>
      <c r="AA1537" s="272" t="str">
        <f t="shared" si="114"/>
        <v/>
      </c>
      <c r="AB1537" s="274" t="str">
        <f>IF(AND(OR($A1537="G",$A1537="P"),NOT($O1537="{array}")),IF(VLOOKUP($K1537,base!$B$2:$D$20,3,0)="S",IF(OR($O1537="",ISTEXT($O1537)),"","STRING!"),IF(VLOOKUP($K1537,base!$B$2:$D$20,3,0)="","",IF(ISTEXT($O1537),"NUMERIC!",""))),"")</f>
        <v/>
      </c>
      <c r="AC1537" s="275" t="str">
        <f>IF($AA1537="","",IF($B1537="I",VLOOKUP($AA1537,#REF!,53,0),INDEX(VALUES!$B$1:$GP$1,1,$AA1537)))</f>
        <v/>
      </c>
    </row>
    <row r="1538" spans="1:29" s="276" customFormat="1" hidden="1" outlineLevel="1">
      <c r="A1538" s="263"/>
      <c r="B1538" s="264" t="str">
        <f t="shared" si="115"/>
        <v/>
      </c>
      <c r="C1538" s="265">
        <f t="shared" si="113"/>
        <v>1537</v>
      </c>
      <c r="D1538" s="266"/>
      <c r="E1538" s="266"/>
      <c r="F1538" s="305" t="s">
        <v>9</v>
      </c>
      <c r="G1538" s="188"/>
      <c r="H1538" s="266"/>
      <c r="I1538" s="266" t="s">
        <v>9</v>
      </c>
      <c r="J1538" s="266"/>
      <c r="K1538" s="276" t="s">
        <v>20</v>
      </c>
      <c r="L1538" s="276" t="s">
        <v>23</v>
      </c>
      <c r="M1538" s="285" t="s">
        <v>2972</v>
      </c>
      <c r="N1538" s="276" t="s">
        <v>2973</v>
      </c>
      <c r="O1538" s="286"/>
      <c r="Q1538" s="266" t="s">
        <v>9</v>
      </c>
      <c r="R1538" s="266" t="s">
        <v>106</v>
      </c>
      <c r="S1538" s="266"/>
      <c r="T1538" s="266"/>
      <c r="W1538" s="272" t="str">
        <f>IF(IFERROR(VLOOKUP($M1538,'IMPORT GS-Tür OL FL 2S2 20'!$H$2:$H$847,1,0),"-")="-","","GS")</f>
        <v>GS</v>
      </c>
      <c r="X1538" s="272" t="str">
        <f t="shared" si="112"/>
        <v/>
      </c>
      <c r="Z1538" s="273" t="str">
        <f>IF(OR($M1538="",NOT($O1538="{array}")),"",IFERROR(MATCH(PARAMETERS!$M1538,DEFAULT!$B$5:$CI$5,0),""))</f>
        <v/>
      </c>
      <c r="AA1538" s="272" t="str">
        <f t="shared" si="114"/>
        <v/>
      </c>
      <c r="AB1538" s="274" t="str">
        <f>IF(AND(OR($A1538="G",$A1538="P"),NOT($O1538="{array}")),IF(VLOOKUP($K1538,base!$B$2:$D$20,3,0)="S",IF(OR($O1538="",ISTEXT($O1538)),"","STRING!"),IF(VLOOKUP($K1538,base!$B$2:$D$20,3,0)="","",IF(ISTEXT($O1538),"NUMERIC!",""))),"")</f>
        <v/>
      </c>
      <c r="AC1538" s="275" t="str">
        <f>IF($AA1538="","",IF($B1538="I",VLOOKUP($AA1538,#REF!,53,0),INDEX(VALUES!$B$1:$GP$1,1,$AA1538)))</f>
        <v/>
      </c>
    </row>
    <row r="1539" spans="1:29" s="276" customFormat="1" hidden="1" outlineLevel="1">
      <c r="A1539" s="263"/>
      <c r="B1539" s="264" t="str">
        <f t="shared" si="115"/>
        <v/>
      </c>
      <c r="C1539" s="265">
        <f t="shared" si="113"/>
        <v>1538</v>
      </c>
      <c r="D1539" s="266"/>
      <c r="E1539" s="266"/>
      <c r="F1539" s="305" t="s">
        <v>9</v>
      </c>
      <c r="G1539" s="188"/>
      <c r="H1539" s="266"/>
      <c r="I1539" s="266" t="s">
        <v>9</v>
      </c>
      <c r="J1539" s="266"/>
      <c r="K1539" s="276" t="s">
        <v>20</v>
      </c>
      <c r="L1539" s="276" t="s">
        <v>23</v>
      </c>
      <c r="M1539" s="285" t="s">
        <v>2974</v>
      </c>
      <c r="N1539" s="276" t="s">
        <v>2975</v>
      </c>
      <c r="O1539" s="286" t="s">
        <v>2976</v>
      </c>
      <c r="Q1539" s="266" t="s">
        <v>9</v>
      </c>
      <c r="R1539" s="266" t="s">
        <v>106</v>
      </c>
      <c r="S1539" s="266"/>
      <c r="T1539" s="266"/>
      <c r="W1539" s="272" t="str">
        <f>IF(IFERROR(VLOOKUP($M1539,'IMPORT GS-Tür OL FL 2S2 20'!$H$2:$H$847,1,0),"-")="-","","GS")</f>
        <v>GS</v>
      </c>
      <c r="X1539" s="272" t="str">
        <f t="shared" si="112"/>
        <v/>
      </c>
      <c r="Z1539" s="273" t="str">
        <f>IF(OR($M1539="",NOT($O1539="{array}")),"",IFERROR(MATCH(PARAMETERS!$M1539,DEFAULT!$B$5:$CI$5,0),""))</f>
        <v/>
      </c>
      <c r="AA1539" s="272" t="str">
        <f t="shared" si="114"/>
        <v/>
      </c>
      <c r="AB1539" s="274" t="str">
        <f>IF(AND(OR($A1539="G",$A1539="P"),NOT($O1539="{array}")),IF(VLOOKUP($K1539,base!$B$2:$D$20,3,0)="S",IF(OR($O1539="",ISTEXT($O1539)),"","STRING!"),IF(VLOOKUP($K1539,base!$B$2:$D$20,3,0)="","",IF(ISTEXT($O1539),"NUMERIC!",""))),"")</f>
        <v/>
      </c>
      <c r="AC1539" s="275" t="str">
        <f>IF($AA1539="","",IF($B1539="I",VLOOKUP($AA1539,#REF!,53,0),INDEX(VALUES!$B$1:$GP$1,1,$AA1539)))</f>
        <v/>
      </c>
    </row>
    <row r="1540" spans="1:29" s="276" customFormat="1" hidden="1" outlineLevel="1">
      <c r="A1540" s="263"/>
      <c r="B1540" s="264" t="str">
        <f t="shared" si="115"/>
        <v/>
      </c>
      <c r="C1540" s="265">
        <f t="shared" si="113"/>
        <v>1539</v>
      </c>
      <c r="D1540" s="266"/>
      <c r="E1540" s="266"/>
      <c r="F1540" s="305" t="s">
        <v>9</v>
      </c>
      <c r="G1540" s="188"/>
      <c r="H1540" s="266"/>
      <c r="I1540" s="266" t="s">
        <v>9</v>
      </c>
      <c r="J1540" s="266"/>
      <c r="K1540" s="276" t="s">
        <v>20</v>
      </c>
      <c r="L1540" s="276" t="s">
        <v>23</v>
      </c>
      <c r="M1540" s="285" t="s">
        <v>2977</v>
      </c>
      <c r="N1540" s="276" t="s">
        <v>2978</v>
      </c>
      <c r="O1540" s="286"/>
      <c r="Q1540" s="266" t="s">
        <v>9</v>
      </c>
      <c r="R1540" s="266" t="s">
        <v>106</v>
      </c>
      <c r="S1540" s="266"/>
      <c r="T1540" s="266"/>
      <c r="W1540" s="272" t="str">
        <f>IF(IFERROR(VLOOKUP($M1540,'IMPORT GS-Tür OL FL 2S2 20'!$H$2:$H$847,1,0),"-")="-","","GS")</f>
        <v>GS</v>
      </c>
      <c r="X1540" s="272" t="str">
        <f t="shared" si="112"/>
        <v/>
      </c>
      <c r="Z1540" s="273" t="str">
        <f>IF(OR($M1540="",NOT($O1540="{array}")),"",IFERROR(MATCH(PARAMETERS!$M1540,DEFAULT!$B$5:$CI$5,0),""))</f>
        <v/>
      </c>
      <c r="AA1540" s="272" t="str">
        <f t="shared" si="114"/>
        <v/>
      </c>
      <c r="AB1540" s="274" t="str">
        <f>IF(AND(OR($A1540="G",$A1540="P"),NOT($O1540="{array}")),IF(VLOOKUP($K1540,base!$B$2:$D$20,3,0)="S",IF(OR($O1540="",ISTEXT($O1540)),"","STRING!"),IF(VLOOKUP($K1540,base!$B$2:$D$20,3,0)="","",IF(ISTEXT($O1540),"NUMERIC!",""))),"")</f>
        <v/>
      </c>
      <c r="AC1540" s="275" t="str">
        <f>IF($AA1540="","",IF($B1540="I",VLOOKUP($AA1540,#REF!,53,0),INDEX(VALUES!$B$1:$GP$1,1,$AA1540)))</f>
        <v/>
      </c>
    </row>
    <row r="1541" spans="1:29" s="276" customFormat="1" hidden="1" outlineLevel="1">
      <c r="A1541" s="263"/>
      <c r="B1541" s="264" t="str">
        <f t="shared" si="115"/>
        <v/>
      </c>
      <c r="C1541" s="265">
        <f t="shared" si="113"/>
        <v>1540</v>
      </c>
      <c r="D1541" s="266"/>
      <c r="E1541" s="266"/>
      <c r="F1541" s="305" t="s">
        <v>9</v>
      </c>
      <c r="G1541" s="188"/>
      <c r="H1541" s="266"/>
      <c r="I1541" s="266" t="s">
        <v>9</v>
      </c>
      <c r="J1541" s="266"/>
      <c r="K1541" s="276" t="s">
        <v>20</v>
      </c>
      <c r="L1541" s="276" t="s">
        <v>23</v>
      </c>
      <c r="M1541" s="285" t="s">
        <v>2979</v>
      </c>
      <c r="N1541" s="276" t="s">
        <v>2980</v>
      </c>
      <c r="O1541" s="286" t="s">
        <v>2976</v>
      </c>
      <c r="Q1541" s="266" t="s">
        <v>9</v>
      </c>
      <c r="R1541" s="266" t="s">
        <v>106</v>
      </c>
      <c r="S1541" s="266"/>
      <c r="T1541" s="266"/>
      <c r="W1541" s="272" t="str">
        <f>IF(IFERROR(VLOOKUP($M1541,'IMPORT GS-Tür OL FL 2S2 20'!$H$2:$H$847,1,0),"-")="-","","GS")</f>
        <v>GS</v>
      </c>
      <c r="X1541" s="272" t="str">
        <f t="shared" si="112"/>
        <v/>
      </c>
      <c r="Z1541" s="273" t="str">
        <f>IF(OR($M1541="",NOT($O1541="{array}")),"",IFERROR(MATCH(PARAMETERS!$M1541,DEFAULT!$B$5:$CI$5,0),""))</f>
        <v/>
      </c>
      <c r="AA1541" s="272" t="str">
        <f t="shared" si="114"/>
        <v/>
      </c>
      <c r="AB1541" s="274" t="str">
        <f>IF(AND(OR($A1541="G",$A1541="P"),NOT($O1541="{array}")),IF(VLOOKUP($K1541,base!$B$2:$D$20,3,0)="S",IF(OR($O1541="",ISTEXT($O1541)),"","STRING!"),IF(VLOOKUP($K1541,base!$B$2:$D$20,3,0)="","",IF(ISTEXT($O1541),"NUMERIC!",""))),"")</f>
        <v/>
      </c>
      <c r="AC1541" s="275" t="str">
        <f>IF($AA1541="","",IF($B1541="I",VLOOKUP($AA1541,#REF!,53,0),INDEX(VALUES!$B$1:$GP$1,1,$AA1541)))</f>
        <v/>
      </c>
    </row>
    <row r="1542" spans="1:29" s="276" customFormat="1" hidden="1" outlineLevel="1">
      <c r="A1542" s="263"/>
      <c r="B1542" s="264" t="str">
        <f t="shared" si="115"/>
        <v/>
      </c>
      <c r="C1542" s="265">
        <f t="shared" si="113"/>
        <v>1541</v>
      </c>
      <c r="D1542" s="266"/>
      <c r="E1542" s="266"/>
      <c r="F1542" s="305"/>
      <c r="G1542" s="188"/>
      <c r="H1542" s="266"/>
      <c r="I1542" s="266" t="s">
        <v>9</v>
      </c>
      <c r="J1542" s="266"/>
      <c r="K1542" s="276" t="s">
        <v>20</v>
      </c>
      <c r="L1542" s="276" t="s">
        <v>23</v>
      </c>
      <c r="M1542" s="285" t="s">
        <v>2981</v>
      </c>
      <c r="N1542" s="276" t="s">
        <v>2982</v>
      </c>
      <c r="O1542" s="286"/>
      <c r="R1542" s="266" t="s">
        <v>106</v>
      </c>
      <c r="S1542" s="266"/>
      <c r="T1542" s="266"/>
      <c r="W1542" s="272" t="str">
        <f>IF(IFERROR(VLOOKUP($M1542,'IMPORT GS-Tür OL FL 2S2 20'!$H$2:$H$847,1,0),"-")="-","","GS")</f>
        <v>GS</v>
      </c>
      <c r="X1542" s="272" t="str">
        <f t="shared" si="112"/>
        <v/>
      </c>
      <c r="Z1542" s="273" t="str">
        <f>IF(OR($M1542="",NOT($O1542="{array}")),"",IFERROR(MATCH(PARAMETERS!$M1542,DEFAULT!$B$5:$CI$5,0),""))</f>
        <v/>
      </c>
      <c r="AA1542" s="272" t="str">
        <f t="shared" si="114"/>
        <v/>
      </c>
      <c r="AB1542" s="274" t="str">
        <f>IF(AND(OR($A1542="G",$A1542="P"),NOT($O1542="{array}")),IF(VLOOKUP($K1542,base!$B$2:$D$20,3,0)="S",IF(OR($O1542="",ISTEXT($O1542)),"","STRING!"),IF(VLOOKUP($K1542,base!$B$2:$D$20,3,0)="","",IF(ISTEXT($O1542),"NUMERIC!",""))),"")</f>
        <v/>
      </c>
      <c r="AC1542" s="275" t="str">
        <f>IF($AA1542="","",IF($B1542="I",VLOOKUP($AA1542,#REF!,53,0),INDEX(VALUES!$B$1:$GP$1,1,$AA1542)))</f>
        <v/>
      </c>
    </row>
    <row r="1543" spans="1:29" collapsed="1">
      <c r="A1543" s="21"/>
      <c r="B1543" s="40" t="str">
        <f t="shared" si="115"/>
        <v/>
      </c>
      <c r="C1543" s="41">
        <f t="shared" si="113"/>
        <v>1542</v>
      </c>
      <c r="D1543" s="260"/>
      <c r="E1543" s="37"/>
      <c r="F1543" s="305" t="s">
        <v>9</v>
      </c>
      <c r="G1543" s="188" t="s">
        <v>9</v>
      </c>
      <c r="H1543" s="37"/>
      <c r="I1543" s="37"/>
      <c r="J1543" s="37"/>
      <c r="K1543" s="13" t="s">
        <v>59</v>
      </c>
      <c r="L1543" s="13" t="s">
        <v>40</v>
      </c>
      <c r="M1543" s="47" t="s">
        <v>2983</v>
      </c>
      <c r="N1543" s="40" t="s">
        <v>110</v>
      </c>
      <c r="R1543" s="37" t="s">
        <v>106</v>
      </c>
      <c r="S1543" s="37"/>
      <c r="T1543" s="37"/>
      <c r="W1543" s="14" t="str">
        <f>IF(IFERROR(VLOOKUP($M1543,'IMPORT GS-Tür OL FL 2S2 20'!$H$2:$H$847,1,0),"-")="-","","GS")</f>
        <v/>
      </c>
      <c r="X1543" s="14" t="str">
        <f t="shared" si="112"/>
        <v/>
      </c>
      <c r="Y1543" s="52" t="s">
        <v>2984</v>
      </c>
      <c r="Z1543" s="58" t="str">
        <f>IF(OR($M1543="",NOT($O1543="{array}")),"",IFERROR(MATCH(PARAMETERS!$M1543,DEFAULT!$B$5:$CI$5,0),""))</f>
        <v/>
      </c>
      <c r="AA1543" s="55" t="str">
        <f t="shared" si="114"/>
        <v/>
      </c>
      <c r="AB1543" s="62" t="str">
        <f>IF(AND(OR($A1543="G",$A1543="P"),NOT($O1543="{array}")),IF(VLOOKUP($K1543,base!$B$2:$D$20,3,0)="S",IF(OR($O1543="",ISTEXT($O1543)),"","STRING!"),IF(VLOOKUP($K1543,base!$B$2:$D$20,3,0)="","",IF(ISTEXT($O1543),"NUMERIC!",""))),"")</f>
        <v/>
      </c>
      <c r="AC1543" s="16" t="str">
        <f>IF($AA1543="","",IF($B1543="I",VLOOKUP($AA1543,#REF!,53,0),INDEX(VALUES!$B$1:$GP$1,1,$AA1543)))</f>
        <v/>
      </c>
    </row>
    <row r="1544" spans="1:29" hidden="1" outlineLevel="1">
      <c r="A1544" s="21"/>
      <c r="B1544" s="40" t="str">
        <f t="shared" si="115"/>
        <v/>
      </c>
      <c r="C1544" s="41">
        <f t="shared" si="113"/>
        <v>1543</v>
      </c>
      <c r="D1544" s="260"/>
      <c r="E1544" s="37"/>
      <c r="F1544" s="305" t="s">
        <v>9</v>
      </c>
      <c r="G1544" s="188"/>
      <c r="H1544" s="37"/>
      <c r="I1544" s="37" t="s">
        <v>9</v>
      </c>
      <c r="J1544" s="37" t="s">
        <v>9</v>
      </c>
      <c r="K1544" s="13" t="s">
        <v>20</v>
      </c>
      <c r="L1544" s="13" t="s">
        <v>29</v>
      </c>
      <c r="M1544" s="19" t="s">
        <v>2985</v>
      </c>
      <c r="N1544" s="13" t="s">
        <v>2986</v>
      </c>
      <c r="O1544" s="42" t="s">
        <v>2987</v>
      </c>
      <c r="Q1544" s="37" t="s">
        <v>9</v>
      </c>
      <c r="R1544" s="37" t="s">
        <v>106</v>
      </c>
      <c r="S1544" s="37"/>
      <c r="T1544" s="37"/>
      <c r="W1544" s="14" t="str">
        <f>IF(IFERROR(VLOOKUP($M1544,'IMPORT GS-Tür OL FL 2S2 20'!$H$2:$H$847,1,0),"-")="-","","GS")</f>
        <v>GS</v>
      </c>
      <c r="X1544" s="14" t="str">
        <f t="shared" si="112"/>
        <v/>
      </c>
      <c r="Z1544" s="58" t="str">
        <f>IF(OR($M1544="",NOT($O1544="{array}")),"",IFERROR(MATCH(PARAMETERS!$M1544,DEFAULT!$B$5:$CI$5,0),""))</f>
        <v/>
      </c>
      <c r="AA1544" s="55" t="str">
        <f t="shared" si="114"/>
        <v/>
      </c>
      <c r="AB1544" s="62" t="str">
        <f>IF(AND(OR($A1544="G",$A1544="P"),NOT($O1544="{array}")),IF(VLOOKUP($K1544,base!$B$2:$D$20,3,0)="S",IF(OR($O1544="",ISTEXT($O1544)),"","STRING!"),IF(VLOOKUP($K1544,base!$B$2:$D$20,3,0)="","",IF(ISTEXT($O1544),"NUMERIC!",""))),"")</f>
        <v/>
      </c>
      <c r="AC1544" s="16" t="str">
        <f>IF($AA1544="","",IF($B1544="I",VLOOKUP($AA1544,#REF!,53,0),INDEX(VALUES!$B$1:$GP$1,1,$AA1544)))</f>
        <v/>
      </c>
    </row>
    <row r="1545" spans="1:29" hidden="1" outlineLevel="1">
      <c r="A1545" s="21"/>
      <c r="B1545" s="40" t="str">
        <f t="shared" si="115"/>
        <v/>
      </c>
      <c r="C1545" s="41">
        <f t="shared" si="113"/>
        <v>1544</v>
      </c>
      <c r="D1545" s="260"/>
      <c r="E1545" s="37"/>
      <c r="F1545" s="305" t="s">
        <v>9</v>
      </c>
      <c r="G1545" s="188" t="s">
        <v>9</v>
      </c>
      <c r="H1545" s="37"/>
      <c r="I1545" s="37" t="s">
        <v>9</v>
      </c>
      <c r="J1545" s="37" t="s">
        <v>9</v>
      </c>
      <c r="K1545" s="13" t="s">
        <v>46</v>
      </c>
      <c r="L1545" s="13" t="s">
        <v>29</v>
      </c>
      <c r="M1545" s="19" t="s">
        <v>2988</v>
      </c>
      <c r="N1545" s="13" t="s">
        <v>2986</v>
      </c>
      <c r="O1545" s="42">
        <v>2</v>
      </c>
      <c r="Q1545" s="37" t="s">
        <v>9</v>
      </c>
      <c r="R1545" s="37" t="s">
        <v>106</v>
      </c>
      <c r="S1545" s="37"/>
      <c r="T1545" s="37"/>
      <c r="W1545" s="14" t="str">
        <f>IF(IFERROR(VLOOKUP($M1545,'IMPORT GS-Tür OL FL 2S2 20'!$H$2:$H$847,1,0),"-")="-","","GS")</f>
        <v>GS</v>
      </c>
      <c r="X1545" s="14" t="str">
        <f t="shared" si="112"/>
        <v/>
      </c>
      <c r="Z1545" s="58" t="str">
        <f>IF(OR($M1545="",NOT($O1545="{array}")),"",IFERROR(MATCH(PARAMETERS!$M1545,DEFAULT!$B$5:$CI$5,0),""))</f>
        <v/>
      </c>
      <c r="AA1545" s="55" t="str">
        <f t="shared" si="114"/>
        <v/>
      </c>
      <c r="AB1545" s="62" t="str">
        <f>IF(AND(OR($A1545="G",$A1545="P"),NOT($O1545="{array}")),IF(VLOOKUP($K1545,base!$B$2:$D$20,3,0)="S",IF(OR($O1545="",ISTEXT($O1545)),"","STRING!"),IF(VLOOKUP($K1545,base!$B$2:$D$20,3,0)="","",IF(ISTEXT($O1545),"NUMERIC!",""))),"")</f>
        <v/>
      </c>
      <c r="AC1545" s="16" t="str">
        <f>IF($AA1545="","",IF($B1545="I",VLOOKUP($AA1545,#REF!,53,0),INDEX(VALUES!$B$1:$GP$1,1,$AA1545)))</f>
        <v/>
      </c>
    </row>
    <row r="1546" spans="1:29" hidden="1" outlineLevel="1">
      <c r="A1546" s="21"/>
      <c r="B1546" s="40" t="str">
        <f t="shared" si="115"/>
        <v/>
      </c>
      <c r="C1546" s="41">
        <f t="shared" si="113"/>
        <v>1545</v>
      </c>
      <c r="D1546" s="260"/>
      <c r="E1546" s="37"/>
      <c r="F1546" s="305"/>
      <c r="G1546" s="188" t="s">
        <v>9</v>
      </c>
      <c r="H1546" s="37"/>
      <c r="I1546" s="37" t="s">
        <v>9</v>
      </c>
      <c r="J1546" s="37" t="s">
        <v>9</v>
      </c>
      <c r="K1546" s="13" t="s">
        <v>26</v>
      </c>
      <c r="L1546" s="13" t="s">
        <v>29</v>
      </c>
      <c r="M1546" s="19" t="s">
        <v>2989</v>
      </c>
      <c r="O1546" s="42">
        <v>0</v>
      </c>
      <c r="Q1546" s="37" t="s">
        <v>9</v>
      </c>
      <c r="R1546" s="37" t="s">
        <v>106</v>
      </c>
      <c r="S1546" s="37"/>
      <c r="T1546" s="37"/>
      <c r="W1546" s="14" t="str">
        <f>IF(IFERROR(VLOOKUP($M1546,'IMPORT GS-Tür OL FL 2S2 20'!$H$2:$H$847,1,0),"-")="-","","GS")</f>
        <v>GS</v>
      </c>
      <c r="X1546" s="14" t="str">
        <f t="shared" si="112"/>
        <v/>
      </c>
      <c r="Z1546" s="58" t="str">
        <f>IF(OR($M1546="",NOT($O1546="{array}")),"",IFERROR(MATCH(PARAMETERS!$M1546,DEFAULT!$B$5:$CI$5,0),""))</f>
        <v/>
      </c>
      <c r="AA1546" s="55" t="str">
        <f t="shared" si="114"/>
        <v/>
      </c>
      <c r="AB1546" s="62" t="str">
        <f>IF(AND(OR($A1546="G",$A1546="P"),NOT($O1546="{array}")),IF(VLOOKUP($K1546,base!$B$2:$D$20,3,0)="S",IF(OR($O1546="",ISTEXT($O1546)),"","STRING!"),IF(VLOOKUP($K1546,base!$B$2:$D$20,3,0)="","",IF(ISTEXT($O1546),"NUMERIC!",""))),"")</f>
        <v/>
      </c>
      <c r="AC1546" s="16" t="str">
        <f>IF($AA1546="","",IF($B1546="I",VLOOKUP($AA1546,#REF!,53,0),INDEX(VALUES!$B$1:$GP$1,1,$AA1546)))</f>
        <v/>
      </c>
    </row>
    <row r="1547" spans="1:29" hidden="1" outlineLevel="1">
      <c r="A1547" s="21"/>
      <c r="B1547" s="40" t="str">
        <f t="shared" si="115"/>
        <v/>
      </c>
      <c r="C1547" s="41">
        <f t="shared" si="113"/>
        <v>1546</v>
      </c>
      <c r="D1547" s="260"/>
      <c r="E1547" s="37"/>
      <c r="F1547" s="305"/>
      <c r="G1547" s="188" t="s">
        <v>9</v>
      </c>
      <c r="H1547" s="37"/>
      <c r="I1547" s="37" t="s">
        <v>9</v>
      </c>
      <c r="J1547" s="37" t="s">
        <v>9</v>
      </c>
      <c r="K1547" s="13" t="s">
        <v>26</v>
      </c>
      <c r="L1547" s="13" t="s">
        <v>29</v>
      </c>
      <c r="M1547" s="19" t="s">
        <v>2990</v>
      </c>
      <c r="O1547" s="42">
        <v>0</v>
      </c>
      <c r="Q1547" s="37" t="s">
        <v>9</v>
      </c>
      <c r="R1547" s="37" t="s">
        <v>106</v>
      </c>
      <c r="S1547" s="37"/>
      <c r="T1547" s="37"/>
      <c r="W1547" s="14" t="str">
        <f>IF(IFERROR(VLOOKUP($M1547,'IMPORT GS-Tür OL FL 2S2 20'!$H$2:$H$847,1,0),"-")="-","","GS")</f>
        <v>GS</v>
      </c>
      <c r="X1547" s="14" t="str">
        <f t="shared" si="112"/>
        <v/>
      </c>
      <c r="Z1547" s="58" t="str">
        <f>IF(OR($M1547="",NOT($O1547="{array}")),"",IFERROR(MATCH(PARAMETERS!$M1547,DEFAULT!$B$5:$CI$5,0),""))</f>
        <v/>
      </c>
      <c r="AA1547" s="55" t="str">
        <f t="shared" si="114"/>
        <v/>
      </c>
      <c r="AB1547" s="62" t="str">
        <f>IF(AND(OR($A1547="G",$A1547="P"),NOT($O1547="{array}")),IF(VLOOKUP($K1547,base!$B$2:$D$20,3,0)="S",IF(OR($O1547="",ISTEXT($O1547)),"","STRING!"),IF(VLOOKUP($K1547,base!$B$2:$D$20,3,0)="","",IF(ISTEXT($O1547),"NUMERIC!",""))),"")</f>
        <v/>
      </c>
      <c r="AC1547" s="16" t="str">
        <f>IF($AA1547="","",IF($B1547="I",VLOOKUP($AA1547,#REF!,53,0),INDEX(VALUES!$B$1:$GP$1,1,$AA1547)))</f>
        <v/>
      </c>
    </row>
    <row r="1548" spans="1:29" hidden="1" outlineLevel="1">
      <c r="A1548" s="21"/>
      <c r="B1548" s="40" t="str">
        <f t="shared" si="115"/>
        <v/>
      </c>
      <c r="C1548" s="41">
        <f t="shared" si="113"/>
        <v>1547</v>
      </c>
      <c r="D1548" s="260"/>
      <c r="E1548" s="37"/>
      <c r="F1548" s="305"/>
      <c r="G1548" s="188" t="s">
        <v>9</v>
      </c>
      <c r="H1548" s="37"/>
      <c r="I1548" s="37" t="s">
        <v>9</v>
      </c>
      <c r="J1548" s="37" t="s">
        <v>9</v>
      </c>
      <c r="K1548" s="13" t="s">
        <v>26</v>
      </c>
      <c r="L1548" s="13" t="s">
        <v>29</v>
      </c>
      <c r="M1548" s="19" t="s">
        <v>2991</v>
      </c>
      <c r="O1548" s="42">
        <v>0</v>
      </c>
      <c r="Q1548" s="37" t="s">
        <v>9</v>
      </c>
      <c r="R1548" s="37" t="s">
        <v>106</v>
      </c>
      <c r="S1548" s="37"/>
      <c r="T1548" s="37"/>
      <c r="W1548" s="14" t="str">
        <f>IF(IFERROR(VLOOKUP($M1548,'IMPORT GS-Tür OL FL 2S2 20'!$H$2:$H$847,1,0),"-")="-","","GS")</f>
        <v>GS</v>
      </c>
      <c r="X1548" s="14" t="str">
        <f t="shared" si="112"/>
        <v/>
      </c>
      <c r="Z1548" s="58" t="str">
        <f>IF(OR($M1548="",NOT($O1548="{array}")),"",IFERROR(MATCH(PARAMETERS!$M1548,DEFAULT!$B$5:$CI$5,0),""))</f>
        <v/>
      </c>
      <c r="AA1548" s="55" t="str">
        <f t="shared" si="114"/>
        <v/>
      </c>
      <c r="AB1548" s="62" t="str">
        <f>IF(AND(OR($A1548="G",$A1548="P"),NOT($O1548="{array}")),IF(VLOOKUP($K1548,base!$B$2:$D$20,3,0)="S",IF(OR($O1548="",ISTEXT($O1548)),"","STRING!"),IF(VLOOKUP($K1548,base!$B$2:$D$20,3,0)="","",IF(ISTEXT($O1548),"NUMERIC!",""))),"")</f>
        <v/>
      </c>
      <c r="AC1548" s="16" t="str">
        <f>IF($AA1548="","",IF($B1548="I",VLOOKUP($AA1548,#REF!,53,0),INDEX(VALUES!$B$1:$GP$1,1,$AA1548)))</f>
        <v/>
      </c>
    </row>
    <row r="1549" spans="1:29" hidden="1" outlineLevel="1">
      <c r="A1549" s="21"/>
      <c r="B1549" s="40" t="str">
        <f t="shared" si="115"/>
        <v/>
      </c>
      <c r="C1549" s="41">
        <f t="shared" si="113"/>
        <v>1548</v>
      </c>
      <c r="D1549" s="260"/>
      <c r="E1549" s="37"/>
      <c r="F1549" s="305"/>
      <c r="G1549" s="188" t="s">
        <v>9</v>
      </c>
      <c r="H1549" s="37"/>
      <c r="I1549" s="37" t="s">
        <v>9</v>
      </c>
      <c r="J1549" s="37" t="s">
        <v>9</v>
      </c>
      <c r="K1549" s="13" t="s">
        <v>26</v>
      </c>
      <c r="L1549" s="13" t="s">
        <v>29</v>
      </c>
      <c r="M1549" s="19" t="s">
        <v>2992</v>
      </c>
      <c r="O1549" s="42">
        <v>0</v>
      </c>
      <c r="Q1549" s="37" t="s">
        <v>9</v>
      </c>
      <c r="R1549" s="37" t="s">
        <v>106</v>
      </c>
      <c r="S1549" s="37"/>
      <c r="T1549" s="37"/>
      <c r="W1549" s="14" t="str">
        <f>IF(IFERROR(VLOOKUP($M1549,'IMPORT GS-Tür OL FL 2S2 20'!$H$2:$H$847,1,0),"-")="-","","GS")</f>
        <v>GS</v>
      </c>
      <c r="X1549" s="14" t="str">
        <f t="shared" si="112"/>
        <v/>
      </c>
      <c r="Z1549" s="58" t="str">
        <f>IF(OR($M1549="",NOT($O1549="{array}")),"",IFERROR(MATCH(PARAMETERS!$M1549,DEFAULT!$B$5:$CI$5,0),""))</f>
        <v/>
      </c>
      <c r="AA1549" s="55" t="str">
        <f t="shared" si="114"/>
        <v/>
      </c>
      <c r="AB1549" s="62" t="str">
        <f>IF(AND(OR($A1549="G",$A1549="P"),NOT($O1549="{array}")),IF(VLOOKUP($K1549,base!$B$2:$D$20,3,0)="S",IF(OR($O1549="",ISTEXT($O1549)),"","STRING!"),IF(VLOOKUP($K1549,base!$B$2:$D$20,3,0)="","",IF(ISTEXT($O1549),"NUMERIC!",""))),"")</f>
        <v/>
      </c>
      <c r="AC1549" s="16" t="str">
        <f>IF($AA1549="","",IF($B1549="I",VLOOKUP($AA1549,#REF!,53,0),INDEX(VALUES!$B$1:$GP$1,1,$AA1549)))</f>
        <v/>
      </c>
    </row>
    <row r="1550" spans="1:29" hidden="1" outlineLevel="1">
      <c r="A1550" s="21"/>
      <c r="B1550" s="40" t="str">
        <f t="shared" si="115"/>
        <v/>
      </c>
      <c r="C1550" s="41">
        <f t="shared" si="113"/>
        <v>1549</v>
      </c>
      <c r="D1550" s="260"/>
      <c r="E1550" s="37"/>
      <c r="F1550" s="305"/>
      <c r="G1550" s="188" t="s">
        <v>9</v>
      </c>
      <c r="H1550" s="37"/>
      <c r="I1550" s="37" t="s">
        <v>9</v>
      </c>
      <c r="J1550" s="37" t="s">
        <v>9</v>
      </c>
      <c r="K1550" s="13" t="s">
        <v>26</v>
      </c>
      <c r="L1550" s="13" t="s">
        <v>29</v>
      </c>
      <c r="M1550" s="19" t="s">
        <v>2993</v>
      </c>
      <c r="O1550" s="42">
        <v>0</v>
      </c>
      <c r="Q1550" s="37" t="s">
        <v>9</v>
      </c>
      <c r="R1550" s="37" t="s">
        <v>106</v>
      </c>
      <c r="S1550" s="37"/>
      <c r="T1550" s="37"/>
      <c r="W1550" s="14" t="str">
        <f>IF(IFERROR(VLOOKUP($M1550,'IMPORT GS-Tür OL FL 2S2 20'!$H$2:$H$847,1,0),"-")="-","","GS")</f>
        <v>GS</v>
      </c>
      <c r="X1550" s="14" t="str">
        <f t="shared" si="112"/>
        <v/>
      </c>
      <c r="Z1550" s="58" t="str">
        <f>IF(OR($M1550="",NOT($O1550="{array}")),"",IFERROR(MATCH(PARAMETERS!$M1550,DEFAULT!$B$5:$CI$5,0),""))</f>
        <v/>
      </c>
      <c r="AA1550" s="55" t="str">
        <f t="shared" si="114"/>
        <v/>
      </c>
      <c r="AB1550" s="62" t="str">
        <f>IF(AND(OR($A1550="G",$A1550="P"),NOT($O1550="{array}")),IF(VLOOKUP($K1550,base!$B$2:$D$20,3,0)="S",IF(OR($O1550="",ISTEXT($O1550)),"","STRING!"),IF(VLOOKUP($K1550,base!$B$2:$D$20,3,0)="","",IF(ISTEXT($O1550),"NUMERIC!",""))),"")</f>
        <v/>
      </c>
      <c r="AC1550" s="16" t="str">
        <f>IF($AA1550="","",IF($B1550="I",VLOOKUP($AA1550,#REF!,53,0),INDEX(VALUES!$B$1:$GP$1,1,$AA1550)))</f>
        <v/>
      </c>
    </row>
    <row r="1551" spans="1:29" hidden="1" outlineLevel="1">
      <c r="A1551" s="21"/>
      <c r="B1551" s="40" t="str">
        <f t="shared" si="115"/>
        <v/>
      </c>
      <c r="C1551" s="41">
        <f t="shared" si="113"/>
        <v>1550</v>
      </c>
      <c r="D1551" s="260"/>
      <c r="E1551" s="37"/>
      <c r="F1551" s="305"/>
      <c r="G1551" s="188" t="s">
        <v>9</v>
      </c>
      <c r="H1551" s="37"/>
      <c r="I1551" s="37" t="s">
        <v>9</v>
      </c>
      <c r="J1551" s="37" t="s">
        <v>9</v>
      </c>
      <c r="K1551" s="13" t="s">
        <v>26</v>
      </c>
      <c r="L1551" s="13" t="s">
        <v>29</v>
      </c>
      <c r="M1551" s="19" t="s">
        <v>2994</v>
      </c>
      <c r="O1551" s="42">
        <v>0</v>
      </c>
      <c r="Q1551" s="37" t="s">
        <v>9</v>
      </c>
      <c r="R1551" s="37" t="s">
        <v>106</v>
      </c>
      <c r="S1551" s="37"/>
      <c r="T1551" s="37"/>
      <c r="W1551" s="14" t="str">
        <f>IF(IFERROR(VLOOKUP($M1551,'IMPORT GS-Tür OL FL 2S2 20'!$H$2:$H$847,1,0),"-")="-","","GS")</f>
        <v>GS</v>
      </c>
      <c r="X1551" s="14" t="str">
        <f t="shared" si="112"/>
        <v/>
      </c>
      <c r="Z1551" s="58" t="str">
        <f>IF(OR($M1551="",NOT($O1551="{array}")),"",IFERROR(MATCH(PARAMETERS!$M1551,DEFAULT!$B$5:$CI$5,0),""))</f>
        <v/>
      </c>
      <c r="AA1551" s="55" t="str">
        <f t="shared" si="114"/>
        <v/>
      </c>
      <c r="AB1551" s="62" t="str">
        <f>IF(AND(OR($A1551="G",$A1551="P"),NOT($O1551="{array}")),IF(VLOOKUP($K1551,base!$B$2:$D$20,3,0)="S",IF(OR($O1551="",ISTEXT($O1551)),"","STRING!"),IF(VLOOKUP($K1551,base!$B$2:$D$20,3,0)="","",IF(ISTEXT($O1551),"NUMERIC!",""))),"")</f>
        <v/>
      </c>
      <c r="AC1551" s="16" t="str">
        <f>IF($AA1551="","",IF($B1551="I",VLOOKUP($AA1551,#REF!,53,0),INDEX(VALUES!$B$1:$GP$1,1,$AA1551)))</f>
        <v/>
      </c>
    </row>
    <row r="1552" spans="1:29" hidden="1" outlineLevel="1">
      <c r="A1552" s="21"/>
      <c r="B1552" s="40" t="str">
        <f t="shared" si="115"/>
        <v/>
      </c>
      <c r="C1552" s="41">
        <f t="shared" si="113"/>
        <v>1551</v>
      </c>
      <c r="D1552" s="260"/>
      <c r="E1552" s="37"/>
      <c r="F1552" s="305"/>
      <c r="G1552" s="188" t="s">
        <v>9</v>
      </c>
      <c r="H1552" s="37"/>
      <c r="I1552" s="37" t="s">
        <v>9</v>
      </c>
      <c r="J1552" s="37" t="s">
        <v>9</v>
      </c>
      <c r="K1552" s="13" t="s">
        <v>26</v>
      </c>
      <c r="L1552" s="13" t="s">
        <v>29</v>
      </c>
      <c r="M1552" s="19" t="s">
        <v>2995</v>
      </c>
      <c r="O1552" s="42">
        <v>0</v>
      </c>
      <c r="Q1552" s="37" t="s">
        <v>9</v>
      </c>
      <c r="R1552" s="37" t="s">
        <v>106</v>
      </c>
      <c r="S1552" s="37"/>
      <c r="T1552" s="37"/>
      <c r="W1552" s="14" t="str">
        <f>IF(IFERROR(VLOOKUP($M1552,'IMPORT GS-Tür OL FL 2S2 20'!$H$2:$H$847,1,0),"-")="-","","GS")</f>
        <v>GS</v>
      </c>
      <c r="X1552" s="14" t="str">
        <f t="shared" si="112"/>
        <v/>
      </c>
      <c r="Z1552" s="58" t="str">
        <f>IF(OR($M1552="",NOT($O1552="{array}")),"",IFERROR(MATCH(PARAMETERS!$M1552,DEFAULT!$B$5:$CI$5,0),""))</f>
        <v/>
      </c>
      <c r="AA1552" s="55" t="str">
        <f t="shared" si="114"/>
        <v/>
      </c>
      <c r="AB1552" s="62" t="str">
        <f>IF(AND(OR($A1552="G",$A1552="P"),NOT($O1552="{array}")),IF(VLOOKUP($K1552,base!$B$2:$D$20,3,0)="S",IF(OR($O1552="",ISTEXT($O1552)),"","STRING!"),IF(VLOOKUP($K1552,base!$B$2:$D$20,3,0)="","",IF(ISTEXT($O1552),"NUMERIC!",""))),"")</f>
        <v/>
      </c>
      <c r="AC1552" s="16" t="str">
        <f>IF($AA1552="","",IF($B1552="I",VLOOKUP($AA1552,#REF!,53,0),INDEX(VALUES!$B$1:$GP$1,1,$AA1552)))</f>
        <v/>
      </c>
    </row>
    <row r="1553" spans="1:29" hidden="1" outlineLevel="1">
      <c r="A1553" s="21"/>
      <c r="B1553" s="40" t="str">
        <f t="shared" si="115"/>
        <v/>
      </c>
      <c r="C1553" s="41">
        <f t="shared" si="113"/>
        <v>1552</v>
      </c>
      <c r="D1553" s="260"/>
      <c r="E1553" s="37"/>
      <c r="F1553" s="305"/>
      <c r="G1553" s="188" t="s">
        <v>9</v>
      </c>
      <c r="H1553" s="37"/>
      <c r="I1553" s="37" t="s">
        <v>9</v>
      </c>
      <c r="J1553" s="37" t="s">
        <v>9</v>
      </c>
      <c r="K1553" s="13" t="s">
        <v>26</v>
      </c>
      <c r="L1553" s="13" t="s">
        <v>29</v>
      </c>
      <c r="M1553" s="19" t="s">
        <v>2996</v>
      </c>
      <c r="O1553" s="42">
        <v>0</v>
      </c>
      <c r="Q1553" s="37" t="s">
        <v>9</v>
      </c>
      <c r="R1553" s="37" t="s">
        <v>106</v>
      </c>
      <c r="S1553" s="37"/>
      <c r="T1553" s="37"/>
      <c r="W1553" s="14" t="str">
        <f>IF(IFERROR(VLOOKUP($M1553,'IMPORT GS-Tür OL FL 2S2 20'!$H$2:$H$847,1,0),"-")="-","","GS")</f>
        <v>GS</v>
      </c>
      <c r="X1553" s="14" t="str">
        <f t="shared" si="112"/>
        <v/>
      </c>
      <c r="Z1553" s="58" t="str">
        <f>IF(OR($M1553="",NOT($O1553="{array}")),"",IFERROR(MATCH(PARAMETERS!$M1553,DEFAULT!$B$5:$CI$5,0),""))</f>
        <v/>
      </c>
      <c r="AA1553" s="55" t="str">
        <f t="shared" si="114"/>
        <v/>
      </c>
      <c r="AB1553" s="62" t="str">
        <f>IF(AND(OR($A1553="G",$A1553="P"),NOT($O1553="{array}")),IF(VLOOKUP($K1553,base!$B$2:$D$20,3,0)="S",IF(OR($O1553="",ISTEXT($O1553)),"","STRING!"),IF(VLOOKUP($K1553,base!$B$2:$D$20,3,0)="","",IF(ISTEXT($O1553),"NUMERIC!",""))),"")</f>
        <v/>
      </c>
      <c r="AC1553" s="16" t="str">
        <f>IF($AA1553="","",IF($B1553="I",VLOOKUP($AA1553,#REF!,53,0),INDEX(VALUES!$B$1:$GP$1,1,$AA1553)))</f>
        <v/>
      </c>
    </row>
    <row r="1554" spans="1:29" hidden="1" outlineLevel="1">
      <c r="A1554" s="21"/>
      <c r="B1554" s="40" t="str">
        <f t="shared" si="115"/>
        <v/>
      </c>
      <c r="C1554" s="41">
        <f t="shared" si="113"/>
        <v>1553</v>
      </c>
      <c r="D1554" s="260"/>
      <c r="E1554" s="37"/>
      <c r="F1554" s="305"/>
      <c r="G1554" s="188" t="s">
        <v>9</v>
      </c>
      <c r="H1554" s="37"/>
      <c r="I1554" s="37" t="s">
        <v>9</v>
      </c>
      <c r="J1554" s="37" t="s">
        <v>9</v>
      </c>
      <c r="K1554" s="13" t="s">
        <v>26</v>
      </c>
      <c r="L1554" s="13" t="s">
        <v>29</v>
      </c>
      <c r="M1554" s="19" t="s">
        <v>2997</v>
      </c>
      <c r="O1554" s="42">
        <v>0</v>
      </c>
      <c r="Q1554" s="37" t="s">
        <v>9</v>
      </c>
      <c r="R1554" s="37" t="s">
        <v>106</v>
      </c>
      <c r="S1554" s="37"/>
      <c r="T1554" s="37"/>
      <c r="W1554" s="14" t="str">
        <f>IF(IFERROR(VLOOKUP($M1554,'IMPORT GS-Tür OL FL 2S2 20'!$H$2:$H$847,1,0),"-")="-","","GS")</f>
        <v>GS</v>
      </c>
      <c r="X1554" s="14" t="str">
        <f t="shared" si="112"/>
        <v/>
      </c>
      <c r="Z1554" s="58" t="str">
        <f>IF(OR($M1554="",NOT($O1554="{array}")),"",IFERROR(MATCH(PARAMETERS!$M1554,DEFAULT!$B$5:$CI$5,0),""))</f>
        <v/>
      </c>
      <c r="AA1554" s="55" t="str">
        <f t="shared" si="114"/>
        <v/>
      </c>
      <c r="AB1554" s="62" t="str">
        <f>IF(AND(OR($A1554="G",$A1554="P"),NOT($O1554="{array}")),IF(VLOOKUP($K1554,base!$B$2:$D$20,3,0)="S",IF(OR($O1554="",ISTEXT($O1554)),"","STRING!"),IF(VLOOKUP($K1554,base!$B$2:$D$20,3,0)="","",IF(ISTEXT($O1554),"NUMERIC!",""))),"")</f>
        <v/>
      </c>
      <c r="AC1554" s="16" t="str">
        <f>IF($AA1554="","",IF($B1554="I",VLOOKUP($AA1554,#REF!,53,0),INDEX(VALUES!$B$1:$GP$1,1,$AA1554)))</f>
        <v/>
      </c>
    </row>
    <row r="1555" spans="1:29" hidden="1" outlineLevel="1">
      <c r="A1555" s="21"/>
      <c r="B1555" s="40" t="str">
        <f t="shared" si="115"/>
        <v/>
      </c>
      <c r="C1555" s="41">
        <f t="shared" si="113"/>
        <v>1554</v>
      </c>
      <c r="D1555" s="260"/>
      <c r="E1555" s="37"/>
      <c r="F1555" s="305"/>
      <c r="G1555" s="188" t="s">
        <v>9</v>
      </c>
      <c r="H1555" s="37"/>
      <c r="I1555" s="37" t="s">
        <v>9</v>
      </c>
      <c r="J1555" s="37" t="s">
        <v>9</v>
      </c>
      <c r="K1555" s="13" t="s">
        <v>26</v>
      </c>
      <c r="L1555" s="13" t="s">
        <v>29</v>
      </c>
      <c r="M1555" s="19" t="s">
        <v>2998</v>
      </c>
      <c r="O1555" s="42">
        <v>0</v>
      </c>
      <c r="Q1555" s="37" t="s">
        <v>9</v>
      </c>
      <c r="R1555" s="37" t="s">
        <v>106</v>
      </c>
      <c r="S1555" s="37"/>
      <c r="T1555" s="37"/>
      <c r="W1555" s="14" t="str">
        <f>IF(IFERROR(VLOOKUP($M1555,'IMPORT GS-Tür OL FL 2S2 20'!$H$2:$H$847,1,0),"-")="-","","GS")</f>
        <v>GS</v>
      </c>
      <c r="X1555" s="14" t="str">
        <f t="shared" si="112"/>
        <v/>
      </c>
      <c r="Z1555" s="58" t="str">
        <f>IF(OR($M1555="",NOT($O1555="{array}")),"",IFERROR(MATCH(PARAMETERS!$M1555,DEFAULT!$B$5:$CI$5,0),""))</f>
        <v/>
      </c>
      <c r="AA1555" s="55" t="str">
        <f t="shared" si="114"/>
        <v/>
      </c>
      <c r="AB1555" s="62" t="str">
        <f>IF(AND(OR($A1555="G",$A1555="P"),NOT($O1555="{array}")),IF(VLOOKUP($K1555,base!$B$2:$D$20,3,0)="S",IF(OR($O1555="",ISTEXT($O1555)),"","STRING!"),IF(VLOOKUP($K1555,base!$B$2:$D$20,3,0)="","",IF(ISTEXT($O1555),"NUMERIC!",""))),"")</f>
        <v/>
      </c>
      <c r="AC1555" s="16" t="str">
        <f>IF($AA1555="","",IF($B1555="I",VLOOKUP($AA1555,#REF!,53,0),INDEX(VALUES!$B$1:$GP$1,1,$AA1555)))</f>
        <v/>
      </c>
    </row>
    <row r="1556" spans="1:29" hidden="1" outlineLevel="1">
      <c r="A1556" s="21"/>
      <c r="B1556" s="40" t="str">
        <f t="shared" si="115"/>
        <v>A</v>
      </c>
      <c r="C1556" s="41">
        <f t="shared" si="113"/>
        <v>1555</v>
      </c>
      <c r="D1556" s="260"/>
      <c r="E1556" s="37"/>
      <c r="F1556" s="305"/>
      <c r="G1556" s="188" t="s">
        <v>9</v>
      </c>
      <c r="H1556" s="37"/>
      <c r="I1556" s="37" t="s">
        <v>9</v>
      </c>
      <c r="J1556" s="37" t="s">
        <v>9</v>
      </c>
      <c r="K1556" s="13" t="s">
        <v>26</v>
      </c>
      <c r="L1556" s="13" t="s">
        <v>29</v>
      </c>
      <c r="M1556" s="19" t="s">
        <v>2999</v>
      </c>
      <c r="O1556" s="42" t="s">
        <v>35</v>
      </c>
      <c r="Q1556" s="37" t="s">
        <v>9</v>
      </c>
      <c r="R1556" s="37" t="s">
        <v>106</v>
      </c>
      <c r="S1556" s="37"/>
      <c r="T1556" s="37"/>
      <c r="W1556" s="14" t="str">
        <f>IF(IFERROR(VLOOKUP($M1556,'IMPORT GS-Tür OL FL 2S2 20'!$H$2:$H$847,1,0),"-")="-","","GS")</f>
        <v>GS</v>
      </c>
      <c r="X1556" s="14" t="str">
        <f>IF($A1556="G",IF(IFERROR(VLOOKUP($M1556,Reimport,1,0),"-")="-","&gt;&lt;",IF($O1556=VLOOKUP($M1556,Reimport,2,0),"...",VLOOKUP($M1556,Reimport,2,0))),"")</f>
        <v/>
      </c>
      <c r="Z1556" s="58">
        <f>IF(OR($M1556="",NOT($O1556="{array}")),"",IFERROR(MATCH(PARAMETERS!$M1556,DEFAULT!$B$5:$CI$5,0),""))</f>
        <v>16</v>
      </c>
      <c r="AA1556" s="55" t="str">
        <f t="shared" si="114"/>
        <v/>
      </c>
      <c r="AB1556" s="62" t="str">
        <f>IF(AND(OR($A1556="G",$A1556="P"),NOT($O1556="{array}")),IF(VLOOKUP($K1556,base!$B$2:$D$20,3,0)="S",IF(OR($O1556="",ISTEXT($O1556)),"","STRING!"),IF(VLOOKUP($K1556,base!$B$2:$D$20,3,0)="","",IF(ISTEXT($O1556),"NUMERIC!",""))),"")</f>
        <v/>
      </c>
      <c r="AC1556" s="16" t="str">
        <f>IF($AA1556="","",IF($B1556="I",VLOOKUP($AA1556,#REF!,53,0),INDEX(VALUES!$B$1:$GP$1,1,$AA1556)))</f>
        <v/>
      </c>
    </row>
    <row r="1557" spans="1:29" collapsed="1">
      <c r="A1557" s="21" t="s">
        <v>217</v>
      </c>
      <c r="B1557" s="40"/>
      <c r="C1557" s="41"/>
      <c r="D1557" s="260"/>
      <c r="E1557" s="37"/>
      <c r="F1557" s="305"/>
      <c r="G1557" s="188"/>
      <c r="H1557" s="37"/>
      <c r="I1557" s="37"/>
      <c r="J1557" s="37"/>
      <c r="L1557" s="150"/>
      <c r="M1557" s="13"/>
      <c r="R1557" s="37"/>
      <c r="S1557" s="37"/>
      <c r="T1557" s="37"/>
      <c r="W1557" s="14" t="str">
        <f>IF(IFERROR(VLOOKUP($M1557,'IMPORT GS-Tür OL FL 2S2 20'!$H$2:$H$847,1,0),"-")="-","","GS")</f>
        <v/>
      </c>
      <c r="X1557" s="14" t="str">
        <f>IF($A1557="G",IF(IFERROR(VLOOKUP($M1557,Reimport,1,0),"-")="-","&gt;&lt;",IF($O1557=VLOOKUP($M1557,Reimport,2,0),"...",VLOOKUP($M1557,Reimport,2,0))),"")</f>
        <v/>
      </c>
      <c r="Z1557" s="58" t="str">
        <f>IF(OR($M1557="",NOT($O1557="{array}")),"",IFERROR(MATCH(PARAMETERS!$M1557,DEFAULT!$B$5:$CI$5,0),""))</f>
        <v/>
      </c>
      <c r="AA1557" s="55" t="str">
        <f t="shared" si="114"/>
        <v/>
      </c>
      <c r="AB1557" s="62" t="str">
        <f>IF(AND(OR($A1557="G",$A1557="P"),NOT($O1557="{array}")),IF(VLOOKUP($K1557,base!$B$2:$D$20,3,0)="S",IF(OR($O1557="",ISTEXT($O1557)),"","STRING!"),IF(VLOOKUP($K1557,base!$B$2:$D$20,3,0)="","",IF(ISTEXT($O1557),"NUMERIC!",""))),"")</f>
        <v/>
      </c>
      <c r="AC1557" s="16" t="str">
        <f>IF($AA1557="","",IF($B1557="I",VLOOKUP($AA1557,#REF!,53,0),INDEX(VALUES!$B$1:$GP$1,1,$AA1557)))</f>
        <v/>
      </c>
    </row>
    <row r="1558" spans="1:29">
      <c r="A1558" s="21" t="s">
        <v>86</v>
      </c>
      <c r="B1558" s="40" t="str">
        <f t="shared" si="115"/>
        <v/>
      </c>
      <c r="C1558" s="41">
        <f>(ROW()-1)</f>
        <v>1557</v>
      </c>
      <c r="D1558" s="260"/>
      <c r="E1558" s="37"/>
      <c r="F1558" s="305"/>
      <c r="G1558" s="188" t="s">
        <v>9</v>
      </c>
      <c r="H1558" s="37"/>
      <c r="I1558" s="37"/>
      <c r="J1558" s="37"/>
      <c r="K1558" s="52" t="s">
        <v>59</v>
      </c>
      <c r="L1558" s="52" t="s">
        <v>40</v>
      </c>
      <c r="M1558" s="151" t="s">
        <v>218</v>
      </c>
      <c r="N1558" s="152" t="s">
        <v>219</v>
      </c>
      <c r="O1558" s="153"/>
      <c r="R1558" s="37" t="s">
        <v>204</v>
      </c>
      <c r="S1558" s="37"/>
      <c r="T1558" s="37"/>
      <c r="W1558" s="14" t="str">
        <f>IF(IFERROR(VLOOKUP($M1558,'IMPORT GS-Tür OL FL 2S2 20'!$H$2:$H$847,1,0),"-")="-","","GS")</f>
        <v/>
      </c>
      <c r="X1558" s="14" t="str">
        <f>IF($A1558="G",IF(IFERROR(VLOOKUP($M1558,Reimport,1,0),"-")="-","&gt;&lt;",IF($O1558=VLOOKUP($M1558,Reimport,2,0),"...",VLOOKUP($M1558,Reimport,2,0))),"")</f>
        <v>...</v>
      </c>
      <c r="Z1558" s="58" t="str">
        <f>IF(OR($M1558="",NOT($O1558="{array}")),"",IFERROR(MATCH(PARAMETERS!$M1558,DEFAULT!$B$5:$CI$5,0),""))</f>
        <v/>
      </c>
      <c r="AA1558" s="55" t="str">
        <f t="shared" si="114"/>
        <v/>
      </c>
      <c r="AB1558" s="62" t="str">
        <f>IF(AND(OR($A1558="G",$A1558="P"),NOT($O1558="{array}")),IF(VLOOKUP($K1558,base!$B$2:$D$20,3,0)="S",IF(OR($O1558="",ISTEXT($O1558)),"","STRING!"),IF(VLOOKUP($K1558,base!$B$2:$D$20,3,0)="","",IF(ISTEXT($O1558),"NUMERIC!",""))),"")</f>
        <v/>
      </c>
      <c r="AC1558" s="16" t="str">
        <f>IF($AA1558="","",IF($B1558="I",VLOOKUP($AA1558,#REF!,53,0),INDEX(VALUES!$B$1:$GP$1,1,$AA1558)))</f>
        <v/>
      </c>
    </row>
    <row r="1559" spans="1:29" outlineLevel="1">
      <c r="A1559" s="21" t="s">
        <v>86</v>
      </c>
      <c r="B1559" s="40" t="str">
        <f t="shared" si="115"/>
        <v>V</v>
      </c>
      <c r="C1559" s="41">
        <f>(ROW()-1)</f>
        <v>1558</v>
      </c>
      <c r="D1559" s="260" t="s">
        <v>9</v>
      </c>
      <c r="E1559" s="37"/>
      <c r="F1559" s="305"/>
      <c r="G1559" s="188" t="s">
        <v>9</v>
      </c>
      <c r="H1559" s="37"/>
      <c r="I1559" s="37" t="s">
        <v>9</v>
      </c>
      <c r="J1559" s="37"/>
      <c r="K1559" s="52" t="s">
        <v>46</v>
      </c>
      <c r="L1559" s="52" t="s">
        <v>34</v>
      </c>
      <c r="M1559" s="317" t="s">
        <v>220</v>
      </c>
      <c r="N1559" s="52" t="s">
        <v>221</v>
      </c>
      <c r="O1559" s="153">
        <v>2</v>
      </c>
      <c r="R1559" s="37" t="s">
        <v>204</v>
      </c>
      <c r="S1559" s="37"/>
      <c r="T1559" s="37"/>
      <c r="W1559" s="14"/>
      <c r="X1559" s="14">
        <f>IF($A1559="G",IF(IFERROR(VLOOKUP($M1559,Reimport,1,0),"-")="-","&gt;&lt;",IF($O1559=VLOOKUP($M1559,Reimport,2,0),"...",VLOOKUP($M1559,Reimport,2,0))),"")</f>
        <v>6</v>
      </c>
      <c r="Z1559" s="58" t="str">
        <f>IF(OR($M1559="",NOT($O1559="{array}")),"",IFERROR(MATCH(PARAMETERS!$M1559,DEFAULT!$B$5:$CI$5,0),""))</f>
        <v/>
      </c>
      <c r="AA1559" s="55">
        <f t="shared" si="114"/>
        <v>192</v>
      </c>
      <c r="AB1559" s="62" t="str">
        <f>IF(AND(OR($A1559="G",$A1559="P"),NOT($O1559="{array}")),IF(VLOOKUP($K1559,base!$B$2:$D$20,3,0)="S",IF(OR($O1559="",ISTEXT($O1559)),"","STRING!"),IF(VLOOKUP($K1559,base!$B$2:$D$20,3,0)="","",IF(ISTEXT($O1559),"NUMERIC!",""))),"")</f>
        <v/>
      </c>
      <c r="AC1559" s="16" t="str">
        <f>IF($AA1559="","",IF($B1559="I",VLOOKUP($AA1559,#REF!,53,0),INDEX(VALUES!$B$1:$GP$1,1,$AA1559)))</f>
        <v>2 | 4 | 5 | 6 | -2</v>
      </c>
    </row>
    <row r="1560" spans="1:29" outlineLevel="1">
      <c r="A1560" s="21" t="s">
        <v>86</v>
      </c>
      <c r="B1560" s="40" t="str">
        <f t="shared" si="115"/>
        <v>V</v>
      </c>
      <c r="C1560" s="41">
        <f>(ROW()-1)</f>
        <v>1559</v>
      </c>
      <c r="D1560" s="260" t="s">
        <v>9</v>
      </c>
      <c r="E1560" s="37"/>
      <c r="F1560" s="305"/>
      <c r="G1560" s="188" t="s">
        <v>9</v>
      </c>
      <c r="H1560" s="37"/>
      <c r="I1560" s="37" t="s">
        <v>9</v>
      </c>
      <c r="J1560" s="37"/>
      <c r="K1560" s="52" t="s">
        <v>46</v>
      </c>
      <c r="L1560" s="52" t="s">
        <v>34</v>
      </c>
      <c r="M1560" s="317" t="s">
        <v>222</v>
      </c>
      <c r="N1560" s="52" t="s">
        <v>223</v>
      </c>
      <c r="O1560" s="153" t="s">
        <v>35</v>
      </c>
      <c r="R1560" s="37" t="s">
        <v>204</v>
      </c>
      <c r="S1560" s="37"/>
      <c r="T1560" s="37"/>
      <c r="W1560" s="14"/>
      <c r="X1560" s="14" t="str">
        <f>IF($A1560="G",IF(IFERROR(VLOOKUP($M1560,Reimport,1,0),"-")="-","&gt;&lt;",IF($O1560=VLOOKUP($M1560,Reimport,2,0),"...",VLOOKUP($M1560,Reimport,2,0))),"")</f>
        <v>...</v>
      </c>
      <c r="Z1560" s="58">
        <f>IF(OR($M1560="",NOT($O1560="{array}")),"",IFERROR(MATCH(PARAMETERS!$M1560,DEFAULT!$B$5:$CI$5,0),""))</f>
        <v>23</v>
      </c>
      <c r="AA1560" s="55">
        <f t="shared" si="114"/>
        <v>194</v>
      </c>
      <c r="AB1560" s="62" t="str">
        <f>IF(AND(OR($A1560="G",$A1560="P"),NOT($O1560="{array}")),IF(VLOOKUP($K1560,base!$B$2:$D$20,3,0)="S",IF(OR($O1560="",ISTEXT($O1560)),"","STRING!"),IF(VLOOKUP($K1560,base!$B$2:$D$20,3,0)="","",IF(ISTEXT($O1560),"NUMERIC!",""))),"")</f>
        <v/>
      </c>
      <c r="AC1560" s="16" t="str">
        <f>IF($AA1560="","",IF($B1560="I",VLOOKUP($AA1560,#REF!,53,0),INDEX(VALUES!$B$1:$GP$1,1,$AA1560)))</f>
        <v>100 | 200 | 300 | 350 | 400 | 500 | -2 | -1 | ...</v>
      </c>
    </row>
    <row r="1561" spans="1:29">
      <c r="A1561" s="21" t="s">
        <v>86</v>
      </c>
      <c r="B1561" s="40" t="str">
        <f t="shared" si="115"/>
        <v/>
      </c>
      <c r="C1561" s="41">
        <f t="shared" ref="C1561:C1592" si="116">(ROW()-1)</f>
        <v>1560</v>
      </c>
      <c r="D1561" s="260"/>
      <c r="E1561" s="37"/>
      <c r="F1561" s="305"/>
      <c r="G1561" s="188" t="s">
        <v>9</v>
      </c>
      <c r="H1561" s="37"/>
      <c r="I1561" s="37"/>
      <c r="J1561" s="37"/>
      <c r="K1561" s="52" t="s">
        <v>59</v>
      </c>
      <c r="L1561" s="52" t="s">
        <v>40</v>
      </c>
      <c r="M1561" s="151" t="s">
        <v>224</v>
      </c>
      <c r="N1561" s="152" t="s">
        <v>225</v>
      </c>
      <c r="O1561" s="153"/>
      <c r="R1561" s="37" t="s">
        <v>204</v>
      </c>
      <c r="S1561" s="37"/>
      <c r="T1561" s="37"/>
      <c r="W1561" s="14" t="str">
        <f>IF(IFERROR(VLOOKUP($M1561,'IMPORT GS-Tür OL FL 2S2 20'!$H$2:$H$847,1,0),"-")="-","","GS")</f>
        <v/>
      </c>
      <c r="X1561" s="14" t="str">
        <f t="shared" ref="X1561:X1605" si="117">IF($A1561="G",IF(IFERROR(VLOOKUP($M1561,Reimport,1,0),"-")="-","&gt;&lt;",IF($O1561=VLOOKUP($M1561,Reimport,2,0),"...",VLOOKUP($M1561,Reimport,2,0))),"")</f>
        <v>...</v>
      </c>
      <c r="Z1561" s="58" t="str">
        <f>IF(OR($M1561="",NOT($O1561="{array}")),"",IFERROR(MATCH(PARAMETERS!$M1561,DEFAULT!$B$5:$CI$5,0),""))</f>
        <v/>
      </c>
      <c r="AA1561" s="55" t="str">
        <f t="shared" si="114"/>
        <v/>
      </c>
      <c r="AB1561" s="62" t="str">
        <f>IF(AND(OR($A1561="G",$A1561="P"),NOT($O1561="{array}")),IF(VLOOKUP($K1561,base!$B$2:$D$20,3,0)="S",IF(OR($O1561="",ISTEXT($O1561)),"","STRING!"),IF(VLOOKUP($K1561,base!$B$2:$D$20,3,0)="","",IF(ISTEXT($O1561),"NUMERIC!",""))),"")</f>
        <v/>
      </c>
      <c r="AC1561" s="16" t="str">
        <f>IF($AA1561="","",IF($B1561="I",VLOOKUP($AA1561,#REF!,53,0),INDEX(VALUES!$B$1:$GP$1,1,$AA1561)))</f>
        <v/>
      </c>
    </row>
    <row r="1562" spans="1:29" hidden="1" outlineLevel="1">
      <c r="A1562" s="21" t="s">
        <v>86</v>
      </c>
      <c r="B1562" s="40" t="str">
        <f t="shared" si="115"/>
        <v/>
      </c>
      <c r="C1562" s="41">
        <f t="shared" si="116"/>
        <v>1561</v>
      </c>
      <c r="D1562" s="260" t="s">
        <v>9</v>
      </c>
      <c r="E1562" s="37"/>
      <c r="F1562" s="305"/>
      <c r="G1562" s="188" t="s">
        <v>9</v>
      </c>
      <c r="H1562" s="37"/>
      <c r="I1562" s="37" t="s">
        <v>9</v>
      </c>
      <c r="J1562" s="37"/>
      <c r="K1562" s="52" t="s">
        <v>20</v>
      </c>
      <c r="L1562" s="52" t="s">
        <v>34</v>
      </c>
      <c r="M1562" s="317" t="s">
        <v>226</v>
      </c>
      <c r="N1562" s="52" t="s">
        <v>227</v>
      </c>
      <c r="O1562" s="153" t="s">
        <v>3153</v>
      </c>
      <c r="R1562" s="37" t="s">
        <v>204</v>
      </c>
      <c r="S1562" s="37"/>
      <c r="T1562" s="37"/>
      <c r="W1562" s="14"/>
      <c r="X1562" s="14" t="str">
        <f t="shared" si="117"/>
        <v>...</v>
      </c>
      <c r="Z1562" s="58" t="str">
        <f>IF(OR($M1562="",NOT($O1562="{array}")),"",IFERROR(MATCH(PARAMETERS!$M1562,DEFAULT!$B$5:$CI$5,0),""))</f>
        <v/>
      </c>
      <c r="AA1562" s="55" t="str">
        <f t="shared" si="114"/>
        <v/>
      </c>
      <c r="AB1562" s="62" t="str">
        <f>IF(AND(OR($A1562="G",$A1562="P"),NOT($O1562="{array}")),IF(VLOOKUP($K1562,base!$B$2:$D$20,3,0)="S",IF(OR($O1562="",ISTEXT($O1562)),"","STRING!"),IF(VLOOKUP($K1562,base!$B$2:$D$20,3,0)="","",IF(ISTEXT($O1562),"NUMERIC!",""))),"")</f>
        <v/>
      </c>
      <c r="AC1562" s="16" t="str">
        <f>IF($AA1562="","",IF($B1562="I",VLOOKUP($AA1562,#REF!,53,0),INDEX(VALUES!$B$1:$GP$1,1,$AA1562)))</f>
        <v/>
      </c>
    </row>
    <row r="1563" spans="1:29" hidden="1" outlineLevel="1">
      <c r="A1563" s="21" t="s">
        <v>86</v>
      </c>
      <c r="B1563" s="40" t="str">
        <f t="shared" si="115"/>
        <v/>
      </c>
      <c r="C1563" s="41">
        <f t="shared" si="116"/>
        <v>1562</v>
      </c>
      <c r="D1563" s="260" t="s">
        <v>9</v>
      </c>
      <c r="E1563" s="37"/>
      <c r="F1563" s="305"/>
      <c r="G1563" s="188" t="s">
        <v>9</v>
      </c>
      <c r="H1563" s="37"/>
      <c r="I1563" s="37" t="s">
        <v>9</v>
      </c>
      <c r="J1563" s="37"/>
      <c r="K1563" s="52" t="s">
        <v>20</v>
      </c>
      <c r="L1563" s="52" t="s">
        <v>34</v>
      </c>
      <c r="M1563" s="317" t="s">
        <v>229</v>
      </c>
      <c r="N1563" s="52" t="s">
        <v>230</v>
      </c>
      <c r="O1563" s="153" t="s">
        <v>228</v>
      </c>
      <c r="R1563" s="37" t="s">
        <v>204</v>
      </c>
      <c r="S1563" s="37"/>
      <c r="T1563" s="37"/>
      <c r="W1563" s="14"/>
      <c r="X1563" s="14" t="str">
        <f t="shared" si="117"/>
        <v>...</v>
      </c>
      <c r="Z1563" s="58" t="str">
        <f>IF(OR($M1563="",NOT($O1563="{array}")),"",IFERROR(MATCH(PARAMETERS!$M1563,DEFAULT!$B$5:$CI$5,0),""))</f>
        <v/>
      </c>
      <c r="AA1563" s="55" t="str">
        <f t="shared" si="114"/>
        <v/>
      </c>
      <c r="AB1563" s="62" t="str">
        <f>IF(AND(OR($A1563="G",$A1563="P"),NOT($O1563="{array}")),IF(VLOOKUP($K1563,base!$B$2:$D$20,3,0)="S",IF(OR($O1563="",ISTEXT($O1563)),"","STRING!"),IF(VLOOKUP($K1563,base!$B$2:$D$20,3,0)="","",IF(ISTEXT($O1563),"NUMERIC!",""))),"")</f>
        <v/>
      </c>
      <c r="AC1563" s="16" t="str">
        <f>IF($AA1563="","",IF($B1563="I",VLOOKUP($AA1563,#REF!,53,0),INDEX(VALUES!$B$1:$GP$1,1,$AA1563)))</f>
        <v/>
      </c>
    </row>
    <row r="1564" spans="1:29" hidden="1" outlineLevel="1">
      <c r="A1564" s="21" t="s">
        <v>86</v>
      </c>
      <c r="B1564" s="40" t="str">
        <f t="shared" si="115"/>
        <v/>
      </c>
      <c r="C1564" s="41">
        <f t="shared" si="116"/>
        <v>1563</v>
      </c>
      <c r="D1564" s="260" t="s">
        <v>9</v>
      </c>
      <c r="E1564" s="37"/>
      <c r="F1564" s="305"/>
      <c r="G1564" s="188" t="s">
        <v>9</v>
      </c>
      <c r="H1564" s="37"/>
      <c r="I1564" s="37" t="s">
        <v>9</v>
      </c>
      <c r="J1564" s="37"/>
      <c r="K1564" s="52" t="s">
        <v>20</v>
      </c>
      <c r="L1564" s="52" t="s">
        <v>34</v>
      </c>
      <c r="M1564" s="317" t="s">
        <v>231</v>
      </c>
      <c r="N1564" s="52" t="s">
        <v>232</v>
      </c>
      <c r="O1564" s="153" t="s">
        <v>228</v>
      </c>
      <c r="R1564" s="37" t="s">
        <v>204</v>
      </c>
      <c r="S1564" s="37"/>
      <c r="T1564" s="37"/>
      <c r="W1564" s="14"/>
      <c r="X1564" s="14" t="str">
        <f t="shared" si="117"/>
        <v>...</v>
      </c>
      <c r="Z1564" s="58" t="str">
        <f>IF(OR($M1564="",NOT($O1564="{array}")),"",IFERROR(MATCH(PARAMETERS!$M1564,DEFAULT!$B$5:$CI$5,0),""))</f>
        <v/>
      </c>
      <c r="AA1564" s="55" t="str">
        <f t="shared" si="114"/>
        <v/>
      </c>
      <c r="AB1564" s="62" t="str">
        <f>IF(AND(OR($A1564="G",$A1564="P"),NOT($O1564="{array}")),IF(VLOOKUP($K1564,base!$B$2:$D$20,3,0)="S",IF(OR($O1564="",ISTEXT($O1564)),"","STRING!"),IF(VLOOKUP($K1564,base!$B$2:$D$20,3,0)="","",IF(ISTEXT($O1564),"NUMERIC!",""))),"")</f>
        <v/>
      </c>
      <c r="AC1564" s="16" t="str">
        <f>IF($AA1564="","",IF($B1564="I",VLOOKUP($AA1564,#REF!,53,0),INDEX(VALUES!$B$1:$GP$1,1,$AA1564)))</f>
        <v/>
      </c>
    </row>
    <row r="1565" spans="1:29" hidden="1" outlineLevel="1">
      <c r="A1565" s="21" t="s">
        <v>86</v>
      </c>
      <c r="B1565" s="40" t="str">
        <f t="shared" si="115"/>
        <v/>
      </c>
      <c r="C1565" s="41">
        <f t="shared" si="116"/>
        <v>1564</v>
      </c>
      <c r="D1565" s="260" t="s">
        <v>9</v>
      </c>
      <c r="E1565" s="37"/>
      <c r="F1565" s="305"/>
      <c r="G1565" s="188" t="s">
        <v>9</v>
      </c>
      <c r="H1565" s="37"/>
      <c r="I1565" s="37" t="s">
        <v>9</v>
      </c>
      <c r="J1565" s="37"/>
      <c r="K1565" s="52" t="s">
        <v>20</v>
      </c>
      <c r="L1565" s="52" t="s">
        <v>34</v>
      </c>
      <c r="M1565" s="317" t="s">
        <v>233</v>
      </c>
      <c r="N1565" s="52" t="s">
        <v>234</v>
      </c>
      <c r="O1565" s="153" t="s">
        <v>3905</v>
      </c>
      <c r="R1565" s="37" t="s">
        <v>204</v>
      </c>
      <c r="S1565" s="37"/>
      <c r="T1565" s="37"/>
      <c r="W1565" s="14"/>
      <c r="X1565" s="14" t="str">
        <f t="shared" si="117"/>
        <v>DORMA_OTS</v>
      </c>
      <c r="Z1565" s="58" t="str">
        <f>IF(OR($M1565="",NOT($O1565="{array}")),"",IFERROR(MATCH(PARAMETERS!$M1565,DEFAULT!$B$5:$CI$5,0),""))</f>
        <v/>
      </c>
      <c r="AA1565" s="55" t="str">
        <f t="shared" si="114"/>
        <v/>
      </c>
      <c r="AB1565" s="62" t="str">
        <f>IF(AND(OR($A1565="G",$A1565="P"),NOT($O1565="{array}")),IF(VLOOKUP($K1565,base!$B$2:$D$20,3,0)="S",IF(OR($O1565="",ISTEXT($O1565)),"","STRING!"),IF(VLOOKUP($K1565,base!$B$2:$D$20,3,0)="","",IF(ISTEXT($O1565),"NUMERIC!",""))),"")</f>
        <v/>
      </c>
      <c r="AC1565" s="16" t="str">
        <f>IF($AA1565="","",IF($B1565="I",VLOOKUP($AA1565,#REF!,53,0),INDEX(VALUES!$B$1:$GP$1,1,$AA1565)))</f>
        <v/>
      </c>
    </row>
    <row r="1566" spans="1:29" hidden="1" outlineLevel="1">
      <c r="A1566" s="21" t="s">
        <v>86</v>
      </c>
      <c r="B1566" s="40" t="str">
        <f t="shared" si="115"/>
        <v/>
      </c>
      <c r="C1566" s="41">
        <f t="shared" si="116"/>
        <v>1565</v>
      </c>
      <c r="D1566" s="260" t="s">
        <v>9</v>
      </c>
      <c r="E1566" s="37"/>
      <c r="F1566" s="305"/>
      <c r="G1566" s="188" t="s">
        <v>9</v>
      </c>
      <c r="H1566" s="37"/>
      <c r="I1566" s="37" t="s">
        <v>9</v>
      </c>
      <c r="J1566" s="37"/>
      <c r="K1566" s="52" t="s">
        <v>20</v>
      </c>
      <c r="L1566" s="52" t="s">
        <v>34</v>
      </c>
      <c r="M1566" s="317" t="s">
        <v>236</v>
      </c>
      <c r="N1566" s="52" t="s">
        <v>237</v>
      </c>
      <c r="O1566" s="153" t="s">
        <v>3906</v>
      </c>
      <c r="R1566" s="37" t="s">
        <v>204</v>
      </c>
      <c r="S1566" s="37"/>
      <c r="T1566" s="37"/>
      <c r="W1566" s="14"/>
      <c r="X1566" s="14" t="str">
        <f t="shared" si="117"/>
        <v>DORMA</v>
      </c>
      <c r="Z1566" s="58" t="str">
        <f>IF(OR($M1566="",NOT($O1566="{array}")),"",IFERROR(MATCH(PARAMETERS!$M1566,DEFAULT!$B$5:$CI$5,0),""))</f>
        <v/>
      </c>
      <c r="AA1566" s="55" t="str">
        <f t="shared" si="114"/>
        <v/>
      </c>
      <c r="AB1566" s="62" t="str">
        <f>IF(AND(OR($A1566="G",$A1566="P"),NOT($O1566="{array}")),IF(VLOOKUP($K1566,base!$B$2:$D$20,3,0)="S",IF(OR($O1566="",ISTEXT($O1566)),"","STRING!"),IF(VLOOKUP($K1566,base!$B$2:$D$20,3,0)="","",IF(ISTEXT($O1566),"NUMERIC!",""))),"")</f>
        <v/>
      </c>
      <c r="AC1566" s="16" t="str">
        <f>IF($AA1566="","",IF($B1566="I",VLOOKUP($AA1566,#REF!,53,0),INDEX(VALUES!$B$1:$GP$1,1,$AA1566)))</f>
        <v/>
      </c>
    </row>
    <row r="1567" spans="1:29" hidden="1" outlineLevel="1">
      <c r="A1567" s="21" t="s">
        <v>86</v>
      </c>
      <c r="B1567" s="40" t="str">
        <f t="shared" si="115"/>
        <v/>
      </c>
      <c r="C1567" s="41">
        <f t="shared" si="116"/>
        <v>1566</v>
      </c>
      <c r="D1567" s="260" t="s">
        <v>9</v>
      </c>
      <c r="E1567" s="37"/>
      <c r="F1567" s="305"/>
      <c r="G1567" s="188" t="s">
        <v>9</v>
      </c>
      <c r="H1567" s="37"/>
      <c r="I1567" s="37" t="s">
        <v>9</v>
      </c>
      <c r="J1567" s="37"/>
      <c r="K1567" s="52" t="s">
        <v>20</v>
      </c>
      <c r="L1567" s="52" t="s">
        <v>34</v>
      </c>
      <c r="M1567" s="317" t="s">
        <v>239</v>
      </c>
      <c r="N1567" s="52" t="s">
        <v>240</v>
      </c>
      <c r="O1567" s="153" t="s">
        <v>228</v>
      </c>
      <c r="R1567" s="37" t="s">
        <v>204</v>
      </c>
      <c r="S1567" s="37"/>
      <c r="T1567" s="37"/>
      <c r="W1567" s="14"/>
      <c r="X1567" s="14" t="str">
        <f t="shared" si="117"/>
        <v>...</v>
      </c>
      <c r="Z1567" s="58" t="str">
        <f>IF(OR($M1567="",NOT($O1567="{array}")),"",IFERROR(MATCH(PARAMETERS!$M1567,DEFAULT!$B$5:$CI$5,0),""))</f>
        <v/>
      </c>
      <c r="AA1567" s="55" t="str">
        <f t="shared" si="114"/>
        <v/>
      </c>
      <c r="AB1567" s="62" t="str">
        <f>IF(AND(OR($A1567="G",$A1567="P"),NOT($O1567="{array}")),IF(VLOOKUP($K1567,base!$B$2:$D$20,3,0)="S",IF(OR($O1567="",ISTEXT($O1567)),"","STRING!"),IF(VLOOKUP($K1567,base!$B$2:$D$20,3,0)="","",IF(ISTEXT($O1567),"NUMERIC!",""))),"")</f>
        <v/>
      </c>
      <c r="AC1567" s="16" t="str">
        <f>IF($AA1567="","",IF($B1567="I",VLOOKUP($AA1567,#REF!,53,0),INDEX(VALUES!$B$1:$GP$1,1,$AA1567)))</f>
        <v/>
      </c>
    </row>
    <row r="1568" spans="1:29" hidden="1" outlineLevel="1">
      <c r="A1568" s="21" t="s">
        <v>86</v>
      </c>
      <c r="B1568" s="40" t="str">
        <f t="shared" si="115"/>
        <v/>
      </c>
      <c r="C1568" s="41">
        <f t="shared" si="116"/>
        <v>1567</v>
      </c>
      <c r="D1568" s="260" t="s">
        <v>9</v>
      </c>
      <c r="E1568" s="37"/>
      <c r="F1568" s="305"/>
      <c r="G1568" s="188" t="s">
        <v>9</v>
      </c>
      <c r="H1568" s="37"/>
      <c r="I1568" s="37" t="s">
        <v>9</v>
      </c>
      <c r="J1568" s="37"/>
      <c r="K1568" s="52" t="s">
        <v>20</v>
      </c>
      <c r="L1568" s="52" t="s">
        <v>34</v>
      </c>
      <c r="M1568" s="317" t="s">
        <v>241</v>
      </c>
      <c r="N1568" s="52" t="s">
        <v>242</v>
      </c>
      <c r="O1568" s="153" t="s">
        <v>3907</v>
      </c>
      <c r="R1568" s="37" t="s">
        <v>204</v>
      </c>
      <c r="S1568" s="37"/>
      <c r="T1568" s="37"/>
      <c r="W1568" s="14"/>
      <c r="X1568" s="14" t="str">
        <f t="shared" si="117"/>
        <v>DORMA_OGRO</v>
      </c>
      <c r="Z1568" s="58" t="str">
        <f>IF(OR($M1568="",NOT($O1568="{array}")),"",IFERROR(MATCH(PARAMETERS!$M1568,DEFAULT!$B$5:$CI$5,0),""))</f>
        <v/>
      </c>
      <c r="AA1568" s="55" t="str">
        <f t="shared" si="114"/>
        <v/>
      </c>
      <c r="AB1568" s="62" t="str">
        <f>IF(AND(OR($A1568="G",$A1568="P"),NOT($O1568="{array}")),IF(VLOOKUP($K1568,base!$B$2:$D$20,3,0)="S",IF(OR($O1568="",ISTEXT($O1568)),"","STRING!"),IF(VLOOKUP($K1568,base!$B$2:$D$20,3,0)="","",IF(ISTEXT($O1568),"NUMERIC!",""))),"")</f>
        <v/>
      </c>
      <c r="AC1568" s="16" t="str">
        <f>IF($AA1568="","",IF($B1568="I",VLOOKUP($AA1568,#REF!,53,0),INDEX(VALUES!$B$1:$GP$1,1,$AA1568)))</f>
        <v/>
      </c>
    </row>
    <row r="1569" spans="1:29" hidden="1" outlineLevel="1">
      <c r="A1569" s="21" t="s">
        <v>86</v>
      </c>
      <c r="B1569" s="40" t="str">
        <f t="shared" si="115"/>
        <v/>
      </c>
      <c r="C1569" s="41">
        <f t="shared" si="116"/>
        <v>1568</v>
      </c>
      <c r="D1569" s="260"/>
      <c r="E1569" s="37"/>
      <c r="F1569" s="305"/>
      <c r="G1569" s="188" t="s">
        <v>9</v>
      </c>
      <c r="H1569" s="37"/>
      <c r="I1569" s="37" t="s">
        <v>9</v>
      </c>
      <c r="J1569" s="37"/>
      <c r="K1569" s="52" t="s">
        <v>20</v>
      </c>
      <c r="L1569" s="52" t="s">
        <v>34</v>
      </c>
      <c r="M1569" s="317" t="s">
        <v>244</v>
      </c>
      <c r="N1569" s="52" t="s">
        <v>245</v>
      </c>
      <c r="O1569" s="153" t="s">
        <v>228</v>
      </c>
      <c r="R1569" s="37" t="s">
        <v>204</v>
      </c>
      <c r="S1569" s="37"/>
      <c r="T1569" s="37"/>
      <c r="W1569" s="14"/>
      <c r="X1569" s="14" t="str">
        <f t="shared" si="117"/>
        <v>...</v>
      </c>
      <c r="Z1569" s="58" t="str">
        <f>IF(OR($M1569="",NOT($O1569="{array}")),"",IFERROR(MATCH(PARAMETERS!$M1569,DEFAULT!$B$5:$CI$5,0),""))</f>
        <v/>
      </c>
      <c r="AA1569" s="55" t="str">
        <f t="shared" si="114"/>
        <v/>
      </c>
      <c r="AB1569" s="62" t="str">
        <f>IF(AND(OR($A1569="G",$A1569="P"),NOT($O1569="{array}")),IF(VLOOKUP($K1569,base!$B$2:$D$20,3,0)="S",IF(OR($O1569="",ISTEXT($O1569)),"","STRING!"),IF(VLOOKUP($K1569,base!$B$2:$D$20,3,0)="","",IF(ISTEXT($O1569),"NUMERIC!",""))),"")</f>
        <v/>
      </c>
      <c r="AC1569" s="16" t="str">
        <f>IF($AA1569="","",IF($B1569="I",VLOOKUP($AA1569,#REF!,53,0),INDEX(VALUES!$B$1:$GP$1,1,$AA1569)))</f>
        <v/>
      </c>
    </row>
    <row r="1570" spans="1:29" hidden="1" outlineLevel="1">
      <c r="A1570" s="21" t="s">
        <v>86</v>
      </c>
      <c r="B1570" s="40" t="str">
        <f t="shared" si="115"/>
        <v/>
      </c>
      <c r="C1570" s="41">
        <f t="shared" si="116"/>
        <v>1569</v>
      </c>
      <c r="D1570" s="260" t="s">
        <v>9</v>
      </c>
      <c r="E1570" s="37"/>
      <c r="F1570" s="305"/>
      <c r="G1570" s="188" t="s">
        <v>9</v>
      </c>
      <c r="H1570" s="37"/>
      <c r="I1570" s="37" t="s">
        <v>9</v>
      </c>
      <c r="J1570" s="37"/>
      <c r="K1570" s="52" t="s">
        <v>20</v>
      </c>
      <c r="L1570" s="52" t="s">
        <v>34</v>
      </c>
      <c r="M1570" s="317" t="s">
        <v>246</v>
      </c>
      <c r="N1570" s="52" t="s">
        <v>247</v>
      </c>
      <c r="O1570" s="153" t="s">
        <v>228</v>
      </c>
      <c r="R1570" s="37" t="s">
        <v>204</v>
      </c>
      <c r="S1570" s="37"/>
      <c r="T1570" s="37"/>
      <c r="W1570" s="14"/>
      <c r="X1570" s="14" t="str">
        <f t="shared" si="117"/>
        <v>...</v>
      </c>
      <c r="Z1570" s="58" t="str">
        <f>IF(OR($M1570="",NOT($O1570="{array}")),"",IFERROR(MATCH(PARAMETERS!$M1570,DEFAULT!$B$5:$CI$5,0),""))</f>
        <v/>
      </c>
      <c r="AA1570" s="55" t="str">
        <f t="shared" si="114"/>
        <v/>
      </c>
      <c r="AB1570" s="62" t="str">
        <f>IF(AND(OR($A1570="G",$A1570="P"),NOT($O1570="{array}")),IF(VLOOKUP($K1570,base!$B$2:$D$20,3,0)="S",IF(OR($O1570="",ISTEXT($O1570)),"","STRING!"),IF(VLOOKUP($K1570,base!$B$2:$D$20,3,0)="","",IF(ISTEXT($O1570),"NUMERIC!",""))),"")</f>
        <v/>
      </c>
      <c r="AC1570" s="16" t="str">
        <f>IF($AA1570="","",IF($B1570="I",VLOOKUP($AA1570,#REF!,53,0),INDEX(VALUES!$B$1:$GP$1,1,$AA1570)))</f>
        <v/>
      </c>
    </row>
    <row r="1571" spans="1:29" hidden="1" outlineLevel="1">
      <c r="A1571" s="21" t="s">
        <v>86</v>
      </c>
      <c r="B1571" s="40" t="str">
        <f t="shared" si="115"/>
        <v/>
      </c>
      <c r="C1571" s="41">
        <f t="shared" si="116"/>
        <v>1570</v>
      </c>
      <c r="D1571" s="260"/>
      <c r="E1571" s="37"/>
      <c r="F1571" s="305"/>
      <c r="G1571" s="188" t="s">
        <v>9</v>
      </c>
      <c r="H1571" s="37"/>
      <c r="I1571" s="37" t="s">
        <v>9</v>
      </c>
      <c r="J1571" s="37"/>
      <c r="K1571" s="52" t="s">
        <v>20</v>
      </c>
      <c r="L1571" s="52" t="s">
        <v>34</v>
      </c>
      <c r="M1571" s="317" t="s">
        <v>248</v>
      </c>
      <c r="N1571" s="52" t="s">
        <v>249</v>
      </c>
      <c r="O1571" s="153" t="s">
        <v>228</v>
      </c>
      <c r="R1571" s="37" t="s">
        <v>204</v>
      </c>
      <c r="S1571" s="37"/>
      <c r="T1571" s="37"/>
      <c r="W1571" s="14"/>
      <c r="X1571" s="14" t="str">
        <f t="shared" si="117"/>
        <v>...</v>
      </c>
      <c r="Z1571" s="58" t="str">
        <f>IF(OR($M1571="",NOT($O1571="{array}")),"",IFERROR(MATCH(PARAMETERS!$M1571,DEFAULT!$B$5:$CI$5,0),""))</f>
        <v/>
      </c>
      <c r="AA1571" s="55" t="str">
        <f t="shared" si="114"/>
        <v/>
      </c>
      <c r="AB1571" s="62" t="str">
        <f>IF(AND(OR($A1571="G",$A1571="P"),NOT($O1571="{array}")),IF(VLOOKUP($K1571,base!$B$2:$D$20,3,0)="S",IF(OR($O1571="",ISTEXT($O1571)),"","STRING!"),IF(VLOOKUP($K1571,base!$B$2:$D$20,3,0)="","",IF(ISTEXT($O1571),"NUMERIC!",""))),"")</f>
        <v/>
      </c>
      <c r="AC1571" s="16" t="str">
        <f>IF($AA1571="","",IF($B1571="I",VLOOKUP($AA1571,#REF!,53,0),INDEX(VALUES!$B$1:$GP$1,1,$AA1571)))</f>
        <v/>
      </c>
    </row>
    <row r="1572" spans="1:29" collapsed="1">
      <c r="A1572" s="21" t="s">
        <v>86</v>
      </c>
      <c r="B1572" s="40" t="str">
        <f t="shared" si="115"/>
        <v/>
      </c>
      <c r="C1572" s="41">
        <f t="shared" si="116"/>
        <v>1571</v>
      </c>
      <c r="D1572" s="260"/>
      <c r="E1572" s="37"/>
      <c r="F1572" s="305" t="s">
        <v>9</v>
      </c>
      <c r="G1572" s="188" t="s">
        <v>9</v>
      </c>
      <c r="H1572" s="37"/>
      <c r="I1572" s="37"/>
      <c r="J1572" s="37"/>
      <c r="K1572" s="13" t="s">
        <v>59</v>
      </c>
      <c r="L1572" s="13" t="s">
        <v>40</v>
      </c>
      <c r="M1572" s="47" t="s">
        <v>250</v>
      </c>
      <c r="N1572" s="40" t="s">
        <v>251</v>
      </c>
      <c r="R1572" s="37" t="s">
        <v>106</v>
      </c>
      <c r="S1572" s="37"/>
      <c r="T1572" s="37"/>
      <c r="W1572" s="14" t="str">
        <f>IF(IFERROR(VLOOKUP($M1572,'IMPORT GS-Tür OL FL 2S2 20'!$H$2:$H$847,1,0),"-")="-","","GS")</f>
        <v/>
      </c>
      <c r="X1572" s="14" t="str">
        <f t="shared" si="117"/>
        <v>...</v>
      </c>
      <c r="Z1572" s="58" t="str">
        <f>IF(OR($M1572="",NOT($O1572="{array}")),"",IFERROR(MATCH(PARAMETERS!$M1572,DEFAULT!$B$5:$CI$5,0),""))</f>
        <v/>
      </c>
      <c r="AA1572" s="55" t="str">
        <f t="shared" si="114"/>
        <v/>
      </c>
      <c r="AB1572" s="62" t="str">
        <f>IF(AND(OR($A1572="G",$A1572="P"),NOT($O1572="{array}")),IF(VLOOKUP($K1572,base!$B$2:$D$20,3,0)="S",IF(OR($O1572="",ISTEXT($O1572)),"","STRING!"),IF(VLOOKUP($K1572,base!$B$2:$D$20,3,0)="","",IF(ISTEXT($O1572),"NUMERIC!",""))),"")</f>
        <v/>
      </c>
      <c r="AC1572" s="16" t="str">
        <f>IF($AA1572="","",IF($B1572="I",VLOOKUP($AA1572,#REF!,53,0),INDEX(VALUES!$B$1:$GP$1,1,$AA1572)))</f>
        <v/>
      </c>
    </row>
    <row r="1573" spans="1:29" hidden="1" outlineLevel="1">
      <c r="A1573" s="21"/>
      <c r="B1573" s="40" t="str">
        <f t="shared" si="115"/>
        <v>X</v>
      </c>
      <c r="C1573" s="41">
        <f t="shared" si="116"/>
        <v>1572</v>
      </c>
      <c r="D1573" s="260"/>
      <c r="E1573" s="37"/>
      <c r="F1573" s="305"/>
      <c r="G1573" s="188" t="s">
        <v>9</v>
      </c>
      <c r="H1573" s="37"/>
      <c r="I1573" s="37" t="s">
        <v>9</v>
      </c>
      <c r="J1573" s="37"/>
      <c r="K1573" s="13" t="s">
        <v>20</v>
      </c>
      <c r="L1573" s="13" t="s">
        <v>40</v>
      </c>
      <c r="M1573" s="19" t="s">
        <v>252</v>
      </c>
      <c r="N1573" s="13" t="s">
        <v>253</v>
      </c>
      <c r="O1573" s="42" t="s">
        <v>254</v>
      </c>
      <c r="R1573" s="37" t="s">
        <v>106</v>
      </c>
      <c r="S1573" s="37"/>
      <c r="T1573" s="37"/>
      <c r="W1573" s="14" t="str">
        <f>IF(IFERROR(VLOOKUP($M1573,'IMPORT GS-Tür OL FL 2S2 20'!$H$2:$H$847,1,0),"-")="-","","GS")</f>
        <v>GS</v>
      </c>
      <c r="X1573" s="14" t="str">
        <f t="shared" si="117"/>
        <v/>
      </c>
      <c r="Z1573" s="58" t="str">
        <f>IF(OR($M1573="",NOT($O1573="{array}")),"",IFERROR(MATCH(PARAMETERS!$M1573,DEFAULT!$B$5:$CI$5,0),""))</f>
        <v/>
      </c>
      <c r="AA1573" s="55">
        <f t="shared" si="114"/>
        <v>191</v>
      </c>
      <c r="AB1573" s="62" t="str">
        <f>IF(AND(OR($A1573="G",$A1573="P"),NOT($O1573="{array}")),IF(VLOOKUP($K1573,base!$B$2:$D$20,3,0)="S",IF(OR($O1573="",ISTEXT($O1573)),"","STRING!"),IF(VLOOKUP($K1573,base!$B$2:$D$20,3,0)="","",IF(ISTEXT($O1573),"NUMERIC!",""))),"")</f>
        <v/>
      </c>
      <c r="AC1573" s="16" t="str">
        <f>IF($AA1573="","",IF($B1573="I",VLOOKUP($AA1573,#REF!,53,0),INDEX(VALUES!$B$1:$GP$1,1,$AA1573)))</f>
        <v>GER | AUT | CHE</v>
      </c>
    </row>
    <row r="1574" spans="1:29" hidden="1" outlineLevel="1">
      <c r="A1574" s="21" t="s">
        <v>86</v>
      </c>
      <c r="B1574" s="40" t="str">
        <f t="shared" si="115"/>
        <v>V</v>
      </c>
      <c r="C1574" s="41">
        <f t="shared" si="116"/>
        <v>1573</v>
      </c>
      <c r="D1574" s="260" t="s">
        <v>9</v>
      </c>
      <c r="E1574" s="37"/>
      <c r="F1574" s="305"/>
      <c r="G1574" s="188" t="s">
        <v>9</v>
      </c>
      <c r="H1574" s="37"/>
      <c r="I1574" s="37" t="s">
        <v>9</v>
      </c>
      <c r="J1574" s="37"/>
      <c r="K1574" s="52" t="s">
        <v>46</v>
      </c>
      <c r="L1574" s="52" t="s">
        <v>34</v>
      </c>
      <c r="M1574" s="317" t="s">
        <v>180</v>
      </c>
      <c r="N1574" s="52" t="s">
        <v>3324</v>
      </c>
      <c r="O1574" s="153">
        <v>1</v>
      </c>
      <c r="R1574" s="37" t="s">
        <v>204</v>
      </c>
      <c r="S1574" s="37"/>
      <c r="T1574" s="37"/>
      <c r="W1574" s="14"/>
      <c r="X1574" s="14" t="str">
        <f t="shared" si="117"/>
        <v>...</v>
      </c>
      <c r="Z1574" s="58" t="str">
        <f>IF(OR($M1574="",NOT($O1574="{array}")),"",IFERROR(MATCH(PARAMETERS!$M1574,DEFAULT!$B$5:$CI$5,0),""))</f>
        <v/>
      </c>
      <c r="AA1574" s="55">
        <f t="shared" si="114"/>
        <v>1</v>
      </c>
      <c r="AB1574" s="62" t="str">
        <f>IF(AND(OR($A1574="G",$A1574="P"),NOT($O1574="{array}")),IF(VLOOKUP($K1574,base!$B$2:$D$20,3,0)="S",IF(OR($O1574="",ISTEXT($O1574)),"","STRING!"),IF(VLOOKUP($K1574,base!$B$2:$D$20,3,0)="","",IF(ISTEXT($O1574),"NUMERIC!",""))),"")</f>
        <v/>
      </c>
      <c r="AC1574" s="16" t="str">
        <f>IF($AA1574="","",IF($B1574="I",VLOOKUP($AA1574,#REF!,53,0),INDEX(VALUES!$B$1:$GP$1,1,$AA1574)))</f>
        <v>1 | 4</v>
      </c>
    </row>
    <row r="1575" spans="1:29" hidden="1" outlineLevel="1">
      <c r="A1575" s="21"/>
      <c r="B1575" s="40" t="str">
        <f t="shared" si="115"/>
        <v/>
      </c>
      <c r="C1575" s="41">
        <f t="shared" si="116"/>
        <v>1574</v>
      </c>
      <c r="D1575" s="260" t="s">
        <v>9</v>
      </c>
      <c r="E1575" s="37"/>
      <c r="F1575" s="305"/>
      <c r="G1575" s="188" t="s">
        <v>9</v>
      </c>
      <c r="H1575" s="37"/>
      <c r="I1575" s="37" t="s">
        <v>9</v>
      </c>
      <c r="J1575" s="37"/>
      <c r="K1575" s="185" t="s">
        <v>46</v>
      </c>
      <c r="L1575" s="185" t="s">
        <v>34</v>
      </c>
      <c r="M1575" s="319" t="s">
        <v>255</v>
      </c>
      <c r="N1575" s="185" t="s">
        <v>256</v>
      </c>
      <c r="O1575" s="320">
        <v>1</v>
      </c>
      <c r="R1575" s="37" t="s">
        <v>204</v>
      </c>
      <c r="S1575" s="37"/>
      <c r="T1575" s="37"/>
      <c r="W1575" s="14"/>
      <c r="X1575" s="14" t="str">
        <f t="shared" si="117"/>
        <v/>
      </c>
      <c r="Z1575" s="58" t="str">
        <f>IF(OR($M1575="",NOT($O1575="{array}")),"",IFERROR(MATCH(PARAMETERS!$M1575,DEFAULT!$B$5:$CI$5,0),""))</f>
        <v/>
      </c>
      <c r="AA1575" s="55" t="str">
        <f t="shared" si="114"/>
        <v/>
      </c>
      <c r="AB1575" s="62" t="str">
        <f>IF(AND(OR($A1575="G",$A1575="P"),NOT($O1575="{array}")),IF(VLOOKUP($K1575,base!$B$2:$D$20,3,0)="S",IF(OR($O1575="",ISTEXT($O1575)),"","STRING!"),IF(VLOOKUP($K1575,base!$B$2:$D$20,3,0)="","",IF(ISTEXT($O1575),"NUMERIC!",""))),"")</f>
        <v/>
      </c>
      <c r="AC1575" s="16" t="str">
        <f>IF($AA1575="","",IF($B1575="I",VLOOKUP($AA1575,#REF!,53,0),INDEX(VALUES!$B$1:$GP$1,1,$AA1575)))</f>
        <v/>
      </c>
    </row>
    <row r="1576" spans="1:29" collapsed="1">
      <c r="A1576" s="21" t="s">
        <v>86</v>
      </c>
      <c r="B1576" s="40" t="str">
        <f t="shared" si="115"/>
        <v/>
      </c>
      <c r="C1576" s="41">
        <f t="shared" si="116"/>
        <v>1575</v>
      </c>
      <c r="D1576" s="260" t="s">
        <v>9</v>
      </c>
      <c r="E1576" s="37"/>
      <c r="F1576" s="305"/>
      <c r="G1576" s="188" t="s">
        <v>9</v>
      </c>
      <c r="H1576" s="37"/>
      <c r="I1576" s="37" t="s">
        <v>9</v>
      </c>
      <c r="J1576" s="37"/>
      <c r="K1576" s="52" t="s">
        <v>38</v>
      </c>
      <c r="L1576" s="52" t="s">
        <v>34</v>
      </c>
      <c r="M1576" s="317" t="s">
        <v>4247</v>
      </c>
      <c r="N1576" s="52" t="s">
        <v>4248</v>
      </c>
      <c r="O1576" s="153">
        <v>1.62</v>
      </c>
      <c r="R1576" s="37" t="s">
        <v>204</v>
      </c>
      <c r="S1576" s="37"/>
      <c r="T1576" s="37"/>
      <c r="X1576" s="14" t="str">
        <f t="shared" si="117"/>
        <v>&gt;&lt;</v>
      </c>
      <c r="Z1576" s="58" t="str">
        <f>IF(OR($M1576="",NOT($O1576="{array}")),"",IFERROR(MATCH(PARAMETERS!$M1576,DEFAULT!$B$5:$CI$5,0),""))</f>
        <v/>
      </c>
      <c r="AA1576" s="55" t="str">
        <f t="shared" si="114"/>
        <v/>
      </c>
      <c r="AB1576" s="62" t="str">
        <f>IF(AND(OR($A1576="G",$A1576="P"),NOT($O1576="{array}")),IF(VLOOKUP($K1576,base!$B$2:$D$20,3,0)="S",IF(OR($O1576="",ISTEXT($O1576)),"","STRING!"),IF(VLOOKUP($K1576,base!$B$2:$D$20,3,0)="","",IF(ISTEXT($O1576),"NUMERIC!",""))),"")</f>
        <v/>
      </c>
      <c r="AC1576" s="16" t="str">
        <f>IF($AA1576="","",IF($B1576="I",VLOOKUP($AA1576,#REF!,53,0),INDEX(VALUES!$B$1:$GP$1,1,$AA1576)))</f>
        <v/>
      </c>
    </row>
    <row r="1577" spans="1:29" hidden="1" outlineLevel="1">
      <c r="A1577" s="21" t="s">
        <v>86</v>
      </c>
      <c r="B1577" s="40" t="str">
        <f t="shared" si="115"/>
        <v/>
      </c>
      <c r="C1577" s="41">
        <f t="shared" si="116"/>
        <v>1576</v>
      </c>
      <c r="D1577" s="260" t="s">
        <v>9</v>
      </c>
      <c r="E1577" s="37"/>
      <c r="F1577" s="305" t="s">
        <v>9</v>
      </c>
      <c r="G1577" s="188" t="s">
        <v>9</v>
      </c>
      <c r="H1577" s="37"/>
      <c r="I1577" s="37" t="s">
        <v>9</v>
      </c>
      <c r="J1577" s="37"/>
      <c r="K1577" s="13" t="s">
        <v>46</v>
      </c>
      <c r="L1577" s="13" t="s">
        <v>29</v>
      </c>
      <c r="M1577" s="318" t="s">
        <v>257</v>
      </c>
      <c r="N1577" s="13" t="s">
        <v>258</v>
      </c>
      <c r="O1577" s="42">
        <v>1</v>
      </c>
      <c r="Q1577" s="37" t="s">
        <v>9</v>
      </c>
      <c r="R1577" s="37" t="s">
        <v>106</v>
      </c>
      <c r="S1577" s="37"/>
      <c r="T1577" s="37"/>
      <c r="W1577" s="14" t="str">
        <f>IF(IFERROR(VLOOKUP($M1577,'IMPORT GS-Tür OL FL 2S2 20'!$H$2:$H$847,1,0),"-")="-","","GS")</f>
        <v>GS</v>
      </c>
      <c r="X1577" s="14" t="str">
        <f t="shared" si="117"/>
        <v>...</v>
      </c>
      <c r="Z1577" s="58" t="str">
        <f>IF(OR($M1577="",NOT($O1577="{array}")),"",IFERROR(MATCH(PARAMETERS!$M1577,DEFAULT!$B$5:$CI$5,0),""))</f>
        <v/>
      </c>
      <c r="AA1577" s="55" t="str">
        <f t="shared" si="114"/>
        <v/>
      </c>
      <c r="AB1577" s="62" t="str">
        <f>IF(AND(OR($A1577="G",$A1577="P"),NOT($O1577="{array}")),IF(VLOOKUP($K1577,base!$B$2:$D$20,3,0)="S",IF(OR($O1577="",ISTEXT($O1577)),"","STRING!"),IF(VLOOKUP($K1577,base!$B$2:$D$20,3,0)="","",IF(ISTEXT($O1577),"NUMERIC!",""))),"")</f>
        <v/>
      </c>
      <c r="AC1577" s="16" t="str">
        <f>IF($AA1577="","",IF($B1577="I",VLOOKUP($AA1577,#REF!,53,0),INDEX(VALUES!$B$1:$GP$1,1,$AA1577)))</f>
        <v/>
      </c>
    </row>
    <row r="1578" spans="1:29" hidden="1" outlineLevel="1">
      <c r="A1578" s="21" t="s">
        <v>86</v>
      </c>
      <c r="B1578" s="40" t="str">
        <f t="shared" si="115"/>
        <v>V</v>
      </c>
      <c r="C1578" s="41">
        <f t="shared" si="116"/>
        <v>1577</v>
      </c>
      <c r="D1578" s="260" t="s">
        <v>9</v>
      </c>
      <c r="E1578" s="37"/>
      <c r="F1578" s="305" t="s">
        <v>9</v>
      </c>
      <c r="G1578" s="188" t="s">
        <v>9</v>
      </c>
      <c r="H1578" s="37"/>
      <c r="I1578" s="37" t="s">
        <v>9</v>
      </c>
      <c r="J1578" s="37"/>
      <c r="K1578" s="13" t="s">
        <v>46</v>
      </c>
      <c r="L1578" s="13" t="s">
        <v>29</v>
      </c>
      <c r="M1578" s="318" t="s">
        <v>3908</v>
      </c>
      <c r="N1578" s="13" t="s">
        <v>3909</v>
      </c>
      <c r="O1578" s="42">
        <v>1</v>
      </c>
      <c r="R1578" s="37" t="s">
        <v>106</v>
      </c>
      <c r="S1578" s="37"/>
      <c r="T1578" s="37"/>
      <c r="W1578" s="14" t="str">
        <f>IF(IFERROR(VLOOKUP($M1578,'IMPORT GS-Tür OL FL 2S2 20'!$H$2:$H$847,1,0),"-")="-","","GS")</f>
        <v/>
      </c>
      <c r="X1578" s="14" t="str">
        <f t="shared" si="117"/>
        <v>&gt;&lt;</v>
      </c>
      <c r="Z1578" s="58" t="str">
        <f>IF(OR($M1578="",NOT($O1578="{array}")),"",IFERROR(MATCH(PARAMETERS!$M1578,DEFAULT!$B$5:$CI$5,0),""))</f>
        <v/>
      </c>
      <c r="AA1578" s="55">
        <f t="shared" si="114"/>
        <v>3</v>
      </c>
      <c r="AB1578" s="62" t="str">
        <f>IF(AND(OR($A1578="G",$A1578="P"),NOT($O1578="{array}")),IF(VLOOKUP($K1578,base!$B$2:$D$20,3,0)="S",IF(OR($O1578="",ISTEXT($O1578)),"","STRING!"),IF(VLOOKUP($K1578,base!$B$2:$D$20,3,0)="","",IF(ISTEXT($O1578),"NUMERIC!",""))),"")</f>
        <v/>
      </c>
      <c r="AC1578" s="16" t="str">
        <f>IF($AA1578="","",IF($B1578="I",VLOOKUP($AA1578,#REF!,53,0),INDEX(VALUES!$B$1:$GP$1,1,$AA1578)))</f>
        <v>0 | 1 | 2</v>
      </c>
    </row>
    <row r="1579" spans="1:29" hidden="1" outlineLevel="1">
      <c r="A1579" s="21" t="s">
        <v>86</v>
      </c>
      <c r="B1579" s="40" t="str">
        <f t="shared" si="115"/>
        <v/>
      </c>
      <c r="C1579" s="41">
        <f t="shared" si="116"/>
        <v>1578</v>
      </c>
      <c r="D1579" s="260" t="s">
        <v>9</v>
      </c>
      <c r="E1579" s="37"/>
      <c r="F1579" s="305" t="s">
        <v>9</v>
      </c>
      <c r="G1579" s="188" t="s">
        <v>9</v>
      </c>
      <c r="H1579" s="37"/>
      <c r="I1579" s="37" t="s">
        <v>9</v>
      </c>
      <c r="J1579" s="37"/>
      <c r="K1579" s="13" t="s">
        <v>46</v>
      </c>
      <c r="L1579" s="13" t="s">
        <v>29</v>
      </c>
      <c r="M1579" s="318" t="s">
        <v>259</v>
      </c>
      <c r="N1579" s="13" t="s">
        <v>260</v>
      </c>
      <c r="O1579" s="42">
        <v>0</v>
      </c>
      <c r="Q1579" s="37" t="s">
        <v>9</v>
      </c>
      <c r="R1579" s="37" t="s">
        <v>106</v>
      </c>
      <c r="S1579" s="37"/>
      <c r="T1579" s="37"/>
      <c r="W1579" s="14" t="str">
        <f>IF(IFERROR(VLOOKUP($M1579,'IMPORT GS-Tür OL FL 2S2 20'!$H$2:$H$847,1,0),"-")="-","","GS")</f>
        <v>GS</v>
      </c>
      <c r="X1579" s="14">
        <f t="shared" si="117"/>
        <v>1</v>
      </c>
      <c r="Z1579" s="58" t="str">
        <f>IF(OR($M1579="",NOT($O1579="{array}")),"",IFERROR(MATCH(PARAMETERS!$M1579,DEFAULT!$B$5:$CI$5,0),""))</f>
        <v/>
      </c>
      <c r="AA1579" s="55" t="str">
        <f t="shared" si="114"/>
        <v/>
      </c>
      <c r="AB1579" s="62" t="str">
        <f>IF(AND(OR($A1579="G",$A1579="P"),NOT($O1579="{array}")),IF(VLOOKUP($K1579,base!$B$2:$D$20,3,0)="S",IF(OR($O1579="",ISTEXT($O1579)),"","STRING!"),IF(VLOOKUP($K1579,base!$B$2:$D$20,3,0)="","",IF(ISTEXT($O1579),"NUMERIC!",""))),"")</f>
        <v/>
      </c>
      <c r="AC1579" s="16" t="str">
        <f>IF($AA1579="","",IF($B1579="I",VLOOKUP($AA1579,#REF!,53,0),INDEX(VALUES!$B$1:$GP$1,1,$AA1579)))</f>
        <v/>
      </c>
    </row>
    <row r="1580" spans="1:29" hidden="1" outlineLevel="1">
      <c r="A1580" s="21" t="s">
        <v>86</v>
      </c>
      <c r="B1580" s="40" t="str">
        <f t="shared" si="115"/>
        <v/>
      </c>
      <c r="C1580" s="41">
        <f t="shared" si="116"/>
        <v>1579</v>
      </c>
      <c r="D1580" s="260"/>
      <c r="E1580" s="37"/>
      <c r="F1580" s="305" t="s">
        <v>9</v>
      </c>
      <c r="G1580" s="188"/>
      <c r="H1580" s="37"/>
      <c r="I1580" s="37" t="s">
        <v>9</v>
      </c>
      <c r="J1580" s="37" t="s">
        <v>9</v>
      </c>
      <c r="K1580" s="13" t="s">
        <v>46</v>
      </c>
      <c r="L1580" s="13" t="s">
        <v>29</v>
      </c>
      <c r="M1580" s="19" t="s">
        <v>261</v>
      </c>
      <c r="N1580" s="13" t="s">
        <v>4065</v>
      </c>
      <c r="O1580" s="42">
        <v>1</v>
      </c>
      <c r="Q1580" s="37" t="s">
        <v>9</v>
      </c>
      <c r="R1580" s="37" t="s">
        <v>106</v>
      </c>
      <c r="S1580" s="37"/>
      <c r="T1580" s="37"/>
      <c r="W1580" s="14" t="str">
        <f>IF(IFERROR(VLOOKUP($M1580,'IMPORT GS-Tür OL FL 2S2 20'!$H$2:$H$847,1,0),"-")="-","","GS")</f>
        <v>GS</v>
      </c>
      <c r="X1580" s="14" t="str">
        <f t="shared" si="117"/>
        <v>...</v>
      </c>
      <c r="Z1580" s="58" t="str">
        <f>IF(OR($M1580="",NOT($O1580="{array}")),"",IFERROR(MATCH(PARAMETERS!$M1580,DEFAULT!$B$5:$CI$5,0),""))</f>
        <v/>
      </c>
      <c r="AA1580" s="55" t="str">
        <f t="shared" si="114"/>
        <v/>
      </c>
      <c r="AB1580" s="62" t="str">
        <f>IF(AND(OR($A1580="G",$A1580="P"),NOT($O1580="{array}")),IF(VLOOKUP($K1580,base!$B$2:$D$20,3,0)="S",IF(OR($O1580="",ISTEXT($O1580)),"","STRING!"),IF(VLOOKUP($K1580,base!$B$2:$D$20,3,0)="","",IF(ISTEXT($O1580),"NUMERIC!",""))),"")</f>
        <v/>
      </c>
      <c r="AC1580" s="16" t="str">
        <f>IF($AA1580="","",IF($B1580="I",VLOOKUP($AA1580,#REF!,53,0),INDEX(VALUES!$B$1:$GP$1,1,$AA1580)))</f>
        <v/>
      </c>
    </row>
    <row r="1581" spans="1:29" hidden="1" outlineLevel="1">
      <c r="A1581" s="21" t="s">
        <v>86</v>
      </c>
      <c r="B1581" s="40" t="str">
        <f>IF($A1581="P",IF(NOT($Z1581=""),"A",IF(NOT($AA1581=""),"I","")),IF(NOT($AA1581=""),IF($A1581="G","V","X"),IF(NOT($Z1581=""),"A","")))</f>
        <v/>
      </c>
      <c r="C1581" s="41">
        <f>(ROW()-1)</f>
        <v>1580</v>
      </c>
      <c r="D1581" s="260"/>
      <c r="E1581" s="37"/>
      <c r="F1581" s="305" t="s">
        <v>9</v>
      </c>
      <c r="G1581" s="188" t="s">
        <v>9</v>
      </c>
      <c r="H1581" s="37"/>
      <c r="I1581" s="37" t="s">
        <v>9</v>
      </c>
      <c r="J1581" s="37"/>
      <c r="K1581" s="249" t="s">
        <v>46</v>
      </c>
      <c r="L1581" s="249" t="s">
        <v>29</v>
      </c>
      <c r="M1581" s="214" t="s">
        <v>1636</v>
      </c>
      <c r="N1581" s="249" t="s">
        <v>1637</v>
      </c>
      <c r="O1581" s="314">
        <v>3</v>
      </c>
      <c r="R1581" s="37" t="s">
        <v>106</v>
      </c>
      <c r="S1581" s="37"/>
      <c r="T1581" s="37"/>
      <c r="W1581" s="14" t="str">
        <f>IF(IFERROR(VLOOKUP($M1581,'IMPORT GS-Tür OL FL 2S2 20'!$H$2:$H$847,1,0),"-")="-","","GS")</f>
        <v>GS</v>
      </c>
      <c r="X1581" s="14">
        <f>IF($A1581="G",IF(IFERROR(VLOOKUP($M1581,Reimport,1,0),"-")="-","&gt;&lt;",IF($O1581=VLOOKUP($M1581,Reimport,2,0),"...",VLOOKUP($M1581,Reimport,2,0))),"")</f>
        <v>2</v>
      </c>
      <c r="Y1581" s="13" t="s">
        <v>1605</v>
      </c>
      <c r="Z1581" s="58" t="str">
        <f>IF(OR($M1581="",NOT($O1581="{array}")),"",IFERROR(MATCH(PARAMETERS!$M1581,DEFAULT!$B$5:$CI$5,0),""))</f>
        <v/>
      </c>
      <c r="AA1581" s="55" t="str">
        <f>IF($M1581="","",IFERROR(MATCH($M1581,VALUESnames,0),""))</f>
        <v/>
      </c>
      <c r="AB1581" s="62" t="str">
        <f>IF(AND(OR($A1581="G",$A1581="P"),NOT($O1581="{array}")),IF(VLOOKUP($K1581,base!$B$2:$D$20,3,0)="S",IF(OR($O1581="",ISTEXT($O1581)),"","STRING!"),IF(VLOOKUP($K1581,base!$B$2:$D$20,3,0)="","",IF(ISTEXT($O1581),"NUMERIC!",""))),"")</f>
        <v/>
      </c>
      <c r="AC1581" s="16" t="str">
        <f>IF($AA1581="","",IF($B1581="I",VLOOKUP($AA1581,#REF!,53,0),INDEX(VALUES!$B$1:$GP$1,1,$AA1581)))</f>
        <v/>
      </c>
    </row>
    <row r="1582" spans="1:29" hidden="1" outlineLevel="1">
      <c r="A1582" s="21"/>
      <c r="B1582" s="40" t="str">
        <f t="shared" si="115"/>
        <v/>
      </c>
      <c r="C1582" s="41">
        <f t="shared" si="116"/>
        <v>1581</v>
      </c>
      <c r="D1582" s="260"/>
      <c r="E1582" s="37"/>
      <c r="F1582" s="305"/>
      <c r="G1582" s="188"/>
      <c r="H1582" s="37"/>
      <c r="I1582" s="37" t="s">
        <v>9</v>
      </c>
      <c r="J1582" s="37"/>
      <c r="K1582" s="13" t="s">
        <v>46</v>
      </c>
      <c r="L1582" s="13" t="s">
        <v>29</v>
      </c>
      <c r="M1582" s="19" t="s">
        <v>262</v>
      </c>
      <c r="O1582" s="42">
        <v>0</v>
      </c>
      <c r="Q1582" s="37" t="s">
        <v>263</v>
      </c>
      <c r="R1582" s="37" t="s">
        <v>106</v>
      </c>
      <c r="S1582" s="37"/>
      <c r="T1582" s="37"/>
      <c r="W1582" s="14" t="str">
        <f>IF(IFERROR(VLOOKUP($M1582,'IMPORT GS-Tür OL FL 2S2 20'!$H$2:$H$847,1,0),"-")="-","","GS")</f>
        <v/>
      </c>
      <c r="X1582" s="14" t="str">
        <f t="shared" si="117"/>
        <v/>
      </c>
      <c r="Z1582" s="58" t="str">
        <f>IF(OR($M1582="",NOT($O1582="{array}")),"",IFERROR(MATCH(PARAMETERS!$M1582,DEFAULT!$B$5:$CI$5,0),""))</f>
        <v/>
      </c>
      <c r="AA1582" s="55" t="str">
        <f t="shared" si="114"/>
        <v/>
      </c>
      <c r="AB1582" s="62" t="str">
        <f>IF(AND(OR($A1582="G",$A1582="P"),NOT($O1582="{array}")),IF(VLOOKUP($K1582,base!$B$2:$D$20,3,0)="S",IF(OR($O1582="",ISTEXT($O1582)),"","STRING!"),IF(VLOOKUP($K1582,base!$B$2:$D$20,3,0)="","",IF(ISTEXT($O1582),"NUMERIC!",""))),"")</f>
        <v/>
      </c>
      <c r="AC1582" s="16" t="str">
        <f>IF($AA1582="","",IF($B1582="I",VLOOKUP($AA1582,#REF!,53,0),INDEX(VALUES!$B$1:$GP$1,1,$AA1582)))</f>
        <v/>
      </c>
    </row>
    <row r="1583" spans="1:29" hidden="1" outlineLevel="1">
      <c r="A1583" s="21"/>
      <c r="B1583" s="40" t="str">
        <f t="shared" si="115"/>
        <v/>
      </c>
      <c r="C1583" s="41">
        <f t="shared" si="116"/>
        <v>1582</v>
      </c>
      <c r="D1583" s="260"/>
      <c r="E1583" s="37"/>
      <c r="F1583" s="305"/>
      <c r="G1583" s="188"/>
      <c r="H1583" s="37"/>
      <c r="I1583" s="37" t="s">
        <v>9</v>
      </c>
      <c r="J1583" s="37"/>
      <c r="K1583" s="13" t="s">
        <v>46</v>
      </c>
      <c r="L1583" s="13" t="s">
        <v>29</v>
      </c>
      <c r="M1583" s="19" t="s">
        <v>264</v>
      </c>
      <c r="O1583" s="42">
        <v>1</v>
      </c>
      <c r="Q1583" s="37" t="s">
        <v>263</v>
      </c>
      <c r="R1583" s="37" t="s">
        <v>106</v>
      </c>
      <c r="S1583" s="37"/>
      <c r="T1583" s="37"/>
      <c r="W1583" s="14" t="str">
        <f>IF(IFERROR(VLOOKUP($M1583,'IMPORT GS-Tür OL FL 2S2 20'!$H$2:$H$847,1,0),"-")="-","","GS")</f>
        <v/>
      </c>
      <c r="X1583" s="14" t="str">
        <f t="shared" si="117"/>
        <v/>
      </c>
      <c r="Z1583" s="58" t="str">
        <f>IF(OR($M1583="",NOT($O1583="{array}")),"",IFERROR(MATCH(PARAMETERS!$M1583,DEFAULT!$B$5:$CI$5,0),""))</f>
        <v/>
      </c>
      <c r="AA1583" s="55" t="str">
        <f t="shared" si="114"/>
        <v/>
      </c>
      <c r="AB1583" s="62" t="str">
        <f>IF(AND(OR($A1583="G",$A1583="P"),NOT($O1583="{array}")),IF(VLOOKUP($K1583,base!$B$2:$D$20,3,0)="S",IF(OR($O1583="",ISTEXT($O1583)),"","STRING!"),IF(VLOOKUP($K1583,base!$B$2:$D$20,3,0)="","",IF(ISTEXT($O1583),"NUMERIC!",""))),"")</f>
        <v/>
      </c>
      <c r="AC1583" s="16" t="str">
        <f>IF($AA1583="","",IF($B1583="I",VLOOKUP($AA1583,#REF!,53,0),INDEX(VALUES!$B$1:$GP$1,1,$AA1583)))</f>
        <v/>
      </c>
    </row>
    <row r="1584" spans="1:29" hidden="1" outlineLevel="1">
      <c r="A1584" s="21"/>
      <c r="B1584" s="40" t="str">
        <f t="shared" si="115"/>
        <v/>
      </c>
      <c r="C1584" s="41">
        <f t="shared" si="116"/>
        <v>1583</v>
      </c>
      <c r="D1584" s="260"/>
      <c r="E1584" s="37"/>
      <c r="F1584" s="305" t="s">
        <v>9</v>
      </c>
      <c r="G1584" s="188"/>
      <c r="H1584" s="37"/>
      <c r="I1584" s="37" t="s">
        <v>9</v>
      </c>
      <c r="J1584" s="37"/>
      <c r="K1584" s="13" t="s">
        <v>20</v>
      </c>
      <c r="L1584" s="13" t="s">
        <v>29</v>
      </c>
      <c r="M1584" s="19" t="s">
        <v>265</v>
      </c>
      <c r="N1584" s="13" t="s">
        <v>266</v>
      </c>
      <c r="Q1584" s="37" t="s">
        <v>9</v>
      </c>
      <c r="R1584" s="37" t="s">
        <v>106</v>
      </c>
      <c r="S1584" s="37"/>
      <c r="T1584" s="37"/>
      <c r="W1584" s="14" t="str">
        <f>IF(IFERROR(VLOOKUP($M1584,'IMPORT GS-Tür OL FL 2S2 20'!$H$2:$H$847,1,0),"-")="-","","GS")</f>
        <v>GS</v>
      </c>
      <c r="X1584" s="14" t="str">
        <f t="shared" si="117"/>
        <v/>
      </c>
      <c r="Z1584" s="58" t="str">
        <f>IF(OR($M1584="",NOT($O1584="{array}")),"",IFERROR(MATCH(PARAMETERS!$M1584,DEFAULT!$B$5:$CI$5,0),""))</f>
        <v/>
      </c>
      <c r="AA1584" s="55" t="str">
        <f t="shared" si="114"/>
        <v/>
      </c>
      <c r="AB1584" s="62" t="str">
        <f>IF(AND(OR($A1584="G",$A1584="P"),NOT($O1584="{array}")),IF(VLOOKUP($K1584,base!$B$2:$D$20,3,0)="S",IF(OR($O1584="",ISTEXT($O1584)),"","STRING!"),IF(VLOOKUP($K1584,base!$B$2:$D$20,3,0)="","",IF(ISTEXT($O1584),"NUMERIC!",""))),"")</f>
        <v/>
      </c>
      <c r="AC1584" s="16" t="str">
        <f>IF($AA1584="","",IF($B1584="I",VLOOKUP($AA1584,#REF!,53,0),INDEX(VALUES!$B$1:$GP$1,1,$AA1584)))</f>
        <v/>
      </c>
    </row>
    <row r="1585" spans="1:29" hidden="1" outlineLevel="1">
      <c r="A1585" s="21"/>
      <c r="B1585" s="40" t="str">
        <f t="shared" si="115"/>
        <v/>
      </c>
      <c r="C1585" s="41">
        <f t="shared" si="116"/>
        <v>1584</v>
      </c>
      <c r="D1585" s="260"/>
      <c r="E1585" s="37"/>
      <c r="F1585" s="305" t="s">
        <v>9</v>
      </c>
      <c r="G1585" s="188"/>
      <c r="H1585" s="37"/>
      <c r="I1585" s="37" t="s">
        <v>9</v>
      </c>
      <c r="J1585" s="37" t="s">
        <v>9</v>
      </c>
      <c r="K1585" s="13" t="s">
        <v>46</v>
      </c>
      <c r="L1585" s="13" t="s">
        <v>40</v>
      </c>
      <c r="M1585" s="19" t="s">
        <v>267</v>
      </c>
      <c r="N1585" s="13" t="s">
        <v>268</v>
      </c>
      <c r="O1585" s="42">
        <v>2</v>
      </c>
      <c r="Q1585" s="37" t="s">
        <v>9</v>
      </c>
      <c r="R1585" s="37" t="s">
        <v>106</v>
      </c>
      <c r="S1585" s="37"/>
      <c r="T1585" s="37"/>
      <c r="W1585" s="14" t="str">
        <f>IF(IFERROR(VLOOKUP($M1585,'IMPORT GS-Tür OL FL 2S2 20'!$H$2:$H$847,1,0),"-")="-","","GS")</f>
        <v>GS</v>
      </c>
      <c r="X1585" s="14" t="str">
        <f t="shared" si="117"/>
        <v/>
      </c>
      <c r="Z1585" s="58" t="str">
        <f>IF(OR($M1585="",NOT($O1585="{array}")),"",IFERROR(MATCH(PARAMETERS!$M1585,DEFAULT!$B$5:$CI$5,0),""))</f>
        <v/>
      </c>
      <c r="AA1585" s="55" t="str">
        <f t="shared" si="114"/>
        <v/>
      </c>
      <c r="AB1585" s="62" t="str">
        <f>IF(AND(OR($A1585="G",$A1585="P"),NOT($O1585="{array}")),IF(VLOOKUP($K1585,base!$B$2:$D$20,3,0)="S",IF(OR($O1585="",ISTEXT($O1585)),"","STRING!"),IF(VLOOKUP($K1585,base!$B$2:$D$20,3,0)="","",IF(ISTEXT($O1585),"NUMERIC!",""))),"")</f>
        <v/>
      </c>
      <c r="AC1585" s="16" t="str">
        <f>IF($AA1585="","",IF($B1585="I",VLOOKUP($AA1585,#REF!,53,0),INDEX(VALUES!$B$1:$GP$1,1,$AA1585)))</f>
        <v/>
      </c>
    </row>
    <row r="1586" spans="1:29" hidden="1" outlineLevel="1">
      <c r="A1586" s="21"/>
      <c r="B1586" s="40" t="str">
        <f t="shared" si="115"/>
        <v/>
      </c>
      <c r="C1586" s="41">
        <f t="shared" si="116"/>
        <v>1585</v>
      </c>
      <c r="D1586" s="260"/>
      <c r="E1586" s="37"/>
      <c r="F1586" s="305" t="s">
        <v>9</v>
      </c>
      <c r="G1586" s="188"/>
      <c r="H1586" s="37"/>
      <c r="I1586" s="37" t="s">
        <v>9</v>
      </c>
      <c r="J1586" s="37"/>
      <c r="K1586" s="13" t="s">
        <v>49</v>
      </c>
      <c r="L1586" s="13" t="s">
        <v>29</v>
      </c>
      <c r="M1586" s="19" t="s">
        <v>269</v>
      </c>
      <c r="N1586" s="13" t="s">
        <v>270</v>
      </c>
      <c r="O1586" s="42">
        <v>1</v>
      </c>
      <c r="Q1586" s="37" t="s">
        <v>9</v>
      </c>
      <c r="R1586" s="37" t="s">
        <v>106</v>
      </c>
      <c r="S1586" s="37"/>
      <c r="T1586" s="37"/>
      <c r="W1586" s="14" t="str">
        <f>IF(IFERROR(VLOOKUP($M1586,'IMPORT GS-Tür OL FL 2S2 20'!$H$2:$H$847,1,0),"-")="-","","GS")</f>
        <v>GS</v>
      </c>
      <c r="X1586" s="14" t="str">
        <f t="shared" si="117"/>
        <v/>
      </c>
      <c r="Z1586" s="58" t="str">
        <f>IF(OR($M1586="",NOT($O1586="{array}")),"",IFERROR(MATCH(PARAMETERS!$M1586,DEFAULT!$B$5:$CI$5,0),""))</f>
        <v/>
      </c>
      <c r="AA1586" s="55" t="str">
        <f t="shared" si="114"/>
        <v/>
      </c>
      <c r="AB1586" s="62" t="str">
        <f>IF(AND(OR($A1586="G",$A1586="P"),NOT($O1586="{array}")),IF(VLOOKUP($K1586,base!$B$2:$D$20,3,0)="S",IF(OR($O1586="",ISTEXT($O1586)),"","STRING!"),IF(VLOOKUP($K1586,base!$B$2:$D$20,3,0)="","",IF(ISTEXT($O1586),"NUMERIC!",""))),"")</f>
        <v/>
      </c>
      <c r="AC1586" s="16" t="str">
        <f>IF($AA1586="","",IF($B1586="I",VLOOKUP($AA1586,#REF!,53,0),INDEX(VALUES!$B$1:$GP$1,1,$AA1586)))</f>
        <v/>
      </c>
    </row>
    <row r="1587" spans="1:29" hidden="1" outlineLevel="1">
      <c r="A1587" s="21" t="s">
        <v>86</v>
      </c>
      <c r="B1587" s="40" t="str">
        <f t="shared" si="115"/>
        <v>V</v>
      </c>
      <c r="C1587" s="41">
        <f t="shared" si="116"/>
        <v>1586</v>
      </c>
      <c r="D1587" s="260" t="s">
        <v>9</v>
      </c>
      <c r="E1587" s="37"/>
      <c r="F1587" s="305"/>
      <c r="G1587" s="188" t="s">
        <v>9</v>
      </c>
      <c r="H1587" s="37"/>
      <c r="I1587" s="37" t="s">
        <v>9</v>
      </c>
      <c r="J1587" s="37"/>
      <c r="K1587" s="52" t="s">
        <v>46</v>
      </c>
      <c r="L1587" s="52" t="s">
        <v>34</v>
      </c>
      <c r="M1587" s="52" t="s">
        <v>271</v>
      </c>
      <c r="N1587" s="52" t="s">
        <v>272</v>
      </c>
      <c r="O1587" s="153">
        <v>0</v>
      </c>
      <c r="R1587" s="37" t="s">
        <v>204</v>
      </c>
      <c r="S1587" s="37"/>
      <c r="T1587" s="37"/>
      <c r="W1587" s="14"/>
      <c r="X1587" s="14" t="str">
        <f t="shared" si="117"/>
        <v>...</v>
      </c>
      <c r="Z1587" s="58" t="str">
        <f>IF(OR($M1587="",NOT($O1587="{array}")),"",IFERROR(MATCH(PARAMETERS!$M1587,DEFAULT!$B$5:$CI$5,0),""))</f>
        <v/>
      </c>
      <c r="AA1587" s="55">
        <f t="shared" si="114"/>
        <v>197</v>
      </c>
      <c r="AB1587" s="62" t="str">
        <f>IF(AND(OR($A1587="G",$A1587="P"),NOT($O1587="{array}")),IF(VLOOKUP($K1587,base!$B$2:$D$20,3,0)="S",IF(OR($O1587="",ISTEXT($O1587)),"","STRING!"),IF(VLOOKUP($K1587,base!$B$2:$D$20,3,0)="","",IF(ISTEXT($O1587),"NUMERIC!",""))),"")</f>
        <v/>
      </c>
      <c r="AC1587" s="16" t="str">
        <f>IF($AA1587="","",IF($B1587="I",VLOOKUP($AA1587,#REF!,53,0),INDEX(VALUES!$B$1:$GP$1,1,$AA1587)))</f>
        <v>0 | 1 | 2 | 3 | 4 | 5 | 6 | 7 | ...</v>
      </c>
    </row>
    <row r="1588" spans="1:29" collapsed="1">
      <c r="A1588" s="21" t="s">
        <v>86</v>
      </c>
      <c r="B1588" s="40" t="str">
        <f t="shared" si="115"/>
        <v/>
      </c>
      <c r="C1588" s="41">
        <f t="shared" si="116"/>
        <v>1587</v>
      </c>
      <c r="D1588" s="260"/>
      <c r="E1588" s="37"/>
      <c r="F1588" s="305" t="s">
        <v>9</v>
      </c>
      <c r="G1588" s="188" t="s">
        <v>9</v>
      </c>
      <c r="H1588" s="37"/>
      <c r="I1588" s="37"/>
      <c r="J1588" s="37"/>
      <c r="K1588" s="13" t="s">
        <v>59</v>
      </c>
      <c r="L1588" s="13" t="s">
        <v>40</v>
      </c>
      <c r="M1588" s="47" t="s">
        <v>3000</v>
      </c>
      <c r="N1588" s="40" t="s">
        <v>3001</v>
      </c>
      <c r="R1588" s="37" t="s">
        <v>106</v>
      </c>
      <c r="S1588" s="37"/>
      <c r="T1588" s="37"/>
      <c r="W1588" s="14" t="str">
        <f>IF(IFERROR(VLOOKUP($M1588,'IMPORT GS-Tür OL FL 2S2 20'!$H$2:$H$847,1,0),"-")="-","","GS")</f>
        <v>GS</v>
      </c>
      <c r="X1588" s="14" t="str">
        <f t="shared" si="117"/>
        <v>...</v>
      </c>
      <c r="Y1588" s="13" t="s">
        <v>3002</v>
      </c>
      <c r="Z1588" s="58" t="str">
        <f>IF(OR($M1588="",NOT($O1588="{array}")),"",IFERROR(MATCH(PARAMETERS!$M1588,DEFAULT!$B$5:$CI$5,0),""))</f>
        <v/>
      </c>
      <c r="AA1588" s="55" t="str">
        <f t="shared" si="114"/>
        <v/>
      </c>
      <c r="AB1588" s="62" t="str">
        <f>IF(AND(OR($A1588="G",$A1588="P"),NOT($O1588="{array}")),IF(VLOOKUP($K1588,base!$B$2:$D$20,3,0)="S",IF(OR($O1588="",ISTEXT($O1588)),"","STRING!"),IF(VLOOKUP($K1588,base!$B$2:$D$20,3,0)="","",IF(ISTEXT($O1588),"NUMERIC!",""))),"")</f>
        <v/>
      </c>
      <c r="AC1588" s="16" t="str">
        <f>IF($AA1588="","",IF($B1588="I",VLOOKUP($AA1588,#REF!,53,0),INDEX(VALUES!$B$1:$GP$1,1,$AA1588)))</f>
        <v/>
      </c>
    </row>
    <row r="1589" spans="1:29" hidden="1" outlineLevel="1">
      <c r="A1589" s="21" t="s">
        <v>86</v>
      </c>
      <c r="B1589" s="40" t="str">
        <f t="shared" si="115"/>
        <v/>
      </c>
      <c r="C1589" s="41">
        <f t="shared" si="116"/>
        <v>1588</v>
      </c>
      <c r="D1589" s="260"/>
      <c r="E1589" s="37"/>
      <c r="F1589" s="305" t="s">
        <v>9</v>
      </c>
      <c r="G1589" s="188" t="s">
        <v>9</v>
      </c>
      <c r="H1589" s="37"/>
      <c r="I1589" s="37" t="s">
        <v>9</v>
      </c>
      <c r="J1589" s="37"/>
      <c r="K1589" s="13" t="s">
        <v>26</v>
      </c>
      <c r="L1589" s="13" t="s">
        <v>29</v>
      </c>
      <c r="M1589" s="19" t="s">
        <v>3003</v>
      </c>
      <c r="N1589" s="13" t="s">
        <v>3004</v>
      </c>
      <c r="O1589" s="42">
        <v>0</v>
      </c>
      <c r="Q1589" s="37" t="s">
        <v>9</v>
      </c>
      <c r="R1589" s="37" t="s">
        <v>106</v>
      </c>
      <c r="S1589" s="37"/>
      <c r="T1589" s="37"/>
      <c r="W1589" s="14" t="str">
        <f>IF(IFERROR(VLOOKUP($M1589,'IMPORT GS-Tür OL FL 2S2 20'!$H$2:$H$847,1,0),"-")="-","","GS")</f>
        <v>GS</v>
      </c>
      <c r="X1589" s="14" t="str">
        <f t="shared" si="117"/>
        <v>...</v>
      </c>
      <c r="Z1589" s="58" t="str">
        <f>IF(OR($M1589="",NOT($O1589="{array}")),"",IFERROR(MATCH(PARAMETERS!$M1589,DEFAULT!$B$5:$CI$5,0),""))</f>
        <v/>
      </c>
      <c r="AA1589" s="55" t="str">
        <f t="shared" si="114"/>
        <v/>
      </c>
      <c r="AB1589" s="62" t="str">
        <f>IF(AND(OR($A1589="G",$A1589="P"),NOT($O1589="{array}")),IF(VLOOKUP($K1589,base!$B$2:$D$20,3,0)="S",IF(OR($O1589="",ISTEXT($O1589)),"","STRING!"),IF(VLOOKUP($K1589,base!$B$2:$D$20,3,0)="","",IF(ISTEXT($O1589),"NUMERIC!",""))),"")</f>
        <v/>
      </c>
      <c r="AC1589" s="16" t="str">
        <f>IF($AA1589="","",IF($B1589="I",VLOOKUP($AA1589,#REF!,53,0),INDEX(VALUES!$B$1:$GP$1,1,$AA1589)))</f>
        <v/>
      </c>
    </row>
    <row r="1590" spans="1:29" hidden="1" outlineLevel="1">
      <c r="A1590" s="21" t="s">
        <v>86</v>
      </c>
      <c r="B1590" s="40" t="str">
        <f t="shared" si="115"/>
        <v/>
      </c>
      <c r="C1590" s="41">
        <f t="shared" si="116"/>
        <v>1589</v>
      </c>
      <c r="D1590" s="260"/>
      <c r="E1590" s="37"/>
      <c r="F1590" s="305" t="s">
        <v>9</v>
      </c>
      <c r="G1590" s="188" t="s">
        <v>9</v>
      </c>
      <c r="H1590" s="37"/>
      <c r="I1590" s="37" t="s">
        <v>9</v>
      </c>
      <c r="J1590" s="37"/>
      <c r="K1590" s="13" t="s">
        <v>26</v>
      </c>
      <c r="L1590" s="13" t="s">
        <v>29</v>
      </c>
      <c r="M1590" s="19" t="s">
        <v>3005</v>
      </c>
      <c r="N1590" s="13" t="s">
        <v>3006</v>
      </c>
      <c r="O1590" s="42">
        <v>0</v>
      </c>
      <c r="Q1590" s="37" t="s">
        <v>9</v>
      </c>
      <c r="R1590" s="37" t="s">
        <v>106</v>
      </c>
      <c r="S1590" s="37"/>
      <c r="T1590" s="37"/>
      <c r="W1590" s="14" t="str">
        <f>IF(IFERROR(VLOOKUP($M1590,'IMPORT GS-Tür OL FL 2S2 20'!$H$2:$H$847,1,0),"-")="-","","GS")</f>
        <v>GS</v>
      </c>
      <c r="X1590" s="14" t="str">
        <f t="shared" si="117"/>
        <v>...</v>
      </c>
      <c r="Z1590" s="58" t="str">
        <f>IF(OR($M1590="",NOT($O1590="{array}")),"",IFERROR(MATCH(PARAMETERS!$M1590,DEFAULT!$B$5:$CI$5,0),""))</f>
        <v/>
      </c>
      <c r="AA1590" s="55" t="str">
        <f t="shared" si="114"/>
        <v/>
      </c>
      <c r="AB1590" s="62" t="str">
        <f>IF(AND(OR($A1590="G",$A1590="P"),NOT($O1590="{array}")),IF(VLOOKUP($K1590,base!$B$2:$D$20,3,0)="S",IF(OR($O1590="",ISTEXT($O1590)),"","STRING!"),IF(VLOOKUP($K1590,base!$B$2:$D$20,3,0)="","",IF(ISTEXT($O1590),"NUMERIC!",""))),"")</f>
        <v/>
      </c>
      <c r="AC1590" s="16" t="str">
        <f>IF($AA1590="","",IF($B1590="I",VLOOKUP($AA1590,#REF!,53,0),INDEX(VALUES!$B$1:$GP$1,1,$AA1590)))</f>
        <v/>
      </c>
    </row>
    <row r="1591" spans="1:29" hidden="1" outlineLevel="1">
      <c r="A1591" s="21" t="s">
        <v>86</v>
      </c>
      <c r="B1591" s="40" t="str">
        <f t="shared" si="115"/>
        <v/>
      </c>
      <c r="C1591" s="41">
        <f t="shared" si="116"/>
        <v>1590</v>
      </c>
      <c r="D1591" s="260"/>
      <c r="E1591" s="37"/>
      <c r="F1591" s="305" t="s">
        <v>9</v>
      </c>
      <c r="G1591" s="188" t="s">
        <v>9</v>
      </c>
      <c r="H1591" s="37"/>
      <c r="I1591" s="37" t="s">
        <v>9</v>
      </c>
      <c r="J1591" s="37"/>
      <c r="K1591" s="13" t="s">
        <v>26</v>
      </c>
      <c r="L1591" s="13" t="s">
        <v>29</v>
      </c>
      <c r="M1591" s="19" t="s">
        <v>3007</v>
      </c>
      <c r="N1591" s="13" t="s">
        <v>3008</v>
      </c>
      <c r="O1591" s="42">
        <v>0</v>
      </c>
      <c r="Q1591" s="37" t="s">
        <v>9</v>
      </c>
      <c r="R1591" s="37" t="s">
        <v>106</v>
      </c>
      <c r="S1591" s="37"/>
      <c r="T1591" s="37"/>
      <c r="W1591" s="14" t="str">
        <f>IF(IFERROR(VLOOKUP($M1591,'IMPORT GS-Tür OL FL 2S2 20'!$H$2:$H$847,1,0),"-")="-","","GS")</f>
        <v>GS</v>
      </c>
      <c r="X1591" s="14" t="str">
        <f t="shared" si="117"/>
        <v>...</v>
      </c>
      <c r="Z1591" s="58" t="str">
        <f>IF(OR($M1591="",NOT($O1591="{array}")),"",IFERROR(MATCH(PARAMETERS!$M1591,DEFAULT!$B$5:$CI$5,0),""))</f>
        <v/>
      </c>
      <c r="AA1591" s="55" t="str">
        <f t="shared" si="114"/>
        <v/>
      </c>
      <c r="AB1591" s="62" t="str">
        <f>IF(AND(OR($A1591="G",$A1591="P"),NOT($O1591="{array}")),IF(VLOOKUP($K1591,base!$B$2:$D$20,3,0)="S",IF(OR($O1591="",ISTEXT($O1591)),"","STRING!"),IF(VLOOKUP($K1591,base!$B$2:$D$20,3,0)="","",IF(ISTEXT($O1591),"NUMERIC!",""))),"")</f>
        <v/>
      </c>
      <c r="AC1591" s="16" t="str">
        <f>IF($AA1591="","",IF($B1591="I",VLOOKUP($AA1591,#REF!,53,0),INDEX(VALUES!$B$1:$GP$1,1,$AA1591)))</f>
        <v/>
      </c>
    </row>
    <row r="1592" spans="1:29" hidden="1" outlineLevel="1">
      <c r="A1592" s="21" t="s">
        <v>86</v>
      </c>
      <c r="B1592" s="40" t="str">
        <f t="shared" si="115"/>
        <v/>
      </c>
      <c r="C1592" s="41">
        <f t="shared" si="116"/>
        <v>1591</v>
      </c>
      <c r="D1592" s="260"/>
      <c r="E1592" s="37"/>
      <c r="F1592" s="305" t="s">
        <v>9</v>
      </c>
      <c r="G1592" s="188" t="s">
        <v>9</v>
      </c>
      <c r="H1592" s="37"/>
      <c r="I1592" s="37" t="s">
        <v>9</v>
      </c>
      <c r="J1592" s="37"/>
      <c r="K1592" s="13" t="s">
        <v>26</v>
      </c>
      <c r="L1592" s="13" t="s">
        <v>29</v>
      </c>
      <c r="M1592" s="19" t="s">
        <v>3009</v>
      </c>
      <c r="N1592" s="13" t="s">
        <v>3010</v>
      </c>
      <c r="O1592" s="42">
        <v>0</v>
      </c>
      <c r="Q1592" s="37" t="s">
        <v>9</v>
      </c>
      <c r="R1592" s="37" t="s">
        <v>106</v>
      </c>
      <c r="S1592" s="37"/>
      <c r="T1592" s="37"/>
      <c r="W1592" s="14" t="str">
        <f>IF(IFERROR(VLOOKUP($M1592,'IMPORT GS-Tür OL FL 2S2 20'!$H$2:$H$847,1,0),"-")="-","","GS")</f>
        <v>GS</v>
      </c>
      <c r="X1592" s="14" t="str">
        <f t="shared" si="117"/>
        <v>...</v>
      </c>
      <c r="Z1592" s="58" t="str">
        <f>IF(OR($M1592="",NOT($O1592="{array}")),"",IFERROR(MATCH(PARAMETERS!$M1592,DEFAULT!$B$5:$CI$5,0),""))</f>
        <v/>
      </c>
      <c r="AA1592" s="55" t="str">
        <f t="shared" si="114"/>
        <v/>
      </c>
      <c r="AB1592" s="62" t="str">
        <f>IF(AND(OR($A1592="G",$A1592="P"),NOT($O1592="{array}")),IF(VLOOKUP($K1592,base!$B$2:$D$20,3,0)="S",IF(OR($O1592="",ISTEXT($O1592)),"","STRING!"),IF(VLOOKUP($K1592,base!$B$2:$D$20,3,0)="","",IF(ISTEXT($O1592),"NUMERIC!",""))),"")</f>
        <v/>
      </c>
      <c r="AC1592" s="16" t="str">
        <f>IF($AA1592="","",IF($B1592="I",VLOOKUP($AA1592,#REF!,53,0),INDEX(VALUES!$B$1:$GP$1,1,$AA1592)))</f>
        <v/>
      </c>
    </row>
    <row r="1593" spans="1:29" collapsed="1">
      <c r="A1593" s="21"/>
      <c r="B1593" s="40" t="str">
        <f t="shared" ref="B1593:B1604" si="118">IF($A1593="P",IF(NOT($Z1593=""),"A",IF(NOT($AA1593=""),"I","")),IF(NOT($AA1593=""),IF($A1593="G","V","X"),IF(NOT($Z1593=""),"A","")))</f>
        <v/>
      </c>
      <c r="C1593" s="41">
        <f t="shared" ref="C1593:C1604" si="119">(ROW()-1)</f>
        <v>1592</v>
      </c>
      <c r="D1593" s="260"/>
      <c r="E1593" s="37"/>
      <c r="F1593" s="305"/>
      <c r="G1593" s="188"/>
      <c r="H1593" s="37"/>
      <c r="I1593" s="37"/>
      <c r="J1593" s="37"/>
      <c r="R1593" s="37"/>
      <c r="S1593" s="37"/>
      <c r="T1593" s="37"/>
      <c r="X1593" s="14" t="str">
        <f t="shared" si="117"/>
        <v/>
      </c>
      <c r="Z1593" s="58" t="str">
        <f>IF(OR($M1593="",NOT($O1593="{array}")),"",IFERROR(MATCH(PARAMETERS!$M1593,DEFAULT!$B$5:$CI$5,0),""))</f>
        <v/>
      </c>
      <c r="AA1593" s="55" t="str">
        <f t="shared" si="114"/>
        <v/>
      </c>
      <c r="AB1593" s="62" t="str">
        <f>IF(AND(OR($A1593="G",$A1593="P"),NOT($O1593="{array}")),IF(VLOOKUP($K1593,base!$B$2:$D$20,3,0)="S",IF(OR($O1593="",ISTEXT($O1593)),"","STRING!"),IF(VLOOKUP($K1593,base!$B$2:$D$20,3,0)="","",IF(ISTEXT($O1593),"NUMERIC!",""))),"")</f>
        <v/>
      </c>
      <c r="AC1593" s="16" t="str">
        <f>IF($AA1593="","",IF($B1593="I",VLOOKUP($AA1593,#REF!,53,0),INDEX(VALUES!$B$1:$GP$1,1,$AA1593)))</f>
        <v/>
      </c>
    </row>
    <row r="1594" spans="1:29">
      <c r="A1594" s="21"/>
      <c r="B1594" s="40" t="str">
        <f t="shared" si="118"/>
        <v/>
      </c>
      <c r="C1594" s="41">
        <f t="shared" si="119"/>
        <v>1593</v>
      </c>
      <c r="D1594" s="260"/>
      <c r="E1594" s="37"/>
      <c r="F1594" s="305"/>
      <c r="G1594" s="188"/>
      <c r="H1594" s="37"/>
      <c r="I1594" s="37"/>
      <c r="J1594" s="37"/>
      <c r="R1594" s="37"/>
      <c r="S1594" s="37"/>
      <c r="T1594" s="37"/>
      <c r="X1594" s="14" t="str">
        <f t="shared" si="117"/>
        <v/>
      </c>
      <c r="Z1594" s="58" t="str">
        <f>IF(OR($M1594="",NOT($O1594="{array}")),"",IFERROR(MATCH(PARAMETERS!$M1594,DEFAULT!$B$5:$CI$5,0),""))</f>
        <v/>
      </c>
      <c r="AA1594" s="55" t="str">
        <f t="shared" si="114"/>
        <v/>
      </c>
      <c r="AB1594" s="62" t="str">
        <f>IF(AND(OR($A1594="G",$A1594="P"),NOT($O1594="{array}")),IF(VLOOKUP($K1594,base!$B$2:$D$20,3,0)="S",IF(OR($O1594="",ISTEXT($O1594)),"","STRING!"),IF(VLOOKUP($K1594,base!$B$2:$D$20,3,0)="","",IF(ISTEXT($O1594),"NUMERIC!",""))),"")</f>
        <v/>
      </c>
      <c r="AC1594" s="16" t="str">
        <f>IF($AA1594="","",IF($B1594="I",VLOOKUP($AA1594,#REF!,53,0),INDEX(VALUES!$B$1:$GP$1,1,$AA1594)))</f>
        <v/>
      </c>
    </row>
    <row r="1595" spans="1:29">
      <c r="A1595" s="21"/>
      <c r="B1595" s="40" t="str">
        <f t="shared" si="118"/>
        <v/>
      </c>
      <c r="C1595" s="41">
        <f t="shared" si="119"/>
        <v>1594</v>
      </c>
      <c r="D1595" s="260"/>
      <c r="E1595" s="37"/>
      <c r="F1595" s="305"/>
      <c r="G1595" s="188"/>
      <c r="H1595" s="37"/>
      <c r="I1595" s="37"/>
      <c r="J1595" s="37"/>
      <c r="R1595" s="37"/>
      <c r="S1595" s="37"/>
      <c r="T1595" s="37"/>
      <c r="X1595" s="14" t="str">
        <f t="shared" si="117"/>
        <v/>
      </c>
      <c r="Z1595" s="58" t="str">
        <f>IF(OR($M1595="",NOT($O1595="{array}")),"",IFERROR(MATCH(PARAMETERS!$M1595,DEFAULT!$B$5:$CI$5,0),""))</f>
        <v/>
      </c>
      <c r="AA1595" s="55" t="str">
        <f t="shared" si="114"/>
        <v/>
      </c>
      <c r="AB1595" s="62" t="str">
        <f>IF(AND(OR($A1595="G",$A1595="P"),NOT($O1595="{array}")),IF(VLOOKUP($K1595,base!$B$2:$D$20,3,0)="S",IF(OR($O1595="",ISTEXT($O1595)),"","STRING!"),IF(VLOOKUP($K1595,base!$B$2:$D$20,3,0)="","",IF(ISTEXT($O1595),"NUMERIC!",""))),"")</f>
        <v/>
      </c>
      <c r="AC1595" s="16" t="str">
        <f>IF($AA1595="","",IF($B1595="I",VLOOKUP($AA1595,#REF!,53,0),INDEX(VALUES!$B$1:$GP$1,1,$AA1595)))</f>
        <v/>
      </c>
    </row>
    <row r="1596" spans="1:29">
      <c r="A1596" s="21"/>
      <c r="B1596" s="40" t="str">
        <f t="shared" si="118"/>
        <v/>
      </c>
      <c r="C1596" s="41">
        <f t="shared" si="119"/>
        <v>1595</v>
      </c>
      <c r="D1596" s="260"/>
      <c r="E1596" s="37"/>
      <c r="F1596" s="305"/>
      <c r="G1596" s="188"/>
      <c r="H1596" s="37"/>
      <c r="I1596" s="37"/>
      <c r="J1596" s="37"/>
      <c r="R1596" s="37"/>
      <c r="S1596" s="37"/>
      <c r="T1596" s="37"/>
      <c r="X1596" s="14" t="str">
        <f t="shared" si="117"/>
        <v/>
      </c>
      <c r="Z1596" s="58" t="str">
        <f>IF(OR($M1596="",NOT($O1596="{array}")),"",IFERROR(MATCH(PARAMETERS!$M1596,DEFAULT!$B$5:$CI$5,0),""))</f>
        <v/>
      </c>
      <c r="AA1596" s="55" t="str">
        <f t="shared" si="114"/>
        <v/>
      </c>
      <c r="AB1596" s="62" t="str">
        <f>IF(AND(OR($A1596="G",$A1596="P"),NOT($O1596="{array}")),IF(VLOOKUP($K1596,base!$B$2:$D$20,3,0)="S",IF(OR($O1596="",ISTEXT($O1596)),"","STRING!"),IF(VLOOKUP($K1596,base!$B$2:$D$20,3,0)="","",IF(ISTEXT($O1596),"NUMERIC!",""))),"")</f>
        <v/>
      </c>
      <c r="AC1596" s="16" t="str">
        <f>IF($AA1596="","",IF($B1596="I",VLOOKUP($AA1596,#REF!,53,0),INDEX(VALUES!$B$1:$GP$1,1,$AA1596)))</f>
        <v/>
      </c>
    </row>
    <row r="1597" spans="1:29">
      <c r="A1597" s="21"/>
      <c r="B1597" s="40" t="str">
        <f t="shared" si="118"/>
        <v/>
      </c>
      <c r="C1597" s="41">
        <f t="shared" si="119"/>
        <v>1596</v>
      </c>
      <c r="D1597" s="260"/>
      <c r="E1597" s="37"/>
      <c r="F1597" s="305"/>
      <c r="G1597" s="188"/>
      <c r="H1597" s="37"/>
      <c r="I1597" s="37"/>
      <c r="J1597" s="37"/>
      <c r="R1597" s="37"/>
      <c r="S1597" s="37"/>
      <c r="T1597" s="37"/>
      <c r="X1597" s="14" t="str">
        <f t="shared" si="117"/>
        <v/>
      </c>
      <c r="Z1597" s="58" t="str">
        <f>IF(OR($M1597="",NOT($O1597="{array}")),"",IFERROR(MATCH(PARAMETERS!$M1597,DEFAULT!$B$5:$CI$5,0),""))</f>
        <v/>
      </c>
      <c r="AA1597" s="55" t="str">
        <f t="shared" si="114"/>
        <v/>
      </c>
      <c r="AB1597" s="62" t="str">
        <f>IF(AND(OR($A1597="G",$A1597="P"),NOT($O1597="{array}")),IF(VLOOKUP($K1597,base!$B$2:$D$20,3,0)="S",IF(OR($O1597="",ISTEXT($O1597)),"","STRING!"),IF(VLOOKUP($K1597,base!$B$2:$D$20,3,0)="","",IF(ISTEXT($O1597),"NUMERIC!",""))),"")</f>
        <v/>
      </c>
      <c r="AC1597" s="16" t="str">
        <f>IF($AA1597="","",IF($B1597="I",VLOOKUP($AA1597,#REF!,53,0),INDEX(VALUES!$B$1:$GP$1,1,$AA1597)))</f>
        <v/>
      </c>
    </row>
    <row r="1598" spans="1:29">
      <c r="A1598" s="21"/>
      <c r="B1598" s="40" t="str">
        <f t="shared" si="118"/>
        <v/>
      </c>
      <c r="C1598" s="41">
        <f t="shared" si="119"/>
        <v>1597</v>
      </c>
      <c r="D1598" s="260"/>
      <c r="E1598" s="37"/>
      <c r="F1598" s="305"/>
      <c r="G1598" s="188"/>
      <c r="H1598" s="37"/>
      <c r="I1598" s="37"/>
      <c r="J1598" s="37"/>
      <c r="R1598" s="37"/>
      <c r="S1598" s="37"/>
      <c r="T1598" s="37"/>
      <c r="X1598" s="14" t="str">
        <f t="shared" si="117"/>
        <v/>
      </c>
      <c r="Z1598" s="58" t="str">
        <f>IF(OR($M1598="",NOT($O1598="{array}")),"",IFERROR(MATCH(PARAMETERS!$M1598,DEFAULT!$B$5:$CI$5,0),""))</f>
        <v/>
      </c>
      <c r="AA1598" s="55" t="str">
        <f t="shared" si="114"/>
        <v/>
      </c>
      <c r="AB1598" s="62" t="str">
        <f>IF(AND(OR($A1598="G",$A1598="P"),NOT($O1598="{array}")),IF(VLOOKUP($K1598,base!$B$2:$D$20,3,0)="S",IF(OR($O1598="",ISTEXT($O1598)),"","STRING!"),IF(VLOOKUP($K1598,base!$B$2:$D$20,3,0)="","",IF(ISTEXT($O1598),"NUMERIC!",""))),"")</f>
        <v/>
      </c>
      <c r="AC1598" s="16" t="str">
        <f>IF($AA1598="","",IF($B1598="I",VLOOKUP($AA1598,#REF!,53,0),INDEX(VALUES!$B$1:$GP$1,1,$AA1598)))</f>
        <v/>
      </c>
    </row>
    <row r="1599" spans="1:29">
      <c r="A1599" s="21"/>
      <c r="B1599" s="40" t="str">
        <f t="shared" si="118"/>
        <v/>
      </c>
      <c r="C1599" s="41">
        <f t="shared" si="119"/>
        <v>1598</v>
      </c>
      <c r="D1599" s="260"/>
      <c r="E1599" s="37"/>
      <c r="F1599" s="305"/>
      <c r="G1599" s="188"/>
      <c r="H1599" s="37"/>
      <c r="I1599" s="37"/>
      <c r="J1599" s="37"/>
      <c r="R1599" s="37"/>
      <c r="S1599" s="37"/>
      <c r="T1599" s="37"/>
      <c r="X1599" s="14" t="str">
        <f t="shared" si="117"/>
        <v/>
      </c>
      <c r="Z1599" s="58" t="str">
        <f>IF(OR($M1599="",NOT($O1599="{array}")),"",IFERROR(MATCH(PARAMETERS!$M1599,DEFAULT!$B$5:$CI$5,0),""))</f>
        <v/>
      </c>
      <c r="AA1599" s="55" t="str">
        <f t="shared" si="114"/>
        <v/>
      </c>
      <c r="AB1599" s="62" t="str">
        <f>IF(AND(OR($A1599="G",$A1599="P"),NOT($O1599="{array}")),IF(VLOOKUP($K1599,base!$B$2:$D$20,3,0)="S",IF(OR($O1599="",ISTEXT($O1599)),"","STRING!"),IF(VLOOKUP($K1599,base!$B$2:$D$20,3,0)="","",IF(ISTEXT($O1599),"NUMERIC!",""))),"")</f>
        <v/>
      </c>
      <c r="AC1599" s="16" t="str">
        <f>IF($AA1599="","",IF($B1599="I",VLOOKUP($AA1599,#REF!,53,0),INDEX(VALUES!$B$1:$GP$1,1,$AA1599)))</f>
        <v/>
      </c>
    </row>
    <row r="1600" spans="1:29">
      <c r="A1600" s="21"/>
      <c r="B1600" s="40" t="str">
        <f t="shared" si="118"/>
        <v/>
      </c>
      <c r="C1600" s="41">
        <f t="shared" si="119"/>
        <v>1599</v>
      </c>
      <c r="D1600" s="260"/>
      <c r="E1600" s="37"/>
      <c r="F1600" s="305"/>
      <c r="G1600" s="188"/>
      <c r="H1600" s="37"/>
      <c r="I1600" s="37"/>
      <c r="J1600" s="37"/>
      <c r="R1600" s="37"/>
      <c r="S1600" s="37"/>
      <c r="T1600" s="37"/>
      <c r="X1600" s="14" t="str">
        <f t="shared" si="117"/>
        <v/>
      </c>
      <c r="Z1600" s="58" t="str">
        <f>IF(OR($M1600="",NOT($O1600="{array}")),"",IFERROR(MATCH(PARAMETERS!$M1600,DEFAULT!$B$5:$CI$5,0),""))</f>
        <v/>
      </c>
      <c r="AA1600" s="55" t="str">
        <f t="shared" si="114"/>
        <v/>
      </c>
      <c r="AB1600" s="62" t="str">
        <f>IF(AND(OR($A1600="G",$A1600="P"),NOT($O1600="{array}")),IF(VLOOKUP($K1600,base!$B$2:$D$20,3,0)="S",IF(OR($O1600="",ISTEXT($O1600)),"","STRING!"),IF(VLOOKUP($K1600,base!$B$2:$D$20,3,0)="","",IF(ISTEXT($O1600),"NUMERIC!",""))),"")</f>
        <v/>
      </c>
      <c r="AC1600" s="16" t="str">
        <f>IF($AA1600="","",IF($B1600="I",VLOOKUP($AA1600,#REF!,53,0),INDEX(VALUES!$B$1:$GP$1,1,$AA1600)))</f>
        <v/>
      </c>
    </row>
    <row r="1601" spans="1:29">
      <c r="A1601" s="21"/>
      <c r="B1601" s="40" t="str">
        <f t="shared" si="118"/>
        <v/>
      </c>
      <c r="C1601" s="41">
        <f t="shared" si="119"/>
        <v>1600</v>
      </c>
      <c r="D1601" s="260"/>
      <c r="E1601" s="37"/>
      <c r="F1601" s="305"/>
      <c r="G1601" s="188"/>
      <c r="H1601" s="37"/>
      <c r="I1601" s="37"/>
      <c r="J1601" s="37"/>
      <c r="R1601" s="37"/>
      <c r="S1601" s="37"/>
      <c r="T1601" s="37"/>
      <c r="X1601" s="14" t="str">
        <f t="shared" si="117"/>
        <v/>
      </c>
      <c r="Z1601" s="58" t="str">
        <f>IF(OR($M1601="",NOT($O1601="{array}")),"",IFERROR(MATCH(PARAMETERS!$M1601,DEFAULT!$B$5:$CI$5,0),""))</f>
        <v/>
      </c>
      <c r="AA1601" s="55" t="str">
        <f t="shared" si="114"/>
        <v/>
      </c>
      <c r="AB1601" s="62" t="str">
        <f>IF(AND(OR($A1601="G",$A1601="P"),NOT($O1601="{array}")),IF(VLOOKUP($K1601,base!$B$2:$D$20,3,0)="S",IF(OR($O1601="",ISTEXT($O1601)),"","STRING!"),IF(VLOOKUP($K1601,base!$B$2:$D$20,3,0)="","",IF(ISTEXT($O1601),"NUMERIC!",""))),"")</f>
        <v/>
      </c>
      <c r="AC1601" s="16" t="str">
        <f>IF($AA1601="","",IF($B1601="I",VLOOKUP($AA1601,#REF!,53,0),INDEX(VALUES!$B$1:$GP$1,1,$AA1601)))</f>
        <v/>
      </c>
    </row>
    <row r="1602" spans="1:29">
      <c r="A1602" s="21"/>
      <c r="B1602" s="40" t="str">
        <f t="shared" si="118"/>
        <v/>
      </c>
      <c r="C1602" s="41">
        <f t="shared" si="119"/>
        <v>1601</v>
      </c>
      <c r="D1602" s="260"/>
      <c r="E1602" s="37"/>
      <c r="F1602" s="305"/>
      <c r="G1602" s="188"/>
      <c r="H1602" s="37"/>
      <c r="I1602" s="37"/>
      <c r="J1602" s="37"/>
      <c r="R1602" s="37"/>
      <c r="S1602" s="37"/>
      <c r="T1602" s="37"/>
      <c r="X1602" s="14" t="str">
        <f t="shared" si="117"/>
        <v/>
      </c>
      <c r="Z1602" s="58" t="str">
        <f>IF(OR($M1602="",NOT($O1602="{array}")),"",IFERROR(MATCH(PARAMETERS!$M1602,DEFAULT!$B$5:$CI$5,0),""))</f>
        <v/>
      </c>
      <c r="AA1602" s="55" t="str">
        <f t="shared" si="114"/>
        <v/>
      </c>
      <c r="AB1602" s="62" t="str">
        <f>IF(AND(OR($A1602="G",$A1602="P"),NOT($O1602="{array}")),IF(VLOOKUP($K1602,base!$B$2:$D$20,3,0)="S",IF(OR($O1602="",ISTEXT($O1602)),"","STRING!"),IF(VLOOKUP($K1602,base!$B$2:$D$20,3,0)="","",IF(ISTEXT($O1602),"NUMERIC!",""))),"")</f>
        <v/>
      </c>
      <c r="AC1602" s="16" t="str">
        <f>IF($AA1602="","",IF($B1602="I",VLOOKUP($AA1602,#REF!,53,0),INDEX(VALUES!$B$1:$GP$1,1,$AA1602)))</f>
        <v/>
      </c>
    </row>
    <row r="1603" spans="1:29">
      <c r="A1603" s="21"/>
      <c r="B1603" s="40" t="str">
        <f t="shared" si="118"/>
        <v/>
      </c>
      <c r="C1603" s="41">
        <f t="shared" si="119"/>
        <v>1602</v>
      </c>
      <c r="D1603" s="260"/>
      <c r="E1603" s="37"/>
      <c r="F1603" s="305"/>
      <c r="G1603" s="188"/>
      <c r="H1603" s="37"/>
      <c r="I1603" s="37"/>
      <c r="J1603" s="37"/>
      <c r="R1603" s="37"/>
      <c r="S1603" s="37"/>
      <c r="T1603" s="37"/>
      <c r="X1603" s="14" t="str">
        <f t="shared" si="117"/>
        <v/>
      </c>
      <c r="Z1603" s="58" t="str">
        <f>IF(OR($M1603="",NOT($O1603="{array}")),"",IFERROR(MATCH(PARAMETERS!$M1603,DEFAULT!$B$5:$CI$5,0),""))</f>
        <v/>
      </c>
      <c r="AA1603" s="55" t="str">
        <f t="shared" si="114"/>
        <v/>
      </c>
      <c r="AB1603" s="62" t="str">
        <f>IF(AND(OR($A1603="G",$A1603="P"),NOT($O1603="{array}")),IF(VLOOKUP($K1603,base!$B$2:$D$20,3,0)="S",IF(OR($O1603="",ISTEXT($O1603)),"","STRING!"),IF(VLOOKUP($K1603,base!$B$2:$D$20,3,0)="","",IF(ISTEXT($O1603),"NUMERIC!",""))),"")</f>
        <v/>
      </c>
      <c r="AC1603" s="16" t="str">
        <f>IF($AA1603="","",IF($B1603="I",VLOOKUP($AA1603,#REF!,53,0),INDEX(VALUES!$B$1:$GP$1,1,$AA1603)))</f>
        <v/>
      </c>
    </row>
    <row r="1604" spans="1:29">
      <c r="A1604" s="21"/>
      <c r="B1604" s="40" t="str">
        <f t="shared" si="118"/>
        <v/>
      </c>
      <c r="C1604" s="41">
        <f t="shared" si="119"/>
        <v>1603</v>
      </c>
      <c r="D1604" s="260"/>
      <c r="E1604" s="37"/>
      <c r="F1604" s="305"/>
      <c r="G1604" s="188"/>
      <c r="H1604" s="37"/>
      <c r="I1604" s="37"/>
      <c r="J1604" s="37"/>
      <c r="R1604" s="37"/>
      <c r="S1604" s="37"/>
      <c r="T1604" s="37"/>
      <c r="X1604" s="14" t="str">
        <f t="shared" si="117"/>
        <v/>
      </c>
      <c r="Z1604" s="58" t="str">
        <f>IF(OR($M1604="",NOT($O1604="{array}")),"",IFERROR(MATCH(PARAMETERS!$M1604,DEFAULT!$B$5:$CI$5,0),""))</f>
        <v/>
      </c>
      <c r="AA1604" s="55" t="str">
        <f t="shared" si="114"/>
        <v/>
      </c>
      <c r="AB1604" s="62" t="str">
        <f>IF(AND(OR($A1604="G",$A1604="P"),NOT($O1604="{array}")),IF(VLOOKUP($K1604,base!$B$2:$D$20,3,0)="S",IF(OR($O1604="",ISTEXT($O1604)),"","STRING!"),IF(VLOOKUP($K1604,base!$B$2:$D$20,3,0)="","",IF(ISTEXT($O1604),"NUMERIC!",""))),"")</f>
        <v/>
      </c>
      <c r="AC1604" s="16" t="str">
        <f>IF($AA1604="","",IF($B1604="I",VLOOKUP($AA1604,#REF!,53,0),INDEX(VALUES!$B$1:$GP$1,1,$AA1604)))</f>
        <v/>
      </c>
    </row>
    <row r="1605" spans="1:29" ht="19.5" thickBot="1">
      <c r="A1605" s="21"/>
      <c r="B1605" s="40" t="str">
        <f>IF($A1605="P",IF(NOT($Z1605=""),"A",IF(NOT($AA1605=""),"I","")),IF(NOT($AA1605=""),IF($A1605="G","V","X"),IF(NOT($Z1605=""),"A","")))</f>
        <v/>
      </c>
      <c r="C1605" s="41">
        <f>(ROW()-1)</f>
        <v>1604</v>
      </c>
      <c r="D1605" s="260"/>
      <c r="E1605" s="37"/>
      <c r="F1605" s="305"/>
      <c r="G1605" s="188"/>
      <c r="H1605" s="37"/>
      <c r="I1605" s="37"/>
      <c r="J1605" s="37"/>
      <c r="R1605" s="37"/>
      <c r="S1605" s="37"/>
      <c r="T1605" s="37"/>
      <c r="X1605" s="14" t="str">
        <f t="shared" si="117"/>
        <v/>
      </c>
      <c r="Z1605" s="58" t="str">
        <f>IF(OR($M1605="",NOT($O1605="{array}")),"",IFERROR(MATCH(PARAMETERS!$M1605,DEFAULT!$B$5:$CI$5,0),""))</f>
        <v/>
      </c>
      <c r="AA1605" s="55" t="str">
        <f>IF($M1605="","",IFERROR(MATCH($M1605,VALUESnames,0),""))</f>
        <v/>
      </c>
      <c r="AB1605" s="62" t="str">
        <f>IF(AND(OR($A1605="G",$A1605="P"),NOT($O1605="{array}")),IF(VLOOKUP($K1605,base!$B$2:$D$20,3,0)="S",IF(OR($O1605="",ISTEXT($O1605)),"","STRING!"),IF(VLOOKUP($K1605,base!$B$2:$D$20,3,0)="","",IF(ISTEXT($O1605),"NUMERIC!",""))),"")</f>
        <v/>
      </c>
      <c r="AC1605" s="16" t="str">
        <f>IF($AA1605="","",IF($B1605="I",VLOOKUP($AA1605,#REF!,53,0),INDEX(VALUES!$B$1:$GP$1,1,$AA1605)))</f>
        <v/>
      </c>
    </row>
    <row r="1606" spans="1:29" s="24" customFormat="1" ht="19.5" thickTop="1">
      <c r="A1606" s="34"/>
      <c r="B1606" s="24" t="str">
        <f>IF($A1606="","",IF($A1606="G",IF(NOT($Z1606=""),"A",IF(NOT($AA1606=""),"V","")),IF($A1606="P",IF(NOT($Z1606=""),"A",IF(NOT($AA1606=""),"I","")))))</f>
        <v/>
      </c>
      <c r="D1606" s="43"/>
      <c r="E1606" s="43"/>
      <c r="F1606" s="307"/>
      <c r="G1606" s="43"/>
      <c r="H1606" s="43"/>
      <c r="I1606" s="43"/>
      <c r="J1606" s="43"/>
      <c r="M1606" s="46"/>
      <c r="O1606" s="44"/>
      <c r="Q1606" s="51"/>
      <c r="R1606" s="43"/>
      <c r="S1606" s="43"/>
      <c r="T1606" s="43"/>
      <c r="X1606" s="45"/>
      <c r="Z1606" s="59"/>
      <c r="AA1606" s="60"/>
      <c r="AB1606" s="63"/>
    </row>
    <row r="1607" spans="1:29">
      <c r="F1607" s="308"/>
      <c r="M1607" s="19" t="s">
        <v>3014</v>
      </c>
      <c r="N1607" s="19" t="s">
        <v>3011</v>
      </c>
    </row>
    <row r="1608" spans="1:29">
      <c r="F1608" s="308"/>
      <c r="N1608" s="207" t="s">
        <v>3012</v>
      </c>
    </row>
    <row r="1609" spans="1:29">
      <c r="F1609" s="308"/>
      <c r="N1609" s="184" t="s">
        <v>3013</v>
      </c>
    </row>
    <row r="1610" spans="1:29">
      <c r="F1610" s="308"/>
      <c r="M1610" s="214"/>
      <c r="N1610" s="214"/>
    </row>
    <row r="1611" spans="1:29">
      <c r="F1611" s="308"/>
      <c r="M1611" s="214"/>
      <c r="N1611" s="214"/>
    </row>
    <row r="1612" spans="1:29">
      <c r="F1612" s="308"/>
      <c r="M1612" s="214"/>
      <c r="N1612" s="249"/>
    </row>
  </sheetData>
  <phoneticPr fontId="7" type="noConversion"/>
  <conditionalFormatting sqref="A2:A1605">
    <cfRule type="cellIs" dxfId="3" priority="81" stopIfTrue="1" operator="equal">
      <formula>"G"</formula>
    </cfRule>
    <cfRule type="cellIs" dxfId="2" priority="82" stopIfTrue="1" operator="equal">
      <formula>"P"</formula>
    </cfRule>
  </conditionalFormatting>
  <conditionalFormatting sqref="A973:A996">
    <cfRule type="cellIs" dxfId="1" priority="1" stopIfTrue="1" operator="equal">
      <formula>"G"</formula>
    </cfRule>
    <cfRule type="cellIs" dxfId="0" priority="2" stopIfTrue="1" operator="equal">
      <formula>"P"</formula>
    </cfRule>
  </conditionalFormatting>
  <dataValidations count="8">
    <dataValidation type="list" allowBlank="1" showInputMessage="1" showErrorMessage="1" sqref="Q1543:Q1605 Q2:Q505 Q507:Q1541 D2:J1605">
      <formula1>"x"</formula1>
    </dataValidation>
    <dataValidation type="list" allowBlank="1" showInputMessage="1" sqref="O1031:O1605 O2:O1023">
      <formula1>"empty,{array}"</formula1>
    </dataValidation>
    <dataValidation type="list" allowBlank="1" showInputMessage="1" showErrorMessage="1" sqref="R2:R1605">
      <formula1>Stakeholder</formula1>
    </dataValidation>
    <dataValidation type="list" allowBlank="1" showInputMessage="1" sqref="S2:T1605">
      <formula1>read_write</formula1>
    </dataValidation>
    <dataValidation type="list" allowBlank="1" showInputMessage="1" showErrorMessage="1" sqref="K2:K1605">
      <formula1>"String,Length,Angle,RealNum,ColorRGB,Integer,Boolean,Material,LineType,FillPattern,PenColor,LightSwitch,Intensity,Separator,Title,Optionset,Itemlist"</formula1>
    </dataValidation>
    <dataValidation type="list" allowBlank="1" showInputMessage="1" showErrorMessage="1" sqref="L2:L1605">
      <formula1>"info,model,logic,internal"</formula1>
    </dataValidation>
    <dataValidation type="custom" allowBlank="1" showInputMessage="1" showErrorMessage="1" sqref="C2:C1605">
      <formula1>"x"</formula1>
    </dataValidation>
    <dataValidation type="list" allowBlank="1" showInputMessage="1" sqref="A2:A1605">
      <formula1>"G,P"</formula1>
    </dataValidation>
  </dataValidations>
  <pageMargins left="0.7" right="0.7" top="0.78740157499999996" bottom="0.78740157499999996" header="0.3" footer="0.3"/>
  <pageSetup paperSize="9" orientation="portrait" horizontalDpi="4294967293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Tabelle3"/>
  <dimension ref="A1:CJ157"/>
  <sheetViews>
    <sheetView tabSelected="1" topLeftCell="U1" zoomScaleNormal="100" workbookViewId="0">
      <pane ySplit="1455" activePane="bottomLeft"/>
      <selection activeCell="U1" sqref="U1:U1048576"/>
      <selection pane="bottomLeft" activeCell="X8" sqref="X8"/>
    </sheetView>
  </sheetViews>
  <sheetFormatPr baseColWidth="10" defaultColWidth="11.42578125" defaultRowHeight="14.25"/>
  <cols>
    <col min="1" max="1" width="17.7109375" style="22" customWidth="1"/>
    <col min="2" max="2" width="25.28515625" style="16" customWidth="1"/>
    <col min="3" max="3" width="9.5703125" style="16" customWidth="1"/>
    <col min="4" max="5" width="8.5703125" style="16" customWidth="1"/>
    <col min="6" max="6" width="17.28515625" style="16" customWidth="1"/>
    <col min="7" max="20" width="7.85546875" style="16" customWidth="1"/>
    <col min="21" max="21" width="20.5703125" style="16" bestFit="1" customWidth="1"/>
    <col min="22" max="23" width="17.7109375" style="16" customWidth="1"/>
    <col min="24" max="24" width="12.140625" style="16" customWidth="1"/>
    <col min="25" max="25" width="15.5703125" style="16" customWidth="1"/>
    <col min="26" max="26" width="24" style="16" customWidth="1"/>
    <col min="27" max="27" width="15.140625" style="16" customWidth="1"/>
    <col min="28" max="28" width="20.42578125" style="16" customWidth="1"/>
    <col min="29" max="29" width="15.140625" style="16" customWidth="1"/>
    <col min="30" max="30" width="21" style="16" customWidth="1"/>
    <col min="31" max="31" width="11.7109375" style="16" customWidth="1"/>
    <col min="32" max="32" width="20.5703125" style="16" customWidth="1"/>
    <col min="33" max="33" width="4.5703125" style="16" customWidth="1"/>
    <col min="34" max="34" width="24.28515625" style="16" customWidth="1"/>
    <col min="35" max="35" width="15.140625" style="16" customWidth="1"/>
    <col min="36" max="36" width="27.140625" style="16" customWidth="1"/>
    <col min="37" max="37" width="9.140625" style="16" customWidth="1"/>
    <col min="38" max="38" width="16.140625" style="16" customWidth="1"/>
    <col min="39" max="39" width="10.42578125" style="16" customWidth="1"/>
    <col min="40" max="40" width="21.28515625" style="16" customWidth="1"/>
    <col min="41" max="44" width="11.140625" style="16" customWidth="1"/>
    <col min="45" max="48" width="8.5703125" style="16" customWidth="1"/>
    <col min="49" max="49" width="17.42578125" style="16" customWidth="1"/>
    <col min="50" max="50" width="21.7109375" style="16" customWidth="1"/>
    <col min="51" max="52" width="22.28515625" style="16" customWidth="1"/>
    <col min="53" max="53" width="15" style="16" customWidth="1"/>
    <col min="54" max="54" width="18.85546875" style="16" bestFit="1" customWidth="1"/>
    <col min="55" max="55" width="20.7109375" style="16" bestFit="1" customWidth="1"/>
    <col min="56" max="87" width="7.85546875" style="16" customWidth="1"/>
    <col min="88" max="88" width="36" style="28" customWidth="1"/>
    <col min="89" max="16384" width="11.42578125" style="13"/>
  </cols>
  <sheetData>
    <row r="1" spans="1:88">
      <c r="A1" s="26"/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3"/>
      <c r="AM1" s="33"/>
      <c r="AN1" s="33"/>
      <c r="AO1" s="33"/>
      <c r="AP1" s="33"/>
      <c r="AQ1" s="33"/>
      <c r="AR1" s="33"/>
      <c r="AS1" s="33"/>
      <c r="AT1" s="33"/>
      <c r="AU1" s="33"/>
      <c r="AV1" s="33"/>
      <c r="AW1" s="33"/>
      <c r="AX1" s="33"/>
      <c r="AY1" s="33"/>
      <c r="AZ1" s="33"/>
      <c r="BA1" s="33"/>
      <c r="BB1" s="33"/>
      <c r="BC1" s="33"/>
      <c r="BD1" s="33"/>
      <c r="BE1" s="33"/>
      <c r="BF1" s="33"/>
      <c r="BG1" s="33"/>
      <c r="BH1" s="33"/>
      <c r="BI1" s="33"/>
      <c r="BJ1" s="33"/>
      <c r="BK1" s="33"/>
      <c r="BL1" s="33"/>
      <c r="BM1" s="33"/>
      <c r="BN1" s="33"/>
      <c r="BO1" s="33"/>
      <c r="BP1" s="33"/>
      <c r="BQ1" s="33"/>
      <c r="BR1" s="33"/>
      <c r="BS1" s="33"/>
      <c r="BT1" s="33"/>
      <c r="BU1" s="33"/>
      <c r="BV1" s="33"/>
      <c r="BW1" s="33"/>
      <c r="BX1" s="33"/>
      <c r="BY1" s="33"/>
      <c r="BZ1" s="33"/>
      <c r="CA1" s="33"/>
      <c r="CB1" s="33"/>
      <c r="CC1" s="33"/>
      <c r="CD1" s="33"/>
      <c r="CE1" s="33"/>
      <c r="CF1" s="33"/>
      <c r="CG1" s="33"/>
      <c r="CH1" s="33"/>
      <c r="CI1" s="33"/>
      <c r="CJ1" s="329" t="s">
        <v>90</v>
      </c>
    </row>
    <row r="2" spans="1:88">
      <c r="A2" s="26" t="s">
        <v>148</v>
      </c>
      <c r="B2" s="33" t="str">
        <f t="shared" ref="B2:AE2" si="0">IF(B$3="-","-",IF(B$3=A$3,A$2+1,1))</f>
        <v>-</v>
      </c>
      <c r="C2" s="33" t="str">
        <f t="shared" si="0"/>
        <v>-</v>
      </c>
      <c r="D2" s="33" t="str">
        <f t="shared" si="0"/>
        <v>-</v>
      </c>
      <c r="E2" s="33" t="str">
        <f t="shared" si="0"/>
        <v>-</v>
      </c>
      <c r="F2" s="33" t="str">
        <f t="shared" si="0"/>
        <v>-</v>
      </c>
      <c r="G2" s="33" t="str">
        <f t="shared" si="0"/>
        <v>-</v>
      </c>
      <c r="H2" s="33" t="str">
        <f t="shared" si="0"/>
        <v>-</v>
      </c>
      <c r="I2" s="33" t="str">
        <f t="shared" si="0"/>
        <v>-</v>
      </c>
      <c r="J2" s="33" t="str">
        <f t="shared" si="0"/>
        <v>-</v>
      </c>
      <c r="K2" s="33" t="str">
        <f t="shared" si="0"/>
        <v>-</v>
      </c>
      <c r="L2" s="33" t="str">
        <f t="shared" si="0"/>
        <v>-</v>
      </c>
      <c r="M2" s="33" t="str">
        <f t="shared" si="0"/>
        <v>-</v>
      </c>
      <c r="N2" s="33" t="str">
        <f t="shared" si="0"/>
        <v>-</v>
      </c>
      <c r="O2" s="33" t="str">
        <f t="shared" si="0"/>
        <v>-</v>
      </c>
      <c r="P2" s="33" t="str">
        <f t="shared" si="0"/>
        <v>-</v>
      </c>
      <c r="Q2" s="33" t="str">
        <f t="shared" si="0"/>
        <v>-</v>
      </c>
      <c r="R2" s="33" t="str">
        <f t="shared" si="0"/>
        <v>-</v>
      </c>
      <c r="S2" s="33" t="str">
        <f t="shared" ref="S2:Y2" si="1">IF(S$3="-","-",IF(S$3=R$3,R$2+1,1))</f>
        <v>-</v>
      </c>
      <c r="T2" s="33" t="str">
        <f t="shared" si="1"/>
        <v>-</v>
      </c>
      <c r="U2" s="33" t="str">
        <f t="shared" si="1"/>
        <v>-</v>
      </c>
      <c r="V2" s="33" t="str">
        <f t="shared" si="1"/>
        <v>-</v>
      </c>
      <c r="W2" s="33" t="str">
        <f t="shared" si="1"/>
        <v>-</v>
      </c>
      <c r="X2" s="33" t="str">
        <f t="shared" si="1"/>
        <v>-</v>
      </c>
      <c r="Y2" s="33" t="str">
        <f t="shared" si="1"/>
        <v>-</v>
      </c>
      <c r="Z2" s="33" t="str">
        <f t="shared" si="0"/>
        <v>-</v>
      </c>
      <c r="AA2" s="33" t="str">
        <f t="shared" si="0"/>
        <v>-</v>
      </c>
      <c r="AB2" s="33" t="str">
        <f t="shared" si="0"/>
        <v>-</v>
      </c>
      <c r="AC2" s="33" t="str">
        <f t="shared" si="0"/>
        <v>-</v>
      </c>
      <c r="AD2" s="33" t="str">
        <f t="shared" si="0"/>
        <v>-</v>
      </c>
      <c r="AE2" s="33" t="str">
        <f t="shared" si="0"/>
        <v>-</v>
      </c>
      <c r="AF2" s="33" t="str">
        <f>IF(AF$3="-","-",IF(AF$3=AE$3,AE$2+1,1))</f>
        <v>-</v>
      </c>
      <c r="AG2" s="33" t="str">
        <f>IF(AG$3="-","-",IF(AG$3=AF$3,AF$2+1,1))</f>
        <v>-</v>
      </c>
      <c r="AH2" s="33" t="str">
        <f>IF(AH$3="-","-",IF(AH$3=AG$3,AG$2+1,1))</f>
        <v>-</v>
      </c>
      <c r="AI2" s="33" t="str">
        <f>IF(AI$3="-","-",IF(AI$3=AF$3,AF$2+1,1))</f>
        <v>-</v>
      </c>
      <c r="AJ2" s="33" t="str">
        <f>IF(AJ$3="-","-",IF(AJ$3=AG$3,AG$2+1,1))</f>
        <v>-</v>
      </c>
      <c r="AK2" s="33" t="str">
        <f>IF(AK$3="-","-",IF(AK$3=AH$3,AH$2+1,1))</f>
        <v>-</v>
      </c>
      <c r="AL2" s="33" t="str">
        <f>IF(AL$3="-","-",IF(AL$3=AI$3,AI$2+1,1))</f>
        <v>-</v>
      </c>
      <c r="AM2" s="33" t="str">
        <f t="shared" ref="AM2:BQ2" si="2">IF(AM$3="-","-",IF(AM$3=AL$3,AL$2+1,1))</f>
        <v>-</v>
      </c>
      <c r="AN2" s="33" t="str">
        <f t="shared" si="2"/>
        <v>-</v>
      </c>
      <c r="AO2" s="33" t="str">
        <f t="shared" si="2"/>
        <v>-</v>
      </c>
      <c r="AP2" s="33" t="str">
        <f t="shared" si="2"/>
        <v>-</v>
      </c>
      <c r="AQ2" s="33" t="str">
        <f t="shared" si="2"/>
        <v>-</v>
      </c>
      <c r="AR2" s="33" t="str">
        <f t="shared" si="2"/>
        <v>-</v>
      </c>
      <c r="AS2" s="33" t="str">
        <f t="shared" si="2"/>
        <v>-</v>
      </c>
      <c r="AT2" s="33" t="str">
        <f t="shared" si="2"/>
        <v>-</v>
      </c>
      <c r="AU2" s="33" t="str">
        <f t="shared" si="2"/>
        <v>-</v>
      </c>
      <c r="AV2" s="33" t="str">
        <f t="shared" si="2"/>
        <v>-</v>
      </c>
      <c r="AW2" s="33" t="str">
        <f t="shared" si="2"/>
        <v>-</v>
      </c>
      <c r="AX2" s="33" t="str">
        <f t="shared" si="2"/>
        <v>-</v>
      </c>
      <c r="AY2" s="33" t="str">
        <f t="shared" si="2"/>
        <v>-</v>
      </c>
      <c r="AZ2" s="33" t="str">
        <f t="shared" si="2"/>
        <v>-</v>
      </c>
      <c r="BA2" s="33" t="str">
        <f t="shared" si="2"/>
        <v>-</v>
      </c>
      <c r="BB2" s="33" t="str">
        <f t="shared" si="2"/>
        <v>-</v>
      </c>
      <c r="BC2" s="33" t="str">
        <f t="shared" si="2"/>
        <v>-</v>
      </c>
      <c r="BD2" s="33" t="str">
        <f t="shared" si="2"/>
        <v>-</v>
      </c>
      <c r="BE2" s="33" t="str">
        <f t="shared" si="2"/>
        <v>-</v>
      </c>
      <c r="BF2" s="33" t="str">
        <f t="shared" si="2"/>
        <v>-</v>
      </c>
      <c r="BG2" s="33" t="str">
        <f t="shared" si="2"/>
        <v>-</v>
      </c>
      <c r="BH2" s="33" t="str">
        <f t="shared" si="2"/>
        <v>-</v>
      </c>
      <c r="BI2" s="33" t="str">
        <f t="shared" si="2"/>
        <v>-</v>
      </c>
      <c r="BJ2" s="33" t="str">
        <f t="shared" si="2"/>
        <v>-</v>
      </c>
      <c r="BK2" s="33" t="str">
        <f t="shared" si="2"/>
        <v>-</v>
      </c>
      <c r="BL2" s="33" t="str">
        <f t="shared" si="2"/>
        <v>-</v>
      </c>
      <c r="BM2" s="33" t="str">
        <f t="shared" si="2"/>
        <v>-</v>
      </c>
      <c r="BN2" s="33" t="str">
        <f t="shared" si="2"/>
        <v>-</v>
      </c>
      <c r="BO2" s="33" t="str">
        <f t="shared" si="2"/>
        <v>-</v>
      </c>
      <c r="BP2" s="33" t="str">
        <f t="shared" si="2"/>
        <v>-</v>
      </c>
      <c r="BQ2" s="33" t="str">
        <f t="shared" si="2"/>
        <v>-</v>
      </c>
      <c r="BR2" s="33" t="str">
        <f t="shared" ref="BR2:CI2" si="3">IF(BR$3="-","-",IF(BR$3=BQ$3,BQ$2+1,1))</f>
        <v>-</v>
      </c>
      <c r="BS2" s="33" t="str">
        <f t="shared" si="3"/>
        <v>-</v>
      </c>
      <c r="BT2" s="33" t="str">
        <f t="shared" si="3"/>
        <v>-</v>
      </c>
      <c r="BU2" s="33" t="str">
        <f t="shared" si="3"/>
        <v>-</v>
      </c>
      <c r="BV2" s="33" t="str">
        <f t="shared" si="3"/>
        <v>-</v>
      </c>
      <c r="BW2" s="33" t="str">
        <f t="shared" si="3"/>
        <v>-</v>
      </c>
      <c r="BX2" s="33" t="str">
        <f t="shared" si="3"/>
        <v>-</v>
      </c>
      <c r="BY2" s="33" t="str">
        <f t="shared" si="3"/>
        <v>-</v>
      </c>
      <c r="BZ2" s="33" t="str">
        <f t="shared" si="3"/>
        <v>-</v>
      </c>
      <c r="CA2" s="33" t="str">
        <f t="shared" si="3"/>
        <v>-</v>
      </c>
      <c r="CB2" s="33" t="str">
        <f t="shared" si="3"/>
        <v>-</v>
      </c>
      <c r="CC2" s="33" t="str">
        <f t="shared" si="3"/>
        <v>-</v>
      </c>
      <c r="CD2" s="33" t="str">
        <f t="shared" si="3"/>
        <v>-</v>
      </c>
      <c r="CE2" s="33" t="str">
        <f t="shared" si="3"/>
        <v>-</v>
      </c>
      <c r="CF2" s="33" t="str">
        <f t="shared" si="3"/>
        <v>-</v>
      </c>
      <c r="CG2" s="33" t="str">
        <f t="shared" si="3"/>
        <v>-</v>
      </c>
      <c r="CH2" s="33" t="str">
        <f t="shared" si="3"/>
        <v>-</v>
      </c>
      <c r="CI2" s="33" t="str">
        <f t="shared" si="3"/>
        <v>-</v>
      </c>
      <c r="CJ2" s="329"/>
    </row>
    <row r="3" spans="1:88">
      <c r="A3" s="26" t="s">
        <v>149</v>
      </c>
      <c r="B3" s="49" t="str">
        <f t="shared" ref="B3:AE3" si="4">IF(B$5="",A$3,IFERROR(MATCH(B$5,prodArrayNames,0),"-"))</f>
        <v>-</v>
      </c>
      <c r="C3" s="49" t="str">
        <f t="shared" si="4"/>
        <v>-</v>
      </c>
      <c r="D3" s="49" t="str">
        <f t="shared" si="4"/>
        <v>-</v>
      </c>
      <c r="E3" s="49" t="str">
        <f t="shared" si="4"/>
        <v>-</v>
      </c>
      <c r="F3" s="49" t="str">
        <f t="shared" si="4"/>
        <v>-</v>
      </c>
      <c r="G3" s="49" t="str">
        <f t="shared" si="4"/>
        <v>-</v>
      </c>
      <c r="H3" s="49" t="str">
        <f t="shared" si="4"/>
        <v>-</v>
      </c>
      <c r="I3" s="49" t="str">
        <f t="shared" si="4"/>
        <v>-</v>
      </c>
      <c r="J3" s="49" t="str">
        <f t="shared" si="4"/>
        <v>-</v>
      </c>
      <c r="K3" s="49" t="str">
        <f t="shared" si="4"/>
        <v>-</v>
      </c>
      <c r="L3" s="49" t="str">
        <f t="shared" si="4"/>
        <v>-</v>
      </c>
      <c r="M3" s="49" t="str">
        <f t="shared" si="4"/>
        <v>-</v>
      </c>
      <c r="N3" s="49" t="str">
        <f t="shared" si="4"/>
        <v>-</v>
      </c>
      <c r="O3" s="49" t="str">
        <f t="shared" si="4"/>
        <v>-</v>
      </c>
      <c r="P3" s="49" t="str">
        <f t="shared" si="4"/>
        <v>-</v>
      </c>
      <c r="Q3" s="49" t="str">
        <f t="shared" si="4"/>
        <v>-</v>
      </c>
      <c r="R3" s="49" t="str">
        <f t="shared" si="4"/>
        <v>-</v>
      </c>
      <c r="S3" s="49" t="str">
        <f t="shared" ref="S3:Y3" si="5">IF(S$5="",R$3,IFERROR(MATCH(S$5,prodArrayNames,0),"-"))</f>
        <v>-</v>
      </c>
      <c r="T3" s="49" t="str">
        <f t="shared" si="5"/>
        <v>-</v>
      </c>
      <c r="U3" s="49" t="str">
        <f t="shared" si="5"/>
        <v>-</v>
      </c>
      <c r="V3" s="49" t="str">
        <f t="shared" si="5"/>
        <v>-</v>
      </c>
      <c r="W3" s="49" t="str">
        <f t="shared" si="5"/>
        <v>-</v>
      </c>
      <c r="X3" s="49" t="str">
        <f t="shared" si="5"/>
        <v>-</v>
      </c>
      <c r="Y3" s="49" t="str">
        <f t="shared" si="5"/>
        <v>-</v>
      </c>
      <c r="Z3" s="49" t="str">
        <f t="shared" si="4"/>
        <v>-</v>
      </c>
      <c r="AA3" s="49" t="str">
        <f t="shared" si="4"/>
        <v>-</v>
      </c>
      <c r="AB3" s="49" t="str">
        <f t="shared" si="4"/>
        <v>-</v>
      </c>
      <c r="AC3" s="49" t="str">
        <f t="shared" si="4"/>
        <v>-</v>
      </c>
      <c r="AD3" s="49" t="str">
        <f t="shared" si="4"/>
        <v>-</v>
      </c>
      <c r="AE3" s="49" t="str">
        <f t="shared" si="4"/>
        <v>-</v>
      </c>
      <c r="AF3" s="49" t="str">
        <f>IF(AF$5="",AE$3,IFERROR(MATCH(AF$5,prodArrayNames,0),"-"))</f>
        <v>-</v>
      </c>
      <c r="AG3" s="49" t="str">
        <f>IF(AG$5="",AF$3,IFERROR(MATCH(AG$5,prodArrayNames,0),"-"))</f>
        <v>-</v>
      </c>
      <c r="AH3" s="49" t="str">
        <f>IF(AH$5="",AG$3,IFERROR(MATCH(AH$5,prodArrayNames,0),"-"))</f>
        <v>-</v>
      </c>
      <c r="AI3" s="49" t="str">
        <f>IF(AI$5="",AF$3,IFERROR(MATCH(AI$5,prodArrayNames,0),"-"))</f>
        <v>-</v>
      </c>
      <c r="AJ3" s="49" t="str">
        <f>IF(AJ$5="",AG$3,IFERROR(MATCH(AJ$5,prodArrayNames,0),"-"))</f>
        <v>-</v>
      </c>
      <c r="AK3" s="49" t="str">
        <f>IF(AK$5="",AH$3,IFERROR(MATCH(AK$5,prodArrayNames,0),"-"))</f>
        <v>-</v>
      </c>
      <c r="AL3" s="49" t="str">
        <f>IF(AL$5="",AI$3,IFERROR(MATCH(AL$5,prodArrayNames,0),"-"))</f>
        <v>-</v>
      </c>
      <c r="AM3" s="49" t="str">
        <f t="shared" ref="AM3:BQ3" si="6">IF(AM$5="",AL$3,IFERROR(MATCH(AM$5,prodArrayNames,0),"-"))</f>
        <v>-</v>
      </c>
      <c r="AN3" s="49" t="str">
        <f t="shared" si="6"/>
        <v>-</v>
      </c>
      <c r="AO3" s="49" t="str">
        <f t="shared" si="6"/>
        <v>-</v>
      </c>
      <c r="AP3" s="49" t="str">
        <f t="shared" si="6"/>
        <v>-</v>
      </c>
      <c r="AQ3" s="49" t="str">
        <f t="shared" si="6"/>
        <v>-</v>
      </c>
      <c r="AR3" s="49" t="str">
        <f t="shared" si="6"/>
        <v>-</v>
      </c>
      <c r="AS3" s="49" t="str">
        <f t="shared" si="6"/>
        <v>-</v>
      </c>
      <c r="AT3" s="49" t="str">
        <f t="shared" si="6"/>
        <v>-</v>
      </c>
      <c r="AU3" s="49" t="str">
        <f t="shared" si="6"/>
        <v>-</v>
      </c>
      <c r="AV3" s="49" t="str">
        <f t="shared" si="6"/>
        <v>-</v>
      </c>
      <c r="AW3" s="49" t="str">
        <f t="shared" si="6"/>
        <v>-</v>
      </c>
      <c r="AX3" s="49" t="str">
        <f t="shared" si="6"/>
        <v>-</v>
      </c>
      <c r="AY3" s="49" t="str">
        <f t="shared" si="6"/>
        <v>-</v>
      </c>
      <c r="AZ3" s="49" t="str">
        <f t="shared" si="6"/>
        <v>-</v>
      </c>
      <c r="BA3" s="49" t="str">
        <f t="shared" si="6"/>
        <v>-</v>
      </c>
      <c r="BB3" s="49" t="str">
        <f t="shared" si="6"/>
        <v>-</v>
      </c>
      <c r="BC3" s="49" t="str">
        <f t="shared" si="6"/>
        <v>-</v>
      </c>
      <c r="BD3" s="49" t="str">
        <f t="shared" si="6"/>
        <v>-</v>
      </c>
      <c r="BE3" s="49" t="str">
        <f t="shared" si="6"/>
        <v>-</v>
      </c>
      <c r="BF3" s="49" t="str">
        <f t="shared" si="6"/>
        <v>-</v>
      </c>
      <c r="BG3" s="49" t="str">
        <f t="shared" si="6"/>
        <v>-</v>
      </c>
      <c r="BH3" s="49" t="str">
        <f t="shared" si="6"/>
        <v>-</v>
      </c>
      <c r="BI3" s="49" t="str">
        <f t="shared" si="6"/>
        <v>-</v>
      </c>
      <c r="BJ3" s="49" t="str">
        <f t="shared" si="6"/>
        <v>-</v>
      </c>
      <c r="BK3" s="49" t="str">
        <f t="shared" si="6"/>
        <v>-</v>
      </c>
      <c r="BL3" s="49" t="str">
        <f t="shared" si="6"/>
        <v>-</v>
      </c>
      <c r="BM3" s="49" t="str">
        <f t="shared" si="6"/>
        <v>-</v>
      </c>
      <c r="BN3" s="49" t="str">
        <f t="shared" si="6"/>
        <v>-</v>
      </c>
      <c r="BO3" s="49" t="str">
        <f t="shared" si="6"/>
        <v>-</v>
      </c>
      <c r="BP3" s="49" t="str">
        <f t="shared" si="6"/>
        <v>-</v>
      </c>
      <c r="BQ3" s="49" t="str">
        <f t="shared" si="6"/>
        <v>-</v>
      </c>
      <c r="BR3" s="49" t="str">
        <f t="shared" ref="BR3:CI3" si="7">IF(BR$5="",BQ$3,IFERROR(MATCH(BR$5,prodArrayNames,0),"-"))</f>
        <v>-</v>
      </c>
      <c r="BS3" s="49" t="str">
        <f t="shared" si="7"/>
        <v>-</v>
      </c>
      <c r="BT3" s="49" t="str">
        <f t="shared" si="7"/>
        <v>-</v>
      </c>
      <c r="BU3" s="49" t="str">
        <f t="shared" si="7"/>
        <v>-</v>
      </c>
      <c r="BV3" s="49" t="str">
        <f t="shared" si="7"/>
        <v>-</v>
      </c>
      <c r="BW3" s="49" t="str">
        <f t="shared" si="7"/>
        <v>-</v>
      </c>
      <c r="BX3" s="49" t="str">
        <f t="shared" si="7"/>
        <v>-</v>
      </c>
      <c r="BY3" s="49" t="str">
        <f t="shared" si="7"/>
        <v>-</v>
      </c>
      <c r="BZ3" s="49" t="str">
        <f t="shared" si="7"/>
        <v>-</v>
      </c>
      <c r="CA3" s="49" t="str">
        <f t="shared" si="7"/>
        <v>-</v>
      </c>
      <c r="CB3" s="49" t="str">
        <f t="shared" si="7"/>
        <v>-</v>
      </c>
      <c r="CC3" s="49" t="str">
        <f t="shared" si="7"/>
        <v>-</v>
      </c>
      <c r="CD3" s="49" t="str">
        <f t="shared" si="7"/>
        <v>-</v>
      </c>
      <c r="CE3" s="49" t="str">
        <f t="shared" si="7"/>
        <v>-</v>
      </c>
      <c r="CF3" s="49" t="str">
        <f t="shared" si="7"/>
        <v>-</v>
      </c>
      <c r="CG3" s="49" t="str">
        <f t="shared" si="7"/>
        <v>-</v>
      </c>
      <c r="CH3" s="49" t="str">
        <f t="shared" si="7"/>
        <v>-</v>
      </c>
      <c r="CI3" s="49" t="str">
        <f t="shared" si="7"/>
        <v>-</v>
      </c>
      <c r="CJ3" s="329"/>
    </row>
    <row r="4" spans="1:88" ht="15" thickBot="1">
      <c r="A4" s="26" t="s">
        <v>151</v>
      </c>
      <c r="B4" s="50" t="str">
        <f t="shared" ref="B4:AL4" si="8">IF(OR(B$5="",B$5="empty",B$5="[indexname]"),"",MID(DEC2HEX(CODE(B$5)+2^6*CODE(MID(B$5&amp;makeGUID,2,1))+2^8*CODE(MID(B$5&amp;makeGUID,3,1))+2^10*CODE(MID(B$5&amp;makeGUID,4,1))+2^12*CODE(MID(B$5&amp;makeGUID,5,1))+2^14*CODE(MID(B$5&amp;makeGUID,6,1))+2^16*CODE(MID(B$5&amp;makeGUID,7,1))+2^18*CODE(MID(B$5&amp;makeGUID,8,1))+2^20*CODE(MID(B$5&amp;makeGUID,9,1))+2^22*CODE(MID(B$5&amp;makeGUID,10,1))+2^24*CODE(MID(B$5&amp;makeGUID,11,1))),1,8)&amp;"-"&amp;MID(2^6*CODE(MID(B$5&amp;makeGUID,12,1))+2^8*CODE(MID(B$5&amp;makeGUID,13,1))+2^10*CODE(MID(B$5&amp;makeGUID,14,1))+2^12*CODE(MID(B$5&amp;makeGUID,15,1)),1,4)&amp;"-"&amp;MID(2^14*CODE(MID(B$5&amp;makeGUID,16,1))+2^16*CODE(MID(B$5&amp;makeGUID,17,1))+2^18*CODE(MID(B$5&amp;makeGUID,18,1))+2^20*CODE(MID(B$5&amp;makeGUID,19,1)),1,4)&amp;"-")</f>
        <v>89F3DC01-5833-1588-</v>
      </c>
      <c r="C4" s="50" t="str">
        <f t="shared" si="8"/>
        <v>980ADC01-4814-1486-</v>
      </c>
      <c r="D4" s="50" t="str">
        <f t="shared" si="8"/>
        <v/>
      </c>
      <c r="E4" s="50" t="str">
        <f t="shared" si="8"/>
        <v/>
      </c>
      <c r="F4" s="50" t="str">
        <f t="shared" si="8"/>
        <v>8A44A473-5758-1516-</v>
      </c>
      <c r="G4" s="50" t="str">
        <f t="shared" si="8"/>
        <v>83E61827-5969-1395-</v>
      </c>
      <c r="H4" s="50" t="str">
        <f t="shared" si="8"/>
        <v/>
      </c>
      <c r="I4" s="50" t="str">
        <f t="shared" si="8"/>
        <v/>
      </c>
      <c r="J4" s="50" t="str">
        <f t="shared" si="8"/>
        <v/>
      </c>
      <c r="K4" s="50" t="str">
        <f t="shared" si="8"/>
        <v>83E61827-5969-1395-</v>
      </c>
      <c r="L4" s="50" t="str">
        <f t="shared" si="8"/>
        <v/>
      </c>
      <c r="M4" s="50" t="str">
        <f t="shared" si="8"/>
        <v/>
      </c>
      <c r="N4" s="50" t="str">
        <f t="shared" si="8"/>
        <v/>
      </c>
      <c r="O4" s="50" t="str">
        <f t="shared" si="8"/>
        <v>86281827-4988-1400-</v>
      </c>
      <c r="P4" s="50" t="str">
        <f t="shared" si="8"/>
        <v/>
      </c>
      <c r="Q4" s="50" t="str">
        <f t="shared" si="8"/>
        <v>8D98F8E9-5020-1272-</v>
      </c>
      <c r="R4" s="50" t="str">
        <f t="shared" si="8"/>
        <v/>
      </c>
      <c r="S4" s="50" t="str">
        <f t="shared" si="8"/>
        <v/>
      </c>
      <c r="T4" s="50" t="str">
        <f t="shared" si="8"/>
        <v/>
      </c>
      <c r="U4" s="50" t="str">
        <f t="shared" si="8"/>
        <v>90AC3A24-6296-1404-</v>
      </c>
      <c r="V4" s="50" t="str">
        <f t="shared" si="8"/>
        <v>87880450-5524-1413-</v>
      </c>
      <c r="W4" s="50" t="str">
        <f t="shared" si="8"/>
        <v>8B081E24-5665-1417-</v>
      </c>
      <c r="X4" s="50" t="str">
        <f t="shared" si="8"/>
        <v>87409A24-5258-1368-</v>
      </c>
      <c r="Y4" s="50" t="str">
        <f t="shared" si="8"/>
        <v>90547624-3946-1028-</v>
      </c>
      <c r="Z4" s="50" t="str">
        <f t="shared" si="8"/>
        <v/>
      </c>
      <c r="AA4" s="50" t="str">
        <f t="shared" si="8"/>
        <v>904BA224-3946-1028-</v>
      </c>
      <c r="AB4" s="50" t="str">
        <f t="shared" si="8"/>
        <v/>
      </c>
      <c r="AC4" s="50" t="str">
        <f t="shared" si="8"/>
        <v>97117224-5924-1164-</v>
      </c>
      <c r="AD4" s="50" t="str">
        <f t="shared" si="8"/>
        <v/>
      </c>
      <c r="AE4" s="50" t="str">
        <f t="shared" si="8"/>
        <v>60EBA224-4017-1123-</v>
      </c>
      <c r="AF4" s="50" t="str">
        <f t="shared" si="8"/>
        <v/>
      </c>
      <c r="AG4" s="50" t="str">
        <f t="shared" si="8"/>
        <v>8AE93A24-5924-1164-</v>
      </c>
      <c r="AH4" s="50" t="str">
        <f t="shared" si="8"/>
        <v/>
      </c>
      <c r="AI4" s="50" t="str">
        <f t="shared" si="8"/>
        <v>8D223E24-3946-1028-</v>
      </c>
      <c r="AJ4" s="50" t="str">
        <f t="shared" si="8"/>
        <v/>
      </c>
      <c r="AK4" s="50" t="str">
        <f t="shared" si="8"/>
        <v>81CC0224-5585-1532-</v>
      </c>
      <c r="AL4" s="50" t="str">
        <f t="shared" si="8"/>
        <v/>
      </c>
      <c r="AM4" s="50" t="str">
        <f t="shared" ref="AM4:BS4" si="9">IF(OR(AM$5="",AM$5="empty",AM$5="[indexname]"),"",MID(DEC2HEX(CODE(AM$5)+2^6*CODE(MID(AM$5&amp;makeGUID,2,1))+2^8*CODE(MID(AM$5&amp;makeGUID,3,1))+2^10*CODE(MID(AM$5&amp;makeGUID,4,1))+2^12*CODE(MID(AM$5&amp;makeGUID,5,1))+2^14*CODE(MID(AM$5&amp;makeGUID,6,1))+2^16*CODE(MID(AM$5&amp;makeGUID,7,1))+2^18*CODE(MID(AM$5&amp;makeGUID,8,1))+2^20*CODE(MID(AM$5&amp;makeGUID,9,1))+2^22*CODE(MID(AM$5&amp;makeGUID,10,1))+2^24*CODE(MID(AM$5&amp;makeGUID,11,1))),1,8)&amp;"-"&amp;MID(2^6*CODE(MID(AM$5&amp;makeGUID,12,1))+2^8*CODE(MID(AM$5&amp;makeGUID,13,1))+2^10*CODE(MID(AM$5&amp;makeGUID,14,1))+2^12*CODE(MID(AM$5&amp;makeGUID,15,1)),1,4)&amp;"-"&amp;MID(2^14*CODE(MID(AM$5&amp;makeGUID,16,1))+2^16*CODE(MID(AM$5&amp;makeGUID,17,1))+2^18*CODE(MID(AM$5&amp;makeGUID,18,1))+2^20*CODE(MID(AM$5&amp;makeGUID,19,1)),1,4)&amp;"-")</f>
        <v>90A8CA24-5905-1442-</v>
      </c>
      <c r="AN4" s="50" t="str">
        <f t="shared" si="9"/>
        <v/>
      </c>
      <c r="AO4" s="50" t="str">
        <f t="shared" si="9"/>
        <v>8A28CA24-5822-1288-</v>
      </c>
      <c r="AP4" s="50" t="str">
        <f t="shared" si="9"/>
        <v/>
      </c>
      <c r="AQ4" s="50" t="str">
        <f t="shared" si="9"/>
        <v>8A28CA24-5822-1238-</v>
      </c>
      <c r="AR4" s="50" t="str">
        <f t="shared" si="9"/>
        <v/>
      </c>
      <c r="AS4" s="50" t="str">
        <f t="shared" si="9"/>
        <v>81A8CA24-4880-1272-</v>
      </c>
      <c r="AT4" s="50" t="str">
        <f t="shared" si="9"/>
        <v/>
      </c>
      <c r="AU4" s="50" t="str">
        <f t="shared" si="9"/>
        <v>81A8CA24-3946-1028-</v>
      </c>
      <c r="AV4" s="50" t="str">
        <f t="shared" si="9"/>
        <v/>
      </c>
      <c r="AW4" s="50" t="str">
        <f t="shared" si="9"/>
        <v>8AA8CA24-5926-1008-</v>
      </c>
      <c r="AX4" s="50" t="str">
        <f t="shared" si="9"/>
        <v>8AA8CA24-5926-1247-</v>
      </c>
      <c r="AY4" s="50" t="str">
        <f t="shared" si="9"/>
        <v>8AA8CA24-5926-1473-</v>
      </c>
      <c r="AZ4" s="50" t="str">
        <f t="shared" si="9"/>
        <v>8AA8CA24-5926-1473-</v>
      </c>
      <c r="BA4" s="50" t="str">
        <f t="shared" si="9"/>
        <v>830C7624-3938-1028-</v>
      </c>
      <c r="BB4" s="50" t="str">
        <f t="shared" si="9"/>
        <v/>
      </c>
      <c r="BC4" s="50" t="str">
        <f t="shared" si="9"/>
        <v>8A86D624-5662-1517-</v>
      </c>
      <c r="BD4" s="50" t="str">
        <f t="shared" si="9"/>
        <v/>
      </c>
      <c r="BE4" s="50" t="str">
        <f t="shared" si="9"/>
        <v/>
      </c>
      <c r="BF4" s="50" t="str">
        <f t="shared" si="9"/>
        <v/>
      </c>
      <c r="BG4" s="50" t="str">
        <f t="shared" si="9"/>
        <v/>
      </c>
      <c r="BH4" s="50" t="str">
        <f t="shared" si="9"/>
        <v/>
      </c>
      <c r="BI4" s="50" t="str">
        <f t="shared" si="9"/>
        <v/>
      </c>
      <c r="BJ4" s="50" t="str">
        <f t="shared" si="9"/>
        <v/>
      </c>
      <c r="BK4" s="50" t="str">
        <f t="shared" si="9"/>
        <v/>
      </c>
      <c r="BL4" s="50" t="str">
        <f t="shared" si="9"/>
        <v/>
      </c>
      <c r="BM4" s="50" t="str">
        <f t="shared" si="9"/>
        <v/>
      </c>
      <c r="BN4" s="50" t="str">
        <f t="shared" si="9"/>
        <v/>
      </c>
      <c r="BO4" s="50" t="str">
        <f t="shared" si="9"/>
        <v/>
      </c>
      <c r="BP4" s="50" t="str">
        <f t="shared" si="9"/>
        <v/>
      </c>
      <c r="BQ4" s="50" t="str">
        <f t="shared" si="9"/>
        <v/>
      </c>
      <c r="BR4" s="50" t="str">
        <f t="shared" si="9"/>
        <v/>
      </c>
      <c r="BS4" s="50" t="str">
        <f t="shared" si="9"/>
        <v/>
      </c>
      <c r="BT4" s="50" t="str">
        <f t="shared" ref="BT4:CI4" si="10">IF(OR(BT$5="",BT$5="empty",BT$5="[indexname]"),"",MID(DEC2HEX(CODE(BT$5)+2^6*CODE(MID(BT$5&amp;makeGUID,2,1))+2^8*CODE(MID(BT$5&amp;makeGUID,3,1))+2^10*CODE(MID(BT$5&amp;makeGUID,4,1))+2^12*CODE(MID(BT$5&amp;makeGUID,5,1))+2^14*CODE(MID(BT$5&amp;makeGUID,6,1))+2^16*CODE(MID(BT$5&amp;makeGUID,7,1))+2^18*CODE(MID(BT$5&amp;makeGUID,8,1))+2^20*CODE(MID(BT$5&amp;makeGUID,9,1))+2^22*CODE(MID(BT$5&amp;makeGUID,10,1))+2^24*CODE(MID(BT$5&amp;makeGUID,11,1))),1,8)&amp;"-"&amp;MID(2^6*CODE(MID(BT$5&amp;makeGUID,12,1))+2^8*CODE(MID(BT$5&amp;makeGUID,13,1))+2^10*CODE(MID(BT$5&amp;makeGUID,14,1))+2^12*CODE(MID(BT$5&amp;makeGUID,15,1)),1,4)&amp;"-"&amp;MID(2^14*CODE(MID(BT$5&amp;makeGUID,16,1))+2^16*CODE(MID(BT$5&amp;makeGUID,17,1))+2^18*CODE(MID(BT$5&amp;makeGUID,18,1))+2^20*CODE(MID(BT$5&amp;makeGUID,19,1)),1,4)&amp;"-")</f>
        <v/>
      </c>
      <c r="BU4" s="50" t="str">
        <f t="shared" si="10"/>
        <v/>
      </c>
      <c r="BV4" s="50" t="str">
        <f t="shared" si="10"/>
        <v/>
      </c>
      <c r="BW4" s="50" t="str">
        <f t="shared" si="10"/>
        <v/>
      </c>
      <c r="BX4" s="50" t="str">
        <f t="shared" si="10"/>
        <v/>
      </c>
      <c r="BY4" s="50" t="str">
        <f t="shared" si="10"/>
        <v/>
      </c>
      <c r="BZ4" s="50" t="str">
        <f t="shared" si="10"/>
        <v/>
      </c>
      <c r="CA4" s="50" t="str">
        <f t="shared" si="10"/>
        <v/>
      </c>
      <c r="CB4" s="50" t="str">
        <f t="shared" si="10"/>
        <v/>
      </c>
      <c r="CC4" s="50" t="str">
        <f t="shared" si="10"/>
        <v/>
      </c>
      <c r="CD4" s="50" t="str">
        <f t="shared" si="10"/>
        <v/>
      </c>
      <c r="CE4" s="50" t="str">
        <f t="shared" si="10"/>
        <v/>
      </c>
      <c r="CF4" s="50" t="str">
        <f t="shared" si="10"/>
        <v/>
      </c>
      <c r="CG4" s="50" t="str">
        <f t="shared" si="10"/>
        <v/>
      </c>
      <c r="CH4" s="50" t="str">
        <f t="shared" si="10"/>
        <v/>
      </c>
      <c r="CI4" s="50" t="str">
        <f t="shared" si="10"/>
        <v/>
      </c>
      <c r="CJ4" s="95"/>
    </row>
    <row r="5" spans="1:88" ht="22.5" customHeight="1" thickTop="1">
      <c r="A5" s="27" t="s">
        <v>89</v>
      </c>
      <c r="B5" s="94" t="s">
        <v>1622</v>
      </c>
      <c r="C5" s="94" t="s">
        <v>1624</v>
      </c>
      <c r="D5" s="94"/>
      <c r="E5" s="94"/>
      <c r="F5" s="94" t="s">
        <v>1471</v>
      </c>
      <c r="G5" s="94" t="s">
        <v>2031</v>
      </c>
      <c r="H5" s="94"/>
      <c r="I5" s="94"/>
      <c r="J5" s="94"/>
      <c r="K5" s="94" t="s">
        <v>2033</v>
      </c>
      <c r="L5" s="94"/>
      <c r="M5" s="94"/>
      <c r="N5" s="94"/>
      <c r="O5" s="94" t="s">
        <v>2162</v>
      </c>
      <c r="P5" s="94" t="s">
        <v>30</v>
      </c>
      <c r="Q5" s="94" t="s">
        <v>2999</v>
      </c>
      <c r="R5" s="94"/>
      <c r="S5" s="94"/>
      <c r="T5" s="94"/>
      <c r="U5" s="94" t="s">
        <v>4018</v>
      </c>
      <c r="V5" s="94" t="s">
        <v>2784</v>
      </c>
      <c r="W5" s="94" t="s">
        <v>3707</v>
      </c>
      <c r="X5" s="94" t="s">
        <v>222</v>
      </c>
      <c r="Y5" s="209" t="s">
        <v>207</v>
      </c>
      <c r="Z5" s="209" t="s">
        <v>3325</v>
      </c>
      <c r="AA5" s="209" t="s">
        <v>209</v>
      </c>
      <c r="AB5" s="209" t="s">
        <v>3325</v>
      </c>
      <c r="AC5" s="209" t="s">
        <v>211</v>
      </c>
      <c r="AD5" s="209" t="s">
        <v>3325</v>
      </c>
      <c r="AE5" s="209" t="s">
        <v>202</v>
      </c>
      <c r="AF5" s="209" t="s">
        <v>3325</v>
      </c>
      <c r="AG5" s="209" t="s">
        <v>3732</v>
      </c>
      <c r="AH5" s="209" t="s">
        <v>3325</v>
      </c>
      <c r="AI5" s="209" t="s">
        <v>215</v>
      </c>
      <c r="AJ5" s="209" t="s">
        <v>3325</v>
      </c>
      <c r="AK5" s="94" t="s">
        <v>809</v>
      </c>
      <c r="AL5" s="94"/>
      <c r="AM5" s="94" t="s">
        <v>3433</v>
      </c>
      <c r="AN5" s="94"/>
      <c r="AO5" s="94" t="s">
        <v>3403</v>
      </c>
      <c r="AP5" s="94"/>
      <c r="AQ5" s="94" t="s">
        <v>3450</v>
      </c>
      <c r="AR5" s="94"/>
      <c r="AS5" s="94" t="s">
        <v>3451</v>
      </c>
      <c r="AT5" s="94"/>
      <c r="AU5" s="94" t="s">
        <v>3405</v>
      </c>
      <c r="AV5" s="94"/>
      <c r="AW5" s="94" t="s">
        <v>3407</v>
      </c>
      <c r="AX5" s="94" t="s">
        <v>3437</v>
      </c>
      <c r="AY5" s="94" t="s">
        <v>3415</v>
      </c>
      <c r="AZ5" s="94" t="s">
        <v>3438</v>
      </c>
      <c r="BA5" s="94" t="s">
        <v>3504</v>
      </c>
      <c r="BB5" s="209" t="s">
        <v>3325</v>
      </c>
      <c r="BC5" s="94" t="s">
        <v>3596</v>
      </c>
      <c r="BD5" s="94" t="s">
        <v>30</v>
      </c>
      <c r="BE5" s="94" t="s">
        <v>30</v>
      </c>
      <c r="BF5" s="94" t="s">
        <v>30</v>
      </c>
      <c r="BG5" s="94" t="s">
        <v>30</v>
      </c>
      <c r="BH5" s="94" t="s">
        <v>30</v>
      </c>
      <c r="BI5" s="94" t="s">
        <v>30</v>
      </c>
      <c r="BJ5" s="94" t="s">
        <v>30</v>
      </c>
      <c r="BK5" s="94" t="s">
        <v>30</v>
      </c>
      <c r="BL5" s="94" t="s">
        <v>30</v>
      </c>
      <c r="BM5" s="94" t="s">
        <v>30</v>
      </c>
      <c r="BN5" s="94" t="s">
        <v>30</v>
      </c>
      <c r="BO5" s="94" t="s">
        <v>30</v>
      </c>
      <c r="BP5" s="94" t="s">
        <v>30</v>
      </c>
      <c r="BQ5" s="94" t="s">
        <v>30</v>
      </c>
      <c r="BR5" s="94" t="s">
        <v>30</v>
      </c>
      <c r="BS5" s="94" t="s">
        <v>30</v>
      </c>
      <c r="BT5" s="94" t="s">
        <v>30</v>
      </c>
      <c r="BU5" s="94" t="s">
        <v>30</v>
      </c>
      <c r="BV5" s="94" t="s">
        <v>30</v>
      </c>
      <c r="BW5" s="94" t="s">
        <v>30</v>
      </c>
      <c r="BX5" s="94" t="s">
        <v>30</v>
      </c>
      <c r="BY5" s="94" t="s">
        <v>30</v>
      </c>
      <c r="BZ5" s="94" t="s">
        <v>30</v>
      </c>
      <c r="CA5" s="94" t="s">
        <v>30</v>
      </c>
      <c r="CB5" s="94" t="s">
        <v>30</v>
      </c>
      <c r="CC5" s="94" t="s">
        <v>30</v>
      </c>
      <c r="CD5" s="94" t="s">
        <v>30</v>
      </c>
      <c r="CE5" s="94" t="s">
        <v>30</v>
      </c>
      <c r="CF5" s="94" t="s">
        <v>30</v>
      </c>
      <c r="CG5" s="94" t="s">
        <v>30</v>
      </c>
      <c r="CH5" s="94" t="s">
        <v>30</v>
      </c>
      <c r="CI5" s="94" t="s">
        <v>30</v>
      </c>
      <c r="CJ5" s="95" t="s">
        <v>150</v>
      </c>
    </row>
    <row r="6" spans="1:88" ht="22.5" customHeight="1">
      <c r="A6" s="27" t="s">
        <v>152</v>
      </c>
      <c r="B6" s="16">
        <v>0</v>
      </c>
      <c r="C6" s="16">
        <v>0</v>
      </c>
      <c r="D6" s="16">
        <v>0</v>
      </c>
      <c r="E6" s="16">
        <v>0</v>
      </c>
      <c r="F6" s="16">
        <v>-9999</v>
      </c>
      <c r="G6" s="16">
        <v>17</v>
      </c>
      <c r="H6" s="16">
        <v>1.4999999999999999E-2</v>
      </c>
      <c r="I6" s="16">
        <v>0</v>
      </c>
      <c r="J6" s="16">
        <v>1</v>
      </c>
      <c r="K6" s="16">
        <v>17</v>
      </c>
      <c r="L6" s="16">
        <v>1.4999999999999999E-2</v>
      </c>
      <c r="M6" s="16">
        <v>0</v>
      </c>
      <c r="N6" s="16">
        <v>1</v>
      </c>
      <c r="O6" s="16">
        <v>1</v>
      </c>
      <c r="Q6" s="16">
        <v>1</v>
      </c>
      <c r="R6" s="16">
        <v>1</v>
      </c>
      <c r="S6" s="16">
        <v>1</v>
      </c>
      <c r="T6" s="16">
        <v>1</v>
      </c>
      <c r="U6" s="16">
        <v>3</v>
      </c>
      <c r="V6" s="16" t="s">
        <v>3083</v>
      </c>
      <c r="W6" s="16" t="s">
        <v>3710</v>
      </c>
      <c r="X6" s="16">
        <v>500</v>
      </c>
      <c r="Y6" s="210">
        <v>96</v>
      </c>
      <c r="Z6" s="211" t="s">
        <v>3327</v>
      </c>
      <c r="AA6" s="210">
        <v>92</v>
      </c>
      <c r="AB6" s="211" t="s">
        <v>3328</v>
      </c>
      <c r="AC6" s="210">
        <v>91</v>
      </c>
      <c r="AD6" s="211" t="s">
        <v>3329</v>
      </c>
      <c r="AE6" s="210">
        <v>64</v>
      </c>
      <c r="AF6" s="211" t="s">
        <v>3330</v>
      </c>
      <c r="AG6" s="210">
        <v>21</v>
      </c>
      <c r="AH6" s="211" t="s">
        <v>3733</v>
      </c>
      <c r="AI6" s="210">
        <v>40</v>
      </c>
      <c r="AJ6" s="211" t="s">
        <v>3331</v>
      </c>
      <c r="AK6" s="16">
        <v>5.0000000000000001E-3</v>
      </c>
      <c r="AL6" s="16">
        <v>7.4999999999999997E-3</v>
      </c>
      <c r="AM6" s="16">
        <v>2.1000000000000001E-2</v>
      </c>
      <c r="AN6" s="16">
        <v>0.03</v>
      </c>
      <c r="AO6" s="16">
        <v>0</v>
      </c>
      <c r="AP6" s="16">
        <v>0</v>
      </c>
      <c r="AQ6" s="16">
        <v>0</v>
      </c>
      <c r="AR6" s="16">
        <v>0</v>
      </c>
      <c r="AS6" s="16">
        <v>0</v>
      </c>
      <c r="AT6" s="16">
        <v>0</v>
      </c>
      <c r="AU6" s="16">
        <v>0</v>
      </c>
      <c r="AV6" s="16">
        <v>0</v>
      </c>
      <c r="AW6" s="16" t="s">
        <v>3439</v>
      </c>
      <c r="AX6" s="16" t="s">
        <v>3439</v>
      </c>
      <c r="AY6" s="16">
        <v>8.0000000000000002E-3</v>
      </c>
      <c r="AZ6" s="16">
        <v>8.0000000000000002E-3</v>
      </c>
      <c r="BA6" s="16">
        <v>90</v>
      </c>
      <c r="BB6" s="16" t="s">
        <v>3540</v>
      </c>
      <c r="BC6" s="16" t="s">
        <v>3439</v>
      </c>
      <c r="CJ6" s="95" t="s">
        <v>91</v>
      </c>
    </row>
    <row r="7" spans="1:88" ht="22.5" customHeight="1">
      <c r="A7" s="27"/>
      <c r="B7" s="16">
        <v>0</v>
      </c>
      <c r="F7" s="16">
        <v>0</v>
      </c>
      <c r="G7" s="16">
        <v>3</v>
      </c>
      <c r="H7" s="16">
        <v>0.03</v>
      </c>
      <c r="I7" s="16">
        <v>0</v>
      </c>
      <c r="J7" s="16">
        <v>1</v>
      </c>
      <c r="K7" s="16">
        <v>3</v>
      </c>
      <c r="L7" s="16">
        <v>0.03</v>
      </c>
      <c r="M7" s="16">
        <v>0</v>
      </c>
      <c r="N7" s="16">
        <v>1</v>
      </c>
      <c r="O7" s="16">
        <v>1</v>
      </c>
      <c r="Q7" s="16">
        <v>2</v>
      </c>
      <c r="R7" s="16">
        <v>2</v>
      </c>
      <c r="S7" s="16">
        <v>2</v>
      </c>
      <c r="T7" s="16">
        <v>2</v>
      </c>
      <c r="U7" s="16">
        <v>3</v>
      </c>
      <c r="V7" s="16" t="s">
        <v>2789</v>
      </c>
      <c r="W7" s="16" t="s">
        <v>3711</v>
      </c>
      <c r="X7" s="16">
        <v>500</v>
      </c>
      <c r="Y7" s="210">
        <v>2</v>
      </c>
      <c r="Z7" s="211" t="s">
        <v>3345</v>
      </c>
      <c r="AA7" s="210">
        <v>96</v>
      </c>
      <c r="AB7" s="211" t="s">
        <v>3332</v>
      </c>
      <c r="AC7" s="210">
        <v>91</v>
      </c>
      <c r="AD7" s="211" t="s">
        <v>3333</v>
      </c>
      <c r="AE7" s="210">
        <v>71</v>
      </c>
      <c r="AF7" s="211" t="s">
        <v>3334</v>
      </c>
      <c r="AG7" s="210">
        <v>1</v>
      </c>
      <c r="AH7" s="211" t="s">
        <v>4028</v>
      </c>
      <c r="AI7" s="210">
        <v>40</v>
      </c>
      <c r="AJ7" s="211" t="s">
        <v>3326</v>
      </c>
      <c r="AK7" s="16">
        <v>5.0000000000000001E-3</v>
      </c>
      <c r="AL7" s="16">
        <v>7.4999999999999997E-3</v>
      </c>
      <c r="AM7" s="16">
        <v>4.2000000000000003E-2</v>
      </c>
      <c r="AN7" s="16">
        <v>1.4999999999999999E-2</v>
      </c>
      <c r="AO7" s="16">
        <v>0</v>
      </c>
      <c r="AP7" s="16">
        <v>0</v>
      </c>
      <c r="AQ7" s="16">
        <v>0</v>
      </c>
      <c r="AR7" s="16">
        <v>0</v>
      </c>
      <c r="AS7" s="16">
        <v>0</v>
      </c>
      <c r="AT7" s="16">
        <v>0</v>
      </c>
      <c r="AU7" s="16">
        <v>0</v>
      </c>
      <c r="AV7" s="16">
        <v>0</v>
      </c>
      <c r="AW7" s="16" t="s">
        <v>3440</v>
      </c>
      <c r="AX7" s="16" t="s">
        <v>3440</v>
      </c>
      <c r="AY7" s="16">
        <v>1.4999999999999999E-2</v>
      </c>
      <c r="AZ7" s="16">
        <v>1.4999999999999999E-2</v>
      </c>
      <c r="BA7" s="16">
        <v>0</v>
      </c>
      <c r="BB7" s="16" t="s">
        <v>3541</v>
      </c>
      <c r="BC7" s="16" t="s">
        <v>3439</v>
      </c>
    </row>
    <row r="8" spans="1:88" ht="22.5" customHeight="1">
      <c r="B8" s="16">
        <v>0</v>
      </c>
      <c r="F8" s="16">
        <v>-9999</v>
      </c>
      <c r="G8" s="16">
        <v>1</v>
      </c>
      <c r="H8" s="16">
        <v>1.4999999999999999E-2</v>
      </c>
      <c r="I8" s="16">
        <v>0</v>
      </c>
      <c r="J8" s="16">
        <v>1</v>
      </c>
      <c r="K8" s="16">
        <v>1</v>
      </c>
      <c r="L8" s="16">
        <v>1.4999999999999999E-2</v>
      </c>
      <c r="M8" s="16">
        <v>0</v>
      </c>
      <c r="N8" s="16">
        <v>1</v>
      </c>
      <c r="O8" s="16">
        <v>1</v>
      </c>
      <c r="Q8" s="16">
        <v>3</v>
      </c>
      <c r="R8" s="16">
        <v>3</v>
      </c>
      <c r="S8" s="16">
        <v>3</v>
      </c>
      <c r="T8" s="16">
        <v>3</v>
      </c>
      <c r="U8" s="16">
        <v>0</v>
      </c>
      <c r="V8" s="16" t="s">
        <v>3084</v>
      </c>
      <c r="X8" s="16">
        <v>500</v>
      </c>
      <c r="Y8" s="210">
        <v>3</v>
      </c>
      <c r="Z8" s="211" t="s">
        <v>3346</v>
      </c>
      <c r="AA8" s="210">
        <v>96</v>
      </c>
      <c r="AB8" s="211" t="s">
        <v>3348</v>
      </c>
      <c r="AC8" s="210">
        <v>91</v>
      </c>
      <c r="AD8" s="211" t="s">
        <v>3350</v>
      </c>
      <c r="AE8" s="210">
        <v>64</v>
      </c>
      <c r="AF8" s="211" t="s">
        <v>3353</v>
      </c>
      <c r="AG8" s="210">
        <v>1</v>
      </c>
      <c r="AH8" s="211" t="s">
        <v>4030</v>
      </c>
      <c r="AI8" s="210">
        <v>57</v>
      </c>
      <c r="AJ8" s="211" t="s">
        <v>3354</v>
      </c>
      <c r="AM8" s="16">
        <v>7.4999999999999997E-2</v>
      </c>
      <c r="AN8" s="16">
        <v>1.4999999999999999E-2</v>
      </c>
      <c r="AO8" s="16">
        <v>0</v>
      </c>
      <c r="AP8" s="16">
        <v>0</v>
      </c>
      <c r="AQ8" s="16">
        <v>0</v>
      </c>
      <c r="AR8" s="16">
        <v>0</v>
      </c>
      <c r="AS8" s="16">
        <v>0</v>
      </c>
      <c r="AT8" s="16">
        <v>0</v>
      </c>
      <c r="AU8" s="16">
        <v>0</v>
      </c>
      <c r="AV8" s="16">
        <v>0</v>
      </c>
      <c r="AW8" s="16" t="s">
        <v>3440</v>
      </c>
      <c r="AX8" s="16" t="s">
        <v>3440</v>
      </c>
      <c r="AY8" s="16">
        <v>1.4999999999999999E-2</v>
      </c>
      <c r="AZ8" s="16">
        <v>1.4999999999999999E-2</v>
      </c>
      <c r="BA8" s="16">
        <v>0</v>
      </c>
      <c r="BB8" s="16" t="s">
        <v>3542</v>
      </c>
      <c r="BC8" s="16" t="s">
        <v>3439</v>
      </c>
    </row>
    <row r="9" spans="1:88" ht="22.5" customHeight="1">
      <c r="B9" s="16">
        <v>0</v>
      </c>
      <c r="F9" s="16">
        <v>0</v>
      </c>
      <c r="G9" s="16">
        <v>0</v>
      </c>
      <c r="H9" s="16">
        <v>0</v>
      </c>
      <c r="I9" s="16">
        <v>0</v>
      </c>
      <c r="J9" s="16">
        <v>1</v>
      </c>
      <c r="K9" s="16">
        <v>0</v>
      </c>
      <c r="L9" s="16">
        <v>0</v>
      </c>
      <c r="M9" s="16">
        <v>0</v>
      </c>
      <c r="N9" s="16">
        <v>1</v>
      </c>
      <c r="O9" s="16">
        <v>1</v>
      </c>
      <c r="Q9" s="16">
        <v>4</v>
      </c>
      <c r="R9" s="16">
        <v>4</v>
      </c>
      <c r="S9" s="16">
        <v>4</v>
      </c>
      <c r="T9" s="16">
        <v>4</v>
      </c>
      <c r="U9" s="16">
        <v>0</v>
      </c>
      <c r="Y9" s="210">
        <v>96</v>
      </c>
      <c r="Z9" s="211" t="s">
        <v>3347</v>
      </c>
      <c r="AA9" s="210">
        <v>96</v>
      </c>
      <c r="AB9" s="211" t="s">
        <v>3349</v>
      </c>
      <c r="AC9" s="210">
        <v>91</v>
      </c>
      <c r="AD9" s="211" t="s">
        <v>3351</v>
      </c>
      <c r="AE9" s="210">
        <v>64</v>
      </c>
      <c r="AF9" s="211" t="s">
        <v>3352</v>
      </c>
      <c r="AG9" s="210">
        <v>21</v>
      </c>
      <c r="AH9" s="211" t="s">
        <v>4031</v>
      </c>
      <c r="AI9" s="210">
        <v>57</v>
      </c>
      <c r="AJ9" s="211" t="s">
        <v>3355</v>
      </c>
      <c r="BA9" s="16">
        <v>0</v>
      </c>
      <c r="BB9" s="16" t="s">
        <v>3543</v>
      </c>
    </row>
    <row r="10" spans="1:88" ht="22.5" customHeight="1">
      <c r="G10" s="16">
        <v>17</v>
      </c>
      <c r="H10" s="16">
        <v>1.4999999999999999E-2</v>
      </c>
      <c r="I10" s="16">
        <v>0</v>
      </c>
      <c r="J10" s="16">
        <v>1</v>
      </c>
      <c r="K10" s="16">
        <v>17</v>
      </c>
      <c r="L10" s="16">
        <v>1.4999999999999999E-2</v>
      </c>
      <c r="M10" s="16">
        <v>0</v>
      </c>
      <c r="N10" s="16">
        <v>1</v>
      </c>
      <c r="O10" s="16">
        <v>1</v>
      </c>
      <c r="Q10" s="16">
        <v>5</v>
      </c>
      <c r="R10" s="16">
        <v>5</v>
      </c>
      <c r="S10" s="16">
        <v>5</v>
      </c>
      <c r="T10" s="16">
        <v>5</v>
      </c>
      <c r="U10" s="16">
        <v>0</v>
      </c>
      <c r="Y10" s="210">
        <v>3</v>
      </c>
      <c r="Z10" s="211" t="s">
        <v>3360</v>
      </c>
      <c r="AA10" s="210">
        <v>96</v>
      </c>
      <c r="AB10" s="211" t="s">
        <v>3362</v>
      </c>
      <c r="AC10" s="210">
        <v>91</v>
      </c>
      <c r="AD10" s="211" t="s">
        <v>3366</v>
      </c>
      <c r="AE10" s="210">
        <v>71</v>
      </c>
      <c r="AF10" s="211" t="s">
        <v>3370</v>
      </c>
      <c r="AG10" s="210">
        <v>21</v>
      </c>
      <c r="AH10" s="211" t="s">
        <v>4029</v>
      </c>
      <c r="AI10" s="210">
        <v>24</v>
      </c>
      <c r="AJ10" s="211" t="s">
        <v>3356</v>
      </c>
      <c r="BA10" s="16">
        <v>90</v>
      </c>
      <c r="BB10" s="16" t="s">
        <v>3544</v>
      </c>
    </row>
    <row r="11" spans="1:88" ht="22.5" customHeight="1">
      <c r="G11" s="16">
        <v>0</v>
      </c>
      <c r="H11" s="16">
        <v>0</v>
      </c>
      <c r="I11" s="16">
        <v>0</v>
      </c>
      <c r="J11" s="16">
        <v>1</v>
      </c>
      <c r="K11" s="16">
        <v>0</v>
      </c>
      <c r="L11" s="16">
        <v>0</v>
      </c>
      <c r="M11" s="16">
        <v>0</v>
      </c>
      <c r="N11" s="16">
        <v>1</v>
      </c>
      <c r="O11" s="16">
        <v>1</v>
      </c>
      <c r="Q11" s="16">
        <v>6</v>
      </c>
      <c r="R11" s="16">
        <v>6</v>
      </c>
      <c r="S11" s="16">
        <v>6</v>
      </c>
      <c r="T11" s="16">
        <v>6</v>
      </c>
      <c r="U11" s="16">
        <v>3</v>
      </c>
      <c r="Y11" s="210">
        <v>100</v>
      </c>
      <c r="Z11" s="211" t="s">
        <v>3361</v>
      </c>
      <c r="AA11" s="210">
        <v>96</v>
      </c>
      <c r="AB11" s="211" t="s">
        <v>3363</v>
      </c>
      <c r="AC11" s="210">
        <v>91</v>
      </c>
      <c r="AD11" s="211" t="s">
        <v>3367</v>
      </c>
      <c r="AE11" s="210">
        <v>64</v>
      </c>
      <c r="AF11" s="211" t="s">
        <v>3371</v>
      </c>
      <c r="AG11" s="210"/>
      <c r="AH11" s="211"/>
      <c r="AI11" s="210">
        <v>24</v>
      </c>
      <c r="AJ11" s="211" t="s">
        <v>3358</v>
      </c>
      <c r="BA11" s="16">
        <v>0</v>
      </c>
      <c r="BB11" s="16" t="s">
        <v>3545</v>
      </c>
    </row>
    <row r="12" spans="1:88" ht="22.5" customHeight="1">
      <c r="G12" s="16">
        <v>0</v>
      </c>
      <c r="H12" s="16">
        <v>0</v>
      </c>
      <c r="I12" s="16">
        <v>0</v>
      </c>
      <c r="J12" s="16">
        <v>1</v>
      </c>
      <c r="K12" s="16">
        <v>0</v>
      </c>
      <c r="L12" s="16">
        <v>0</v>
      </c>
      <c r="M12" s="16">
        <v>0</v>
      </c>
      <c r="N12" s="16">
        <v>1</v>
      </c>
      <c r="O12" s="16">
        <v>1</v>
      </c>
      <c r="Q12" s="16">
        <v>7</v>
      </c>
      <c r="R12" s="16">
        <v>7</v>
      </c>
      <c r="S12" s="16">
        <v>7</v>
      </c>
      <c r="T12" s="16">
        <v>7</v>
      </c>
      <c r="Y12" s="210">
        <v>96</v>
      </c>
      <c r="Z12" s="211" t="s">
        <v>3501</v>
      </c>
      <c r="AA12" s="210">
        <v>96</v>
      </c>
      <c r="AB12" s="211" t="s">
        <v>3364</v>
      </c>
      <c r="AC12" s="210">
        <v>91</v>
      </c>
      <c r="AD12" s="211" t="s">
        <v>3368</v>
      </c>
      <c r="AE12" s="210">
        <v>71</v>
      </c>
      <c r="AF12" s="211" t="s">
        <v>3372</v>
      </c>
      <c r="AG12" s="210"/>
      <c r="AH12" s="211"/>
      <c r="AI12" s="210">
        <v>24</v>
      </c>
      <c r="AJ12" s="211" t="s">
        <v>3359</v>
      </c>
    </row>
    <row r="13" spans="1:88" ht="22.5" customHeight="1">
      <c r="G13" s="16">
        <v>0</v>
      </c>
      <c r="H13" s="16">
        <v>0</v>
      </c>
      <c r="I13" s="16">
        <v>0</v>
      </c>
      <c r="J13" s="16">
        <v>1</v>
      </c>
      <c r="K13" s="16">
        <v>0</v>
      </c>
      <c r="L13" s="16">
        <v>0</v>
      </c>
      <c r="M13" s="16">
        <v>0</v>
      </c>
      <c r="N13" s="16">
        <v>1</v>
      </c>
      <c r="O13" s="16">
        <v>1</v>
      </c>
      <c r="Y13" s="210">
        <v>96</v>
      </c>
      <c r="Z13" s="211" t="s">
        <v>3502</v>
      </c>
      <c r="AA13" s="210">
        <v>96</v>
      </c>
      <c r="AB13" s="211" t="s">
        <v>3365</v>
      </c>
      <c r="AC13" s="210">
        <v>91</v>
      </c>
      <c r="AD13" s="211" t="s">
        <v>3369</v>
      </c>
      <c r="AE13" s="210">
        <v>71</v>
      </c>
      <c r="AF13" s="211" t="s">
        <v>3373</v>
      </c>
      <c r="AG13" s="210"/>
      <c r="AH13" s="211"/>
      <c r="AI13" s="210">
        <v>24</v>
      </c>
      <c r="AJ13" s="211" t="s">
        <v>3357</v>
      </c>
    </row>
    <row r="14" spans="1:88" ht="22.5" customHeight="1">
      <c r="Y14" s="210">
        <v>96</v>
      </c>
      <c r="Z14" s="211" t="s">
        <v>3503</v>
      </c>
      <c r="AA14" s="210">
        <v>96</v>
      </c>
      <c r="AB14" s="211" t="s">
        <v>3464</v>
      </c>
      <c r="AC14" s="210">
        <v>91</v>
      </c>
      <c r="AD14" s="211" t="s">
        <v>3465</v>
      </c>
      <c r="AE14" s="210">
        <v>64</v>
      </c>
      <c r="AF14" s="211" t="s">
        <v>3466</v>
      </c>
      <c r="AG14" s="210"/>
      <c r="AH14" s="211"/>
      <c r="AI14" s="210">
        <v>24</v>
      </c>
      <c r="AJ14" s="211" t="s">
        <v>3564</v>
      </c>
    </row>
    <row r="15" spans="1:88" ht="22.5" customHeight="1">
      <c r="Y15" s="210">
        <v>2</v>
      </c>
      <c r="Z15" s="211" t="s">
        <v>3536</v>
      </c>
      <c r="AA15" s="210">
        <v>96</v>
      </c>
      <c r="AB15" s="211" t="s">
        <v>3467</v>
      </c>
      <c r="AC15" s="210">
        <v>91</v>
      </c>
      <c r="AD15" s="211" t="s">
        <v>3468</v>
      </c>
      <c r="AE15" s="210">
        <v>71</v>
      </c>
      <c r="AF15" s="211" t="s">
        <v>3469</v>
      </c>
      <c r="AG15" s="210"/>
      <c r="AH15" s="211"/>
      <c r="AI15" s="210">
        <v>24</v>
      </c>
      <c r="AJ15" s="211" t="s">
        <v>3565</v>
      </c>
    </row>
    <row r="16" spans="1:88" ht="22.5" customHeight="1">
      <c r="Y16" s="210">
        <v>1</v>
      </c>
      <c r="Z16" s="211" t="s">
        <v>3735</v>
      </c>
      <c r="AA16" s="210">
        <v>96</v>
      </c>
      <c r="AB16" s="211" t="s">
        <v>3470</v>
      </c>
      <c r="AC16" s="210">
        <v>91</v>
      </c>
      <c r="AD16" s="211" t="s">
        <v>3471</v>
      </c>
      <c r="AE16" s="210">
        <v>71</v>
      </c>
      <c r="AF16" s="211" t="s">
        <v>3472</v>
      </c>
      <c r="AG16" s="210"/>
      <c r="AH16" s="211"/>
      <c r="AI16" s="210">
        <v>57</v>
      </c>
      <c r="AJ16" s="211" t="s">
        <v>3375</v>
      </c>
    </row>
    <row r="17" spans="25:36" ht="22.5" customHeight="1">
      <c r="Y17" s="210">
        <v>2</v>
      </c>
      <c r="Z17" s="211" t="s">
        <v>3745</v>
      </c>
      <c r="AA17" s="210">
        <v>96</v>
      </c>
      <c r="AB17" s="211" t="s">
        <v>3537</v>
      </c>
      <c r="AC17" s="210">
        <v>91</v>
      </c>
      <c r="AD17" s="211" t="s">
        <v>3538</v>
      </c>
      <c r="AE17" s="210">
        <v>65</v>
      </c>
      <c r="AF17" s="211" t="s">
        <v>3539</v>
      </c>
      <c r="AG17" s="210"/>
      <c r="AH17" s="211"/>
      <c r="AI17" s="210">
        <v>57</v>
      </c>
      <c r="AJ17" s="211" t="s">
        <v>3381</v>
      </c>
    </row>
    <row r="18" spans="25:36" ht="22.5" customHeight="1">
      <c r="Y18" s="210">
        <v>2</v>
      </c>
      <c r="Z18" s="211" t="s">
        <v>3744</v>
      </c>
      <c r="AA18" s="210">
        <v>96</v>
      </c>
      <c r="AB18" s="211" t="s">
        <v>3621</v>
      </c>
      <c r="AC18" s="210">
        <v>91</v>
      </c>
      <c r="AD18" s="211" t="s">
        <v>3622</v>
      </c>
      <c r="AE18" s="210">
        <v>64</v>
      </c>
      <c r="AF18" s="211" t="s">
        <v>3623</v>
      </c>
      <c r="AG18" s="210"/>
      <c r="AH18" s="211"/>
      <c r="AI18" s="210">
        <v>24</v>
      </c>
      <c r="AJ18" s="211" t="s">
        <v>3374</v>
      </c>
    </row>
    <row r="19" spans="25:36" ht="22.5" customHeight="1">
      <c r="Y19" s="210">
        <v>1</v>
      </c>
      <c r="Z19" s="211" t="s">
        <v>3780</v>
      </c>
      <c r="AA19" s="210">
        <v>92</v>
      </c>
      <c r="AB19" s="211" t="s">
        <v>3738</v>
      </c>
      <c r="AC19" s="210">
        <v>91</v>
      </c>
      <c r="AD19" s="211" t="s">
        <v>3737</v>
      </c>
      <c r="AE19" s="210">
        <v>64</v>
      </c>
      <c r="AF19" s="211" t="s">
        <v>3736</v>
      </c>
      <c r="AG19" s="210"/>
      <c r="AH19" s="211"/>
      <c r="AI19" s="210">
        <v>24</v>
      </c>
      <c r="AJ19" s="211" t="s">
        <v>3380</v>
      </c>
    </row>
    <row r="20" spans="25:36" ht="22.5" customHeight="1">
      <c r="Y20" s="210">
        <v>1</v>
      </c>
      <c r="Z20" s="211" t="s">
        <v>3781</v>
      </c>
      <c r="AA20" s="210">
        <v>96</v>
      </c>
      <c r="AB20" s="211" t="s">
        <v>3782</v>
      </c>
      <c r="AC20" s="210">
        <v>91</v>
      </c>
      <c r="AD20" s="211" t="s">
        <v>3783</v>
      </c>
      <c r="AE20" s="210">
        <v>64</v>
      </c>
      <c r="AF20" s="211" t="s">
        <v>3784</v>
      </c>
      <c r="AG20" s="210"/>
      <c r="AH20" s="211"/>
      <c r="AI20" s="210">
        <v>57</v>
      </c>
      <c r="AJ20" s="211" t="s">
        <v>3376</v>
      </c>
    </row>
    <row r="21" spans="25:36" ht="22.5" customHeight="1">
      <c r="Y21" s="210">
        <v>2</v>
      </c>
      <c r="Z21" s="211" t="s">
        <v>4025</v>
      </c>
      <c r="AA21" s="210">
        <v>92</v>
      </c>
      <c r="AB21" s="211" t="s">
        <v>4045</v>
      </c>
      <c r="AC21" s="210">
        <v>91</v>
      </c>
      <c r="AD21" s="211" t="s">
        <v>4046</v>
      </c>
      <c r="AE21" s="210">
        <v>65</v>
      </c>
      <c r="AF21" s="211" t="s">
        <v>4047</v>
      </c>
      <c r="AG21" s="210"/>
      <c r="AH21" s="211"/>
      <c r="AI21" s="210">
        <v>57</v>
      </c>
      <c r="AJ21" s="211" t="s">
        <v>3379</v>
      </c>
    </row>
    <row r="22" spans="25:36" ht="22.5" customHeight="1">
      <c r="Y22" s="210">
        <v>1</v>
      </c>
      <c r="Z22" s="211" t="s">
        <v>4026</v>
      </c>
      <c r="AA22" s="210"/>
      <c r="AB22" s="210"/>
      <c r="AC22" s="210"/>
      <c r="AD22" s="210"/>
      <c r="AE22" s="210"/>
      <c r="AF22" s="210"/>
      <c r="AG22" s="210"/>
      <c r="AH22" s="211"/>
      <c r="AI22" s="210">
        <v>57</v>
      </c>
      <c r="AJ22" s="211" t="s">
        <v>3377</v>
      </c>
    </row>
    <row r="23" spans="25:36" ht="22.5" customHeight="1">
      <c r="Y23" s="210">
        <v>1</v>
      </c>
      <c r="Z23" s="211" t="s">
        <v>4027</v>
      </c>
      <c r="AA23" s="210"/>
      <c r="AB23" s="210"/>
      <c r="AC23" s="210"/>
      <c r="AD23" s="210"/>
      <c r="AE23" s="210"/>
      <c r="AF23" s="210"/>
      <c r="AG23" s="210"/>
      <c r="AH23" s="211"/>
      <c r="AI23" s="210">
        <v>57</v>
      </c>
      <c r="AJ23" s="211" t="s">
        <v>3378</v>
      </c>
    </row>
    <row r="24" spans="25:36" ht="22.5" customHeight="1">
      <c r="AG24" s="210"/>
      <c r="AH24" s="211"/>
      <c r="AI24" s="210">
        <v>57</v>
      </c>
      <c r="AJ24" s="211" t="s">
        <v>3456</v>
      </c>
    </row>
    <row r="25" spans="25:36" ht="22.5" customHeight="1">
      <c r="AG25" s="210"/>
      <c r="AH25" s="211"/>
      <c r="AI25" s="210">
        <v>57</v>
      </c>
      <c r="AJ25" s="211" t="s">
        <v>3457</v>
      </c>
    </row>
    <row r="26" spans="25:36" ht="22.5" customHeight="1">
      <c r="AG26" s="210"/>
      <c r="AH26" s="211"/>
      <c r="AI26" s="210">
        <v>24</v>
      </c>
      <c r="AJ26" s="211" t="s">
        <v>3458</v>
      </c>
    </row>
    <row r="27" spans="25:36" ht="22.5" customHeight="1">
      <c r="AG27" s="210"/>
      <c r="AH27" s="211"/>
      <c r="AI27" s="210">
        <v>24</v>
      </c>
      <c r="AJ27" s="211" t="s">
        <v>3459</v>
      </c>
    </row>
    <row r="28" spans="25:36" ht="22.5" customHeight="1">
      <c r="AG28" s="210"/>
      <c r="AH28" s="211"/>
      <c r="AI28" s="210">
        <v>57</v>
      </c>
      <c r="AJ28" s="211" t="s">
        <v>3460</v>
      </c>
    </row>
    <row r="29" spans="25:36" ht="22.5" customHeight="1">
      <c r="AG29" s="210"/>
      <c r="AH29" s="211"/>
      <c r="AI29" s="210">
        <v>57</v>
      </c>
      <c r="AJ29" s="211" t="s">
        <v>3461</v>
      </c>
    </row>
    <row r="30" spans="25:36" ht="22.5" customHeight="1">
      <c r="AG30" s="210"/>
      <c r="AH30" s="211"/>
      <c r="AI30" s="210">
        <v>57</v>
      </c>
      <c r="AJ30" s="211" t="s">
        <v>3462</v>
      </c>
    </row>
    <row r="31" spans="25:36" ht="22.5" customHeight="1">
      <c r="AG31" s="210"/>
      <c r="AH31" s="211"/>
      <c r="AI31" s="210">
        <v>57</v>
      </c>
      <c r="AJ31" s="211" t="s">
        <v>3463</v>
      </c>
    </row>
    <row r="32" spans="25:36" ht="22.5" customHeight="1">
      <c r="AG32" s="210"/>
      <c r="AH32" s="211"/>
      <c r="AI32" s="210">
        <v>57</v>
      </c>
      <c r="AJ32" s="211" t="s">
        <v>3832</v>
      </c>
    </row>
    <row r="33" spans="33:36" ht="22.5" customHeight="1">
      <c r="AG33" s="210"/>
      <c r="AH33" s="211"/>
      <c r="AI33" s="210">
        <v>57</v>
      </c>
      <c r="AJ33" s="211" t="s">
        <v>3834</v>
      </c>
    </row>
    <row r="34" spans="33:36" ht="22.5" customHeight="1">
      <c r="AG34" s="210"/>
      <c r="AH34" s="211"/>
      <c r="AI34" s="210">
        <v>40</v>
      </c>
      <c r="AJ34" s="211" t="s">
        <v>3563</v>
      </c>
    </row>
    <row r="35" spans="33:36" ht="22.5" customHeight="1">
      <c r="AG35" s="210"/>
      <c r="AH35" s="211"/>
      <c r="AI35" s="210">
        <v>40</v>
      </c>
      <c r="AJ35" s="211" t="s">
        <v>3833</v>
      </c>
    </row>
    <row r="36" spans="33:36" ht="22.5" customHeight="1">
      <c r="AG36" s="210"/>
      <c r="AH36" s="211"/>
      <c r="AI36" s="210">
        <v>40</v>
      </c>
      <c r="AJ36" s="211" t="s">
        <v>3746</v>
      </c>
    </row>
    <row r="37" spans="33:36" ht="22.5" customHeight="1">
      <c r="AG37" s="210"/>
      <c r="AH37" s="211"/>
      <c r="AI37" s="210">
        <v>40</v>
      </c>
      <c r="AJ37" s="211" t="s">
        <v>3786</v>
      </c>
    </row>
    <row r="38" spans="33:36" ht="22.5" customHeight="1">
      <c r="AG38" s="210"/>
      <c r="AH38" s="211"/>
      <c r="AI38" s="210">
        <v>40</v>
      </c>
      <c r="AJ38" s="211" t="s">
        <v>3785</v>
      </c>
    </row>
    <row r="39" spans="33:36" ht="22.5" customHeight="1">
      <c r="AI39" s="210">
        <v>40</v>
      </c>
      <c r="AJ39" s="211" t="s">
        <v>3787</v>
      </c>
    </row>
    <row r="40" spans="33:36" ht="22.5" customHeight="1">
      <c r="AI40" s="210">
        <v>40</v>
      </c>
      <c r="AJ40" s="211" t="s">
        <v>3788</v>
      </c>
    </row>
    <row r="41" spans="33:36" ht="22.5" customHeight="1">
      <c r="AI41" s="210">
        <v>40</v>
      </c>
      <c r="AJ41" s="211" t="s">
        <v>4451</v>
      </c>
    </row>
    <row r="42" spans="33:36" ht="22.5" customHeight="1"/>
    <row r="43" spans="33:36" ht="22.5" customHeight="1"/>
    <row r="44" spans="33:36" ht="22.5" customHeight="1"/>
    <row r="45" spans="33:36" ht="22.5" customHeight="1"/>
    <row r="46" spans="33:36" ht="22.5" customHeight="1"/>
    <row r="47" spans="33:36" ht="22.5" customHeight="1"/>
    <row r="48" spans="33:36" ht="22.5" customHeight="1"/>
    <row r="49" ht="22.5" customHeight="1"/>
    <row r="50" ht="22.5" customHeight="1"/>
    <row r="51" ht="22.5" customHeight="1"/>
    <row r="52" ht="22.5" customHeight="1"/>
    <row r="53" ht="22.5" customHeight="1"/>
    <row r="54" ht="22.5" customHeight="1"/>
    <row r="55" ht="22.5" customHeight="1"/>
    <row r="56" ht="22.5" customHeight="1"/>
    <row r="57" ht="22.5" customHeight="1"/>
    <row r="58" ht="22.5" customHeight="1"/>
    <row r="59" ht="22.5" customHeight="1"/>
    <row r="60" ht="22.5" customHeight="1"/>
    <row r="61" ht="22.5" customHeight="1"/>
    <row r="62" ht="22.5" customHeight="1"/>
    <row r="63" ht="22.5" customHeight="1"/>
    <row r="64" ht="22.5" customHeight="1"/>
    <row r="65" ht="22.5" customHeight="1"/>
    <row r="66" ht="22.5" customHeight="1"/>
    <row r="67" ht="22.5" customHeight="1"/>
    <row r="68" ht="22.5" customHeight="1"/>
    <row r="69" ht="22.5" customHeight="1"/>
    <row r="70" ht="22.5" customHeight="1"/>
    <row r="71" ht="22.5" customHeight="1"/>
    <row r="72" ht="22.5" customHeight="1"/>
    <row r="73" ht="22.5" customHeight="1"/>
    <row r="74" ht="22.5" customHeight="1"/>
    <row r="75" ht="22.5" customHeight="1"/>
    <row r="76" ht="22.5" customHeight="1"/>
    <row r="77" ht="22.5" customHeight="1"/>
    <row r="78" ht="22.5" customHeight="1"/>
    <row r="79" ht="22.5" customHeight="1"/>
    <row r="80" ht="22.5" customHeight="1"/>
    <row r="81" ht="22.5" customHeight="1"/>
    <row r="82" ht="22.5" customHeight="1"/>
    <row r="83" ht="22.5" customHeight="1"/>
    <row r="84" ht="22.5" customHeight="1"/>
    <row r="85" ht="22.5" customHeight="1"/>
    <row r="86" ht="22.5" customHeight="1"/>
    <row r="87" ht="22.5" customHeight="1"/>
    <row r="88" ht="22.5" customHeight="1"/>
    <row r="89" ht="22.5" customHeight="1"/>
    <row r="90" ht="22.5" customHeight="1"/>
    <row r="91" ht="22.5" customHeight="1"/>
    <row r="92" ht="22.5" customHeight="1"/>
    <row r="93" ht="22.5" customHeight="1"/>
    <row r="94" ht="22.5" customHeight="1"/>
    <row r="95" ht="22.5" customHeight="1"/>
    <row r="96" ht="22.5" customHeight="1"/>
    <row r="97" ht="22.5" customHeight="1"/>
    <row r="98" ht="22.5" customHeight="1"/>
    <row r="99" ht="22.5" customHeight="1"/>
    <row r="100" ht="22.5" customHeight="1"/>
    <row r="101" ht="22.5" customHeight="1"/>
    <row r="102" ht="22.5" customHeight="1"/>
    <row r="103" ht="22.5" customHeight="1"/>
    <row r="104" ht="22.5" customHeight="1"/>
    <row r="105" ht="22.5" customHeight="1"/>
    <row r="106" ht="22.5" customHeight="1"/>
    <row r="107" ht="22.5" customHeight="1"/>
    <row r="108" ht="22.5" customHeight="1"/>
    <row r="109" ht="22.5" customHeight="1"/>
    <row r="110" ht="22.5" customHeight="1"/>
    <row r="111" ht="22.5" customHeight="1"/>
    <row r="112" ht="22.5" customHeight="1"/>
    <row r="113" ht="22.5" customHeight="1"/>
    <row r="114" ht="22.5" customHeight="1"/>
    <row r="115" ht="22.5" customHeight="1"/>
    <row r="116" ht="22.5" customHeight="1"/>
    <row r="117" ht="22.5" customHeight="1"/>
    <row r="118" ht="22.5" customHeight="1"/>
    <row r="119" ht="22.5" customHeight="1"/>
    <row r="120" ht="22.5" customHeight="1"/>
    <row r="121" ht="22.5" customHeight="1"/>
    <row r="122" ht="22.5" customHeight="1"/>
    <row r="123" ht="22.5" customHeight="1"/>
    <row r="124" ht="22.5" customHeight="1"/>
    <row r="125" ht="22.5" customHeight="1"/>
    <row r="126" ht="22.5" customHeight="1"/>
    <row r="127" ht="22.5" customHeight="1"/>
    <row r="128" ht="22.5" customHeight="1"/>
    <row r="129" ht="22.5" customHeight="1"/>
    <row r="130" ht="22.5" customHeight="1"/>
    <row r="131" ht="22.5" customHeight="1"/>
    <row r="132" ht="22.5" customHeight="1"/>
    <row r="133" ht="22.5" customHeight="1"/>
    <row r="134" ht="22.5" customHeight="1"/>
    <row r="135" ht="22.5" customHeight="1"/>
    <row r="136" ht="22.5" customHeight="1"/>
    <row r="137" ht="22.5" customHeight="1"/>
    <row r="138" ht="22.5" customHeight="1"/>
    <row r="139" ht="22.5" customHeight="1"/>
    <row r="140" ht="22.5" customHeight="1"/>
    <row r="141" ht="22.5" customHeight="1"/>
    <row r="142" ht="22.5" customHeight="1"/>
    <row r="143" ht="22.5" customHeight="1"/>
    <row r="144" ht="22.5" customHeight="1"/>
    <row r="145" spans="2:88" ht="22.5" customHeight="1"/>
    <row r="146" spans="2:88" ht="22.5" customHeight="1"/>
    <row r="147" spans="2:88" ht="22.5" customHeight="1"/>
    <row r="148" spans="2:88" ht="22.5" customHeight="1"/>
    <row r="149" spans="2:88" ht="22.5" customHeight="1"/>
    <row r="150" spans="2:88" ht="22.5" customHeight="1"/>
    <row r="151" spans="2:88" ht="22.5" customHeight="1"/>
    <row r="152" spans="2:88" ht="22.5" customHeight="1"/>
    <row r="153" spans="2:88" ht="22.5" customHeight="1"/>
    <row r="154" spans="2:88" ht="22.5" customHeight="1"/>
    <row r="155" spans="2:88" ht="22.5" customHeight="1"/>
    <row r="156" spans="2:88" ht="22.5" customHeight="1" thickBot="1"/>
    <row r="157" spans="2:88" s="137" customFormat="1" ht="15" thickTop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4"/>
      <c r="X157" s="34"/>
      <c r="Y157" s="34"/>
      <c r="Z157" s="34"/>
      <c r="AA157" s="34"/>
      <c r="AB157" s="34"/>
      <c r="AC157" s="34"/>
      <c r="AD157" s="34"/>
      <c r="AE157" s="34"/>
      <c r="AF157" s="34"/>
      <c r="AG157" s="34"/>
      <c r="AH157" s="34"/>
      <c r="AI157" s="34"/>
      <c r="AJ157" s="34"/>
      <c r="AK157" s="34"/>
      <c r="AL157" s="34"/>
      <c r="AM157" s="34"/>
      <c r="AN157" s="34"/>
      <c r="AO157" s="34"/>
      <c r="AP157" s="34"/>
      <c r="AQ157" s="34"/>
      <c r="AR157" s="34"/>
      <c r="AS157" s="34"/>
      <c r="AT157" s="34"/>
      <c r="AU157" s="34"/>
      <c r="AV157" s="34"/>
      <c r="AW157" s="34"/>
      <c r="AX157" s="34"/>
      <c r="AY157" s="34"/>
      <c r="AZ157" s="34"/>
      <c r="BA157" s="34"/>
      <c r="BB157" s="34"/>
      <c r="BC157" s="34"/>
      <c r="BD157" s="34"/>
      <c r="BE157" s="34"/>
      <c r="BF157" s="34"/>
      <c r="BG157" s="34"/>
      <c r="BH157" s="34"/>
      <c r="BI157" s="34"/>
      <c r="BJ157" s="34"/>
      <c r="BK157" s="34"/>
      <c r="BL157" s="34"/>
      <c r="BM157" s="34"/>
      <c r="BN157" s="34"/>
      <c r="BO157" s="34"/>
      <c r="BP157" s="34"/>
      <c r="BQ157" s="34"/>
      <c r="BR157" s="34"/>
      <c r="BS157" s="34"/>
      <c r="BT157" s="34"/>
      <c r="BU157" s="34"/>
      <c r="BV157" s="34"/>
      <c r="BW157" s="34"/>
      <c r="BX157" s="34"/>
      <c r="BY157" s="34"/>
      <c r="BZ157" s="34"/>
      <c r="CA157" s="34"/>
      <c r="CB157" s="34"/>
      <c r="CC157" s="34"/>
      <c r="CD157" s="34"/>
      <c r="CE157" s="34"/>
      <c r="CF157" s="34"/>
      <c r="CG157" s="34"/>
      <c r="CH157" s="34"/>
      <c r="CI157" s="34"/>
      <c r="CJ157" s="138"/>
    </row>
  </sheetData>
  <mergeCells count="1">
    <mergeCell ref="CJ1:CJ3"/>
  </mergeCells>
  <phoneticPr fontId="7" type="noConversion"/>
  <pageMargins left="0.7" right="0.7" top="0.78740157499999996" bottom="0.78740157499999996" header="0.3" footer="0.3"/>
  <pageSetup paperSize="9" orientation="portrait" horizont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Tabelle4"/>
  <dimension ref="A1:GR97"/>
  <sheetViews>
    <sheetView showZeros="0" zoomScaleNormal="100" zoomScaleSheetLayoutView="100" workbookViewId="0">
      <selection activeCell="EV1" sqref="BU1:EV1048576"/>
    </sheetView>
  </sheetViews>
  <sheetFormatPr baseColWidth="10" defaultColWidth="11.42578125" defaultRowHeight="14.25"/>
  <cols>
    <col min="1" max="1" width="17.7109375" style="22" customWidth="1"/>
    <col min="2" max="2" width="4.85546875" style="16" customWidth="1"/>
    <col min="3" max="3" width="9.85546875" style="16" customWidth="1"/>
    <col min="4" max="4" width="20.140625" style="16" bestFit="1" customWidth="1"/>
    <col min="5" max="5" width="6.7109375" style="16" customWidth="1"/>
    <col min="6" max="6" width="19.42578125" style="16" bestFit="1" customWidth="1"/>
    <col min="7" max="7" width="17.5703125" style="16" bestFit="1" customWidth="1"/>
    <col min="8" max="8" width="24.7109375" style="16" bestFit="1" customWidth="1"/>
    <col min="9" max="9" width="16.5703125" style="16" customWidth="1"/>
    <col min="10" max="10" width="19" style="16" customWidth="1"/>
    <col min="11" max="12" width="24.7109375" style="16" customWidth="1"/>
    <col min="13" max="13" width="9.42578125" style="16" customWidth="1"/>
    <col min="14" max="14" width="21" style="16" customWidth="1"/>
    <col min="15" max="15" width="30.85546875" style="16" bestFit="1" customWidth="1"/>
    <col min="16" max="16" width="19.85546875" style="16" customWidth="1"/>
    <col min="17" max="17" width="29" style="16" bestFit="1" customWidth="1"/>
    <col min="18" max="18" width="25.85546875" style="16" bestFit="1" customWidth="1"/>
    <col min="19" max="19" width="16.5703125" style="16" customWidth="1"/>
    <col min="20" max="20" width="19" style="16" customWidth="1"/>
    <col min="21" max="22" width="24.7109375" style="16" customWidth="1"/>
    <col min="23" max="23" width="5.85546875" style="16" customWidth="1"/>
    <col min="24" max="24" width="38.85546875" style="16" customWidth="1"/>
    <col min="25" max="25" width="4.5703125" style="16" customWidth="1"/>
    <col min="26" max="26" width="39" style="16" customWidth="1"/>
    <col min="27" max="27" width="6.42578125" style="16" customWidth="1"/>
    <col min="28" max="28" width="39" style="16" customWidth="1"/>
    <col min="29" max="29" width="3.42578125" style="16" customWidth="1"/>
    <col min="30" max="30" width="37.42578125" style="16" bestFit="1" customWidth="1"/>
    <col min="31" max="31" width="13" style="16" customWidth="1"/>
    <col min="32" max="32" width="15.140625" style="16" customWidth="1"/>
    <col min="33" max="33" width="19.5703125" style="16" customWidth="1"/>
    <col min="34" max="34" width="24.140625" style="16" customWidth="1"/>
    <col min="35" max="35" width="14.5703125" style="16" customWidth="1"/>
    <col min="36" max="36" width="14.7109375" style="16" customWidth="1"/>
    <col min="37" max="37" width="5.5703125" style="16" customWidth="1"/>
    <col min="38" max="38" width="42.7109375" style="16" bestFit="1" customWidth="1"/>
    <col min="39" max="39" width="5" style="16" customWidth="1"/>
    <col min="40" max="40" width="25.5703125" style="16" customWidth="1"/>
    <col min="41" max="41" width="4.42578125" style="16" customWidth="1"/>
    <col min="42" max="42" width="25.5703125" style="16" customWidth="1"/>
    <col min="43" max="43" width="4.28515625" style="16" customWidth="1"/>
    <col min="44" max="44" width="37.7109375" style="16" bestFit="1" customWidth="1"/>
    <col min="45" max="45" width="4.7109375" style="16" customWidth="1"/>
    <col min="46" max="46" width="28.85546875" style="16" bestFit="1" customWidth="1"/>
    <col min="47" max="47" width="4.5703125" style="16" customWidth="1"/>
    <col min="48" max="48" width="28.85546875" style="16" customWidth="1"/>
    <col min="49" max="49" width="6" style="16" customWidth="1"/>
    <col min="50" max="50" width="28.85546875" style="16" customWidth="1"/>
    <col min="51" max="51" width="5.5703125" style="16" customWidth="1"/>
    <col min="52" max="52" width="26.7109375" style="16" bestFit="1" customWidth="1"/>
    <col min="53" max="53" width="3.85546875" style="16" customWidth="1"/>
    <col min="54" max="54" width="15" style="16" bestFit="1" customWidth="1"/>
    <col min="55" max="55" width="5.140625" style="16" customWidth="1"/>
    <col min="56" max="56" width="23.85546875" style="16" customWidth="1"/>
    <col min="57" max="57" width="5.140625" style="16" customWidth="1"/>
    <col min="58" max="58" width="18.7109375" style="16" customWidth="1"/>
    <col min="59" max="59" width="4.5703125" style="16" customWidth="1"/>
    <col min="60" max="60" width="14.85546875" style="16" customWidth="1"/>
    <col min="61" max="61" width="6.7109375" style="16" customWidth="1"/>
    <col min="62" max="62" width="33.85546875" style="16" bestFit="1" customWidth="1"/>
    <col min="63" max="63" width="4.5703125" style="16" customWidth="1"/>
    <col min="64" max="64" width="19.85546875" style="16" customWidth="1"/>
    <col min="65" max="65" width="5.28515625" style="16" customWidth="1"/>
    <col min="66" max="66" width="22.42578125" style="16" customWidth="1"/>
    <col min="67" max="67" width="5" style="16" customWidth="1"/>
    <col min="68" max="68" width="19" style="16" bestFit="1" customWidth="1"/>
    <col min="69" max="69" width="20.42578125" style="16" customWidth="1"/>
    <col min="70" max="70" width="19.85546875" style="16" customWidth="1"/>
    <col min="71" max="71" width="25.5703125" style="16" customWidth="1"/>
    <col min="72" max="72" width="27.42578125" style="16" customWidth="1"/>
    <col min="73" max="73" width="4.28515625" style="16" customWidth="1"/>
    <col min="74" max="74" width="26.5703125" style="16" customWidth="1"/>
    <col min="75" max="75" width="4.85546875" style="16" customWidth="1"/>
    <col min="76" max="76" width="28.140625" style="16" customWidth="1"/>
    <col min="77" max="77" width="4.7109375" style="16" customWidth="1"/>
    <col min="78" max="78" width="26.85546875" style="16" customWidth="1"/>
    <col min="79" max="79" width="5" style="16" customWidth="1"/>
    <col min="80" max="80" width="23.85546875" style="16" customWidth="1"/>
    <col min="81" max="81" width="4.28515625" style="16" customWidth="1"/>
    <col min="82" max="82" width="29.5703125" style="16" customWidth="1"/>
    <col min="83" max="83" width="5.140625" style="16" customWidth="1"/>
    <col min="84" max="84" width="27.5703125" style="16" customWidth="1"/>
    <col min="85" max="85" width="6.28515625" style="16" customWidth="1"/>
    <col min="86" max="86" width="24.28515625" style="16" customWidth="1"/>
    <col min="87" max="87" width="19.140625" style="16" customWidth="1"/>
    <col min="88" max="88" width="35" style="16" customWidth="1"/>
    <col min="89" max="89" width="30.85546875" style="16" bestFit="1" customWidth="1"/>
    <col min="90" max="90" width="29.140625" style="16" customWidth="1"/>
    <col min="91" max="91" width="31.85546875" style="16" customWidth="1"/>
    <col min="92" max="92" width="33" style="16" bestFit="1" customWidth="1"/>
    <col min="93" max="93" width="34.42578125" style="16" customWidth="1"/>
    <col min="94" max="94" width="34.85546875" style="16" customWidth="1"/>
    <col min="95" max="95" width="36.5703125" style="16" customWidth="1"/>
    <col min="96" max="97" width="29" style="16" bestFit="1" customWidth="1"/>
    <col min="98" max="98" width="25.7109375" style="16" bestFit="1" customWidth="1"/>
    <col min="99" max="99" width="29.140625" style="16" bestFit="1" customWidth="1"/>
    <col min="100" max="100" width="27.85546875" style="16" bestFit="1" customWidth="1"/>
    <col min="101" max="101" width="33.5703125" style="16" bestFit="1" customWidth="1"/>
    <col min="102" max="102" width="32.85546875" style="16" bestFit="1" customWidth="1"/>
    <col min="103" max="103" width="22.28515625" style="16" bestFit="1" customWidth="1"/>
    <col min="104" max="104" width="23.7109375" style="16" customWidth="1"/>
    <col min="105" max="105" width="27.140625" style="16" customWidth="1"/>
    <col min="106" max="106" width="24.42578125" style="16" customWidth="1"/>
    <col min="107" max="107" width="34.28515625" style="16" bestFit="1" customWidth="1"/>
    <col min="108" max="108" width="9.42578125" style="16" customWidth="1"/>
    <col min="109" max="109" width="28" style="16" customWidth="1"/>
    <col min="110" max="110" width="24.28515625" style="16" bestFit="1" customWidth="1"/>
    <col min="111" max="111" width="23.85546875" style="16" bestFit="1" customWidth="1"/>
    <col min="112" max="112" width="32" style="16" bestFit="1" customWidth="1"/>
    <col min="113" max="113" width="24.85546875" style="16" customWidth="1"/>
    <col min="114" max="114" width="26" style="16" bestFit="1" customWidth="1"/>
    <col min="115" max="115" width="23" style="16" bestFit="1" customWidth="1"/>
    <col min="116" max="116" width="27.7109375" style="16" bestFit="1" customWidth="1"/>
    <col min="117" max="117" width="34.28515625" style="16" bestFit="1" customWidth="1"/>
    <col min="118" max="118" width="25.42578125" style="16" bestFit="1" customWidth="1"/>
    <col min="119" max="119" width="27.42578125" style="16" customWidth="1"/>
    <col min="120" max="120" width="29.7109375" style="16" customWidth="1"/>
    <col min="121" max="121" width="6.42578125" style="16" customWidth="1"/>
    <col min="122" max="122" width="21.85546875" style="16" bestFit="1" customWidth="1"/>
    <col min="123" max="123" width="5.7109375" style="16" customWidth="1"/>
    <col min="124" max="124" width="21.85546875" style="16" bestFit="1" customWidth="1"/>
    <col min="125" max="125" width="5.85546875" style="16" customWidth="1"/>
    <col min="126" max="126" width="12.42578125" style="16" bestFit="1" customWidth="1"/>
    <col min="127" max="127" width="6.140625" style="16" customWidth="1"/>
    <col min="128" max="128" width="12.42578125" style="16" bestFit="1" customWidth="1"/>
    <col min="129" max="129" width="5.42578125" style="16" customWidth="1"/>
    <col min="130" max="130" width="27.7109375" style="16" bestFit="1" customWidth="1"/>
    <col min="131" max="131" width="5.85546875" style="16" customWidth="1"/>
    <col min="132" max="132" width="16" style="16" customWidth="1"/>
    <col min="133" max="133" width="4.28515625" style="16" customWidth="1"/>
    <col min="134" max="134" width="26.5703125" style="16" customWidth="1"/>
    <col min="135" max="135" width="4.28515625" style="16" customWidth="1"/>
    <col min="136" max="136" width="26.5703125" style="16" customWidth="1"/>
    <col min="137" max="137" width="4.28515625" style="16" customWidth="1"/>
    <col min="138" max="138" width="26.5703125" style="16" customWidth="1"/>
    <col min="139" max="139" width="4.28515625" style="16" customWidth="1"/>
    <col min="140" max="140" width="26.5703125" style="16" customWidth="1"/>
    <col min="141" max="141" width="4.28515625" style="16" customWidth="1"/>
    <col min="142" max="142" width="26.5703125" style="16" customWidth="1"/>
    <col min="143" max="143" width="4.28515625" style="16" customWidth="1"/>
    <col min="144" max="144" width="26.5703125" style="16" customWidth="1"/>
    <col min="145" max="145" width="4.28515625" style="16" customWidth="1"/>
    <col min="146" max="146" width="26.5703125" style="16" customWidth="1"/>
    <col min="147" max="147" width="4.28515625" style="16" customWidth="1"/>
    <col min="148" max="148" width="26.5703125" style="16" customWidth="1"/>
    <col min="149" max="149" width="4.28515625" style="16" customWidth="1"/>
    <col min="150" max="150" width="26.5703125" style="16" customWidth="1"/>
    <col min="151" max="151" width="4.28515625" style="16" customWidth="1"/>
    <col min="152" max="152" width="26.5703125" style="16" customWidth="1"/>
    <col min="153" max="153" width="17.5703125" style="16" customWidth="1"/>
    <col min="154" max="154" width="3.85546875" style="16" customWidth="1"/>
    <col min="155" max="155" width="32.42578125" style="16" customWidth="1"/>
    <col min="156" max="156" width="30.28515625" style="16" customWidth="1"/>
    <col min="157" max="157" width="10.42578125" style="16" customWidth="1"/>
    <col min="158" max="158" width="18.28515625" style="16" bestFit="1" customWidth="1"/>
    <col min="159" max="159" width="37.28515625" style="16" customWidth="1"/>
    <col min="160" max="160" width="4.42578125" style="16" customWidth="1"/>
    <col min="161" max="161" width="23" style="16" customWidth="1"/>
    <col min="162" max="162" width="4.42578125" style="16" customWidth="1"/>
    <col min="163" max="163" width="18.42578125" style="16" customWidth="1"/>
    <col min="164" max="164" width="21" style="16" bestFit="1" customWidth="1"/>
    <col min="165" max="166" width="18.5703125" style="16" bestFit="1" customWidth="1"/>
    <col min="167" max="167" width="4.42578125" style="16" customWidth="1"/>
    <col min="168" max="168" width="23" style="16" bestFit="1" customWidth="1"/>
    <col min="169" max="169" width="3.42578125" style="16" customWidth="1"/>
    <col min="170" max="170" width="4.42578125" style="16" customWidth="1"/>
    <col min="171" max="171" width="23" style="16" bestFit="1" customWidth="1"/>
    <col min="172" max="172" width="3.42578125" style="16" customWidth="1"/>
    <col min="173" max="173" width="4.42578125" style="16" customWidth="1"/>
    <col min="174" max="174" width="23" style="16" bestFit="1" customWidth="1"/>
    <col min="175" max="175" width="3.42578125" style="16" customWidth="1"/>
    <col min="176" max="176" width="4" style="16" customWidth="1"/>
    <col min="177" max="177" width="22" style="16" customWidth="1"/>
    <col min="178" max="178" width="4" style="16" customWidth="1"/>
    <col min="179" max="179" width="22" style="16" customWidth="1"/>
    <col min="180" max="180" width="4" style="16" customWidth="1"/>
    <col min="181" max="181" width="22" style="16" customWidth="1"/>
    <col min="182" max="182" width="5" style="16" customWidth="1"/>
    <col min="183" max="183" width="22" style="16" customWidth="1"/>
    <col min="184" max="184" width="4.140625" style="16" customWidth="1"/>
    <col min="185" max="185" width="22" style="16" customWidth="1"/>
    <col min="186" max="186" width="6" style="16" customWidth="1"/>
    <col min="187" max="187" width="18.28515625" style="16" customWidth="1"/>
    <col min="188" max="188" width="3.5703125" style="16" customWidth="1"/>
    <col min="189" max="189" width="22.140625" style="16" customWidth="1"/>
    <col min="190" max="190" width="5.7109375" style="16" customWidth="1"/>
    <col min="191" max="191" width="20.85546875" style="16" customWidth="1"/>
    <col min="192" max="192" width="18.85546875" style="16" customWidth="1"/>
    <col min="193" max="193" width="5.5703125" style="16" customWidth="1"/>
    <col min="194" max="194" width="22" style="16" customWidth="1"/>
    <col min="195" max="195" width="6.28515625" style="16" customWidth="1"/>
    <col min="196" max="196" width="20.85546875" style="16" customWidth="1"/>
    <col min="197" max="197" width="18.140625" style="16" customWidth="1"/>
    <col min="198" max="198" width="10.5703125" style="16" bestFit="1" customWidth="1"/>
    <col min="199" max="199" width="43" style="23" bestFit="1" customWidth="1"/>
    <col min="200" max="200" width="3.7109375" style="13" customWidth="1"/>
    <col min="201" max="16384" width="11.42578125" style="13"/>
  </cols>
  <sheetData>
    <row r="1" spans="1:200" s="137" customFormat="1">
      <c r="A1" s="25" t="s">
        <v>147</v>
      </c>
      <c r="B1" s="49" t="str">
        <f t="shared" ref="B1:GP1" si="0">IF(B$5="","",IF(INDEX(VALUESLIST,2,COLUMN(B1)-1)="","",INDEX(VALUESLIST,2,COLUMN(B1)-1)) &amp; IF(INDEX(VALUESLIST,3,COLUMN(B1)-1)="","",DV&amp;INDEX(VALUESLIST,3,COLUMN(B1)-1)) &amp; IF(INDEX(VALUESLIST,4,COLUMN(B1)-1)="","",DV&amp;INDEX(VALUESLIST,4,COLUMN(B1)-1)) &amp; IF(INDEX(VALUESLIST,5,COLUMN(B1)-1)="","",DV&amp;INDEX(VALUESLIST,5,COLUMN(B1)-1)) &amp; IF(INDEX(VALUESLIST,6,COLUMN(B1)-1)="","",DV&amp;INDEX(VALUESLIST,6,COLUMN(B1)-1)) &amp; IF(INDEX(VALUESLIST,7,COLUMN(B1)-1)="","",DV&amp;INDEX(VALUESLIST,7,COLUMN(B1)-1)) &amp; IF(INDEX(VALUESLIST,8,COLUMN(B1)-1)="","",DV&amp;INDEX(VALUESLIST,8,COLUMN(B1)-1)) &amp; IF(INDEX(VALUESLIST,9,COLUMN(B1)-1)="","",DV&amp;INDEX(VALUESLIST,9,COLUMN(B1)-1)) &amp; IF(INDEX(VALUESLIST,10,COLUMN(B1)-1)="","",DV&amp;"..."))</f>
        <v>1 | 4</v>
      </c>
      <c r="C1" s="49" t="str">
        <f t="shared" si="0"/>
        <v/>
      </c>
      <c r="D1" s="49" t="str">
        <f t="shared" si="0"/>
        <v>0 | 1 | 2</v>
      </c>
      <c r="E1" s="49" t="str">
        <f t="shared" si="0"/>
        <v>0,635 | 0,76 | 0,885 | 1,01 | 1,135 | 1,26 | 1,51 | 1,76 | ...</v>
      </c>
      <c r="F1" s="49" t="str">
        <f t="shared" si="0"/>
        <v>0,635 | 0,76 | 0,885 | 1,01 | 1,135 | 1,26 | 1,51 | 1,76 | ...</v>
      </c>
      <c r="G1" s="49" t="str">
        <f t="shared" si="0"/>
        <v>0,635 | 0,76 | 0,885 | 1,01 | 1,135 | 1,26 | 1,51 | 1,76 | ...</v>
      </c>
      <c r="H1" s="49" t="str">
        <f t="shared" si="0"/>
        <v>0,625 | 0,75 | 0,875 | 1 | 1,125 | 1,25 | 1,5 | 1,75 | ...</v>
      </c>
      <c r="I1" s="49" t="str">
        <f t="shared" si="0"/>
        <v>0,625 | 0,75 | 0,875 | 1 | 1,125 | 1,25 | 1,5 | 1,75 | ...</v>
      </c>
      <c r="J1" s="49" t="str">
        <f t="shared" si="0"/>
        <v>0,525 | 0,65 | 0,775 | 0,9 | 1,025 | 1,15 | 1,4 | 1,65 | ...</v>
      </c>
      <c r="K1" s="49" t="str">
        <f t="shared" si="0"/>
        <v>0,555 | 0,68 | 0,805 | 0,93 | 1,055 | 1,18 | 1,43 | 1,68 | ...</v>
      </c>
      <c r="L1" s="49" t="str">
        <f t="shared" si="0"/>
        <v>0,895 | 0,995 | 1,045 | 1,095 | 1,195 | 1,295 | 1,395 | 1,445</v>
      </c>
      <c r="M1" s="49" t="str">
        <f t="shared" si="0"/>
        <v>2,01 | 2,135 | 2,26 | 2,51 | 2,76 | 3,01</v>
      </c>
      <c r="N1" s="49" t="str">
        <f t="shared" si="0"/>
        <v>2,01 | 2,135 | 2,26 | 2,51 | 2,76 | 3,01</v>
      </c>
      <c r="O1" s="49" t="str">
        <f t="shared" si="0"/>
        <v>2,01 | 2,135 | 2,26 | 2,51 | 2,76 | 3,01</v>
      </c>
      <c r="P1" s="49" t="str">
        <f t="shared" si="0"/>
        <v>2,01 | 2,135 | 2,26 | 2,51 | 2,76 | 3,01</v>
      </c>
      <c r="Q1" s="49" t="str">
        <f t="shared" si="0"/>
        <v>2,01 | 2,135 | 2,25 | 2,5 | 2,75</v>
      </c>
      <c r="R1" s="49" t="str">
        <f t="shared" si="0"/>
        <v>2 | 2,125 | 2,25 | 2,5 | 2,75 | 3</v>
      </c>
      <c r="S1" s="49" t="str">
        <f t="shared" si="0"/>
        <v>2 | 2,125 | 2,25 | 2,5 | 2,75 | 3</v>
      </c>
      <c r="T1" s="49" t="str">
        <f t="shared" si="0"/>
        <v>1,95 | 2,075 | 2,2 | 2,45 | 2,7 | 2,95</v>
      </c>
      <c r="U1" s="49" t="str">
        <f t="shared" si="0"/>
        <v>1,965 | 2,09 | 2,215 | 2,465 | 2,715 | 2,965</v>
      </c>
      <c r="V1" s="49" t="str">
        <f t="shared" si="0"/>
        <v>2,095 | 2,195 | 2,295 | 2,395 | 2,445</v>
      </c>
      <c r="W1" s="49" t="str">
        <f t="shared" si="0"/>
        <v>1 | 2 | 4 | 8 | 16 | 32 | 64</v>
      </c>
      <c r="X1" s="49" t="str">
        <f t="shared" si="0"/>
        <v/>
      </c>
      <c r="Y1" s="49" t="str">
        <f t="shared" si="0"/>
        <v>0 | 1 | 2</v>
      </c>
      <c r="Z1" s="49" t="str">
        <f t="shared" si="0"/>
        <v/>
      </c>
      <c r="AA1" s="49" t="str">
        <f t="shared" si="0"/>
        <v>2 | 4 | 8 | 16 | 3 | 5 | 9 | 17 | ...</v>
      </c>
      <c r="AB1" s="49" t="str">
        <f t="shared" si="0"/>
        <v/>
      </c>
      <c r="AC1" s="49" t="str">
        <f t="shared" si="0"/>
        <v>0 | 1 | 2 | 5 | 6</v>
      </c>
      <c r="AD1" s="49" t="str">
        <f t="shared" si="0"/>
        <v/>
      </c>
      <c r="AE1" s="49" t="str">
        <f t="shared" si="0"/>
        <v>Neu | Bestand | Abbruch | (Erneuert)</v>
      </c>
      <c r="AF1" s="49" t="str">
        <f t="shared" si="0"/>
        <v>nicht definiert | Außen | Innen</v>
      </c>
      <c r="AG1" s="49" t="str">
        <f t="shared" si="0"/>
        <v>Fenster | Fördertechnik | Industrietore | Kühlräume | Stahlbau | Mobile Trennwand | Reinraum | Metallarbeiten | ...</v>
      </c>
      <c r="AH1" s="49" t="str">
        <f t="shared" si="0"/>
        <v>Wärmedämmung | Aluminum Türrahmen | Schnellöffnendes Tor | Holztür | Industrietor | Kühlraum-Schiebetür | Kühlraum-Sektionaltor | Kühlraumtür | ...</v>
      </c>
      <c r="AI1" s="49" t="str">
        <f t="shared" si="0"/>
        <v>nicht definiert | frei | überdacht</v>
      </c>
      <c r="AJ1" s="49" t="str">
        <f t="shared" si="0"/>
        <v>nicht definiert | N | O | S | W | NO | NW | SO | ...</v>
      </c>
      <c r="AK1" s="49" t="str">
        <f t="shared" si="0"/>
        <v>0 | 1 | 2 | 3</v>
      </c>
      <c r="AL1" s="49" t="str">
        <f t="shared" si="0"/>
        <v/>
      </c>
      <c r="AM1" s="49" t="str">
        <f t="shared" si="0"/>
        <v>0 | 1 | 2 | 3</v>
      </c>
      <c r="AN1" s="49" t="str">
        <f t="shared" si="0"/>
        <v/>
      </c>
      <c r="AO1" s="49" t="str">
        <f t="shared" si="0"/>
        <v>0 | 3</v>
      </c>
      <c r="AP1" s="49" t="str">
        <f t="shared" si="0"/>
        <v/>
      </c>
      <c r="AQ1" s="49" t="str">
        <f t="shared" si="0"/>
        <v>0 | 1 | 2 | 3</v>
      </c>
      <c r="AR1" s="49" t="str">
        <f t="shared" si="0"/>
        <v/>
      </c>
      <c r="AS1" s="49" t="str">
        <f t="shared" si="0"/>
        <v>1 | 2 | 3 | 4 | 5</v>
      </c>
      <c r="AT1" s="49" t="str">
        <f t="shared" si="0"/>
        <v/>
      </c>
      <c r="AU1" s="49" t="str">
        <f t="shared" si="0"/>
        <v>0 | 2 | 1 | 3</v>
      </c>
      <c r="AV1" s="49"/>
      <c r="AW1" s="49" t="str">
        <f t="shared" si="0"/>
        <v>0 | 1 | 2 | 3 | 4</v>
      </c>
      <c r="AX1" s="49" t="str">
        <f t="shared" si="0"/>
        <v/>
      </c>
      <c r="AY1" s="49" t="str">
        <f t="shared" si="0"/>
        <v/>
      </c>
      <c r="AZ1" s="49" t="str">
        <f t="shared" si="0"/>
        <v>2 | 3 | 4 | 5 | 6</v>
      </c>
      <c r="BA1" s="49" t="str">
        <f t="shared" si="0"/>
        <v>1 | 2</v>
      </c>
      <c r="BB1" s="49" t="str">
        <f t="shared" si="0"/>
        <v/>
      </c>
      <c r="BC1" s="49" t="str">
        <f t="shared" si="0"/>
        <v>0 | 1 | 2 | 3</v>
      </c>
      <c r="BD1" s="49" t="str">
        <f t="shared" si="0"/>
        <v/>
      </c>
      <c r="BE1" s="49" t="str">
        <f t="shared" si="0"/>
        <v>1 | 2</v>
      </c>
      <c r="BF1" s="49" t="str">
        <f t="shared" si="0"/>
        <v/>
      </c>
      <c r="BG1" s="49" t="str">
        <f t="shared" si="0"/>
        <v>1 | 2</v>
      </c>
      <c r="BH1" s="49" t="str">
        <f t="shared" si="0"/>
        <v/>
      </c>
      <c r="BI1" s="49" t="str">
        <f t="shared" si="0"/>
        <v>1 | 2 | 3 | 4</v>
      </c>
      <c r="BJ1" s="49" t="str">
        <f t="shared" si="0"/>
        <v/>
      </c>
      <c r="BK1" s="49" t="str">
        <f t="shared" si="0"/>
        <v>0 | 1 | 2 | 3</v>
      </c>
      <c r="BL1" s="49" t="str">
        <f t="shared" si="0"/>
        <v/>
      </c>
      <c r="BM1" s="49" t="str">
        <f t="shared" si="0"/>
        <v>0 | 1</v>
      </c>
      <c r="BN1" s="49" t="str">
        <f t="shared" si="0"/>
        <v/>
      </c>
      <c r="BO1" s="49" t="str">
        <f t="shared" si="0"/>
        <v>0 | -1 | 2 | 3 | 4</v>
      </c>
      <c r="BP1" s="49" t="str">
        <f t="shared" si="0"/>
        <v/>
      </c>
      <c r="BQ1" s="49" t="str">
        <f t="shared" si="0"/>
        <v>Massiv | Leichtbau | Metallbausystem | Trennwand | Säule | Träger | undefiniert</v>
      </c>
      <c r="BR1" s="49" t="str">
        <f t="shared" si="0"/>
        <v>Massiv | Leichtbau | Metallbausystem | Trennwand | Säule | Träger | undefiniert</v>
      </c>
      <c r="BS1" s="49" t="str">
        <f t="shared" si="0"/>
        <v>Schule | Verwaltung | Krankenhaus | Einkaufstätte | Versammlungsstätte | Hotel | Stadion | Kaserne | ...</v>
      </c>
      <c r="BT1" s="49" t="str">
        <f t="shared" si="0"/>
        <v>Stahlbeton | Kaksandstein | Hochlochziegel | Stahl | Leichtbau | undefiniert</v>
      </c>
      <c r="BU1" s="49" t="str">
        <f t="shared" si="0"/>
        <v>2 | 1 | 0</v>
      </c>
      <c r="BV1" s="49" t="str">
        <f t="shared" si="0"/>
        <v/>
      </c>
      <c r="BW1" s="49" t="str">
        <f t="shared" si="0"/>
        <v>2 | 1 | 0</v>
      </c>
      <c r="BX1" s="49" t="str">
        <f t="shared" si="0"/>
        <v/>
      </c>
      <c r="BY1" s="49" t="str">
        <f t="shared" si="0"/>
        <v>2 | 1 | 0</v>
      </c>
      <c r="BZ1" s="49" t="str">
        <f t="shared" si="0"/>
        <v/>
      </c>
      <c r="CA1" s="49" t="str">
        <f t="shared" si="0"/>
        <v>2 | 1 | 0</v>
      </c>
      <c r="CB1" s="49" t="str">
        <f t="shared" si="0"/>
        <v/>
      </c>
      <c r="CC1" s="49" t="str">
        <f t="shared" si="0"/>
        <v>2 | 1 | 0</v>
      </c>
      <c r="CD1" s="49" t="str">
        <f t="shared" si="0"/>
        <v/>
      </c>
      <c r="CE1" s="49" t="str">
        <f t="shared" si="0"/>
        <v>2 | 1 | 0</v>
      </c>
      <c r="CF1" s="49" t="str">
        <f t="shared" si="0"/>
        <v/>
      </c>
      <c r="CG1" s="49" t="str">
        <f t="shared" si="0"/>
        <v>2 | 1 | 0</v>
      </c>
      <c r="CH1" s="49" t="str">
        <f t="shared" si="0"/>
        <v/>
      </c>
      <c r="CI1" s="49" t="str">
        <f t="shared" si="0"/>
        <v>[-] | nein | Nachströmen | Abströmen</v>
      </c>
      <c r="CJ1" s="49" t="str">
        <f t="shared" si="0"/>
        <v>[-] | nein | T30 | T60 | T90 | EI30 | EI60 | EI90 | ...</v>
      </c>
      <c r="CK1" s="49" t="str">
        <f t="shared" si="0"/>
        <v>[-] | nein | Sm | Sa | E</v>
      </c>
      <c r="CL1" s="49" t="str">
        <f t="shared" si="0"/>
        <v>[-] | nein | SK1 | SK2 | SK3</v>
      </c>
      <c r="CM1" s="49" t="str">
        <f t="shared" si="0"/>
        <v>[-] | nein | 0,8 | 0,9 | 1,0 | 1,1 | 1,2 | 1,5 | ...</v>
      </c>
      <c r="CN1" s="49" t="str">
        <f t="shared" si="0"/>
        <v>[-] | ja | nein</v>
      </c>
      <c r="CO1" s="49" t="str">
        <f t="shared" si="0"/>
        <v>[-] | nein | RC1N | RC2N | RC2N | RC3 | RC4 | RC5 | ...</v>
      </c>
      <c r="CP1" s="49" t="str">
        <f t="shared" si="0"/>
        <v>[-] | nein | BR1 | BR1-S | BR1-NS | BR2 | BR2-S | BR2-NS | ...</v>
      </c>
      <c r="CQ1" s="49" t="str">
        <f t="shared" si="0"/>
        <v>[-] | nein | ER1 | ER2 | ER3 | ER4</v>
      </c>
      <c r="CR1" s="49" t="str">
        <f t="shared" si="0"/>
        <v>[-] | ja | nein</v>
      </c>
      <c r="CS1" s="49" t="str">
        <f t="shared" si="0"/>
        <v>[-] | ja | nein</v>
      </c>
      <c r="CT1" s="49" t="str">
        <f t="shared" si="0"/>
        <v>[-] | nein | I | II | III</v>
      </c>
      <c r="CU1" s="49" t="str">
        <f t="shared" si="0"/>
        <v>[-] | ja | nein</v>
      </c>
      <c r="CV1" s="49" t="str">
        <f t="shared" si="0"/>
        <v>[-] | ja | nein</v>
      </c>
      <c r="CW1" s="49" t="str">
        <f t="shared" si="0"/>
        <v>[-] | ja | nein</v>
      </c>
      <c r="CX1" s="49" t="str">
        <f t="shared" si="0"/>
        <v>[-] | nein | nach DGVU</v>
      </c>
      <c r="CY1" s="49" t="str">
        <f t="shared" si="0"/>
        <v>[-] | ja | nein</v>
      </c>
      <c r="CZ1" s="49" t="str">
        <f t="shared" si="0"/>
        <v>[-] | ja | nein</v>
      </c>
      <c r="DA1" s="49" t="str">
        <f t="shared" si="0"/>
        <v>[-] | nein | Unterdruck | Überdruck</v>
      </c>
      <c r="DB1" s="49" t="str">
        <f t="shared" si="0"/>
        <v>[-] | nein | luftdicht | dampfdicht | schlagregendicht</v>
      </c>
      <c r="DC1" s="49" t="str">
        <f t="shared" si="0"/>
        <v>[-] | nein | A | B | C</v>
      </c>
      <c r="DD1" s="49" t="str">
        <f t="shared" si="0"/>
        <v>[-] | - | FW | RW | FW+RW</v>
      </c>
      <c r="DE1" s="49" t="str">
        <f t="shared" si="0"/>
        <v/>
      </c>
      <c r="DF1" s="49" t="str">
        <f t="shared" si="0"/>
        <v>[-] | ja | nein</v>
      </c>
      <c r="DG1" s="49" t="str">
        <f t="shared" si="0"/>
        <v>[-] | ja | nein</v>
      </c>
      <c r="DH1" s="49" t="str">
        <f t="shared" si="0"/>
        <v>[-] | ja | nein</v>
      </c>
      <c r="DI1" s="49" t="str">
        <f t="shared" si="0"/>
        <v>[-] | nein | desinfektionsmittelfest | Hochdruckreinigung</v>
      </c>
      <c r="DJ1" s="49" t="str">
        <f t="shared" si="0"/>
        <v>[-] | ja | nein</v>
      </c>
      <c r="DK1" s="49" t="str">
        <f t="shared" si="0"/>
        <v>[-] | ja | nein</v>
      </c>
      <c r="DL1" s="49" t="str">
        <f t="shared" si="0"/>
        <v>[-] | ja | nein</v>
      </c>
      <c r="DM1" s="49" t="str">
        <f t="shared" ref="DM1:GH1" si="1">IF(DM$5="","",IF(INDEX(VALUESLIST,2,COLUMN(DM1)-1)="","",INDEX(VALUESLIST,2,COLUMN(DM1)-1)) &amp; IF(INDEX(VALUESLIST,3,COLUMN(DM1)-1)="","",DV&amp;INDEX(VALUESLIST,3,COLUMN(DM1)-1)) &amp; IF(INDEX(VALUESLIST,4,COLUMN(DM1)-1)="","",DV&amp;INDEX(VALUESLIST,4,COLUMN(DM1)-1)) &amp; IF(INDEX(VALUESLIST,5,COLUMN(DM1)-1)="","",DV&amp;INDEX(VALUESLIST,5,COLUMN(DM1)-1)) &amp; IF(INDEX(VALUESLIST,6,COLUMN(DM1)-1)="","",DV&amp;INDEX(VALUESLIST,6,COLUMN(DM1)-1)) &amp; IF(INDEX(VALUESLIST,7,COLUMN(DM1)-1)="","",DV&amp;INDEX(VALUESLIST,7,COLUMN(DM1)-1)) &amp; IF(INDEX(VALUESLIST,8,COLUMN(DM1)-1)="","",DV&amp;INDEX(VALUESLIST,8,COLUMN(DM1)-1)) &amp; IF(INDEX(VALUESLIST,9,COLUMN(DM1)-1)="","",DV&amp;INDEX(VALUESLIST,9,COLUMN(DM1)-1)) &amp; IF(INDEX(VALUESLIST,10,COLUMN(DM1)-1)="","",DV&amp;"..."))</f>
        <v>[-] | ja | nein</v>
      </c>
      <c r="DN1" s="49" t="str">
        <f t="shared" si="1"/>
        <v>[-] | ja | nein</v>
      </c>
      <c r="DO1" s="49" t="str">
        <f t="shared" si="1"/>
        <v>[-] | nein | DIN 18040 | DIN 18040 (R)</v>
      </c>
      <c r="DP1" s="49" t="str">
        <f t="shared" si="1"/>
        <v>[-] | nein | CEN/TR 15894:2009 | DIN 18040 | DIN 18040 (R)</v>
      </c>
      <c r="DQ1" s="49" t="str">
        <f t="shared" si="1"/>
        <v>[-] | J | ID | ZID</v>
      </c>
      <c r="DR1" s="49" t="str">
        <f t="shared" si="1"/>
        <v/>
      </c>
      <c r="DS1" s="49" t="str">
        <f t="shared" si="1"/>
        <v>[-] | J | ID | ZID</v>
      </c>
      <c r="DT1" s="49" t="str">
        <f t="shared" si="1"/>
        <v/>
      </c>
      <c r="DU1" s="49" t="str">
        <f t="shared" si="1"/>
        <v>[-] | MÖ | UÖ | AÖ</v>
      </c>
      <c r="DV1" s="49" t="str">
        <f t="shared" si="1"/>
        <v/>
      </c>
      <c r="DW1" s="49" t="str">
        <f t="shared" si="1"/>
        <v>[-] | MÖ | UÖ | AÖ</v>
      </c>
      <c r="DX1" s="49" t="str">
        <f t="shared" si="1"/>
        <v/>
      </c>
      <c r="DY1" s="49" t="str">
        <f t="shared" si="1"/>
        <v>[-] | MS | PS | GS</v>
      </c>
      <c r="DZ1" s="49" t="str">
        <f t="shared" si="1"/>
        <v/>
      </c>
      <c r="EA1" s="49" t="str">
        <f t="shared" si="1"/>
        <v>[-] | G | ZO | IBO</v>
      </c>
      <c r="EB1" s="49" t="str">
        <f t="shared" si="1"/>
        <v/>
      </c>
      <c r="EC1" s="49" t="str">
        <f t="shared" si="1"/>
        <v>2 | 1 | 0</v>
      </c>
      <c r="ED1" s="49" t="str">
        <f t="shared" si="1"/>
        <v/>
      </c>
      <c r="EE1" s="49" t="str">
        <f t="shared" si="1"/>
        <v>2 | 1 | 0</v>
      </c>
      <c r="EF1" s="49" t="str">
        <f t="shared" si="1"/>
        <v/>
      </c>
      <c r="EG1" s="49" t="str">
        <f t="shared" si="1"/>
        <v>2 | 1 | 0</v>
      </c>
      <c r="EH1" s="49" t="str">
        <f t="shared" si="1"/>
        <v/>
      </c>
      <c r="EI1" s="49" t="str">
        <f t="shared" si="1"/>
        <v>2 | 1 | 0</v>
      </c>
      <c r="EJ1" s="49" t="str">
        <f t="shared" si="1"/>
        <v/>
      </c>
      <c r="EK1" s="49" t="str">
        <f t="shared" si="1"/>
        <v>2 | 1 | 0</v>
      </c>
      <c r="EL1" s="49" t="str">
        <f t="shared" si="1"/>
        <v/>
      </c>
      <c r="EM1" s="49" t="str">
        <f t="shared" si="1"/>
        <v>2 | 1 | 0</v>
      </c>
      <c r="EN1" s="49" t="str">
        <f t="shared" si="1"/>
        <v/>
      </c>
      <c r="EO1" s="49" t="str">
        <f t="shared" si="1"/>
        <v>2 | 1 | 0</v>
      </c>
      <c r="EP1" s="49" t="str">
        <f t="shared" si="1"/>
        <v/>
      </c>
      <c r="EQ1" s="49" t="str">
        <f t="shared" si="1"/>
        <v>2 | 1 | 0</v>
      </c>
      <c r="ER1" s="49" t="str">
        <f t="shared" si="1"/>
        <v/>
      </c>
      <c r="ES1" s="49" t="str">
        <f t="shared" si="1"/>
        <v>2 | 1 | 0</v>
      </c>
      <c r="ET1" s="49" t="str">
        <f t="shared" si="1"/>
        <v/>
      </c>
      <c r="EU1" s="49" t="str">
        <f t="shared" si="1"/>
        <v>2 | 1 | 0</v>
      </c>
      <c r="EV1" s="49" t="str">
        <f t="shared" si="1"/>
        <v/>
      </c>
      <c r="EW1" s="49" t="str">
        <f t="shared" si="1"/>
        <v>Drehflügel | Schiebe | Karussell | Sondertür</v>
      </c>
      <c r="EX1" s="49" t="str">
        <f t="shared" si="1"/>
        <v>0 | 1 | 2 | 5 | 6 | 8 | 12 | 16</v>
      </c>
      <c r="EY1" s="49" t="str">
        <f t="shared" si="1"/>
        <v/>
      </c>
      <c r="EZ1" s="49" t="str">
        <f t="shared" si="1"/>
        <v>BS | BGS</v>
      </c>
      <c r="FA1" s="49" t="str">
        <f t="shared" si="1"/>
        <v>EZ | UZ | FB | RR | BZ | SR</v>
      </c>
      <c r="FB1" s="49" t="str">
        <f t="shared" si="1"/>
        <v/>
      </c>
      <c r="FC1" s="49" t="str">
        <f t="shared" si="1"/>
        <v>Drehflügeltür Anschlagtür | Drehflügeltür Pendeltür | Drehflügeltür Raumspar-Schwenktür | Schiebetür | Bogenschiebetür Segmentausführung | Bogenschiebetür Halbkreisausführung | Bogenschiebetür Vollkreisausführung | Karusseltür | ...</v>
      </c>
      <c r="FD1" s="49" t="str">
        <f t="shared" si="1"/>
        <v>0 | 1</v>
      </c>
      <c r="FE1" s="49" t="str">
        <f t="shared" si="1"/>
        <v/>
      </c>
      <c r="FF1" s="49" t="str">
        <f t="shared" si="1"/>
        <v>L | R | -</v>
      </c>
      <c r="FG1" s="49" t="str">
        <f t="shared" si="1"/>
        <v/>
      </c>
      <c r="FH1" s="49" t="str">
        <f t="shared" si="1"/>
        <v>L | R | -</v>
      </c>
      <c r="FI1" s="49" t="str">
        <f t="shared" si="1"/>
        <v>0,008 | 0,009 | 0,01</v>
      </c>
      <c r="FJ1" s="49" t="str">
        <f t="shared" si="1"/>
        <v>0,008 | 0,009 | 0,01</v>
      </c>
      <c r="FK1" s="49" t="str">
        <f t="shared" si="1"/>
        <v>0 | 1 | 2 | 4</v>
      </c>
      <c r="FL1" s="49" t="str">
        <f t="shared" si="1"/>
        <v/>
      </c>
      <c r="FM1" s="49" t="str">
        <f t="shared" si="1"/>
        <v/>
      </c>
      <c r="FN1" s="49" t="str">
        <f t="shared" si="1"/>
        <v>0 | 1 | 2 | 4</v>
      </c>
      <c r="FO1" s="49" t="str">
        <f t="shared" si="1"/>
        <v/>
      </c>
      <c r="FP1" s="49" t="str">
        <f t="shared" si="1"/>
        <v/>
      </c>
      <c r="FQ1" s="49" t="str">
        <f t="shared" si="1"/>
        <v>0 | 1 | 2 | 4</v>
      </c>
      <c r="FR1" s="49" t="str">
        <f t="shared" si="1"/>
        <v/>
      </c>
      <c r="FS1" s="49" t="str">
        <f t="shared" si="1"/>
        <v/>
      </c>
      <c r="FT1" s="49" t="str">
        <f t="shared" si="1"/>
        <v>1 | 2 | 3 | 4</v>
      </c>
      <c r="FU1" s="49" t="str">
        <f t="shared" si="1"/>
        <v/>
      </c>
      <c r="FV1" s="49" t="str">
        <f t="shared" si="1"/>
        <v>1 | 2 | 3 | 4</v>
      </c>
      <c r="FW1" s="49" t="str">
        <f t="shared" si="1"/>
        <v/>
      </c>
      <c r="FX1" s="49" t="str">
        <f t="shared" si="1"/>
        <v>0 | 1 | 2 | 3 | 4</v>
      </c>
      <c r="FY1" s="49" t="str">
        <f t="shared" si="1"/>
        <v/>
      </c>
      <c r="FZ1" s="49" t="str">
        <f t="shared" si="1"/>
        <v>0 | 1 | 2 | 3 | 4</v>
      </c>
      <c r="GA1" s="49" t="str">
        <f t="shared" si="1"/>
        <v/>
      </c>
      <c r="GB1" s="49" t="str">
        <f t="shared" si="1"/>
        <v>0 | 1 | 2 | 3 | 4</v>
      </c>
      <c r="GC1" s="49" t="str">
        <f t="shared" si="1"/>
        <v/>
      </c>
      <c r="GD1" s="49" t="str">
        <f t="shared" si="1"/>
        <v>0 | 1</v>
      </c>
      <c r="GE1" s="49" t="str">
        <f t="shared" si="1"/>
        <v/>
      </c>
      <c r="GF1" s="49" t="str">
        <f t="shared" si="1"/>
        <v>0 | 1</v>
      </c>
      <c r="GG1" s="49" t="str">
        <f t="shared" si="1"/>
        <v/>
      </c>
      <c r="GH1" s="49" t="str">
        <f t="shared" si="1"/>
        <v>0 | 1 | 2 | 4 | 8 | 12</v>
      </c>
      <c r="GI1" s="49" t="str">
        <f t="shared" si="0"/>
        <v/>
      </c>
      <c r="GJ1" s="49" t="str">
        <f t="shared" si="0"/>
        <v>GER | AUT | CHE</v>
      </c>
      <c r="GK1" s="49" t="str">
        <f t="shared" si="0"/>
        <v>2 | 4 | 5 | 6 | -2</v>
      </c>
      <c r="GL1" s="49" t="str">
        <f t="shared" si="0"/>
        <v/>
      </c>
      <c r="GM1" s="49" t="str">
        <f t="shared" si="0"/>
        <v>100 | 200 | 300 | 350 | 400 | 500 | -2 | -1 | ...</v>
      </c>
      <c r="GN1" s="49" t="str">
        <f t="shared" si="0"/>
        <v/>
      </c>
      <c r="GO1" s="49" t="str">
        <f t="shared" si="0"/>
        <v>1 | 2</v>
      </c>
      <c r="GP1" s="49" t="str">
        <f t="shared" si="0"/>
        <v>0 | 1 | 2 | 3 | 4 | 5 | 6 | 7 | ...</v>
      </c>
      <c r="GQ1" s="93" t="s">
        <v>90</v>
      </c>
    </row>
    <row r="2" spans="1:200">
      <c r="A2" s="26" t="s">
        <v>148</v>
      </c>
      <c r="B2" s="33" t="str">
        <f t="shared" ref="B2:BF2" si="2">IF(B$3="-","-",IF(B$3=A$3,A$2+1,1))</f>
        <v>-</v>
      </c>
      <c r="C2" s="33" t="str">
        <f t="shared" ref="C2:I2" si="3">IF(C$3="-","-",IF(C$3=B$3,B$2+1,1))</f>
        <v>-</v>
      </c>
      <c r="D2" s="33" t="str">
        <f t="shared" si="3"/>
        <v>-</v>
      </c>
      <c r="E2" s="33" t="str">
        <f t="shared" si="3"/>
        <v>-</v>
      </c>
      <c r="F2" s="33" t="str">
        <f t="shared" si="3"/>
        <v>-</v>
      </c>
      <c r="G2" s="33" t="str">
        <f t="shared" si="3"/>
        <v>-</v>
      </c>
      <c r="H2" s="33" t="str">
        <f t="shared" si="3"/>
        <v>-</v>
      </c>
      <c r="I2" s="33" t="str">
        <f t="shared" si="3"/>
        <v>-</v>
      </c>
      <c r="J2" s="33" t="str">
        <f t="shared" si="2"/>
        <v>-</v>
      </c>
      <c r="K2" s="33" t="str">
        <f t="shared" si="2"/>
        <v>-</v>
      </c>
      <c r="L2" s="33" t="str">
        <f t="shared" si="2"/>
        <v>-</v>
      </c>
      <c r="M2" s="33" t="str">
        <f t="shared" si="2"/>
        <v>-</v>
      </c>
      <c r="N2" s="33" t="str">
        <f t="shared" si="2"/>
        <v>-</v>
      </c>
      <c r="O2" s="33" t="str">
        <f t="shared" si="2"/>
        <v>-</v>
      </c>
      <c r="P2" s="33" t="str">
        <f t="shared" si="2"/>
        <v>-</v>
      </c>
      <c r="Q2" s="33" t="str">
        <f t="shared" si="2"/>
        <v>-</v>
      </c>
      <c r="R2" s="33" t="str">
        <f t="shared" si="2"/>
        <v>-</v>
      </c>
      <c r="S2" s="33" t="str">
        <f t="shared" si="2"/>
        <v>-</v>
      </c>
      <c r="T2" s="33" t="str">
        <f t="shared" si="2"/>
        <v>-</v>
      </c>
      <c r="U2" s="33" t="str">
        <f t="shared" si="2"/>
        <v>-</v>
      </c>
      <c r="V2" s="33" t="str">
        <f t="shared" si="2"/>
        <v>-</v>
      </c>
      <c r="W2" s="33" t="str">
        <f t="shared" si="2"/>
        <v>-</v>
      </c>
      <c r="X2" s="33" t="str">
        <f t="shared" si="2"/>
        <v>-</v>
      </c>
      <c r="Y2" s="33" t="str">
        <f t="shared" si="2"/>
        <v>-</v>
      </c>
      <c r="Z2" s="33" t="str">
        <f t="shared" si="2"/>
        <v>-</v>
      </c>
      <c r="AA2" s="33" t="str">
        <f t="shared" si="2"/>
        <v>-</v>
      </c>
      <c r="AB2" s="33" t="str">
        <f>IF(AB$3="-","-",IF(AB$3=AA$3,AA$2+1,1))</f>
        <v>-</v>
      </c>
      <c r="AC2" s="33" t="str">
        <f>IF(AC$3="-","-",IF(AC$3=AB$3,AB$2+1,1))</f>
        <v>-</v>
      </c>
      <c r="AD2" s="33" t="str">
        <f>IF(AD$3="-","-",IF(AD$3=AC$3,AC$2+1,1))</f>
        <v>-</v>
      </c>
      <c r="AE2" s="33" t="str">
        <f>IF(AE$3="-","-",IF(AE$3=AD$3,AD$2+1,1))</f>
        <v>-</v>
      </c>
      <c r="AF2" s="33" t="str">
        <f>IF(AF$3="-","-",IF(AF$3=AE$3,AE$2+1,1))</f>
        <v>-</v>
      </c>
      <c r="AG2" s="33" t="str">
        <f t="shared" si="2"/>
        <v>-</v>
      </c>
      <c r="AH2" s="33" t="str">
        <f t="shared" si="2"/>
        <v>-</v>
      </c>
      <c r="AI2" s="33" t="str">
        <f t="shared" si="2"/>
        <v>-</v>
      </c>
      <c r="AJ2" s="33" t="str">
        <f t="shared" si="2"/>
        <v>-</v>
      </c>
      <c r="AK2" s="33" t="str">
        <f t="shared" si="2"/>
        <v>-</v>
      </c>
      <c r="AL2" s="33" t="str">
        <f t="shared" si="2"/>
        <v>-</v>
      </c>
      <c r="AM2" s="33" t="str">
        <f t="shared" si="2"/>
        <v>-</v>
      </c>
      <c r="AN2" s="33" t="str">
        <f t="shared" ref="AN2:AU2" si="4">IF(AN$3="-","-",IF(AN$3=AM$3,AM$2+1,1))</f>
        <v>-</v>
      </c>
      <c r="AO2" s="33" t="str">
        <f t="shared" si="4"/>
        <v>-</v>
      </c>
      <c r="AP2" s="33" t="str">
        <f t="shared" si="4"/>
        <v>-</v>
      </c>
      <c r="AQ2" s="33" t="str">
        <f t="shared" si="4"/>
        <v>-</v>
      </c>
      <c r="AR2" s="33" t="str">
        <f t="shared" si="4"/>
        <v>-</v>
      </c>
      <c r="AS2" s="33" t="str">
        <f t="shared" si="4"/>
        <v>-</v>
      </c>
      <c r="AT2" s="33" t="str">
        <f t="shared" si="4"/>
        <v>-</v>
      </c>
      <c r="AU2" s="33" t="str">
        <f t="shared" si="4"/>
        <v>-</v>
      </c>
      <c r="AV2" s="33"/>
      <c r="AW2" s="33" t="str">
        <f>IF(AW$3="-","-",IF(AW$3=AU$3,AU$2+1,1))</f>
        <v>-</v>
      </c>
      <c r="AX2" s="33">
        <f>IF(AX$3="-","-",IF(AX$3=AV$3,AV$2+1,1))</f>
        <v>1</v>
      </c>
      <c r="AY2" s="33" t="str">
        <f>IF(AY$3="-","-",IF(AY$3=AW$3,AW$2+1,1))</f>
        <v>-</v>
      </c>
      <c r="AZ2" s="33" t="str">
        <f>IF(AZ$3="-","-",IF(AZ$3=AX$3,AX$2+1,1))</f>
        <v>-</v>
      </c>
      <c r="BA2" s="33" t="str">
        <f>IF(BA$3="-","-",IF(BA$3=AY$3,AY$2+1,1))</f>
        <v>-</v>
      </c>
      <c r="BB2" s="33" t="str">
        <f>IF(BB$3="-","-",IF(BB$3=AY$3,AY$2+1,1))</f>
        <v>-</v>
      </c>
      <c r="BC2" s="33" t="str">
        <f t="shared" si="2"/>
        <v>-</v>
      </c>
      <c r="BD2" s="33" t="str">
        <f t="shared" si="2"/>
        <v>-</v>
      </c>
      <c r="BE2" s="33" t="str">
        <f t="shared" si="2"/>
        <v>-</v>
      </c>
      <c r="BF2" s="33" t="str">
        <f t="shared" si="2"/>
        <v>-</v>
      </c>
      <c r="BG2" s="33" t="str">
        <f t="shared" ref="BG2:CL2" si="5">IF(BG$3="-","-",IF(BG$3=BF$3,BF$2+1,1))</f>
        <v>-</v>
      </c>
      <c r="BH2" s="33" t="str">
        <f t="shared" si="5"/>
        <v>-</v>
      </c>
      <c r="BI2" s="33" t="str">
        <f t="shared" si="5"/>
        <v>-</v>
      </c>
      <c r="BJ2" s="33" t="str">
        <f t="shared" si="5"/>
        <v>-</v>
      </c>
      <c r="BK2" s="33" t="str">
        <f t="shared" si="5"/>
        <v>-</v>
      </c>
      <c r="BL2" s="33" t="str">
        <f t="shared" si="5"/>
        <v>-</v>
      </c>
      <c r="BM2" s="33" t="str">
        <f t="shared" si="5"/>
        <v>-</v>
      </c>
      <c r="BN2" s="33" t="str">
        <f t="shared" si="5"/>
        <v>-</v>
      </c>
      <c r="BO2" s="33" t="str">
        <f t="shared" si="5"/>
        <v>-</v>
      </c>
      <c r="BP2" s="33" t="str">
        <f t="shared" si="5"/>
        <v>-</v>
      </c>
      <c r="BQ2" s="33" t="str">
        <f t="shared" si="5"/>
        <v>-</v>
      </c>
      <c r="BR2" s="33" t="str">
        <f t="shared" si="5"/>
        <v>-</v>
      </c>
      <c r="BS2" s="33" t="str">
        <f t="shared" si="5"/>
        <v>-</v>
      </c>
      <c r="BT2" s="33" t="str">
        <f t="shared" si="5"/>
        <v>-</v>
      </c>
      <c r="BU2" s="33" t="str">
        <f t="shared" si="5"/>
        <v>-</v>
      </c>
      <c r="BV2" s="33" t="str">
        <f t="shared" si="5"/>
        <v>-</v>
      </c>
      <c r="BW2" s="33" t="str">
        <f t="shared" si="5"/>
        <v>-</v>
      </c>
      <c r="BX2" s="33" t="str">
        <f t="shared" si="5"/>
        <v>-</v>
      </c>
      <c r="BY2" s="33" t="str">
        <f t="shared" si="5"/>
        <v>-</v>
      </c>
      <c r="BZ2" s="33" t="str">
        <f t="shared" si="5"/>
        <v>-</v>
      </c>
      <c r="CA2" s="33" t="str">
        <f t="shared" si="5"/>
        <v>-</v>
      </c>
      <c r="CB2" s="33" t="str">
        <f t="shared" si="5"/>
        <v>-</v>
      </c>
      <c r="CC2" s="33" t="str">
        <f t="shared" si="5"/>
        <v>-</v>
      </c>
      <c r="CD2" s="33" t="str">
        <f t="shared" si="5"/>
        <v>-</v>
      </c>
      <c r="CE2" s="33" t="str">
        <f t="shared" si="5"/>
        <v>-</v>
      </c>
      <c r="CF2" s="33" t="str">
        <f t="shared" si="5"/>
        <v>-</v>
      </c>
      <c r="CG2" s="33" t="str">
        <f t="shared" si="5"/>
        <v>-</v>
      </c>
      <c r="CH2" s="33" t="str">
        <f t="shared" si="5"/>
        <v>-</v>
      </c>
      <c r="CI2" s="33" t="str">
        <f t="shared" si="5"/>
        <v>-</v>
      </c>
      <c r="CJ2" s="33" t="str">
        <f t="shared" si="5"/>
        <v>-</v>
      </c>
      <c r="CK2" s="33" t="str">
        <f t="shared" si="5"/>
        <v>-</v>
      </c>
      <c r="CL2" s="33" t="str">
        <f t="shared" si="5"/>
        <v>-</v>
      </c>
      <c r="CM2" s="33" t="str">
        <f t="shared" ref="CM2:DS2" si="6">IF(CM$3="-","-",IF(CM$3=CL$3,CL$2+1,1))</f>
        <v>-</v>
      </c>
      <c r="CN2" s="33" t="str">
        <f t="shared" si="6"/>
        <v>-</v>
      </c>
      <c r="CO2" s="33" t="str">
        <f t="shared" si="6"/>
        <v>-</v>
      </c>
      <c r="CP2" s="33" t="str">
        <f t="shared" si="6"/>
        <v>-</v>
      </c>
      <c r="CQ2" s="33" t="str">
        <f t="shared" si="6"/>
        <v>-</v>
      </c>
      <c r="CR2" s="33" t="str">
        <f t="shared" si="6"/>
        <v>-</v>
      </c>
      <c r="CS2" s="33" t="str">
        <f t="shared" si="6"/>
        <v>-</v>
      </c>
      <c r="CT2" s="33" t="str">
        <f t="shared" si="6"/>
        <v>-</v>
      </c>
      <c r="CU2" s="33" t="str">
        <f t="shared" si="6"/>
        <v>-</v>
      </c>
      <c r="CV2" s="33" t="str">
        <f t="shared" si="6"/>
        <v>-</v>
      </c>
      <c r="CW2" s="33" t="str">
        <f t="shared" si="6"/>
        <v>-</v>
      </c>
      <c r="CX2" s="33" t="str">
        <f t="shared" si="6"/>
        <v>-</v>
      </c>
      <c r="CY2" s="33" t="str">
        <f t="shared" si="6"/>
        <v>-</v>
      </c>
      <c r="CZ2" s="33" t="str">
        <f t="shared" si="6"/>
        <v>-</v>
      </c>
      <c r="DA2" s="33" t="str">
        <f t="shared" si="6"/>
        <v>-</v>
      </c>
      <c r="DB2" s="33" t="str">
        <f>IF(DB$3="-","-",IF(DB$3=DA$3,DA$2+1,1))</f>
        <v>-</v>
      </c>
      <c r="DC2" s="33" t="str">
        <f>IF(DC$3="-","-",IF(DC$3=DB$3,DB$2+1,1))</f>
        <v>-</v>
      </c>
      <c r="DD2" s="33" t="str">
        <f>IF(DD$3="-","-",IF(DD$3=DC$3,DC$2+1,1))</f>
        <v>-</v>
      </c>
      <c r="DE2" s="33" t="str">
        <f>IF(DE$3="-","-",IF(DE$3=DD$3,DD$2+1,1))</f>
        <v>-</v>
      </c>
      <c r="DF2" s="33" t="str">
        <f>IF(DF$3="-","-",IF(DF$3=DE$3,DE$2+1,1))</f>
        <v>-</v>
      </c>
      <c r="DG2" s="33" t="str">
        <f t="shared" si="6"/>
        <v>-</v>
      </c>
      <c r="DH2" s="33" t="str">
        <f t="shared" si="6"/>
        <v>-</v>
      </c>
      <c r="DI2" s="33" t="str">
        <f t="shared" si="6"/>
        <v>-</v>
      </c>
      <c r="DJ2" s="33" t="str">
        <f t="shared" si="6"/>
        <v>-</v>
      </c>
      <c r="DK2" s="33" t="str">
        <f t="shared" si="6"/>
        <v>-</v>
      </c>
      <c r="DL2" s="33" t="str">
        <f t="shared" si="6"/>
        <v>-</v>
      </c>
      <c r="DM2" s="33" t="str">
        <f t="shared" si="6"/>
        <v>-</v>
      </c>
      <c r="DN2" s="33" t="str">
        <f t="shared" si="6"/>
        <v>-</v>
      </c>
      <c r="DO2" s="33" t="str">
        <f t="shared" si="6"/>
        <v>-</v>
      </c>
      <c r="DP2" s="33" t="str">
        <f t="shared" si="6"/>
        <v>-</v>
      </c>
      <c r="DQ2" s="33" t="str">
        <f t="shared" si="6"/>
        <v>-</v>
      </c>
      <c r="DR2" s="33" t="str">
        <f t="shared" si="6"/>
        <v>-</v>
      </c>
      <c r="DS2" s="33" t="str">
        <f t="shared" si="6"/>
        <v>-</v>
      </c>
      <c r="DT2" s="33" t="str">
        <f t="shared" ref="DT2:FC2" si="7">IF(DT$3="-","-",IF(DT$3=DS$3,DS$2+1,1))</f>
        <v>-</v>
      </c>
      <c r="DU2" s="33" t="str">
        <f t="shared" si="7"/>
        <v>-</v>
      </c>
      <c r="DV2" s="33" t="str">
        <f t="shared" si="7"/>
        <v>-</v>
      </c>
      <c r="DW2" s="33" t="str">
        <f t="shared" si="7"/>
        <v>-</v>
      </c>
      <c r="DX2" s="33" t="str">
        <f t="shared" si="7"/>
        <v>-</v>
      </c>
      <c r="DY2" s="33" t="str">
        <f t="shared" si="7"/>
        <v>-</v>
      </c>
      <c r="DZ2" s="33" t="str">
        <f t="shared" si="7"/>
        <v>-</v>
      </c>
      <c r="EA2" s="33" t="str">
        <f t="shared" si="7"/>
        <v>-</v>
      </c>
      <c r="EB2" s="33" t="str">
        <f t="shared" si="7"/>
        <v>-</v>
      </c>
      <c r="EC2" s="33" t="str">
        <f t="shared" si="7"/>
        <v>-</v>
      </c>
      <c r="ED2" s="33" t="str">
        <f t="shared" si="7"/>
        <v>-</v>
      </c>
      <c r="EE2" s="33" t="str">
        <f t="shared" si="7"/>
        <v>-</v>
      </c>
      <c r="EF2" s="33" t="str">
        <f t="shared" si="7"/>
        <v>-</v>
      </c>
      <c r="EG2" s="33" t="str">
        <f t="shared" si="7"/>
        <v>-</v>
      </c>
      <c r="EH2" s="33" t="str">
        <f t="shared" si="7"/>
        <v>-</v>
      </c>
      <c r="EI2" s="33" t="str">
        <f t="shared" si="7"/>
        <v>-</v>
      </c>
      <c r="EJ2" s="33" t="str">
        <f t="shared" si="7"/>
        <v>-</v>
      </c>
      <c r="EK2" s="33" t="str">
        <f t="shared" si="7"/>
        <v>-</v>
      </c>
      <c r="EL2" s="33" t="str">
        <f t="shared" si="7"/>
        <v>-</v>
      </c>
      <c r="EM2" s="33" t="str">
        <f t="shared" si="7"/>
        <v>-</v>
      </c>
      <c r="EN2" s="33" t="str">
        <f t="shared" si="7"/>
        <v>-</v>
      </c>
      <c r="EO2" s="33" t="str">
        <f t="shared" si="7"/>
        <v>-</v>
      </c>
      <c r="EP2" s="33" t="str">
        <f t="shared" si="7"/>
        <v>-</v>
      </c>
      <c r="EQ2" s="33" t="str">
        <f t="shared" si="7"/>
        <v>-</v>
      </c>
      <c r="ER2" s="33" t="str">
        <f t="shared" si="7"/>
        <v>-</v>
      </c>
      <c r="ES2" s="33" t="str">
        <f t="shared" si="7"/>
        <v>-</v>
      </c>
      <c r="ET2" s="33" t="str">
        <f t="shared" si="7"/>
        <v>-</v>
      </c>
      <c r="EU2" s="33" t="str">
        <f t="shared" si="7"/>
        <v>-</v>
      </c>
      <c r="EV2" s="33" t="str">
        <f t="shared" si="7"/>
        <v>-</v>
      </c>
      <c r="EW2" s="33" t="str">
        <f t="shared" si="7"/>
        <v>-</v>
      </c>
      <c r="EX2" s="33" t="str">
        <f t="shared" si="7"/>
        <v>-</v>
      </c>
      <c r="EY2" s="33" t="str">
        <f t="shared" si="7"/>
        <v>-</v>
      </c>
      <c r="EZ2" s="33" t="str">
        <f t="shared" si="7"/>
        <v>-</v>
      </c>
      <c r="FA2" s="33" t="str">
        <f t="shared" si="7"/>
        <v>-</v>
      </c>
      <c r="FB2" s="33" t="str">
        <f t="shared" si="7"/>
        <v>-</v>
      </c>
      <c r="FC2" s="33" t="str">
        <f t="shared" si="7"/>
        <v>-</v>
      </c>
      <c r="FD2" s="33" t="str">
        <f t="shared" ref="FD2:FJ2" si="8">IF(FD$3="-","-",IF(FD$3=FC$3,FC$2+1,1))</f>
        <v>-</v>
      </c>
      <c r="FE2" s="33" t="str">
        <f t="shared" si="8"/>
        <v>-</v>
      </c>
      <c r="FF2" s="33" t="str">
        <f t="shared" si="8"/>
        <v>-</v>
      </c>
      <c r="FG2" s="33" t="str">
        <f t="shared" si="8"/>
        <v>-</v>
      </c>
      <c r="FH2" s="33" t="str">
        <f t="shared" si="8"/>
        <v>-</v>
      </c>
      <c r="FI2" s="33" t="str">
        <f t="shared" si="8"/>
        <v>-</v>
      </c>
      <c r="FJ2" s="33" t="str">
        <f t="shared" si="8"/>
        <v>-</v>
      </c>
      <c r="FK2" s="33" t="str">
        <f t="shared" ref="FK2:FR2" si="9">IF(FK$3="-","-",IF(FK$3=FJ$3,FJ$2+1,1))</f>
        <v>-</v>
      </c>
      <c r="FL2" s="33" t="str">
        <f t="shared" si="9"/>
        <v>-</v>
      </c>
      <c r="FM2" s="33" t="str">
        <f t="shared" si="9"/>
        <v>-</v>
      </c>
      <c r="FN2" s="33" t="str">
        <f t="shared" si="9"/>
        <v>-</v>
      </c>
      <c r="FO2" s="33" t="str">
        <f t="shared" si="9"/>
        <v>-</v>
      </c>
      <c r="FP2" s="33" t="str">
        <f t="shared" si="9"/>
        <v>-</v>
      </c>
      <c r="FQ2" s="33" t="str">
        <f t="shared" si="9"/>
        <v>-</v>
      </c>
      <c r="FR2" s="33" t="str">
        <f t="shared" si="9"/>
        <v>-</v>
      </c>
      <c r="FS2" s="33" t="str">
        <f t="shared" ref="FS2:GP2" si="10">IF(FS$3="-","-",IF(FS$3=FR$3,FR$2+1,1))</f>
        <v>-</v>
      </c>
      <c r="FT2" s="33" t="str">
        <f t="shared" si="10"/>
        <v>-</v>
      </c>
      <c r="FU2" s="33" t="str">
        <f t="shared" si="10"/>
        <v>-</v>
      </c>
      <c r="FV2" s="33" t="str">
        <f t="shared" si="10"/>
        <v>-</v>
      </c>
      <c r="FW2" s="33" t="str">
        <f t="shared" si="10"/>
        <v>-</v>
      </c>
      <c r="FX2" s="33" t="str">
        <f t="shared" ref="FX2:GE2" si="11">IF(FX$3="-","-",IF(FX$3=FW$3,FW$2+1,1))</f>
        <v>-</v>
      </c>
      <c r="FY2" s="33" t="str">
        <f t="shared" si="11"/>
        <v>-</v>
      </c>
      <c r="FZ2" s="33" t="str">
        <f t="shared" si="11"/>
        <v>-</v>
      </c>
      <c r="GA2" s="33" t="str">
        <f t="shared" si="11"/>
        <v>-</v>
      </c>
      <c r="GB2" s="33" t="str">
        <f t="shared" si="11"/>
        <v>-</v>
      </c>
      <c r="GC2" s="33" t="str">
        <f t="shared" si="11"/>
        <v>-</v>
      </c>
      <c r="GD2" s="33" t="str">
        <f t="shared" si="11"/>
        <v>-</v>
      </c>
      <c r="GE2" s="33" t="str">
        <f t="shared" si="11"/>
        <v>-</v>
      </c>
      <c r="GF2" s="33" t="str">
        <f t="shared" si="10"/>
        <v>-</v>
      </c>
      <c r="GG2" s="33" t="str">
        <f t="shared" si="10"/>
        <v>-</v>
      </c>
      <c r="GH2" s="33" t="str">
        <f t="shared" si="10"/>
        <v>-</v>
      </c>
      <c r="GI2" s="33" t="str">
        <f t="shared" si="10"/>
        <v>-</v>
      </c>
      <c r="GJ2" s="33" t="str">
        <f t="shared" si="10"/>
        <v>-</v>
      </c>
      <c r="GK2" s="33" t="str">
        <f t="shared" si="10"/>
        <v>-</v>
      </c>
      <c r="GL2" s="33" t="str">
        <f t="shared" si="10"/>
        <v>-</v>
      </c>
      <c r="GM2" s="33" t="str">
        <f t="shared" si="10"/>
        <v>-</v>
      </c>
      <c r="GN2" s="33" t="str">
        <f t="shared" si="10"/>
        <v>-</v>
      </c>
      <c r="GO2" s="33" t="str">
        <f t="shared" si="10"/>
        <v>-</v>
      </c>
      <c r="GP2" s="33" t="str">
        <f t="shared" si="10"/>
        <v>-</v>
      </c>
      <c r="GQ2" s="93"/>
    </row>
    <row r="3" spans="1:200">
      <c r="A3" s="26" t="s">
        <v>149</v>
      </c>
      <c r="B3" s="49" t="str">
        <f t="shared" ref="B3:BF3" si="12">IF(B$5="",A$3,IFERROR(MATCH(B$5,prodArrayNames,0),"-"))</f>
        <v>-</v>
      </c>
      <c r="C3" s="49" t="str">
        <f t="shared" ref="C3:I3" si="13">IF(C$5="",B$3,IFERROR(MATCH(C$5,prodArrayNames,0),"-"))</f>
        <v>-</v>
      </c>
      <c r="D3" s="49" t="str">
        <f t="shared" si="13"/>
        <v>-</v>
      </c>
      <c r="E3" s="49" t="str">
        <f t="shared" si="13"/>
        <v>-</v>
      </c>
      <c r="F3" s="49" t="str">
        <f t="shared" si="13"/>
        <v>-</v>
      </c>
      <c r="G3" s="49" t="str">
        <f t="shared" si="13"/>
        <v>-</v>
      </c>
      <c r="H3" s="49" t="str">
        <f t="shared" si="13"/>
        <v>-</v>
      </c>
      <c r="I3" s="49" t="str">
        <f t="shared" si="13"/>
        <v>-</v>
      </c>
      <c r="J3" s="49" t="str">
        <f t="shared" si="12"/>
        <v>-</v>
      </c>
      <c r="K3" s="49" t="str">
        <f t="shared" si="12"/>
        <v>-</v>
      </c>
      <c r="L3" s="49" t="str">
        <f t="shared" si="12"/>
        <v>-</v>
      </c>
      <c r="M3" s="49" t="str">
        <f t="shared" si="12"/>
        <v>-</v>
      </c>
      <c r="N3" s="49" t="str">
        <f t="shared" si="12"/>
        <v>-</v>
      </c>
      <c r="O3" s="49" t="str">
        <f t="shared" si="12"/>
        <v>-</v>
      </c>
      <c r="P3" s="49" t="str">
        <f t="shared" si="12"/>
        <v>-</v>
      </c>
      <c r="Q3" s="49" t="str">
        <f t="shared" si="12"/>
        <v>-</v>
      </c>
      <c r="R3" s="49" t="str">
        <f t="shared" si="12"/>
        <v>-</v>
      </c>
      <c r="S3" s="49" t="str">
        <f t="shared" si="12"/>
        <v>-</v>
      </c>
      <c r="T3" s="49" t="str">
        <f t="shared" si="12"/>
        <v>-</v>
      </c>
      <c r="U3" s="49" t="str">
        <f t="shared" si="12"/>
        <v>-</v>
      </c>
      <c r="V3" s="49" t="str">
        <f t="shared" si="12"/>
        <v>-</v>
      </c>
      <c r="W3" s="49" t="str">
        <f t="shared" si="12"/>
        <v>-</v>
      </c>
      <c r="X3" s="49" t="str">
        <f t="shared" si="12"/>
        <v>-</v>
      </c>
      <c r="Y3" s="49" t="str">
        <f t="shared" si="12"/>
        <v>-</v>
      </c>
      <c r="Z3" s="49" t="str">
        <f t="shared" si="12"/>
        <v>-</v>
      </c>
      <c r="AA3" s="49" t="str">
        <f t="shared" si="12"/>
        <v>-</v>
      </c>
      <c r="AB3" s="49" t="str">
        <f>IF(AB$5="",AA$3,IFERROR(MATCH(AB$5,prodArrayNames,0),"-"))</f>
        <v>-</v>
      </c>
      <c r="AC3" s="49" t="str">
        <f>IF(AC$5="",AB$3,IFERROR(MATCH(AC$5,prodArrayNames,0),"-"))</f>
        <v>-</v>
      </c>
      <c r="AD3" s="49" t="str">
        <f>IF(AD$5="",AC$3,IFERROR(MATCH(AD$5,prodArrayNames,0),"-"))</f>
        <v>-</v>
      </c>
      <c r="AE3" s="49" t="str">
        <f>IF(AE$5="",AD$3,IFERROR(MATCH(AE$5,prodArrayNames,0),"-"))</f>
        <v>-</v>
      </c>
      <c r="AF3" s="49" t="str">
        <f>IF(AF$5="",AE$3,IFERROR(MATCH(AF$5,prodArrayNames,0),"-"))</f>
        <v>-</v>
      </c>
      <c r="AG3" s="49" t="str">
        <f t="shared" si="12"/>
        <v>-</v>
      </c>
      <c r="AH3" s="49" t="str">
        <f t="shared" si="12"/>
        <v>-</v>
      </c>
      <c r="AI3" s="49" t="str">
        <f t="shared" si="12"/>
        <v>-</v>
      </c>
      <c r="AJ3" s="49" t="str">
        <f t="shared" si="12"/>
        <v>-</v>
      </c>
      <c r="AK3" s="49" t="str">
        <f t="shared" si="12"/>
        <v>-</v>
      </c>
      <c r="AL3" s="49" t="str">
        <f t="shared" si="12"/>
        <v>-</v>
      </c>
      <c r="AM3" s="49" t="str">
        <f t="shared" si="12"/>
        <v>-</v>
      </c>
      <c r="AN3" s="49" t="str">
        <f t="shared" ref="AN3:AU3" si="14">IF(AN$5="",AM$3,IFERROR(MATCH(AN$5,prodArrayNames,0),"-"))</f>
        <v>-</v>
      </c>
      <c r="AO3" s="49" t="str">
        <f t="shared" si="14"/>
        <v>-</v>
      </c>
      <c r="AP3" s="49" t="str">
        <f t="shared" si="14"/>
        <v>-</v>
      </c>
      <c r="AQ3" s="49" t="str">
        <f t="shared" si="14"/>
        <v>-</v>
      </c>
      <c r="AR3" s="49" t="str">
        <f t="shared" si="14"/>
        <v>-</v>
      </c>
      <c r="AS3" s="49" t="str">
        <f t="shared" si="14"/>
        <v>-</v>
      </c>
      <c r="AT3" s="49" t="str">
        <f t="shared" si="14"/>
        <v>-</v>
      </c>
      <c r="AU3" s="49" t="str">
        <f t="shared" si="14"/>
        <v>-</v>
      </c>
      <c r="AV3" s="49"/>
      <c r="AW3" s="49" t="str">
        <f>IF(AW$5="",AU$3,IFERROR(MATCH(AW$5,prodArrayNames,0),"-"))</f>
        <v>-</v>
      </c>
      <c r="AX3" s="49">
        <f>IF(AX$5="",AV$3,IFERROR(MATCH(AX$5,prodArrayNames,0),"-"))</f>
        <v>0</v>
      </c>
      <c r="AY3" s="49" t="str">
        <f>IF(AY$5="",AW$3,IFERROR(MATCH(AY$5,prodArrayNames,0),"-"))</f>
        <v>-</v>
      </c>
      <c r="AZ3" s="49" t="str">
        <f>IF(AZ$5="",AX$3,IFERROR(MATCH(AZ$5,prodArrayNames,0),"-"))</f>
        <v>-</v>
      </c>
      <c r="BA3" s="49" t="str">
        <f>IF(BA$5="",AY$3,IFERROR(MATCH(BA$5,prodArrayNames,0),"-"))</f>
        <v>-</v>
      </c>
      <c r="BB3" s="49" t="str">
        <f>IF(BB$5="",AY$3,IFERROR(MATCH(BB$5,prodArrayNames,0),"-"))</f>
        <v>-</v>
      </c>
      <c r="BC3" s="49" t="str">
        <f t="shared" si="12"/>
        <v>-</v>
      </c>
      <c r="BD3" s="49" t="str">
        <f t="shared" si="12"/>
        <v>-</v>
      </c>
      <c r="BE3" s="49" t="str">
        <f t="shared" si="12"/>
        <v>-</v>
      </c>
      <c r="BF3" s="49" t="str">
        <f t="shared" si="12"/>
        <v>-</v>
      </c>
      <c r="BG3" s="49" t="str">
        <f t="shared" ref="BG3:CL3" si="15">IF(BG$5="",BF$3,IFERROR(MATCH(BG$5,prodArrayNames,0),"-"))</f>
        <v>-</v>
      </c>
      <c r="BH3" s="49" t="str">
        <f t="shared" si="15"/>
        <v>-</v>
      </c>
      <c r="BI3" s="49" t="str">
        <f t="shared" si="15"/>
        <v>-</v>
      </c>
      <c r="BJ3" s="49" t="str">
        <f t="shared" si="15"/>
        <v>-</v>
      </c>
      <c r="BK3" s="49" t="str">
        <f t="shared" si="15"/>
        <v>-</v>
      </c>
      <c r="BL3" s="49" t="str">
        <f t="shared" si="15"/>
        <v>-</v>
      </c>
      <c r="BM3" s="49" t="str">
        <f t="shared" si="15"/>
        <v>-</v>
      </c>
      <c r="BN3" s="49" t="str">
        <f t="shared" si="15"/>
        <v>-</v>
      </c>
      <c r="BO3" s="49" t="str">
        <f t="shared" si="15"/>
        <v>-</v>
      </c>
      <c r="BP3" s="49" t="str">
        <f t="shared" si="15"/>
        <v>-</v>
      </c>
      <c r="BQ3" s="49" t="str">
        <f t="shared" si="15"/>
        <v>-</v>
      </c>
      <c r="BR3" s="49" t="str">
        <f t="shared" si="15"/>
        <v>-</v>
      </c>
      <c r="BS3" s="49" t="str">
        <f t="shared" si="15"/>
        <v>-</v>
      </c>
      <c r="BT3" s="49" t="str">
        <f t="shared" si="15"/>
        <v>-</v>
      </c>
      <c r="BU3" s="49" t="str">
        <f t="shared" si="15"/>
        <v>-</v>
      </c>
      <c r="BV3" s="49" t="str">
        <f t="shared" si="15"/>
        <v>-</v>
      </c>
      <c r="BW3" s="49" t="str">
        <f t="shared" si="15"/>
        <v>-</v>
      </c>
      <c r="BX3" s="49" t="str">
        <f t="shared" si="15"/>
        <v>-</v>
      </c>
      <c r="BY3" s="49" t="str">
        <f t="shared" si="15"/>
        <v>-</v>
      </c>
      <c r="BZ3" s="49" t="str">
        <f t="shared" si="15"/>
        <v>-</v>
      </c>
      <c r="CA3" s="49" t="str">
        <f t="shared" si="15"/>
        <v>-</v>
      </c>
      <c r="CB3" s="49" t="str">
        <f t="shared" si="15"/>
        <v>-</v>
      </c>
      <c r="CC3" s="49" t="str">
        <f t="shared" si="15"/>
        <v>-</v>
      </c>
      <c r="CD3" s="49" t="str">
        <f t="shared" si="15"/>
        <v>-</v>
      </c>
      <c r="CE3" s="49" t="str">
        <f t="shared" si="15"/>
        <v>-</v>
      </c>
      <c r="CF3" s="49" t="str">
        <f t="shared" si="15"/>
        <v>-</v>
      </c>
      <c r="CG3" s="49" t="str">
        <f t="shared" si="15"/>
        <v>-</v>
      </c>
      <c r="CH3" s="49" t="str">
        <f t="shared" si="15"/>
        <v>-</v>
      </c>
      <c r="CI3" s="49" t="str">
        <f t="shared" si="15"/>
        <v>-</v>
      </c>
      <c r="CJ3" s="49" t="str">
        <f t="shared" si="15"/>
        <v>-</v>
      </c>
      <c r="CK3" s="49" t="str">
        <f t="shared" si="15"/>
        <v>-</v>
      </c>
      <c r="CL3" s="49" t="str">
        <f t="shared" si="15"/>
        <v>-</v>
      </c>
      <c r="CM3" s="49" t="str">
        <f t="shared" ref="CM3:DS3" si="16">IF(CM$5="",CL$3,IFERROR(MATCH(CM$5,prodArrayNames,0),"-"))</f>
        <v>-</v>
      </c>
      <c r="CN3" s="49" t="str">
        <f t="shared" si="16"/>
        <v>-</v>
      </c>
      <c r="CO3" s="49" t="str">
        <f t="shared" si="16"/>
        <v>-</v>
      </c>
      <c r="CP3" s="49" t="str">
        <f t="shared" si="16"/>
        <v>-</v>
      </c>
      <c r="CQ3" s="49" t="str">
        <f t="shared" si="16"/>
        <v>-</v>
      </c>
      <c r="CR3" s="49" t="str">
        <f t="shared" si="16"/>
        <v>-</v>
      </c>
      <c r="CS3" s="49" t="str">
        <f t="shared" si="16"/>
        <v>-</v>
      </c>
      <c r="CT3" s="49" t="str">
        <f t="shared" si="16"/>
        <v>-</v>
      </c>
      <c r="CU3" s="49" t="str">
        <f t="shared" si="16"/>
        <v>-</v>
      </c>
      <c r="CV3" s="49" t="str">
        <f t="shared" si="16"/>
        <v>-</v>
      </c>
      <c r="CW3" s="49" t="str">
        <f t="shared" si="16"/>
        <v>-</v>
      </c>
      <c r="CX3" s="49" t="str">
        <f t="shared" si="16"/>
        <v>-</v>
      </c>
      <c r="CY3" s="49" t="str">
        <f t="shared" si="16"/>
        <v>-</v>
      </c>
      <c r="CZ3" s="49" t="str">
        <f t="shared" si="16"/>
        <v>-</v>
      </c>
      <c r="DA3" s="49" t="str">
        <f t="shared" si="16"/>
        <v>-</v>
      </c>
      <c r="DB3" s="49" t="str">
        <f>IF(DB$5="",DA$3,IFERROR(MATCH(DB$5,prodArrayNames,0),"-"))</f>
        <v>-</v>
      </c>
      <c r="DC3" s="49" t="str">
        <f>IF(DC$5="",DB$3,IFERROR(MATCH(DC$5,prodArrayNames,0),"-"))</f>
        <v>-</v>
      </c>
      <c r="DD3" s="49" t="str">
        <f>IF(DD$5="",DC$3,IFERROR(MATCH(DD$5,prodArrayNames,0),"-"))</f>
        <v>-</v>
      </c>
      <c r="DE3" s="49" t="str">
        <f>IF(DE$5="",DD$3,IFERROR(MATCH(DE$5,prodArrayNames,0),"-"))</f>
        <v>-</v>
      </c>
      <c r="DF3" s="49" t="str">
        <f>IF(DF$5="",DE$3,IFERROR(MATCH(DF$5,prodArrayNames,0),"-"))</f>
        <v>-</v>
      </c>
      <c r="DG3" s="49" t="str">
        <f t="shared" si="16"/>
        <v>-</v>
      </c>
      <c r="DH3" s="49" t="str">
        <f t="shared" si="16"/>
        <v>-</v>
      </c>
      <c r="DI3" s="49" t="str">
        <f t="shared" si="16"/>
        <v>-</v>
      </c>
      <c r="DJ3" s="49" t="str">
        <f t="shared" si="16"/>
        <v>-</v>
      </c>
      <c r="DK3" s="49" t="str">
        <f t="shared" si="16"/>
        <v>-</v>
      </c>
      <c r="DL3" s="49" t="str">
        <f t="shared" si="16"/>
        <v>-</v>
      </c>
      <c r="DM3" s="49" t="str">
        <f t="shared" si="16"/>
        <v>-</v>
      </c>
      <c r="DN3" s="49" t="str">
        <f t="shared" si="16"/>
        <v>-</v>
      </c>
      <c r="DO3" s="49" t="str">
        <f t="shared" si="16"/>
        <v>-</v>
      </c>
      <c r="DP3" s="49" t="str">
        <f t="shared" si="16"/>
        <v>-</v>
      </c>
      <c r="DQ3" s="49" t="str">
        <f t="shared" si="16"/>
        <v>-</v>
      </c>
      <c r="DR3" s="49" t="str">
        <f t="shared" si="16"/>
        <v>-</v>
      </c>
      <c r="DS3" s="49" t="str">
        <f t="shared" si="16"/>
        <v>-</v>
      </c>
      <c r="DT3" s="49" t="str">
        <f t="shared" ref="DT3:FB3" si="17">IF(DT$5="",DS$3,IFERROR(MATCH(DT$5,prodArrayNames,0),"-"))</f>
        <v>-</v>
      </c>
      <c r="DU3" s="49" t="str">
        <f t="shared" si="17"/>
        <v>-</v>
      </c>
      <c r="DV3" s="49" t="str">
        <f t="shared" si="17"/>
        <v>-</v>
      </c>
      <c r="DW3" s="49" t="str">
        <f t="shared" si="17"/>
        <v>-</v>
      </c>
      <c r="DX3" s="49" t="str">
        <f t="shared" si="17"/>
        <v>-</v>
      </c>
      <c r="DY3" s="49" t="str">
        <f t="shared" si="17"/>
        <v>-</v>
      </c>
      <c r="DZ3" s="49" t="str">
        <f t="shared" si="17"/>
        <v>-</v>
      </c>
      <c r="EA3" s="49" t="str">
        <f t="shared" si="17"/>
        <v>-</v>
      </c>
      <c r="EB3" s="49" t="str">
        <f t="shared" si="17"/>
        <v>-</v>
      </c>
      <c r="EC3" s="49" t="str">
        <f t="shared" si="17"/>
        <v>-</v>
      </c>
      <c r="ED3" s="49" t="str">
        <f t="shared" si="17"/>
        <v>-</v>
      </c>
      <c r="EE3" s="49" t="str">
        <f t="shared" si="17"/>
        <v>-</v>
      </c>
      <c r="EF3" s="49" t="str">
        <f t="shared" si="17"/>
        <v>-</v>
      </c>
      <c r="EG3" s="49" t="str">
        <f t="shared" si="17"/>
        <v>-</v>
      </c>
      <c r="EH3" s="49" t="str">
        <f t="shared" si="17"/>
        <v>-</v>
      </c>
      <c r="EI3" s="49" t="str">
        <f t="shared" si="17"/>
        <v>-</v>
      </c>
      <c r="EJ3" s="49" t="str">
        <f t="shared" si="17"/>
        <v>-</v>
      </c>
      <c r="EK3" s="49" t="str">
        <f t="shared" si="17"/>
        <v>-</v>
      </c>
      <c r="EL3" s="49" t="str">
        <f t="shared" si="17"/>
        <v>-</v>
      </c>
      <c r="EM3" s="49" t="str">
        <f t="shared" si="17"/>
        <v>-</v>
      </c>
      <c r="EN3" s="49" t="str">
        <f t="shared" si="17"/>
        <v>-</v>
      </c>
      <c r="EO3" s="49" t="str">
        <f t="shared" si="17"/>
        <v>-</v>
      </c>
      <c r="EP3" s="49" t="str">
        <f t="shared" si="17"/>
        <v>-</v>
      </c>
      <c r="EQ3" s="49" t="str">
        <f t="shared" si="17"/>
        <v>-</v>
      </c>
      <c r="ER3" s="49" t="str">
        <f t="shared" si="17"/>
        <v>-</v>
      </c>
      <c r="ES3" s="49" t="str">
        <f t="shared" si="17"/>
        <v>-</v>
      </c>
      <c r="ET3" s="49" t="str">
        <f t="shared" si="17"/>
        <v>-</v>
      </c>
      <c r="EU3" s="49" t="str">
        <f t="shared" si="17"/>
        <v>-</v>
      </c>
      <c r="EV3" s="49" t="str">
        <f t="shared" si="17"/>
        <v>-</v>
      </c>
      <c r="EW3" s="49" t="str">
        <f t="shared" si="17"/>
        <v>-</v>
      </c>
      <c r="EX3" s="49" t="str">
        <f t="shared" si="17"/>
        <v>-</v>
      </c>
      <c r="EY3" s="49" t="str">
        <f t="shared" si="17"/>
        <v>-</v>
      </c>
      <c r="EZ3" s="49" t="str">
        <f t="shared" si="17"/>
        <v>-</v>
      </c>
      <c r="FA3" s="49" t="str">
        <f t="shared" si="17"/>
        <v>-</v>
      </c>
      <c r="FB3" s="49" t="str">
        <f t="shared" si="17"/>
        <v>-</v>
      </c>
      <c r="FC3" s="49" t="str">
        <f t="shared" ref="FC3:FJ3" si="18">IF(FC$5="",FB$3,IFERROR(MATCH(FC$5,prodArrayNames,0),"-"))</f>
        <v>-</v>
      </c>
      <c r="FD3" s="49" t="str">
        <f t="shared" si="18"/>
        <v>-</v>
      </c>
      <c r="FE3" s="49" t="str">
        <f t="shared" si="18"/>
        <v>-</v>
      </c>
      <c r="FF3" s="49" t="str">
        <f t="shared" si="18"/>
        <v>-</v>
      </c>
      <c r="FG3" s="49" t="str">
        <f t="shared" si="18"/>
        <v>-</v>
      </c>
      <c r="FH3" s="49" t="str">
        <f t="shared" si="18"/>
        <v>-</v>
      </c>
      <c r="FI3" s="49" t="str">
        <f t="shared" si="18"/>
        <v>-</v>
      </c>
      <c r="FJ3" s="49" t="str">
        <f t="shared" si="18"/>
        <v>-</v>
      </c>
      <c r="FK3" s="49" t="str">
        <f t="shared" ref="FK3:FR3" si="19">IF(FK$5="",FJ$3,IFERROR(MATCH(FK$5,prodArrayNames,0),"-"))</f>
        <v>-</v>
      </c>
      <c r="FL3" s="49" t="str">
        <f t="shared" si="19"/>
        <v>-</v>
      </c>
      <c r="FM3" s="49" t="str">
        <f t="shared" si="19"/>
        <v>-</v>
      </c>
      <c r="FN3" s="49" t="str">
        <f t="shared" si="19"/>
        <v>-</v>
      </c>
      <c r="FO3" s="49" t="str">
        <f t="shared" si="19"/>
        <v>-</v>
      </c>
      <c r="FP3" s="49" t="str">
        <f t="shared" si="19"/>
        <v>-</v>
      </c>
      <c r="FQ3" s="49" t="str">
        <f t="shared" si="19"/>
        <v>-</v>
      </c>
      <c r="FR3" s="49" t="str">
        <f t="shared" si="19"/>
        <v>-</v>
      </c>
      <c r="FS3" s="49" t="str">
        <f t="shared" ref="FS3:GP3" si="20">IF(FS$5="",FR$3,IFERROR(MATCH(FS$5,prodArrayNames,0),"-"))</f>
        <v>-</v>
      </c>
      <c r="FT3" s="49" t="str">
        <f t="shared" si="20"/>
        <v>-</v>
      </c>
      <c r="FU3" s="49" t="str">
        <f t="shared" si="20"/>
        <v>-</v>
      </c>
      <c r="FV3" s="49" t="str">
        <f t="shared" si="20"/>
        <v>-</v>
      </c>
      <c r="FW3" s="49" t="str">
        <f t="shared" si="20"/>
        <v>-</v>
      </c>
      <c r="FX3" s="49" t="str">
        <f t="shared" ref="FX3:GE3" si="21">IF(FX$5="",FW$3,IFERROR(MATCH(FX$5,prodArrayNames,0),"-"))</f>
        <v>-</v>
      </c>
      <c r="FY3" s="49" t="str">
        <f t="shared" si="21"/>
        <v>-</v>
      </c>
      <c r="FZ3" s="49" t="str">
        <f t="shared" si="21"/>
        <v>-</v>
      </c>
      <c r="GA3" s="49" t="str">
        <f t="shared" si="21"/>
        <v>-</v>
      </c>
      <c r="GB3" s="49" t="str">
        <f t="shared" si="21"/>
        <v>-</v>
      </c>
      <c r="GC3" s="49" t="str">
        <f t="shared" si="21"/>
        <v>-</v>
      </c>
      <c r="GD3" s="49" t="str">
        <f t="shared" si="21"/>
        <v>-</v>
      </c>
      <c r="GE3" s="49" t="str">
        <f t="shared" si="21"/>
        <v>-</v>
      </c>
      <c r="GF3" s="49" t="str">
        <f t="shared" si="20"/>
        <v>-</v>
      </c>
      <c r="GG3" s="49" t="str">
        <f t="shared" si="20"/>
        <v>-</v>
      </c>
      <c r="GH3" s="49" t="str">
        <f t="shared" si="20"/>
        <v>-</v>
      </c>
      <c r="GI3" s="49" t="str">
        <f t="shared" si="20"/>
        <v>-</v>
      </c>
      <c r="GJ3" s="49" t="str">
        <f t="shared" si="20"/>
        <v>-</v>
      </c>
      <c r="GK3" s="49" t="str">
        <f t="shared" si="20"/>
        <v>-</v>
      </c>
      <c r="GL3" s="49" t="str">
        <f t="shared" si="20"/>
        <v>-</v>
      </c>
      <c r="GM3" s="49" t="str">
        <f t="shared" si="20"/>
        <v>-</v>
      </c>
      <c r="GN3" s="49" t="str">
        <f t="shared" si="20"/>
        <v>-</v>
      </c>
      <c r="GO3" s="49" t="str">
        <f t="shared" si="20"/>
        <v>-</v>
      </c>
      <c r="GP3" s="49" t="str">
        <f t="shared" si="20"/>
        <v>-</v>
      </c>
      <c r="GQ3" s="93"/>
    </row>
    <row r="4" spans="1:200" ht="15" thickBot="1">
      <c r="A4" s="139"/>
      <c r="B4" s="53"/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3"/>
      <c r="Y4" s="53"/>
      <c r="Z4" s="53"/>
      <c r="AA4" s="53"/>
      <c r="AB4" s="53"/>
      <c r="AC4" s="53"/>
      <c r="AD4" s="53"/>
      <c r="AE4" s="53"/>
      <c r="AF4" s="53"/>
      <c r="AG4" s="53"/>
      <c r="AH4" s="53"/>
      <c r="AI4" s="53"/>
      <c r="AJ4" s="53"/>
      <c r="AK4" s="53"/>
      <c r="AL4" s="53"/>
      <c r="AM4" s="53"/>
      <c r="AN4" s="53"/>
      <c r="AO4" s="53"/>
      <c r="AP4" s="53"/>
      <c r="AQ4" s="53"/>
      <c r="AR4" s="53"/>
      <c r="AS4" s="53"/>
      <c r="AT4" s="53"/>
      <c r="AU4" s="53"/>
      <c r="AV4" s="53"/>
      <c r="AW4" s="53"/>
      <c r="AX4" s="53"/>
      <c r="AY4" s="53"/>
      <c r="AZ4" s="53"/>
      <c r="BA4" s="53"/>
      <c r="BB4" s="53"/>
      <c r="BC4" s="53"/>
      <c r="BD4" s="53"/>
      <c r="BE4" s="53"/>
      <c r="BF4" s="53"/>
      <c r="BG4" s="53"/>
      <c r="BH4" s="53"/>
      <c r="BI4" s="53"/>
      <c r="BJ4" s="53"/>
      <c r="BK4" s="53"/>
      <c r="BL4" s="53"/>
      <c r="BM4" s="53"/>
      <c r="BN4" s="53"/>
      <c r="BO4" s="53"/>
      <c r="BP4" s="53"/>
      <c r="BQ4" s="53"/>
      <c r="BR4" s="53"/>
      <c r="BS4" s="53"/>
      <c r="BT4" s="53"/>
      <c r="BU4" s="53"/>
      <c r="BV4" s="53"/>
      <c r="BW4" s="53"/>
      <c r="BX4" s="53"/>
      <c r="BY4" s="53"/>
      <c r="BZ4" s="53"/>
      <c r="CA4" s="53"/>
      <c r="CB4" s="53"/>
      <c r="CC4" s="53"/>
      <c r="CD4" s="53"/>
      <c r="CE4" s="53"/>
      <c r="CF4" s="53"/>
      <c r="CG4" s="53"/>
      <c r="CH4" s="53"/>
      <c r="CI4" s="53"/>
      <c r="CJ4" s="53"/>
      <c r="CK4" s="53"/>
      <c r="CL4" s="53"/>
      <c r="CM4" s="53"/>
      <c r="CN4" s="53"/>
      <c r="CO4" s="53"/>
      <c r="CP4" s="53"/>
      <c r="CQ4" s="53"/>
      <c r="CR4" s="53"/>
      <c r="CS4" s="53"/>
      <c r="CT4" s="53"/>
      <c r="CU4" s="53"/>
      <c r="CV4" s="53"/>
      <c r="CW4" s="53"/>
      <c r="CX4" s="53"/>
      <c r="CY4" s="53"/>
      <c r="CZ4" s="53"/>
      <c r="DA4" s="53"/>
      <c r="DB4" s="53"/>
      <c r="DC4" s="53"/>
      <c r="DD4" s="53"/>
      <c r="DE4" s="53"/>
      <c r="DF4" s="53"/>
      <c r="DG4" s="53"/>
      <c r="DH4" s="53"/>
      <c r="DI4" s="53"/>
      <c r="DJ4" s="53"/>
      <c r="DK4" s="53"/>
      <c r="DL4" s="53"/>
      <c r="DM4" s="53"/>
      <c r="DN4" s="53"/>
      <c r="DO4" s="53"/>
      <c r="DP4" s="53"/>
      <c r="DQ4" s="53"/>
      <c r="DR4" s="53"/>
      <c r="DS4" s="53"/>
      <c r="DT4" s="53"/>
      <c r="DU4" s="53"/>
      <c r="DV4" s="53"/>
      <c r="DW4" s="53"/>
      <c r="DX4" s="53"/>
      <c r="DY4" s="53"/>
      <c r="DZ4" s="53"/>
      <c r="EA4" s="53"/>
      <c r="EB4" s="53"/>
      <c r="EC4" s="53"/>
      <c r="ED4" s="53"/>
      <c r="EE4" s="53"/>
      <c r="EF4" s="53"/>
      <c r="EG4" s="53"/>
      <c r="EH4" s="53"/>
      <c r="EI4" s="53"/>
      <c r="EJ4" s="53"/>
      <c r="EK4" s="53"/>
      <c r="EL4" s="53"/>
      <c r="EM4" s="53"/>
      <c r="EN4" s="53"/>
      <c r="EO4" s="53"/>
      <c r="EP4" s="53"/>
      <c r="EQ4" s="53"/>
      <c r="ER4" s="53"/>
      <c r="ES4" s="53"/>
      <c r="ET4" s="53"/>
      <c r="EU4" s="53"/>
      <c r="EV4" s="53"/>
      <c r="EW4" s="53"/>
      <c r="EX4" s="53"/>
      <c r="EY4" s="53"/>
      <c r="EZ4" s="53"/>
      <c r="FA4" s="53"/>
      <c r="FB4" s="53"/>
      <c r="FC4" s="53"/>
      <c r="FD4" s="53"/>
      <c r="FE4" s="53"/>
      <c r="FF4" s="53"/>
      <c r="FG4" s="53"/>
      <c r="FH4" s="53"/>
      <c r="FI4" s="53"/>
      <c r="FJ4" s="53"/>
      <c r="FK4" s="53"/>
      <c r="FL4" s="53"/>
      <c r="FM4" s="53"/>
      <c r="FN4" s="53"/>
      <c r="FO4" s="53"/>
      <c r="FP4" s="53"/>
      <c r="FQ4" s="53"/>
      <c r="FR4" s="53"/>
      <c r="FS4" s="53"/>
      <c r="FT4" s="53"/>
      <c r="FU4" s="53"/>
      <c r="FV4" s="53"/>
      <c r="FW4" s="53"/>
      <c r="FX4" s="53"/>
      <c r="FY4" s="53"/>
      <c r="FZ4" s="53"/>
      <c r="GA4" s="53"/>
      <c r="GB4" s="53"/>
      <c r="GC4" s="53"/>
      <c r="GD4" s="53"/>
      <c r="GE4" s="53"/>
      <c r="GF4" s="53"/>
      <c r="GG4" s="53"/>
      <c r="GH4" s="53"/>
      <c r="GI4" s="53"/>
      <c r="GJ4" s="53"/>
      <c r="GK4" s="53"/>
      <c r="GL4" s="53"/>
      <c r="GM4" s="53"/>
      <c r="GN4" s="53"/>
      <c r="GO4" s="53"/>
      <c r="GP4" s="53"/>
      <c r="GQ4" s="93"/>
    </row>
    <row r="5" spans="1:200" ht="22.5" customHeight="1" thickTop="1">
      <c r="A5" s="27" t="s">
        <v>89</v>
      </c>
      <c r="B5" s="94" t="s">
        <v>180</v>
      </c>
      <c r="C5" s="94"/>
      <c r="D5" s="94" t="s">
        <v>3908</v>
      </c>
      <c r="E5" s="94" t="s">
        <v>88</v>
      </c>
      <c r="F5" s="94" t="s">
        <v>554</v>
      </c>
      <c r="G5" s="94" t="s">
        <v>563</v>
      </c>
      <c r="H5" s="94" t="s">
        <v>572</v>
      </c>
      <c r="I5" s="94" t="s">
        <v>568</v>
      </c>
      <c r="J5" s="94" t="s">
        <v>576</v>
      </c>
      <c r="K5" s="94" t="s">
        <v>3588</v>
      </c>
      <c r="L5" s="94" t="s">
        <v>3729</v>
      </c>
      <c r="M5" s="94" t="s">
        <v>50</v>
      </c>
      <c r="N5" s="94" t="s">
        <v>558</v>
      </c>
      <c r="O5" s="94" t="s">
        <v>3614</v>
      </c>
      <c r="P5" s="94" t="s">
        <v>565</v>
      </c>
      <c r="Q5" s="94" t="s">
        <v>3615</v>
      </c>
      <c r="R5" s="94" t="s">
        <v>574</v>
      </c>
      <c r="S5" s="94" t="s">
        <v>570</v>
      </c>
      <c r="T5" s="94" t="s">
        <v>579</v>
      </c>
      <c r="U5" s="94" t="s">
        <v>3589</v>
      </c>
      <c r="V5" s="94" t="s">
        <v>3730</v>
      </c>
      <c r="W5" s="94" t="s">
        <v>595</v>
      </c>
      <c r="X5" s="94"/>
      <c r="Y5" s="94" t="s">
        <v>3603</v>
      </c>
      <c r="Z5" s="94"/>
      <c r="AA5" s="94" t="s">
        <v>3686</v>
      </c>
      <c r="AB5" s="94"/>
      <c r="AC5" s="94" t="s">
        <v>4035</v>
      </c>
      <c r="AD5" s="94"/>
      <c r="AE5" s="94" t="s">
        <v>1561</v>
      </c>
      <c r="AF5" s="94" t="s">
        <v>1591</v>
      </c>
      <c r="AG5" s="94" t="s">
        <v>1578</v>
      </c>
      <c r="AH5" s="94" t="s">
        <v>444</v>
      </c>
      <c r="AI5" s="94" t="s">
        <v>1596</v>
      </c>
      <c r="AJ5" s="94" t="s">
        <v>1599</v>
      </c>
      <c r="AK5" s="94" t="s">
        <v>1604</v>
      </c>
      <c r="AL5" s="94"/>
      <c r="AM5" s="94" t="s">
        <v>1606</v>
      </c>
      <c r="AN5" s="94"/>
      <c r="AO5" s="94" t="s">
        <v>4015</v>
      </c>
      <c r="AP5" s="94"/>
      <c r="AQ5" s="94" t="s">
        <v>637</v>
      </c>
      <c r="AR5" s="94"/>
      <c r="AS5" s="94" t="s">
        <v>4432</v>
      </c>
      <c r="AT5" s="94"/>
      <c r="AU5" s="94" t="s">
        <v>1481</v>
      </c>
      <c r="AV5" s="94"/>
      <c r="AW5" s="94" t="s">
        <v>4018</v>
      </c>
      <c r="AX5" s="94"/>
      <c r="AY5" s="94"/>
      <c r="AZ5" s="94" t="s">
        <v>4033</v>
      </c>
      <c r="BA5" s="94" t="s">
        <v>4073</v>
      </c>
      <c r="BB5" s="94"/>
      <c r="BC5" s="94" t="s">
        <v>4072</v>
      </c>
      <c r="BD5" s="94"/>
      <c r="BE5" s="94" t="s">
        <v>4071</v>
      </c>
      <c r="BF5" s="94"/>
      <c r="BG5" s="94" t="s">
        <v>4070</v>
      </c>
      <c r="BH5" s="94"/>
      <c r="BI5" s="94" t="s">
        <v>4069</v>
      </c>
      <c r="BJ5" s="94"/>
      <c r="BK5" s="94" t="s">
        <v>4068</v>
      </c>
      <c r="BL5" s="94"/>
      <c r="BM5" s="94" t="s">
        <v>4067</v>
      </c>
      <c r="BN5" s="94"/>
      <c r="BO5" s="94" t="s">
        <v>4066</v>
      </c>
      <c r="BP5" s="94"/>
      <c r="BQ5" s="94" t="s">
        <v>1644</v>
      </c>
      <c r="BR5" s="94" t="s">
        <v>1672</v>
      </c>
      <c r="BS5" s="94" t="s">
        <v>1569</v>
      </c>
      <c r="BT5" s="94" t="s">
        <v>3105</v>
      </c>
      <c r="BU5" s="94" t="s">
        <v>277</v>
      </c>
      <c r="BV5" s="94"/>
      <c r="BW5" s="94" t="s">
        <v>280</v>
      </c>
      <c r="BX5" s="94"/>
      <c r="BY5" s="94" t="s">
        <v>282</v>
      </c>
      <c r="BZ5" s="94"/>
      <c r="CA5" s="94" t="s">
        <v>284</v>
      </c>
      <c r="CB5" s="94"/>
      <c r="CC5" s="94" t="s">
        <v>287</v>
      </c>
      <c r="CD5" s="94"/>
      <c r="CE5" s="94" t="s">
        <v>289</v>
      </c>
      <c r="CF5" s="94"/>
      <c r="CG5" s="94" t="s">
        <v>292</v>
      </c>
      <c r="CH5" s="94"/>
      <c r="CI5" s="94" t="s">
        <v>351</v>
      </c>
      <c r="CJ5" s="94" t="s">
        <v>297</v>
      </c>
      <c r="CK5" s="94" t="s">
        <v>301</v>
      </c>
      <c r="CL5" s="94" t="s">
        <v>304</v>
      </c>
      <c r="CM5" s="94" t="s">
        <v>307</v>
      </c>
      <c r="CN5" s="94" t="s">
        <v>320</v>
      </c>
      <c r="CO5" s="94" t="s">
        <v>311</v>
      </c>
      <c r="CP5" s="94" t="s">
        <v>314</v>
      </c>
      <c r="CQ5" s="94" t="s">
        <v>317</v>
      </c>
      <c r="CR5" s="94" t="s">
        <v>323</v>
      </c>
      <c r="CS5" s="94" t="s">
        <v>326</v>
      </c>
      <c r="CT5" s="94" t="s">
        <v>363</v>
      </c>
      <c r="CU5" s="94" t="s">
        <v>382</v>
      </c>
      <c r="CV5" s="94" t="s">
        <v>3106</v>
      </c>
      <c r="CW5" s="94" t="s">
        <v>329</v>
      </c>
      <c r="CX5" s="94" t="s">
        <v>403</v>
      </c>
      <c r="CY5" s="94" t="s">
        <v>366</v>
      </c>
      <c r="CZ5" s="94" t="s">
        <v>369</v>
      </c>
      <c r="DA5" s="94" t="s">
        <v>332</v>
      </c>
      <c r="DB5" s="94" t="s">
        <v>372</v>
      </c>
      <c r="DC5" s="94" t="s">
        <v>399</v>
      </c>
      <c r="DD5" s="94" t="s">
        <v>338</v>
      </c>
      <c r="DE5" s="94"/>
      <c r="DF5" s="94" t="s">
        <v>354</v>
      </c>
      <c r="DG5" s="94" t="s">
        <v>357</v>
      </c>
      <c r="DH5" s="94" t="s">
        <v>360</v>
      </c>
      <c r="DI5" s="94" t="s">
        <v>373</v>
      </c>
      <c r="DJ5" s="94" t="s">
        <v>376</v>
      </c>
      <c r="DK5" s="94" t="s">
        <v>388</v>
      </c>
      <c r="DL5" s="94" t="s">
        <v>391</v>
      </c>
      <c r="DM5" s="94" t="s">
        <v>385</v>
      </c>
      <c r="DN5" s="94" t="s">
        <v>393</v>
      </c>
      <c r="DO5" s="94" t="s">
        <v>406</v>
      </c>
      <c r="DP5" s="94" t="s">
        <v>409</v>
      </c>
      <c r="DQ5" s="94" t="s">
        <v>414</v>
      </c>
      <c r="DR5" s="94"/>
      <c r="DS5" s="94" t="s">
        <v>417</v>
      </c>
      <c r="DT5" s="94"/>
      <c r="DU5" s="94" t="s">
        <v>419</v>
      </c>
      <c r="DV5" s="94"/>
      <c r="DW5" s="94" t="s">
        <v>422</v>
      </c>
      <c r="DX5" s="94"/>
      <c r="DY5" s="94" t="s">
        <v>424</v>
      </c>
      <c r="DZ5" s="94"/>
      <c r="EA5" s="94" t="s">
        <v>427</v>
      </c>
      <c r="EB5" s="94"/>
      <c r="EC5" s="94" t="s">
        <v>3889</v>
      </c>
      <c r="ED5" s="94"/>
      <c r="EE5" s="94" t="s">
        <v>3890</v>
      </c>
      <c r="EF5" s="94"/>
      <c r="EG5" s="94" t="s">
        <v>3891</v>
      </c>
      <c r="EH5" s="94"/>
      <c r="EI5" s="94" t="s">
        <v>3892</v>
      </c>
      <c r="EJ5" s="94"/>
      <c r="EK5" s="94" t="s">
        <v>3893</v>
      </c>
      <c r="EL5" s="94"/>
      <c r="EM5" s="94" t="s">
        <v>3894</v>
      </c>
      <c r="EN5" s="94"/>
      <c r="EO5" s="94" t="s">
        <v>3895</v>
      </c>
      <c r="EP5" s="94"/>
      <c r="EQ5" s="94" t="s">
        <v>3896</v>
      </c>
      <c r="ER5" s="94"/>
      <c r="ES5" s="94" t="s">
        <v>3897</v>
      </c>
      <c r="ET5" s="94"/>
      <c r="EU5" s="94" t="s">
        <v>3898</v>
      </c>
      <c r="EV5" s="94"/>
      <c r="EW5" s="94" t="s">
        <v>879</v>
      </c>
      <c r="EX5" s="94" t="s">
        <v>3705</v>
      </c>
      <c r="EY5" s="94"/>
      <c r="EZ5" s="94" t="s">
        <v>3918</v>
      </c>
      <c r="FA5" s="94" t="s">
        <v>759</v>
      </c>
      <c r="FB5" s="94"/>
      <c r="FC5" s="94" t="s">
        <v>436</v>
      </c>
      <c r="FD5" s="94" t="s">
        <v>474</v>
      </c>
      <c r="FE5" s="94"/>
      <c r="FF5" s="94" t="s">
        <v>476</v>
      </c>
      <c r="FG5" s="94"/>
      <c r="FH5" s="94" t="s">
        <v>3942</v>
      </c>
      <c r="FI5" s="94" t="s">
        <v>1247</v>
      </c>
      <c r="FJ5" s="94" t="s">
        <v>1253</v>
      </c>
      <c r="FK5" s="94" t="s">
        <v>3488</v>
      </c>
      <c r="FL5" s="94"/>
      <c r="FM5" s="94" t="str">
        <f>""</f>
        <v/>
      </c>
      <c r="FN5" s="94" t="s">
        <v>3491</v>
      </c>
      <c r="FO5" s="94"/>
      <c r="FP5" s="94"/>
      <c r="FQ5" s="94" t="s">
        <v>3492</v>
      </c>
      <c r="FR5" s="94"/>
      <c r="FS5" s="94"/>
      <c r="FT5" s="94" t="s">
        <v>3495</v>
      </c>
      <c r="FU5" s="94"/>
      <c r="FV5" s="94" t="s">
        <v>3497</v>
      </c>
      <c r="FW5" s="94"/>
      <c r="FX5" s="94" t="s">
        <v>3499</v>
      </c>
      <c r="FY5" s="94"/>
      <c r="FZ5" s="94" t="s">
        <v>3717</v>
      </c>
      <c r="GA5" s="94"/>
      <c r="GB5" s="94" t="s">
        <v>3722</v>
      </c>
      <c r="GC5" s="94"/>
      <c r="GD5" s="94" t="s">
        <v>3560</v>
      </c>
      <c r="GE5" s="94"/>
      <c r="GF5" s="94" t="s">
        <v>3561</v>
      </c>
      <c r="GG5" s="94"/>
      <c r="GH5" s="94" t="s">
        <v>3559</v>
      </c>
      <c r="GI5" s="94"/>
      <c r="GJ5" s="94" t="s">
        <v>252</v>
      </c>
      <c r="GK5" s="94" t="s">
        <v>220</v>
      </c>
      <c r="GL5" s="94"/>
      <c r="GM5" s="94" t="s">
        <v>222</v>
      </c>
      <c r="GN5" s="94"/>
      <c r="GO5" s="94" t="s">
        <v>4075</v>
      </c>
      <c r="GP5" s="94" t="s">
        <v>271</v>
      </c>
      <c r="GQ5" s="93" t="s">
        <v>150</v>
      </c>
      <c r="GR5" s="14"/>
    </row>
    <row r="6" spans="1:200" ht="22.5" customHeight="1">
      <c r="A6" s="27" t="s">
        <v>15</v>
      </c>
      <c r="B6" s="16">
        <v>1</v>
      </c>
      <c r="C6" s="16" t="s">
        <v>173</v>
      </c>
      <c r="D6" s="16">
        <v>0</v>
      </c>
      <c r="E6" s="16">
        <f>F6</f>
        <v>0.63500000000000001</v>
      </c>
      <c r="F6" s="16">
        <f>H6+0.01</f>
        <v>0.63500000000000001</v>
      </c>
      <c r="G6" s="16">
        <f>F6</f>
        <v>0.63500000000000001</v>
      </c>
      <c r="H6" s="16">
        <v>0.625</v>
      </c>
      <c r="I6" s="16">
        <f>F6-0.01</f>
        <v>0.625</v>
      </c>
      <c r="J6" s="16">
        <f>I6-0.05*2</f>
        <v>0.52500000000000002</v>
      </c>
      <c r="K6" s="16">
        <f>J6+0.015*2</f>
        <v>0.55500000000000005</v>
      </c>
      <c r="L6" s="16">
        <v>0.89500000000000002</v>
      </c>
      <c r="M6" s="16">
        <f t="shared" ref="M6:M11" si="22">N6</f>
        <v>2.0099999999999998</v>
      </c>
      <c r="N6" s="16">
        <v>2.0099999999999998</v>
      </c>
      <c r="O6" s="16">
        <f t="shared" ref="O6:O11" si="23">R6+0.01</f>
        <v>2.0099999999999998</v>
      </c>
      <c r="P6" s="16">
        <f t="shared" ref="P6:P11" si="24">N6</f>
        <v>2.0099999999999998</v>
      </c>
      <c r="Q6" s="16">
        <v>2.0099999999999998</v>
      </c>
      <c r="R6" s="16">
        <v>2</v>
      </c>
      <c r="S6" s="16">
        <f t="shared" ref="S6:S11" si="25">N6-0.01</f>
        <v>1.9999999999999998</v>
      </c>
      <c r="T6" s="16">
        <f t="shared" ref="T6:T11" si="26">S6-0.05</f>
        <v>1.9499999999999997</v>
      </c>
      <c r="U6" s="16">
        <f t="shared" ref="U6:U11" si="27">T6+0.015</f>
        <v>1.9649999999999996</v>
      </c>
      <c r="V6" s="16">
        <v>2.0950000000000002</v>
      </c>
      <c r="W6" s="16">
        <v>1</v>
      </c>
      <c r="X6" s="16" t="s">
        <v>3107</v>
      </c>
      <c r="Y6" s="16">
        <v>0</v>
      </c>
      <c r="Z6" s="16" t="s">
        <v>3612</v>
      </c>
      <c r="AA6" s="16">
        <v>2</v>
      </c>
      <c r="AB6" s="16" t="s">
        <v>3689</v>
      </c>
      <c r="AC6" s="16">
        <v>0</v>
      </c>
      <c r="AD6" s="16" t="s">
        <v>1085</v>
      </c>
      <c r="AE6" s="16" t="s">
        <v>1563</v>
      </c>
      <c r="AF6" s="16" t="s">
        <v>1593</v>
      </c>
      <c r="AG6" s="16" t="s">
        <v>11</v>
      </c>
      <c r="AH6" s="16" t="s">
        <v>3108</v>
      </c>
      <c r="AI6" s="16" t="s">
        <v>1593</v>
      </c>
      <c r="AJ6" s="16" t="s">
        <v>1593</v>
      </c>
      <c r="AK6" s="16">
        <v>0</v>
      </c>
      <c r="AL6" s="16" t="s">
        <v>3109</v>
      </c>
      <c r="AM6" s="16">
        <v>0</v>
      </c>
      <c r="AN6" s="16" t="s">
        <v>461</v>
      </c>
      <c r="AO6" s="16">
        <v>0</v>
      </c>
      <c r="AP6" s="16" t="s">
        <v>4012</v>
      </c>
      <c r="AQ6" s="16">
        <v>0</v>
      </c>
      <c r="AR6" s="16" t="s">
        <v>4009</v>
      </c>
      <c r="AS6" s="16">
        <v>1</v>
      </c>
      <c r="AT6" s="16" t="s">
        <v>3110</v>
      </c>
      <c r="AU6" s="16">
        <v>0</v>
      </c>
      <c r="AV6" s="16" t="s">
        <v>1085</v>
      </c>
      <c r="AW6" s="16">
        <f>0</f>
        <v>0</v>
      </c>
      <c r="AX6" s="16" t="s">
        <v>1085</v>
      </c>
      <c r="AY6" s="16">
        <v>2</v>
      </c>
      <c r="AZ6" s="16">
        <v>2</v>
      </c>
      <c r="BA6" s="16">
        <v>1</v>
      </c>
      <c r="BB6" s="16" t="s">
        <v>3111</v>
      </c>
      <c r="BC6" s="16">
        <v>0</v>
      </c>
      <c r="BD6" s="16" t="s">
        <v>655</v>
      </c>
      <c r="BE6" s="16">
        <v>1</v>
      </c>
      <c r="BF6" s="16" t="s">
        <v>3112</v>
      </c>
      <c r="BG6" s="16">
        <v>1</v>
      </c>
      <c r="BH6" s="16" t="s">
        <v>3113</v>
      </c>
      <c r="BI6" s="16">
        <v>1</v>
      </c>
      <c r="BJ6" s="16" t="s">
        <v>3114</v>
      </c>
      <c r="BK6" s="16">
        <v>0</v>
      </c>
      <c r="BL6" s="16" t="s">
        <v>461</v>
      </c>
      <c r="BM6" s="16">
        <v>0</v>
      </c>
      <c r="BN6" s="16" t="s">
        <v>3115</v>
      </c>
      <c r="BO6" s="16">
        <v>0</v>
      </c>
      <c r="BP6" s="16" t="s">
        <v>461</v>
      </c>
      <c r="BQ6" s="16" t="s">
        <v>3116</v>
      </c>
      <c r="BR6" s="16" t="s">
        <v>3116</v>
      </c>
      <c r="BS6" s="16" t="s">
        <v>3117</v>
      </c>
      <c r="BT6" s="16" t="s">
        <v>3118</v>
      </c>
      <c r="BU6" s="16">
        <v>2</v>
      </c>
      <c r="BV6" s="16" t="s">
        <v>136</v>
      </c>
      <c r="BW6" s="16">
        <v>2</v>
      </c>
      <c r="BX6" s="16" t="s">
        <v>136</v>
      </c>
      <c r="BY6" s="16">
        <v>2</v>
      </c>
      <c r="BZ6" s="16" t="s">
        <v>136</v>
      </c>
      <c r="CA6" s="16">
        <v>2</v>
      </c>
      <c r="CB6" s="16" t="s">
        <v>136</v>
      </c>
      <c r="CC6" s="16">
        <v>2</v>
      </c>
      <c r="CD6" s="16" t="s">
        <v>136</v>
      </c>
      <c r="CE6" s="16">
        <v>2</v>
      </c>
      <c r="CF6" s="16" t="s">
        <v>136</v>
      </c>
      <c r="CG6" s="16">
        <v>2</v>
      </c>
      <c r="CH6" s="16" t="s">
        <v>136</v>
      </c>
      <c r="CI6" s="16" t="str">
        <f t="shared" ref="CI6:DQ6" si="28">undefiniert</f>
        <v>[-]</v>
      </c>
      <c r="CJ6" s="16" t="str">
        <f t="shared" si="28"/>
        <v>[-]</v>
      </c>
      <c r="CK6" s="16" t="str">
        <f t="shared" si="28"/>
        <v>[-]</v>
      </c>
      <c r="CL6" s="16" t="str">
        <f t="shared" si="28"/>
        <v>[-]</v>
      </c>
      <c r="CM6" s="16" t="str">
        <f t="shared" si="28"/>
        <v>[-]</v>
      </c>
      <c r="CN6" s="16" t="str">
        <f t="shared" si="28"/>
        <v>[-]</v>
      </c>
      <c r="CO6" s="16" t="str">
        <f t="shared" si="28"/>
        <v>[-]</v>
      </c>
      <c r="CP6" s="16" t="str">
        <f t="shared" si="28"/>
        <v>[-]</v>
      </c>
      <c r="CQ6" s="16" t="str">
        <f t="shared" si="28"/>
        <v>[-]</v>
      </c>
      <c r="CR6" s="16" t="str">
        <f t="shared" si="28"/>
        <v>[-]</v>
      </c>
      <c r="CS6" s="16" t="str">
        <f t="shared" si="28"/>
        <v>[-]</v>
      </c>
      <c r="CT6" s="16" t="str">
        <f t="shared" si="28"/>
        <v>[-]</v>
      </c>
      <c r="CU6" s="16" t="str">
        <f t="shared" si="28"/>
        <v>[-]</v>
      </c>
      <c r="CV6" s="16" t="str">
        <f t="shared" si="28"/>
        <v>[-]</v>
      </c>
      <c r="CW6" s="16" t="str">
        <f t="shared" si="28"/>
        <v>[-]</v>
      </c>
      <c r="CX6" s="16" t="str">
        <f t="shared" si="28"/>
        <v>[-]</v>
      </c>
      <c r="CY6" s="16" t="str">
        <f t="shared" si="28"/>
        <v>[-]</v>
      </c>
      <c r="CZ6" s="16" t="str">
        <f t="shared" si="28"/>
        <v>[-]</v>
      </c>
      <c r="DA6" s="16" t="str">
        <f t="shared" si="28"/>
        <v>[-]</v>
      </c>
      <c r="DB6" s="16" t="str">
        <f t="shared" si="28"/>
        <v>[-]</v>
      </c>
      <c r="DC6" s="16" t="str">
        <f t="shared" si="28"/>
        <v>[-]</v>
      </c>
      <c r="DD6" s="16" t="str">
        <f t="shared" si="28"/>
        <v>[-]</v>
      </c>
      <c r="DE6" s="16" t="s">
        <v>136</v>
      </c>
      <c r="DF6" s="16" t="str">
        <f t="shared" si="28"/>
        <v>[-]</v>
      </c>
      <c r="DG6" s="16" t="str">
        <f t="shared" si="28"/>
        <v>[-]</v>
      </c>
      <c r="DH6" s="16" t="str">
        <f t="shared" si="28"/>
        <v>[-]</v>
      </c>
      <c r="DI6" s="16" t="str">
        <f t="shared" si="28"/>
        <v>[-]</v>
      </c>
      <c r="DJ6" s="16" t="str">
        <f t="shared" si="28"/>
        <v>[-]</v>
      </c>
      <c r="DK6" s="16" t="str">
        <f t="shared" si="28"/>
        <v>[-]</v>
      </c>
      <c r="DL6" s="16" t="str">
        <f t="shared" si="28"/>
        <v>[-]</v>
      </c>
      <c r="DM6" s="16" t="str">
        <f t="shared" si="28"/>
        <v>[-]</v>
      </c>
      <c r="DN6" s="16" t="str">
        <f t="shared" si="28"/>
        <v>[-]</v>
      </c>
      <c r="DO6" s="16" t="str">
        <f t="shared" si="28"/>
        <v>[-]</v>
      </c>
      <c r="DP6" s="16" t="str">
        <f t="shared" si="28"/>
        <v>[-]</v>
      </c>
      <c r="DQ6" s="16" t="str">
        <f t="shared" si="28"/>
        <v>[-]</v>
      </c>
      <c r="DR6" s="16" t="s">
        <v>136</v>
      </c>
      <c r="DS6" s="16" t="str">
        <f>undefiniert</f>
        <v>[-]</v>
      </c>
      <c r="DT6" s="16" t="s">
        <v>136</v>
      </c>
      <c r="DU6" s="16" t="str">
        <f>undefiniert</f>
        <v>[-]</v>
      </c>
      <c r="DV6" s="16" t="s">
        <v>136</v>
      </c>
      <c r="DW6" s="16" t="str">
        <f>undefiniert</f>
        <v>[-]</v>
      </c>
      <c r="DX6" s="16" t="s">
        <v>136</v>
      </c>
      <c r="DY6" s="16" t="str">
        <f>undefiniert</f>
        <v>[-]</v>
      </c>
      <c r="DZ6" s="16" t="s">
        <v>136</v>
      </c>
      <c r="EA6" s="16" t="str">
        <f>undefiniert</f>
        <v>[-]</v>
      </c>
      <c r="EB6" s="16" t="s">
        <v>136</v>
      </c>
      <c r="EC6" s="16">
        <v>2</v>
      </c>
      <c r="ED6" s="16" t="s">
        <v>136</v>
      </c>
      <c r="EE6" s="16">
        <v>2</v>
      </c>
      <c r="EF6" s="16" t="s">
        <v>136</v>
      </c>
      <c r="EG6" s="16">
        <v>2</v>
      </c>
      <c r="EH6" s="16" t="s">
        <v>136</v>
      </c>
      <c r="EI6" s="16">
        <v>2</v>
      </c>
      <c r="EJ6" s="16" t="s">
        <v>136</v>
      </c>
      <c r="EK6" s="16">
        <v>2</v>
      </c>
      <c r="EL6" s="16" t="s">
        <v>136</v>
      </c>
      <c r="EM6" s="16">
        <v>2</v>
      </c>
      <c r="EN6" s="16" t="s">
        <v>136</v>
      </c>
      <c r="EO6" s="16">
        <v>2</v>
      </c>
      <c r="EP6" s="16" t="s">
        <v>136</v>
      </c>
      <c r="EQ6" s="16">
        <v>2</v>
      </c>
      <c r="ER6" s="16" t="s">
        <v>136</v>
      </c>
      <c r="ES6" s="16">
        <v>2</v>
      </c>
      <c r="ET6" s="16" t="s">
        <v>136</v>
      </c>
      <c r="EU6" s="16">
        <v>2</v>
      </c>
      <c r="EV6" s="16" t="s">
        <v>136</v>
      </c>
      <c r="EW6" s="16" t="s">
        <v>438</v>
      </c>
      <c r="EX6" s="16">
        <v>0</v>
      </c>
      <c r="EY6" s="16" t="s">
        <v>1085</v>
      </c>
      <c r="EZ6" s="16" t="s">
        <v>105</v>
      </c>
      <c r="FA6" s="16" t="s">
        <v>3119</v>
      </c>
      <c r="FB6" s="16" t="s">
        <v>3120</v>
      </c>
      <c r="FC6" s="16" t="s">
        <v>3121</v>
      </c>
      <c r="FD6" s="16">
        <v>0</v>
      </c>
      <c r="FE6" s="16" t="s">
        <v>3155</v>
      </c>
      <c r="FF6" s="16" t="s">
        <v>1198</v>
      </c>
      <c r="FG6" s="16" t="s">
        <v>3124</v>
      </c>
      <c r="FH6" s="16" t="s">
        <v>1198</v>
      </c>
      <c r="FI6" s="16">
        <v>8.0000000000000002E-3</v>
      </c>
      <c r="FJ6" s="16">
        <v>8.0000000000000002E-3</v>
      </c>
      <c r="FK6" s="16">
        <v>0</v>
      </c>
      <c r="FL6" s="16" t="s">
        <v>3552</v>
      </c>
      <c r="FM6" s="16">
        <v>1</v>
      </c>
      <c r="FN6" s="16">
        <v>0</v>
      </c>
      <c r="FO6" s="16" t="s">
        <v>3552</v>
      </c>
      <c r="FP6" s="16">
        <v>1</v>
      </c>
      <c r="FQ6" s="16">
        <v>0</v>
      </c>
      <c r="FR6" s="16" t="s">
        <v>3552</v>
      </c>
      <c r="FS6" s="16">
        <v>1</v>
      </c>
      <c r="FT6" s="16">
        <v>1</v>
      </c>
      <c r="FU6" s="16" t="s">
        <v>2641</v>
      </c>
      <c r="FV6" s="16">
        <v>1</v>
      </c>
      <c r="FW6" s="16" t="s">
        <v>2641</v>
      </c>
      <c r="FX6" s="16">
        <v>0</v>
      </c>
      <c r="FY6" s="16" t="s">
        <v>1085</v>
      </c>
      <c r="FZ6" s="16">
        <v>0</v>
      </c>
      <c r="GA6" s="16" t="s">
        <v>1085</v>
      </c>
      <c r="GB6" s="16">
        <v>0</v>
      </c>
      <c r="GC6" s="16" t="s">
        <v>1085</v>
      </c>
      <c r="GD6" s="16">
        <v>0</v>
      </c>
      <c r="GE6" s="16" t="s">
        <v>1085</v>
      </c>
      <c r="GF6" s="16">
        <v>0</v>
      </c>
      <c r="GG6" s="16" t="s">
        <v>1085</v>
      </c>
      <c r="GH6" s="16">
        <v>0</v>
      </c>
      <c r="GI6" s="16" t="s">
        <v>3085</v>
      </c>
      <c r="GJ6" s="16" t="s">
        <v>254</v>
      </c>
      <c r="GK6" s="16">
        <v>2</v>
      </c>
      <c r="GL6" s="16" t="s">
        <v>3090</v>
      </c>
      <c r="GM6" s="16">
        <v>100</v>
      </c>
      <c r="GN6" s="16" t="s">
        <v>3086</v>
      </c>
      <c r="GO6" s="16">
        <v>1</v>
      </c>
      <c r="GP6" s="16">
        <v>0</v>
      </c>
      <c r="GQ6" s="93" t="s">
        <v>91</v>
      </c>
    </row>
    <row r="7" spans="1:200" ht="22.5" customHeight="1">
      <c r="A7" s="27"/>
      <c r="B7" s="16">
        <v>4</v>
      </c>
      <c r="C7" s="16" t="s">
        <v>178</v>
      </c>
      <c r="D7" s="16">
        <v>1</v>
      </c>
      <c r="E7" s="16">
        <f t="shared" ref="E7:E20" si="29">F7</f>
        <v>0.76</v>
      </c>
      <c r="F7" s="16">
        <f t="shared" ref="F7:F20" si="30">H7+0.01</f>
        <v>0.76</v>
      </c>
      <c r="G7" s="16">
        <f t="shared" ref="G7:G20" si="31">F7</f>
        <v>0.76</v>
      </c>
      <c r="H7" s="16">
        <v>0.75</v>
      </c>
      <c r="I7" s="16">
        <f t="shared" ref="I7:I20" si="32">F7-0.01</f>
        <v>0.75</v>
      </c>
      <c r="J7" s="16">
        <f t="shared" ref="J7:J20" si="33">I7-0.05*2</f>
        <v>0.65</v>
      </c>
      <c r="K7" s="16">
        <f t="shared" ref="K7:K20" si="34">J7+0.015*2</f>
        <v>0.68</v>
      </c>
      <c r="L7" s="16">
        <v>0.995</v>
      </c>
      <c r="M7" s="16">
        <f t="shared" si="22"/>
        <v>2.1349999999999998</v>
      </c>
      <c r="N7" s="16">
        <v>2.1349999999999998</v>
      </c>
      <c r="O7" s="16">
        <f t="shared" si="23"/>
        <v>2.1349999999999998</v>
      </c>
      <c r="P7" s="16">
        <f t="shared" si="24"/>
        <v>2.1349999999999998</v>
      </c>
      <c r="Q7" s="16">
        <v>2.1349999999999998</v>
      </c>
      <c r="R7" s="16">
        <v>2.125</v>
      </c>
      <c r="S7" s="16">
        <f t="shared" si="25"/>
        <v>2.125</v>
      </c>
      <c r="T7" s="16">
        <f t="shared" si="26"/>
        <v>2.0750000000000002</v>
      </c>
      <c r="U7" s="16">
        <f t="shared" si="27"/>
        <v>2.0900000000000003</v>
      </c>
      <c r="V7" s="16">
        <v>2.1949999999999998</v>
      </c>
      <c r="W7" s="16">
        <v>2</v>
      </c>
      <c r="X7" s="16" t="s">
        <v>3758</v>
      </c>
      <c r="Y7" s="16">
        <v>1</v>
      </c>
      <c r="Z7" s="16" t="s">
        <v>3613</v>
      </c>
      <c r="AA7" s="16">
        <v>4</v>
      </c>
      <c r="AB7" s="16" t="s">
        <v>3690</v>
      </c>
      <c r="AC7" s="16">
        <v>1</v>
      </c>
      <c r="AD7" s="16" t="s">
        <v>4037</v>
      </c>
      <c r="AE7" s="16" t="s">
        <v>3125</v>
      </c>
      <c r="AF7" s="16" t="s">
        <v>3126</v>
      </c>
      <c r="AG7" s="16" t="s">
        <v>3127</v>
      </c>
      <c r="AH7" s="16" t="s">
        <v>3128</v>
      </c>
      <c r="AI7" s="16" t="s">
        <v>3129</v>
      </c>
      <c r="AJ7" s="16" t="s">
        <v>3130</v>
      </c>
      <c r="AK7" s="16">
        <v>1</v>
      </c>
      <c r="AL7" s="16" t="s">
        <v>3131</v>
      </c>
      <c r="AM7" s="16">
        <v>1</v>
      </c>
      <c r="AN7" s="16" t="s">
        <v>3132</v>
      </c>
      <c r="AO7" s="16">
        <v>3</v>
      </c>
      <c r="AP7" s="16" t="s">
        <v>4013</v>
      </c>
      <c r="AQ7" s="16">
        <v>1</v>
      </c>
      <c r="AR7" s="16" t="s">
        <v>636</v>
      </c>
      <c r="AS7" s="16">
        <v>2</v>
      </c>
      <c r="AT7" s="16" t="s">
        <v>3133</v>
      </c>
      <c r="AU7" s="16">
        <v>2</v>
      </c>
      <c r="AV7" s="16" t="s">
        <v>4020</v>
      </c>
      <c r="AW7" s="16">
        <v>1</v>
      </c>
      <c r="AX7" s="16" t="s">
        <v>4021</v>
      </c>
      <c r="AY7" s="16">
        <v>4</v>
      </c>
      <c r="AZ7" s="16">
        <v>3</v>
      </c>
      <c r="BA7" s="16">
        <v>2</v>
      </c>
      <c r="BB7" s="16" t="s">
        <v>3134</v>
      </c>
      <c r="BC7" s="16">
        <v>1</v>
      </c>
      <c r="BD7" s="16" t="s">
        <v>3124</v>
      </c>
      <c r="BE7" s="16">
        <v>2</v>
      </c>
      <c r="BF7" s="16" t="s">
        <v>3135</v>
      </c>
      <c r="BG7" s="16">
        <v>2</v>
      </c>
      <c r="BH7" s="16" t="s">
        <v>3136</v>
      </c>
      <c r="BI7" s="16">
        <v>2</v>
      </c>
      <c r="BJ7" s="16" t="s">
        <v>3137</v>
      </c>
      <c r="BK7" s="16">
        <v>1</v>
      </c>
      <c r="BL7" s="16" t="s">
        <v>3138</v>
      </c>
      <c r="BM7" s="16">
        <v>1</v>
      </c>
      <c r="BN7" s="16" t="s">
        <v>3139</v>
      </c>
      <c r="BO7" s="16">
        <v>-1</v>
      </c>
      <c r="BP7" s="16" t="s">
        <v>3140</v>
      </c>
      <c r="BQ7" s="16" t="s">
        <v>3141</v>
      </c>
      <c r="BR7" s="16" t="s">
        <v>3141</v>
      </c>
      <c r="BS7" s="16" t="s">
        <v>3142</v>
      </c>
      <c r="BT7" s="16" t="s">
        <v>3143</v>
      </c>
      <c r="BU7" s="16">
        <v>1</v>
      </c>
      <c r="BV7" s="16" t="s">
        <v>3144</v>
      </c>
      <c r="BW7" s="16">
        <v>1</v>
      </c>
      <c r="BX7" s="16" t="s">
        <v>3144</v>
      </c>
      <c r="BY7" s="16">
        <v>1</v>
      </c>
      <c r="BZ7" s="16" t="s">
        <v>3144</v>
      </c>
      <c r="CA7" s="16">
        <v>1</v>
      </c>
      <c r="CB7" s="16" t="s">
        <v>3144</v>
      </c>
      <c r="CC7" s="16">
        <v>1</v>
      </c>
      <c r="CD7" s="16" t="s">
        <v>3144</v>
      </c>
      <c r="CE7" s="16">
        <v>1</v>
      </c>
      <c r="CF7" s="16" t="s">
        <v>3144</v>
      </c>
      <c r="CG7" s="16">
        <v>1</v>
      </c>
      <c r="CH7" s="16" t="s">
        <v>3144</v>
      </c>
      <c r="CI7" s="16" t="s">
        <v>3145</v>
      </c>
      <c r="CJ7" s="16" t="s">
        <v>3145</v>
      </c>
      <c r="CK7" s="16" t="s">
        <v>3145</v>
      </c>
      <c r="CL7" s="16" t="s">
        <v>3145</v>
      </c>
      <c r="CM7" s="16" t="s">
        <v>3145</v>
      </c>
      <c r="CN7" s="16" t="s">
        <v>3144</v>
      </c>
      <c r="CO7" s="16" t="s">
        <v>3145</v>
      </c>
      <c r="CP7" s="16" t="s">
        <v>3145</v>
      </c>
      <c r="CQ7" s="16" t="s">
        <v>3145</v>
      </c>
      <c r="CR7" s="16" t="s">
        <v>3144</v>
      </c>
      <c r="CS7" s="16" t="s">
        <v>3144</v>
      </c>
      <c r="CT7" s="16" t="s">
        <v>3145</v>
      </c>
      <c r="CU7" s="16" t="s">
        <v>3144</v>
      </c>
      <c r="CV7" s="16" t="s">
        <v>3144</v>
      </c>
      <c r="CW7" s="16" t="s">
        <v>3144</v>
      </c>
      <c r="CX7" s="16" t="s">
        <v>3145</v>
      </c>
      <c r="CY7" s="16" t="s">
        <v>3144</v>
      </c>
      <c r="CZ7" s="16" t="s">
        <v>3144</v>
      </c>
      <c r="DA7" s="16" t="s">
        <v>3145</v>
      </c>
      <c r="DB7" s="16" t="s">
        <v>3145</v>
      </c>
      <c r="DC7" s="16" t="s">
        <v>3145</v>
      </c>
      <c r="DD7" s="16" t="s">
        <v>3192</v>
      </c>
      <c r="DE7" s="16" t="s">
        <v>3145</v>
      </c>
      <c r="DF7" s="16" t="s">
        <v>3144</v>
      </c>
      <c r="DG7" s="16" t="s">
        <v>3144</v>
      </c>
      <c r="DH7" s="16" t="s">
        <v>3144</v>
      </c>
      <c r="DI7" s="16" t="s">
        <v>3145</v>
      </c>
      <c r="DJ7" s="16" t="s">
        <v>3144</v>
      </c>
      <c r="DK7" s="16" t="s">
        <v>3144</v>
      </c>
      <c r="DL7" s="16" t="s">
        <v>3144</v>
      </c>
      <c r="DM7" s="16" t="s">
        <v>3144</v>
      </c>
      <c r="DN7" s="16" t="s">
        <v>3144</v>
      </c>
      <c r="DO7" s="16" t="s">
        <v>3145</v>
      </c>
      <c r="DP7" s="16" t="s">
        <v>3145</v>
      </c>
      <c r="DQ7" s="16" t="s">
        <v>3146</v>
      </c>
      <c r="DR7" s="16" t="s">
        <v>103</v>
      </c>
      <c r="DS7" s="16" t="s">
        <v>3146</v>
      </c>
      <c r="DT7" s="16" t="s">
        <v>103</v>
      </c>
      <c r="DU7" s="16" t="s">
        <v>3147</v>
      </c>
      <c r="DV7" s="16" t="s">
        <v>3148</v>
      </c>
      <c r="DW7" s="16" t="s">
        <v>3147</v>
      </c>
      <c r="DX7" s="16" t="s">
        <v>3148</v>
      </c>
      <c r="DY7" s="16" t="s">
        <v>3149</v>
      </c>
      <c r="DZ7" s="16" t="s">
        <v>3150</v>
      </c>
      <c r="EA7" s="16" t="s">
        <v>86</v>
      </c>
      <c r="EB7" s="16" t="s">
        <v>3151</v>
      </c>
      <c r="EC7" s="16">
        <v>1</v>
      </c>
      <c r="ED7" s="16" t="s">
        <v>3144</v>
      </c>
      <c r="EE7" s="16">
        <v>1</v>
      </c>
      <c r="EF7" s="16" t="s">
        <v>3144</v>
      </c>
      <c r="EG7" s="16">
        <v>1</v>
      </c>
      <c r="EH7" s="16" t="s">
        <v>3144</v>
      </c>
      <c r="EI7" s="16">
        <v>1</v>
      </c>
      <c r="EJ7" s="16" t="s">
        <v>3144</v>
      </c>
      <c r="EK7" s="16">
        <v>1</v>
      </c>
      <c r="EL7" s="16" t="s">
        <v>3144</v>
      </c>
      <c r="EM7" s="16">
        <v>1</v>
      </c>
      <c r="EN7" s="16" t="s">
        <v>3144</v>
      </c>
      <c r="EO7" s="16">
        <v>1</v>
      </c>
      <c r="EP7" s="16" t="s">
        <v>3144</v>
      </c>
      <c r="EQ7" s="16">
        <v>1</v>
      </c>
      <c r="ER7" s="16" t="s">
        <v>3144</v>
      </c>
      <c r="ES7" s="16">
        <v>1</v>
      </c>
      <c r="ET7" s="16" t="s">
        <v>3144</v>
      </c>
      <c r="EU7" s="16">
        <v>1</v>
      </c>
      <c r="EV7" s="16" t="s">
        <v>3144</v>
      </c>
      <c r="EW7" s="16" t="s">
        <v>3152</v>
      </c>
      <c r="EX7" s="16">
        <v>1</v>
      </c>
      <c r="EY7" s="16" t="s">
        <v>3714</v>
      </c>
      <c r="EZ7" s="16" t="s">
        <v>3923</v>
      </c>
      <c r="FA7" s="16" t="str">
        <f>"UZ"</f>
        <v>UZ</v>
      </c>
      <c r="FB7" s="16" t="s">
        <v>3153</v>
      </c>
      <c r="FC7" s="16" t="s">
        <v>3154</v>
      </c>
      <c r="FD7" s="16">
        <v>1</v>
      </c>
      <c r="FE7" s="16" t="s">
        <v>3123</v>
      </c>
      <c r="FF7" s="16" t="s">
        <v>478</v>
      </c>
      <c r="FG7" s="16" t="s">
        <v>655</v>
      </c>
      <c r="FH7" s="16" t="s">
        <v>478</v>
      </c>
      <c r="FI7" s="16">
        <v>8.9999999999999993E-3</v>
      </c>
      <c r="FJ7" s="16">
        <v>8.9999999999999993E-3</v>
      </c>
      <c r="FK7" s="16">
        <v>1</v>
      </c>
      <c r="FL7" s="16" t="s">
        <v>3553</v>
      </c>
      <c r="FM7" s="16">
        <v>2</v>
      </c>
      <c r="FN7" s="16">
        <v>1</v>
      </c>
      <c r="FO7" s="16" t="s">
        <v>3554</v>
      </c>
      <c r="FP7" s="16">
        <v>5</v>
      </c>
      <c r="FQ7" s="16">
        <v>1</v>
      </c>
      <c r="FR7" s="16" t="s">
        <v>3554</v>
      </c>
      <c r="FS7" s="16">
        <v>5</v>
      </c>
      <c r="FT7" s="16">
        <v>2</v>
      </c>
      <c r="FU7" s="16" t="s">
        <v>2645</v>
      </c>
      <c r="FV7" s="16">
        <v>2</v>
      </c>
      <c r="FW7" s="16" t="s">
        <v>2645</v>
      </c>
      <c r="FX7" s="16">
        <v>1</v>
      </c>
      <c r="FY7" s="16" t="s">
        <v>2641</v>
      </c>
      <c r="FZ7" s="16">
        <v>1</v>
      </c>
      <c r="GA7" s="16" t="s">
        <v>3718</v>
      </c>
      <c r="GB7" s="16">
        <v>1</v>
      </c>
      <c r="GC7" s="16" t="s">
        <v>3718</v>
      </c>
      <c r="GD7" s="16">
        <v>1</v>
      </c>
      <c r="GE7" s="16" t="s">
        <v>3087</v>
      </c>
      <c r="GF7" s="16">
        <v>1</v>
      </c>
      <c r="GG7" s="16" t="s">
        <v>3087</v>
      </c>
      <c r="GH7" s="16">
        <v>1</v>
      </c>
      <c r="GI7" s="16" t="s">
        <v>3088</v>
      </c>
      <c r="GJ7" s="16" t="s">
        <v>3089</v>
      </c>
      <c r="GK7" s="16">
        <v>4</v>
      </c>
      <c r="GL7" s="16" t="s">
        <v>3094</v>
      </c>
      <c r="GM7" s="16">
        <v>200</v>
      </c>
      <c r="GN7" s="16" t="s">
        <v>3091</v>
      </c>
      <c r="GO7" s="16">
        <v>2</v>
      </c>
      <c r="GP7" s="16">
        <v>1</v>
      </c>
      <c r="GQ7" s="32"/>
    </row>
    <row r="8" spans="1:200" ht="22.5" customHeight="1">
      <c r="D8" s="16">
        <v>2</v>
      </c>
      <c r="E8" s="16">
        <f t="shared" si="29"/>
        <v>0.88500000000000001</v>
      </c>
      <c r="F8" s="16">
        <f t="shared" si="30"/>
        <v>0.88500000000000001</v>
      </c>
      <c r="G8" s="16">
        <f t="shared" si="31"/>
        <v>0.88500000000000001</v>
      </c>
      <c r="H8" s="16">
        <v>0.875</v>
      </c>
      <c r="I8" s="16">
        <f t="shared" si="32"/>
        <v>0.875</v>
      </c>
      <c r="J8" s="16">
        <f t="shared" si="33"/>
        <v>0.77500000000000002</v>
      </c>
      <c r="K8" s="16">
        <f t="shared" si="34"/>
        <v>0.80500000000000005</v>
      </c>
      <c r="L8" s="16">
        <v>1.0449999999999999</v>
      </c>
      <c r="M8" s="16">
        <f t="shared" si="22"/>
        <v>2.2599999999999998</v>
      </c>
      <c r="N8" s="16">
        <v>2.2599999999999998</v>
      </c>
      <c r="O8" s="16">
        <f t="shared" si="23"/>
        <v>2.2599999999999998</v>
      </c>
      <c r="P8" s="16">
        <f t="shared" si="24"/>
        <v>2.2599999999999998</v>
      </c>
      <c r="Q8" s="16">
        <v>2.25</v>
      </c>
      <c r="R8" s="16">
        <v>2.25</v>
      </c>
      <c r="S8" s="16">
        <f t="shared" si="25"/>
        <v>2.25</v>
      </c>
      <c r="T8" s="16">
        <f t="shared" si="26"/>
        <v>2.2000000000000002</v>
      </c>
      <c r="U8" s="16">
        <f t="shared" si="27"/>
        <v>2.2150000000000003</v>
      </c>
      <c r="V8" s="16">
        <v>2.2949999999999999</v>
      </c>
      <c r="W8" s="16">
        <v>4</v>
      </c>
      <c r="X8" s="16" t="s">
        <v>3156</v>
      </c>
      <c r="Y8" s="16">
        <v>2</v>
      </c>
      <c r="Z8" s="16" t="s">
        <v>3155</v>
      </c>
      <c r="AA8" s="16">
        <v>8</v>
      </c>
      <c r="AB8" s="16" t="s">
        <v>3692</v>
      </c>
      <c r="AC8" s="16">
        <v>2</v>
      </c>
      <c r="AD8" s="16" t="s">
        <v>4038</v>
      </c>
      <c r="AE8" s="16" t="s">
        <v>3157</v>
      </c>
      <c r="AF8" s="16" t="s">
        <v>2199</v>
      </c>
      <c r="AG8" s="16" t="s">
        <v>3158</v>
      </c>
      <c r="AH8" s="16" t="s">
        <v>3159</v>
      </c>
      <c r="AI8" s="16" t="s">
        <v>3160</v>
      </c>
      <c r="AJ8" s="16" t="s">
        <v>36</v>
      </c>
      <c r="AK8" s="16">
        <v>2</v>
      </c>
      <c r="AL8" s="16" t="s">
        <v>3161</v>
      </c>
      <c r="AM8" s="16">
        <v>2</v>
      </c>
      <c r="AN8" s="16" t="s">
        <v>3162</v>
      </c>
      <c r="AQ8" s="16">
        <v>2</v>
      </c>
      <c r="AR8" s="16" t="s">
        <v>4008</v>
      </c>
      <c r="AS8" s="16">
        <v>3</v>
      </c>
      <c r="AT8" s="16" t="s">
        <v>3163</v>
      </c>
      <c r="AU8" s="16">
        <v>1</v>
      </c>
      <c r="AV8" s="16" t="s">
        <v>4019</v>
      </c>
      <c r="AW8" s="16">
        <v>2</v>
      </c>
      <c r="AX8" s="16" t="s">
        <v>4022</v>
      </c>
      <c r="AY8" s="16">
        <v>3</v>
      </c>
      <c r="AZ8" s="16">
        <v>4</v>
      </c>
      <c r="BC8" s="16">
        <v>2</v>
      </c>
      <c r="BD8" s="16" t="s">
        <v>3164</v>
      </c>
      <c r="BI8" s="16">
        <v>3</v>
      </c>
      <c r="BJ8" s="16" t="s">
        <v>3165</v>
      </c>
      <c r="BK8" s="16">
        <v>2</v>
      </c>
      <c r="BL8" s="16" t="s">
        <v>1884</v>
      </c>
      <c r="BO8" s="16">
        <v>2</v>
      </c>
      <c r="BP8" s="16" t="s">
        <v>1884</v>
      </c>
      <c r="BQ8" s="16" t="s">
        <v>3166</v>
      </c>
      <c r="BR8" s="16" t="s">
        <v>3166</v>
      </c>
      <c r="BS8" s="16" t="s">
        <v>3167</v>
      </c>
      <c r="BT8" s="16" t="s">
        <v>3168</v>
      </c>
      <c r="BU8" s="16">
        <v>0</v>
      </c>
      <c r="BV8" s="16" t="s">
        <v>3145</v>
      </c>
      <c r="BW8" s="16">
        <v>0</v>
      </c>
      <c r="BX8" s="16" t="s">
        <v>3145</v>
      </c>
      <c r="BY8" s="16">
        <v>0</v>
      </c>
      <c r="BZ8" s="16" t="s">
        <v>3145</v>
      </c>
      <c r="CA8" s="16">
        <v>0</v>
      </c>
      <c r="CB8" s="16" t="s">
        <v>3145</v>
      </c>
      <c r="CC8" s="16">
        <v>0</v>
      </c>
      <c r="CD8" s="16" t="s">
        <v>3145</v>
      </c>
      <c r="CE8" s="16">
        <v>0</v>
      </c>
      <c r="CF8" s="16" t="s">
        <v>3145</v>
      </c>
      <c r="CG8" s="16">
        <v>0</v>
      </c>
      <c r="CH8" s="16" t="s">
        <v>3145</v>
      </c>
      <c r="CI8" s="16" t="s">
        <v>3169</v>
      </c>
      <c r="CJ8" s="16" t="s">
        <v>3170</v>
      </c>
      <c r="CK8" s="16" t="s">
        <v>3171</v>
      </c>
      <c r="CL8" s="16" t="s">
        <v>3172</v>
      </c>
      <c r="CM8" s="16" t="str">
        <f>"0,8"</f>
        <v>0,8</v>
      </c>
      <c r="CN8" s="16" t="s">
        <v>3145</v>
      </c>
      <c r="CO8" s="16" t="s">
        <v>3173</v>
      </c>
      <c r="CP8" s="16" t="s">
        <v>3174</v>
      </c>
      <c r="CQ8" s="16" t="s">
        <v>3175</v>
      </c>
      <c r="CR8" s="16" t="s">
        <v>3145</v>
      </c>
      <c r="CS8" s="16" t="s">
        <v>3145</v>
      </c>
      <c r="CT8" s="16" t="s">
        <v>63</v>
      </c>
      <c r="CU8" s="16" t="s">
        <v>3145</v>
      </c>
      <c r="CV8" s="16" t="s">
        <v>3145</v>
      </c>
      <c r="CW8" s="16" t="s">
        <v>3145</v>
      </c>
      <c r="CX8" s="16" t="s">
        <v>3176</v>
      </c>
      <c r="CY8" s="16" t="s">
        <v>3145</v>
      </c>
      <c r="CZ8" s="16" t="s">
        <v>3145</v>
      </c>
      <c r="DA8" s="16" t="s">
        <v>3177</v>
      </c>
      <c r="DB8" s="16" t="s">
        <v>3178</v>
      </c>
      <c r="DC8" s="16" t="s">
        <v>88</v>
      </c>
      <c r="DD8" s="16" t="s">
        <v>3915</v>
      </c>
      <c r="DE8" s="16" t="s">
        <v>2955</v>
      </c>
      <c r="DF8" s="16" t="s">
        <v>3145</v>
      </c>
      <c r="DG8" s="16" t="s">
        <v>3145</v>
      </c>
      <c r="DH8" s="16" t="s">
        <v>3145</v>
      </c>
      <c r="DI8" s="16" t="s">
        <v>3179</v>
      </c>
      <c r="DJ8" s="16" t="s">
        <v>3145</v>
      </c>
      <c r="DK8" s="16" t="s">
        <v>3145</v>
      </c>
      <c r="DL8" s="16" t="s">
        <v>3145</v>
      </c>
      <c r="DM8" s="16" t="s">
        <v>3145</v>
      </c>
      <c r="DN8" s="16" t="s">
        <v>3145</v>
      </c>
      <c r="DO8" s="16" t="s">
        <v>3180</v>
      </c>
      <c r="DP8" s="16" t="s">
        <v>3181</v>
      </c>
      <c r="DQ8" s="16" t="s">
        <v>1553</v>
      </c>
      <c r="DR8" s="16" t="s">
        <v>1549</v>
      </c>
      <c r="DS8" s="16" t="s">
        <v>1553</v>
      </c>
      <c r="DT8" s="16" t="s">
        <v>1549</v>
      </c>
      <c r="DU8" s="16" t="s">
        <v>3182</v>
      </c>
      <c r="DV8" s="16" t="s">
        <v>3183</v>
      </c>
      <c r="DW8" s="16" t="s">
        <v>3182</v>
      </c>
      <c r="DX8" s="16" t="s">
        <v>3183</v>
      </c>
      <c r="DY8" s="16" t="s">
        <v>3184</v>
      </c>
      <c r="DZ8" s="16" t="s">
        <v>3185</v>
      </c>
      <c r="EA8" s="16" t="s">
        <v>3186</v>
      </c>
      <c r="EB8" s="16" t="s">
        <v>3187</v>
      </c>
      <c r="EC8" s="16">
        <v>0</v>
      </c>
      <c r="ED8" s="16" t="s">
        <v>3145</v>
      </c>
      <c r="EE8" s="16">
        <v>0</v>
      </c>
      <c r="EF8" s="16" t="s">
        <v>3145</v>
      </c>
      <c r="EG8" s="16">
        <v>0</v>
      </c>
      <c r="EH8" s="16" t="s">
        <v>3145</v>
      </c>
      <c r="EI8" s="16">
        <v>0</v>
      </c>
      <c r="EJ8" s="16" t="s">
        <v>3145</v>
      </c>
      <c r="EK8" s="16">
        <v>0</v>
      </c>
      <c r="EL8" s="16" t="s">
        <v>3145</v>
      </c>
      <c r="EM8" s="16">
        <v>0</v>
      </c>
      <c r="EN8" s="16" t="s">
        <v>3145</v>
      </c>
      <c r="EO8" s="16">
        <v>0</v>
      </c>
      <c r="EP8" s="16" t="s">
        <v>3145</v>
      </c>
      <c r="EQ8" s="16">
        <v>0</v>
      </c>
      <c r="ER8" s="16" t="s">
        <v>3145</v>
      </c>
      <c r="ES8" s="16">
        <v>0</v>
      </c>
      <c r="ET8" s="16" t="s">
        <v>3145</v>
      </c>
      <c r="EU8" s="16">
        <v>0</v>
      </c>
      <c r="EV8" s="16" t="s">
        <v>3145</v>
      </c>
      <c r="EW8" s="16" t="s">
        <v>3188</v>
      </c>
      <c r="EX8" s="16">
        <v>2</v>
      </c>
      <c r="EY8" s="16" t="s">
        <v>3713</v>
      </c>
      <c r="FA8" s="16" t="s">
        <v>3189</v>
      </c>
      <c r="FB8" s="16" t="s">
        <v>3190</v>
      </c>
      <c r="FC8" s="16" t="s">
        <v>3191</v>
      </c>
      <c r="FF8" s="16" t="s">
        <v>3192</v>
      </c>
      <c r="FG8" s="16" t="s">
        <v>3760</v>
      </c>
      <c r="FH8" s="16" t="s">
        <v>3192</v>
      </c>
      <c r="FI8" s="16">
        <v>0.01</v>
      </c>
      <c r="FJ8" s="16">
        <v>0.01</v>
      </c>
      <c r="FK8" s="16">
        <v>2</v>
      </c>
      <c r="FL8" s="16" t="s">
        <v>3555</v>
      </c>
      <c r="FM8" s="16">
        <v>3</v>
      </c>
      <c r="FN8" s="16">
        <v>2</v>
      </c>
      <c r="FO8" s="16" t="s">
        <v>3556</v>
      </c>
      <c r="FP8" s="16">
        <v>6</v>
      </c>
      <c r="FQ8" s="16">
        <v>2</v>
      </c>
      <c r="FR8" s="16" t="s">
        <v>3556</v>
      </c>
      <c r="FS8" s="16">
        <v>6</v>
      </c>
      <c r="FT8" s="16">
        <v>3</v>
      </c>
      <c r="FU8" s="16" t="s">
        <v>3562</v>
      </c>
      <c r="FV8" s="16">
        <v>3</v>
      </c>
      <c r="FW8" s="16" t="s">
        <v>3562</v>
      </c>
      <c r="FX8" s="16">
        <v>2</v>
      </c>
      <c r="FY8" s="16" t="s">
        <v>2645</v>
      </c>
      <c r="FZ8" s="16">
        <v>2</v>
      </c>
      <c r="GA8" s="16" t="s">
        <v>3719</v>
      </c>
      <c r="GB8" s="16">
        <v>2</v>
      </c>
      <c r="GC8" s="16" t="s">
        <v>3719</v>
      </c>
      <c r="GH8" s="16">
        <v>2</v>
      </c>
      <c r="GI8" s="16" t="s">
        <v>3092</v>
      </c>
      <c r="GJ8" s="16" t="s">
        <v>3093</v>
      </c>
      <c r="GK8" s="16">
        <v>5</v>
      </c>
      <c r="GL8" s="16" t="s">
        <v>3097</v>
      </c>
      <c r="GM8" s="16">
        <v>300</v>
      </c>
      <c r="GN8" s="16" t="s">
        <v>3095</v>
      </c>
      <c r="GP8" s="16">
        <v>2</v>
      </c>
      <c r="GQ8" s="32"/>
    </row>
    <row r="9" spans="1:200" ht="22.5" customHeight="1">
      <c r="E9" s="16">
        <f t="shared" si="29"/>
        <v>1.01</v>
      </c>
      <c r="F9" s="16">
        <f t="shared" si="30"/>
        <v>1.01</v>
      </c>
      <c r="G9" s="16">
        <f t="shared" si="31"/>
        <v>1.01</v>
      </c>
      <c r="H9" s="16">
        <v>1</v>
      </c>
      <c r="I9" s="16">
        <f t="shared" si="32"/>
        <v>1</v>
      </c>
      <c r="J9" s="16">
        <f t="shared" si="33"/>
        <v>0.9</v>
      </c>
      <c r="K9" s="16">
        <f t="shared" si="34"/>
        <v>0.93</v>
      </c>
      <c r="L9" s="16">
        <v>1.095</v>
      </c>
      <c r="M9" s="16">
        <f t="shared" si="22"/>
        <v>2.5099999999999998</v>
      </c>
      <c r="N9" s="16">
        <v>2.5099999999999998</v>
      </c>
      <c r="O9" s="16">
        <f t="shared" si="23"/>
        <v>2.5099999999999998</v>
      </c>
      <c r="P9" s="16">
        <f t="shared" si="24"/>
        <v>2.5099999999999998</v>
      </c>
      <c r="Q9" s="16">
        <v>2.5</v>
      </c>
      <c r="R9" s="16">
        <v>2.5</v>
      </c>
      <c r="S9" s="16">
        <f t="shared" si="25"/>
        <v>2.5</v>
      </c>
      <c r="T9" s="16">
        <f t="shared" si="26"/>
        <v>2.4500000000000002</v>
      </c>
      <c r="U9" s="16">
        <f t="shared" si="27"/>
        <v>2.4650000000000003</v>
      </c>
      <c r="V9" s="16">
        <v>2.395</v>
      </c>
      <c r="W9" s="16">
        <v>8</v>
      </c>
      <c r="X9" s="16" t="s">
        <v>3193</v>
      </c>
      <c r="AA9" s="16">
        <v>16</v>
      </c>
      <c r="AB9" s="16" t="s">
        <v>3693</v>
      </c>
      <c r="AC9" s="16">
        <v>5</v>
      </c>
      <c r="AD9" s="16" t="s">
        <v>4039</v>
      </c>
      <c r="AE9" s="16" t="s">
        <v>3194</v>
      </c>
      <c r="AG9" s="16" t="s">
        <v>3195</v>
      </c>
      <c r="AH9" s="16" t="s">
        <v>3196</v>
      </c>
      <c r="AJ9" s="16" t="s">
        <v>21</v>
      </c>
      <c r="AK9" s="16">
        <v>3</v>
      </c>
      <c r="AL9" s="16" t="s">
        <v>3197</v>
      </c>
      <c r="AM9" s="16">
        <v>3</v>
      </c>
      <c r="AN9" s="16" t="s">
        <v>3198</v>
      </c>
      <c r="AQ9" s="16">
        <v>3</v>
      </c>
      <c r="AR9" s="16" t="s">
        <v>4010</v>
      </c>
      <c r="AS9" s="16">
        <v>4</v>
      </c>
      <c r="AT9" s="16" t="s">
        <v>3199</v>
      </c>
      <c r="AU9" s="16">
        <v>3</v>
      </c>
      <c r="AV9" s="16" t="s">
        <v>1484</v>
      </c>
      <c r="AW9" s="16">
        <v>3</v>
      </c>
      <c r="AX9" s="16" t="s">
        <v>1484</v>
      </c>
      <c r="AY9" s="16">
        <v>5</v>
      </c>
      <c r="AZ9" s="16">
        <v>5</v>
      </c>
      <c r="BC9" s="16">
        <v>3</v>
      </c>
      <c r="BD9" s="16" t="s">
        <v>3200</v>
      </c>
      <c r="BI9" s="16">
        <v>4</v>
      </c>
      <c r="BJ9" s="16" t="s">
        <v>3201</v>
      </c>
      <c r="BK9" s="16">
        <v>3</v>
      </c>
      <c r="BL9" s="16" t="s">
        <v>3202</v>
      </c>
      <c r="BO9" s="16">
        <v>3</v>
      </c>
      <c r="BP9" s="16" t="s">
        <v>3203</v>
      </c>
      <c r="BQ9" s="16" t="s">
        <v>3204</v>
      </c>
      <c r="BR9" s="16" t="s">
        <v>3204</v>
      </c>
      <c r="BS9" s="16" t="s">
        <v>3205</v>
      </c>
      <c r="BT9" s="16" t="s">
        <v>3206</v>
      </c>
      <c r="CI9" s="16" t="s">
        <v>3207</v>
      </c>
      <c r="CJ9" s="16" t="s">
        <v>3208</v>
      </c>
      <c r="CK9" s="16" t="s">
        <v>3209</v>
      </c>
      <c r="CL9" s="16" t="s">
        <v>3210</v>
      </c>
      <c r="CM9" s="16" t="str">
        <f>"0,9"</f>
        <v>0,9</v>
      </c>
      <c r="CO9" s="16" t="s">
        <v>3211</v>
      </c>
      <c r="CP9" s="16" t="s">
        <v>3212</v>
      </c>
      <c r="CQ9" s="16" t="s">
        <v>3213</v>
      </c>
      <c r="CT9" s="16" t="s">
        <v>3214</v>
      </c>
      <c r="DA9" s="16" t="s">
        <v>3215</v>
      </c>
      <c r="DB9" s="16" t="s">
        <v>3216</v>
      </c>
      <c r="DC9" s="16" t="s">
        <v>50</v>
      </c>
      <c r="DD9" s="16" t="s">
        <v>3916</v>
      </c>
      <c r="DE9" s="16" t="s">
        <v>3217</v>
      </c>
      <c r="DI9" s="16" t="s">
        <v>3218</v>
      </c>
      <c r="DO9" s="16" t="str">
        <f>"DIN 18040 ("&amp;"R"&amp;")"</f>
        <v>DIN 18040 (R)</v>
      </c>
      <c r="DP9" s="16" t="s">
        <v>3180</v>
      </c>
      <c r="DQ9" s="16" t="s">
        <v>3219</v>
      </c>
      <c r="DR9" s="16" t="s">
        <v>3220</v>
      </c>
      <c r="DS9" s="16" t="s">
        <v>3219</v>
      </c>
      <c r="DT9" s="16" t="s">
        <v>3220</v>
      </c>
      <c r="DU9" s="16" t="s">
        <v>3221</v>
      </c>
      <c r="DV9" s="16" t="s">
        <v>3222</v>
      </c>
      <c r="DW9" s="16" t="s">
        <v>3221</v>
      </c>
      <c r="DX9" s="16" t="s">
        <v>3222</v>
      </c>
      <c r="DY9" s="16" t="s">
        <v>106</v>
      </c>
      <c r="DZ9" s="16" t="s">
        <v>3223</v>
      </c>
      <c r="EA9" s="16" t="s">
        <v>3224</v>
      </c>
      <c r="EB9" s="16" t="s">
        <v>3225</v>
      </c>
      <c r="EW9" s="16" t="s">
        <v>3226</v>
      </c>
      <c r="EX9" s="16">
        <v>5</v>
      </c>
      <c r="EY9" s="16" t="s">
        <v>3712</v>
      </c>
      <c r="FA9" s="16" t="s">
        <v>3227</v>
      </c>
      <c r="FB9" s="16" t="s">
        <v>3228</v>
      </c>
      <c r="FC9" s="16" t="s">
        <v>3229</v>
      </c>
      <c r="FK9" s="16">
        <v>4</v>
      </c>
      <c r="FL9" s="16" t="s">
        <v>3557</v>
      </c>
      <c r="FM9" s="16">
        <v>4</v>
      </c>
      <c r="FN9" s="16">
        <v>4</v>
      </c>
      <c r="FO9" s="16" t="s">
        <v>3557</v>
      </c>
      <c r="FP9" s="16">
        <v>4</v>
      </c>
      <c r="FQ9" s="16">
        <v>4</v>
      </c>
      <c r="FR9" s="16" t="s">
        <v>3557</v>
      </c>
      <c r="FS9" s="16">
        <v>4</v>
      </c>
      <c r="FT9" s="16">
        <v>4</v>
      </c>
      <c r="FU9" s="16" t="s">
        <v>3558</v>
      </c>
      <c r="FV9" s="16">
        <v>4</v>
      </c>
      <c r="FW9" s="16" t="s">
        <v>3558</v>
      </c>
      <c r="FX9" s="16">
        <v>3</v>
      </c>
      <c r="FY9" s="16" t="s">
        <v>3562</v>
      </c>
      <c r="FZ9" s="16">
        <v>3</v>
      </c>
      <c r="GA9" s="16" t="s">
        <v>3720</v>
      </c>
      <c r="GB9" s="16">
        <v>3</v>
      </c>
      <c r="GC9" s="16" t="s">
        <v>3720</v>
      </c>
      <c r="GH9" s="16">
        <v>4</v>
      </c>
      <c r="GI9" s="16" t="s">
        <v>3096</v>
      </c>
      <c r="GK9" s="16">
        <v>6</v>
      </c>
      <c r="GL9" s="16" t="s">
        <v>3809</v>
      </c>
      <c r="GM9" s="16">
        <v>350</v>
      </c>
      <c r="GN9" s="16" t="s">
        <v>3098</v>
      </c>
      <c r="GP9" s="16">
        <v>3</v>
      </c>
    </row>
    <row r="10" spans="1:200" ht="22.5" customHeight="1">
      <c r="E10" s="16">
        <f t="shared" si="29"/>
        <v>1.135</v>
      </c>
      <c r="F10" s="16">
        <f t="shared" si="30"/>
        <v>1.135</v>
      </c>
      <c r="G10" s="16">
        <f t="shared" si="31"/>
        <v>1.135</v>
      </c>
      <c r="H10" s="16">
        <v>1.125</v>
      </c>
      <c r="I10" s="16">
        <f t="shared" si="32"/>
        <v>1.125</v>
      </c>
      <c r="J10" s="16">
        <f t="shared" si="33"/>
        <v>1.0249999999999999</v>
      </c>
      <c r="K10" s="16">
        <f t="shared" si="34"/>
        <v>1.0549999999999999</v>
      </c>
      <c r="L10" s="16">
        <v>1.1950000000000001</v>
      </c>
      <c r="M10" s="16">
        <f t="shared" si="22"/>
        <v>2.76</v>
      </c>
      <c r="N10" s="16">
        <v>2.76</v>
      </c>
      <c r="O10" s="16">
        <f t="shared" si="23"/>
        <v>2.76</v>
      </c>
      <c r="P10" s="16">
        <f t="shared" si="24"/>
        <v>2.76</v>
      </c>
      <c r="Q10" s="16">
        <v>2.75</v>
      </c>
      <c r="R10" s="16">
        <v>2.75</v>
      </c>
      <c r="S10" s="16">
        <f t="shared" si="25"/>
        <v>2.75</v>
      </c>
      <c r="T10" s="16">
        <f t="shared" si="26"/>
        <v>2.7</v>
      </c>
      <c r="U10" s="16">
        <f t="shared" si="27"/>
        <v>2.7150000000000003</v>
      </c>
      <c r="V10" s="16">
        <v>2.4449999999999998</v>
      </c>
      <c r="W10" s="16">
        <v>16</v>
      </c>
      <c r="X10" s="16" t="s">
        <v>3230</v>
      </c>
      <c r="AA10" s="16">
        <f>AA6+1</f>
        <v>3</v>
      </c>
      <c r="AB10" s="16" t="s">
        <v>3688</v>
      </c>
      <c r="AC10" s="16">
        <v>6</v>
      </c>
      <c r="AD10" s="16" t="s">
        <v>4040</v>
      </c>
      <c r="AG10" s="16" t="s">
        <v>3231</v>
      </c>
      <c r="AH10" s="16" t="s">
        <v>3232</v>
      </c>
      <c r="AJ10" s="16" t="s">
        <v>1091</v>
      </c>
      <c r="AS10" s="16">
        <v>5</v>
      </c>
      <c r="AT10" s="16" t="s">
        <v>3233</v>
      </c>
      <c r="AW10" s="16">
        <v>4</v>
      </c>
      <c r="AX10" s="16" t="s">
        <v>4032</v>
      </c>
      <c r="AY10" s="16">
        <v>1</v>
      </c>
      <c r="AZ10" s="16">
        <v>6</v>
      </c>
      <c r="BO10" s="16">
        <v>4</v>
      </c>
      <c r="BP10" s="16" t="s">
        <v>3234</v>
      </c>
      <c r="BQ10" s="16" t="s">
        <v>3235</v>
      </c>
      <c r="BR10" s="16" t="s">
        <v>3235</v>
      </c>
      <c r="BS10" s="16" t="s">
        <v>3236</v>
      </c>
      <c r="BT10" s="16" t="s">
        <v>3141</v>
      </c>
      <c r="CJ10" s="16" t="s">
        <v>3237</v>
      </c>
      <c r="CK10" s="16" t="s">
        <v>3238</v>
      </c>
      <c r="CL10" s="16" t="s">
        <v>3239</v>
      </c>
      <c r="CM10" s="16" t="str">
        <f>"1,0"</f>
        <v>1,0</v>
      </c>
      <c r="CO10" s="16" t="s">
        <v>3211</v>
      </c>
      <c r="CP10" s="16" t="s">
        <v>3240</v>
      </c>
      <c r="CQ10" s="16" t="s">
        <v>3241</v>
      </c>
      <c r="CT10" s="16" t="s">
        <v>3242</v>
      </c>
      <c r="DB10" s="16" t="s">
        <v>3243</v>
      </c>
      <c r="DC10" s="16" t="s">
        <v>31</v>
      </c>
      <c r="DD10" s="16" t="s">
        <v>3917</v>
      </c>
      <c r="DE10" s="16" t="s">
        <v>3244</v>
      </c>
      <c r="DP10" s="16" t="str">
        <f>"DIN 18040 ("&amp;"R"&amp;")"</f>
        <v>DIN 18040 (R)</v>
      </c>
      <c r="EX10" s="16">
        <v>6</v>
      </c>
      <c r="EY10" s="16" t="s">
        <v>3715</v>
      </c>
      <c r="FA10" s="16" t="s">
        <v>3245</v>
      </c>
      <c r="FB10" s="16" t="s">
        <v>3246</v>
      </c>
      <c r="FC10" s="16" t="s">
        <v>3247</v>
      </c>
      <c r="FX10" s="16">
        <v>4</v>
      </c>
      <c r="FY10" s="16" t="s">
        <v>3558</v>
      </c>
      <c r="FZ10" s="16">
        <v>4</v>
      </c>
      <c r="GA10" s="16" t="s">
        <v>3721</v>
      </c>
      <c r="GB10" s="16">
        <v>4</v>
      </c>
      <c r="GC10" s="16" t="s">
        <v>3721</v>
      </c>
      <c r="GH10" s="16">
        <v>8</v>
      </c>
      <c r="GI10" s="16" t="s">
        <v>3099</v>
      </c>
      <c r="GK10" s="16">
        <v>-2</v>
      </c>
      <c r="GL10" s="16" t="s">
        <v>3102</v>
      </c>
      <c r="GM10" s="16">
        <v>400</v>
      </c>
      <c r="GN10" s="16" t="s">
        <v>3100</v>
      </c>
      <c r="GP10" s="16">
        <v>4</v>
      </c>
    </row>
    <row r="11" spans="1:200" ht="22.5" customHeight="1">
      <c r="E11" s="16">
        <f t="shared" si="29"/>
        <v>1.26</v>
      </c>
      <c r="F11" s="16">
        <f t="shared" si="30"/>
        <v>1.26</v>
      </c>
      <c r="G11" s="16">
        <f t="shared" si="31"/>
        <v>1.26</v>
      </c>
      <c r="H11" s="16">
        <v>1.25</v>
      </c>
      <c r="I11" s="16">
        <f t="shared" si="32"/>
        <v>1.25</v>
      </c>
      <c r="J11" s="16">
        <f t="shared" si="33"/>
        <v>1.1499999999999999</v>
      </c>
      <c r="K11" s="16">
        <f t="shared" si="34"/>
        <v>1.18</v>
      </c>
      <c r="L11" s="16">
        <v>1.2949999999999999</v>
      </c>
      <c r="M11" s="16">
        <f t="shared" si="22"/>
        <v>3.01</v>
      </c>
      <c r="N11" s="16">
        <v>3.01</v>
      </c>
      <c r="O11" s="16">
        <f t="shared" si="23"/>
        <v>3.01</v>
      </c>
      <c r="P11" s="16">
        <f t="shared" si="24"/>
        <v>3.01</v>
      </c>
      <c r="R11" s="16">
        <v>3</v>
      </c>
      <c r="S11" s="16">
        <f t="shared" si="25"/>
        <v>3</v>
      </c>
      <c r="T11" s="16">
        <f t="shared" si="26"/>
        <v>2.95</v>
      </c>
      <c r="U11" s="16">
        <f t="shared" si="27"/>
        <v>2.9650000000000003</v>
      </c>
      <c r="W11" s="16">
        <v>32</v>
      </c>
      <c r="X11" s="16" t="s">
        <v>3248</v>
      </c>
      <c r="AA11" s="16">
        <f>AA7+1</f>
        <v>5</v>
      </c>
      <c r="AB11" s="16" t="s">
        <v>3687</v>
      </c>
      <c r="AG11" s="16" t="s">
        <v>3249</v>
      </c>
      <c r="AH11" s="16" t="s">
        <v>3250</v>
      </c>
      <c r="AJ11" s="16" t="s">
        <v>3251</v>
      </c>
      <c r="BQ11" s="16" t="s">
        <v>3252</v>
      </c>
      <c r="BR11" s="16" t="s">
        <v>3252</v>
      </c>
      <c r="BS11" s="16" t="s">
        <v>3253</v>
      </c>
      <c r="BT11" s="16" t="s">
        <v>136</v>
      </c>
      <c r="CJ11" s="16" t="s">
        <v>3254</v>
      </c>
      <c r="CM11" s="16" t="str">
        <f>"1,1"</f>
        <v>1,1</v>
      </c>
      <c r="CO11" s="16" t="s">
        <v>3255</v>
      </c>
      <c r="CP11" s="16" t="s">
        <v>3256</v>
      </c>
      <c r="CQ11" s="16" t="s">
        <v>3257</v>
      </c>
      <c r="EX11" s="16">
        <v>8</v>
      </c>
      <c r="EY11" s="16" t="s">
        <v>3924</v>
      </c>
      <c r="FA11" s="16" t="s">
        <v>3258</v>
      </c>
      <c r="FB11" s="16" t="s">
        <v>3259</v>
      </c>
      <c r="FC11" s="16" t="s">
        <v>3260</v>
      </c>
      <c r="GH11" s="16">
        <v>12</v>
      </c>
      <c r="GI11" s="16" t="s">
        <v>3101</v>
      </c>
      <c r="GM11" s="16">
        <v>500</v>
      </c>
      <c r="GN11" s="16" t="s">
        <v>3759</v>
      </c>
      <c r="GP11" s="16">
        <v>5</v>
      </c>
    </row>
    <row r="12" spans="1:200" ht="22.5" customHeight="1">
      <c r="E12" s="16">
        <f t="shared" si="29"/>
        <v>1.51</v>
      </c>
      <c r="F12" s="16">
        <f t="shared" si="30"/>
        <v>1.51</v>
      </c>
      <c r="G12" s="16">
        <f t="shared" si="31"/>
        <v>1.51</v>
      </c>
      <c r="H12" s="16">
        <v>1.5</v>
      </c>
      <c r="I12" s="16">
        <f t="shared" si="32"/>
        <v>1.5</v>
      </c>
      <c r="J12" s="16">
        <f t="shared" si="33"/>
        <v>1.4</v>
      </c>
      <c r="K12" s="16">
        <f t="shared" si="34"/>
        <v>1.43</v>
      </c>
      <c r="L12" s="16">
        <v>1.395</v>
      </c>
      <c r="W12" s="16">
        <v>64</v>
      </c>
      <c r="X12" s="16" t="s">
        <v>3261</v>
      </c>
      <c r="AA12" s="16">
        <f>AA8+1</f>
        <v>9</v>
      </c>
      <c r="AB12" s="16" t="s">
        <v>3694</v>
      </c>
      <c r="AG12" s="16" t="s">
        <v>3262</v>
      </c>
      <c r="AH12" s="16" t="s">
        <v>3263</v>
      </c>
      <c r="AJ12" s="16" t="s">
        <v>3264</v>
      </c>
      <c r="BQ12" s="16" t="s">
        <v>136</v>
      </c>
      <c r="BR12" s="16" t="s">
        <v>136</v>
      </c>
      <c r="BS12" s="16" t="s">
        <v>3265</v>
      </c>
      <c r="CJ12" s="16" t="s">
        <v>3266</v>
      </c>
      <c r="CM12" s="16" t="str">
        <f>"1,2"</f>
        <v>1,2</v>
      </c>
      <c r="CO12" s="16" t="s">
        <v>3267</v>
      </c>
      <c r="CP12" s="16" t="s">
        <v>3268</v>
      </c>
      <c r="EX12" s="16">
        <v>12</v>
      </c>
      <c r="EY12" s="16" t="s">
        <v>3925</v>
      </c>
      <c r="FC12" s="16" t="s">
        <v>3269</v>
      </c>
      <c r="GM12" s="16">
        <v>-2</v>
      </c>
      <c r="GN12" s="16" t="s">
        <v>3102</v>
      </c>
      <c r="GP12" s="16">
        <v>6</v>
      </c>
    </row>
    <row r="13" spans="1:200" ht="22.5" customHeight="1">
      <c r="E13" s="16">
        <f t="shared" si="29"/>
        <v>1.76</v>
      </c>
      <c r="F13" s="16">
        <f t="shared" si="30"/>
        <v>1.76</v>
      </c>
      <c r="G13" s="16">
        <f t="shared" si="31"/>
        <v>1.76</v>
      </c>
      <c r="H13" s="16">
        <v>1.75</v>
      </c>
      <c r="I13" s="16">
        <f t="shared" si="32"/>
        <v>1.75</v>
      </c>
      <c r="J13" s="16">
        <f t="shared" si="33"/>
        <v>1.65</v>
      </c>
      <c r="K13" s="16">
        <f t="shared" si="34"/>
        <v>1.68</v>
      </c>
      <c r="L13" s="16">
        <v>1.4450000000000001</v>
      </c>
      <c r="AA13" s="16">
        <f>AA9+1</f>
        <v>17</v>
      </c>
      <c r="AB13" s="16" t="s">
        <v>3695</v>
      </c>
      <c r="AG13" s="16" t="s">
        <v>3270</v>
      </c>
      <c r="AH13" s="16" t="s">
        <v>3271</v>
      </c>
      <c r="AJ13" s="16" t="s">
        <v>3272</v>
      </c>
      <c r="BS13" s="16" t="s">
        <v>3273</v>
      </c>
      <c r="CJ13" s="16" t="s">
        <v>3274</v>
      </c>
      <c r="CM13" s="16" t="str">
        <f>"1,5"</f>
        <v>1,5</v>
      </c>
      <c r="CO13" s="16" t="s">
        <v>3275</v>
      </c>
      <c r="CP13" s="16" t="s">
        <v>3276</v>
      </c>
      <c r="EX13" s="16">
        <v>16</v>
      </c>
      <c r="EY13" s="16" t="s">
        <v>3716</v>
      </c>
      <c r="FC13" s="16" t="s">
        <v>3277</v>
      </c>
      <c r="GM13" s="16">
        <v>-1</v>
      </c>
      <c r="GN13" s="16" t="s">
        <v>3103</v>
      </c>
      <c r="GP13" s="16">
        <v>7</v>
      </c>
    </row>
    <row r="14" spans="1:200" ht="22.5" customHeight="1">
      <c r="E14" s="16">
        <f t="shared" si="29"/>
        <v>1.885</v>
      </c>
      <c r="F14" s="16">
        <f t="shared" si="30"/>
        <v>1.885</v>
      </c>
      <c r="G14" s="16">
        <f t="shared" si="31"/>
        <v>1.885</v>
      </c>
      <c r="H14" s="16">
        <v>1.875</v>
      </c>
      <c r="I14" s="16">
        <f t="shared" si="32"/>
        <v>1.875</v>
      </c>
      <c r="J14" s="16">
        <f t="shared" si="33"/>
        <v>1.7749999999999999</v>
      </c>
      <c r="K14" s="16">
        <f t="shared" si="34"/>
        <v>1.8049999999999999</v>
      </c>
      <c r="AA14" s="16">
        <f>AA6+32</f>
        <v>34</v>
      </c>
      <c r="AB14" s="16" t="s">
        <v>3691</v>
      </c>
      <c r="AG14" s="16" t="s">
        <v>2825</v>
      </c>
      <c r="AH14" s="16" t="s">
        <v>3278</v>
      </c>
      <c r="AJ14" s="16" t="s">
        <v>3279</v>
      </c>
      <c r="BS14" s="16" t="s">
        <v>3280</v>
      </c>
      <c r="CJ14" s="16" t="s">
        <v>3281</v>
      </c>
      <c r="CM14" s="16" t="str">
        <f>"2,0"</f>
        <v>2,0</v>
      </c>
      <c r="CO14" s="16" t="s">
        <v>3282</v>
      </c>
      <c r="CP14" s="16" t="s">
        <v>3283</v>
      </c>
      <c r="FC14" s="16" t="s">
        <v>3284</v>
      </c>
      <c r="GM14" s="16">
        <v>-3</v>
      </c>
      <c r="GN14" s="16" t="s">
        <v>3104</v>
      </c>
      <c r="GP14" s="16">
        <v>8</v>
      </c>
    </row>
    <row r="15" spans="1:200" ht="22.5" customHeight="1">
      <c r="E15" s="16">
        <f t="shared" si="29"/>
        <v>2.0099999999999998</v>
      </c>
      <c r="F15" s="16">
        <f t="shared" si="30"/>
        <v>2.0099999999999998</v>
      </c>
      <c r="G15" s="16">
        <f t="shared" si="31"/>
        <v>2.0099999999999998</v>
      </c>
      <c r="H15" s="16">
        <v>2</v>
      </c>
      <c r="I15" s="16">
        <f t="shared" si="32"/>
        <v>1.9999999999999998</v>
      </c>
      <c r="J15" s="16">
        <f t="shared" si="33"/>
        <v>1.8999999999999997</v>
      </c>
      <c r="K15" s="16">
        <f t="shared" si="34"/>
        <v>1.9299999999999997</v>
      </c>
      <c r="AA15" s="16">
        <f t="shared" ref="AA15:AA21" si="35">AA7+32</f>
        <v>36</v>
      </c>
      <c r="AB15" s="16" t="s">
        <v>3696</v>
      </c>
      <c r="AH15" s="16" t="s">
        <v>3285</v>
      </c>
      <c r="BS15" s="16" t="s">
        <v>3286</v>
      </c>
      <c r="CJ15" s="16" t="s">
        <v>3287</v>
      </c>
      <c r="CP15" s="16" t="s">
        <v>3288</v>
      </c>
    </row>
    <row r="16" spans="1:200" ht="22.5" customHeight="1">
      <c r="E16" s="16">
        <f t="shared" si="29"/>
        <v>2.1349999999999998</v>
      </c>
      <c r="F16" s="16">
        <f t="shared" si="30"/>
        <v>2.1349999999999998</v>
      </c>
      <c r="G16" s="16">
        <f t="shared" si="31"/>
        <v>2.1349999999999998</v>
      </c>
      <c r="H16" s="16">
        <v>2.125</v>
      </c>
      <c r="I16" s="16">
        <f t="shared" si="32"/>
        <v>2.125</v>
      </c>
      <c r="J16" s="16">
        <f t="shared" si="33"/>
        <v>2.0249999999999999</v>
      </c>
      <c r="K16" s="16">
        <f t="shared" si="34"/>
        <v>2.0549999999999997</v>
      </c>
      <c r="AA16" s="16">
        <f t="shared" si="35"/>
        <v>40</v>
      </c>
      <c r="AB16" s="16" t="s">
        <v>3697</v>
      </c>
      <c r="AH16" s="16" t="s">
        <v>3289</v>
      </c>
      <c r="BS16" s="16" t="s">
        <v>3290</v>
      </c>
      <c r="CJ16" s="16" t="s">
        <v>3291</v>
      </c>
      <c r="CP16" s="16" t="s">
        <v>3292</v>
      </c>
    </row>
    <row r="17" spans="5:94" ht="22.5" customHeight="1">
      <c r="E17" s="16">
        <f t="shared" si="29"/>
        <v>2.2599999999999998</v>
      </c>
      <c r="F17" s="16">
        <f t="shared" si="30"/>
        <v>2.2599999999999998</v>
      </c>
      <c r="G17" s="16">
        <f t="shared" si="31"/>
        <v>2.2599999999999998</v>
      </c>
      <c r="H17" s="16">
        <v>2.25</v>
      </c>
      <c r="I17" s="16">
        <f t="shared" si="32"/>
        <v>2.25</v>
      </c>
      <c r="J17" s="16">
        <f t="shared" si="33"/>
        <v>2.15</v>
      </c>
      <c r="K17" s="16">
        <f t="shared" si="34"/>
        <v>2.1799999999999997</v>
      </c>
      <c r="AA17" s="16">
        <f t="shared" si="35"/>
        <v>48</v>
      </c>
      <c r="AB17" s="16" t="s">
        <v>3698</v>
      </c>
      <c r="AH17" s="16" t="s">
        <v>3293</v>
      </c>
      <c r="BS17" s="16" t="s">
        <v>3294</v>
      </c>
      <c r="CJ17" s="16" t="s">
        <v>3295</v>
      </c>
      <c r="CP17" s="16" t="s">
        <v>3296</v>
      </c>
    </row>
    <row r="18" spans="5:94" ht="22.5" customHeight="1">
      <c r="E18" s="16">
        <f t="shared" si="29"/>
        <v>2.5099999999999998</v>
      </c>
      <c r="F18" s="16">
        <f t="shared" si="30"/>
        <v>2.5099999999999998</v>
      </c>
      <c r="G18" s="16">
        <f t="shared" si="31"/>
        <v>2.5099999999999998</v>
      </c>
      <c r="H18" s="16">
        <v>2.5</v>
      </c>
      <c r="I18" s="16">
        <f t="shared" si="32"/>
        <v>2.5</v>
      </c>
      <c r="J18" s="16">
        <f t="shared" si="33"/>
        <v>2.4</v>
      </c>
      <c r="K18" s="16">
        <f t="shared" si="34"/>
        <v>2.4299999999999997</v>
      </c>
      <c r="AA18" s="16">
        <f t="shared" si="35"/>
        <v>35</v>
      </c>
      <c r="AB18" s="16" t="s">
        <v>3699</v>
      </c>
      <c r="AH18" s="16" t="s">
        <v>3297</v>
      </c>
      <c r="BS18" s="16" t="s">
        <v>3298</v>
      </c>
      <c r="CP18" s="16" t="s">
        <v>3299</v>
      </c>
    </row>
    <row r="19" spans="5:94" ht="22.5" customHeight="1">
      <c r="E19" s="16">
        <f t="shared" si="29"/>
        <v>2.76</v>
      </c>
      <c r="F19" s="16">
        <f t="shared" si="30"/>
        <v>2.76</v>
      </c>
      <c r="G19" s="16">
        <f t="shared" si="31"/>
        <v>2.76</v>
      </c>
      <c r="H19" s="16">
        <v>2.75</v>
      </c>
      <c r="I19" s="16">
        <f t="shared" si="32"/>
        <v>2.75</v>
      </c>
      <c r="J19" s="16">
        <f t="shared" si="33"/>
        <v>2.65</v>
      </c>
      <c r="K19" s="16">
        <f t="shared" si="34"/>
        <v>2.6799999999999997</v>
      </c>
      <c r="AA19" s="16">
        <f t="shared" si="35"/>
        <v>37</v>
      </c>
      <c r="AB19" s="16" t="s">
        <v>3700</v>
      </c>
      <c r="AH19" s="16" t="s">
        <v>3300</v>
      </c>
      <c r="BS19" s="16" t="s">
        <v>3301</v>
      </c>
      <c r="CP19" s="16" t="s">
        <v>3302</v>
      </c>
    </row>
    <row r="20" spans="5:94" ht="22.5" customHeight="1">
      <c r="E20" s="16">
        <f t="shared" si="29"/>
        <v>3.01</v>
      </c>
      <c r="F20" s="16">
        <f t="shared" si="30"/>
        <v>3.01</v>
      </c>
      <c r="G20" s="16">
        <f t="shared" si="31"/>
        <v>3.01</v>
      </c>
      <c r="H20" s="16">
        <v>3</v>
      </c>
      <c r="I20" s="16">
        <f t="shared" si="32"/>
        <v>3</v>
      </c>
      <c r="J20" s="16">
        <f t="shared" si="33"/>
        <v>2.9</v>
      </c>
      <c r="K20" s="16">
        <f t="shared" si="34"/>
        <v>2.9299999999999997</v>
      </c>
      <c r="AA20" s="16">
        <f t="shared" si="35"/>
        <v>41</v>
      </c>
      <c r="AB20" s="16" t="s">
        <v>3701</v>
      </c>
      <c r="AH20" s="16" t="s">
        <v>3303</v>
      </c>
      <c r="BS20" s="16" t="s">
        <v>3304</v>
      </c>
      <c r="CP20" s="16" t="s">
        <v>3305</v>
      </c>
    </row>
    <row r="21" spans="5:94" ht="22.5" customHeight="1">
      <c r="AA21" s="16">
        <f t="shared" si="35"/>
        <v>49</v>
      </c>
      <c r="AB21" s="16" t="s">
        <v>3702</v>
      </c>
      <c r="AH21" s="16" t="s">
        <v>3306</v>
      </c>
      <c r="BS21" s="16" t="s">
        <v>3307</v>
      </c>
      <c r="CP21" s="16" t="s">
        <v>3308</v>
      </c>
    </row>
    <row r="22" spans="5:94" ht="22.5" customHeight="1">
      <c r="AH22" s="16" t="s">
        <v>3309</v>
      </c>
      <c r="CP22" s="16" t="s">
        <v>3310</v>
      </c>
    </row>
    <row r="23" spans="5:94" ht="22.5" customHeight="1">
      <c r="AH23" s="16" t="s">
        <v>3311</v>
      </c>
      <c r="CP23" s="16" t="s">
        <v>3312</v>
      </c>
    </row>
    <row r="24" spans="5:94" ht="22.5" customHeight="1">
      <c r="CP24" s="16" t="s">
        <v>3313</v>
      </c>
    </row>
    <row r="25" spans="5:94" ht="22.5" customHeight="1">
      <c r="CP25" s="16" t="s">
        <v>3314</v>
      </c>
    </row>
    <row r="26" spans="5:94" ht="22.5" customHeight="1">
      <c r="CP26" s="16" t="s">
        <v>3315</v>
      </c>
    </row>
    <row r="27" spans="5:94" ht="22.5" customHeight="1">
      <c r="CP27" s="16" t="s">
        <v>3316</v>
      </c>
    </row>
    <row r="28" spans="5:94" ht="22.5" customHeight="1">
      <c r="CP28" s="16" t="s">
        <v>3317</v>
      </c>
    </row>
    <row r="29" spans="5:94" ht="22.5" customHeight="1">
      <c r="CP29" s="16" t="s">
        <v>3318</v>
      </c>
    </row>
    <row r="30" spans="5:94" ht="22.5" customHeight="1">
      <c r="CP30" s="16" t="s">
        <v>3319</v>
      </c>
    </row>
    <row r="31" spans="5:94" ht="22.5" customHeight="1">
      <c r="CP31" s="16" t="s">
        <v>3320</v>
      </c>
    </row>
    <row r="32" spans="5:94" ht="22.5" customHeight="1">
      <c r="CP32" s="16" t="s">
        <v>3321</v>
      </c>
    </row>
    <row r="33" spans="94:94" ht="22.5" customHeight="1">
      <c r="CP33" s="16" t="s">
        <v>3322</v>
      </c>
    </row>
    <row r="34" spans="94:94" ht="22.5" customHeight="1">
      <c r="CP34" s="16" t="s">
        <v>3323</v>
      </c>
    </row>
    <row r="35" spans="94:94" ht="22.5" customHeight="1"/>
    <row r="36" spans="94:94" ht="22.5" customHeight="1"/>
    <row r="37" spans="94:94" ht="22.5" customHeight="1"/>
    <row r="38" spans="94:94" ht="22.5" customHeight="1"/>
    <row r="39" spans="94:94" ht="22.5" customHeight="1"/>
    <row r="40" spans="94:94" ht="22.5" customHeight="1"/>
    <row r="41" spans="94:94" ht="22.5" customHeight="1"/>
    <row r="42" spans="94:94" ht="22.5" customHeight="1"/>
    <row r="43" spans="94:94" ht="22.5" customHeight="1"/>
    <row r="44" spans="94:94" ht="22.5" customHeight="1"/>
    <row r="45" spans="94:94" ht="22.5" customHeight="1"/>
    <row r="46" spans="94:94" ht="22.5" customHeight="1"/>
    <row r="47" spans="94:94" ht="22.5" customHeight="1"/>
    <row r="48" spans="94:94" ht="22.5" customHeight="1"/>
    <row r="49" ht="22.5" customHeight="1"/>
    <row r="50" ht="22.5" customHeight="1"/>
    <row r="51" ht="22.5" customHeight="1"/>
    <row r="52" ht="22.5" customHeight="1"/>
    <row r="53" ht="22.5" customHeight="1"/>
    <row r="54" ht="22.5" customHeight="1"/>
    <row r="55" ht="22.5" customHeight="1"/>
    <row r="56" ht="22.5" customHeight="1"/>
    <row r="57" ht="22.5" customHeight="1"/>
    <row r="58" ht="22.5" customHeight="1"/>
    <row r="59" ht="22.5" customHeight="1"/>
    <row r="60" ht="22.5" customHeight="1"/>
    <row r="61" ht="22.5" customHeight="1"/>
    <row r="62" ht="22.5" customHeight="1"/>
    <row r="63" ht="22.5" customHeight="1"/>
    <row r="64" ht="22.5" customHeight="1"/>
    <row r="65" ht="22.5" customHeight="1"/>
    <row r="66" ht="22.5" customHeight="1"/>
    <row r="67" ht="22.5" customHeight="1"/>
    <row r="68" ht="22.5" customHeight="1"/>
    <row r="69" ht="22.5" customHeight="1"/>
    <row r="70" ht="22.5" customHeight="1"/>
    <row r="71" ht="22.5" customHeight="1"/>
    <row r="72" ht="22.5" customHeight="1"/>
    <row r="73" ht="22.5" customHeight="1"/>
    <row r="74" ht="22.5" customHeight="1"/>
    <row r="75" ht="22.5" customHeight="1"/>
    <row r="76" ht="22.5" customHeight="1"/>
    <row r="77" ht="22.5" customHeight="1"/>
    <row r="78" ht="22.5" customHeight="1"/>
    <row r="79" ht="22.5" customHeight="1"/>
    <row r="80" ht="22.5" customHeight="1"/>
    <row r="81" ht="22.5" customHeight="1"/>
    <row r="82" ht="22.5" customHeight="1"/>
    <row r="83" ht="22.5" customHeight="1"/>
    <row r="84" ht="22.5" customHeight="1"/>
    <row r="85" ht="22.5" customHeight="1"/>
    <row r="86" ht="22.5" customHeight="1"/>
    <row r="87" ht="22.5" customHeight="1"/>
    <row r="88" ht="22.5" customHeight="1"/>
    <row r="89" ht="22.5" customHeight="1"/>
    <row r="90" ht="22.5" customHeight="1"/>
    <row r="91" ht="22.5" customHeight="1"/>
    <row r="92" ht="22.5" customHeight="1"/>
    <row r="93" ht="22.5" customHeight="1"/>
    <row r="94" ht="22.5" customHeight="1"/>
    <row r="95" ht="22.5" customHeight="1"/>
    <row r="96" ht="22.5" customHeight="1" thickBot="1"/>
    <row r="97" spans="2:198" ht="15" thickTop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D97" s="34"/>
      <c r="AE97" s="34"/>
      <c r="AF97" s="34"/>
      <c r="AG97" s="34"/>
      <c r="AH97" s="34"/>
      <c r="AI97" s="34"/>
      <c r="AJ97" s="34"/>
      <c r="AK97" s="34"/>
      <c r="AL97" s="34"/>
      <c r="AM97" s="34"/>
      <c r="AN97" s="34"/>
      <c r="AO97" s="34"/>
      <c r="AP97" s="34"/>
      <c r="AQ97" s="34"/>
      <c r="AR97" s="34"/>
      <c r="AS97" s="34"/>
      <c r="AT97" s="34"/>
      <c r="AU97" s="34"/>
      <c r="AV97" s="34"/>
      <c r="AW97" s="34"/>
      <c r="AX97" s="34"/>
      <c r="AY97" s="34"/>
      <c r="AZ97" s="34"/>
      <c r="BA97" s="34"/>
      <c r="BB97" s="34"/>
      <c r="BC97" s="34"/>
      <c r="BD97" s="34"/>
      <c r="BE97" s="34"/>
      <c r="BF97" s="34"/>
      <c r="BG97" s="34"/>
      <c r="BH97" s="34"/>
      <c r="BI97" s="34"/>
      <c r="BJ97" s="34"/>
      <c r="BK97" s="34"/>
      <c r="BL97" s="34"/>
      <c r="BM97" s="34"/>
      <c r="BN97" s="34"/>
      <c r="BO97" s="34"/>
      <c r="BP97" s="34"/>
      <c r="BQ97" s="34"/>
      <c r="BR97" s="34"/>
      <c r="BS97" s="34"/>
      <c r="BT97" s="34"/>
      <c r="BU97" s="34"/>
      <c r="BV97" s="34"/>
      <c r="BW97" s="34"/>
      <c r="BX97" s="34"/>
      <c r="BY97" s="34"/>
      <c r="BZ97" s="34"/>
      <c r="CA97" s="34"/>
      <c r="CB97" s="34"/>
      <c r="CC97" s="34"/>
      <c r="CD97" s="34"/>
      <c r="CE97" s="34"/>
      <c r="CF97" s="34"/>
      <c r="CG97" s="34"/>
      <c r="CH97" s="34"/>
      <c r="CI97" s="34"/>
      <c r="CJ97" s="34"/>
      <c r="CK97" s="34"/>
      <c r="CL97" s="34"/>
      <c r="CM97" s="34"/>
      <c r="CN97" s="34"/>
      <c r="CO97" s="34"/>
      <c r="CP97" s="34"/>
      <c r="CQ97" s="34"/>
      <c r="CR97" s="34"/>
      <c r="CS97" s="34"/>
      <c r="CT97" s="34"/>
      <c r="CU97" s="34"/>
      <c r="CV97" s="34"/>
      <c r="CW97" s="34"/>
      <c r="CX97" s="34"/>
      <c r="CY97" s="34"/>
      <c r="CZ97" s="34"/>
      <c r="DA97" s="34"/>
      <c r="DB97" s="34"/>
      <c r="DC97" s="34"/>
      <c r="DD97" s="34"/>
      <c r="DE97" s="34"/>
      <c r="DF97" s="34"/>
      <c r="DG97" s="34"/>
      <c r="DH97" s="34"/>
      <c r="DI97" s="34"/>
      <c r="DJ97" s="34"/>
      <c r="DK97" s="34"/>
      <c r="DL97" s="34"/>
      <c r="DM97" s="34"/>
      <c r="DN97" s="34"/>
      <c r="DO97" s="34"/>
      <c r="DP97" s="34"/>
      <c r="DQ97" s="34"/>
      <c r="DR97" s="34"/>
      <c r="DS97" s="34"/>
      <c r="DT97" s="34"/>
      <c r="DU97" s="34"/>
      <c r="DV97" s="34"/>
      <c r="DW97" s="34"/>
      <c r="DX97" s="34"/>
      <c r="DY97" s="34"/>
      <c r="DZ97" s="34"/>
      <c r="EA97" s="34"/>
      <c r="EB97" s="34"/>
      <c r="EC97" s="34"/>
      <c r="ED97" s="34"/>
      <c r="EE97" s="34"/>
      <c r="EF97" s="34"/>
      <c r="EG97" s="34"/>
      <c r="EH97" s="34"/>
      <c r="EI97" s="34"/>
      <c r="EJ97" s="34"/>
      <c r="EK97" s="34"/>
      <c r="EL97" s="34"/>
      <c r="EM97" s="34"/>
      <c r="EN97" s="34"/>
      <c r="EO97" s="34"/>
      <c r="EP97" s="34"/>
      <c r="EQ97" s="34"/>
      <c r="ER97" s="34"/>
      <c r="ES97" s="34"/>
      <c r="ET97" s="34"/>
      <c r="EU97" s="34"/>
      <c r="EV97" s="34"/>
      <c r="EW97" s="34"/>
      <c r="EX97" s="34"/>
      <c r="EY97" s="34"/>
      <c r="EZ97" s="34"/>
      <c r="FA97" s="34"/>
      <c r="FB97" s="34"/>
      <c r="FC97" s="34"/>
      <c r="FD97" s="34"/>
      <c r="FE97" s="34"/>
      <c r="FF97" s="34"/>
      <c r="FG97" s="34"/>
      <c r="FH97" s="34"/>
      <c r="FI97" s="34"/>
      <c r="FJ97" s="34"/>
      <c r="FK97" s="34"/>
      <c r="FL97" s="34"/>
      <c r="FM97" s="34"/>
      <c r="FN97" s="34"/>
      <c r="FO97" s="34"/>
      <c r="FP97" s="34"/>
      <c r="FQ97" s="34"/>
      <c r="FR97" s="34"/>
      <c r="FS97" s="34"/>
      <c r="FT97" s="34"/>
      <c r="FU97" s="34"/>
      <c r="FV97" s="34"/>
      <c r="FW97" s="34"/>
      <c r="FX97" s="34"/>
      <c r="FY97" s="34"/>
      <c r="FZ97" s="34"/>
      <c r="GA97" s="34"/>
      <c r="GB97" s="34"/>
      <c r="GC97" s="34"/>
      <c r="GD97" s="34"/>
      <c r="GE97" s="34"/>
      <c r="GF97" s="34"/>
      <c r="GG97" s="34"/>
      <c r="GH97" s="34"/>
      <c r="GI97" s="34"/>
      <c r="GJ97" s="34"/>
      <c r="GK97" s="34"/>
      <c r="GL97" s="34"/>
      <c r="GM97" s="34"/>
      <c r="GN97" s="34"/>
      <c r="GO97" s="34"/>
      <c r="GP97" s="35"/>
    </row>
  </sheetData>
  <phoneticPr fontId="7" type="noConversion"/>
  <pageMargins left="0.7" right="0.7" top="0.78740157499999996" bottom="0.78740157499999996" header="0.3" footer="0.3"/>
  <pageSetup paperSize="9" orientation="portrait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Tabelle5"/>
  <dimension ref="A1:E340"/>
  <sheetViews>
    <sheetView zoomScale="85" zoomScaleNormal="85" workbookViewId="0">
      <selection activeCell="C331" sqref="C331:D331"/>
    </sheetView>
  </sheetViews>
  <sheetFormatPr baseColWidth="10" defaultRowHeight="15"/>
  <cols>
    <col min="1" max="1" width="37.5703125" bestFit="1" customWidth="1"/>
    <col min="2" max="2" width="6" style="225" bestFit="1" customWidth="1"/>
    <col min="3" max="3" width="73.7109375" customWidth="1"/>
    <col min="4" max="4" width="77" customWidth="1"/>
  </cols>
  <sheetData>
    <row r="1" spans="1:5" s="108" customFormat="1" ht="26.25">
      <c r="A1" s="109" t="s">
        <v>163</v>
      </c>
      <c r="B1" s="111"/>
      <c r="C1" s="108" t="s">
        <v>162</v>
      </c>
    </row>
    <row r="2" spans="1:5" s="108" customFormat="1">
      <c r="B2" s="111"/>
      <c r="C2" s="144" t="s">
        <v>173</v>
      </c>
      <c r="D2" s="144" t="s">
        <v>3969</v>
      </c>
    </row>
    <row r="3" spans="1:5" s="112" customFormat="1">
      <c r="A3" s="141" t="s">
        <v>171</v>
      </c>
      <c r="B3" s="142" t="s">
        <v>172</v>
      </c>
      <c r="C3" s="143">
        <v>1</v>
      </c>
      <c r="D3" s="143">
        <v>4</v>
      </c>
    </row>
    <row r="4" spans="1:5" s="113" customFormat="1" ht="15.75">
      <c r="A4" s="115" t="str">
        <f>"! --- "&amp;INDEX(MLtextDivisions,1)</f>
        <v>! --- User Interface - UI_xxxFIELD text</v>
      </c>
      <c r="B4" s="114"/>
    </row>
    <row r="5" spans="1:5" s="121" customFormat="1">
      <c r="A5" s="120" t="s">
        <v>3948</v>
      </c>
      <c r="B5" s="120">
        <v>1</v>
      </c>
      <c r="C5" s="321" t="s">
        <v>3949</v>
      </c>
      <c r="D5" s="321" t="s">
        <v>3977</v>
      </c>
      <c r="E5" s="324" t="str">
        <f t="shared" ref="E5:E36" si="0">IF(LEN($C5)-LEN(D5)&lt;0,TEXT(LEN(D5)/LEN($C5),"0 %")&amp;" ("&amp;LEN(D5)-LEN($C5)&amp;")","")</f>
        <v/>
      </c>
    </row>
    <row r="6" spans="1:5" s="121" customFormat="1">
      <c r="A6" s="120" t="s">
        <v>3948</v>
      </c>
      <c r="B6" s="120">
        <v>2</v>
      </c>
      <c r="C6" s="321" t="s">
        <v>4063</v>
      </c>
      <c r="D6" s="321" t="s">
        <v>4064</v>
      </c>
      <c r="E6" s="324" t="str">
        <f t="shared" si="0"/>
        <v/>
      </c>
    </row>
    <row r="7" spans="1:5" s="121" customFormat="1">
      <c r="A7" s="120" t="s">
        <v>3948</v>
      </c>
      <c r="B7" s="120">
        <v>3</v>
      </c>
      <c r="C7" s="321" t="s">
        <v>3950</v>
      </c>
      <c r="D7" s="321" t="s">
        <v>3978</v>
      </c>
      <c r="E7" s="324" t="str">
        <f t="shared" si="0"/>
        <v/>
      </c>
    </row>
    <row r="8" spans="1:5" s="121" customFormat="1">
      <c r="A8" s="120" t="s">
        <v>3948</v>
      </c>
      <c r="B8" s="120">
        <v>4</v>
      </c>
      <c r="C8" s="321" t="s">
        <v>3951</v>
      </c>
      <c r="D8" s="321" t="s">
        <v>3979</v>
      </c>
      <c r="E8" s="324" t="str">
        <f t="shared" si="0"/>
        <v>120 % (2)</v>
      </c>
    </row>
    <row r="9" spans="1:5" s="121" customFormat="1">
      <c r="A9" s="120" t="s">
        <v>3948</v>
      </c>
      <c r="B9" s="120">
        <v>5</v>
      </c>
      <c r="C9" s="321" t="s">
        <v>3952</v>
      </c>
      <c r="D9" s="321" t="s">
        <v>3980</v>
      </c>
      <c r="E9" s="324" t="str">
        <f t="shared" si="0"/>
        <v/>
      </c>
    </row>
    <row r="10" spans="1:5" s="121" customFormat="1">
      <c r="A10" s="120" t="s">
        <v>3948</v>
      </c>
      <c r="B10" s="120">
        <v>6</v>
      </c>
      <c r="C10" s="321" t="s">
        <v>3953</v>
      </c>
      <c r="D10" s="321" t="s">
        <v>3981</v>
      </c>
      <c r="E10" s="324" t="str">
        <f t="shared" si="0"/>
        <v/>
      </c>
    </row>
    <row r="11" spans="1:5" s="121" customFormat="1">
      <c r="A11" s="120" t="s">
        <v>3948</v>
      </c>
      <c r="B11" s="120">
        <v>7</v>
      </c>
      <c r="C11" s="321" t="s">
        <v>3954</v>
      </c>
      <c r="D11" s="321" t="s">
        <v>3982</v>
      </c>
      <c r="E11" s="324" t="str">
        <f t="shared" si="0"/>
        <v>118 % (2)</v>
      </c>
    </row>
    <row r="12" spans="1:5" s="121" customFormat="1">
      <c r="A12" s="120" t="s">
        <v>3948</v>
      </c>
      <c r="B12" s="120">
        <v>8</v>
      </c>
      <c r="C12" s="321" t="s">
        <v>3955</v>
      </c>
      <c r="D12" s="321" t="s">
        <v>4004</v>
      </c>
      <c r="E12" s="324" t="str">
        <f t="shared" si="0"/>
        <v>110 % (1)</v>
      </c>
    </row>
    <row r="13" spans="1:5" s="121" customFormat="1">
      <c r="A13" s="120" t="s">
        <v>3948</v>
      </c>
      <c r="B13" s="120">
        <v>9</v>
      </c>
      <c r="C13" s="321" t="s">
        <v>3956</v>
      </c>
      <c r="D13" s="321" t="s">
        <v>3983</v>
      </c>
      <c r="E13" s="324" t="str">
        <f t="shared" si="0"/>
        <v>145 % (5)</v>
      </c>
    </row>
    <row r="14" spans="1:5" s="121" customFormat="1">
      <c r="A14" s="120" t="s">
        <v>3948</v>
      </c>
      <c r="B14" s="120">
        <v>10</v>
      </c>
      <c r="C14" s="321" t="s">
        <v>3957</v>
      </c>
      <c r="D14" s="321" t="s">
        <v>3984</v>
      </c>
      <c r="E14" s="324" t="str">
        <f t="shared" si="0"/>
        <v>102 % (2)</v>
      </c>
    </row>
    <row r="15" spans="1:5" s="121" customFormat="1">
      <c r="A15" s="120" t="s">
        <v>3948</v>
      </c>
      <c r="B15" s="120">
        <v>11</v>
      </c>
      <c r="C15" s="121" t="s">
        <v>4083</v>
      </c>
      <c r="D15" s="121" t="s">
        <v>4111</v>
      </c>
      <c r="E15" s="324" t="str">
        <f t="shared" si="0"/>
        <v/>
      </c>
    </row>
    <row r="16" spans="1:5" s="121" customFormat="1">
      <c r="A16" s="120" t="s">
        <v>3948</v>
      </c>
      <c r="B16" s="120">
        <v>12</v>
      </c>
      <c r="C16" s="121" t="s">
        <v>4114</v>
      </c>
      <c r="D16" s="121" t="s">
        <v>4251</v>
      </c>
      <c r="E16" s="324" t="str">
        <f t="shared" si="0"/>
        <v/>
      </c>
    </row>
    <row r="17" spans="1:5" s="121" customFormat="1">
      <c r="A17" s="120" t="s">
        <v>3948</v>
      </c>
      <c r="B17" s="120">
        <v>13</v>
      </c>
      <c r="C17" s="121" t="s">
        <v>4115</v>
      </c>
      <c r="D17" s="121" t="s">
        <v>4252</v>
      </c>
      <c r="E17" s="324" t="str">
        <f t="shared" si="0"/>
        <v/>
      </c>
    </row>
    <row r="18" spans="1:5" s="121" customFormat="1">
      <c r="A18" s="120" t="s">
        <v>3948</v>
      </c>
      <c r="B18" s="120">
        <v>14</v>
      </c>
      <c r="C18" s="121" t="s">
        <v>4116</v>
      </c>
      <c r="D18" s="121" t="s">
        <v>4253</v>
      </c>
      <c r="E18" s="324" t="str">
        <f t="shared" si="0"/>
        <v/>
      </c>
    </row>
    <row r="19" spans="1:5" s="121" customFormat="1">
      <c r="A19" s="120" t="s">
        <v>3948</v>
      </c>
      <c r="B19" s="120">
        <v>15</v>
      </c>
      <c r="C19" s="121" t="s">
        <v>4117</v>
      </c>
      <c r="D19" s="121" t="s">
        <v>4254</v>
      </c>
      <c r="E19" s="324" t="str">
        <f t="shared" si="0"/>
        <v/>
      </c>
    </row>
    <row r="20" spans="1:5" s="121" customFormat="1">
      <c r="A20" s="120" t="s">
        <v>3948</v>
      </c>
      <c r="B20" s="120">
        <v>16</v>
      </c>
      <c r="C20" s="121" t="s">
        <v>4379</v>
      </c>
      <c r="D20" s="323" t="s">
        <v>4379</v>
      </c>
      <c r="E20" s="324" t="str">
        <f t="shared" si="0"/>
        <v/>
      </c>
    </row>
    <row r="21" spans="1:5" s="121" customFormat="1">
      <c r="A21" s="120" t="s">
        <v>3948</v>
      </c>
      <c r="B21" s="120">
        <v>17</v>
      </c>
      <c r="C21" s="121" t="s">
        <v>4380</v>
      </c>
      <c r="D21" s="121" t="s">
        <v>4380</v>
      </c>
      <c r="E21" s="324" t="str">
        <f t="shared" si="0"/>
        <v/>
      </c>
    </row>
    <row r="22" spans="1:5" s="121" customFormat="1">
      <c r="A22" s="120" t="s">
        <v>3948</v>
      </c>
      <c r="B22" s="120">
        <v>18</v>
      </c>
      <c r="C22" s="121" t="s">
        <v>4118</v>
      </c>
      <c r="D22" s="121" t="s">
        <v>4255</v>
      </c>
      <c r="E22" s="324" t="str">
        <f t="shared" si="0"/>
        <v/>
      </c>
    </row>
    <row r="23" spans="1:5" s="121" customFormat="1">
      <c r="A23" s="120" t="s">
        <v>3948</v>
      </c>
      <c r="B23" s="120">
        <v>19</v>
      </c>
      <c r="C23" s="121" t="s">
        <v>4084</v>
      </c>
      <c r="D23" s="121" t="s">
        <v>4256</v>
      </c>
      <c r="E23" s="324" t="str">
        <f t="shared" si="0"/>
        <v>102 % (2)</v>
      </c>
    </row>
    <row r="24" spans="1:5" s="121" customFormat="1">
      <c r="A24" s="120" t="s">
        <v>3948</v>
      </c>
      <c r="B24" s="120">
        <v>20</v>
      </c>
      <c r="C24" s="121" t="s">
        <v>4085</v>
      </c>
      <c r="D24" s="121" t="s">
        <v>4110</v>
      </c>
      <c r="E24" s="324" t="str">
        <f t="shared" si="0"/>
        <v>133 % (4)</v>
      </c>
    </row>
    <row r="25" spans="1:5" s="121" customFormat="1">
      <c r="A25" s="120" t="s">
        <v>3948</v>
      </c>
      <c r="B25" s="120">
        <v>21</v>
      </c>
      <c r="C25" s="121" t="s">
        <v>4086</v>
      </c>
      <c r="D25" s="121" t="s">
        <v>4109</v>
      </c>
      <c r="E25" s="324" t="str">
        <f t="shared" si="0"/>
        <v>142 % (5)</v>
      </c>
    </row>
    <row r="26" spans="1:5" s="121" customFormat="1">
      <c r="A26" s="120" t="s">
        <v>3948</v>
      </c>
      <c r="B26" s="120">
        <v>22</v>
      </c>
      <c r="C26" s="121" t="s">
        <v>4087</v>
      </c>
      <c r="D26" s="121" t="s">
        <v>4257</v>
      </c>
      <c r="E26" s="324" t="str">
        <f t="shared" si="0"/>
        <v>131 % (4)</v>
      </c>
    </row>
    <row r="27" spans="1:5" s="121" customFormat="1">
      <c r="A27" s="120" t="s">
        <v>3948</v>
      </c>
      <c r="B27" s="120">
        <v>23</v>
      </c>
      <c r="C27" s="121" t="s">
        <v>4088</v>
      </c>
      <c r="D27" s="121" t="s">
        <v>4263</v>
      </c>
      <c r="E27" s="324" t="str">
        <f t="shared" si="0"/>
        <v>158 % (7)</v>
      </c>
    </row>
    <row r="28" spans="1:5" s="121" customFormat="1">
      <c r="A28" s="120" t="s">
        <v>3948</v>
      </c>
      <c r="B28" s="120">
        <v>24</v>
      </c>
      <c r="C28" s="121" t="s">
        <v>4089</v>
      </c>
      <c r="D28" s="121" t="s">
        <v>4266</v>
      </c>
      <c r="E28" s="324" t="str">
        <f t="shared" si="0"/>
        <v>133 % (5)</v>
      </c>
    </row>
    <row r="29" spans="1:5" s="121" customFormat="1">
      <c r="A29" s="120" t="s">
        <v>3948</v>
      </c>
      <c r="B29" s="120">
        <v>25</v>
      </c>
      <c r="C29" s="121" t="s">
        <v>4090</v>
      </c>
      <c r="D29" s="121" t="s">
        <v>4262</v>
      </c>
      <c r="E29" s="324" t="str">
        <f t="shared" si="0"/>
        <v>140 % (6)</v>
      </c>
    </row>
    <row r="30" spans="1:5" s="121" customFormat="1">
      <c r="A30" s="120" t="s">
        <v>3948</v>
      </c>
      <c r="B30" s="120">
        <v>26</v>
      </c>
      <c r="C30" s="121" t="s">
        <v>4091</v>
      </c>
      <c r="D30" s="121" t="s">
        <v>4261</v>
      </c>
      <c r="E30" s="324" t="str">
        <f t="shared" si="0"/>
        <v>117 % (3)</v>
      </c>
    </row>
    <row r="31" spans="1:5" s="121" customFormat="1">
      <c r="A31" s="120" t="s">
        <v>3948</v>
      </c>
      <c r="B31" s="120">
        <v>27</v>
      </c>
      <c r="C31" s="121" t="s">
        <v>4092</v>
      </c>
      <c r="D31" s="121" t="s">
        <v>4260</v>
      </c>
      <c r="E31" s="324" t="str">
        <f t="shared" si="0"/>
        <v>111 % (2)</v>
      </c>
    </row>
    <row r="32" spans="1:5" s="121" customFormat="1">
      <c r="A32" s="120" t="s">
        <v>3948</v>
      </c>
      <c r="B32" s="120">
        <v>28</v>
      </c>
      <c r="C32" s="121" t="s">
        <v>4093</v>
      </c>
      <c r="D32" s="121" t="s">
        <v>4259</v>
      </c>
      <c r="E32" s="324" t="str">
        <f t="shared" si="0"/>
        <v>105 % (1)</v>
      </c>
    </row>
    <row r="33" spans="1:5" s="121" customFormat="1">
      <c r="A33" s="120" t="s">
        <v>3948</v>
      </c>
      <c r="B33" s="120">
        <v>29</v>
      </c>
      <c r="C33" s="121" t="s">
        <v>4094</v>
      </c>
      <c r="D33" s="121" t="s">
        <v>4265</v>
      </c>
      <c r="E33" s="324" t="str">
        <f t="shared" si="0"/>
        <v>142 % (5)</v>
      </c>
    </row>
    <row r="34" spans="1:5" s="121" customFormat="1">
      <c r="A34" s="120" t="s">
        <v>3948</v>
      </c>
      <c r="B34" s="120">
        <v>30</v>
      </c>
      <c r="C34" s="121" t="s">
        <v>4095</v>
      </c>
      <c r="D34" s="121" t="s">
        <v>4264</v>
      </c>
      <c r="E34" s="324" t="str">
        <f t="shared" si="0"/>
        <v/>
      </c>
    </row>
    <row r="35" spans="1:5" s="121" customFormat="1">
      <c r="A35" s="120" t="s">
        <v>3948</v>
      </c>
      <c r="B35" s="120">
        <v>31</v>
      </c>
      <c r="C35" s="121" t="s">
        <v>4096</v>
      </c>
      <c r="D35" s="121" t="s">
        <v>4267</v>
      </c>
      <c r="E35" s="324" t="str">
        <f t="shared" si="0"/>
        <v>120 % (2)</v>
      </c>
    </row>
    <row r="36" spans="1:5" s="121" customFormat="1">
      <c r="A36" s="120" t="s">
        <v>3948</v>
      </c>
      <c r="B36" s="120">
        <v>32</v>
      </c>
      <c r="C36" s="121" t="s">
        <v>4119</v>
      </c>
      <c r="D36" s="121" t="s">
        <v>4286</v>
      </c>
      <c r="E36" s="324" t="str">
        <f t="shared" si="0"/>
        <v>124 % (4)</v>
      </c>
    </row>
    <row r="37" spans="1:5" s="121" customFormat="1">
      <c r="A37" s="120" t="s">
        <v>3948</v>
      </c>
      <c r="B37" s="120">
        <v>33</v>
      </c>
      <c r="C37" s="121" t="s">
        <v>4120</v>
      </c>
      <c r="D37" s="121" t="s">
        <v>4287</v>
      </c>
      <c r="E37" s="324" t="str">
        <f t="shared" ref="E37:E68" si="1">IF(LEN($C37)-LEN(D37)&lt;0,TEXT(LEN(D37)/LEN($C37),"0 %")&amp;" ("&amp;LEN(D37)-LEN($C37)&amp;")","")</f>
        <v/>
      </c>
    </row>
    <row r="38" spans="1:5" s="121" customFormat="1">
      <c r="A38" s="120" t="s">
        <v>3948</v>
      </c>
      <c r="B38" s="120">
        <v>34</v>
      </c>
      <c r="C38" s="121" t="s">
        <v>4121</v>
      </c>
      <c r="D38" s="121" t="s">
        <v>4258</v>
      </c>
      <c r="E38" s="324" t="str">
        <f t="shared" si="1"/>
        <v/>
      </c>
    </row>
    <row r="39" spans="1:5" s="121" customFormat="1">
      <c r="A39" s="120" t="s">
        <v>3948</v>
      </c>
      <c r="B39" s="120">
        <v>35</v>
      </c>
      <c r="C39" s="121" t="s">
        <v>4122</v>
      </c>
      <c r="D39" s="121" t="s">
        <v>4122</v>
      </c>
      <c r="E39" s="324" t="str">
        <f t="shared" si="1"/>
        <v/>
      </c>
    </row>
    <row r="40" spans="1:5" s="121" customFormat="1">
      <c r="A40" s="120" t="s">
        <v>3948</v>
      </c>
      <c r="B40" s="120">
        <v>36</v>
      </c>
      <c r="C40" s="121" t="s">
        <v>4123</v>
      </c>
      <c r="D40" s="121" t="s">
        <v>4291</v>
      </c>
      <c r="E40" s="324" t="str">
        <f t="shared" si="1"/>
        <v>125 % (4)</v>
      </c>
    </row>
    <row r="41" spans="1:5" s="121" customFormat="1">
      <c r="A41" s="120" t="s">
        <v>3948</v>
      </c>
      <c r="B41" s="120">
        <v>37</v>
      </c>
      <c r="C41" s="121" t="s">
        <v>4124</v>
      </c>
      <c r="D41" s="121" t="s">
        <v>4274</v>
      </c>
      <c r="E41" s="324" t="str">
        <f t="shared" si="1"/>
        <v>117 % (2)</v>
      </c>
    </row>
    <row r="42" spans="1:5" s="121" customFormat="1">
      <c r="A42" s="120" t="s">
        <v>3948</v>
      </c>
      <c r="B42" s="120">
        <v>38</v>
      </c>
      <c r="C42" s="121" t="s">
        <v>4125</v>
      </c>
      <c r="D42" s="121" t="s">
        <v>4125</v>
      </c>
      <c r="E42" s="324" t="str">
        <f t="shared" si="1"/>
        <v/>
      </c>
    </row>
    <row r="43" spans="1:5" s="121" customFormat="1">
      <c r="A43" s="120" t="s">
        <v>3948</v>
      </c>
      <c r="B43" s="120">
        <v>39</v>
      </c>
      <c r="C43" s="121" t="s">
        <v>4126</v>
      </c>
      <c r="D43" s="121" t="s">
        <v>4276</v>
      </c>
      <c r="E43" s="324" t="str">
        <f t="shared" si="1"/>
        <v/>
      </c>
    </row>
    <row r="44" spans="1:5" s="121" customFormat="1">
      <c r="A44" s="120" t="s">
        <v>3948</v>
      </c>
      <c r="B44" s="120">
        <v>40</v>
      </c>
      <c r="C44" s="121" t="s">
        <v>4127</v>
      </c>
      <c r="D44" s="121" t="s">
        <v>4275</v>
      </c>
      <c r="E44" s="324" t="str">
        <f t="shared" si="1"/>
        <v/>
      </c>
    </row>
    <row r="45" spans="1:5" s="121" customFormat="1">
      <c r="A45" s="120" t="s">
        <v>3948</v>
      </c>
      <c r="B45" s="120">
        <v>41</v>
      </c>
      <c r="C45" s="121" t="s">
        <v>4128</v>
      </c>
      <c r="D45" s="121" t="s">
        <v>4278</v>
      </c>
      <c r="E45" s="324" t="str">
        <f t="shared" si="1"/>
        <v/>
      </c>
    </row>
    <row r="46" spans="1:5" s="121" customFormat="1">
      <c r="A46" s="120" t="s">
        <v>3948</v>
      </c>
      <c r="B46" s="120">
        <v>42</v>
      </c>
      <c r="C46" s="121" t="s">
        <v>4129</v>
      </c>
      <c r="D46" s="121" t="s">
        <v>4277</v>
      </c>
      <c r="E46" s="324" t="str">
        <f t="shared" si="1"/>
        <v/>
      </c>
    </row>
    <row r="47" spans="1:5" s="121" customFormat="1">
      <c r="A47" s="120" t="s">
        <v>3948</v>
      </c>
      <c r="B47" s="120">
        <v>43</v>
      </c>
      <c r="C47" s="121" t="s">
        <v>4130</v>
      </c>
      <c r="D47" s="121" t="s">
        <v>4273</v>
      </c>
      <c r="E47" s="324" t="str">
        <f t="shared" si="1"/>
        <v/>
      </c>
    </row>
    <row r="48" spans="1:5" s="121" customFormat="1">
      <c r="A48" s="120" t="s">
        <v>3948</v>
      </c>
      <c r="B48" s="120">
        <v>44</v>
      </c>
      <c r="C48" s="121" t="s">
        <v>4131</v>
      </c>
      <c r="D48" s="121" t="s">
        <v>4131</v>
      </c>
      <c r="E48" s="324" t="str">
        <f t="shared" si="1"/>
        <v/>
      </c>
    </row>
    <row r="49" spans="1:5" s="121" customFormat="1">
      <c r="A49" s="120" t="s">
        <v>3948</v>
      </c>
      <c r="B49" s="120">
        <v>45</v>
      </c>
      <c r="C49" s="121" t="s">
        <v>4112</v>
      </c>
      <c r="D49" s="121" t="s">
        <v>4294</v>
      </c>
      <c r="E49" s="324" t="str">
        <f t="shared" si="1"/>
        <v/>
      </c>
    </row>
    <row r="50" spans="1:5" s="121" customFormat="1">
      <c r="A50" s="120" t="s">
        <v>3948</v>
      </c>
      <c r="B50" s="120">
        <v>46</v>
      </c>
      <c r="C50" s="121" t="s">
        <v>4132</v>
      </c>
      <c r="D50" s="121" t="s">
        <v>4293</v>
      </c>
      <c r="E50" s="324" t="str">
        <f t="shared" si="1"/>
        <v>118 % (2)</v>
      </c>
    </row>
    <row r="51" spans="1:5" s="121" customFormat="1">
      <c r="A51" s="120" t="s">
        <v>3948</v>
      </c>
      <c r="B51" s="120">
        <v>47</v>
      </c>
      <c r="C51" s="121" t="s">
        <v>4133</v>
      </c>
      <c r="D51" s="121" t="s">
        <v>4292</v>
      </c>
      <c r="E51" s="324" t="str">
        <f t="shared" si="1"/>
        <v>164 % (7)</v>
      </c>
    </row>
    <row r="52" spans="1:5" s="121" customFormat="1">
      <c r="A52" s="120" t="s">
        <v>3948</v>
      </c>
      <c r="B52" s="120">
        <v>48</v>
      </c>
      <c r="C52" s="121" t="s">
        <v>4134</v>
      </c>
      <c r="D52" s="121" t="s">
        <v>4295</v>
      </c>
      <c r="E52" s="324" t="str">
        <f t="shared" si="1"/>
        <v>120 % (2)</v>
      </c>
    </row>
    <row r="53" spans="1:5" s="121" customFormat="1">
      <c r="A53" s="120" t="s">
        <v>3948</v>
      </c>
      <c r="B53" s="120">
        <v>49</v>
      </c>
      <c r="C53" s="121" t="s">
        <v>4135</v>
      </c>
      <c r="D53" s="121" t="s">
        <v>4296</v>
      </c>
      <c r="E53" s="324" t="str">
        <f t="shared" si="1"/>
        <v>112 % (2)</v>
      </c>
    </row>
    <row r="54" spans="1:5" s="121" customFormat="1">
      <c r="A54" s="120" t="s">
        <v>3948</v>
      </c>
      <c r="B54" s="120">
        <v>50</v>
      </c>
      <c r="C54" s="121" t="s">
        <v>4136</v>
      </c>
      <c r="D54" s="121" t="s">
        <v>4250</v>
      </c>
      <c r="E54" s="324" t="str">
        <f t="shared" si="1"/>
        <v/>
      </c>
    </row>
    <row r="55" spans="1:5" s="121" customFormat="1">
      <c r="A55" s="120" t="s">
        <v>3948</v>
      </c>
      <c r="B55" s="120">
        <v>51</v>
      </c>
      <c r="C55" s="121" t="s">
        <v>4137</v>
      </c>
      <c r="D55" s="121" t="s">
        <v>4249</v>
      </c>
      <c r="E55" s="324" t="str">
        <f t="shared" si="1"/>
        <v/>
      </c>
    </row>
    <row r="56" spans="1:5" s="121" customFormat="1">
      <c r="A56" s="120" t="s">
        <v>3948</v>
      </c>
      <c r="B56" s="120">
        <v>52</v>
      </c>
      <c r="C56" s="121" t="s">
        <v>4138</v>
      </c>
      <c r="D56" s="121" t="s">
        <v>4297</v>
      </c>
      <c r="E56" s="324" t="str">
        <f t="shared" si="1"/>
        <v/>
      </c>
    </row>
    <row r="57" spans="1:5" s="121" customFormat="1">
      <c r="A57" s="120" t="s">
        <v>3948</v>
      </c>
      <c r="B57" s="120">
        <v>53</v>
      </c>
      <c r="C57" s="121" t="s">
        <v>4139</v>
      </c>
      <c r="D57" s="121" t="s">
        <v>4298</v>
      </c>
      <c r="E57" s="324" t="str">
        <f t="shared" si="1"/>
        <v/>
      </c>
    </row>
    <row r="58" spans="1:5" s="121" customFormat="1">
      <c r="A58" s="120" t="s">
        <v>3948</v>
      </c>
      <c r="B58" s="120">
        <v>54</v>
      </c>
      <c r="C58" s="121" t="s">
        <v>4140</v>
      </c>
      <c r="D58" s="121" t="s">
        <v>4288</v>
      </c>
      <c r="E58" s="324" t="str">
        <f t="shared" si="1"/>
        <v>110 % (2)</v>
      </c>
    </row>
    <row r="59" spans="1:5" s="121" customFormat="1">
      <c r="A59" s="120" t="s">
        <v>3948</v>
      </c>
      <c r="B59" s="120">
        <v>55</v>
      </c>
      <c r="C59" s="121" t="s">
        <v>4141</v>
      </c>
      <c r="D59" s="121" t="s">
        <v>4290</v>
      </c>
      <c r="E59" s="324" t="str">
        <f t="shared" si="1"/>
        <v>133 % (4)</v>
      </c>
    </row>
    <row r="60" spans="1:5" s="121" customFormat="1">
      <c r="A60" s="120" t="s">
        <v>3948</v>
      </c>
      <c r="B60" s="120">
        <v>56</v>
      </c>
      <c r="C60" s="121" t="s">
        <v>4142</v>
      </c>
      <c r="D60" s="121" t="s">
        <v>4268</v>
      </c>
      <c r="E60" s="324" t="str">
        <f t="shared" si="1"/>
        <v>110 % (2)</v>
      </c>
    </row>
    <row r="61" spans="1:5" s="121" customFormat="1">
      <c r="A61" s="120" t="s">
        <v>3948</v>
      </c>
      <c r="B61" s="120">
        <v>57</v>
      </c>
      <c r="C61" s="121" t="s">
        <v>4143</v>
      </c>
      <c r="D61" s="121" t="s">
        <v>4285</v>
      </c>
      <c r="E61" s="324" t="str">
        <f t="shared" si="1"/>
        <v/>
      </c>
    </row>
    <row r="62" spans="1:5" s="121" customFormat="1">
      <c r="A62" s="120" t="s">
        <v>3948</v>
      </c>
      <c r="B62" s="120">
        <v>58</v>
      </c>
      <c r="C62" s="121" t="s">
        <v>4144</v>
      </c>
      <c r="D62" s="121" t="s">
        <v>4284</v>
      </c>
      <c r="E62" s="324" t="str">
        <f t="shared" si="1"/>
        <v/>
      </c>
    </row>
    <row r="63" spans="1:5" s="121" customFormat="1">
      <c r="A63" s="120" t="s">
        <v>3948</v>
      </c>
      <c r="B63" s="120">
        <v>59</v>
      </c>
      <c r="C63" s="121" t="s">
        <v>4145</v>
      </c>
      <c r="D63" s="121" t="s">
        <v>4283</v>
      </c>
      <c r="E63" s="324" t="str">
        <f t="shared" si="1"/>
        <v/>
      </c>
    </row>
    <row r="64" spans="1:5" s="121" customFormat="1">
      <c r="A64" s="120" t="s">
        <v>3948</v>
      </c>
      <c r="B64" s="120">
        <v>60</v>
      </c>
      <c r="C64" s="121" t="s">
        <v>4146</v>
      </c>
      <c r="D64" s="121" t="s">
        <v>4146</v>
      </c>
      <c r="E64" s="324" t="str">
        <f t="shared" si="1"/>
        <v/>
      </c>
    </row>
    <row r="65" spans="1:5" s="121" customFormat="1">
      <c r="A65" s="120" t="s">
        <v>3948</v>
      </c>
      <c r="B65" s="120">
        <v>61</v>
      </c>
      <c r="C65" s="121" t="s">
        <v>4147</v>
      </c>
      <c r="D65" s="121" t="s">
        <v>4289</v>
      </c>
      <c r="E65" s="324" t="str">
        <f t="shared" si="1"/>
        <v/>
      </c>
    </row>
    <row r="66" spans="1:5" s="121" customFormat="1">
      <c r="A66" s="120" t="s">
        <v>3948</v>
      </c>
      <c r="B66" s="120">
        <v>62</v>
      </c>
      <c r="C66" s="121" t="s">
        <v>4148</v>
      </c>
      <c r="D66" s="121" t="s">
        <v>4270</v>
      </c>
      <c r="E66" s="324" t="str">
        <f t="shared" si="1"/>
        <v>109 % (2)</v>
      </c>
    </row>
    <row r="67" spans="1:5" s="121" customFormat="1">
      <c r="A67" s="120" t="s">
        <v>3948</v>
      </c>
      <c r="B67" s="120">
        <v>63</v>
      </c>
      <c r="C67" s="121" t="s">
        <v>4149</v>
      </c>
      <c r="D67" s="121" t="s">
        <v>4269</v>
      </c>
      <c r="E67" s="324" t="str">
        <f t="shared" si="1"/>
        <v/>
      </c>
    </row>
    <row r="68" spans="1:5" s="121" customFormat="1">
      <c r="A68" s="120" t="s">
        <v>3948</v>
      </c>
      <c r="B68" s="120">
        <v>64</v>
      </c>
      <c r="C68" s="121" t="s">
        <v>4150</v>
      </c>
      <c r="D68" s="121" t="s">
        <v>4271</v>
      </c>
      <c r="E68" s="324" t="str">
        <f t="shared" si="1"/>
        <v/>
      </c>
    </row>
    <row r="69" spans="1:5" s="121" customFormat="1">
      <c r="A69" s="120" t="s">
        <v>3948</v>
      </c>
      <c r="B69" s="120">
        <v>65</v>
      </c>
      <c r="C69" s="121" t="s">
        <v>4151</v>
      </c>
      <c r="D69" s="121" t="s">
        <v>4272</v>
      </c>
      <c r="E69" s="324" t="str">
        <f t="shared" ref="E69:E100" si="2">IF(LEN($C69)-LEN(D69)&lt;0,TEXT(LEN(D69)/LEN($C69),"0 %")&amp;" ("&amp;LEN(D69)-LEN($C69)&amp;")","")</f>
        <v/>
      </c>
    </row>
    <row r="70" spans="1:5" s="121" customFormat="1">
      <c r="A70" s="120" t="s">
        <v>3948</v>
      </c>
      <c r="B70" s="120">
        <v>66</v>
      </c>
      <c r="C70" s="121" t="s">
        <v>4113</v>
      </c>
      <c r="D70" s="121" t="s">
        <v>4282</v>
      </c>
      <c r="E70" s="324" t="str">
        <f t="shared" si="2"/>
        <v/>
      </c>
    </row>
    <row r="71" spans="1:5" s="121" customFormat="1">
      <c r="A71" s="120" t="s">
        <v>3948</v>
      </c>
      <c r="B71" s="120">
        <v>67</v>
      </c>
      <c r="C71" s="121" t="s">
        <v>4152</v>
      </c>
      <c r="D71" s="121" t="s">
        <v>4279</v>
      </c>
      <c r="E71" s="324" t="str">
        <f t="shared" si="2"/>
        <v/>
      </c>
    </row>
    <row r="72" spans="1:5" s="121" customFormat="1">
      <c r="A72" s="120" t="s">
        <v>3948</v>
      </c>
      <c r="B72" s="120">
        <v>68</v>
      </c>
      <c r="C72" s="121" t="s">
        <v>4153</v>
      </c>
      <c r="D72" s="121" t="s">
        <v>4281</v>
      </c>
      <c r="E72" s="324" t="str">
        <f t="shared" si="2"/>
        <v/>
      </c>
    </row>
    <row r="73" spans="1:5" s="121" customFormat="1">
      <c r="A73" s="120" t="s">
        <v>3948</v>
      </c>
      <c r="B73" s="120">
        <v>69</v>
      </c>
      <c r="C73" s="121" t="s">
        <v>4154</v>
      </c>
      <c r="D73" s="121" t="s">
        <v>4280</v>
      </c>
      <c r="E73" s="324" t="str">
        <f t="shared" si="2"/>
        <v/>
      </c>
    </row>
    <row r="74" spans="1:5" s="121" customFormat="1">
      <c r="A74" s="120" t="s">
        <v>3948</v>
      </c>
      <c r="B74" s="120">
        <v>70</v>
      </c>
      <c r="C74" s="121" t="s">
        <v>4139</v>
      </c>
      <c r="D74" s="121" t="s">
        <v>4298</v>
      </c>
      <c r="E74" s="324" t="str">
        <f t="shared" si="2"/>
        <v/>
      </c>
    </row>
    <row r="75" spans="1:5" s="121" customFormat="1">
      <c r="A75" s="120" t="s">
        <v>3948</v>
      </c>
      <c r="B75" s="120">
        <v>71</v>
      </c>
      <c r="C75" s="121" t="s">
        <v>4155</v>
      </c>
      <c r="D75" s="121" t="s">
        <v>4155</v>
      </c>
      <c r="E75" s="324" t="str">
        <f t="shared" si="2"/>
        <v/>
      </c>
    </row>
    <row r="76" spans="1:5" s="121" customFormat="1">
      <c r="A76" s="120" t="s">
        <v>3948</v>
      </c>
      <c r="B76" s="120">
        <v>72</v>
      </c>
      <c r="C76" s="121" t="s">
        <v>4156</v>
      </c>
      <c r="D76" s="121" t="s">
        <v>4202</v>
      </c>
      <c r="E76" s="324" t="str">
        <f t="shared" si="2"/>
        <v>125 % (2)</v>
      </c>
    </row>
    <row r="77" spans="1:5" s="121" customFormat="1">
      <c r="A77" s="120" t="s">
        <v>3948</v>
      </c>
      <c r="B77" s="120">
        <v>73</v>
      </c>
      <c r="C77" s="121" t="s">
        <v>4157</v>
      </c>
      <c r="D77" s="121" t="s">
        <v>4203</v>
      </c>
      <c r="E77" s="324" t="str">
        <f t="shared" si="2"/>
        <v/>
      </c>
    </row>
    <row r="78" spans="1:5" s="121" customFormat="1">
      <c r="A78" s="120" t="s">
        <v>3948</v>
      </c>
      <c r="B78" s="120">
        <v>74</v>
      </c>
      <c r="C78" s="121" t="s">
        <v>4158</v>
      </c>
      <c r="D78" s="121" t="s">
        <v>4204</v>
      </c>
      <c r="E78" s="324" t="str">
        <f t="shared" si="2"/>
        <v/>
      </c>
    </row>
    <row r="79" spans="1:5" s="121" customFormat="1">
      <c r="A79" s="120" t="s">
        <v>3948</v>
      </c>
      <c r="B79" s="120">
        <v>75</v>
      </c>
      <c r="C79" s="121" t="s">
        <v>4159</v>
      </c>
      <c r="D79" s="121" t="s">
        <v>4205</v>
      </c>
      <c r="E79" s="324" t="str">
        <f t="shared" si="2"/>
        <v>111 % (1)</v>
      </c>
    </row>
    <row r="80" spans="1:5" s="121" customFormat="1">
      <c r="A80" s="120" t="s">
        <v>3948</v>
      </c>
      <c r="B80" s="120">
        <v>76</v>
      </c>
      <c r="C80" s="121" t="s">
        <v>4160</v>
      </c>
      <c r="D80" s="121" t="s">
        <v>4206</v>
      </c>
      <c r="E80" s="324" t="str">
        <f t="shared" si="2"/>
        <v>110 % (1)</v>
      </c>
    </row>
    <row r="81" spans="1:5" s="121" customFormat="1">
      <c r="A81" s="120" t="s">
        <v>3948</v>
      </c>
      <c r="B81" s="120">
        <v>77</v>
      </c>
      <c r="C81" s="121" t="s">
        <v>4161</v>
      </c>
      <c r="D81" s="121" t="s">
        <v>4207</v>
      </c>
      <c r="E81" s="324" t="str">
        <f t="shared" si="2"/>
        <v/>
      </c>
    </row>
    <row r="82" spans="1:5" s="121" customFormat="1">
      <c r="A82" s="120" t="s">
        <v>3948</v>
      </c>
      <c r="B82" s="120">
        <v>78</v>
      </c>
      <c r="C82" s="121" t="s">
        <v>4162</v>
      </c>
      <c r="D82" s="121" t="s">
        <v>4208</v>
      </c>
      <c r="E82" s="324" t="str">
        <f t="shared" si="2"/>
        <v/>
      </c>
    </row>
    <row r="83" spans="1:5" s="121" customFormat="1">
      <c r="A83" s="120" t="s">
        <v>3948</v>
      </c>
      <c r="B83" s="120">
        <v>79</v>
      </c>
      <c r="C83" s="121" t="s">
        <v>4187</v>
      </c>
      <c r="D83" s="121" t="s">
        <v>4209</v>
      </c>
      <c r="E83" s="324" t="str">
        <f t="shared" si="2"/>
        <v>109 % (1)</v>
      </c>
    </row>
    <row r="84" spans="1:5" s="121" customFormat="1">
      <c r="A84" s="120" t="s">
        <v>3948</v>
      </c>
      <c r="B84" s="120">
        <v>80</v>
      </c>
      <c r="C84" s="121" t="s">
        <v>4189</v>
      </c>
      <c r="D84" s="121" t="s">
        <v>4210</v>
      </c>
      <c r="E84" s="324" t="str">
        <f t="shared" si="2"/>
        <v/>
      </c>
    </row>
    <row r="85" spans="1:5" s="121" customFormat="1">
      <c r="A85" s="120" t="s">
        <v>3948</v>
      </c>
      <c r="B85" s="120">
        <v>81</v>
      </c>
      <c r="C85" s="121" t="s">
        <v>4190</v>
      </c>
      <c r="D85" s="121" t="s">
        <v>4213</v>
      </c>
      <c r="E85" s="324" t="str">
        <f t="shared" si="2"/>
        <v>117 % (4)</v>
      </c>
    </row>
    <row r="86" spans="1:5" s="121" customFormat="1">
      <c r="A86" s="120" t="s">
        <v>3948</v>
      </c>
      <c r="B86" s="120">
        <v>82</v>
      </c>
      <c r="C86" s="121" t="s">
        <v>4191</v>
      </c>
      <c r="D86" s="121" t="s">
        <v>4212</v>
      </c>
      <c r="E86" s="324" t="str">
        <f t="shared" si="2"/>
        <v/>
      </c>
    </row>
    <row r="87" spans="1:5" s="121" customFormat="1">
      <c r="A87" s="120" t="s">
        <v>3948</v>
      </c>
      <c r="B87" s="120">
        <v>83</v>
      </c>
      <c r="C87" s="121" t="s">
        <v>4192</v>
      </c>
      <c r="D87" s="121" t="s">
        <v>4211</v>
      </c>
      <c r="E87" s="324" t="str">
        <f t="shared" si="2"/>
        <v/>
      </c>
    </row>
    <row r="88" spans="1:5" s="121" customFormat="1">
      <c r="A88" s="120" t="s">
        <v>3948</v>
      </c>
      <c r="B88" s="120">
        <v>84</v>
      </c>
      <c r="C88" s="121" t="s">
        <v>4193</v>
      </c>
      <c r="D88" s="121" t="s">
        <v>4214</v>
      </c>
      <c r="E88" s="324" t="str">
        <f t="shared" si="2"/>
        <v>107 % (1)</v>
      </c>
    </row>
    <row r="89" spans="1:5" s="121" customFormat="1">
      <c r="A89" s="120" t="s">
        <v>3948</v>
      </c>
      <c r="B89" s="120">
        <v>85</v>
      </c>
      <c r="C89" s="121" t="s">
        <v>4194</v>
      </c>
      <c r="D89" s="121" t="s">
        <v>4215</v>
      </c>
      <c r="E89" s="324" t="str">
        <f t="shared" si="2"/>
        <v/>
      </c>
    </row>
    <row r="90" spans="1:5" s="121" customFormat="1">
      <c r="A90" s="120" t="s">
        <v>3948</v>
      </c>
      <c r="B90" s="120">
        <v>86</v>
      </c>
      <c r="C90" s="121" t="s">
        <v>4195</v>
      </c>
      <c r="D90" s="121" t="s">
        <v>4216</v>
      </c>
      <c r="E90" s="324" t="str">
        <f t="shared" si="2"/>
        <v/>
      </c>
    </row>
    <row r="91" spans="1:5" s="121" customFormat="1">
      <c r="A91" s="120" t="s">
        <v>3948</v>
      </c>
      <c r="B91" s="120">
        <v>87</v>
      </c>
      <c r="C91" s="121" t="s">
        <v>4196</v>
      </c>
      <c r="D91" s="121" t="s">
        <v>4217</v>
      </c>
      <c r="E91" s="324" t="str">
        <f t="shared" si="2"/>
        <v>127 % (3)</v>
      </c>
    </row>
    <row r="92" spans="1:5" s="121" customFormat="1">
      <c r="A92" s="120" t="s">
        <v>3948</v>
      </c>
      <c r="B92" s="120">
        <v>88</v>
      </c>
      <c r="C92" s="121" t="s">
        <v>4197</v>
      </c>
      <c r="D92" s="121" t="s">
        <v>4218</v>
      </c>
      <c r="E92" s="324" t="str">
        <f t="shared" si="2"/>
        <v/>
      </c>
    </row>
    <row r="93" spans="1:5" s="121" customFormat="1">
      <c r="A93" s="120" t="s">
        <v>3948</v>
      </c>
      <c r="B93" s="120">
        <v>89</v>
      </c>
      <c r="C93" s="121" t="s">
        <v>4198</v>
      </c>
      <c r="D93" s="121" t="s">
        <v>4219</v>
      </c>
      <c r="E93" s="324" t="str">
        <f t="shared" si="2"/>
        <v>110 % (3)</v>
      </c>
    </row>
    <row r="94" spans="1:5" s="121" customFormat="1">
      <c r="A94" s="120" t="s">
        <v>3948</v>
      </c>
      <c r="B94" s="120">
        <v>90</v>
      </c>
      <c r="C94" s="121" t="s">
        <v>4199</v>
      </c>
      <c r="D94" s="121" t="s">
        <v>4220</v>
      </c>
      <c r="E94" s="324" t="str">
        <f t="shared" si="2"/>
        <v/>
      </c>
    </row>
    <row r="95" spans="1:5" s="121" customFormat="1">
      <c r="A95" s="120" t="s">
        <v>3948</v>
      </c>
      <c r="B95" s="120">
        <v>91</v>
      </c>
      <c r="C95" s="121" t="s">
        <v>4200</v>
      </c>
      <c r="D95" s="121" t="s">
        <v>4221</v>
      </c>
      <c r="E95" s="324" t="str">
        <f t="shared" si="2"/>
        <v>143 % (3)</v>
      </c>
    </row>
    <row r="96" spans="1:5" s="121" customFormat="1">
      <c r="A96" s="120" t="s">
        <v>3948</v>
      </c>
      <c r="B96" s="120">
        <v>92</v>
      </c>
      <c r="C96" s="121" t="s">
        <v>4201</v>
      </c>
      <c r="D96" s="121" t="s">
        <v>4222</v>
      </c>
      <c r="E96" s="324" t="str">
        <f t="shared" si="2"/>
        <v>113 % (2)</v>
      </c>
    </row>
    <row r="97" spans="1:5" s="121" customFormat="1">
      <c r="A97" s="120" t="s">
        <v>3948</v>
      </c>
      <c r="B97" s="120">
        <v>94</v>
      </c>
      <c r="C97" s="121" t="s">
        <v>4381</v>
      </c>
      <c r="D97" s="323" t="s">
        <v>4424</v>
      </c>
      <c r="E97" s="324" t="str">
        <f t="shared" si="2"/>
        <v/>
      </c>
    </row>
    <row r="98" spans="1:5" s="121" customFormat="1">
      <c r="A98" s="120" t="s">
        <v>3948</v>
      </c>
      <c r="B98" s="120">
        <v>95</v>
      </c>
      <c r="C98" s="121" t="s">
        <v>4382</v>
      </c>
      <c r="D98" s="323" t="s">
        <v>4425</v>
      </c>
      <c r="E98" s="324" t="str">
        <f t="shared" si="2"/>
        <v/>
      </c>
    </row>
    <row r="99" spans="1:5" s="121" customFormat="1">
      <c r="A99" s="120" t="s">
        <v>3948</v>
      </c>
      <c r="B99" s="120">
        <v>96</v>
      </c>
      <c r="C99" s="121" t="s">
        <v>4383</v>
      </c>
      <c r="D99" s="323" t="s">
        <v>4426</v>
      </c>
      <c r="E99" s="324" t="str">
        <f t="shared" si="2"/>
        <v/>
      </c>
    </row>
    <row r="100" spans="1:5" s="121" customFormat="1">
      <c r="A100" s="120" t="s">
        <v>3948</v>
      </c>
      <c r="B100" s="120">
        <v>97</v>
      </c>
      <c r="C100" s="121" t="s">
        <v>4384</v>
      </c>
      <c r="D100" s="323" t="s">
        <v>4427</v>
      </c>
      <c r="E100" s="324" t="str">
        <f t="shared" si="2"/>
        <v/>
      </c>
    </row>
    <row r="101" spans="1:5" s="121" customFormat="1">
      <c r="A101" s="120" t="s">
        <v>3948</v>
      </c>
      <c r="B101" s="120">
        <v>98</v>
      </c>
      <c r="C101" s="121" t="s">
        <v>4385</v>
      </c>
      <c r="D101" s="323" t="s">
        <v>4428</v>
      </c>
      <c r="E101" s="324" t="str">
        <f t="shared" ref="E101:E132" si="3">IF(LEN($C101)-LEN(D101)&lt;0,TEXT(LEN(D101)/LEN($C101),"0 %")&amp;" ("&amp;LEN(D101)-LEN($C101)&amp;")","")</f>
        <v/>
      </c>
    </row>
    <row r="102" spans="1:5" s="121" customFormat="1">
      <c r="A102" s="120" t="s">
        <v>3948</v>
      </c>
      <c r="B102" s="120">
        <v>99</v>
      </c>
      <c r="C102" s="121" t="s">
        <v>4386</v>
      </c>
      <c r="D102" s="323" t="s">
        <v>4429</v>
      </c>
      <c r="E102" s="324" t="str">
        <f t="shared" si="3"/>
        <v/>
      </c>
    </row>
    <row r="103" spans="1:5" s="121" customFormat="1">
      <c r="A103" s="120" t="s">
        <v>3948</v>
      </c>
      <c r="B103" s="120">
        <v>100</v>
      </c>
      <c r="C103" s="121" t="s">
        <v>4387</v>
      </c>
      <c r="D103" s="323" t="s">
        <v>4430</v>
      </c>
      <c r="E103" s="324" t="str">
        <f t="shared" si="3"/>
        <v/>
      </c>
    </row>
    <row r="104" spans="1:5" s="121" customFormat="1">
      <c r="A104" s="120" t="s">
        <v>3948</v>
      </c>
      <c r="B104" s="120">
        <v>101</v>
      </c>
      <c r="C104" s="121" t="s">
        <v>4388</v>
      </c>
      <c r="D104" s="323" t="s">
        <v>4388</v>
      </c>
      <c r="E104" s="324" t="str">
        <f t="shared" si="3"/>
        <v/>
      </c>
    </row>
    <row r="105" spans="1:5" s="121" customFormat="1">
      <c r="A105" s="120" t="s">
        <v>3948</v>
      </c>
      <c r="B105" s="120">
        <v>102</v>
      </c>
      <c r="C105" s="121" t="s">
        <v>4389</v>
      </c>
      <c r="D105" s="323" t="s">
        <v>4389</v>
      </c>
      <c r="E105" s="324" t="str">
        <f t="shared" si="3"/>
        <v/>
      </c>
    </row>
    <row r="106" spans="1:5" s="121" customFormat="1">
      <c r="A106" s="120" t="s">
        <v>3948</v>
      </c>
      <c r="B106" s="120">
        <v>103</v>
      </c>
      <c r="C106" s="121" t="s">
        <v>4390</v>
      </c>
      <c r="D106" s="323" t="s">
        <v>4390</v>
      </c>
      <c r="E106" s="324" t="str">
        <f t="shared" si="3"/>
        <v/>
      </c>
    </row>
    <row r="107" spans="1:5" s="121" customFormat="1">
      <c r="A107" s="120" t="s">
        <v>3948</v>
      </c>
      <c r="B107" s="120">
        <v>104</v>
      </c>
      <c r="C107" s="121" t="s">
        <v>4391</v>
      </c>
      <c r="D107" s="323" t="s">
        <v>4391</v>
      </c>
      <c r="E107" s="324" t="str">
        <f t="shared" si="3"/>
        <v/>
      </c>
    </row>
    <row r="108" spans="1:5" s="121" customFormat="1">
      <c r="A108" s="120" t="s">
        <v>3948</v>
      </c>
      <c r="B108" s="120">
        <v>105</v>
      </c>
      <c r="C108" s="121" t="s">
        <v>4392</v>
      </c>
      <c r="D108" s="323" t="s">
        <v>4392</v>
      </c>
      <c r="E108" s="324" t="str">
        <f t="shared" si="3"/>
        <v/>
      </c>
    </row>
    <row r="109" spans="1:5" s="121" customFormat="1">
      <c r="A109" s="120" t="s">
        <v>3948</v>
      </c>
      <c r="B109" s="120">
        <v>106</v>
      </c>
      <c r="C109" s="121" t="s">
        <v>4393</v>
      </c>
      <c r="D109" s="323" t="s">
        <v>4393</v>
      </c>
      <c r="E109" s="324" t="str">
        <f t="shared" si="3"/>
        <v/>
      </c>
    </row>
    <row r="110" spans="1:5" s="121" customFormat="1">
      <c r="A110" s="120" t="s">
        <v>3948</v>
      </c>
      <c r="B110" s="120">
        <v>107</v>
      </c>
      <c r="C110" s="121" t="s">
        <v>4394</v>
      </c>
      <c r="D110" s="323" t="s">
        <v>4394</v>
      </c>
      <c r="E110" s="324" t="str">
        <f t="shared" si="3"/>
        <v/>
      </c>
    </row>
    <row r="111" spans="1:5" s="121" customFormat="1">
      <c r="A111" s="120" t="s">
        <v>3948</v>
      </c>
      <c r="B111" s="120">
        <v>108</v>
      </c>
      <c r="C111" s="121" t="s">
        <v>4395</v>
      </c>
      <c r="D111" s="323" t="s">
        <v>4395</v>
      </c>
      <c r="E111" s="324" t="str">
        <f t="shared" si="3"/>
        <v/>
      </c>
    </row>
    <row r="112" spans="1:5" s="121" customFormat="1">
      <c r="A112" s="120" t="s">
        <v>3948</v>
      </c>
      <c r="B112" s="120">
        <v>109</v>
      </c>
      <c r="C112" s="121" t="s">
        <v>4396</v>
      </c>
      <c r="D112" s="323" t="s">
        <v>4396</v>
      </c>
      <c r="E112" s="324" t="str">
        <f t="shared" si="3"/>
        <v/>
      </c>
    </row>
    <row r="113" spans="1:5" s="121" customFormat="1">
      <c r="A113" s="120" t="s">
        <v>3948</v>
      </c>
      <c r="B113" s="120">
        <v>110</v>
      </c>
      <c r="C113" s="121" t="s">
        <v>4397</v>
      </c>
      <c r="D113" s="323" t="s">
        <v>4397</v>
      </c>
      <c r="E113" s="324" t="str">
        <f t="shared" si="3"/>
        <v/>
      </c>
    </row>
    <row r="114" spans="1:5" s="121" customFormat="1">
      <c r="A114" s="120" t="s">
        <v>3948</v>
      </c>
      <c r="B114" s="120">
        <v>111</v>
      </c>
      <c r="C114" s="121" t="s">
        <v>4398</v>
      </c>
      <c r="D114" s="323" t="s">
        <v>4398</v>
      </c>
      <c r="E114" s="324" t="str">
        <f t="shared" si="3"/>
        <v/>
      </c>
    </row>
    <row r="115" spans="1:5" s="121" customFormat="1">
      <c r="A115" s="120" t="s">
        <v>3948</v>
      </c>
      <c r="B115" s="120">
        <v>112</v>
      </c>
      <c r="C115" s="121" t="s">
        <v>4399</v>
      </c>
      <c r="D115" s="323" t="s">
        <v>4399</v>
      </c>
      <c r="E115" s="324" t="str">
        <f t="shared" si="3"/>
        <v/>
      </c>
    </row>
    <row r="116" spans="1:5" s="121" customFormat="1">
      <c r="A116" s="120" t="s">
        <v>3948</v>
      </c>
      <c r="B116" s="120">
        <v>113</v>
      </c>
      <c r="C116" s="121" t="s">
        <v>4400</v>
      </c>
      <c r="D116" s="323" t="s">
        <v>4400</v>
      </c>
      <c r="E116" s="324" t="str">
        <f t="shared" si="3"/>
        <v/>
      </c>
    </row>
    <row r="117" spans="1:5" s="121" customFormat="1">
      <c r="A117" s="120" t="s">
        <v>3948</v>
      </c>
      <c r="B117" s="120">
        <v>114</v>
      </c>
      <c r="C117" s="121" t="s">
        <v>4401</v>
      </c>
      <c r="D117" s="323" t="s">
        <v>4401</v>
      </c>
      <c r="E117" s="324" t="str">
        <f t="shared" si="3"/>
        <v/>
      </c>
    </row>
    <row r="118" spans="1:5" s="121" customFormat="1">
      <c r="A118" s="120" t="s">
        <v>3948</v>
      </c>
      <c r="B118" s="120">
        <v>115</v>
      </c>
      <c r="C118" s="121" t="s">
        <v>4402</v>
      </c>
      <c r="D118" s="323" t="s">
        <v>4402</v>
      </c>
      <c r="E118" s="324" t="str">
        <f t="shared" si="3"/>
        <v/>
      </c>
    </row>
    <row r="119" spans="1:5" s="121" customFormat="1">
      <c r="A119" s="120" t="s">
        <v>3948</v>
      </c>
      <c r="B119" s="120">
        <v>116</v>
      </c>
      <c r="C119" s="121" t="s">
        <v>2659</v>
      </c>
      <c r="D119" s="323" t="s">
        <v>2659</v>
      </c>
      <c r="E119" s="324" t="str">
        <f t="shared" si="3"/>
        <v/>
      </c>
    </row>
    <row r="120" spans="1:5" s="121" customFormat="1">
      <c r="A120" s="120" t="s">
        <v>3948</v>
      </c>
      <c r="B120" s="120">
        <v>117</v>
      </c>
      <c r="C120" s="121" t="s">
        <v>4403</v>
      </c>
      <c r="D120" s="323" t="s">
        <v>4403</v>
      </c>
      <c r="E120" s="324" t="str">
        <f t="shared" si="3"/>
        <v/>
      </c>
    </row>
    <row r="121" spans="1:5" s="121" customFormat="1">
      <c r="A121" s="120" t="s">
        <v>3948</v>
      </c>
      <c r="B121" s="120">
        <v>118</v>
      </c>
      <c r="C121" s="121" t="s">
        <v>4404</v>
      </c>
      <c r="D121" s="323" t="s">
        <v>4404</v>
      </c>
      <c r="E121" s="324" t="str">
        <f t="shared" si="3"/>
        <v/>
      </c>
    </row>
    <row r="122" spans="1:5" s="121" customFormat="1">
      <c r="A122" s="120" t="s">
        <v>3948</v>
      </c>
      <c r="B122" s="120">
        <v>119</v>
      </c>
      <c r="C122" s="121" t="s">
        <v>4405</v>
      </c>
      <c r="D122" s="323" t="s">
        <v>4405</v>
      </c>
      <c r="E122" s="324" t="str">
        <f t="shared" si="3"/>
        <v/>
      </c>
    </row>
    <row r="123" spans="1:5" s="121" customFormat="1">
      <c r="A123" s="120" t="s">
        <v>3948</v>
      </c>
      <c r="B123" s="120">
        <v>120</v>
      </c>
      <c r="C123" s="121" t="s">
        <v>4406</v>
      </c>
      <c r="D123" s="323" t="s">
        <v>4406</v>
      </c>
      <c r="E123" s="324" t="str">
        <f t="shared" si="3"/>
        <v/>
      </c>
    </row>
    <row r="124" spans="1:5" s="121" customFormat="1">
      <c r="A124" s="120" t="s">
        <v>3948</v>
      </c>
      <c r="B124" s="120">
        <v>121</v>
      </c>
      <c r="C124" s="121" t="s">
        <v>4407</v>
      </c>
      <c r="D124" s="323" t="s">
        <v>4407</v>
      </c>
      <c r="E124" s="324" t="str">
        <f t="shared" si="3"/>
        <v/>
      </c>
    </row>
    <row r="125" spans="1:5" s="121" customFormat="1">
      <c r="A125" s="120" t="s">
        <v>3948</v>
      </c>
      <c r="B125" s="120">
        <v>122</v>
      </c>
      <c r="C125" s="121" t="s">
        <v>4408</v>
      </c>
      <c r="D125" s="323" t="s">
        <v>4408</v>
      </c>
      <c r="E125" s="324" t="str">
        <f t="shared" si="3"/>
        <v/>
      </c>
    </row>
    <row r="126" spans="1:5" s="121" customFormat="1">
      <c r="A126" s="120" t="s">
        <v>3948</v>
      </c>
      <c r="B126" s="120">
        <v>123</v>
      </c>
      <c r="C126" s="121" t="s">
        <v>4409</v>
      </c>
      <c r="D126" s="323" t="s">
        <v>4409</v>
      </c>
      <c r="E126" s="324" t="str">
        <f t="shared" si="3"/>
        <v/>
      </c>
    </row>
    <row r="127" spans="1:5" s="121" customFormat="1">
      <c r="A127" s="120" t="s">
        <v>3948</v>
      </c>
      <c r="B127" s="120">
        <v>124</v>
      </c>
      <c r="C127" s="121" t="s">
        <v>4410</v>
      </c>
      <c r="D127" s="323" t="s">
        <v>4410</v>
      </c>
      <c r="E127" s="324" t="str">
        <f t="shared" si="3"/>
        <v/>
      </c>
    </row>
    <row r="128" spans="1:5" s="121" customFormat="1">
      <c r="A128" s="120" t="s">
        <v>3948</v>
      </c>
      <c r="B128" s="120">
        <v>125</v>
      </c>
      <c r="C128" s="121" t="s">
        <v>4411</v>
      </c>
      <c r="D128" s="323" t="s">
        <v>4411</v>
      </c>
      <c r="E128" s="324" t="str">
        <f t="shared" si="3"/>
        <v/>
      </c>
    </row>
    <row r="129" spans="1:5" s="121" customFormat="1">
      <c r="A129" s="120" t="s">
        <v>3948</v>
      </c>
      <c r="B129" s="120">
        <v>126</v>
      </c>
      <c r="C129" s="121" t="s">
        <v>4412</v>
      </c>
      <c r="D129" s="323" t="s">
        <v>4412</v>
      </c>
      <c r="E129" s="324" t="str">
        <f t="shared" si="3"/>
        <v/>
      </c>
    </row>
    <row r="130" spans="1:5" s="121" customFormat="1">
      <c r="A130" s="120" t="s">
        <v>3948</v>
      </c>
      <c r="B130" s="120">
        <v>127</v>
      </c>
      <c r="C130" s="121" t="s">
        <v>4413</v>
      </c>
      <c r="D130" s="323" t="s">
        <v>4413</v>
      </c>
      <c r="E130" s="324" t="str">
        <f t="shared" si="3"/>
        <v/>
      </c>
    </row>
    <row r="131" spans="1:5" s="121" customFormat="1">
      <c r="A131" s="120" t="s">
        <v>3948</v>
      </c>
      <c r="B131" s="120">
        <v>128</v>
      </c>
      <c r="C131" s="121" t="s">
        <v>4414</v>
      </c>
      <c r="D131" s="323" t="s">
        <v>4414</v>
      </c>
      <c r="E131" s="324" t="str">
        <f t="shared" si="3"/>
        <v/>
      </c>
    </row>
    <row r="132" spans="1:5" s="121" customFormat="1">
      <c r="A132" s="120" t="s">
        <v>3948</v>
      </c>
      <c r="B132" s="120">
        <v>129</v>
      </c>
      <c r="C132" s="121" t="s">
        <v>4415</v>
      </c>
      <c r="D132" s="323" t="s">
        <v>4415</v>
      </c>
      <c r="E132" s="324" t="str">
        <f t="shared" si="3"/>
        <v/>
      </c>
    </row>
    <row r="133" spans="1:5" s="121" customFormat="1">
      <c r="A133" s="120" t="s">
        <v>3948</v>
      </c>
      <c r="B133" s="120">
        <v>131</v>
      </c>
      <c r="C133" s="121" t="s">
        <v>4416</v>
      </c>
      <c r="D133" s="323" t="s">
        <v>4416</v>
      </c>
      <c r="E133" s="324" t="str">
        <f t="shared" ref="E133:E139" si="4">IF(LEN($C133)-LEN(D133)&lt;0,TEXT(LEN(D133)/LEN($C133),"0 %")&amp;" ("&amp;LEN(D133)-LEN($C133)&amp;")","")</f>
        <v/>
      </c>
    </row>
    <row r="134" spans="1:5" s="121" customFormat="1">
      <c r="A134" s="120" t="s">
        <v>3948</v>
      </c>
      <c r="B134" s="120">
        <v>132</v>
      </c>
      <c r="C134" s="121" t="s">
        <v>4417</v>
      </c>
      <c r="D134" s="323" t="s">
        <v>4417</v>
      </c>
      <c r="E134" s="324" t="str">
        <f t="shared" si="4"/>
        <v/>
      </c>
    </row>
    <row r="135" spans="1:5" s="121" customFormat="1">
      <c r="A135" s="120" t="s">
        <v>3948</v>
      </c>
      <c r="B135" s="120">
        <v>133</v>
      </c>
      <c r="C135" s="121" t="s">
        <v>4418</v>
      </c>
      <c r="D135" s="323" t="s">
        <v>4418</v>
      </c>
      <c r="E135" s="324" t="str">
        <f t="shared" si="4"/>
        <v/>
      </c>
    </row>
    <row r="136" spans="1:5" s="121" customFormat="1">
      <c r="A136" s="120" t="s">
        <v>3948</v>
      </c>
      <c r="B136" s="120">
        <v>134</v>
      </c>
      <c r="C136" s="121" t="s">
        <v>4419</v>
      </c>
      <c r="D136" s="323" t="s">
        <v>4419</v>
      </c>
      <c r="E136" s="324" t="str">
        <f t="shared" si="4"/>
        <v/>
      </c>
    </row>
    <row r="137" spans="1:5" s="121" customFormat="1">
      <c r="A137" s="120" t="s">
        <v>3948</v>
      </c>
      <c r="B137" s="120">
        <v>135</v>
      </c>
      <c r="C137" s="121" t="s">
        <v>4420</v>
      </c>
      <c r="D137" s="323" t="s">
        <v>4420</v>
      </c>
      <c r="E137" s="324" t="str">
        <f t="shared" si="4"/>
        <v/>
      </c>
    </row>
    <row r="138" spans="1:5" s="121" customFormat="1">
      <c r="A138" s="120" t="s">
        <v>3948</v>
      </c>
      <c r="B138" s="120">
        <v>136</v>
      </c>
      <c r="C138" s="121" t="s">
        <v>4421</v>
      </c>
      <c r="D138" s="323" t="s">
        <v>4421</v>
      </c>
      <c r="E138" s="324" t="str">
        <f t="shared" si="4"/>
        <v/>
      </c>
    </row>
    <row r="139" spans="1:5" s="121" customFormat="1">
      <c r="A139" s="120" t="s">
        <v>3948</v>
      </c>
      <c r="B139" s="120">
        <v>137</v>
      </c>
      <c r="C139" s="121" t="s">
        <v>4422</v>
      </c>
      <c r="D139" s="323" t="s">
        <v>4422</v>
      </c>
      <c r="E139" s="324" t="str">
        <f t="shared" si="4"/>
        <v/>
      </c>
    </row>
    <row r="140" spans="1:5" s="121" customFormat="1">
      <c r="A140" s="120" t="s">
        <v>3948</v>
      </c>
      <c r="B140" s="120">
        <v>138</v>
      </c>
      <c r="C140" s="200" t="s">
        <v>4433</v>
      </c>
      <c r="D140" s="200" t="s">
        <v>4434</v>
      </c>
      <c r="E140" s="324"/>
    </row>
    <row r="141" spans="1:5" s="121" customFormat="1">
      <c r="A141" s="120" t="s">
        <v>4097</v>
      </c>
      <c r="B141" s="120">
        <v>1</v>
      </c>
      <c r="C141" s="121" t="s">
        <v>4223</v>
      </c>
      <c r="D141" s="121" t="s">
        <v>4223</v>
      </c>
      <c r="E141" s="324" t="str">
        <f t="shared" ref="E141:E165" si="5">IF(LEN($C141)-LEN(D141)&lt;0,TEXT(LEN(D141)/LEN($C141),"0 %")&amp;" ("&amp;LEN(D141)-LEN($C141)&amp;")","")</f>
        <v/>
      </c>
    </row>
    <row r="142" spans="1:5" s="121" customFormat="1">
      <c r="A142" s="120" t="s">
        <v>4097</v>
      </c>
      <c r="B142" s="120">
        <v>2</v>
      </c>
      <c r="C142" s="121" t="s">
        <v>4224</v>
      </c>
      <c r="D142" s="121" t="s">
        <v>4238</v>
      </c>
      <c r="E142" s="324" t="str">
        <f t="shared" si="5"/>
        <v/>
      </c>
    </row>
    <row r="143" spans="1:5" s="121" customFormat="1">
      <c r="A143" s="120" t="s">
        <v>4097</v>
      </c>
      <c r="B143" s="120">
        <v>3</v>
      </c>
      <c r="C143" s="121" t="s">
        <v>4225</v>
      </c>
      <c r="D143" s="121" t="s">
        <v>4241</v>
      </c>
      <c r="E143" s="324" t="str">
        <f t="shared" si="5"/>
        <v/>
      </c>
    </row>
    <row r="144" spans="1:5" s="121" customFormat="1">
      <c r="A144" s="120" t="s">
        <v>4097</v>
      </c>
      <c r="B144" s="120">
        <v>4</v>
      </c>
      <c r="C144" s="121" t="s">
        <v>4226</v>
      </c>
      <c r="D144" s="121" t="s">
        <v>4240</v>
      </c>
      <c r="E144" s="324" t="str">
        <f t="shared" si="5"/>
        <v/>
      </c>
    </row>
    <row r="145" spans="1:5" s="121" customFormat="1">
      <c r="A145" s="120" t="s">
        <v>4097</v>
      </c>
      <c r="B145" s="120">
        <v>5</v>
      </c>
      <c r="C145" s="121" t="s">
        <v>4227</v>
      </c>
      <c r="D145" s="121" t="s">
        <v>4239</v>
      </c>
      <c r="E145" s="324" t="str">
        <f t="shared" si="5"/>
        <v/>
      </c>
    </row>
    <row r="146" spans="1:5" s="121" customFormat="1">
      <c r="A146" s="120" t="s">
        <v>4097</v>
      </c>
      <c r="B146" s="120">
        <v>6</v>
      </c>
      <c r="C146" s="121" t="s">
        <v>4228</v>
      </c>
      <c r="D146" s="121" t="s">
        <v>4242</v>
      </c>
      <c r="E146" s="324" t="str">
        <f t="shared" si="5"/>
        <v/>
      </c>
    </row>
    <row r="147" spans="1:5" s="121" customFormat="1">
      <c r="A147" s="120" t="s">
        <v>4097</v>
      </c>
      <c r="B147" s="120">
        <v>10</v>
      </c>
      <c r="C147" s="121" t="s">
        <v>4229</v>
      </c>
      <c r="D147" s="121" t="s">
        <v>4243</v>
      </c>
      <c r="E147" s="324" t="str">
        <f t="shared" si="5"/>
        <v/>
      </c>
    </row>
    <row r="148" spans="1:5" s="121" customFormat="1">
      <c r="A148" s="120" t="s">
        <v>4097</v>
      </c>
      <c r="B148" s="120">
        <v>11</v>
      </c>
      <c r="C148" s="121" t="s">
        <v>4230</v>
      </c>
      <c r="D148" s="121" t="s">
        <v>4244</v>
      </c>
      <c r="E148" s="324" t="str">
        <f t="shared" si="5"/>
        <v/>
      </c>
    </row>
    <row r="149" spans="1:5" s="121" customFormat="1">
      <c r="A149" s="120" t="s">
        <v>4097</v>
      </c>
      <c r="B149" s="120">
        <v>12</v>
      </c>
      <c r="C149" s="121" t="s">
        <v>4231</v>
      </c>
      <c r="D149" s="121" t="s">
        <v>4246</v>
      </c>
      <c r="E149" s="324" t="str">
        <f t="shared" si="5"/>
        <v/>
      </c>
    </row>
    <row r="150" spans="1:5" s="121" customFormat="1">
      <c r="A150" s="120" t="s">
        <v>4097</v>
      </c>
      <c r="B150" s="120">
        <v>13</v>
      </c>
      <c r="C150" s="121" t="s">
        <v>4232</v>
      </c>
      <c r="D150" s="121" t="s">
        <v>4245</v>
      </c>
      <c r="E150" s="324" t="str">
        <f t="shared" si="5"/>
        <v/>
      </c>
    </row>
    <row r="151" spans="1:5" s="121" customFormat="1">
      <c r="A151" s="120" t="s">
        <v>4097</v>
      </c>
      <c r="B151" s="120">
        <v>14</v>
      </c>
      <c r="C151" s="121" t="s">
        <v>3090</v>
      </c>
      <c r="D151" s="121" t="s">
        <v>4312</v>
      </c>
      <c r="E151" s="324" t="str">
        <f t="shared" si="5"/>
        <v>240 % (14)</v>
      </c>
    </row>
    <row r="152" spans="1:5" s="121" customFormat="1">
      <c r="A152" s="120" t="s">
        <v>4097</v>
      </c>
      <c r="B152" s="120">
        <v>15</v>
      </c>
      <c r="C152" s="121" t="s">
        <v>3094</v>
      </c>
      <c r="D152" s="121" t="s">
        <v>4313</v>
      </c>
      <c r="E152" s="324" t="str">
        <f t="shared" si="5"/>
        <v>120 % (3)</v>
      </c>
    </row>
    <row r="153" spans="1:5" s="121" customFormat="1">
      <c r="A153" s="120" t="s">
        <v>4097</v>
      </c>
      <c r="B153" s="120">
        <v>16</v>
      </c>
      <c r="C153" s="121" t="s">
        <v>3097</v>
      </c>
      <c r="D153" s="121" t="s">
        <v>4311</v>
      </c>
      <c r="E153" s="324" t="str">
        <f t="shared" si="5"/>
        <v/>
      </c>
    </row>
    <row r="154" spans="1:5" s="121" customFormat="1">
      <c r="A154" s="120" t="s">
        <v>4097</v>
      </c>
      <c r="B154" s="120">
        <v>17</v>
      </c>
      <c r="C154" s="121" t="s">
        <v>3809</v>
      </c>
      <c r="D154" s="121" t="s">
        <v>4314</v>
      </c>
      <c r="E154" s="324" t="str">
        <f t="shared" si="5"/>
        <v/>
      </c>
    </row>
    <row r="155" spans="1:5" s="121" customFormat="1">
      <c r="A155" s="120" t="s">
        <v>4097</v>
      </c>
      <c r="B155" s="120">
        <v>18</v>
      </c>
      <c r="C155" s="121" t="s">
        <v>3102</v>
      </c>
      <c r="D155" s="121" t="s">
        <v>4310</v>
      </c>
      <c r="E155" s="324" t="str">
        <f t="shared" si="5"/>
        <v/>
      </c>
    </row>
    <row r="156" spans="1:5" s="121" customFormat="1">
      <c r="A156" s="120" t="s">
        <v>4097</v>
      </c>
      <c r="B156" s="120">
        <v>19</v>
      </c>
      <c r="C156" s="121" t="s">
        <v>4315</v>
      </c>
      <c r="D156" s="121" t="s">
        <v>4319</v>
      </c>
      <c r="E156" s="324" t="str">
        <f t="shared" si="5"/>
        <v/>
      </c>
    </row>
    <row r="157" spans="1:5" s="121" customFormat="1">
      <c r="A157" s="120" t="s">
        <v>4097</v>
      </c>
      <c r="B157" s="120">
        <v>20</v>
      </c>
      <c r="C157" s="121" t="s">
        <v>4316</v>
      </c>
      <c r="D157" s="121" t="s">
        <v>4320</v>
      </c>
      <c r="E157" s="324" t="str">
        <f t="shared" si="5"/>
        <v/>
      </c>
    </row>
    <row r="158" spans="1:5" s="121" customFormat="1">
      <c r="A158" s="120" t="s">
        <v>4097</v>
      </c>
      <c r="B158" s="120">
        <v>21</v>
      </c>
      <c r="C158" s="121" t="s">
        <v>4325</v>
      </c>
      <c r="D158" s="121" t="s">
        <v>3139</v>
      </c>
      <c r="E158" s="324" t="str">
        <f t="shared" si="5"/>
        <v/>
      </c>
    </row>
    <row r="159" spans="1:5" s="121" customFormat="1">
      <c r="A159" s="120" t="s">
        <v>4097</v>
      </c>
      <c r="B159" s="120">
        <v>22</v>
      </c>
      <c r="C159" s="121" t="s">
        <v>4326</v>
      </c>
      <c r="D159" s="121" t="s">
        <v>4324</v>
      </c>
      <c r="E159" s="324" t="str">
        <f t="shared" si="5"/>
        <v/>
      </c>
    </row>
    <row r="160" spans="1:5" s="121" customFormat="1">
      <c r="A160" s="120" t="s">
        <v>4097</v>
      </c>
      <c r="B160" s="120">
        <v>23</v>
      </c>
      <c r="C160" s="121" t="s">
        <v>4317</v>
      </c>
      <c r="D160" s="121" t="s">
        <v>4321</v>
      </c>
      <c r="E160" s="324" t="str">
        <f t="shared" si="5"/>
        <v>160 % (3)</v>
      </c>
    </row>
    <row r="161" spans="1:5" s="121" customFormat="1">
      <c r="A161" s="120" t="s">
        <v>4097</v>
      </c>
      <c r="B161" s="120">
        <v>24</v>
      </c>
      <c r="C161" s="121" t="s">
        <v>4318</v>
      </c>
      <c r="D161" s="121" t="s">
        <v>4322</v>
      </c>
      <c r="E161" s="324" t="str">
        <f t="shared" si="5"/>
        <v/>
      </c>
    </row>
    <row r="162" spans="1:5" s="121" customFormat="1">
      <c r="A162" s="120" t="s">
        <v>4097</v>
      </c>
      <c r="B162" s="120">
        <v>25</v>
      </c>
      <c r="C162" s="121" t="s">
        <v>3103</v>
      </c>
      <c r="D162" s="121" t="s">
        <v>4323</v>
      </c>
      <c r="E162" s="324" t="str">
        <f t="shared" si="5"/>
        <v/>
      </c>
    </row>
    <row r="163" spans="1:5" s="121" customFormat="1">
      <c r="A163" s="120" t="s">
        <v>4097</v>
      </c>
      <c r="B163" s="120">
        <v>40</v>
      </c>
      <c r="C163" s="121" t="s">
        <v>4423</v>
      </c>
      <c r="D163" s="121" t="s">
        <v>4235</v>
      </c>
      <c r="E163" s="324" t="str">
        <f t="shared" si="5"/>
        <v>136 % (15)</v>
      </c>
    </row>
    <row r="164" spans="1:5" s="121" customFormat="1">
      <c r="A164" s="120" t="s">
        <v>4097</v>
      </c>
      <c r="B164" s="120">
        <v>41</v>
      </c>
      <c r="C164" s="121" t="s">
        <v>4098</v>
      </c>
      <c r="D164" s="121" t="s">
        <v>4236</v>
      </c>
      <c r="E164" s="324" t="str">
        <f t="shared" si="5"/>
        <v/>
      </c>
    </row>
    <row r="165" spans="1:5" s="121" customFormat="1">
      <c r="A165" s="120" t="s">
        <v>4097</v>
      </c>
      <c r="B165" s="120">
        <v>42</v>
      </c>
      <c r="C165" s="121" t="s">
        <v>4234</v>
      </c>
      <c r="D165" s="121" t="s">
        <v>4237</v>
      </c>
      <c r="E165" s="324" t="str">
        <f t="shared" si="5"/>
        <v/>
      </c>
    </row>
    <row r="166" spans="1:5" ht="15.75">
      <c r="A166" s="116" t="str">
        <f>"! --- "&amp;INDEX(MLtextDivisions,2)</f>
        <v>! --- User Interface - Tooltip text</v>
      </c>
      <c r="E166" s="324" t="str">
        <f>IF(LEN($C166)-LEN(D166)&lt;0,TEXT(LEN(D166)/LEN($C166),"0 %")&amp;" ("&amp;LEN(D166)-LEN($C166)&amp;")","")</f>
        <v/>
      </c>
    </row>
    <row r="167" spans="1:5" s="121" customFormat="1">
      <c r="A167" s="120" t="s">
        <v>3958</v>
      </c>
      <c r="B167" s="120">
        <v>1</v>
      </c>
      <c r="C167" s="321" t="s">
        <v>3959</v>
      </c>
      <c r="D167" s="321" t="s">
        <v>3985</v>
      </c>
      <c r="E167" s="324" t="str">
        <f t="shared" ref="E167:E198" si="6">IF(LEN($C167)-LEN(D167)&lt;0,TEXT(LEN(D167)/LEN($C167),"0 %")&amp;" ("&amp;LEN(D167)-LEN($C167)&amp;")","")</f>
        <v>108 % (2)</v>
      </c>
    </row>
    <row r="168" spans="1:5" s="121" customFormat="1">
      <c r="A168" s="120" t="s">
        <v>3958</v>
      </c>
      <c r="B168" s="120">
        <v>2</v>
      </c>
      <c r="C168" s="321" t="s">
        <v>3960</v>
      </c>
      <c r="D168" s="321" t="s">
        <v>3986</v>
      </c>
      <c r="E168" s="324" t="str">
        <f t="shared" si="6"/>
        <v/>
      </c>
    </row>
    <row r="169" spans="1:5" s="121" customFormat="1">
      <c r="A169" s="120" t="s">
        <v>3958</v>
      </c>
      <c r="B169" s="120">
        <v>3</v>
      </c>
      <c r="C169" s="321" t="s">
        <v>3961</v>
      </c>
      <c r="D169" s="321" t="s">
        <v>3987</v>
      </c>
      <c r="E169" s="324" t="str">
        <f t="shared" si="6"/>
        <v>131 % (5)</v>
      </c>
    </row>
    <row r="170" spans="1:5" s="121" customFormat="1">
      <c r="A170" s="120" t="s">
        <v>3958</v>
      </c>
      <c r="B170" s="120">
        <v>4</v>
      </c>
      <c r="C170" s="321" t="s">
        <v>3962</v>
      </c>
      <c r="D170" s="321" t="s">
        <v>3988</v>
      </c>
      <c r="E170" s="324" t="str">
        <f t="shared" si="6"/>
        <v>125 % (10)</v>
      </c>
    </row>
    <row r="171" spans="1:5" s="121" customFormat="1">
      <c r="A171" s="120" t="s">
        <v>3958</v>
      </c>
      <c r="B171" s="120">
        <v>5</v>
      </c>
      <c r="C171" s="321" t="s">
        <v>3963</v>
      </c>
      <c r="D171" s="321" t="s">
        <v>3989</v>
      </c>
      <c r="E171" s="324" t="str">
        <f t="shared" si="6"/>
        <v>122 % (7)</v>
      </c>
    </row>
    <row r="172" spans="1:5" s="121" customFormat="1">
      <c r="A172" s="120" t="s">
        <v>3958</v>
      </c>
      <c r="B172" s="120">
        <v>6</v>
      </c>
      <c r="C172" s="321" t="s">
        <v>3964</v>
      </c>
      <c r="D172" s="321" t="s">
        <v>3990</v>
      </c>
      <c r="E172" s="324" t="str">
        <f t="shared" si="6"/>
        <v/>
      </c>
    </row>
    <row r="173" spans="1:5" s="121" customFormat="1">
      <c r="A173" s="120" t="s">
        <v>3958</v>
      </c>
      <c r="B173" s="120">
        <v>7</v>
      </c>
      <c r="C173" s="321" t="s">
        <v>3965</v>
      </c>
      <c r="D173" s="321" t="s">
        <v>3991</v>
      </c>
      <c r="E173" s="324" t="str">
        <f t="shared" si="6"/>
        <v/>
      </c>
    </row>
    <row r="174" spans="1:5" s="121" customFormat="1">
      <c r="A174" s="120" t="s">
        <v>3958</v>
      </c>
      <c r="B174" s="120">
        <v>8</v>
      </c>
      <c r="C174" s="321" t="s">
        <v>3966</v>
      </c>
      <c r="D174" s="321" t="s">
        <v>3992</v>
      </c>
      <c r="E174" s="324" t="str">
        <f t="shared" si="6"/>
        <v/>
      </c>
    </row>
    <row r="175" spans="1:5" s="121" customFormat="1">
      <c r="A175" s="120" t="s">
        <v>3958</v>
      </c>
      <c r="B175" s="120">
        <v>9</v>
      </c>
      <c r="C175" s="321" t="s">
        <v>3967</v>
      </c>
      <c r="D175" s="321" t="s">
        <v>3993</v>
      </c>
      <c r="E175" s="324" t="str">
        <f t="shared" si="6"/>
        <v/>
      </c>
    </row>
    <row r="176" spans="1:5" s="121" customFormat="1">
      <c r="A176" s="120" t="s">
        <v>3958</v>
      </c>
      <c r="B176" s="120">
        <v>10</v>
      </c>
      <c r="C176" s="321" t="s">
        <v>221</v>
      </c>
      <c r="D176" s="321" t="s">
        <v>221</v>
      </c>
      <c r="E176" s="324" t="str">
        <f t="shared" si="6"/>
        <v/>
      </c>
    </row>
    <row r="177" spans="1:5" s="121" customFormat="1">
      <c r="A177" s="120" t="s">
        <v>3958</v>
      </c>
      <c r="B177" s="120">
        <v>11</v>
      </c>
      <c r="C177" s="321" t="s">
        <v>4080</v>
      </c>
      <c r="D177" s="321" t="s">
        <v>4077</v>
      </c>
      <c r="E177" s="324" t="str">
        <f t="shared" si="6"/>
        <v/>
      </c>
    </row>
    <row r="178" spans="1:5" s="121" customFormat="1">
      <c r="A178" s="120" t="s">
        <v>3958</v>
      </c>
      <c r="B178" s="120">
        <v>14</v>
      </c>
      <c r="C178" s="121" t="s">
        <v>4078</v>
      </c>
      <c r="D178" s="121" t="s">
        <v>4076</v>
      </c>
      <c r="E178" s="324" t="str">
        <f t="shared" si="6"/>
        <v>143 % (9)</v>
      </c>
    </row>
    <row r="179" spans="1:5" s="121" customFormat="1">
      <c r="A179" s="120" t="s">
        <v>3958</v>
      </c>
      <c r="B179" s="120">
        <v>15</v>
      </c>
      <c r="C179" s="121" t="s">
        <v>3706</v>
      </c>
      <c r="D179" s="121" t="s">
        <v>3994</v>
      </c>
      <c r="E179" s="324" t="str">
        <f t="shared" si="6"/>
        <v/>
      </c>
    </row>
    <row r="180" spans="1:5" s="121" customFormat="1">
      <c r="A180" s="120" t="s">
        <v>3958</v>
      </c>
      <c r="B180" s="120">
        <v>16</v>
      </c>
      <c r="C180" s="121" t="s">
        <v>4079</v>
      </c>
      <c r="D180" s="121" t="s">
        <v>3995</v>
      </c>
      <c r="E180" s="324" t="str">
        <f t="shared" si="6"/>
        <v>104 % (1)</v>
      </c>
    </row>
    <row r="181" spans="1:5" s="121" customFormat="1">
      <c r="A181" s="120" t="s">
        <v>3958</v>
      </c>
      <c r="B181" s="120">
        <v>17</v>
      </c>
      <c r="C181" s="121" t="s">
        <v>3971</v>
      </c>
      <c r="D181" s="121" t="s">
        <v>4003</v>
      </c>
      <c r="E181" s="324" t="str">
        <f t="shared" si="6"/>
        <v/>
      </c>
    </row>
    <row r="182" spans="1:5" s="121" customFormat="1">
      <c r="A182" s="120" t="s">
        <v>3958</v>
      </c>
      <c r="B182" s="120">
        <v>21</v>
      </c>
      <c r="C182" s="121" t="s">
        <v>278</v>
      </c>
      <c r="D182" s="121" t="s">
        <v>3996</v>
      </c>
      <c r="E182" s="324" t="str">
        <f t="shared" si="6"/>
        <v>123 % (5)</v>
      </c>
    </row>
    <row r="183" spans="1:5" s="121" customFormat="1">
      <c r="A183" s="120" t="s">
        <v>3958</v>
      </c>
      <c r="B183" s="120">
        <v>22</v>
      </c>
      <c r="C183" s="121" t="s">
        <v>281</v>
      </c>
      <c r="D183" s="121" t="s">
        <v>3997</v>
      </c>
      <c r="E183" s="324" t="str">
        <f t="shared" si="6"/>
        <v>127 % (6)</v>
      </c>
    </row>
    <row r="184" spans="1:5" s="121" customFormat="1">
      <c r="A184" s="120" t="s">
        <v>3958</v>
      </c>
      <c r="B184" s="120">
        <v>23</v>
      </c>
      <c r="C184" s="121" t="s">
        <v>283</v>
      </c>
      <c r="D184" s="121" t="s">
        <v>3998</v>
      </c>
      <c r="E184" s="324" t="str">
        <f t="shared" si="6"/>
        <v>122 % (5)</v>
      </c>
    </row>
    <row r="185" spans="1:5" s="121" customFormat="1">
      <c r="A185" s="120" t="s">
        <v>3958</v>
      </c>
      <c r="B185" s="120">
        <v>24</v>
      </c>
      <c r="C185" s="121" t="s">
        <v>286</v>
      </c>
      <c r="D185" s="121" t="s">
        <v>3999</v>
      </c>
      <c r="E185" s="324" t="str">
        <f t="shared" si="6"/>
        <v>104 % (1)</v>
      </c>
    </row>
    <row r="186" spans="1:5" s="121" customFormat="1">
      <c r="A186" s="120" t="s">
        <v>3958</v>
      </c>
      <c r="B186" s="120">
        <v>25</v>
      </c>
      <c r="C186" s="121" t="s">
        <v>288</v>
      </c>
      <c r="D186" s="121" t="s">
        <v>4005</v>
      </c>
      <c r="E186" s="324" t="str">
        <f t="shared" si="6"/>
        <v/>
      </c>
    </row>
    <row r="187" spans="1:5" s="121" customFormat="1">
      <c r="A187" s="120" t="s">
        <v>3958</v>
      </c>
      <c r="B187" s="120">
        <v>26</v>
      </c>
      <c r="C187" s="121" t="s">
        <v>3968</v>
      </c>
      <c r="D187" s="121" t="s">
        <v>4000</v>
      </c>
      <c r="E187" s="324" t="str">
        <f t="shared" si="6"/>
        <v>136 % (8)</v>
      </c>
    </row>
    <row r="188" spans="1:5" s="121" customFormat="1">
      <c r="A188" s="120" t="s">
        <v>3958</v>
      </c>
      <c r="B188" s="120">
        <v>27</v>
      </c>
      <c r="C188" s="121" t="s">
        <v>4099</v>
      </c>
      <c r="D188" s="121" t="s">
        <v>4001</v>
      </c>
      <c r="E188" s="324" t="str">
        <f t="shared" si="6"/>
        <v/>
      </c>
    </row>
    <row r="189" spans="1:5" s="121" customFormat="1">
      <c r="A189" s="120" t="s">
        <v>3958</v>
      </c>
      <c r="B189" s="120">
        <v>28</v>
      </c>
      <c r="C189" s="121" t="s">
        <v>3972</v>
      </c>
      <c r="D189" s="121" t="s">
        <v>4002</v>
      </c>
      <c r="E189" s="324" t="str">
        <f t="shared" si="6"/>
        <v/>
      </c>
    </row>
    <row r="190" spans="1:5" s="121" customFormat="1">
      <c r="A190" s="120" t="s">
        <v>3958</v>
      </c>
      <c r="B190" s="120">
        <v>29</v>
      </c>
      <c r="C190" s="121" t="s">
        <v>4100</v>
      </c>
      <c r="D190" s="323" t="s">
        <v>4100</v>
      </c>
      <c r="E190" s="324" t="str">
        <f t="shared" si="6"/>
        <v/>
      </c>
    </row>
    <row r="191" spans="1:5" s="121" customFormat="1">
      <c r="A191" s="120" t="s">
        <v>3958</v>
      </c>
      <c r="B191" s="120">
        <v>30</v>
      </c>
      <c r="C191" s="121" t="s">
        <v>4101</v>
      </c>
      <c r="D191" s="323" t="s">
        <v>4101</v>
      </c>
      <c r="E191" s="324" t="str">
        <f t="shared" si="6"/>
        <v/>
      </c>
    </row>
    <row r="192" spans="1:5" s="121" customFormat="1">
      <c r="A192" s="120" t="s">
        <v>3958</v>
      </c>
      <c r="B192" s="120">
        <v>31</v>
      </c>
      <c r="C192" s="121" t="s">
        <v>4102</v>
      </c>
      <c r="D192" s="323" t="s">
        <v>4102</v>
      </c>
      <c r="E192" s="324" t="str">
        <f t="shared" si="6"/>
        <v/>
      </c>
    </row>
    <row r="193" spans="1:5" s="121" customFormat="1">
      <c r="A193" s="120" t="s">
        <v>3958</v>
      </c>
      <c r="B193" s="120">
        <v>32</v>
      </c>
      <c r="C193" s="121" t="s">
        <v>4103</v>
      </c>
      <c r="D193" s="323" t="s">
        <v>4103</v>
      </c>
      <c r="E193" s="324" t="str">
        <f t="shared" si="6"/>
        <v/>
      </c>
    </row>
    <row r="194" spans="1:5" s="121" customFormat="1">
      <c r="A194" s="120" t="s">
        <v>3958</v>
      </c>
      <c r="B194" s="120">
        <v>33</v>
      </c>
      <c r="C194" s="121" t="s">
        <v>4104</v>
      </c>
      <c r="D194" s="323" t="s">
        <v>4104</v>
      </c>
      <c r="E194" s="324" t="str">
        <f t="shared" si="6"/>
        <v/>
      </c>
    </row>
    <row r="195" spans="1:5" s="121" customFormat="1">
      <c r="A195" s="120" t="s">
        <v>3958</v>
      </c>
      <c r="B195" s="120">
        <v>34</v>
      </c>
      <c r="C195" s="121" t="s">
        <v>4105</v>
      </c>
      <c r="D195" s="323" t="s">
        <v>4105</v>
      </c>
      <c r="E195" s="324" t="str">
        <f t="shared" si="6"/>
        <v/>
      </c>
    </row>
    <row r="196" spans="1:5" s="121" customFormat="1">
      <c r="A196" s="120" t="s">
        <v>3958</v>
      </c>
      <c r="B196" s="120">
        <v>35</v>
      </c>
      <c r="C196" s="121" t="s">
        <v>4106</v>
      </c>
      <c r="D196" s="323" t="s">
        <v>4106</v>
      </c>
      <c r="E196" s="324" t="str">
        <f t="shared" si="6"/>
        <v/>
      </c>
    </row>
    <row r="197" spans="1:5" s="121" customFormat="1">
      <c r="A197" s="120" t="s">
        <v>3958</v>
      </c>
      <c r="B197" s="120">
        <v>36</v>
      </c>
      <c r="C197" s="121" t="s">
        <v>4107</v>
      </c>
      <c r="D197" s="323" t="s">
        <v>4107</v>
      </c>
      <c r="E197" s="324" t="str">
        <f t="shared" si="6"/>
        <v/>
      </c>
    </row>
    <row r="198" spans="1:5" s="121" customFormat="1">
      <c r="A198" s="120" t="s">
        <v>3958</v>
      </c>
      <c r="B198" s="120">
        <v>37</v>
      </c>
      <c r="C198" s="121" t="s">
        <v>4108</v>
      </c>
      <c r="D198" s="323" t="s">
        <v>4108</v>
      </c>
      <c r="E198" s="324" t="str">
        <f t="shared" si="6"/>
        <v/>
      </c>
    </row>
    <row r="199" spans="1:5" s="121" customFormat="1">
      <c r="A199" s="120" t="s">
        <v>3958</v>
      </c>
      <c r="B199" s="120">
        <v>38</v>
      </c>
      <c r="C199" s="121" t="s">
        <v>4163</v>
      </c>
      <c r="D199" s="323" t="s">
        <v>4163</v>
      </c>
      <c r="E199" s="324" t="str">
        <f t="shared" ref="E199:E230" si="7">IF(LEN($C199)-LEN(D199)&lt;0,TEXT(LEN(D199)/LEN($C199),"0 %")&amp;" ("&amp;LEN(D199)-LEN($C199)&amp;")","")</f>
        <v/>
      </c>
    </row>
    <row r="200" spans="1:5" s="121" customFormat="1">
      <c r="A200" s="120" t="s">
        <v>3958</v>
      </c>
      <c r="B200" s="120">
        <v>39</v>
      </c>
      <c r="C200" s="121" t="s">
        <v>4175</v>
      </c>
      <c r="D200" s="323" t="s">
        <v>4175</v>
      </c>
      <c r="E200" s="324" t="str">
        <f t="shared" si="7"/>
        <v/>
      </c>
    </row>
    <row r="201" spans="1:5" s="121" customFormat="1">
      <c r="A201" s="120" t="s">
        <v>3958</v>
      </c>
      <c r="B201" s="120">
        <v>40</v>
      </c>
      <c r="C201" s="121" t="s">
        <v>4176</v>
      </c>
      <c r="D201" s="323" t="s">
        <v>4176</v>
      </c>
      <c r="E201" s="324" t="str">
        <f t="shared" si="7"/>
        <v/>
      </c>
    </row>
    <row r="202" spans="1:5" s="121" customFormat="1">
      <c r="A202" s="120" t="s">
        <v>3958</v>
      </c>
      <c r="B202" s="120">
        <v>41</v>
      </c>
      <c r="C202" s="121" t="s">
        <v>4177</v>
      </c>
      <c r="D202" s="323" t="s">
        <v>4177</v>
      </c>
      <c r="E202" s="324" t="str">
        <f t="shared" si="7"/>
        <v/>
      </c>
    </row>
    <row r="203" spans="1:5" s="121" customFormat="1">
      <c r="A203" s="120" t="s">
        <v>3958</v>
      </c>
      <c r="B203" s="120">
        <v>42</v>
      </c>
      <c r="C203" s="121" t="s">
        <v>4178</v>
      </c>
      <c r="D203" s="323" t="s">
        <v>4178</v>
      </c>
      <c r="E203" s="324" t="str">
        <f t="shared" si="7"/>
        <v/>
      </c>
    </row>
    <row r="204" spans="1:5" s="121" customFormat="1">
      <c r="A204" s="120" t="s">
        <v>3958</v>
      </c>
      <c r="B204" s="120">
        <v>43</v>
      </c>
      <c r="C204" s="121" t="s">
        <v>4179</v>
      </c>
      <c r="D204" s="323" t="s">
        <v>4179</v>
      </c>
      <c r="E204" s="324" t="str">
        <f t="shared" si="7"/>
        <v/>
      </c>
    </row>
    <row r="205" spans="1:5" s="121" customFormat="1">
      <c r="A205" s="120" t="s">
        <v>3958</v>
      </c>
      <c r="B205" s="120">
        <v>44</v>
      </c>
      <c r="C205" s="121" t="s">
        <v>4164</v>
      </c>
      <c r="D205" s="323" t="s">
        <v>4164</v>
      </c>
      <c r="E205" s="324" t="str">
        <f t="shared" si="7"/>
        <v/>
      </c>
    </row>
    <row r="206" spans="1:5" s="121" customFormat="1">
      <c r="A206" s="120" t="s">
        <v>3958</v>
      </c>
      <c r="B206" s="120">
        <v>45</v>
      </c>
      <c r="C206" s="121" t="s">
        <v>4180</v>
      </c>
      <c r="D206" s="323" t="s">
        <v>4180</v>
      </c>
      <c r="E206" s="324" t="str">
        <f t="shared" si="7"/>
        <v/>
      </c>
    </row>
    <row r="207" spans="1:5" s="121" customFormat="1">
      <c r="A207" s="120" t="s">
        <v>3958</v>
      </c>
      <c r="B207" s="120">
        <v>46</v>
      </c>
      <c r="C207" s="121" t="s">
        <v>4181</v>
      </c>
      <c r="D207" s="323" t="s">
        <v>4181</v>
      </c>
      <c r="E207" s="324" t="str">
        <f t="shared" si="7"/>
        <v/>
      </c>
    </row>
    <row r="208" spans="1:5" s="121" customFormat="1">
      <c r="A208" s="120" t="s">
        <v>3958</v>
      </c>
      <c r="B208" s="120">
        <v>47</v>
      </c>
      <c r="C208" s="121" t="s">
        <v>4182</v>
      </c>
      <c r="D208" s="323" t="s">
        <v>4182</v>
      </c>
      <c r="E208" s="324" t="str">
        <f t="shared" si="7"/>
        <v/>
      </c>
    </row>
    <row r="209" spans="1:5" s="121" customFormat="1">
      <c r="A209" s="120" t="s">
        <v>3958</v>
      </c>
      <c r="B209" s="120">
        <v>48</v>
      </c>
      <c r="C209" s="121" t="s">
        <v>4183</v>
      </c>
      <c r="D209" s="323" t="s">
        <v>4183</v>
      </c>
      <c r="E209" s="324" t="str">
        <f t="shared" si="7"/>
        <v/>
      </c>
    </row>
    <row r="210" spans="1:5" s="121" customFormat="1">
      <c r="A210" s="120" t="s">
        <v>3958</v>
      </c>
      <c r="B210" s="120">
        <v>49</v>
      </c>
      <c r="C210" s="121" t="s">
        <v>4165</v>
      </c>
      <c r="D210" s="323" t="s">
        <v>4165</v>
      </c>
      <c r="E210" s="324" t="str">
        <f t="shared" si="7"/>
        <v/>
      </c>
    </row>
    <row r="211" spans="1:5" s="121" customFormat="1">
      <c r="A211" s="120" t="s">
        <v>3958</v>
      </c>
      <c r="B211" s="120">
        <v>50</v>
      </c>
      <c r="C211" s="121" t="s">
        <v>4184</v>
      </c>
      <c r="D211" s="323" t="s">
        <v>4184</v>
      </c>
      <c r="E211" s="324" t="str">
        <f t="shared" si="7"/>
        <v/>
      </c>
    </row>
    <row r="212" spans="1:5" s="121" customFormat="1">
      <c r="A212" s="120" t="s">
        <v>3958</v>
      </c>
      <c r="B212" s="120">
        <v>51</v>
      </c>
      <c r="C212" s="121" t="s">
        <v>4185</v>
      </c>
      <c r="D212" s="323" t="s">
        <v>4185</v>
      </c>
      <c r="E212" s="324" t="str">
        <f t="shared" si="7"/>
        <v/>
      </c>
    </row>
    <row r="213" spans="1:5" s="121" customFormat="1">
      <c r="A213" s="120" t="s">
        <v>3958</v>
      </c>
      <c r="B213" s="120">
        <v>52</v>
      </c>
      <c r="C213" s="121" t="s">
        <v>4186</v>
      </c>
      <c r="D213" s="323" t="s">
        <v>4186</v>
      </c>
      <c r="E213" s="324" t="str">
        <f t="shared" si="7"/>
        <v/>
      </c>
    </row>
    <row r="214" spans="1:5" s="121" customFormat="1">
      <c r="A214" s="120" t="s">
        <v>3958</v>
      </c>
      <c r="B214" s="120">
        <v>53</v>
      </c>
      <c r="C214" s="121" t="s">
        <v>343</v>
      </c>
      <c r="D214" s="323" t="s">
        <v>343</v>
      </c>
      <c r="E214" s="324" t="str">
        <f t="shared" si="7"/>
        <v/>
      </c>
    </row>
    <row r="215" spans="1:5" s="121" customFormat="1">
      <c r="A215" s="120" t="s">
        <v>3958</v>
      </c>
      <c r="B215" s="120">
        <v>54</v>
      </c>
      <c r="C215" s="121" t="s">
        <v>345</v>
      </c>
      <c r="D215" s="323" t="s">
        <v>345</v>
      </c>
      <c r="E215" s="324" t="str">
        <f t="shared" si="7"/>
        <v/>
      </c>
    </row>
    <row r="216" spans="1:5" s="121" customFormat="1">
      <c r="A216" s="120" t="s">
        <v>3958</v>
      </c>
      <c r="B216" s="120">
        <v>55</v>
      </c>
      <c r="C216" s="121" t="s">
        <v>347</v>
      </c>
      <c r="D216" s="323" t="s">
        <v>347</v>
      </c>
      <c r="E216" s="324" t="str">
        <f t="shared" si="7"/>
        <v/>
      </c>
    </row>
    <row r="217" spans="1:5" s="121" customFormat="1">
      <c r="A217" s="120" t="s">
        <v>3958</v>
      </c>
      <c r="B217" s="120">
        <v>56</v>
      </c>
      <c r="C217" s="121" t="s">
        <v>4166</v>
      </c>
      <c r="D217" s="323" t="s">
        <v>4166</v>
      </c>
      <c r="E217" s="324" t="str">
        <f t="shared" si="7"/>
        <v/>
      </c>
    </row>
    <row r="218" spans="1:5" s="121" customFormat="1">
      <c r="A218" s="120" t="s">
        <v>3958</v>
      </c>
      <c r="B218" s="120">
        <v>57</v>
      </c>
      <c r="C218" s="121" t="s">
        <v>4167</v>
      </c>
      <c r="D218" s="323" t="s">
        <v>4167</v>
      </c>
      <c r="E218" s="324" t="str">
        <f t="shared" si="7"/>
        <v/>
      </c>
    </row>
    <row r="219" spans="1:5" s="121" customFormat="1">
      <c r="A219" s="120" t="s">
        <v>3958</v>
      </c>
      <c r="B219" s="120">
        <v>58</v>
      </c>
      <c r="C219" s="121" t="s">
        <v>4168</v>
      </c>
      <c r="D219" s="323" t="s">
        <v>4168</v>
      </c>
      <c r="E219" s="324" t="str">
        <f t="shared" si="7"/>
        <v/>
      </c>
    </row>
    <row r="220" spans="1:5" s="121" customFormat="1">
      <c r="A220" s="120" t="s">
        <v>3958</v>
      </c>
      <c r="B220" s="120">
        <v>59</v>
      </c>
      <c r="C220" s="121" t="s">
        <v>4169</v>
      </c>
      <c r="D220" s="323" t="s">
        <v>4169</v>
      </c>
      <c r="E220" s="324" t="str">
        <f t="shared" si="7"/>
        <v/>
      </c>
    </row>
    <row r="221" spans="1:5" s="121" customFormat="1">
      <c r="A221" s="120" t="s">
        <v>3958</v>
      </c>
      <c r="B221" s="120">
        <v>60</v>
      </c>
      <c r="C221" s="121" t="s">
        <v>4170</v>
      </c>
      <c r="D221" s="323" t="s">
        <v>4170</v>
      </c>
      <c r="E221" s="324" t="str">
        <f t="shared" si="7"/>
        <v/>
      </c>
    </row>
    <row r="222" spans="1:5" s="121" customFormat="1">
      <c r="A222" s="120" t="s">
        <v>3958</v>
      </c>
      <c r="B222" s="120">
        <v>61</v>
      </c>
      <c r="C222" s="121" t="s">
        <v>4171</v>
      </c>
      <c r="D222" s="323" t="s">
        <v>4171</v>
      </c>
      <c r="E222" s="324" t="str">
        <f t="shared" si="7"/>
        <v/>
      </c>
    </row>
    <row r="223" spans="1:5" s="121" customFormat="1">
      <c r="A223" s="120" t="s">
        <v>3958</v>
      </c>
      <c r="B223" s="120">
        <v>62</v>
      </c>
      <c r="C223" s="121" t="s">
        <v>425</v>
      </c>
      <c r="D223" s="323" t="s">
        <v>425</v>
      </c>
      <c r="E223" s="324" t="str">
        <f t="shared" si="7"/>
        <v/>
      </c>
    </row>
    <row r="224" spans="1:5" s="121" customFormat="1">
      <c r="A224" s="120" t="s">
        <v>3958</v>
      </c>
      <c r="B224" s="120">
        <v>63</v>
      </c>
      <c r="C224" s="121" t="s">
        <v>358</v>
      </c>
      <c r="D224" s="323" t="s">
        <v>358</v>
      </c>
      <c r="E224" s="324" t="str">
        <f t="shared" si="7"/>
        <v/>
      </c>
    </row>
    <row r="225" spans="1:5" s="121" customFormat="1">
      <c r="A225" s="120" t="s">
        <v>3958</v>
      </c>
      <c r="B225" s="120">
        <v>64</v>
      </c>
      <c r="C225" s="121" t="s">
        <v>355</v>
      </c>
      <c r="D225" s="323" t="s">
        <v>355</v>
      </c>
      <c r="E225" s="324" t="str">
        <f t="shared" si="7"/>
        <v/>
      </c>
    </row>
    <row r="226" spans="1:5" s="121" customFormat="1">
      <c r="A226" s="120" t="s">
        <v>3958</v>
      </c>
      <c r="B226" s="120">
        <v>65</v>
      </c>
      <c r="C226" s="121" t="s">
        <v>4172</v>
      </c>
      <c r="D226" s="323" t="s">
        <v>4309</v>
      </c>
      <c r="E226" s="324" t="str">
        <f t="shared" si="7"/>
        <v/>
      </c>
    </row>
    <row r="227" spans="1:5" s="121" customFormat="1">
      <c r="A227" s="120" t="s">
        <v>3958</v>
      </c>
      <c r="B227" s="120">
        <v>66</v>
      </c>
      <c r="C227" s="121" t="s">
        <v>349</v>
      </c>
      <c r="D227" s="323" t="s">
        <v>349</v>
      </c>
      <c r="E227" s="324" t="str">
        <f t="shared" si="7"/>
        <v/>
      </c>
    </row>
    <row r="228" spans="1:5" s="121" customFormat="1">
      <c r="A228" s="120" t="s">
        <v>3958</v>
      </c>
      <c r="B228" s="120">
        <v>67</v>
      </c>
      <c r="C228" s="121" t="s">
        <v>377</v>
      </c>
      <c r="D228" s="323" t="s">
        <v>377</v>
      </c>
      <c r="E228" s="324" t="str">
        <f t="shared" si="7"/>
        <v/>
      </c>
    </row>
    <row r="229" spans="1:5" s="121" customFormat="1">
      <c r="A229" s="120" t="s">
        <v>3958</v>
      </c>
      <c r="B229" s="120">
        <v>68</v>
      </c>
      <c r="C229" s="121" t="s">
        <v>3879</v>
      </c>
      <c r="D229" s="323" t="s">
        <v>4300</v>
      </c>
      <c r="E229" s="324" t="str">
        <f t="shared" si="7"/>
        <v/>
      </c>
    </row>
    <row r="230" spans="1:5" s="121" customFormat="1">
      <c r="A230" s="120" t="s">
        <v>3958</v>
      </c>
      <c r="B230" s="120">
        <v>69</v>
      </c>
      <c r="C230" s="121" t="s">
        <v>3880</v>
      </c>
      <c r="D230" s="323" t="s">
        <v>4301</v>
      </c>
      <c r="E230" s="324" t="str">
        <f t="shared" si="7"/>
        <v/>
      </c>
    </row>
    <row r="231" spans="1:5" s="121" customFormat="1">
      <c r="A231" s="120" t="s">
        <v>3958</v>
      </c>
      <c r="B231" s="120">
        <v>70</v>
      </c>
      <c r="C231" s="121" t="s">
        <v>3881</v>
      </c>
      <c r="D231" s="323" t="s">
        <v>4299</v>
      </c>
      <c r="E231" s="324" t="str">
        <f t="shared" ref="E231:E262" si="8">IF(LEN($C231)-LEN(D231)&lt;0,TEXT(LEN(D231)/LEN($C231),"0 %")&amp;" ("&amp;LEN(D231)-LEN($C231)&amp;")","")</f>
        <v/>
      </c>
    </row>
    <row r="232" spans="1:5" s="121" customFormat="1">
      <c r="A232" s="120" t="s">
        <v>3958</v>
      </c>
      <c r="B232" s="120">
        <v>71</v>
      </c>
      <c r="C232" s="121" t="s">
        <v>3882</v>
      </c>
      <c r="D232" s="323" t="s">
        <v>4302</v>
      </c>
      <c r="E232" s="324" t="str">
        <f t="shared" si="8"/>
        <v/>
      </c>
    </row>
    <row r="233" spans="1:5" s="121" customFormat="1">
      <c r="A233" s="120" t="s">
        <v>3958</v>
      </c>
      <c r="B233" s="120">
        <v>72</v>
      </c>
      <c r="C233" s="121" t="s">
        <v>3883</v>
      </c>
      <c r="D233" s="323" t="s">
        <v>4303</v>
      </c>
      <c r="E233" s="324" t="str">
        <f t="shared" si="8"/>
        <v>109 % (2)</v>
      </c>
    </row>
    <row r="234" spans="1:5" s="121" customFormat="1">
      <c r="A234" s="120" t="s">
        <v>3958</v>
      </c>
      <c r="B234" s="120">
        <v>73</v>
      </c>
      <c r="C234" s="121" t="s">
        <v>3884</v>
      </c>
      <c r="D234" s="323" t="s">
        <v>4305</v>
      </c>
      <c r="E234" s="324" t="str">
        <f t="shared" si="8"/>
        <v/>
      </c>
    </row>
    <row r="235" spans="1:5" s="121" customFormat="1">
      <c r="A235" s="120" t="s">
        <v>3958</v>
      </c>
      <c r="B235" s="120">
        <v>74</v>
      </c>
      <c r="C235" s="121" t="s">
        <v>3885</v>
      </c>
      <c r="D235" s="323" t="s">
        <v>4304</v>
      </c>
      <c r="E235" s="324" t="str">
        <f t="shared" si="8"/>
        <v>135 % (6)</v>
      </c>
    </row>
    <row r="236" spans="1:5" s="121" customFormat="1">
      <c r="A236" s="120" t="s">
        <v>3958</v>
      </c>
      <c r="B236" s="120">
        <v>75</v>
      </c>
      <c r="C236" s="121" t="s">
        <v>3886</v>
      </c>
      <c r="D236" s="323" t="s">
        <v>4306</v>
      </c>
      <c r="E236" s="324" t="str">
        <f t="shared" si="8"/>
        <v>112 % (2)</v>
      </c>
    </row>
    <row r="237" spans="1:5" s="121" customFormat="1">
      <c r="A237" s="120" t="s">
        <v>3958</v>
      </c>
      <c r="B237" s="120">
        <v>76</v>
      </c>
      <c r="C237" s="121" t="s">
        <v>3887</v>
      </c>
      <c r="D237" s="323" t="s">
        <v>4307</v>
      </c>
      <c r="E237" s="324" t="str">
        <f t="shared" si="8"/>
        <v/>
      </c>
    </row>
    <row r="238" spans="1:5" s="121" customFormat="1">
      <c r="A238" s="120" t="s">
        <v>3958</v>
      </c>
      <c r="B238" s="120">
        <v>77</v>
      </c>
      <c r="C238" s="121" t="s">
        <v>3888</v>
      </c>
      <c r="D238" s="323" t="s">
        <v>4308</v>
      </c>
      <c r="E238" s="324" t="str">
        <f t="shared" si="8"/>
        <v/>
      </c>
    </row>
    <row r="239" spans="1:5" s="121" customFormat="1">
      <c r="A239" s="120" t="s">
        <v>3958</v>
      </c>
      <c r="B239" s="120">
        <v>78</v>
      </c>
      <c r="C239" s="121" t="s">
        <v>240</v>
      </c>
      <c r="D239" s="323" t="s">
        <v>240</v>
      </c>
      <c r="E239" s="324" t="str">
        <f t="shared" si="8"/>
        <v/>
      </c>
    </row>
    <row r="240" spans="1:5" s="121" customFormat="1">
      <c r="A240" s="120" t="s">
        <v>3958</v>
      </c>
      <c r="B240" s="120">
        <v>79</v>
      </c>
      <c r="C240" s="121" t="s">
        <v>232</v>
      </c>
      <c r="D240" s="323" t="s">
        <v>232</v>
      </c>
      <c r="E240" s="324" t="str">
        <f t="shared" si="8"/>
        <v/>
      </c>
    </row>
    <row r="241" spans="1:5" s="121" customFormat="1">
      <c r="A241" s="120" t="s">
        <v>3958</v>
      </c>
      <c r="B241" s="120">
        <v>80</v>
      </c>
      <c r="C241" s="121" t="s">
        <v>242</v>
      </c>
      <c r="D241" s="323" t="s">
        <v>242</v>
      </c>
      <c r="E241" s="324" t="str">
        <f t="shared" si="8"/>
        <v/>
      </c>
    </row>
    <row r="242" spans="1:5" s="121" customFormat="1">
      <c r="A242" s="120" t="s">
        <v>3958</v>
      </c>
      <c r="B242" s="120">
        <v>81</v>
      </c>
      <c r="C242" s="121" t="s">
        <v>4173</v>
      </c>
      <c r="D242" s="323" t="s">
        <v>4173</v>
      </c>
      <c r="E242" s="324" t="str">
        <f t="shared" si="8"/>
        <v/>
      </c>
    </row>
    <row r="243" spans="1:5" s="121" customFormat="1">
      <c r="A243" s="120" t="s">
        <v>3958</v>
      </c>
      <c r="B243" s="120">
        <v>82</v>
      </c>
      <c r="C243" s="121" t="s">
        <v>237</v>
      </c>
      <c r="D243" s="323" t="s">
        <v>237</v>
      </c>
      <c r="E243" s="324" t="str">
        <f t="shared" si="8"/>
        <v/>
      </c>
    </row>
    <row r="244" spans="1:5" s="121" customFormat="1">
      <c r="A244" s="120" t="s">
        <v>3958</v>
      </c>
      <c r="B244" s="120">
        <v>83</v>
      </c>
      <c r="C244" s="121" t="s">
        <v>230</v>
      </c>
      <c r="D244" s="323" t="s">
        <v>230</v>
      </c>
      <c r="E244" s="324" t="str">
        <f t="shared" si="8"/>
        <v/>
      </c>
    </row>
    <row r="245" spans="1:5" s="121" customFormat="1">
      <c r="A245" s="120" t="s">
        <v>3958</v>
      </c>
      <c r="B245" s="120">
        <v>84</v>
      </c>
      <c r="C245" s="121" t="s">
        <v>227</v>
      </c>
      <c r="D245" s="323" t="s">
        <v>227</v>
      </c>
      <c r="E245" s="324" t="str">
        <f t="shared" si="8"/>
        <v/>
      </c>
    </row>
    <row r="246" spans="1:5" s="121" customFormat="1">
      <c r="A246" s="120" t="s">
        <v>3958</v>
      </c>
      <c r="B246" s="120">
        <v>85</v>
      </c>
      <c r="C246" s="121" t="s">
        <v>247</v>
      </c>
      <c r="D246" s="323" t="s">
        <v>247</v>
      </c>
      <c r="E246" s="324" t="str">
        <f t="shared" si="8"/>
        <v/>
      </c>
    </row>
    <row r="247" spans="1:5" s="121" customFormat="1">
      <c r="A247" s="120" t="s">
        <v>3958</v>
      </c>
      <c r="B247" s="120">
        <v>86</v>
      </c>
      <c r="C247" s="121" t="s">
        <v>4174</v>
      </c>
      <c r="D247" s="323" t="s">
        <v>4174</v>
      </c>
      <c r="E247" s="324" t="str">
        <f t="shared" si="8"/>
        <v/>
      </c>
    </row>
    <row r="248" spans="1:5" s="121" customFormat="1">
      <c r="A248" s="120" t="s">
        <v>3958</v>
      </c>
      <c r="B248" s="120">
        <v>87</v>
      </c>
      <c r="C248" s="121" t="s">
        <v>428</v>
      </c>
      <c r="D248" s="323" t="s">
        <v>428</v>
      </c>
      <c r="E248" s="324" t="str">
        <f t="shared" si="8"/>
        <v/>
      </c>
    </row>
    <row r="249" spans="1:5" s="121" customFormat="1">
      <c r="A249" s="120" t="s">
        <v>3958</v>
      </c>
      <c r="B249" s="120">
        <v>88</v>
      </c>
      <c r="C249" s="121" t="s">
        <v>4327</v>
      </c>
      <c r="D249" s="323" t="s">
        <v>4327</v>
      </c>
      <c r="E249" s="324" t="str">
        <f t="shared" si="8"/>
        <v/>
      </c>
    </row>
    <row r="250" spans="1:5" s="121" customFormat="1">
      <c r="A250" s="120" t="s">
        <v>3958</v>
      </c>
      <c r="B250" s="120">
        <v>89</v>
      </c>
      <c r="C250" s="121" t="s">
        <v>4328</v>
      </c>
      <c r="D250" s="323" t="s">
        <v>4328</v>
      </c>
      <c r="E250" s="324" t="str">
        <f t="shared" si="8"/>
        <v/>
      </c>
    </row>
    <row r="251" spans="1:5" s="121" customFormat="1">
      <c r="A251" s="120" t="s">
        <v>3958</v>
      </c>
      <c r="B251" s="120">
        <v>90</v>
      </c>
      <c r="C251" s="121" t="s">
        <v>4329</v>
      </c>
      <c r="D251" s="323" t="s">
        <v>4329</v>
      </c>
      <c r="E251" s="324" t="str">
        <f t="shared" si="8"/>
        <v/>
      </c>
    </row>
    <row r="252" spans="1:5" s="121" customFormat="1">
      <c r="A252" s="120" t="s">
        <v>3958</v>
      </c>
      <c r="B252" s="120">
        <v>91</v>
      </c>
      <c r="C252" s="121" t="s">
        <v>3107</v>
      </c>
      <c r="D252" s="323" t="s">
        <v>3107</v>
      </c>
      <c r="E252" s="324" t="str">
        <f t="shared" si="8"/>
        <v/>
      </c>
    </row>
    <row r="253" spans="1:5" s="121" customFormat="1">
      <c r="A253" s="120" t="s">
        <v>3958</v>
      </c>
      <c r="B253" s="120">
        <v>92</v>
      </c>
      <c r="C253" s="121" t="s">
        <v>4330</v>
      </c>
      <c r="D253" s="323" t="s">
        <v>4330</v>
      </c>
      <c r="E253" s="324" t="str">
        <f t="shared" si="8"/>
        <v/>
      </c>
    </row>
    <row r="254" spans="1:5" s="121" customFormat="1">
      <c r="A254" s="120" t="s">
        <v>3958</v>
      </c>
      <c r="B254" s="120">
        <v>93</v>
      </c>
      <c r="C254" s="121" t="s">
        <v>4331</v>
      </c>
      <c r="D254" s="323" t="s">
        <v>4331</v>
      </c>
      <c r="E254" s="324" t="str">
        <f t="shared" si="8"/>
        <v/>
      </c>
    </row>
    <row r="255" spans="1:5" s="121" customFormat="1">
      <c r="A255" s="120" t="s">
        <v>3958</v>
      </c>
      <c r="B255" s="120">
        <v>93</v>
      </c>
      <c r="C255" s="121" t="s">
        <v>4332</v>
      </c>
      <c r="D255" s="323" t="s">
        <v>4332</v>
      </c>
      <c r="E255" s="324" t="str">
        <f t="shared" si="8"/>
        <v/>
      </c>
    </row>
    <row r="256" spans="1:5" s="121" customFormat="1">
      <c r="A256" s="120" t="s">
        <v>3958</v>
      </c>
      <c r="B256" s="120">
        <v>94</v>
      </c>
      <c r="C256" s="121" t="s">
        <v>4333</v>
      </c>
      <c r="D256" s="323" t="s">
        <v>4333</v>
      </c>
      <c r="E256" s="324" t="str">
        <f t="shared" si="8"/>
        <v/>
      </c>
    </row>
    <row r="257" spans="1:5" s="121" customFormat="1">
      <c r="A257" s="120" t="s">
        <v>3958</v>
      </c>
      <c r="B257" s="120">
        <v>95</v>
      </c>
      <c r="C257" s="121" t="s">
        <v>4334</v>
      </c>
      <c r="D257" s="323" t="s">
        <v>4334</v>
      </c>
      <c r="E257" s="324" t="str">
        <f t="shared" si="8"/>
        <v/>
      </c>
    </row>
    <row r="258" spans="1:5" s="121" customFormat="1">
      <c r="A258" s="120" t="s">
        <v>3958</v>
      </c>
      <c r="B258" s="120">
        <v>96</v>
      </c>
      <c r="C258" s="121" t="s">
        <v>4335</v>
      </c>
      <c r="D258" s="323" t="s">
        <v>4335</v>
      </c>
      <c r="E258" s="324" t="str">
        <f t="shared" si="8"/>
        <v/>
      </c>
    </row>
    <row r="259" spans="1:5" s="121" customFormat="1">
      <c r="A259" s="120" t="s">
        <v>3958</v>
      </c>
      <c r="B259" s="120">
        <v>97</v>
      </c>
      <c r="C259" s="121" t="s">
        <v>4336</v>
      </c>
      <c r="D259" s="323" t="s">
        <v>4336</v>
      </c>
      <c r="E259" s="324" t="str">
        <f t="shared" si="8"/>
        <v/>
      </c>
    </row>
    <row r="260" spans="1:5" s="121" customFormat="1">
      <c r="A260" s="120" t="s">
        <v>3958</v>
      </c>
      <c r="B260" s="120">
        <v>98</v>
      </c>
      <c r="C260" s="121" t="s">
        <v>4337</v>
      </c>
      <c r="D260" s="323" t="s">
        <v>4337</v>
      </c>
      <c r="E260" s="324" t="str">
        <f t="shared" si="8"/>
        <v/>
      </c>
    </row>
    <row r="261" spans="1:5" s="121" customFormat="1">
      <c r="A261" s="120" t="s">
        <v>3958</v>
      </c>
      <c r="B261" s="120">
        <v>99</v>
      </c>
      <c r="C261" s="121" t="s">
        <v>559</v>
      </c>
      <c r="D261" s="323" t="s">
        <v>559</v>
      </c>
      <c r="E261" s="324" t="str">
        <f t="shared" si="8"/>
        <v/>
      </c>
    </row>
    <row r="262" spans="1:5" s="121" customFormat="1">
      <c r="A262" s="120" t="s">
        <v>3958</v>
      </c>
      <c r="B262" s="120">
        <v>99</v>
      </c>
      <c r="C262" s="121" t="s">
        <v>555</v>
      </c>
      <c r="D262" s="323" t="s">
        <v>555</v>
      </c>
      <c r="E262" s="324" t="str">
        <f t="shared" si="8"/>
        <v/>
      </c>
    </row>
    <row r="263" spans="1:5" s="121" customFormat="1">
      <c r="A263" s="120" t="s">
        <v>3958</v>
      </c>
      <c r="B263" s="120">
        <v>100</v>
      </c>
      <c r="C263" s="121" t="s">
        <v>4338</v>
      </c>
      <c r="D263" s="323" t="s">
        <v>4338</v>
      </c>
      <c r="E263" s="324" t="str">
        <f t="shared" ref="E263:E294" si="9">IF(LEN($C263)-LEN(D263)&lt;0,TEXT(LEN(D263)/LEN($C263),"0 %")&amp;" ("&amp;LEN(D263)-LEN($C263)&amp;")","")</f>
        <v/>
      </c>
    </row>
    <row r="264" spans="1:5" s="121" customFormat="1">
      <c r="A264" s="120" t="s">
        <v>3958</v>
      </c>
      <c r="B264" s="120">
        <v>101</v>
      </c>
      <c r="C264" s="121" t="s">
        <v>923</v>
      </c>
      <c r="D264" s="323" t="s">
        <v>923</v>
      </c>
      <c r="E264" s="324" t="str">
        <f t="shared" si="9"/>
        <v/>
      </c>
    </row>
    <row r="265" spans="1:5" s="121" customFormat="1">
      <c r="A265" s="120" t="s">
        <v>3958</v>
      </c>
      <c r="B265" s="120">
        <v>102</v>
      </c>
      <c r="C265" s="121" t="s">
        <v>588</v>
      </c>
      <c r="D265" s="323" t="s">
        <v>588</v>
      </c>
      <c r="E265" s="324" t="str">
        <f t="shared" si="9"/>
        <v/>
      </c>
    </row>
    <row r="266" spans="1:5" s="121" customFormat="1">
      <c r="A266" s="120" t="s">
        <v>3958</v>
      </c>
      <c r="B266" s="120">
        <v>103</v>
      </c>
      <c r="C266" s="121" t="s">
        <v>592</v>
      </c>
      <c r="D266" s="323" t="s">
        <v>592</v>
      </c>
      <c r="E266" s="324" t="str">
        <f t="shared" si="9"/>
        <v/>
      </c>
    </row>
    <row r="267" spans="1:5" s="121" customFormat="1">
      <c r="A267" s="120" t="s">
        <v>3958</v>
      </c>
      <c r="B267" s="120">
        <v>104</v>
      </c>
      <c r="C267" s="121" t="s">
        <v>4339</v>
      </c>
      <c r="D267" s="323" t="s">
        <v>4339</v>
      </c>
      <c r="E267" s="324" t="str">
        <f t="shared" si="9"/>
        <v/>
      </c>
    </row>
    <row r="268" spans="1:5" s="121" customFormat="1">
      <c r="A268" s="120" t="s">
        <v>3958</v>
      </c>
      <c r="B268" s="120">
        <v>105</v>
      </c>
      <c r="C268" s="121" t="s">
        <v>4340</v>
      </c>
      <c r="D268" s="323" t="s">
        <v>4340</v>
      </c>
      <c r="E268" s="324" t="str">
        <f t="shared" si="9"/>
        <v/>
      </c>
    </row>
    <row r="269" spans="1:5" s="121" customFormat="1">
      <c r="A269" s="120" t="s">
        <v>3958</v>
      </c>
      <c r="B269" s="120">
        <v>106</v>
      </c>
      <c r="C269" s="121" t="s">
        <v>4341</v>
      </c>
      <c r="D269" s="323" t="s">
        <v>4341</v>
      </c>
      <c r="E269" s="324" t="str">
        <f t="shared" si="9"/>
        <v/>
      </c>
    </row>
    <row r="270" spans="1:5" s="121" customFormat="1">
      <c r="A270" s="120" t="s">
        <v>3958</v>
      </c>
      <c r="B270" s="120">
        <v>107</v>
      </c>
      <c r="C270" s="121" t="s">
        <v>635</v>
      </c>
      <c r="D270" s="323" t="s">
        <v>635</v>
      </c>
      <c r="E270" s="324" t="str">
        <f t="shared" si="9"/>
        <v/>
      </c>
    </row>
    <row r="271" spans="1:5" s="121" customFormat="1">
      <c r="A271" s="120" t="s">
        <v>3958</v>
      </c>
      <c r="B271" s="120">
        <v>108</v>
      </c>
      <c r="C271" s="121" t="s">
        <v>4342</v>
      </c>
      <c r="D271" s="323" t="s">
        <v>4342</v>
      </c>
      <c r="E271" s="324" t="str">
        <f t="shared" si="9"/>
        <v/>
      </c>
    </row>
    <row r="272" spans="1:5" s="121" customFormat="1">
      <c r="A272" s="120" t="s">
        <v>3958</v>
      </c>
      <c r="B272" s="120">
        <v>109</v>
      </c>
      <c r="C272" s="121" t="s">
        <v>4343</v>
      </c>
      <c r="D272" s="323" t="s">
        <v>4343</v>
      </c>
      <c r="E272" s="324" t="str">
        <f t="shared" si="9"/>
        <v/>
      </c>
    </row>
    <row r="273" spans="1:5" s="121" customFormat="1">
      <c r="A273" s="120" t="s">
        <v>3958</v>
      </c>
      <c r="B273" s="120">
        <v>110</v>
      </c>
      <c r="C273" s="121" t="s">
        <v>4344</v>
      </c>
      <c r="D273" s="323" t="s">
        <v>4344</v>
      </c>
      <c r="E273" s="324" t="str">
        <f t="shared" si="9"/>
        <v/>
      </c>
    </row>
    <row r="274" spans="1:5" s="121" customFormat="1">
      <c r="A274" s="120" t="s">
        <v>3958</v>
      </c>
      <c r="B274" s="120">
        <v>111</v>
      </c>
      <c r="C274" s="121" t="s">
        <v>4345</v>
      </c>
      <c r="D274" s="323" t="s">
        <v>4345</v>
      </c>
      <c r="E274" s="324" t="str">
        <f t="shared" si="9"/>
        <v/>
      </c>
    </row>
    <row r="275" spans="1:5" s="121" customFormat="1">
      <c r="A275" s="120" t="s">
        <v>3958</v>
      </c>
      <c r="B275" s="120">
        <v>113</v>
      </c>
      <c r="C275" s="121" t="s">
        <v>4346</v>
      </c>
      <c r="D275" s="323" t="s">
        <v>4346</v>
      </c>
      <c r="E275" s="324" t="str">
        <f t="shared" si="9"/>
        <v/>
      </c>
    </row>
    <row r="276" spans="1:5" s="121" customFormat="1">
      <c r="A276" s="120" t="s">
        <v>3958</v>
      </c>
      <c r="B276" s="120">
        <v>114</v>
      </c>
      <c r="C276" s="121" t="s">
        <v>4347</v>
      </c>
      <c r="D276" s="323" t="s">
        <v>4347</v>
      </c>
      <c r="E276" s="324" t="str">
        <f t="shared" si="9"/>
        <v/>
      </c>
    </row>
    <row r="277" spans="1:5" s="121" customFormat="1">
      <c r="A277" s="120" t="s">
        <v>3958</v>
      </c>
      <c r="B277" s="120">
        <v>115</v>
      </c>
      <c r="C277" s="121" t="s">
        <v>4348</v>
      </c>
      <c r="D277" s="323" t="s">
        <v>4348</v>
      </c>
      <c r="E277" s="324" t="str">
        <f t="shared" si="9"/>
        <v/>
      </c>
    </row>
    <row r="278" spans="1:5" s="121" customFormat="1">
      <c r="A278" s="120" t="s">
        <v>3958</v>
      </c>
      <c r="B278" s="120">
        <v>116</v>
      </c>
      <c r="C278" s="121" t="s">
        <v>4349</v>
      </c>
      <c r="D278" s="323" t="s">
        <v>4349</v>
      </c>
      <c r="E278" s="324" t="str">
        <f t="shared" si="9"/>
        <v/>
      </c>
    </row>
    <row r="279" spans="1:5" s="121" customFormat="1">
      <c r="A279" s="120" t="s">
        <v>3958</v>
      </c>
      <c r="B279" s="120">
        <v>117</v>
      </c>
      <c r="C279" s="121" t="s">
        <v>4350</v>
      </c>
      <c r="D279" s="323" t="s">
        <v>4350</v>
      </c>
      <c r="E279" s="324" t="str">
        <f t="shared" si="9"/>
        <v/>
      </c>
    </row>
    <row r="280" spans="1:5" s="121" customFormat="1">
      <c r="A280" s="120" t="s">
        <v>3958</v>
      </c>
      <c r="B280" s="120">
        <v>118</v>
      </c>
      <c r="C280" s="121" t="s">
        <v>4351</v>
      </c>
      <c r="D280" s="323" t="s">
        <v>4351</v>
      </c>
      <c r="E280" s="324" t="str">
        <f t="shared" si="9"/>
        <v/>
      </c>
    </row>
    <row r="281" spans="1:5" s="121" customFormat="1">
      <c r="A281" s="120" t="s">
        <v>3958</v>
      </c>
      <c r="B281" s="120">
        <v>119</v>
      </c>
      <c r="C281" s="121" t="s">
        <v>4352</v>
      </c>
      <c r="D281" s="323" t="s">
        <v>4352</v>
      </c>
      <c r="E281" s="324" t="str">
        <f t="shared" si="9"/>
        <v/>
      </c>
    </row>
    <row r="282" spans="1:5" s="121" customFormat="1">
      <c r="A282" s="120" t="s">
        <v>3958</v>
      </c>
      <c r="B282" s="120">
        <v>120</v>
      </c>
      <c r="C282" s="121" t="s">
        <v>3489</v>
      </c>
      <c r="D282" s="323" t="s">
        <v>3489</v>
      </c>
      <c r="E282" s="324" t="str">
        <f t="shared" si="9"/>
        <v/>
      </c>
    </row>
    <row r="283" spans="1:5" s="121" customFormat="1">
      <c r="A283" s="120" t="s">
        <v>3958</v>
      </c>
      <c r="B283" s="120">
        <v>121</v>
      </c>
      <c r="C283" s="121" t="s">
        <v>3494</v>
      </c>
      <c r="D283" s="323" t="s">
        <v>3494</v>
      </c>
      <c r="E283" s="324" t="str">
        <f t="shared" si="9"/>
        <v/>
      </c>
    </row>
    <row r="284" spans="1:5" s="121" customFormat="1">
      <c r="A284" s="120" t="s">
        <v>3958</v>
      </c>
      <c r="B284" s="120">
        <v>122</v>
      </c>
      <c r="C284" s="121" t="s">
        <v>3493</v>
      </c>
      <c r="D284" s="323" t="s">
        <v>3493</v>
      </c>
      <c r="E284" s="324" t="str">
        <f t="shared" si="9"/>
        <v/>
      </c>
    </row>
    <row r="285" spans="1:5" s="121" customFormat="1">
      <c r="A285" s="120" t="s">
        <v>3958</v>
      </c>
      <c r="B285" s="120">
        <v>123</v>
      </c>
      <c r="C285" s="121" t="s">
        <v>4353</v>
      </c>
      <c r="D285" s="323" t="s">
        <v>4353</v>
      </c>
      <c r="E285" s="324" t="str">
        <f t="shared" si="9"/>
        <v/>
      </c>
    </row>
    <row r="286" spans="1:5" s="121" customFormat="1">
      <c r="A286" s="120" t="s">
        <v>3958</v>
      </c>
      <c r="B286" s="120">
        <v>124</v>
      </c>
      <c r="C286" s="121" t="s">
        <v>1479</v>
      </c>
      <c r="D286" s="323" t="s">
        <v>1479</v>
      </c>
      <c r="E286" s="324" t="str">
        <f t="shared" si="9"/>
        <v/>
      </c>
    </row>
    <row r="287" spans="1:5" s="121" customFormat="1">
      <c r="A287" s="120" t="s">
        <v>3958</v>
      </c>
      <c r="B287" s="120">
        <v>125</v>
      </c>
      <c r="C287" s="121" t="s">
        <v>3724</v>
      </c>
      <c r="D287" s="323" t="s">
        <v>3724</v>
      </c>
      <c r="E287" s="324" t="str">
        <f t="shared" si="9"/>
        <v/>
      </c>
    </row>
    <row r="288" spans="1:5" s="121" customFormat="1">
      <c r="A288" s="120" t="s">
        <v>3958</v>
      </c>
      <c r="B288" s="120">
        <v>125</v>
      </c>
      <c r="C288" s="121" t="s">
        <v>3723</v>
      </c>
      <c r="D288" s="323" t="s">
        <v>3723</v>
      </c>
      <c r="E288" s="324" t="str">
        <f t="shared" si="9"/>
        <v/>
      </c>
    </row>
    <row r="289" spans="1:5" s="121" customFormat="1">
      <c r="A289" s="120" t="s">
        <v>3958</v>
      </c>
      <c r="B289" s="120">
        <v>127</v>
      </c>
      <c r="C289" s="121" t="s">
        <v>4354</v>
      </c>
      <c r="D289" s="323" t="s">
        <v>4354</v>
      </c>
      <c r="E289" s="324" t="str">
        <f t="shared" si="9"/>
        <v/>
      </c>
    </row>
    <row r="290" spans="1:5" s="121" customFormat="1">
      <c r="A290" s="120" t="s">
        <v>3958</v>
      </c>
      <c r="B290" s="120">
        <v>129</v>
      </c>
      <c r="C290" s="121" t="s">
        <v>4355</v>
      </c>
      <c r="D290" s="323" t="s">
        <v>4355</v>
      </c>
      <c r="E290" s="324" t="str">
        <f t="shared" si="9"/>
        <v/>
      </c>
    </row>
    <row r="291" spans="1:5" s="121" customFormat="1">
      <c r="A291" s="120" t="s">
        <v>3958</v>
      </c>
      <c r="B291" s="120">
        <v>130</v>
      </c>
      <c r="C291" s="121" t="s">
        <v>4356</v>
      </c>
      <c r="D291" s="323" t="s">
        <v>4356</v>
      </c>
      <c r="E291" s="324" t="str">
        <f t="shared" si="9"/>
        <v/>
      </c>
    </row>
    <row r="292" spans="1:5" s="121" customFormat="1">
      <c r="A292" s="120" t="s">
        <v>3958</v>
      </c>
      <c r="B292" s="120">
        <v>131</v>
      </c>
      <c r="C292" s="121" t="s">
        <v>4357</v>
      </c>
      <c r="D292" s="323" t="s">
        <v>4357</v>
      </c>
      <c r="E292" s="324" t="str">
        <f t="shared" si="9"/>
        <v/>
      </c>
    </row>
    <row r="293" spans="1:5" s="121" customFormat="1">
      <c r="A293" s="120" t="s">
        <v>3958</v>
      </c>
      <c r="B293" s="120">
        <v>132</v>
      </c>
      <c r="C293" s="121" t="s">
        <v>4358</v>
      </c>
      <c r="D293" s="323" t="s">
        <v>4358</v>
      </c>
      <c r="E293" s="324" t="str">
        <f t="shared" si="9"/>
        <v/>
      </c>
    </row>
    <row r="294" spans="1:5" s="121" customFormat="1">
      <c r="A294" s="120" t="s">
        <v>3958</v>
      </c>
      <c r="B294" s="120">
        <v>133</v>
      </c>
      <c r="C294" s="121" t="s">
        <v>4359</v>
      </c>
      <c r="D294" s="323" t="s">
        <v>4359</v>
      </c>
      <c r="E294" s="324" t="str">
        <f t="shared" si="9"/>
        <v/>
      </c>
    </row>
    <row r="295" spans="1:5" s="121" customFormat="1">
      <c r="A295" s="120" t="s">
        <v>3958</v>
      </c>
      <c r="B295" s="120">
        <v>134</v>
      </c>
      <c r="C295" s="121" t="s">
        <v>4360</v>
      </c>
      <c r="D295" s="323" t="s">
        <v>4360</v>
      </c>
      <c r="E295" s="324" t="str">
        <f t="shared" ref="E295:E326" si="10">IF(LEN($C295)-LEN(D295)&lt;0,TEXT(LEN(D295)/LEN($C295),"0 %")&amp;" ("&amp;LEN(D295)-LEN($C295)&amp;")","")</f>
        <v/>
      </c>
    </row>
    <row r="296" spans="1:5" s="121" customFormat="1">
      <c r="A296" s="120" t="s">
        <v>3958</v>
      </c>
      <c r="B296" s="120">
        <v>135</v>
      </c>
      <c r="C296" s="121" t="s">
        <v>4361</v>
      </c>
      <c r="D296" s="323" t="s">
        <v>4361</v>
      </c>
      <c r="E296" s="324" t="str">
        <f t="shared" si="10"/>
        <v/>
      </c>
    </row>
    <row r="297" spans="1:5" s="121" customFormat="1">
      <c r="A297" s="120" t="s">
        <v>3958</v>
      </c>
      <c r="B297" s="120">
        <v>136</v>
      </c>
      <c r="C297" s="121" t="s">
        <v>4362</v>
      </c>
      <c r="D297" s="323" t="s">
        <v>4362</v>
      </c>
      <c r="E297" s="324" t="str">
        <f t="shared" si="10"/>
        <v/>
      </c>
    </row>
    <row r="298" spans="1:5" s="121" customFormat="1">
      <c r="A298" s="120" t="s">
        <v>3958</v>
      </c>
      <c r="B298" s="120">
        <v>137</v>
      </c>
      <c r="C298" s="121" t="s">
        <v>577</v>
      </c>
      <c r="D298" s="323" t="s">
        <v>577</v>
      </c>
      <c r="E298" s="324" t="str">
        <f t="shared" si="10"/>
        <v/>
      </c>
    </row>
    <row r="299" spans="1:5" s="121" customFormat="1">
      <c r="A299" s="120" t="s">
        <v>3958</v>
      </c>
      <c r="B299" s="120">
        <v>138</v>
      </c>
      <c r="C299" s="121" t="s">
        <v>580</v>
      </c>
      <c r="D299" s="323" t="s">
        <v>580</v>
      </c>
      <c r="E299" s="324" t="str">
        <f t="shared" si="10"/>
        <v/>
      </c>
    </row>
    <row r="300" spans="1:5" s="121" customFormat="1">
      <c r="A300" s="120" t="s">
        <v>3958</v>
      </c>
      <c r="B300" s="120">
        <v>139</v>
      </c>
      <c r="C300" s="121" t="s">
        <v>639</v>
      </c>
      <c r="D300" s="323" t="s">
        <v>639</v>
      </c>
      <c r="E300" s="324" t="str">
        <f t="shared" si="10"/>
        <v/>
      </c>
    </row>
    <row r="301" spans="1:5" s="121" customFormat="1">
      <c r="A301" s="120" t="s">
        <v>3958</v>
      </c>
      <c r="B301" s="120">
        <v>140</v>
      </c>
      <c r="C301" s="121" t="s">
        <v>525</v>
      </c>
      <c r="D301" s="323" t="s">
        <v>525</v>
      </c>
      <c r="E301" s="324" t="str">
        <f t="shared" si="10"/>
        <v/>
      </c>
    </row>
    <row r="302" spans="1:5" s="121" customFormat="1">
      <c r="A302" s="120" t="s">
        <v>3958</v>
      </c>
      <c r="B302" s="120">
        <v>141</v>
      </c>
      <c r="C302" s="121" t="s">
        <v>531</v>
      </c>
      <c r="D302" s="323" t="s">
        <v>531</v>
      </c>
      <c r="E302" s="324" t="str">
        <f t="shared" si="10"/>
        <v/>
      </c>
    </row>
    <row r="303" spans="1:5" s="121" customFormat="1">
      <c r="A303" s="120" t="s">
        <v>3958</v>
      </c>
      <c r="B303" s="120">
        <v>142</v>
      </c>
      <c r="C303" s="121" t="s">
        <v>528</v>
      </c>
      <c r="D303" s="323" t="s">
        <v>528</v>
      </c>
      <c r="E303" s="324" t="str">
        <f t="shared" si="10"/>
        <v/>
      </c>
    </row>
    <row r="304" spans="1:5" s="121" customFormat="1">
      <c r="A304" s="120" t="s">
        <v>3958</v>
      </c>
      <c r="B304" s="120">
        <v>143</v>
      </c>
      <c r="C304" s="121" t="s">
        <v>4363</v>
      </c>
      <c r="D304" s="323" t="s">
        <v>4363</v>
      </c>
      <c r="E304" s="324" t="str">
        <f t="shared" si="10"/>
        <v/>
      </c>
    </row>
    <row r="305" spans="1:5" s="121" customFormat="1">
      <c r="A305" s="120" t="s">
        <v>3958</v>
      </c>
      <c r="B305" s="120">
        <v>144</v>
      </c>
      <c r="C305" s="121" t="s">
        <v>4364</v>
      </c>
      <c r="D305" s="323" t="s">
        <v>4364</v>
      </c>
      <c r="E305" s="324" t="str">
        <f t="shared" si="10"/>
        <v/>
      </c>
    </row>
    <row r="306" spans="1:5" s="121" customFormat="1">
      <c r="A306" s="120" t="s">
        <v>3958</v>
      </c>
      <c r="B306" s="120">
        <v>145</v>
      </c>
      <c r="C306" s="121" t="s">
        <v>4365</v>
      </c>
      <c r="D306" s="323" t="s">
        <v>4365</v>
      </c>
      <c r="E306" s="324" t="str">
        <f t="shared" si="10"/>
        <v/>
      </c>
    </row>
    <row r="307" spans="1:5" s="121" customFormat="1">
      <c r="A307" s="120" t="s">
        <v>3958</v>
      </c>
      <c r="B307" s="120">
        <v>146</v>
      </c>
      <c r="C307" s="121" t="s">
        <v>4366</v>
      </c>
      <c r="D307" s="323" t="s">
        <v>4366</v>
      </c>
      <c r="E307" s="324" t="str">
        <f t="shared" si="10"/>
        <v/>
      </c>
    </row>
    <row r="308" spans="1:5" s="121" customFormat="1">
      <c r="A308" s="120" t="s">
        <v>3958</v>
      </c>
      <c r="B308" s="120">
        <v>147</v>
      </c>
      <c r="C308" s="121" t="s">
        <v>4367</v>
      </c>
      <c r="D308" s="323" t="s">
        <v>4367</v>
      </c>
      <c r="E308" s="324" t="str">
        <f t="shared" si="10"/>
        <v/>
      </c>
    </row>
    <row r="309" spans="1:5" s="121" customFormat="1">
      <c r="A309" s="120" t="s">
        <v>3958</v>
      </c>
      <c r="B309" s="120">
        <v>148</v>
      </c>
      <c r="C309" s="121" t="s">
        <v>4368</v>
      </c>
      <c r="D309" s="323" t="s">
        <v>4368</v>
      </c>
      <c r="E309" s="324" t="str">
        <f t="shared" si="10"/>
        <v/>
      </c>
    </row>
    <row r="310" spans="1:5" s="121" customFormat="1">
      <c r="A310" s="120" t="s">
        <v>3958</v>
      </c>
      <c r="B310" s="120">
        <v>149</v>
      </c>
      <c r="C310" s="121" t="s">
        <v>4369</v>
      </c>
      <c r="D310" s="323" t="s">
        <v>4369</v>
      </c>
      <c r="E310" s="324" t="str">
        <f t="shared" si="10"/>
        <v/>
      </c>
    </row>
    <row r="311" spans="1:5" s="121" customFormat="1">
      <c r="A311" s="120" t="s">
        <v>3958</v>
      </c>
      <c r="B311" s="120">
        <v>150</v>
      </c>
      <c r="C311" s="121" t="s">
        <v>4370</v>
      </c>
      <c r="D311" s="323" t="s">
        <v>4370</v>
      </c>
      <c r="E311" s="324" t="str">
        <f t="shared" si="10"/>
        <v/>
      </c>
    </row>
    <row r="312" spans="1:5" s="121" customFormat="1">
      <c r="A312" s="120" t="s">
        <v>3958</v>
      </c>
      <c r="B312" s="120">
        <v>151</v>
      </c>
      <c r="C312" s="121" t="s">
        <v>4371</v>
      </c>
      <c r="D312" s="323" t="s">
        <v>4371</v>
      </c>
      <c r="E312" s="324" t="str">
        <f t="shared" si="10"/>
        <v/>
      </c>
    </row>
    <row r="313" spans="1:5" s="121" customFormat="1">
      <c r="A313" s="120" t="s">
        <v>3958</v>
      </c>
      <c r="B313" s="120">
        <v>152</v>
      </c>
      <c r="C313" s="121" t="s">
        <v>4372</v>
      </c>
      <c r="D313" s="323" t="s">
        <v>4372</v>
      </c>
      <c r="E313" s="324" t="str">
        <f t="shared" si="10"/>
        <v/>
      </c>
    </row>
    <row r="314" spans="1:5" s="121" customFormat="1">
      <c r="A314" s="120" t="s">
        <v>3958</v>
      </c>
      <c r="B314" s="120">
        <v>153</v>
      </c>
      <c r="C314" s="121" t="s">
        <v>4373</v>
      </c>
      <c r="D314" s="323" t="s">
        <v>4373</v>
      </c>
      <c r="E314" s="324" t="str">
        <f t="shared" si="10"/>
        <v/>
      </c>
    </row>
    <row r="315" spans="1:5" s="121" customFormat="1">
      <c r="A315" s="120" t="s">
        <v>3958</v>
      </c>
      <c r="B315" s="120">
        <v>154</v>
      </c>
      <c r="C315" s="121" t="s">
        <v>4374</v>
      </c>
      <c r="D315" s="323" t="s">
        <v>4374</v>
      </c>
      <c r="E315" s="324" t="str">
        <f t="shared" si="10"/>
        <v/>
      </c>
    </row>
    <row r="316" spans="1:5" s="121" customFormat="1">
      <c r="A316" s="120" t="s">
        <v>3958</v>
      </c>
      <c r="B316" s="120">
        <v>155</v>
      </c>
      <c r="C316" s="121" t="s">
        <v>3498</v>
      </c>
      <c r="D316" s="323" t="s">
        <v>3498</v>
      </c>
      <c r="E316" s="324" t="str">
        <f t="shared" si="10"/>
        <v/>
      </c>
    </row>
    <row r="317" spans="1:5" s="121" customFormat="1">
      <c r="A317" s="120" t="s">
        <v>3958</v>
      </c>
      <c r="B317" s="120">
        <v>156</v>
      </c>
      <c r="C317" s="121" t="s">
        <v>3496</v>
      </c>
      <c r="D317" s="323" t="s">
        <v>3496</v>
      </c>
      <c r="E317" s="324" t="str">
        <f t="shared" si="10"/>
        <v/>
      </c>
    </row>
    <row r="318" spans="1:5" s="121" customFormat="1">
      <c r="A318" s="120" t="s">
        <v>3958</v>
      </c>
      <c r="B318" s="120">
        <v>157</v>
      </c>
      <c r="C318" s="121" t="s">
        <v>3500</v>
      </c>
      <c r="D318" s="323" t="s">
        <v>3500</v>
      </c>
      <c r="E318" s="324" t="str">
        <f t="shared" si="10"/>
        <v/>
      </c>
    </row>
    <row r="319" spans="1:5" s="121" customFormat="1">
      <c r="A319" s="120" t="s">
        <v>3958</v>
      </c>
      <c r="B319" s="120">
        <v>158</v>
      </c>
      <c r="C319" s="121" t="s">
        <v>2608</v>
      </c>
      <c r="D319" s="323" t="s">
        <v>2608</v>
      </c>
      <c r="E319" s="324" t="str">
        <f t="shared" si="10"/>
        <v/>
      </c>
    </row>
    <row r="320" spans="1:5" s="121" customFormat="1">
      <c r="A320" s="120" t="s">
        <v>3958</v>
      </c>
      <c r="B320" s="120">
        <v>159</v>
      </c>
      <c r="C320" s="121" t="s">
        <v>2610</v>
      </c>
      <c r="D320" s="323" t="s">
        <v>2610</v>
      </c>
      <c r="E320" s="324" t="str">
        <f t="shared" si="10"/>
        <v/>
      </c>
    </row>
    <row r="321" spans="1:5" s="121" customFormat="1">
      <c r="A321" s="120" t="s">
        <v>3958</v>
      </c>
      <c r="B321" s="120">
        <v>160</v>
      </c>
      <c r="C321" s="121" t="s">
        <v>4044</v>
      </c>
      <c r="D321" s="323" t="s">
        <v>4044</v>
      </c>
      <c r="E321" s="324" t="str">
        <f t="shared" si="10"/>
        <v/>
      </c>
    </row>
    <row r="322" spans="1:5" s="121" customFormat="1">
      <c r="A322" s="120" t="s">
        <v>3958</v>
      </c>
      <c r="B322" s="120">
        <v>161</v>
      </c>
      <c r="C322" s="121" t="s">
        <v>4375</v>
      </c>
      <c r="D322" s="323" t="s">
        <v>4375</v>
      </c>
      <c r="E322" s="324" t="str">
        <f t="shared" si="10"/>
        <v/>
      </c>
    </row>
    <row r="323" spans="1:5" s="121" customFormat="1">
      <c r="A323" s="120" t="s">
        <v>3958</v>
      </c>
      <c r="B323" s="120">
        <v>162</v>
      </c>
      <c r="C323" s="121" t="s">
        <v>4043</v>
      </c>
      <c r="D323" s="323" t="s">
        <v>4043</v>
      </c>
      <c r="E323" s="324" t="str">
        <f t="shared" si="10"/>
        <v/>
      </c>
    </row>
    <row r="324" spans="1:5" s="121" customFormat="1">
      <c r="A324" s="120" t="s">
        <v>3958</v>
      </c>
      <c r="B324" s="120">
        <v>163</v>
      </c>
      <c r="C324" s="121" t="s">
        <v>4376</v>
      </c>
      <c r="D324" s="323" t="s">
        <v>4376</v>
      </c>
      <c r="E324" s="324" t="str">
        <f t="shared" si="10"/>
        <v/>
      </c>
    </row>
    <row r="325" spans="1:5" s="121" customFormat="1">
      <c r="A325" s="120" t="s">
        <v>3958</v>
      </c>
      <c r="B325" s="120">
        <v>164</v>
      </c>
      <c r="C325" s="121" t="s">
        <v>2775</v>
      </c>
      <c r="D325" s="323" t="s">
        <v>2775</v>
      </c>
      <c r="E325" s="324" t="str">
        <f t="shared" si="10"/>
        <v/>
      </c>
    </row>
    <row r="326" spans="1:5" s="121" customFormat="1">
      <c r="A326" s="120" t="s">
        <v>3958</v>
      </c>
      <c r="B326" s="120">
        <v>165</v>
      </c>
      <c r="C326" s="121" t="s">
        <v>4042</v>
      </c>
      <c r="D326" s="323" t="s">
        <v>4042</v>
      </c>
      <c r="E326" s="324" t="str">
        <f t="shared" si="10"/>
        <v/>
      </c>
    </row>
    <row r="327" spans="1:5" s="121" customFormat="1">
      <c r="A327" s="120" t="s">
        <v>3958</v>
      </c>
      <c r="B327" s="120">
        <v>166</v>
      </c>
      <c r="C327" s="121" t="s">
        <v>4377</v>
      </c>
      <c r="D327" s="323" t="s">
        <v>4377</v>
      </c>
      <c r="E327" s="324" t="str">
        <f>IF(LEN($C327)-LEN(D327)&lt;0,TEXT(LEN(D327)/LEN($C327),"0 %")&amp;" ("&amp;LEN(D327)-LEN($C327)&amp;")","")</f>
        <v/>
      </c>
    </row>
    <row r="328" spans="1:5" s="121" customFormat="1">
      <c r="A328" s="120" t="s">
        <v>3958</v>
      </c>
      <c r="B328" s="120">
        <v>167</v>
      </c>
      <c r="C328" s="121" t="s">
        <v>4041</v>
      </c>
      <c r="D328" s="323" t="s">
        <v>4041</v>
      </c>
      <c r="E328" s="324" t="str">
        <f>IF(LEN($C328)-LEN(D328)&lt;0,TEXT(LEN(D328)/LEN($C328),"0 %")&amp;" ("&amp;LEN(D328)-LEN($C328)&amp;")","")</f>
        <v/>
      </c>
    </row>
    <row r="329" spans="1:5" s="121" customFormat="1">
      <c r="A329" s="120" t="s">
        <v>3958</v>
      </c>
      <c r="B329" s="120">
        <v>168</v>
      </c>
      <c r="C329" s="121" t="s">
        <v>4378</v>
      </c>
      <c r="D329" s="323" t="s">
        <v>4378</v>
      </c>
      <c r="E329" s="324" t="str">
        <f>IF(LEN($C329)-LEN(D329)&lt;0,TEXT(LEN(D329)/LEN($C329),"0 %")&amp;" ("&amp;LEN(D329)-LEN($C329)&amp;")","")</f>
        <v/>
      </c>
    </row>
    <row r="330" spans="1:5" s="121" customFormat="1">
      <c r="A330" s="120" t="s">
        <v>3958</v>
      </c>
      <c r="B330" s="120">
        <v>169</v>
      </c>
      <c r="C330" s="121" t="s">
        <v>2771</v>
      </c>
      <c r="D330" s="323" t="s">
        <v>2771</v>
      </c>
      <c r="E330" s="324" t="str">
        <f>IF(LEN($C330)-LEN(D330)&lt;0,TEXT(LEN(D330)/LEN($C330),"0 %")&amp;" ("&amp;LEN(D330)-LEN($C330)&amp;")","")</f>
        <v/>
      </c>
    </row>
    <row r="331" spans="1:5" s="121" customFormat="1">
      <c r="A331" s="120" t="s">
        <v>3958</v>
      </c>
      <c r="B331" s="120">
        <v>170</v>
      </c>
      <c r="C331" s="200" t="s">
        <v>245</v>
      </c>
      <c r="D331" s="200" t="s">
        <v>245</v>
      </c>
      <c r="E331" s="324"/>
    </row>
    <row r="332" spans="1:5" ht="15.75">
      <c r="A332" s="116" t="str">
        <f>"! --- "&amp;INDEX(MLtextDivisions,3)</f>
        <v>! --- Parameter Script - VALUES</v>
      </c>
      <c r="E332" s="324" t="str">
        <f t="shared" ref="E332:E338" si="11">IF(LEN($C332)-LEN(D332)&lt;0,TEXT(LEN(D332)/LEN($C332),"0 %")&amp;" ("&amp;LEN(D332)-LEN($C332)&amp;")","")</f>
        <v/>
      </c>
    </row>
    <row r="333" spans="1:5" s="121" customFormat="1">
      <c r="A333" s="120"/>
      <c r="B333" s="120"/>
      <c r="E333" s="324" t="str">
        <f t="shared" si="11"/>
        <v/>
      </c>
    </row>
    <row r="334" spans="1:5" ht="15.75">
      <c r="A334" s="116" t="str">
        <f>"! --- "&amp;INDEX(MLtextDivisions,4)</f>
        <v>! --- Common Text</v>
      </c>
      <c r="E334" s="324" t="str">
        <f t="shared" si="11"/>
        <v/>
      </c>
    </row>
    <row r="335" spans="1:5">
      <c r="A335" s="120" t="s">
        <v>3974</v>
      </c>
      <c r="B335" s="225">
        <v>1</v>
      </c>
      <c r="C335" t="s">
        <v>3206</v>
      </c>
      <c r="D335" t="s">
        <v>4006</v>
      </c>
      <c r="E335" s="324" t="str">
        <f t="shared" si="11"/>
        <v/>
      </c>
    </row>
    <row r="336" spans="1:5">
      <c r="A336" s="120" t="s">
        <v>3974</v>
      </c>
      <c r="B336" s="225">
        <v>2</v>
      </c>
      <c r="C336" t="s">
        <v>3975</v>
      </c>
      <c r="D336" t="s">
        <v>3975</v>
      </c>
      <c r="E336" s="324" t="str">
        <f t="shared" si="11"/>
        <v/>
      </c>
    </row>
    <row r="337" spans="1:5">
      <c r="A337" s="120" t="s">
        <v>3974</v>
      </c>
      <c r="B337" s="225">
        <v>3</v>
      </c>
      <c r="C337" t="s">
        <v>3976</v>
      </c>
      <c r="D337" t="s">
        <v>4007</v>
      </c>
      <c r="E337" s="324" t="str">
        <f t="shared" si="11"/>
        <v/>
      </c>
    </row>
    <row r="338" spans="1:5" s="121" customFormat="1">
      <c r="A338" s="120" t="s">
        <v>3974</v>
      </c>
      <c r="B338" s="225">
        <v>4</v>
      </c>
      <c r="C338" t="s">
        <v>4081</v>
      </c>
      <c r="D338" t="s">
        <v>4082</v>
      </c>
      <c r="E338" s="324" t="str">
        <f t="shared" si="11"/>
        <v/>
      </c>
    </row>
    <row r="339" spans="1:5" s="121" customFormat="1" ht="15.75">
      <c r="A339" s="119"/>
      <c r="B339" s="120"/>
    </row>
    <row r="340" spans="1:5" ht="15.75">
      <c r="A340" s="116" t="str">
        <f>"! --- END"</f>
        <v>! --- END</v>
      </c>
    </row>
  </sheetData>
  <sortState ref="A5:E165">
    <sortCondition ref="A5"/>
    <sortCondition ref="B5"/>
  </sortState>
  <pageMargins left="0.7" right="0.7" top="0.78740157499999996" bottom="0.78740157499999996" header="0.3" footer="0.3"/>
  <pageSetup paperSize="9" orientation="portrait" horizont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Tabelle13"/>
  <dimension ref="A1:X68"/>
  <sheetViews>
    <sheetView zoomScaleNormal="100" workbookViewId="0">
      <selection activeCell="W2" sqref="W2:W4"/>
    </sheetView>
  </sheetViews>
  <sheetFormatPr baseColWidth="10" defaultColWidth="11.42578125" defaultRowHeight="21" customHeight="1"/>
  <cols>
    <col min="1" max="1" width="9" style="3" customWidth="1"/>
    <col min="2" max="2" width="12.85546875" style="3" customWidth="1"/>
    <col min="3" max="3" width="11.42578125" style="3"/>
    <col min="4" max="4" width="2.85546875" style="5" customWidth="1"/>
    <col min="5" max="5" width="8.85546875" style="3" customWidth="1"/>
    <col min="6" max="6" width="3" style="5" customWidth="1"/>
    <col min="7" max="7" width="34.140625" style="3" customWidth="1"/>
    <col min="8" max="8" width="11.140625" style="3" customWidth="1"/>
    <col min="9" max="11" width="11.42578125" style="3"/>
    <col min="12" max="12" width="14.28515625" style="3" customWidth="1"/>
    <col min="13" max="13" width="11.42578125" style="3"/>
    <col min="14" max="14" width="13" style="3" customWidth="1"/>
    <col min="15" max="15" width="16.7109375" style="3" customWidth="1"/>
    <col min="16" max="16" width="3.42578125" style="5" customWidth="1"/>
    <col min="17" max="17" width="37.7109375" style="3" customWidth="1"/>
    <col min="18" max="18" width="33.140625" style="3" customWidth="1"/>
    <col min="19" max="20" width="14.42578125" style="3" customWidth="1"/>
    <col min="21" max="21" width="23.28515625" style="3" customWidth="1"/>
    <col min="22" max="22" width="15" style="3" customWidth="1"/>
    <col min="23" max="23" width="38.7109375" style="3" customWidth="1"/>
    <col min="24" max="24" width="21.5703125" style="3" customWidth="1"/>
    <col min="25" max="16384" width="11.42578125" style="3"/>
  </cols>
  <sheetData>
    <row r="1" spans="1:24" s="6" customFormat="1" ht="42.75" customHeight="1">
      <c r="A1" s="9" t="s">
        <v>12</v>
      </c>
      <c r="B1" s="10" t="s">
        <v>13</v>
      </c>
      <c r="C1" s="9" t="str">
        <f>"-&gt; GSM"</f>
        <v>-&gt; GSM</v>
      </c>
      <c r="D1" s="11"/>
      <c r="E1" s="330" t="str">
        <f>"-&gt; PROPERTY-CONTEXT"</f>
        <v>-&gt; PROPERTY-CONTEXT</v>
      </c>
      <c r="F1" s="330"/>
      <c r="G1" s="330"/>
      <c r="H1" s="9" t="s">
        <v>14</v>
      </c>
      <c r="I1" s="9" t="s">
        <v>65</v>
      </c>
      <c r="J1" s="9" t="s">
        <v>85</v>
      </c>
      <c r="K1" s="9" t="s">
        <v>108</v>
      </c>
      <c r="L1" s="9" t="s">
        <v>113</v>
      </c>
      <c r="M1" s="9" t="s">
        <v>15</v>
      </c>
      <c r="N1" s="10" t="s">
        <v>16</v>
      </c>
      <c r="O1" s="9" t="s">
        <v>17</v>
      </c>
      <c r="P1" s="11"/>
      <c r="Q1" s="9" t="s">
        <v>18</v>
      </c>
      <c r="R1" s="9" t="s">
        <v>19</v>
      </c>
      <c r="S1" s="331" t="s">
        <v>127</v>
      </c>
      <c r="T1" s="331"/>
      <c r="U1" s="9" t="s">
        <v>141</v>
      </c>
      <c r="V1" s="9" t="s">
        <v>146</v>
      </c>
      <c r="W1" s="9" t="s">
        <v>177</v>
      </c>
      <c r="X1" s="9" t="s">
        <v>179</v>
      </c>
    </row>
    <row r="2" spans="1:24" ht="17.25" customHeight="1">
      <c r="A2" s="12" t="str">
        <f>CHAR(10)</f>
        <v xml:space="preserve">
</v>
      </c>
      <c r="B2" s="13" t="s">
        <v>20</v>
      </c>
      <c r="C2" s="13" t="str">
        <f>B2</f>
        <v>String</v>
      </c>
      <c r="D2" s="14" t="s">
        <v>21</v>
      </c>
      <c r="E2" s="13" t="s">
        <v>20</v>
      </c>
      <c r="F2" s="14" t="s">
        <v>21</v>
      </c>
      <c r="G2" s="15" t="s">
        <v>22</v>
      </c>
      <c r="H2" s="13" t="s">
        <v>23</v>
      </c>
      <c r="I2" s="5" t="s">
        <v>9</v>
      </c>
      <c r="J2" s="5" t="s">
        <v>86</v>
      </c>
      <c r="K2" s="13" t="s">
        <v>105</v>
      </c>
      <c r="L2" s="13" t="s">
        <v>114</v>
      </c>
      <c r="M2" s="13"/>
      <c r="N2" s="16">
        <v>3</v>
      </c>
      <c r="O2" s="17" t="s">
        <v>24</v>
      </c>
      <c r="P2" s="14"/>
      <c r="Q2" s="15" t="s">
        <v>25</v>
      </c>
      <c r="R2" s="7" t="str">
        <f>TB&amp;TB&amp;TB&amp;TB&amp;"&lt;Availability&gt;"&amp;CRLF&amp;TB&amp;TB&amp;TB&amp;TB&amp;TB&amp;"&lt;ClassId&gt;"&amp;base!$Q$6&amp;"&lt;/ClassId&gt;"&amp;CRLF&amp;TB&amp;TB&amp;TB&amp;TB&amp;TB&amp;"&lt;PropertyAvailability/&gt;"&amp;CRLF&amp;TB&amp;TB&amp;TB&amp;TB&amp;TB&amp;"&lt;AvailabilityItems/&gt;"&amp;CRLF&amp;TB&amp;TB&amp;TB&amp;TB&amp;"&lt;/Availability&gt;"&amp;CRLF</f>
        <v xml:space="preserve">                &lt;Availability&gt;
                    &lt;ClassId&gt;52132DF7-B99F-4187-A93D-EA1B568D1A80&lt;/ClassId&gt;
                    &lt;PropertyAvailability/&gt;
                    &lt;AvailabilityItems/&gt;
                &lt;/Availability&gt;
</v>
      </c>
      <c r="S2" s="3" t="s">
        <v>100</v>
      </c>
      <c r="T2" s="3" t="s">
        <v>20</v>
      </c>
      <c r="U2" s="3" t="s">
        <v>138</v>
      </c>
      <c r="V2" s="3" t="s">
        <v>196</v>
      </c>
      <c r="W2" s="3" t="s">
        <v>175</v>
      </c>
      <c r="X2" s="3" t="s">
        <v>3970</v>
      </c>
    </row>
    <row r="3" spans="1:24" ht="17.25" customHeight="1">
      <c r="A3" s="12" t="str">
        <f>CHAR(34)</f>
        <v>"</v>
      </c>
      <c r="B3" s="13" t="s">
        <v>26</v>
      </c>
      <c r="C3" s="13" t="str">
        <f t="shared" ref="C3:C18" si="0">B3</f>
        <v>Length</v>
      </c>
      <c r="D3" s="14">
        <v>2</v>
      </c>
      <c r="E3" s="18" t="s">
        <v>27</v>
      </c>
      <c r="F3" s="14">
        <v>2</v>
      </c>
      <c r="G3" s="15" t="s">
        <v>28</v>
      </c>
      <c r="H3" s="13" t="s">
        <v>29</v>
      </c>
      <c r="J3" s="5" t="s">
        <v>87</v>
      </c>
      <c r="K3" s="13" t="s">
        <v>110</v>
      </c>
      <c r="L3" s="13" t="s">
        <v>104</v>
      </c>
      <c r="M3" s="13" t="s">
        <v>93</v>
      </c>
      <c r="N3" s="16" t="str">
        <f>"#,"&amp;MID("0000000000",1,N2)</f>
        <v>#,000</v>
      </c>
      <c r="O3" s="17"/>
      <c r="P3" s="14" t="s">
        <v>31</v>
      </c>
      <c r="Q3" s="15" t="s">
        <v>32</v>
      </c>
      <c r="R3" s="7" t="e">
        <f>TB&amp;TB&amp;TB&amp;TB&amp;"&lt;Availability&gt;"&amp;CRLF&amp;TB&amp;TB&amp;TB&amp;TB&amp;TB&amp;"&lt;ClassId&gt;"&amp;base!$Q$6&amp;"&lt;/ClassId&gt;"&amp;CRLF&amp;TB&amp;TB&amp;TB&amp;TB&amp;TB&amp;"&lt;PropertyAvailability/&gt;"&amp;CRLF&amp;TB&amp;TB&amp;TB&amp;TB&amp;TB&amp;"&lt;AvailabilityItems&gt;"&amp;CRLF&amp;base!$R$4&amp;TB&amp;TB&amp;TB&amp;TB&amp;TB&amp;"&lt;/AvailabilityItems&gt;"&amp;CRLF&amp;TB&amp;TB&amp;TB&amp;TB&amp;"&lt;/Availability&gt;"</f>
        <v>#REF!</v>
      </c>
      <c r="S3" s="3" t="s">
        <v>101</v>
      </c>
      <c r="T3" s="3" t="s">
        <v>46</v>
      </c>
      <c r="U3" s="3" t="s">
        <v>139</v>
      </c>
      <c r="W3" s="3" t="s">
        <v>176</v>
      </c>
    </row>
    <row r="4" spans="1:24" ht="17.25" customHeight="1">
      <c r="A4" s="12" t="str">
        <f>"    "</f>
        <v xml:space="preserve">    </v>
      </c>
      <c r="B4" s="13" t="s">
        <v>33</v>
      </c>
      <c r="C4" s="13" t="str">
        <f t="shared" si="0"/>
        <v>Angle</v>
      </c>
      <c r="D4" s="14">
        <v>2</v>
      </c>
      <c r="E4" s="18" t="s">
        <v>27</v>
      </c>
      <c r="F4" s="14">
        <v>2</v>
      </c>
      <c r="G4" s="15"/>
      <c r="H4" s="13" t="s">
        <v>34</v>
      </c>
      <c r="K4" s="13" t="s">
        <v>106</v>
      </c>
      <c r="L4" s="13" t="s">
        <v>115</v>
      </c>
      <c r="M4" s="13" t="s">
        <v>35</v>
      </c>
      <c r="N4" s="16"/>
      <c r="O4" s="17"/>
      <c r="P4" s="14" t="s">
        <v>36</v>
      </c>
      <c r="Q4" s="15" t="s">
        <v>37</v>
      </c>
      <c r="R4" s="7" t="e">
        <f>IF(INDEX('PROJECT SETTINGS'!#REF!,ROW()-ROW(base!$R$3),1)="",base!$R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5)</f>
        <v>#REF!</v>
      </c>
      <c r="S4" s="3" t="s">
        <v>119</v>
      </c>
      <c r="T4" s="3" t="s">
        <v>49</v>
      </c>
      <c r="U4" s="3" t="s">
        <v>140</v>
      </c>
      <c r="W4" s="3" t="s">
        <v>174</v>
      </c>
    </row>
    <row r="5" spans="1:24" ht="17.25" customHeight="1">
      <c r="A5" s="12" t="str">
        <f>CHAR(9)</f>
        <v xml:space="preserve">	</v>
      </c>
      <c r="B5" s="13" t="s">
        <v>38</v>
      </c>
      <c r="C5" s="13" t="str">
        <f t="shared" si="0"/>
        <v>RealNum</v>
      </c>
      <c r="D5" s="14">
        <v>2</v>
      </c>
      <c r="E5" s="18" t="s">
        <v>27</v>
      </c>
      <c r="F5" s="14">
        <v>2</v>
      </c>
      <c r="G5" s="15" t="s">
        <v>39</v>
      </c>
      <c r="H5" s="13" t="s">
        <v>40</v>
      </c>
      <c r="K5" s="13" t="s">
        <v>204</v>
      </c>
      <c r="L5" s="13" t="s">
        <v>116</v>
      </c>
      <c r="M5" s="13"/>
      <c r="N5" s="13"/>
      <c r="O5" s="17" t="s">
        <v>41</v>
      </c>
      <c r="P5" s="14"/>
      <c r="Q5" s="15" t="s">
        <v>42</v>
      </c>
      <c r="R5" s="7" t="e">
        <f>IF(INDEX('PROJECT SETTINGS'!#REF!,ROW()-ROW(base!$R$3),1)="",base!$R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6)</f>
        <v>#REF!</v>
      </c>
      <c r="S5" s="3" t="s">
        <v>102</v>
      </c>
      <c r="T5" s="3" t="s">
        <v>102</v>
      </c>
      <c r="W5" s="3" t="s">
        <v>181</v>
      </c>
    </row>
    <row r="6" spans="1:24" ht="17.25" customHeight="1">
      <c r="A6" s="61" t="str">
        <f>CHAR(9)</f>
        <v xml:space="preserve">	</v>
      </c>
      <c r="B6" s="13" t="s">
        <v>43</v>
      </c>
      <c r="C6" s="13" t="str">
        <f t="shared" si="0"/>
        <v>ColorRGB</v>
      </c>
      <c r="D6" s="14">
        <v>2</v>
      </c>
      <c r="E6" s="13"/>
      <c r="F6" s="14"/>
      <c r="G6" s="15"/>
      <c r="H6" s="13"/>
      <c r="I6" s="13"/>
      <c r="J6" s="13"/>
      <c r="K6" s="13" t="s">
        <v>187</v>
      </c>
      <c r="L6" s="13" t="s">
        <v>117</v>
      </c>
      <c r="M6" s="13"/>
      <c r="N6" s="13"/>
      <c r="O6" s="17" t="s">
        <v>44</v>
      </c>
      <c r="P6" s="14"/>
      <c r="Q6" s="15" t="s">
        <v>45</v>
      </c>
      <c r="R6" s="7" t="e">
        <f>IF(INDEX('PROJECT SETTINGS'!#REF!,ROW()-ROW(base!$R$3),1)="",base!$R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7)</f>
        <v>#REF!</v>
      </c>
      <c r="S6" s="3" t="s">
        <v>120</v>
      </c>
      <c r="T6" s="3" t="s">
        <v>38</v>
      </c>
    </row>
    <row r="7" spans="1:24" ht="17.25" customHeight="1">
      <c r="A7" s="61" t="str">
        <f>CHAR(13)&amp;CHAR(10)</f>
        <v xml:space="preserve">_x000D_
</v>
      </c>
      <c r="B7" s="13" t="s">
        <v>46</v>
      </c>
      <c r="C7" s="13" t="str">
        <f t="shared" si="0"/>
        <v>Integer</v>
      </c>
      <c r="D7" s="14">
        <v>1</v>
      </c>
      <c r="E7" s="13" t="s">
        <v>46</v>
      </c>
      <c r="F7" s="14">
        <v>1</v>
      </c>
      <c r="G7" s="15" t="s">
        <v>28</v>
      </c>
      <c r="H7" s="13"/>
      <c r="I7" s="13"/>
      <c r="J7" s="13"/>
      <c r="K7" s="13"/>
      <c r="L7" s="13"/>
      <c r="M7" s="13"/>
      <c r="N7" s="13"/>
      <c r="O7" s="17" t="s">
        <v>47</v>
      </c>
      <c r="P7" s="14"/>
      <c r="Q7" s="15" t="s">
        <v>48</v>
      </c>
      <c r="R7" s="7" t="e">
        <f>IF(INDEX('PROJECT SETTINGS'!#REF!,ROW()-ROW(base!$R$3),1)="",base!$R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8)</f>
        <v>#REF!</v>
      </c>
      <c r="S7" s="3" t="s">
        <v>131</v>
      </c>
      <c r="T7" s="3" t="s">
        <v>33</v>
      </c>
    </row>
    <row r="8" spans="1:24" ht="17.25" customHeight="1">
      <c r="A8" s="13" t="str">
        <f>" | "</f>
        <v xml:space="preserve"> | </v>
      </c>
      <c r="B8" s="13" t="s">
        <v>49</v>
      </c>
      <c r="C8" s="13" t="str">
        <f t="shared" si="0"/>
        <v>Boolean</v>
      </c>
      <c r="D8" s="14">
        <v>1</v>
      </c>
      <c r="E8" s="13" t="s">
        <v>49</v>
      </c>
      <c r="F8" s="14" t="s">
        <v>50</v>
      </c>
      <c r="G8" s="15" t="s">
        <v>51</v>
      </c>
      <c r="H8" s="13"/>
      <c r="I8" s="13"/>
      <c r="J8" s="13"/>
      <c r="K8" s="13"/>
      <c r="L8" s="13"/>
      <c r="M8" s="13"/>
      <c r="N8" s="13"/>
      <c r="O8" s="13"/>
      <c r="P8" s="14"/>
      <c r="Q8" s="19"/>
      <c r="R8" s="7" t="e">
        <f>IF(INDEX('PROJECT SETTINGS'!#REF!,ROW()-ROW(base!$R$3),1)="",base!$R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9)</f>
        <v>#REF!</v>
      </c>
      <c r="S8" s="3" t="s">
        <v>132</v>
      </c>
      <c r="T8" s="3" t="s">
        <v>26</v>
      </c>
    </row>
    <row r="9" spans="1:24" ht="17.25" customHeight="1">
      <c r="A9" s="16" t="s">
        <v>118</v>
      </c>
      <c r="B9" s="13" t="s">
        <v>52</v>
      </c>
      <c r="C9" s="13" t="str">
        <f t="shared" si="0"/>
        <v>Material</v>
      </c>
      <c r="D9" s="14">
        <v>1</v>
      </c>
      <c r="E9" s="13"/>
      <c r="F9" s="14"/>
      <c r="G9" s="15"/>
      <c r="H9" s="13"/>
      <c r="I9" s="13"/>
      <c r="J9" s="13"/>
      <c r="K9" s="13"/>
      <c r="L9" s="13"/>
      <c r="M9" s="13"/>
      <c r="N9" s="13"/>
      <c r="O9" s="9" t="s">
        <v>133</v>
      </c>
      <c r="P9" s="14"/>
      <c r="Q9" s="13" t="str">
        <f>"aZBycXDWevFUgtHSirJQkpLNmo1!2+3§4$5%6&amp;7/8(9)0="</f>
        <v>aZBycXDWevFUgtHSirJQkpLNmo1!2+3§4$5%6&amp;7/8(9)0=</v>
      </c>
      <c r="R9" s="7" t="e">
        <f>IF(INDEX('PROJECT SETTINGS'!#REF!,ROW()-ROW(base!$R$3),1)="",base!$R10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10)</f>
        <v>#REF!</v>
      </c>
      <c r="S9" s="3" t="s">
        <v>104</v>
      </c>
      <c r="T9" s="3" t="s">
        <v>104</v>
      </c>
    </row>
    <row r="10" spans="1:24" ht="17.25" customHeight="1">
      <c r="A10" s="13"/>
      <c r="B10" s="13" t="s">
        <v>53</v>
      </c>
      <c r="C10" s="13" t="str">
        <f t="shared" si="0"/>
        <v>LineType</v>
      </c>
      <c r="D10" s="14">
        <v>1</v>
      </c>
      <c r="E10" s="13"/>
      <c r="F10" s="14"/>
      <c r="G10" s="15"/>
      <c r="H10" s="13"/>
      <c r="I10" s="13"/>
      <c r="J10" s="13"/>
      <c r="K10" s="13"/>
      <c r="L10" s="13"/>
      <c r="M10" s="13"/>
      <c r="N10" s="13"/>
      <c r="O10" s="13"/>
      <c r="P10" s="14"/>
      <c r="Q10" s="15" t="str">
        <f>"-"&amp;MID(DEC2HEX(CODE('PROJECT SETTINGS'!$B$1)+2^6*CODE(MID('PROJECT SETTINGS'!$B$1&amp;makeGUID,2,1))+2^8*CODE(MID('PROJECT SETTINGS'!$B$1&amp;makeGUID,3,1))+2^10*CODE(MID('PROJECT SETTINGS'!$B$1&amp;makeGUID,4,1))+2^12*CODE(MID('PROJECT SETTINGS'!$B$1&amp;makeGUID,5,1))+2^14*CODE(MID('PROJECT SETTINGS'!$B$1&amp;makeGUID,6,1))+2^16*CODE(MID('PROJECT SETTINGS'!$B$1&amp;makeGUID,7,1))+2^18*CODE(MID('PROJECT SETTINGS'!$B$1&amp;makeGUID,8,1))+2^20*CODE(MID('PROJECT SETTINGS'!$B$1&amp;makeGUID,9,1))+2^22*CODE(MID('PROJECT SETTINGS'!$B$1&amp;makeGUID,10,1))+2^24*CODE(MID('PROJECT SETTINGS'!$B$1&amp;makeGUID,11,1)))&amp;DEC2HEX(2^6*CODE(MID('PROJECT SETTINGS'!$B$1&amp;makeGUID,26,1))&amp;2^6*CODE(MID('PROJECT SETTINGS'!$B$1&amp;makeGUID,28,1))),1,12)</f>
        <v>-924223823EDE</v>
      </c>
      <c r="R10" s="7" t="e">
        <f>IF(INDEX('PROJECT SETTINGS'!#REF!,ROW()-ROW(base!$R$3),1)="",base!$R11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11)</f>
        <v>#REF!</v>
      </c>
      <c r="S10" s="3" t="s">
        <v>103</v>
      </c>
      <c r="T10" s="3" t="s">
        <v>114</v>
      </c>
    </row>
    <row r="11" spans="1:24" ht="17.25" customHeight="1">
      <c r="A11" s="13"/>
      <c r="B11" s="13" t="s">
        <v>54</v>
      </c>
      <c r="C11" s="13" t="str">
        <f t="shared" si="0"/>
        <v>FillPattern</v>
      </c>
      <c r="D11" s="14">
        <v>1</v>
      </c>
      <c r="E11" s="13"/>
      <c r="F11" s="14"/>
      <c r="G11" s="15"/>
      <c r="H11" s="13"/>
      <c r="I11" s="13"/>
      <c r="J11" s="13"/>
      <c r="K11" s="13"/>
      <c r="L11" s="13"/>
      <c r="M11" s="13"/>
      <c r="N11" s="13"/>
      <c r="O11" s="13"/>
      <c r="P11" s="14"/>
      <c r="Q11" s="13"/>
      <c r="R11" s="7" t="e">
        <f>IF(INDEX('PROJECT SETTINGS'!#REF!,ROW()-ROW(base!$R$3),1)="",base!$R12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12)</f>
        <v>#REF!</v>
      </c>
      <c r="S11" s="3" t="s">
        <v>97</v>
      </c>
      <c r="T11" s="3" t="s">
        <v>115</v>
      </c>
    </row>
    <row r="12" spans="1:24" ht="17.25" customHeight="1">
      <c r="A12" s="13"/>
      <c r="B12" s="13" t="s">
        <v>55</v>
      </c>
      <c r="C12" s="13" t="str">
        <f t="shared" si="0"/>
        <v>PenColor</v>
      </c>
      <c r="D12" s="14">
        <v>1</v>
      </c>
      <c r="E12" s="13"/>
      <c r="F12" s="14"/>
      <c r="G12" s="15"/>
      <c r="H12" s="13"/>
      <c r="I12" s="13"/>
      <c r="J12" s="13"/>
      <c r="K12" s="13"/>
      <c r="L12" s="13"/>
      <c r="M12" s="13"/>
      <c r="N12" s="13"/>
      <c r="O12" s="13"/>
      <c r="P12" s="14"/>
      <c r="Q12" s="13"/>
      <c r="R12" s="7" t="e">
        <f>IF(INDEX('PROJECT SETTINGS'!#REF!,ROW()-ROW(base!$R$3),1)="",base!$R13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13)</f>
        <v>#REF!</v>
      </c>
      <c r="S12" s="3" t="s">
        <v>107</v>
      </c>
      <c r="T12" s="3" t="s">
        <v>116</v>
      </c>
    </row>
    <row r="13" spans="1:24" ht="17.25" customHeight="1">
      <c r="A13" s="13"/>
      <c r="B13" s="13" t="s">
        <v>188</v>
      </c>
      <c r="C13" s="13" t="str">
        <f t="shared" si="0"/>
        <v>BuildingMat</v>
      </c>
      <c r="D13" s="14">
        <v>1</v>
      </c>
      <c r="E13" s="13"/>
      <c r="F13" s="14"/>
      <c r="G13" s="15"/>
      <c r="H13" s="13"/>
      <c r="I13" s="13"/>
      <c r="J13" s="13"/>
      <c r="K13" s="13"/>
      <c r="L13" s="13"/>
      <c r="M13" s="13"/>
      <c r="N13" s="13"/>
      <c r="O13" s="13"/>
      <c r="P13" s="14"/>
      <c r="Q13" s="13"/>
      <c r="R13" s="7" t="e">
        <f>IF(INDEX('PROJECT SETTINGS'!#REF!,ROW()-ROW(base!$R$3),1)="",base!$R14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14)</f>
        <v>#REF!</v>
      </c>
      <c r="S13" s="3" t="s">
        <v>118</v>
      </c>
      <c r="T13" s="3" t="str">
        <f>""</f>
        <v/>
      </c>
    </row>
    <row r="14" spans="1:24" ht="17.25" customHeight="1">
      <c r="A14" s="13"/>
      <c r="B14" s="13" t="s">
        <v>189</v>
      </c>
      <c r="C14" s="13" t="str">
        <f t="shared" si="0"/>
        <v>Profile</v>
      </c>
      <c r="D14" s="14">
        <v>1</v>
      </c>
      <c r="E14" s="13"/>
      <c r="F14" s="14"/>
      <c r="G14" s="15"/>
      <c r="H14" s="13"/>
      <c r="I14" s="13"/>
      <c r="J14" s="13"/>
      <c r="K14" s="13"/>
      <c r="L14" s="13"/>
      <c r="M14" s="13"/>
      <c r="N14" s="13"/>
      <c r="O14" s="13"/>
      <c r="P14" s="14"/>
      <c r="Q14" s="13"/>
      <c r="R14" s="7" t="e">
        <f>IF(INDEX('PROJECT SETTINGS'!#REF!,ROW()-ROW(base!$R$3),1)="",base!$R15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15)</f>
        <v>#REF!</v>
      </c>
      <c r="S14" s="3" t="s">
        <v>123</v>
      </c>
      <c r="T14" s="3" t="s">
        <v>128</v>
      </c>
    </row>
    <row r="15" spans="1:24" ht="17.25" customHeight="1">
      <c r="A15" s="13"/>
      <c r="B15" s="13" t="s">
        <v>56</v>
      </c>
      <c r="C15" s="13" t="str">
        <f t="shared" si="0"/>
        <v>LightSwitch</v>
      </c>
      <c r="D15" s="14">
        <v>1</v>
      </c>
      <c r="E15" s="13"/>
      <c r="F15" s="14"/>
      <c r="G15" s="15"/>
      <c r="H15" s="13"/>
      <c r="I15" s="13"/>
      <c r="J15" s="13"/>
      <c r="K15" s="13"/>
      <c r="L15" s="13"/>
      <c r="M15" s="13"/>
      <c r="N15" s="13"/>
      <c r="O15" s="13"/>
      <c r="P15" s="14"/>
      <c r="Q15" s="13"/>
      <c r="R15" s="7" t="e">
        <f>IF(INDEX('PROJECT SETTINGS'!#REF!,ROW()-ROW(base!$R$3),1)="",base!$R16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16)</f>
        <v>#REF!</v>
      </c>
      <c r="S15" s="3" t="s">
        <v>121</v>
      </c>
      <c r="T15" s="3" t="s">
        <v>129</v>
      </c>
    </row>
    <row r="16" spans="1:24" ht="17.25" customHeight="1">
      <c r="A16" s="13"/>
      <c r="B16" s="13" t="s">
        <v>57</v>
      </c>
      <c r="C16" s="13" t="str">
        <f t="shared" si="0"/>
        <v>Intensity</v>
      </c>
      <c r="D16" s="14">
        <v>1</v>
      </c>
      <c r="E16" s="13"/>
      <c r="F16" s="14"/>
      <c r="G16" s="15"/>
      <c r="H16" s="13"/>
      <c r="I16" s="13"/>
      <c r="J16" s="13"/>
      <c r="K16" s="13"/>
      <c r="L16" s="13"/>
      <c r="M16" s="13"/>
      <c r="N16" s="13"/>
      <c r="O16" s="13"/>
      <c r="P16" s="14"/>
      <c r="Q16" s="13"/>
      <c r="R16" s="7" t="e">
        <f>IF(INDEX('PROJECT SETTINGS'!#REF!,ROW()-ROW(base!$R$3),1)="",base!$R17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17)</f>
        <v>#REF!</v>
      </c>
      <c r="S16" s="3" t="s">
        <v>122</v>
      </c>
      <c r="T16" s="3" t="s">
        <v>130</v>
      </c>
    </row>
    <row r="17" spans="1:20" ht="17.25" customHeight="1">
      <c r="A17" s="13"/>
      <c r="B17" s="13" t="s">
        <v>58</v>
      </c>
      <c r="C17" s="13" t="str">
        <f t="shared" si="0"/>
        <v>Separator</v>
      </c>
      <c r="D17" s="14"/>
      <c r="E17" s="13"/>
      <c r="F17" s="14"/>
      <c r="G17" s="15"/>
      <c r="H17" s="13"/>
      <c r="I17" s="13"/>
      <c r="J17" s="13"/>
      <c r="K17" s="13"/>
      <c r="L17" s="13"/>
      <c r="M17" s="13"/>
      <c r="N17" s="13"/>
      <c r="O17" s="13"/>
      <c r="P17" s="14"/>
      <c r="Q17" s="13"/>
      <c r="R17" s="7" t="e">
        <f>IF(INDEX('PROJECT SETTINGS'!#REF!,ROW()-ROW(base!$R$3),1)="",base!$R18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18)</f>
        <v>#REF!</v>
      </c>
      <c r="S17" s="3" t="s">
        <v>125</v>
      </c>
      <c r="T17" s="3" t="s">
        <v>126</v>
      </c>
    </row>
    <row r="18" spans="1:20" ht="17.25" customHeight="1">
      <c r="A18" s="13"/>
      <c r="B18" s="13" t="s">
        <v>59</v>
      </c>
      <c r="C18" s="13" t="str">
        <f t="shared" si="0"/>
        <v>Title</v>
      </c>
      <c r="D18" s="14"/>
      <c r="E18" s="13"/>
      <c r="F18" s="14"/>
      <c r="G18" s="15"/>
      <c r="H18" s="13"/>
      <c r="I18" s="13"/>
      <c r="J18" s="13"/>
      <c r="K18" s="13"/>
      <c r="L18" s="13"/>
      <c r="M18" s="13"/>
      <c r="N18" s="13"/>
      <c r="O18" s="13"/>
      <c r="P18" s="14"/>
      <c r="Q18" s="13"/>
      <c r="R18" s="7" t="e">
        <f>IF(INDEX('PROJECT SETTINGS'!#REF!,ROW()-ROW(base!$R$3),1)="",base!$R19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19)</f>
        <v>#REF!</v>
      </c>
    </row>
    <row r="19" spans="1:20" ht="17.25" customHeight="1">
      <c r="B19" s="13" t="s">
        <v>60</v>
      </c>
      <c r="C19" s="13"/>
      <c r="D19" s="14"/>
      <c r="E19" s="13" t="s">
        <v>20</v>
      </c>
      <c r="F19" s="14" t="s">
        <v>36</v>
      </c>
      <c r="G19" s="15" t="s">
        <v>61</v>
      </c>
      <c r="K19" s="13"/>
      <c r="L19" s="13"/>
      <c r="R19" s="7" t="e">
        <f>IF(INDEX('PROJECT SETTINGS'!#REF!,ROW()-ROW(base!$R$3),1)="",base!$R20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20)</f>
        <v>#REF!</v>
      </c>
    </row>
    <row r="20" spans="1:20" ht="17.25" customHeight="1">
      <c r="B20" s="13" t="s">
        <v>62</v>
      </c>
      <c r="C20" s="13"/>
      <c r="D20" s="14"/>
      <c r="E20" s="13" t="s">
        <v>20</v>
      </c>
      <c r="F20" s="14" t="s">
        <v>63</v>
      </c>
      <c r="G20" s="15" t="s">
        <v>64</v>
      </c>
      <c r="K20" s="13"/>
      <c r="R20" s="7" t="e">
        <f>IF(INDEX('PROJECT SETTINGS'!#REF!,ROW()-ROW(base!$R$3),1)="",base!$R21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21)</f>
        <v>#REF!</v>
      </c>
    </row>
    <row r="21" spans="1:20" ht="17.25" customHeight="1">
      <c r="R21" s="7" t="e">
        <f>IF(INDEX('PROJECT SETTINGS'!#REF!,ROW()-ROW(base!$R$3),1)="",base!$R22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22)</f>
        <v>#REF!</v>
      </c>
    </row>
    <row r="22" spans="1:20" ht="17.25" customHeight="1">
      <c r="R22" s="7" t="e">
        <f>IF(INDEX('PROJECT SETTINGS'!#REF!,ROW()-ROW(base!$R$3),1)="",base!$R23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23)</f>
        <v>#REF!</v>
      </c>
    </row>
    <row r="23" spans="1:20" ht="17.25" customHeight="1">
      <c r="R23" s="7" t="e">
        <f>IF(INDEX('PROJECT SETTINGS'!#REF!,ROW()-ROW(base!$R$3),1)="",base!$R24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24)</f>
        <v>#REF!</v>
      </c>
    </row>
    <row r="24" spans="1:20" ht="17.25" customHeight="1">
      <c r="R24" s="7" t="e">
        <f>IF(INDEX('PROJECT SETTINGS'!#REF!,ROW()-ROW(base!$R$3),1)="",base!$R25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25)</f>
        <v>#REF!</v>
      </c>
    </row>
    <row r="25" spans="1:20" ht="17.25" customHeight="1">
      <c r="R25" s="7" t="e">
        <f>IF(INDEX('PROJECT SETTINGS'!#REF!,ROW()-ROW(base!$R$3),1)="",base!$R26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26)</f>
        <v>#REF!</v>
      </c>
    </row>
    <row r="26" spans="1:20" ht="17.25" customHeight="1">
      <c r="R26" s="7" t="e">
        <f>IF(INDEX('PROJECT SETTINGS'!#REF!,ROW()-ROW(base!$R$3),1)="",base!$R27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27)</f>
        <v>#REF!</v>
      </c>
    </row>
    <row r="27" spans="1:20" ht="17.25" customHeight="1">
      <c r="R27" s="7" t="e">
        <f>IF(INDEX('PROJECT SETTINGS'!#REF!,ROW()-ROW(base!$R$3),1)="",base!$R28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28)</f>
        <v>#REF!</v>
      </c>
    </row>
    <row r="28" spans="1:20" ht="17.25" customHeight="1">
      <c r="R28" s="7" t="e">
        <f>IF(INDEX('PROJECT SETTINGS'!#REF!,ROW()-ROW(base!$R$3),1)="",base!$R29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29)</f>
        <v>#REF!</v>
      </c>
    </row>
    <row r="29" spans="1:20" ht="17.25" customHeight="1">
      <c r="R29" s="7" t="e">
        <f>IF(INDEX('PROJECT SETTINGS'!#REF!,ROW()-ROW(base!$R$3),1)="",base!$R30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30)</f>
        <v>#REF!</v>
      </c>
    </row>
    <row r="30" spans="1:20" ht="17.25" customHeight="1">
      <c r="R30" s="7" t="e">
        <f>IF(INDEX('PROJECT SETTINGS'!#REF!,ROW()-ROW(base!$R$3),1)="",base!$R31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31)</f>
        <v>#REF!</v>
      </c>
    </row>
    <row r="31" spans="1:20" ht="17.25" customHeight="1">
      <c r="R31" s="7" t="e">
        <f>IF(INDEX('PROJECT SETTINGS'!#REF!,ROW()-ROW(base!$R$3),1)="",base!$R32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32)</f>
        <v>#REF!</v>
      </c>
    </row>
    <row r="32" spans="1:20" ht="17.25" customHeight="1">
      <c r="R32" s="7" t="e">
        <f>IF(INDEX('PROJECT SETTINGS'!#REF!,ROW()-ROW(base!$R$3),1)="",base!$R33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33)</f>
        <v>#REF!</v>
      </c>
    </row>
    <row r="33" spans="18:18" ht="17.25" customHeight="1">
      <c r="R33" s="7" t="e">
        <f>IF(INDEX('PROJECT SETTINGS'!#REF!,ROW()-ROW(base!$R$3),1)="",base!$R34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34)</f>
        <v>#REF!</v>
      </c>
    </row>
    <row r="34" spans="18:18" ht="17.25" customHeight="1">
      <c r="R34" s="7" t="e">
        <f>IF(INDEX('PROJECT SETTINGS'!#REF!,ROW()-ROW(base!$R$3),1)="",base!$R35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35)</f>
        <v>#REF!</v>
      </c>
    </row>
    <row r="35" spans="18:18" ht="17.25" customHeight="1">
      <c r="R35" s="7" t="e">
        <f>IF(INDEX('PROJECT SETTINGS'!#REF!,ROW()-ROW(base!$R$3),1)="",base!$R36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36)</f>
        <v>#REF!</v>
      </c>
    </row>
    <row r="36" spans="18:18" ht="17.25" customHeight="1">
      <c r="R36" s="7" t="e">
        <f>IF(INDEX('PROJECT SETTINGS'!#REF!,ROW()-ROW(base!$R$3),1)="",base!$R37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37)</f>
        <v>#REF!</v>
      </c>
    </row>
    <row r="37" spans="18:18" ht="17.25" customHeight="1">
      <c r="R37" s="7" t="e">
        <f>IF(INDEX('PROJECT SETTINGS'!#REF!,ROW()-ROW(base!$R$3),1)="",base!$R38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38)</f>
        <v>#REF!</v>
      </c>
    </row>
    <row r="38" spans="18:18" ht="17.25" customHeight="1">
      <c r="R38" s="7" t="e">
        <f>IF(INDEX('PROJECT SETTINGS'!#REF!,ROW()-ROW(base!$R$3),1)="",base!$R39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39)</f>
        <v>#REF!</v>
      </c>
    </row>
    <row r="39" spans="18:18" ht="17.25" customHeight="1">
      <c r="R39" s="7" t="e">
        <f>IF(INDEX('PROJECT SETTINGS'!#REF!,ROW()-ROW(base!$R$3),1)="",base!$R40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40)</f>
        <v>#REF!</v>
      </c>
    </row>
    <row r="40" spans="18:18" ht="17.25" customHeight="1">
      <c r="R40" s="7" t="e">
        <f>IF(INDEX('PROJECT SETTINGS'!#REF!,ROW()-ROW(base!$R$3),1)="",base!$R41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41)</f>
        <v>#REF!</v>
      </c>
    </row>
    <row r="41" spans="18:18" ht="17.25" customHeight="1">
      <c r="R41" s="7" t="e">
        <f>IF(INDEX('PROJECT SETTINGS'!#REF!,ROW()-ROW(base!$R$3),1)="",base!$R42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42)</f>
        <v>#REF!</v>
      </c>
    </row>
    <row r="42" spans="18:18" ht="17.25" customHeight="1">
      <c r="R42" s="7" t="e">
        <f>IF(INDEX('PROJECT SETTINGS'!#REF!,ROW()-ROW(base!$R$3),1)="",base!$R43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43)</f>
        <v>#REF!</v>
      </c>
    </row>
    <row r="43" spans="18:18" ht="17.25" customHeight="1">
      <c r="R43" s="7" t="e">
        <f>IF(INDEX('PROJECT SETTINGS'!#REF!,ROW()-ROW(base!$R$3),1)="",base!$R44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44)</f>
        <v>#REF!</v>
      </c>
    </row>
    <row r="44" spans="18:18" ht="17.25" customHeight="1">
      <c r="R44" s="7" t="e">
        <f>IF(INDEX('PROJECT SETTINGS'!#REF!,ROW()-ROW(base!$R$3),1)="",base!$R45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45)</f>
        <v>#REF!</v>
      </c>
    </row>
    <row r="45" spans="18:18" ht="17.25" customHeight="1">
      <c r="R45" s="7" t="e">
        <f>IF(INDEX('PROJECT SETTINGS'!#REF!,ROW()-ROW(base!$R$3),1)="",base!$R46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46)</f>
        <v>#REF!</v>
      </c>
    </row>
    <row r="46" spans="18:18" ht="17.25" customHeight="1">
      <c r="R46" s="7" t="e">
        <f>IF(INDEX('PROJECT SETTINGS'!#REF!,ROW()-ROW(base!$R$3),1)="",base!$R47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47)</f>
        <v>#REF!</v>
      </c>
    </row>
    <row r="47" spans="18:18" ht="17.25" customHeight="1">
      <c r="R47" s="7" t="e">
        <f>IF(INDEX('PROJECT SETTINGS'!#REF!,ROW()-ROW(base!$R$3),1)="",base!$R48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48)</f>
        <v>#REF!</v>
      </c>
    </row>
    <row r="48" spans="18:18" ht="17.25" customHeight="1">
      <c r="R48" s="7" t="e">
        <f>IF(INDEX('PROJECT SETTINGS'!#REF!,ROW()-ROW(base!$R$3),1)="",base!$R49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49)</f>
        <v>#REF!</v>
      </c>
    </row>
    <row r="49" spans="18:20" ht="17.25" customHeight="1">
      <c r="R49" s="7" t="e">
        <f>IF(INDEX('PROJECT SETTINGS'!#REF!,ROW()-ROW(base!$R$3),1)="",base!$R50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50)</f>
        <v>#REF!</v>
      </c>
    </row>
    <row r="50" spans="18:20" ht="17.25" customHeight="1">
      <c r="R50" s="7" t="e">
        <f>IF(INDEX('PROJECT SETTINGS'!#REF!,ROW()-ROW(base!$R$3),1)="",base!$R51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51)</f>
        <v>#REF!</v>
      </c>
    </row>
    <row r="51" spans="18:20" ht="17.25" customHeight="1">
      <c r="R51" s="7" t="e">
        <f>IF(INDEX('PROJECT SETTINGS'!#REF!,ROW()-ROW(base!$R$3),1)="",base!$R52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52)</f>
        <v>#REF!</v>
      </c>
    </row>
    <row r="52" spans="18:20" ht="17.25" customHeight="1">
      <c r="R52" s="7" t="e">
        <f>IF(INDEX('PROJECT SETTINGS'!#REF!,ROW()-ROW(base!$R$3),1)="",base!$R53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53)</f>
        <v>#REF!</v>
      </c>
    </row>
    <row r="53" spans="18:20" ht="17.25" customHeight="1">
      <c r="R53" s="7" t="e">
        <f>IF(INDEX('PROJECT SETTINGS'!#REF!,ROW()-ROW(base!$R$3),1)="",base!$R54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54)</f>
        <v>#REF!</v>
      </c>
    </row>
    <row r="54" spans="18:20" ht="17.25" customHeight="1">
      <c r="R54" s="7" t="e">
        <f>IF(INDEX('PROJECT SETTINGS'!#REF!,ROW()-ROW(base!$R$3),1)="",base!$R55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55)</f>
        <v>#REF!</v>
      </c>
    </row>
    <row r="55" spans="18:20" ht="17.25" customHeight="1">
      <c r="R55" s="7" t="e">
        <f>IF(INDEX('PROJECT SETTINGS'!#REF!,ROW()-ROW(base!$R$3),1)="",base!$R56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56)</f>
        <v>#REF!</v>
      </c>
    </row>
    <row r="56" spans="18:20" ht="17.25" customHeight="1" thickBot="1">
      <c r="R56" s="7" t="e">
        <f>IF(INDEX('PROJECT SETTINGS'!#REF!,ROW()-ROW(base!$R$3),1)="",base!$R57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57)</f>
        <v>#REF!</v>
      </c>
    </row>
    <row r="57" spans="18:20" ht="21" customHeight="1" thickTop="1">
      <c r="R57" s="8"/>
      <c r="S57" s="8"/>
      <c r="T57" s="8"/>
    </row>
    <row r="58" spans="18:20" ht="21" customHeight="1">
      <c r="R58" s="7"/>
    </row>
    <row r="59" spans="18:20" ht="21" customHeight="1">
      <c r="R59" s="7"/>
    </row>
    <row r="60" spans="18:20" ht="21" customHeight="1">
      <c r="R60" s="7"/>
    </row>
    <row r="61" spans="18:20" ht="21" customHeight="1">
      <c r="R61" s="7"/>
    </row>
    <row r="62" spans="18:20" ht="21" customHeight="1">
      <c r="R62" s="7"/>
    </row>
    <row r="63" spans="18:20" ht="21" customHeight="1">
      <c r="R63" s="7"/>
    </row>
    <row r="64" spans="18:20" ht="21" customHeight="1">
      <c r="R64" s="7"/>
    </row>
    <row r="65" spans="18:18" ht="21" customHeight="1">
      <c r="R65" s="7"/>
    </row>
    <row r="66" spans="18:18" ht="21" customHeight="1">
      <c r="R66" s="7"/>
    </row>
    <row r="67" spans="18:18" ht="21" customHeight="1">
      <c r="R67" s="7"/>
    </row>
    <row r="68" spans="18:18" ht="21" customHeight="1">
      <c r="R68" s="7"/>
    </row>
  </sheetData>
  <mergeCells count="2">
    <mergeCell ref="E1:G1"/>
    <mergeCell ref="S1:T1"/>
  </mergeCells>
  <phoneticPr fontId="7" type="noConversion"/>
  <pageMargins left="0.7" right="0.7" top="0.78740157499999996" bottom="0.78740157499999996" header="0.3" footer="0.3"/>
  <pageSetup paperSize="9" orientation="portrait" horizont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Tabelle15"/>
  <dimension ref="A1:G204"/>
  <sheetViews>
    <sheetView showZeros="0" workbookViewId="0">
      <pane ySplit="5355" topLeftCell="A13"/>
      <selection activeCell="F3" sqref="F3:F4"/>
      <selection pane="bottomLeft" activeCell="B27" sqref="B27"/>
    </sheetView>
  </sheetViews>
  <sheetFormatPr baseColWidth="10" defaultColWidth="11.42578125" defaultRowHeight="14.25" outlineLevelRow="1"/>
  <cols>
    <col min="1" max="1" width="20" style="74" bestFit="1" customWidth="1"/>
    <col min="2" max="2" width="20.42578125" style="72" customWidth="1"/>
    <col min="3" max="4" width="4.5703125" style="73" customWidth="1"/>
    <col min="5" max="5" width="4.5703125" style="74" customWidth="1"/>
    <col min="6" max="6" width="18" style="71" customWidth="1"/>
    <col min="7" max="7" width="10.5703125" style="81" customWidth="1"/>
    <col min="8" max="16384" width="11.42578125" style="48"/>
  </cols>
  <sheetData>
    <row r="1" spans="1:7" ht="43.5" customHeight="1" thickBot="1">
      <c r="A1" s="332" t="str">
        <f>'RAW IMPORT'!A1</f>
        <v>Produkt</v>
      </c>
      <c r="B1" s="332">
        <f>'RAW IMPORT'!B1</f>
        <v>0</v>
      </c>
      <c r="C1" s="103" t="str">
        <f>'RAW IMPORT'!C1</f>
        <v>Breite</v>
      </c>
      <c r="D1" s="103" t="str">
        <f>'RAW IMPORT'!D1</f>
        <v>Tiefe</v>
      </c>
      <c r="E1" s="103">
        <f>'RAW IMPORT'!E1</f>
        <v>0</v>
      </c>
      <c r="F1" s="82" t="s">
        <v>144</v>
      </c>
      <c r="G1" s="82"/>
    </row>
    <row r="2" spans="1:7" ht="57.75" outlineLevel="1" thickTop="1">
      <c r="A2" s="91" t="str">
        <f>A12</f>
        <v>Typ</v>
      </c>
      <c r="B2" s="92" t="str">
        <f>B12</f>
        <v>Name</v>
      </c>
      <c r="C2" s="146" t="str">
        <f>C1</f>
        <v>Breite</v>
      </c>
      <c r="D2" s="146" t="str">
        <f>D1</f>
        <v>Tiefe</v>
      </c>
      <c r="E2" s="147">
        <f>E1</f>
        <v>0</v>
      </c>
      <c r="F2" s="148" t="s">
        <v>153</v>
      </c>
      <c r="G2" s="104" t="s">
        <v>186</v>
      </c>
    </row>
    <row r="3" spans="1:7" s="77" customFormat="1" ht="15" outlineLevel="1">
      <c r="A3" s="87"/>
      <c r="B3" s="76"/>
      <c r="C3" s="75"/>
      <c r="D3" s="126"/>
      <c r="E3" s="88"/>
      <c r="F3" s="106"/>
      <c r="G3" s="105">
        <v>0</v>
      </c>
    </row>
    <row r="4" spans="1:7" s="77" customFormat="1" ht="15" outlineLevel="1">
      <c r="A4" s="87"/>
      <c r="B4" s="75"/>
      <c r="C4" s="76"/>
      <c r="D4" s="76"/>
      <c r="E4" s="88"/>
      <c r="F4" s="106"/>
      <c r="G4" s="105">
        <v>0</v>
      </c>
    </row>
    <row r="5" spans="1:7" s="77" customFormat="1" ht="15" outlineLevel="1">
      <c r="A5" s="87"/>
      <c r="B5" s="75"/>
      <c r="C5" s="75"/>
      <c r="D5" s="126"/>
      <c r="E5" s="88"/>
      <c r="F5" s="106"/>
      <c r="G5" s="105">
        <v>0</v>
      </c>
    </row>
    <row r="6" spans="1:7" s="77" customFormat="1" ht="15" outlineLevel="1">
      <c r="A6" s="87"/>
      <c r="B6" s="75"/>
      <c r="C6" s="75"/>
      <c r="D6" s="126"/>
      <c r="E6" s="88"/>
      <c r="F6" s="106"/>
      <c r="G6" s="105">
        <v>0</v>
      </c>
    </row>
    <row r="7" spans="1:7" s="77" customFormat="1" ht="15" outlineLevel="1">
      <c r="A7" s="87"/>
      <c r="B7" s="75"/>
      <c r="C7" s="75"/>
      <c r="D7" s="126"/>
      <c r="E7" s="88"/>
      <c r="F7" s="106"/>
      <c r="G7" s="105">
        <v>0</v>
      </c>
    </row>
    <row r="8" spans="1:7" s="77" customFormat="1" ht="15" outlineLevel="1">
      <c r="A8" s="87"/>
      <c r="B8" s="75"/>
      <c r="C8" s="75"/>
      <c r="D8" s="126"/>
      <c r="E8" s="88"/>
      <c r="F8" s="106"/>
      <c r="G8" s="105">
        <v>0</v>
      </c>
    </row>
    <row r="9" spans="1:7" s="77" customFormat="1" ht="15" outlineLevel="1">
      <c r="A9" s="87"/>
      <c r="B9" s="75"/>
      <c r="C9" s="75"/>
      <c r="D9" s="126"/>
      <c r="E9" s="88"/>
      <c r="F9" s="106"/>
      <c r="G9" s="105">
        <v>0</v>
      </c>
    </row>
    <row r="10" spans="1:7" s="77" customFormat="1" ht="15" outlineLevel="1">
      <c r="A10" s="87"/>
      <c r="B10" s="75"/>
      <c r="C10" s="75"/>
      <c r="D10" s="126"/>
      <c r="E10" s="88"/>
      <c r="F10" s="106"/>
      <c r="G10" s="105">
        <v>0</v>
      </c>
    </row>
    <row r="11" spans="1:7" s="77" customFormat="1" ht="15.75" outlineLevel="1" thickBot="1">
      <c r="A11" s="87"/>
      <c r="B11" s="75"/>
      <c r="C11" s="75"/>
      <c r="D11" s="126"/>
      <c r="E11" s="88"/>
      <c r="F11" s="106"/>
      <c r="G11" s="105">
        <v>0</v>
      </c>
    </row>
    <row r="12" spans="1:7" ht="15.75" customHeight="1" thickTop="1" thickBot="1">
      <c r="A12" s="122" t="str">
        <f>'RAW IMPORT'!A2</f>
        <v>Typ</v>
      </c>
      <c r="B12" s="123" t="str">
        <f>'RAW IMPORT'!B2</f>
        <v>Name</v>
      </c>
      <c r="C12" s="124">
        <f>'RAW IMPORT'!C2</f>
        <v>0</v>
      </c>
      <c r="D12" s="127">
        <f>'RAW IMPORT'!D2</f>
        <v>0</v>
      </c>
      <c r="E12" s="125">
        <f>'RAW IMPORT'!E2</f>
        <v>0</v>
      </c>
      <c r="F12" s="100"/>
      <c r="G12" s="48"/>
    </row>
    <row r="13" spans="1:7" s="71" customFormat="1" ht="15" customHeight="1" thickTop="1">
      <c r="A13" s="67">
        <f>'RAW IMPORT'!A3</f>
        <v>0</v>
      </c>
      <c r="B13" s="68">
        <f>'RAW IMPORT'!B3</f>
        <v>0</v>
      </c>
      <c r="C13" s="70">
        <f>'RAW IMPORT'!C3</f>
        <v>0</v>
      </c>
      <c r="D13" s="80">
        <f>'RAW IMPORT'!D3</f>
        <v>0</v>
      </c>
      <c r="E13" s="80">
        <f>'RAW IMPORT'!E3</f>
        <v>0</v>
      </c>
      <c r="F13" s="102"/>
      <c r="G13" s="66"/>
    </row>
    <row r="14" spans="1:7" ht="15" customHeight="1">
      <c r="A14" s="67">
        <f>'RAW IMPORT'!A4</f>
        <v>0</v>
      </c>
      <c r="B14" s="68">
        <f>'RAW IMPORT'!B4</f>
        <v>0</v>
      </c>
      <c r="C14" s="70">
        <f>'RAW IMPORT'!C4</f>
        <v>0</v>
      </c>
      <c r="D14" s="80">
        <f>'RAW IMPORT'!D4</f>
        <v>0</v>
      </c>
      <c r="E14" s="80">
        <f>'RAW IMPORT'!E4</f>
        <v>0</v>
      </c>
      <c r="F14" s="102"/>
      <c r="G14" s="66"/>
    </row>
    <row r="15" spans="1:7" ht="15" customHeight="1">
      <c r="A15" s="67">
        <f>'RAW IMPORT'!A5</f>
        <v>0</v>
      </c>
      <c r="B15" s="68">
        <f>'RAW IMPORT'!B5</f>
        <v>0</v>
      </c>
      <c r="C15" s="70">
        <f>'RAW IMPORT'!C5</f>
        <v>0</v>
      </c>
      <c r="D15" s="80">
        <f>'RAW IMPORT'!D5</f>
        <v>0</v>
      </c>
      <c r="E15" s="80">
        <f>'RAW IMPORT'!E5</f>
        <v>0</v>
      </c>
      <c r="F15" s="102"/>
      <c r="G15" s="66"/>
    </row>
    <row r="16" spans="1:7" ht="15" customHeight="1">
      <c r="A16" s="67">
        <f>'RAW IMPORT'!A6</f>
        <v>0</v>
      </c>
      <c r="B16" s="68">
        <f>'RAW IMPORT'!B6</f>
        <v>0</v>
      </c>
      <c r="C16" s="70">
        <f>'RAW IMPORT'!C6</f>
        <v>0</v>
      </c>
      <c r="D16" s="80">
        <f>'RAW IMPORT'!D6</f>
        <v>0</v>
      </c>
      <c r="E16" s="80">
        <f>'RAW IMPORT'!E6</f>
        <v>0</v>
      </c>
      <c r="F16" s="102"/>
      <c r="G16" s="66"/>
    </row>
    <row r="17" spans="1:7" ht="15" customHeight="1">
      <c r="A17" s="67">
        <f>'RAW IMPORT'!A7</f>
        <v>0</v>
      </c>
      <c r="B17" s="68">
        <f>'RAW IMPORT'!B7</f>
        <v>0</v>
      </c>
      <c r="C17" s="70">
        <f>'RAW IMPORT'!C7</f>
        <v>0</v>
      </c>
      <c r="D17" s="80">
        <f>'RAW IMPORT'!D7</f>
        <v>0</v>
      </c>
      <c r="E17" s="80">
        <f>'RAW IMPORT'!E7</f>
        <v>0</v>
      </c>
      <c r="F17" s="102"/>
      <c r="G17" s="66"/>
    </row>
    <row r="18" spans="1:7" ht="15" customHeight="1">
      <c r="A18" s="67">
        <f>'RAW IMPORT'!A8</f>
        <v>0</v>
      </c>
      <c r="B18" s="68">
        <f>'RAW IMPORT'!B8</f>
        <v>0</v>
      </c>
      <c r="C18" s="70">
        <f>'RAW IMPORT'!C8</f>
        <v>0</v>
      </c>
      <c r="D18" s="80">
        <f>'RAW IMPORT'!D8</f>
        <v>0</v>
      </c>
      <c r="E18" s="80">
        <f>'RAW IMPORT'!E8</f>
        <v>0</v>
      </c>
      <c r="F18" s="102"/>
      <c r="G18" s="66"/>
    </row>
    <row r="19" spans="1:7" ht="15" customHeight="1">
      <c r="A19" s="67">
        <f>'RAW IMPORT'!A9</f>
        <v>0</v>
      </c>
      <c r="B19" s="68">
        <f>'RAW IMPORT'!B9</f>
        <v>0</v>
      </c>
      <c r="C19" s="70">
        <f>'RAW IMPORT'!C9</f>
        <v>0</v>
      </c>
      <c r="D19" s="80">
        <f>'RAW IMPORT'!D9</f>
        <v>0</v>
      </c>
      <c r="E19" s="80">
        <f>'RAW IMPORT'!E9</f>
        <v>0</v>
      </c>
      <c r="F19" s="102"/>
      <c r="G19" s="66"/>
    </row>
    <row r="20" spans="1:7" ht="15" customHeight="1">
      <c r="A20" s="67">
        <f>'RAW IMPORT'!A10</f>
        <v>0</v>
      </c>
      <c r="B20" s="68">
        <f>'RAW IMPORT'!B10</f>
        <v>0</v>
      </c>
      <c r="C20" s="70">
        <f>'RAW IMPORT'!C10</f>
        <v>0</v>
      </c>
      <c r="D20" s="80">
        <f>'RAW IMPORT'!D10</f>
        <v>0</v>
      </c>
      <c r="E20" s="80">
        <f>'RAW IMPORT'!E10</f>
        <v>0</v>
      </c>
      <c r="F20" s="102"/>
      <c r="G20" s="66"/>
    </row>
    <row r="21" spans="1:7" ht="15" customHeight="1">
      <c r="A21" s="67">
        <f>'RAW IMPORT'!A11</f>
        <v>0</v>
      </c>
      <c r="B21" s="68">
        <f>'RAW IMPORT'!B11</f>
        <v>0</v>
      </c>
      <c r="C21" s="70">
        <f>'RAW IMPORT'!C11</f>
        <v>0</v>
      </c>
      <c r="D21" s="80">
        <f>'RAW IMPORT'!D11</f>
        <v>0</v>
      </c>
      <c r="E21" s="80">
        <f>'RAW IMPORT'!E11</f>
        <v>0</v>
      </c>
      <c r="F21" s="102"/>
      <c r="G21" s="66"/>
    </row>
    <row r="22" spans="1:7" ht="15" customHeight="1">
      <c r="A22" s="67">
        <f>'RAW IMPORT'!A12</f>
        <v>0</v>
      </c>
      <c r="B22" s="68">
        <f>'RAW IMPORT'!B12</f>
        <v>0</v>
      </c>
      <c r="C22" s="70">
        <f>'RAW IMPORT'!C12</f>
        <v>0</v>
      </c>
      <c r="D22" s="80">
        <f>'RAW IMPORT'!D12</f>
        <v>0</v>
      </c>
      <c r="E22" s="80">
        <f>'RAW IMPORT'!E12</f>
        <v>0</v>
      </c>
      <c r="F22" s="102"/>
      <c r="G22" s="66"/>
    </row>
    <row r="23" spans="1:7" ht="15" customHeight="1">
      <c r="A23" s="67">
        <f>'RAW IMPORT'!A13</f>
        <v>0</v>
      </c>
      <c r="B23" s="68">
        <f>'RAW IMPORT'!B13</f>
        <v>0</v>
      </c>
      <c r="C23" s="70">
        <f>'RAW IMPORT'!C13</f>
        <v>0</v>
      </c>
      <c r="D23" s="80">
        <f>'RAW IMPORT'!D13</f>
        <v>0</v>
      </c>
      <c r="E23" s="80">
        <f>'RAW IMPORT'!E13</f>
        <v>0</v>
      </c>
      <c r="F23" s="102"/>
      <c r="G23" s="66"/>
    </row>
    <row r="24" spans="1:7" ht="15" customHeight="1">
      <c r="A24" s="67">
        <f>'RAW IMPORT'!A14</f>
        <v>0</v>
      </c>
      <c r="B24" s="68">
        <f>'RAW IMPORT'!B14</f>
        <v>0</v>
      </c>
      <c r="C24" s="70">
        <f>'RAW IMPORT'!C14</f>
        <v>0</v>
      </c>
      <c r="D24" s="80">
        <f>'RAW IMPORT'!D14</f>
        <v>0</v>
      </c>
      <c r="E24" s="80">
        <f>'RAW IMPORT'!E14</f>
        <v>0</v>
      </c>
      <c r="F24" s="102"/>
      <c r="G24" s="66"/>
    </row>
    <row r="25" spans="1:7" ht="15" customHeight="1">
      <c r="A25" s="67">
        <f>'RAW IMPORT'!A15</f>
        <v>0</v>
      </c>
      <c r="B25" s="68">
        <f>'RAW IMPORT'!B15</f>
        <v>0</v>
      </c>
      <c r="C25" s="70">
        <f>'RAW IMPORT'!C15</f>
        <v>0</v>
      </c>
      <c r="D25" s="80">
        <f>'RAW IMPORT'!D15</f>
        <v>0</v>
      </c>
      <c r="E25" s="80">
        <f>'RAW IMPORT'!E15</f>
        <v>0</v>
      </c>
      <c r="F25" s="102"/>
      <c r="G25" s="66"/>
    </row>
    <row r="26" spans="1:7" ht="15" customHeight="1">
      <c r="A26" s="67">
        <f>'RAW IMPORT'!A16</f>
        <v>0</v>
      </c>
      <c r="B26" s="68">
        <f>'RAW IMPORT'!B16</f>
        <v>0</v>
      </c>
      <c r="C26" s="70">
        <f>'RAW IMPORT'!C16</f>
        <v>0</v>
      </c>
      <c r="D26" s="80">
        <f>'RAW IMPORT'!D16</f>
        <v>0</v>
      </c>
      <c r="E26" s="80">
        <f>'RAW IMPORT'!E16</f>
        <v>0</v>
      </c>
      <c r="F26" s="102"/>
      <c r="G26" s="66"/>
    </row>
    <row r="27" spans="1:7" ht="15" customHeight="1">
      <c r="A27" s="67">
        <f>'RAW IMPORT'!A17</f>
        <v>0</v>
      </c>
      <c r="B27" s="68">
        <f>'RAW IMPORT'!B17</f>
        <v>0</v>
      </c>
      <c r="C27" s="70">
        <f>'RAW IMPORT'!C17</f>
        <v>0</v>
      </c>
      <c r="D27" s="80">
        <f>'RAW IMPORT'!D17</f>
        <v>0</v>
      </c>
      <c r="E27" s="80">
        <f>'RAW IMPORT'!E17</f>
        <v>0</v>
      </c>
      <c r="F27" s="102"/>
      <c r="G27" s="66"/>
    </row>
    <row r="28" spans="1:7" ht="15" customHeight="1">
      <c r="A28" s="67">
        <f>'RAW IMPORT'!A18</f>
        <v>0</v>
      </c>
      <c r="B28" s="68">
        <f>'RAW IMPORT'!B18</f>
        <v>0</v>
      </c>
      <c r="C28" s="70">
        <f>'RAW IMPORT'!C18</f>
        <v>0</v>
      </c>
      <c r="D28" s="80">
        <f>'RAW IMPORT'!D18</f>
        <v>0</v>
      </c>
      <c r="E28" s="80">
        <f>'RAW IMPORT'!E18</f>
        <v>0</v>
      </c>
      <c r="F28" s="102"/>
      <c r="G28" s="66"/>
    </row>
    <row r="29" spans="1:7" ht="15" customHeight="1">
      <c r="A29" s="67">
        <f>'RAW IMPORT'!A19</f>
        <v>0</v>
      </c>
      <c r="B29" s="68">
        <f>'RAW IMPORT'!B19</f>
        <v>0</v>
      </c>
      <c r="C29" s="70">
        <f>'RAW IMPORT'!C19</f>
        <v>0</v>
      </c>
      <c r="D29" s="80">
        <f>'RAW IMPORT'!D19</f>
        <v>0</v>
      </c>
      <c r="E29" s="80">
        <f>'RAW IMPORT'!E19</f>
        <v>0</v>
      </c>
      <c r="F29" s="102"/>
      <c r="G29" s="66"/>
    </row>
    <row r="30" spans="1:7" ht="15" customHeight="1">
      <c r="A30" s="67">
        <f>'RAW IMPORT'!A20</f>
        <v>0</v>
      </c>
      <c r="B30" s="68">
        <f>'RAW IMPORT'!B20</f>
        <v>0</v>
      </c>
      <c r="C30" s="70">
        <f>'RAW IMPORT'!C20</f>
        <v>0</v>
      </c>
      <c r="D30" s="80">
        <f>'RAW IMPORT'!D20</f>
        <v>0</v>
      </c>
      <c r="E30" s="80">
        <f>'RAW IMPORT'!E20</f>
        <v>0</v>
      </c>
      <c r="F30" s="102"/>
      <c r="G30" s="66"/>
    </row>
    <row r="31" spans="1:7" ht="15" customHeight="1">
      <c r="A31" s="67">
        <f>'RAW IMPORT'!A21</f>
        <v>0</v>
      </c>
      <c r="B31" s="68">
        <f>'RAW IMPORT'!B21</f>
        <v>0</v>
      </c>
      <c r="C31" s="70">
        <f>'RAW IMPORT'!C21</f>
        <v>0</v>
      </c>
      <c r="D31" s="80">
        <f>'RAW IMPORT'!D21</f>
        <v>0</v>
      </c>
      <c r="E31" s="80">
        <f>'RAW IMPORT'!E21</f>
        <v>0</v>
      </c>
      <c r="F31" s="102"/>
      <c r="G31" s="66"/>
    </row>
    <row r="32" spans="1:7" ht="15" customHeight="1">
      <c r="A32" s="67">
        <f>'RAW IMPORT'!A22</f>
        <v>0</v>
      </c>
      <c r="B32" s="68">
        <f>'RAW IMPORT'!B22</f>
        <v>0</v>
      </c>
      <c r="C32" s="70">
        <f>'RAW IMPORT'!C22</f>
        <v>0</v>
      </c>
      <c r="D32" s="80">
        <f>'RAW IMPORT'!D22</f>
        <v>0</v>
      </c>
      <c r="E32" s="80">
        <f>'RAW IMPORT'!E22</f>
        <v>0</v>
      </c>
      <c r="F32" s="102"/>
      <c r="G32" s="66"/>
    </row>
    <row r="33" spans="1:7" ht="15" customHeight="1">
      <c r="A33" s="67">
        <f>'RAW IMPORT'!A23</f>
        <v>0</v>
      </c>
      <c r="B33" s="68">
        <f>'RAW IMPORT'!B23</f>
        <v>0</v>
      </c>
      <c r="C33" s="70">
        <f>'RAW IMPORT'!C23</f>
        <v>0</v>
      </c>
      <c r="D33" s="80">
        <f>'RAW IMPORT'!D23</f>
        <v>0</v>
      </c>
      <c r="E33" s="80">
        <f>'RAW IMPORT'!E23</f>
        <v>0</v>
      </c>
      <c r="F33" s="102"/>
      <c r="G33" s="66"/>
    </row>
    <row r="34" spans="1:7" ht="15" customHeight="1">
      <c r="A34" s="67">
        <f>'RAW IMPORT'!A24</f>
        <v>0</v>
      </c>
      <c r="B34" s="68">
        <f>'RAW IMPORT'!B24</f>
        <v>0</v>
      </c>
      <c r="C34" s="70">
        <f>'RAW IMPORT'!C24</f>
        <v>0</v>
      </c>
      <c r="D34" s="80">
        <f>'RAW IMPORT'!D24</f>
        <v>0</v>
      </c>
      <c r="E34" s="80">
        <f>'RAW IMPORT'!E24</f>
        <v>0</v>
      </c>
      <c r="F34" s="102"/>
      <c r="G34" s="66"/>
    </row>
    <row r="35" spans="1:7" ht="15" customHeight="1">
      <c r="A35" s="67">
        <f>'RAW IMPORT'!A25</f>
        <v>0</v>
      </c>
      <c r="B35" s="68">
        <f>'RAW IMPORT'!B25</f>
        <v>0</v>
      </c>
      <c r="C35" s="70">
        <f>'RAW IMPORT'!C25</f>
        <v>0</v>
      </c>
      <c r="D35" s="80">
        <f>'RAW IMPORT'!D25</f>
        <v>0</v>
      </c>
      <c r="E35" s="80">
        <f>'RAW IMPORT'!E25</f>
        <v>0</v>
      </c>
      <c r="F35" s="102"/>
      <c r="G35" s="66"/>
    </row>
    <row r="36" spans="1:7" ht="15" customHeight="1">
      <c r="A36" s="67">
        <f>'RAW IMPORT'!A26</f>
        <v>0</v>
      </c>
      <c r="B36" s="68">
        <f>'RAW IMPORT'!B26</f>
        <v>0</v>
      </c>
      <c r="C36" s="70">
        <f>'RAW IMPORT'!C26</f>
        <v>0</v>
      </c>
      <c r="D36" s="80">
        <f>'RAW IMPORT'!D26</f>
        <v>0</v>
      </c>
      <c r="E36" s="80">
        <f>'RAW IMPORT'!E26</f>
        <v>0</v>
      </c>
      <c r="F36" s="102"/>
      <c r="G36" s="66"/>
    </row>
    <row r="37" spans="1:7" ht="15" customHeight="1">
      <c r="A37" s="67">
        <f>'RAW IMPORT'!A27</f>
        <v>0</v>
      </c>
      <c r="B37" s="68">
        <f>'RAW IMPORT'!B27</f>
        <v>0</v>
      </c>
      <c r="C37" s="70">
        <f>'RAW IMPORT'!C27</f>
        <v>0</v>
      </c>
      <c r="D37" s="80">
        <f>'RAW IMPORT'!D27</f>
        <v>0</v>
      </c>
      <c r="E37" s="80">
        <f>'RAW IMPORT'!E27</f>
        <v>0</v>
      </c>
      <c r="F37" s="102"/>
      <c r="G37" s="66"/>
    </row>
    <row r="38" spans="1:7" ht="15" customHeight="1">
      <c r="A38" s="67">
        <f>'RAW IMPORT'!A28</f>
        <v>0</v>
      </c>
      <c r="B38" s="68">
        <f>'RAW IMPORT'!B28</f>
        <v>0</v>
      </c>
      <c r="C38" s="70">
        <f>'RAW IMPORT'!C28</f>
        <v>0</v>
      </c>
      <c r="D38" s="80">
        <f>'RAW IMPORT'!D28</f>
        <v>0</v>
      </c>
      <c r="E38" s="80">
        <f>'RAW IMPORT'!E28</f>
        <v>0</v>
      </c>
      <c r="F38" s="102"/>
      <c r="G38" s="66"/>
    </row>
    <row r="39" spans="1:7" ht="15" customHeight="1">
      <c r="A39" s="67">
        <f>'RAW IMPORT'!A29</f>
        <v>0</v>
      </c>
      <c r="B39" s="68">
        <f>'RAW IMPORT'!B29</f>
        <v>0</v>
      </c>
      <c r="C39" s="70">
        <f>'RAW IMPORT'!C29</f>
        <v>0</v>
      </c>
      <c r="D39" s="80">
        <f>'RAW IMPORT'!D29</f>
        <v>0</v>
      </c>
      <c r="E39" s="80">
        <f>'RAW IMPORT'!E29</f>
        <v>0</v>
      </c>
      <c r="F39" s="102"/>
      <c r="G39" s="66"/>
    </row>
    <row r="40" spans="1:7" ht="15" customHeight="1">
      <c r="A40" s="67">
        <f>'RAW IMPORT'!A30</f>
        <v>0</v>
      </c>
      <c r="B40" s="68">
        <f>'RAW IMPORT'!B30</f>
        <v>0</v>
      </c>
      <c r="C40" s="70">
        <f>'RAW IMPORT'!C30</f>
        <v>0</v>
      </c>
      <c r="D40" s="80">
        <f>'RAW IMPORT'!D30</f>
        <v>0</v>
      </c>
      <c r="E40" s="80">
        <f>'RAW IMPORT'!E30</f>
        <v>0</v>
      </c>
      <c r="F40" s="102"/>
      <c r="G40" s="66"/>
    </row>
    <row r="41" spans="1:7" ht="15" customHeight="1">
      <c r="A41" s="67">
        <f>'RAW IMPORT'!A31</f>
        <v>0</v>
      </c>
      <c r="B41" s="68">
        <f>'RAW IMPORT'!B31</f>
        <v>0</v>
      </c>
      <c r="C41" s="70">
        <f>'RAW IMPORT'!C31</f>
        <v>0</v>
      </c>
      <c r="D41" s="80">
        <f>'RAW IMPORT'!D31</f>
        <v>0</v>
      </c>
      <c r="E41" s="80">
        <f>'RAW IMPORT'!E31</f>
        <v>0</v>
      </c>
      <c r="F41" s="102"/>
      <c r="G41" s="66"/>
    </row>
    <row r="42" spans="1:7" ht="15" customHeight="1">
      <c r="A42" s="67">
        <f>'RAW IMPORT'!A32</f>
        <v>0</v>
      </c>
      <c r="B42" s="68">
        <f>'RAW IMPORT'!B32</f>
        <v>0</v>
      </c>
      <c r="C42" s="70">
        <f>'RAW IMPORT'!C32</f>
        <v>0</v>
      </c>
      <c r="D42" s="80">
        <f>'RAW IMPORT'!D32</f>
        <v>0</v>
      </c>
      <c r="E42" s="80">
        <f>'RAW IMPORT'!E32</f>
        <v>0</v>
      </c>
      <c r="F42" s="102"/>
      <c r="G42" s="66"/>
    </row>
    <row r="43" spans="1:7" ht="15" customHeight="1">
      <c r="A43" s="67">
        <f>'RAW IMPORT'!A33</f>
        <v>0</v>
      </c>
      <c r="B43" s="68">
        <f>'RAW IMPORT'!B33</f>
        <v>0</v>
      </c>
      <c r="C43" s="70">
        <f>'RAW IMPORT'!C33</f>
        <v>0</v>
      </c>
      <c r="D43" s="80">
        <f>'RAW IMPORT'!D33</f>
        <v>0</v>
      </c>
      <c r="E43" s="80">
        <f>'RAW IMPORT'!E33</f>
        <v>0</v>
      </c>
      <c r="F43" s="102"/>
      <c r="G43" s="66"/>
    </row>
    <row r="44" spans="1:7" ht="15" customHeight="1">
      <c r="A44" s="67">
        <f>'RAW IMPORT'!A34</f>
        <v>0</v>
      </c>
      <c r="B44" s="68">
        <f>'RAW IMPORT'!B34</f>
        <v>0</v>
      </c>
      <c r="C44" s="70">
        <f>'RAW IMPORT'!C34</f>
        <v>0</v>
      </c>
      <c r="D44" s="80">
        <f>'RAW IMPORT'!D34</f>
        <v>0</v>
      </c>
      <c r="E44" s="80">
        <f>'RAW IMPORT'!E34</f>
        <v>0</v>
      </c>
      <c r="F44" s="102"/>
      <c r="G44" s="66"/>
    </row>
    <row r="45" spans="1:7" ht="15" customHeight="1">
      <c r="A45" s="67">
        <f>'RAW IMPORT'!A35</f>
        <v>0</v>
      </c>
      <c r="B45" s="68">
        <f>'RAW IMPORT'!B35</f>
        <v>0</v>
      </c>
      <c r="C45" s="70">
        <f>'RAW IMPORT'!C35</f>
        <v>0</v>
      </c>
      <c r="D45" s="80">
        <f>'RAW IMPORT'!D35</f>
        <v>0</v>
      </c>
      <c r="E45" s="80">
        <f>'RAW IMPORT'!E35</f>
        <v>0</v>
      </c>
      <c r="F45" s="102"/>
      <c r="G45" s="66"/>
    </row>
    <row r="46" spans="1:7" ht="15" customHeight="1">
      <c r="A46" s="67">
        <f>'RAW IMPORT'!A36</f>
        <v>0</v>
      </c>
      <c r="B46" s="68">
        <f>'RAW IMPORT'!B36</f>
        <v>0</v>
      </c>
      <c r="C46" s="70">
        <f>'RAW IMPORT'!C36</f>
        <v>0</v>
      </c>
      <c r="D46" s="80">
        <f>'RAW IMPORT'!D36</f>
        <v>0</v>
      </c>
      <c r="E46" s="80">
        <f>'RAW IMPORT'!E36</f>
        <v>0</v>
      </c>
      <c r="F46" s="102"/>
      <c r="G46" s="66"/>
    </row>
    <row r="47" spans="1:7" ht="15" customHeight="1">
      <c r="A47" s="67">
        <f>'RAW IMPORT'!A37</f>
        <v>0</v>
      </c>
      <c r="B47" s="68">
        <f>'RAW IMPORT'!B37</f>
        <v>0</v>
      </c>
      <c r="C47" s="70">
        <f>'RAW IMPORT'!C37</f>
        <v>0</v>
      </c>
      <c r="D47" s="80">
        <f>'RAW IMPORT'!D37</f>
        <v>0</v>
      </c>
      <c r="E47" s="80">
        <f>'RAW IMPORT'!E37</f>
        <v>0</v>
      </c>
      <c r="F47" s="102"/>
      <c r="G47" s="66"/>
    </row>
    <row r="48" spans="1:7" ht="15" customHeight="1">
      <c r="A48" s="67">
        <f>'RAW IMPORT'!A38</f>
        <v>0</v>
      </c>
      <c r="B48" s="68">
        <f>'RAW IMPORT'!B38</f>
        <v>0</v>
      </c>
      <c r="C48" s="70">
        <f>'RAW IMPORT'!C38</f>
        <v>0</v>
      </c>
      <c r="D48" s="80">
        <f>'RAW IMPORT'!D38</f>
        <v>0</v>
      </c>
      <c r="E48" s="80">
        <f>'RAW IMPORT'!E38</f>
        <v>0</v>
      </c>
      <c r="F48" s="102"/>
      <c r="G48" s="66"/>
    </row>
    <row r="49" spans="1:7" ht="15" customHeight="1">
      <c r="A49" s="67">
        <f>'RAW IMPORT'!A39</f>
        <v>0</v>
      </c>
      <c r="B49" s="68">
        <f>'RAW IMPORT'!B39</f>
        <v>0</v>
      </c>
      <c r="C49" s="70">
        <f>'RAW IMPORT'!C39</f>
        <v>0</v>
      </c>
      <c r="D49" s="80">
        <f>'RAW IMPORT'!D39</f>
        <v>0</v>
      </c>
      <c r="E49" s="80">
        <f>'RAW IMPORT'!E39</f>
        <v>0</v>
      </c>
      <c r="F49" s="102"/>
      <c r="G49" s="66"/>
    </row>
    <row r="50" spans="1:7" ht="15" customHeight="1">
      <c r="A50" s="67">
        <f>'RAW IMPORT'!A40</f>
        <v>0</v>
      </c>
      <c r="B50" s="68">
        <f>'RAW IMPORT'!B40</f>
        <v>0</v>
      </c>
      <c r="C50" s="70">
        <f>'RAW IMPORT'!C40</f>
        <v>0</v>
      </c>
      <c r="D50" s="80">
        <f>'RAW IMPORT'!D40</f>
        <v>0</v>
      </c>
      <c r="E50" s="80">
        <f>'RAW IMPORT'!E40</f>
        <v>0</v>
      </c>
      <c r="F50" s="102"/>
      <c r="G50" s="66"/>
    </row>
    <row r="51" spans="1:7" ht="15" customHeight="1">
      <c r="A51" s="67">
        <f>'RAW IMPORT'!A41</f>
        <v>0</v>
      </c>
      <c r="B51" s="68">
        <f>'RAW IMPORT'!B41</f>
        <v>0</v>
      </c>
      <c r="C51" s="70">
        <f>'RAW IMPORT'!C41</f>
        <v>0</v>
      </c>
      <c r="D51" s="80">
        <f>'RAW IMPORT'!D41</f>
        <v>0</v>
      </c>
      <c r="E51" s="80">
        <f>'RAW IMPORT'!E41</f>
        <v>0</v>
      </c>
      <c r="F51" s="102"/>
      <c r="G51" s="66"/>
    </row>
    <row r="52" spans="1:7" ht="15" customHeight="1">
      <c r="A52" s="67">
        <f>'RAW IMPORT'!A42</f>
        <v>0</v>
      </c>
      <c r="B52" s="68">
        <f>'RAW IMPORT'!B42</f>
        <v>0</v>
      </c>
      <c r="C52" s="70">
        <f>'RAW IMPORT'!C42</f>
        <v>0</v>
      </c>
      <c r="D52" s="80">
        <f>'RAW IMPORT'!D42</f>
        <v>0</v>
      </c>
      <c r="E52" s="80">
        <f>'RAW IMPORT'!E42</f>
        <v>0</v>
      </c>
      <c r="F52" s="102"/>
      <c r="G52" s="66"/>
    </row>
    <row r="53" spans="1:7" ht="15" customHeight="1">
      <c r="A53" s="67">
        <f>'RAW IMPORT'!A43</f>
        <v>0</v>
      </c>
      <c r="B53" s="68">
        <f>'RAW IMPORT'!B43</f>
        <v>0</v>
      </c>
      <c r="C53" s="70">
        <f>'RAW IMPORT'!C43</f>
        <v>0</v>
      </c>
      <c r="D53" s="80">
        <f>'RAW IMPORT'!D43</f>
        <v>0</v>
      </c>
      <c r="E53" s="80">
        <f>'RAW IMPORT'!E43</f>
        <v>0</v>
      </c>
      <c r="F53" s="102"/>
      <c r="G53" s="66"/>
    </row>
    <row r="54" spans="1:7" ht="15" customHeight="1">
      <c r="A54" s="67">
        <f>'RAW IMPORT'!A44</f>
        <v>0</v>
      </c>
      <c r="B54" s="68">
        <f>'RAW IMPORT'!B44</f>
        <v>0</v>
      </c>
      <c r="C54" s="70">
        <f>'RAW IMPORT'!C44</f>
        <v>0</v>
      </c>
      <c r="D54" s="80">
        <f>'RAW IMPORT'!D44</f>
        <v>0</v>
      </c>
      <c r="E54" s="80">
        <f>'RAW IMPORT'!E44</f>
        <v>0</v>
      </c>
      <c r="F54" s="102"/>
      <c r="G54" s="66"/>
    </row>
    <row r="55" spans="1:7" ht="15" customHeight="1">
      <c r="A55" s="67">
        <f>'RAW IMPORT'!A45</f>
        <v>0</v>
      </c>
      <c r="B55" s="68">
        <f>'RAW IMPORT'!B45</f>
        <v>0</v>
      </c>
      <c r="C55" s="70">
        <f>'RAW IMPORT'!C45</f>
        <v>0</v>
      </c>
      <c r="D55" s="80">
        <f>'RAW IMPORT'!D45</f>
        <v>0</v>
      </c>
      <c r="E55" s="80">
        <f>'RAW IMPORT'!E45</f>
        <v>0</v>
      </c>
      <c r="F55" s="102"/>
      <c r="G55" s="66"/>
    </row>
    <row r="56" spans="1:7" ht="15" customHeight="1">
      <c r="A56" s="67">
        <f>'RAW IMPORT'!A46</f>
        <v>0</v>
      </c>
      <c r="B56" s="68">
        <f>'RAW IMPORT'!B46</f>
        <v>0</v>
      </c>
      <c r="C56" s="70">
        <f>'RAW IMPORT'!C46</f>
        <v>0</v>
      </c>
      <c r="D56" s="80">
        <f>'RAW IMPORT'!D46</f>
        <v>0</v>
      </c>
      <c r="E56" s="80">
        <f>'RAW IMPORT'!E46</f>
        <v>0</v>
      </c>
      <c r="F56" s="102"/>
      <c r="G56" s="66"/>
    </row>
    <row r="57" spans="1:7" ht="15" customHeight="1">
      <c r="A57" s="67">
        <f>'RAW IMPORT'!A47</f>
        <v>0</v>
      </c>
      <c r="B57" s="68">
        <f>'RAW IMPORT'!B47</f>
        <v>0</v>
      </c>
      <c r="C57" s="70">
        <f>'RAW IMPORT'!C47</f>
        <v>0</v>
      </c>
      <c r="D57" s="80">
        <f>'RAW IMPORT'!D47</f>
        <v>0</v>
      </c>
      <c r="E57" s="80">
        <f>'RAW IMPORT'!E47</f>
        <v>0</v>
      </c>
      <c r="F57" s="102"/>
      <c r="G57" s="66"/>
    </row>
    <row r="58" spans="1:7" ht="15" customHeight="1">
      <c r="A58" s="67">
        <f>'RAW IMPORT'!A48</f>
        <v>0</v>
      </c>
      <c r="B58" s="68">
        <f>'RAW IMPORT'!B48</f>
        <v>0</v>
      </c>
      <c r="C58" s="70">
        <f>'RAW IMPORT'!C48</f>
        <v>0</v>
      </c>
      <c r="D58" s="80">
        <f>'RAW IMPORT'!D48</f>
        <v>0</v>
      </c>
      <c r="E58" s="80">
        <f>'RAW IMPORT'!E48</f>
        <v>0</v>
      </c>
      <c r="F58" s="102"/>
      <c r="G58" s="66"/>
    </row>
    <row r="59" spans="1:7" ht="15" customHeight="1">
      <c r="A59" s="67">
        <f>'RAW IMPORT'!A49</f>
        <v>0</v>
      </c>
      <c r="B59" s="68">
        <f>'RAW IMPORT'!B49</f>
        <v>0</v>
      </c>
      <c r="C59" s="70">
        <f>'RAW IMPORT'!C49</f>
        <v>0</v>
      </c>
      <c r="D59" s="80">
        <f>'RAW IMPORT'!D49</f>
        <v>0</v>
      </c>
      <c r="E59" s="80">
        <f>'RAW IMPORT'!E49</f>
        <v>0</v>
      </c>
      <c r="F59" s="102"/>
      <c r="G59" s="66"/>
    </row>
    <row r="60" spans="1:7" ht="15" customHeight="1">
      <c r="A60" s="67">
        <f>'RAW IMPORT'!A50</f>
        <v>0</v>
      </c>
      <c r="B60" s="68">
        <f>'RAW IMPORT'!B50</f>
        <v>0</v>
      </c>
      <c r="C60" s="70">
        <f>'RAW IMPORT'!C50</f>
        <v>0</v>
      </c>
      <c r="D60" s="80">
        <f>'RAW IMPORT'!D50</f>
        <v>0</v>
      </c>
      <c r="E60" s="80">
        <f>'RAW IMPORT'!E50</f>
        <v>0</v>
      </c>
      <c r="F60" s="102"/>
      <c r="G60" s="66"/>
    </row>
    <row r="61" spans="1:7" ht="15" customHeight="1">
      <c r="A61" s="67">
        <f>'RAW IMPORT'!A51</f>
        <v>0</v>
      </c>
      <c r="B61" s="68">
        <f>'RAW IMPORT'!B51</f>
        <v>0</v>
      </c>
      <c r="C61" s="70">
        <f>'RAW IMPORT'!C51</f>
        <v>0</v>
      </c>
      <c r="D61" s="80">
        <f>'RAW IMPORT'!D51</f>
        <v>0</v>
      </c>
      <c r="E61" s="80">
        <f>'RAW IMPORT'!E51</f>
        <v>0</v>
      </c>
      <c r="F61" s="102"/>
      <c r="G61" s="66"/>
    </row>
    <row r="62" spans="1:7" ht="15" customHeight="1">
      <c r="A62" s="67">
        <f>'RAW IMPORT'!A52</f>
        <v>0</v>
      </c>
      <c r="B62" s="68">
        <f>'RAW IMPORT'!B52</f>
        <v>0</v>
      </c>
      <c r="C62" s="70">
        <f>'RAW IMPORT'!C52</f>
        <v>0</v>
      </c>
      <c r="D62" s="80">
        <f>'RAW IMPORT'!D52</f>
        <v>0</v>
      </c>
      <c r="E62" s="80">
        <f>'RAW IMPORT'!E52</f>
        <v>0</v>
      </c>
      <c r="F62" s="102"/>
      <c r="G62" s="66"/>
    </row>
    <row r="63" spans="1:7" ht="15" customHeight="1">
      <c r="A63" s="67">
        <f>'RAW IMPORT'!A53</f>
        <v>0</v>
      </c>
      <c r="B63" s="68">
        <f>'RAW IMPORT'!B53</f>
        <v>0</v>
      </c>
      <c r="C63" s="70">
        <f>'RAW IMPORT'!C53</f>
        <v>0</v>
      </c>
      <c r="D63" s="80">
        <f>'RAW IMPORT'!D53</f>
        <v>0</v>
      </c>
      <c r="E63" s="80">
        <f>'RAW IMPORT'!E53</f>
        <v>0</v>
      </c>
      <c r="F63" s="102"/>
      <c r="G63" s="66"/>
    </row>
    <row r="64" spans="1:7" ht="15" customHeight="1">
      <c r="A64" s="67">
        <f>'RAW IMPORT'!A54</f>
        <v>0</v>
      </c>
      <c r="B64" s="68">
        <f>'RAW IMPORT'!B54</f>
        <v>0</v>
      </c>
      <c r="C64" s="70">
        <f>'RAW IMPORT'!C54</f>
        <v>0</v>
      </c>
      <c r="D64" s="80">
        <f>'RAW IMPORT'!D54</f>
        <v>0</v>
      </c>
      <c r="E64" s="80">
        <f>'RAW IMPORT'!E54</f>
        <v>0</v>
      </c>
      <c r="F64" s="102"/>
      <c r="G64" s="66"/>
    </row>
    <row r="65" spans="1:7" ht="15" customHeight="1">
      <c r="A65" s="67">
        <f>'RAW IMPORT'!A55</f>
        <v>0</v>
      </c>
      <c r="B65" s="68">
        <f>'RAW IMPORT'!B55</f>
        <v>0</v>
      </c>
      <c r="C65" s="70">
        <f>'RAW IMPORT'!C55</f>
        <v>0</v>
      </c>
      <c r="D65" s="80">
        <f>'RAW IMPORT'!D55</f>
        <v>0</v>
      </c>
      <c r="E65" s="80">
        <f>'RAW IMPORT'!E55</f>
        <v>0</v>
      </c>
      <c r="F65" s="102"/>
      <c r="G65" s="66"/>
    </row>
    <row r="66" spans="1:7" ht="15" customHeight="1">
      <c r="A66" s="67">
        <f>'RAW IMPORT'!A56</f>
        <v>0</v>
      </c>
      <c r="B66" s="68">
        <f>'RAW IMPORT'!B56</f>
        <v>0</v>
      </c>
      <c r="C66" s="70">
        <f>'RAW IMPORT'!C56</f>
        <v>0</v>
      </c>
      <c r="D66" s="80">
        <f>'RAW IMPORT'!D56</f>
        <v>0</v>
      </c>
      <c r="E66" s="80">
        <f>'RAW IMPORT'!E56</f>
        <v>0</v>
      </c>
      <c r="F66" s="102"/>
      <c r="G66" s="66"/>
    </row>
    <row r="67" spans="1:7" ht="15" customHeight="1">
      <c r="A67" s="67">
        <f>'RAW IMPORT'!A57</f>
        <v>0</v>
      </c>
      <c r="B67" s="68">
        <f>'RAW IMPORT'!B57</f>
        <v>0</v>
      </c>
      <c r="C67" s="70">
        <f>'RAW IMPORT'!C57</f>
        <v>0</v>
      </c>
      <c r="D67" s="80">
        <f>'RAW IMPORT'!D57</f>
        <v>0</v>
      </c>
      <c r="E67" s="80">
        <f>'RAW IMPORT'!E57</f>
        <v>0</v>
      </c>
      <c r="F67" s="102"/>
      <c r="G67" s="66"/>
    </row>
    <row r="68" spans="1:7" ht="15" customHeight="1">
      <c r="A68" s="67">
        <f>'RAW IMPORT'!A58</f>
        <v>0</v>
      </c>
      <c r="B68" s="68">
        <f>'RAW IMPORT'!B58</f>
        <v>0</v>
      </c>
      <c r="C68" s="70">
        <f>'RAW IMPORT'!C58</f>
        <v>0</v>
      </c>
      <c r="D68" s="80">
        <f>'RAW IMPORT'!D58</f>
        <v>0</v>
      </c>
      <c r="E68" s="80">
        <f>'RAW IMPORT'!E58</f>
        <v>0</v>
      </c>
      <c r="F68" s="102"/>
      <c r="G68" s="66"/>
    </row>
    <row r="69" spans="1:7" ht="15" customHeight="1">
      <c r="A69" s="67">
        <f>'RAW IMPORT'!A59</f>
        <v>0</v>
      </c>
      <c r="B69" s="68">
        <f>'RAW IMPORT'!B59</f>
        <v>0</v>
      </c>
      <c r="C69" s="70">
        <f>'RAW IMPORT'!C59</f>
        <v>0</v>
      </c>
      <c r="D69" s="80">
        <f>'RAW IMPORT'!D59</f>
        <v>0</v>
      </c>
      <c r="E69" s="80">
        <f>'RAW IMPORT'!E59</f>
        <v>0</v>
      </c>
      <c r="F69" s="102"/>
      <c r="G69" s="66"/>
    </row>
    <row r="70" spans="1:7" ht="15" customHeight="1">
      <c r="A70" s="67">
        <f>'RAW IMPORT'!A60</f>
        <v>0</v>
      </c>
      <c r="B70" s="68">
        <f>'RAW IMPORT'!B60</f>
        <v>0</v>
      </c>
      <c r="C70" s="70">
        <f>'RAW IMPORT'!C60</f>
        <v>0</v>
      </c>
      <c r="D70" s="80">
        <f>'RAW IMPORT'!D60</f>
        <v>0</v>
      </c>
      <c r="E70" s="80">
        <f>'RAW IMPORT'!E60</f>
        <v>0</v>
      </c>
      <c r="F70" s="102"/>
      <c r="G70" s="66"/>
    </row>
    <row r="71" spans="1:7" ht="15" customHeight="1">
      <c r="A71" s="67">
        <f>'RAW IMPORT'!A61</f>
        <v>0</v>
      </c>
      <c r="B71" s="68">
        <f>'RAW IMPORT'!B61</f>
        <v>0</v>
      </c>
      <c r="C71" s="70">
        <f>'RAW IMPORT'!C61</f>
        <v>0</v>
      </c>
      <c r="D71" s="80">
        <f>'RAW IMPORT'!D61</f>
        <v>0</v>
      </c>
      <c r="E71" s="80">
        <f>'RAW IMPORT'!E61</f>
        <v>0</v>
      </c>
      <c r="F71" s="102"/>
      <c r="G71" s="66"/>
    </row>
    <row r="72" spans="1:7" ht="15" customHeight="1">
      <c r="A72" s="67">
        <f>'RAW IMPORT'!A62</f>
        <v>0</v>
      </c>
      <c r="B72" s="68">
        <f>'RAW IMPORT'!B62</f>
        <v>0</v>
      </c>
      <c r="C72" s="70">
        <f>'RAW IMPORT'!C62</f>
        <v>0</v>
      </c>
      <c r="D72" s="80">
        <f>'RAW IMPORT'!D62</f>
        <v>0</v>
      </c>
      <c r="E72" s="80">
        <f>'RAW IMPORT'!E62</f>
        <v>0</v>
      </c>
      <c r="F72" s="102"/>
      <c r="G72" s="66"/>
    </row>
    <row r="73" spans="1:7" ht="15" customHeight="1">
      <c r="A73" s="67">
        <f>'RAW IMPORT'!A63</f>
        <v>0</v>
      </c>
      <c r="B73" s="68">
        <f>'RAW IMPORT'!B63</f>
        <v>0</v>
      </c>
      <c r="C73" s="70">
        <f>'RAW IMPORT'!C63</f>
        <v>0</v>
      </c>
      <c r="D73" s="80">
        <f>'RAW IMPORT'!D63</f>
        <v>0</v>
      </c>
      <c r="E73" s="80">
        <f>'RAW IMPORT'!E63</f>
        <v>0</v>
      </c>
      <c r="F73" s="102"/>
      <c r="G73" s="66"/>
    </row>
    <row r="74" spans="1:7" ht="15" customHeight="1">
      <c r="A74" s="67">
        <f>'RAW IMPORT'!A64</f>
        <v>0</v>
      </c>
      <c r="B74" s="68">
        <f>'RAW IMPORT'!B64</f>
        <v>0</v>
      </c>
      <c r="C74" s="70">
        <f>'RAW IMPORT'!C64</f>
        <v>0</v>
      </c>
      <c r="D74" s="80">
        <f>'RAW IMPORT'!D64</f>
        <v>0</v>
      </c>
      <c r="E74" s="80">
        <f>'RAW IMPORT'!E64</f>
        <v>0</v>
      </c>
      <c r="F74" s="102"/>
      <c r="G74" s="66"/>
    </row>
    <row r="75" spans="1:7" ht="15" customHeight="1">
      <c r="A75" s="67">
        <f>'RAW IMPORT'!A65</f>
        <v>0</v>
      </c>
      <c r="B75" s="68">
        <f>'RAW IMPORT'!B65</f>
        <v>0</v>
      </c>
      <c r="C75" s="70">
        <f>'RAW IMPORT'!C65</f>
        <v>0</v>
      </c>
      <c r="D75" s="80">
        <f>'RAW IMPORT'!D65</f>
        <v>0</v>
      </c>
      <c r="E75" s="80">
        <f>'RAW IMPORT'!E65</f>
        <v>0</v>
      </c>
      <c r="F75" s="102"/>
      <c r="G75" s="66"/>
    </row>
    <row r="76" spans="1:7" ht="15" customHeight="1">
      <c r="A76" s="67">
        <f>'RAW IMPORT'!A66</f>
        <v>0</v>
      </c>
      <c r="B76" s="68">
        <f>'RAW IMPORT'!B66</f>
        <v>0</v>
      </c>
      <c r="C76" s="70">
        <f>'RAW IMPORT'!C66</f>
        <v>0</v>
      </c>
      <c r="D76" s="80">
        <f>'RAW IMPORT'!D66</f>
        <v>0</v>
      </c>
      <c r="E76" s="80">
        <f>'RAW IMPORT'!E66</f>
        <v>0</v>
      </c>
      <c r="F76" s="102"/>
      <c r="G76" s="66"/>
    </row>
    <row r="77" spans="1:7" ht="15" customHeight="1">
      <c r="A77" s="67">
        <f>'RAW IMPORT'!A67</f>
        <v>0</v>
      </c>
      <c r="B77" s="68">
        <f>'RAW IMPORT'!B67</f>
        <v>0</v>
      </c>
      <c r="C77" s="70">
        <f>'RAW IMPORT'!C67</f>
        <v>0</v>
      </c>
      <c r="D77" s="80">
        <f>'RAW IMPORT'!D67</f>
        <v>0</v>
      </c>
      <c r="E77" s="80">
        <f>'RAW IMPORT'!E67</f>
        <v>0</v>
      </c>
      <c r="F77" s="102"/>
      <c r="G77" s="66"/>
    </row>
    <row r="78" spans="1:7" ht="15" customHeight="1">
      <c r="A78" s="67">
        <f>'RAW IMPORT'!A68</f>
        <v>0</v>
      </c>
      <c r="B78" s="68">
        <f>'RAW IMPORT'!B68</f>
        <v>0</v>
      </c>
      <c r="C78" s="70">
        <f>'RAW IMPORT'!C68</f>
        <v>0</v>
      </c>
      <c r="D78" s="80">
        <f>'RAW IMPORT'!D68</f>
        <v>0</v>
      </c>
      <c r="E78" s="80">
        <f>'RAW IMPORT'!E68</f>
        <v>0</v>
      </c>
      <c r="F78" s="102"/>
      <c r="G78" s="66"/>
    </row>
    <row r="79" spans="1:7" ht="15" customHeight="1">
      <c r="A79" s="67">
        <f>'RAW IMPORT'!A69</f>
        <v>0</v>
      </c>
      <c r="B79" s="68">
        <f>'RAW IMPORT'!B69</f>
        <v>0</v>
      </c>
      <c r="C79" s="70">
        <f>'RAW IMPORT'!C69</f>
        <v>0</v>
      </c>
      <c r="D79" s="80">
        <f>'RAW IMPORT'!D69</f>
        <v>0</v>
      </c>
      <c r="E79" s="80">
        <f>'RAW IMPORT'!E69</f>
        <v>0</v>
      </c>
      <c r="F79" s="102"/>
      <c r="G79" s="66"/>
    </row>
    <row r="80" spans="1:7" ht="15" customHeight="1">
      <c r="A80" s="67">
        <f>'RAW IMPORT'!A70</f>
        <v>0</v>
      </c>
      <c r="B80" s="68">
        <f>'RAW IMPORT'!B70</f>
        <v>0</v>
      </c>
      <c r="C80" s="70">
        <f>'RAW IMPORT'!C70</f>
        <v>0</v>
      </c>
      <c r="D80" s="80">
        <f>'RAW IMPORT'!D70</f>
        <v>0</v>
      </c>
      <c r="E80" s="80">
        <f>'RAW IMPORT'!E70</f>
        <v>0</v>
      </c>
      <c r="F80" s="102"/>
      <c r="G80" s="66"/>
    </row>
    <row r="81" spans="1:7" ht="15" customHeight="1">
      <c r="A81" s="67">
        <f>'RAW IMPORT'!A71</f>
        <v>0</v>
      </c>
      <c r="B81" s="68">
        <f>'RAW IMPORT'!B71</f>
        <v>0</v>
      </c>
      <c r="C81" s="70">
        <f>'RAW IMPORT'!C71</f>
        <v>0</v>
      </c>
      <c r="D81" s="80">
        <f>'RAW IMPORT'!D71</f>
        <v>0</v>
      </c>
      <c r="E81" s="80">
        <f>'RAW IMPORT'!E71</f>
        <v>0</v>
      </c>
      <c r="F81" s="102"/>
      <c r="G81" s="66"/>
    </row>
    <row r="82" spans="1:7" ht="15" customHeight="1">
      <c r="A82" s="67">
        <f>'RAW IMPORT'!A72</f>
        <v>0</v>
      </c>
      <c r="B82" s="68">
        <f>'RAW IMPORT'!B72</f>
        <v>0</v>
      </c>
      <c r="C82" s="70">
        <f>'RAW IMPORT'!C72</f>
        <v>0</v>
      </c>
      <c r="D82" s="80">
        <f>'RAW IMPORT'!D72</f>
        <v>0</v>
      </c>
      <c r="E82" s="80">
        <f>'RAW IMPORT'!E72</f>
        <v>0</v>
      </c>
      <c r="F82" s="102"/>
      <c r="G82" s="66"/>
    </row>
    <row r="83" spans="1:7" ht="15" customHeight="1">
      <c r="A83" s="67">
        <f>'RAW IMPORT'!A73</f>
        <v>0</v>
      </c>
      <c r="B83" s="68">
        <f>'RAW IMPORT'!B73</f>
        <v>0</v>
      </c>
      <c r="C83" s="70">
        <f>'RAW IMPORT'!C73</f>
        <v>0</v>
      </c>
      <c r="D83" s="80">
        <f>'RAW IMPORT'!D73</f>
        <v>0</v>
      </c>
      <c r="E83" s="80">
        <f>'RAW IMPORT'!E73</f>
        <v>0</v>
      </c>
      <c r="F83" s="102"/>
      <c r="G83" s="66"/>
    </row>
    <row r="84" spans="1:7" ht="15" customHeight="1">
      <c r="A84" s="67">
        <f>'RAW IMPORT'!A74</f>
        <v>0</v>
      </c>
      <c r="B84" s="68">
        <f>'RAW IMPORT'!B74</f>
        <v>0</v>
      </c>
      <c r="C84" s="70">
        <f>'RAW IMPORT'!C74</f>
        <v>0</v>
      </c>
      <c r="D84" s="80">
        <f>'RAW IMPORT'!D74</f>
        <v>0</v>
      </c>
      <c r="E84" s="80">
        <f>'RAW IMPORT'!E74</f>
        <v>0</v>
      </c>
      <c r="F84" s="102"/>
      <c r="G84" s="66"/>
    </row>
    <row r="85" spans="1:7" ht="15" customHeight="1">
      <c r="A85" s="67">
        <f>'RAW IMPORT'!A75</f>
        <v>0</v>
      </c>
      <c r="B85" s="68">
        <f>'RAW IMPORT'!B75</f>
        <v>0</v>
      </c>
      <c r="C85" s="70">
        <f>'RAW IMPORT'!C75</f>
        <v>0</v>
      </c>
      <c r="D85" s="80">
        <f>'RAW IMPORT'!D75</f>
        <v>0</v>
      </c>
      <c r="E85" s="80">
        <f>'RAW IMPORT'!E75</f>
        <v>0</v>
      </c>
      <c r="F85" s="102"/>
      <c r="G85" s="66"/>
    </row>
    <row r="86" spans="1:7" ht="15" customHeight="1">
      <c r="A86" s="67">
        <f>'RAW IMPORT'!A76</f>
        <v>0</v>
      </c>
      <c r="B86" s="68">
        <f>'RAW IMPORT'!B76</f>
        <v>0</v>
      </c>
      <c r="C86" s="70">
        <f>'RAW IMPORT'!C76</f>
        <v>0</v>
      </c>
      <c r="D86" s="80">
        <f>'RAW IMPORT'!D76</f>
        <v>0</v>
      </c>
      <c r="E86" s="80">
        <f>'RAW IMPORT'!E76</f>
        <v>0</v>
      </c>
      <c r="F86" s="102"/>
      <c r="G86" s="66"/>
    </row>
    <row r="87" spans="1:7" ht="15" customHeight="1">
      <c r="A87" s="67">
        <f>'RAW IMPORT'!A77</f>
        <v>0</v>
      </c>
      <c r="B87" s="68">
        <f>'RAW IMPORT'!B77</f>
        <v>0</v>
      </c>
      <c r="C87" s="70">
        <f>'RAW IMPORT'!C77</f>
        <v>0</v>
      </c>
      <c r="D87" s="80">
        <f>'RAW IMPORT'!D77</f>
        <v>0</v>
      </c>
      <c r="E87" s="80">
        <f>'RAW IMPORT'!E77</f>
        <v>0</v>
      </c>
      <c r="F87" s="102"/>
      <c r="G87" s="66"/>
    </row>
    <row r="88" spans="1:7" ht="15" customHeight="1">
      <c r="A88" s="67">
        <f>'RAW IMPORT'!A78</f>
        <v>0</v>
      </c>
      <c r="B88" s="68">
        <f>'RAW IMPORT'!B78</f>
        <v>0</v>
      </c>
      <c r="C88" s="70">
        <f>'RAW IMPORT'!C78</f>
        <v>0</v>
      </c>
      <c r="D88" s="80">
        <f>'RAW IMPORT'!D78</f>
        <v>0</v>
      </c>
      <c r="E88" s="80">
        <f>'RAW IMPORT'!E78</f>
        <v>0</v>
      </c>
      <c r="F88" s="102"/>
      <c r="G88" s="66"/>
    </row>
    <row r="89" spans="1:7" ht="15" customHeight="1">
      <c r="A89" s="67">
        <f>'RAW IMPORT'!A79</f>
        <v>0</v>
      </c>
      <c r="B89" s="68">
        <f>'RAW IMPORT'!B79</f>
        <v>0</v>
      </c>
      <c r="C89" s="70">
        <f>'RAW IMPORT'!C79</f>
        <v>0</v>
      </c>
      <c r="D89" s="80">
        <f>'RAW IMPORT'!D79</f>
        <v>0</v>
      </c>
      <c r="E89" s="80">
        <f>'RAW IMPORT'!E79</f>
        <v>0</v>
      </c>
      <c r="F89" s="102"/>
      <c r="G89" s="66"/>
    </row>
    <row r="90" spans="1:7" ht="15" customHeight="1">
      <c r="A90" s="67">
        <f>'RAW IMPORT'!A80</f>
        <v>0</v>
      </c>
      <c r="B90" s="68">
        <f>'RAW IMPORT'!B80</f>
        <v>0</v>
      </c>
      <c r="C90" s="70">
        <f>'RAW IMPORT'!C80</f>
        <v>0</v>
      </c>
      <c r="D90" s="80">
        <f>'RAW IMPORT'!D80</f>
        <v>0</v>
      </c>
      <c r="E90" s="80">
        <f>'RAW IMPORT'!E80</f>
        <v>0</v>
      </c>
      <c r="F90" s="102"/>
      <c r="G90" s="66"/>
    </row>
    <row r="91" spans="1:7" ht="15" customHeight="1">
      <c r="A91" s="67">
        <f>'RAW IMPORT'!A81</f>
        <v>0</v>
      </c>
      <c r="B91" s="68">
        <f>'RAW IMPORT'!B81</f>
        <v>0</v>
      </c>
      <c r="C91" s="70">
        <f>'RAW IMPORT'!C81</f>
        <v>0</v>
      </c>
      <c r="D91" s="80">
        <f>'RAW IMPORT'!D81</f>
        <v>0</v>
      </c>
      <c r="E91" s="80">
        <f>'RAW IMPORT'!E81</f>
        <v>0</v>
      </c>
      <c r="F91" s="102"/>
      <c r="G91" s="66"/>
    </row>
    <row r="92" spans="1:7" ht="15" customHeight="1">
      <c r="A92" s="67">
        <f>'RAW IMPORT'!A82</f>
        <v>0</v>
      </c>
      <c r="B92" s="68">
        <f>'RAW IMPORT'!B82</f>
        <v>0</v>
      </c>
      <c r="C92" s="70">
        <f>'RAW IMPORT'!C82</f>
        <v>0</v>
      </c>
      <c r="D92" s="80">
        <f>'RAW IMPORT'!D82</f>
        <v>0</v>
      </c>
      <c r="E92" s="80">
        <f>'RAW IMPORT'!E82</f>
        <v>0</v>
      </c>
      <c r="F92" s="102"/>
      <c r="G92" s="66"/>
    </row>
    <row r="93" spans="1:7" ht="15" customHeight="1">
      <c r="A93" s="67">
        <f>'RAW IMPORT'!A83</f>
        <v>0</v>
      </c>
      <c r="B93" s="68">
        <f>'RAW IMPORT'!B83</f>
        <v>0</v>
      </c>
      <c r="C93" s="70">
        <f>'RAW IMPORT'!C83</f>
        <v>0</v>
      </c>
      <c r="D93" s="80">
        <f>'RAW IMPORT'!D83</f>
        <v>0</v>
      </c>
      <c r="E93" s="80">
        <f>'RAW IMPORT'!E83</f>
        <v>0</v>
      </c>
      <c r="F93" s="102"/>
      <c r="G93" s="66"/>
    </row>
    <row r="94" spans="1:7" ht="15" customHeight="1">
      <c r="A94" s="67">
        <f>'RAW IMPORT'!A84</f>
        <v>0</v>
      </c>
      <c r="B94" s="68">
        <f>'RAW IMPORT'!B84</f>
        <v>0</v>
      </c>
      <c r="C94" s="70">
        <f>'RAW IMPORT'!C84</f>
        <v>0</v>
      </c>
      <c r="D94" s="80">
        <f>'RAW IMPORT'!D84</f>
        <v>0</v>
      </c>
      <c r="E94" s="80">
        <f>'RAW IMPORT'!E84</f>
        <v>0</v>
      </c>
      <c r="F94" s="102"/>
      <c r="G94" s="66"/>
    </row>
    <row r="95" spans="1:7" ht="15" customHeight="1">
      <c r="A95" s="67">
        <f>'RAW IMPORT'!A85</f>
        <v>0</v>
      </c>
      <c r="B95" s="68">
        <f>'RAW IMPORT'!B85</f>
        <v>0</v>
      </c>
      <c r="C95" s="70">
        <f>'RAW IMPORT'!C85</f>
        <v>0</v>
      </c>
      <c r="D95" s="80">
        <f>'RAW IMPORT'!D85</f>
        <v>0</v>
      </c>
      <c r="E95" s="80">
        <f>'RAW IMPORT'!E85</f>
        <v>0</v>
      </c>
      <c r="F95" s="102"/>
      <c r="G95" s="66"/>
    </row>
    <row r="96" spans="1:7" ht="15" customHeight="1">
      <c r="A96" s="67">
        <f>'RAW IMPORT'!A86</f>
        <v>0</v>
      </c>
      <c r="B96" s="68">
        <f>'RAW IMPORT'!B86</f>
        <v>0</v>
      </c>
      <c r="C96" s="70">
        <f>'RAW IMPORT'!C86</f>
        <v>0</v>
      </c>
      <c r="D96" s="80">
        <f>'RAW IMPORT'!D86</f>
        <v>0</v>
      </c>
      <c r="E96" s="80">
        <f>'RAW IMPORT'!E86</f>
        <v>0</v>
      </c>
      <c r="F96" s="102"/>
      <c r="G96" s="66"/>
    </row>
    <row r="97" spans="1:7" ht="15" customHeight="1">
      <c r="A97" s="67">
        <f>'RAW IMPORT'!A87</f>
        <v>0</v>
      </c>
      <c r="B97" s="68">
        <f>'RAW IMPORT'!B87</f>
        <v>0</v>
      </c>
      <c r="C97" s="70">
        <f>'RAW IMPORT'!C87</f>
        <v>0</v>
      </c>
      <c r="D97" s="80">
        <f>'RAW IMPORT'!D87</f>
        <v>0</v>
      </c>
      <c r="E97" s="80">
        <f>'RAW IMPORT'!E87</f>
        <v>0</v>
      </c>
      <c r="F97" s="102"/>
      <c r="G97" s="66"/>
    </row>
    <row r="98" spans="1:7" ht="15" customHeight="1">
      <c r="A98" s="67">
        <f>'RAW IMPORT'!A88</f>
        <v>0</v>
      </c>
      <c r="B98" s="68">
        <f>'RAW IMPORT'!B88</f>
        <v>0</v>
      </c>
      <c r="C98" s="70">
        <f>'RAW IMPORT'!C88</f>
        <v>0</v>
      </c>
      <c r="D98" s="80">
        <f>'RAW IMPORT'!D88</f>
        <v>0</v>
      </c>
      <c r="E98" s="80">
        <f>'RAW IMPORT'!E88</f>
        <v>0</v>
      </c>
      <c r="F98" s="102"/>
      <c r="G98" s="66"/>
    </row>
    <row r="99" spans="1:7" ht="15" customHeight="1">
      <c r="A99" s="67">
        <f>'RAW IMPORT'!A89</f>
        <v>0</v>
      </c>
      <c r="B99" s="68">
        <f>'RAW IMPORT'!B89</f>
        <v>0</v>
      </c>
      <c r="C99" s="70">
        <f>'RAW IMPORT'!C89</f>
        <v>0</v>
      </c>
      <c r="D99" s="80">
        <f>'RAW IMPORT'!D89</f>
        <v>0</v>
      </c>
      <c r="E99" s="80">
        <f>'RAW IMPORT'!E89</f>
        <v>0</v>
      </c>
      <c r="F99" s="102"/>
      <c r="G99" s="66"/>
    </row>
    <row r="100" spans="1:7" ht="15" customHeight="1">
      <c r="A100" s="67">
        <f>'RAW IMPORT'!A90</f>
        <v>0</v>
      </c>
      <c r="B100" s="68">
        <f>'RAW IMPORT'!B90</f>
        <v>0</v>
      </c>
      <c r="C100" s="70">
        <f>'RAW IMPORT'!C90</f>
        <v>0</v>
      </c>
      <c r="D100" s="80">
        <f>'RAW IMPORT'!D90</f>
        <v>0</v>
      </c>
      <c r="E100" s="80">
        <f>'RAW IMPORT'!E90</f>
        <v>0</v>
      </c>
      <c r="F100" s="102"/>
      <c r="G100" s="66"/>
    </row>
    <row r="101" spans="1:7">
      <c r="A101" s="67">
        <f>'RAW IMPORT'!A91</f>
        <v>0</v>
      </c>
      <c r="B101" s="68">
        <f>'RAW IMPORT'!B91</f>
        <v>0</v>
      </c>
      <c r="C101" s="70">
        <f>'RAW IMPORT'!C91</f>
        <v>0</v>
      </c>
      <c r="D101" s="80">
        <f>'RAW IMPORT'!D91</f>
        <v>0</v>
      </c>
      <c r="E101" s="80">
        <f>'RAW IMPORT'!E91</f>
        <v>0</v>
      </c>
      <c r="F101" s="102"/>
      <c r="G101" s="66"/>
    </row>
    <row r="102" spans="1:7" ht="15.75" customHeight="1">
      <c r="A102" s="67">
        <f>'RAW IMPORT'!A92</f>
        <v>0</v>
      </c>
      <c r="B102" s="68">
        <f>'RAW IMPORT'!B92</f>
        <v>0</v>
      </c>
      <c r="C102" s="70">
        <f>'RAW IMPORT'!C92</f>
        <v>0</v>
      </c>
      <c r="D102" s="80">
        <f>'RAW IMPORT'!D92</f>
        <v>0</v>
      </c>
      <c r="E102" s="80">
        <f>'RAW IMPORT'!E92</f>
        <v>0</v>
      </c>
      <c r="F102" s="102"/>
      <c r="G102" s="66"/>
    </row>
    <row r="103" spans="1:7" ht="15.75" customHeight="1">
      <c r="A103" s="67">
        <f>'RAW IMPORT'!A93</f>
        <v>0</v>
      </c>
      <c r="B103" s="68">
        <f>'RAW IMPORT'!B93</f>
        <v>0</v>
      </c>
      <c r="C103" s="70">
        <f>'RAW IMPORT'!C93</f>
        <v>0</v>
      </c>
      <c r="D103" s="80">
        <f>'RAW IMPORT'!D93</f>
        <v>0</v>
      </c>
      <c r="E103" s="80">
        <f>'RAW IMPORT'!E93</f>
        <v>0</v>
      </c>
      <c r="F103" s="102"/>
      <c r="G103" s="66"/>
    </row>
    <row r="104" spans="1:7" ht="15.75" customHeight="1">
      <c r="A104" s="67">
        <f>'RAW IMPORT'!A94</f>
        <v>0</v>
      </c>
      <c r="B104" s="68">
        <f>'RAW IMPORT'!B94</f>
        <v>0</v>
      </c>
      <c r="C104" s="70">
        <f>'RAW IMPORT'!C94</f>
        <v>0</v>
      </c>
      <c r="D104" s="80">
        <f>'RAW IMPORT'!D94</f>
        <v>0</v>
      </c>
      <c r="E104" s="80">
        <f>'RAW IMPORT'!E94</f>
        <v>0</v>
      </c>
      <c r="F104" s="102"/>
      <c r="G104" s="66"/>
    </row>
    <row r="105" spans="1:7" ht="15.75" customHeight="1">
      <c r="A105" s="67">
        <f>'RAW IMPORT'!A95</f>
        <v>0</v>
      </c>
      <c r="B105" s="68">
        <f>'RAW IMPORT'!B95</f>
        <v>0</v>
      </c>
      <c r="C105" s="70">
        <f>'RAW IMPORT'!C95</f>
        <v>0</v>
      </c>
      <c r="D105" s="80">
        <f>'RAW IMPORT'!D95</f>
        <v>0</v>
      </c>
      <c r="E105" s="80">
        <f>'RAW IMPORT'!E95</f>
        <v>0</v>
      </c>
      <c r="F105" s="102"/>
      <c r="G105" s="66"/>
    </row>
    <row r="106" spans="1:7" ht="15.75" customHeight="1">
      <c r="A106" s="67">
        <f>'RAW IMPORT'!A96</f>
        <v>0</v>
      </c>
      <c r="B106" s="68">
        <f>'RAW IMPORT'!B96</f>
        <v>0</v>
      </c>
      <c r="C106" s="70">
        <f>'RAW IMPORT'!C96</f>
        <v>0</v>
      </c>
      <c r="D106" s="80">
        <f>'RAW IMPORT'!D96</f>
        <v>0</v>
      </c>
      <c r="E106" s="80">
        <f>'RAW IMPORT'!E96</f>
        <v>0</v>
      </c>
      <c r="F106" s="102"/>
      <c r="G106" s="66"/>
    </row>
    <row r="107" spans="1:7" ht="15.75" customHeight="1">
      <c r="A107" s="67">
        <f>'RAW IMPORT'!A97</f>
        <v>0</v>
      </c>
      <c r="B107" s="68">
        <f>'RAW IMPORT'!B97</f>
        <v>0</v>
      </c>
      <c r="C107" s="70">
        <f>'RAW IMPORT'!C97</f>
        <v>0</v>
      </c>
      <c r="D107" s="80">
        <f>'RAW IMPORT'!D97</f>
        <v>0</v>
      </c>
      <c r="E107" s="80">
        <f>'RAW IMPORT'!E97</f>
        <v>0</v>
      </c>
      <c r="F107" s="102"/>
      <c r="G107" s="66"/>
    </row>
    <row r="108" spans="1:7" ht="15.75" customHeight="1">
      <c r="A108" s="67">
        <f>'RAW IMPORT'!A98</f>
        <v>0</v>
      </c>
      <c r="B108" s="68">
        <f>'RAW IMPORT'!B98</f>
        <v>0</v>
      </c>
      <c r="C108" s="70">
        <f>'RAW IMPORT'!C98</f>
        <v>0</v>
      </c>
      <c r="D108" s="80">
        <f>'RAW IMPORT'!D98</f>
        <v>0</v>
      </c>
      <c r="E108" s="80">
        <f>'RAW IMPORT'!E98</f>
        <v>0</v>
      </c>
      <c r="F108" s="102"/>
      <c r="G108" s="66"/>
    </row>
    <row r="109" spans="1:7" ht="15.75" customHeight="1">
      <c r="A109" s="67">
        <f>'RAW IMPORT'!A99</f>
        <v>0</v>
      </c>
      <c r="B109" s="68">
        <f>'RAW IMPORT'!B99</f>
        <v>0</v>
      </c>
      <c r="C109" s="70">
        <f>'RAW IMPORT'!C99</f>
        <v>0</v>
      </c>
      <c r="D109" s="80">
        <f>'RAW IMPORT'!D99</f>
        <v>0</v>
      </c>
      <c r="E109" s="80">
        <f>'RAW IMPORT'!E99</f>
        <v>0</v>
      </c>
      <c r="F109" s="102"/>
      <c r="G109" s="66"/>
    </row>
    <row r="110" spans="1:7" ht="15.75" customHeight="1">
      <c r="A110" s="67">
        <f>'RAW IMPORT'!A100</f>
        <v>0</v>
      </c>
      <c r="B110" s="68">
        <f>'RAW IMPORT'!B100</f>
        <v>0</v>
      </c>
      <c r="C110" s="70">
        <f>'RAW IMPORT'!C100</f>
        <v>0</v>
      </c>
      <c r="D110" s="80">
        <f>'RAW IMPORT'!D100</f>
        <v>0</v>
      </c>
      <c r="E110" s="80">
        <f>'RAW IMPORT'!E100</f>
        <v>0</v>
      </c>
      <c r="F110" s="102"/>
      <c r="G110" s="66"/>
    </row>
    <row r="111" spans="1:7" ht="15.75" customHeight="1">
      <c r="A111" s="67">
        <f>'RAW IMPORT'!A101</f>
        <v>0</v>
      </c>
      <c r="B111" s="68">
        <f>'RAW IMPORT'!B101</f>
        <v>0</v>
      </c>
      <c r="C111" s="70">
        <f>'RAW IMPORT'!C101</f>
        <v>0</v>
      </c>
      <c r="D111" s="80">
        <f>'RAW IMPORT'!D101</f>
        <v>0</v>
      </c>
      <c r="E111" s="80">
        <f>'RAW IMPORT'!E101</f>
        <v>0</v>
      </c>
      <c r="F111" s="102"/>
      <c r="G111" s="66"/>
    </row>
    <row r="112" spans="1:7" ht="15.75" customHeight="1">
      <c r="A112" s="67">
        <f>'RAW IMPORT'!A102</f>
        <v>0</v>
      </c>
      <c r="B112" s="68">
        <f>'RAW IMPORT'!B102</f>
        <v>0</v>
      </c>
      <c r="C112" s="70">
        <f>'RAW IMPORT'!C102</f>
        <v>0</v>
      </c>
      <c r="D112" s="80">
        <f>'RAW IMPORT'!D102</f>
        <v>0</v>
      </c>
      <c r="E112" s="80">
        <f>'RAW IMPORT'!E102</f>
        <v>0</v>
      </c>
      <c r="F112" s="102"/>
      <c r="G112" s="66"/>
    </row>
    <row r="113" spans="1:7" ht="15.75" customHeight="1">
      <c r="A113" s="67">
        <f>'RAW IMPORT'!A103</f>
        <v>0</v>
      </c>
      <c r="B113" s="68">
        <f>'RAW IMPORT'!B103</f>
        <v>0</v>
      </c>
      <c r="C113" s="70">
        <f>'RAW IMPORT'!C103</f>
        <v>0</v>
      </c>
      <c r="D113" s="80">
        <f>'RAW IMPORT'!D103</f>
        <v>0</v>
      </c>
      <c r="E113" s="80">
        <f>'RAW IMPORT'!E103</f>
        <v>0</v>
      </c>
      <c r="F113" s="102"/>
      <c r="G113" s="66"/>
    </row>
    <row r="114" spans="1:7" ht="15.75" customHeight="1">
      <c r="A114" s="67">
        <f>'RAW IMPORT'!A104</f>
        <v>0</v>
      </c>
      <c r="B114" s="68">
        <f>'RAW IMPORT'!B104</f>
        <v>0</v>
      </c>
      <c r="C114" s="70">
        <f>'RAW IMPORT'!C104</f>
        <v>0</v>
      </c>
      <c r="D114" s="80">
        <f>'RAW IMPORT'!D104</f>
        <v>0</v>
      </c>
      <c r="E114" s="80">
        <f>'RAW IMPORT'!E104</f>
        <v>0</v>
      </c>
      <c r="F114" s="102"/>
      <c r="G114" s="66"/>
    </row>
    <row r="115" spans="1:7" ht="15.75" customHeight="1">
      <c r="A115" s="67">
        <f>'RAW IMPORT'!A105</f>
        <v>0</v>
      </c>
      <c r="B115" s="68">
        <f>'RAW IMPORT'!B105</f>
        <v>0</v>
      </c>
      <c r="C115" s="70">
        <f>'RAW IMPORT'!C105</f>
        <v>0</v>
      </c>
      <c r="D115" s="80">
        <f>'RAW IMPORT'!D105</f>
        <v>0</v>
      </c>
      <c r="E115" s="80">
        <f>'RAW IMPORT'!E105</f>
        <v>0</v>
      </c>
      <c r="F115" s="102"/>
      <c r="G115" s="66"/>
    </row>
    <row r="116" spans="1:7" ht="15.75" customHeight="1">
      <c r="A116" s="67">
        <f>'RAW IMPORT'!A106</f>
        <v>0</v>
      </c>
      <c r="B116" s="68">
        <f>'RAW IMPORT'!B106</f>
        <v>0</v>
      </c>
      <c r="C116" s="70">
        <f>'RAW IMPORT'!C106</f>
        <v>0</v>
      </c>
      <c r="D116" s="80">
        <f>'RAW IMPORT'!D106</f>
        <v>0</v>
      </c>
      <c r="E116" s="80">
        <f>'RAW IMPORT'!E106</f>
        <v>0</v>
      </c>
      <c r="F116" s="102"/>
      <c r="G116" s="66"/>
    </row>
    <row r="117" spans="1:7" ht="15.75" customHeight="1">
      <c r="A117" s="67">
        <f>'RAW IMPORT'!A107</f>
        <v>0</v>
      </c>
      <c r="B117" s="68">
        <f>'RAW IMPORT'!B107</f>
        <v>0</v>
      </c>
      <c r="C117" s="70">
        <f>'RAW IMPORT'!C107</f>
        <v>0</v>
      </c>
      <c r="D117" s="80">
        <f>'RAW IMPORT'!D107</f>
        <v>0</v>
      </c>
      <c r="E117" s="80">
        <f>'RAW IMPORT'!E107</f>
        <v>0</v>
      </c>
      <c r="F117" s="102"/>
      <c r="G117" s="66"/>
    </row>
    <row r="118" spans="1:7" ht="15.75" customHeight="1">
      <c r="A118" s="67">
        <f>'RAW IMPORT'!A108</f>
        <v>0</v>
      </c>
      <c r="B118" s="68">
        <f>'RAW IMPORT'!B108</f>
        <v>0</v>
      </c>
      <c r="C118" s="70">
        <f>'RAW IMPORT'!C108</f>
        <v>0</v>
      </c>
      <c r="D118" s="80">
        <f>'RAW IMPORT'!D108</f>
        <v>0</v>
      </c>
      <c r="E118" s="80">
        <f>'RAW IMPORT'!E108</f>
        <v>0</v>
      </c>
      <c r="F118" s="102"/>
      <c r="G118" s="66"/>
    </row>
    <row r="119" spans="1:7">
      <c r="A119" s="67">
        <f>'RAW IMPORT'!A109</f>
        <v>0</v>
      </c>
      <c r="B119" s="68">
        <f>'RAW IMPORT'!B109</f>
        <v>0</v>
      </c>
      <c r="C119" s="70">
        <f>'RAW IMPORT'!C109</f>
        <v>0</v>
      </c>
      <c r="D119" s="80">
        <f>'RAW IMPORT'!D109</f>
        <v>0</v>
      </c>
      <c r="E119" s="80">
        <f>'RAW IMPORT'!E109</f>
        <v>0</v>
      </c>
      <c r="F119" s="102"/>
      <c r="G119" s="66"/>
    </row>
    <row r="120" spans="1:7">
      <c r="A120" s="67">
        <f>'RAW IMPORT'!A110</f>
        <v>0</v>
      </c>
      <c r="B120" s="68">
        <f>'RAW IMPORT'!B110</f>
        <v>0</v>
      </c>
      <c r="C120" s="70">
        <f>'RAW IMPORT'!C110</f>
        <v>0</v>
      </c>
      <c r="D120" s="80">
        <f>'RAW IMPORT'!D110</f>
        <v>0</v>
      </c>
      <c r="E120" s="80">
        <f>'RAW IMPORT'!E110</f>
        <v>0</v>
      </c>
      <c r="F120" s="102"/>
      <c r="G120" s="66"/>
    </row>
    <row r="121" spans="1:7">
      <c r="A121" s="67">
        <f>'RAW IMPORT'!A111</f>
        <v>0</v>
      </c>
      <c r="B121" s="68">
        <f>'RAW IMPORT'!B111</f>
        <v>0</v>
      </c>
      <c r="C121" s="70">
        <f>'RAW IMPORT'!C111</f>
        <v>0</v>
      </c>
      <c r="D121" s="80">
        <f>'RAW IMPORT'!D111</f>
        <v>0</v>
      </c>
      <c r="E121" s="80">
        <f>'RAW IMPORT'!E111</f>
        <v>0</v>
      </c>
      <c r="F121" s="102"/>
      <c r="G121" s="66"/>
    </row>
    <row r="122" spans="1:7" ht="15" thickBot="1">
      <c r="A122" s="96">
        <f>'RAW IMPORT'!A112</f>
        <v>0</v>
      </c>
      <c r="B122" s="97">
        <f>'RAW IMPORT'!B112</f>
        <v>0</v>
      </c>
      <c r="C122" s="98">
        <f>'RAW IMPORT'!C112</f>
        <v>0</v>
      </c>
      <c r="D122" s="118">
        <f>'RAW IMPORT'!D112</f>
        <v>0</v>
      </c>
      <c r="E122" s="89">
        <f>'RAW IMPORT'!E112</f>
        <v>0</v>
      </c>
      <c r="F122" s="102"/>
      <c r="G122" s="66"/>
    </row>
    <row r="123" spans="1:7" ht="15" thickTop="1">
      <c r="A123" s="100"/>
      <c r="B123" s="100"/>
      <c r="C123" s="101"/>
      <c r="D123" s="101"/>
      <c r="E123" s="101"/>
    </row>
    <row r="124" spans="1:7">
      <c r="A124" s="66"/>
      <c r="B124" s="66"/>
      <c r="C124" s="90"/>
      <c r="D124" s="117"/>
      <c r="E124" s="90"/>
      <c r="F124" s="66"/>
      <c r="G124" s="66"/>
    </row>
    <row r="125" spans="1:7">
      <c r="A125" s="66"/>
      <c r="B125" s="66"/>
      <c r="C125" s="90"/>
      <c r="D125" s="117"/>
      <c r="E125" s="90"/>
      <c r="F125" s="66"/>
      <c r="G125" s="66"/>
    </row>
    <row r="126" spans="1:7">
      <c r="A126" s="66"/>
      <c r="B126" s="66"/>
      <c r="C126" s="90"/>
      <c r="D126" s="117"/>
      <c r="E126" s="90"/>
      <c r="F126" s="66"/>
      <c r="G126" s="66"/>
    </row>
    <row r="127" spans="1:7">
      <c r="A127" s="66"/>
      <c r="B127" s="66"/>
      <c r="C127" s="90"/>
      <c r="D127" s="117"/>
      <c r="E127" s="90"/>
      <c r="F127" s="66"/>
      <c r="G127" s="66"/>
    </row>
    <row r="128" spans="1:7">
      <c r="A128" s="66"/>
      <c r="B128" s="66"/>
      <c r="C128" s="90"/>
      <c r="D128" s="117"/>
      <c r="E128" s="90"/>
      <c r="F128" s="66"/>
      <c r="G128" s="66"/>
    </row>
    <row r="129" spans="1:7">
      <c r="A129" s="65"/>
      <c r="B129" s="66"/>
      <c r="C129" s="90"/>
      <c r="D129" s="117"/>
      <c r="E129" s="90"/>
      <c r="F129" s="66"/>
      <c r="G129" s="66"/>
    </row>
    <row r="130" spans="1:7">
      <c r="A130" s="65"/>
      <c r="B130" s="66"/>
      <c r="C130" s="90"/>
      <c r="D130" s="117"/>
      <c r="E130" s="90"/>
      <c r="F130" s="66"/>
      <c r="G130" s="66"/>
    </row>
    <row r="131" spans="1:7">
      <c r="A131" s="65"/>
      <c r="B131" s="66"/>
      <c r="C131" s="90"/>
      <c r="D131" s="117"/>
      <c r="E131" s="90"/>
      <c r="F131" s="66"/>
      <c r="G131" s="66"/>
    </row>
    <row r="132" spans="1:7">
      <c r="A132" s="65"/>
      <c r="B132" s="66"/>
      <c r="C132" s="90"/>
      <c r="D132" s="117"/>
      <c r="E132" s="90"/>
      <c r="F132" s="66"/>
      <c r="G132" s="66"/>
    </row>
    <row r="133" spans="1:7">
      <c r="A133" s="65"/>
      <c r="B133" s="66"/>
      <c r="C133" s="90"/>
      <c r="D133" s="117"/>
      <c r="E133" s="90"/>
      <c r="F133" s="66"/>
      <c r="G133" s="66"/>
    </row>
    <row r="134" spans="1:7">
      <c r="A134" s="65"/>
      <c r="B134" s="66"/>
      <c r="C134" s="90"/>
      <c r="D134" s="117"/>
      <c r="E134" s="90"/>
      <c r="F134" s="66"/>
      <c r="G134" s="66"/>
    </row>
    <row r="135" spans="1:7">
      <c r="A135" s="65"/>
      <c r="B135" s="66"/>
      <c r="C135" s="90"/>
      <c r="D135" s="117"/>
      <c r="E135" s="90"/>
      <c r="F135" s="66"/>
      <c r="G135" s="66"/>
    </row>
    <row r="136" spans="1:7">
      <c r="A136" s="65"/>
      <c r="B136" s="66"/>
      <c r="C136" s="90"/>
      <c r="D136" s="117"/>
      <c r="E136" s="90"/>
      <c r="F136" s="66"/>
      <c r="G136" s="66"/>
    </row>
    <row r="137" spans="1:7">
      <c r="A137" s="65"/>
      <c r="B137" s="66"/>
      <c r="C137" s="90"/>
      <c r="D137" s="117"/>
      <c r="E137" s="90"/>
      <c r="F137" s="66"/>
      <c r="G137" s="66"/>
    </row>
    <row r="138" spans="1:7">
      <c r="A138" s="65"/>
      <c r="B138" s="66"/>
      <c r="C138" s="90"/>
      <c r="D138" s="117"/>
      <c r="E138" s="90"/>
      <c r="F138" s="66"/>
      <c r="G138" s="66"/>
    </row>
    <row r="139" spans="1:7">
      <c r="A139" s="65"/>
      <c r="B139" s="66"/>
      <c r="C139" s="90"/>
      <c r="D139" s="117"/>
      <c r="E139" s="90"/>
      <c r="F139" s="66"/>
      <c r="G139" s="66"/>
    </row>
    <row r="140" spans="1:7">
      <c r="A140" s="65"/>
      <c r="B140" s="66"/>
      <c r="C140" s="90"/>
      <c r="D140" s="117"/>
      <c r="E140" s="90"/>
      <c r="F140" s="66"/>
      <c r="G140" s="66"/>
    </row>
    <row r="141" spans="1:7">
      <c r="A141" s="65"/>
      <c r="B141" s="66"/>
      <c r="C141" s="90"/>
      <c r="D141" s="117"/>
      <c r="E141" s="90"/>
      <c r="F141" s="66"/>
      <c r="G141" s="66"/>
    </row>
    <row r="142" spans="1:7">
      <c r="A142" s="65"/>
      <c r="B142" s="66"/>
      <c r="C142" s="90"/>
      <c r="D142" s="117"/>
      <c r="E142" s="90"/>
      <c r="F142" s="66"/>
      <c r="G142" s="66"/>
    </row>
    <row r="143" spans="1:7">
      <c r="A143" s="65"/>
      <c r="B143" s="66"/>
      <c r="C143" s="90"/>
      <c r="D143" s="117"/>
      <c r="E143" s="90"/>
      <c r="F143" s="66"/>
      <c r="G143" s="66"/>
    </row>
    <row r="144" spans="1:7">
      <c r="A144" s="65"/>
      <c r="B144" s="66"/>
      <c r="C144" s="90"/>
      <c r="D144" s="117"/>
      <c r="E144" s="90"/>
      <c r="F144" s="66"/>
      <c r="G144" s="66"/>
    </row>
    <row r="145" spans="1:7">
      <c r="A145" s="65"/>
      <c r="B145" s="66"/>
      <c r="C145" s="90"/>
      <c r="D145" s="117"/>
      <c r="E145" s="90"/>
      <c r="F145" s="66"/>
      <c r="G145" s="66"/>
    </row>
    <row r="146" spans="1:7">
      <c r="A146" s="65"/>
      <c r="B146" s="66"/>
      <c r="C146" s="90"/>
      <c r="D146" s="117"/>
      <c r="E146" s="90"/>
      <c r="F146" s="66"/>
      <c r="G146" s="66"/>
    </row>
    <row r="147" spans="1:7">
      <c r="A147" s="65"/>
      <c r="B147" s="66"/>
      <c r="C147" s="90"/>
      <c r="D147" s="117"/>
      <c r="E147" s="90"/>
      <c r="F147" s="66"/>
      <c r="G147" s="66"/>
    </row>
    <row r="148" spans="1:7">
      <c r="A148" s="65"/>
      <c r="B148" s="66"/>
      <c r="C148" s="90"/>
      <c r="D148" s="117"/>
      <c r="E148" s="90"/>
      <c r="F148" s="66"/>
      <c r="G148" s="66"/>
    </row>
    <row r="149" spans="1:7">
      <c r="A149" s="65"/>
      <c r="B149" s="66"/>
      <c r="C149" s="90"/>
      <c r="D149" s="117"/>
      <c r="E149" s="90"/>
      <c r="F149" s="66"/>
      <c r="G149" s="66"/>
    </row>
    <row r="150" spans="1:7">
      <c r="A150" s="65"/>
      <c r="B150" s="66"/>
      <c r="C150" s="90"/>
      <c r="D150" s="117"/>
      <c r="E150" s="90"/>
      <c r="F150" s="66"/>
      <c r="G150" s="66"/>
    </row>
    <row r="151" spans="1:7">
      <c r="A151" s="65"/>
      <c r="B151" s="66"/>
      <c r="C151" s="90"/>
      <c r="D151" s="117"/>
      <c r="E151" s="90"/>
      <c r="F151" s="66"/>
      <c r="G151" s="66"/>
    </row>
    <row r="152" spans="1:7">
      <c r="A152" s="65"/>
      <c r="B152" s="66"/>
      <c r="C152" s="90"/>
      <c r="D152" s="117"/>
      <c r="E152" s="90"/>
      <c r="F152" s="66"/>
      <c r="G152" s="66"/>
    </row>
    <row r="153" spans="1:7">
      <c r="A153" s="65"/>
      <c r="B153" s="66"/>
      <c r="C153" s="90"/>
      <c r="D153" s="117"/>
      <c r="E153" s="90"/>
      <c r="F153" s="66"/>
      <c r="G153" s="66"/>
    </row>
    <row r="154" spans="1:7">
      <c r="A154" s="65"/>
      <c r="B154" s="66"/>
      <c r="C154" s="90"/>
      <c r="D154" s="117"/>
      <c r="E154" s="90"/>
      <c r="F154" s="66"/>
      <c r="G154" s="66"/>
    </row>
    <row r="155" spans="1:7">
      <c r="A155" s="65"/>
      <c r="B155" s="66"/>
      <c r="C155" s="90"/>
      <c r="D155" s="117"/>
      <c r="E155" s="90"/>
      <c r="F155" s="66"/>
      <c r="G155" s="66"/>
    </row>
    <row r="156" spans="1:7">
      <c r="A156" s="65"/>
      <c r="B156" s="66"/>
      <c r="C156" s="90"/>
      <c r="D156" s="117"/>
      <c r="E156" s="90"/>
      <c r="F156" s="66"/>
      <c r="G156" s="66"/>
    </row>
    <row r="157" spans="1:7">
      <c r="A157" s="65"/>
      <c r="B157" s="66"/>
      <c r="C157" s="90"/>
      <c r="D157" s="117"/>
      <c r="E157" s="90"/>
      <c r="F157" s="66"/>
      <c r="G157" s="66"/>
    </row>
    <row r="158" spans="1:7">
      <c r="A158" s="65"/>
      <c r="B158" s="66"/>
      <c r="C158" s="90"/>
      <c r="D158" s="117"/>
      <c r="E158" s="90"/>
      <c r="F158" s="66"/>
      <c r="G158" s="66"/>
    </row>
    <row r="159" spans="1:7">
      <c r="A159" s="65"/>
      <c r="B159" s="66"/>
      <c r="C159" s="90"/>
      <c r="D159" s="117"/>
      <c r="E159" s="90"/>
      <c r="F159" s="66"/>
      <c r="G159" s="66"/>
    </row>
    <row r="160" spans="1:7">
      <c r="A160" s="65"/>
      <c r="B160" s="66"/>
      <c r="C160" s="90"/>
      <c r="D160" s="117"/>
      <c r="E160" s="90"/>
      <c r="F160" s="66"/>
      <c r="G160" s="66"/>
    </row>
    <row r="161" spans="1:7">
      <c r="A161" s="65"/>
      <c r="B161" s="66"/>
      <c r="C161" s="90"/>
      <c r="D161" s="117"/>
      <c r="E161" s="90"/>
      <c r="F161" s="66"/>
      <c r="G161" s="66"/>
    </row>
    <row r="162" spans="1:7">
      <c r="A162" s="65"/>
      <c r="B162" s="66"/>
      <c r="C162" s="90"/>
      <c r="D162" s="117"/>
      <c r="E162" s="90"/>
      <c r="F162" s="66"/>
      <c r="G162" s="66"/>
    </row>
    <row r="163" spans="1:7">
      <c r="A163" s="65"/>
      <c r="B163" s="66"/>
      <c r="C163" s="90"/>
      <c r="D163" s="117"/>
      <c r="E163" s="90"/>
      <c r="F163" s="66"/>
      <c r="G163" s="66"/>
    </row>
    <row r="164" spans="1:7">
      <c r="A164" s="65"/>
      <c r="B164" s="66"/>
      <c r="C164" s="90"/>
      <c r="D164" s="117"/>
      <c r="E164" s="90"/>
      <c r="F164" s="66"/>
      <c r="G164" s="66"/>
    </row>
    <row r="165" spans="1:7">
      <c r="A165" s="65"/>
      <c r="B165" s="66"/>
      <c r="C165" s="90"/>
      <c r="D165" s="117"/>
      <c r="E165" s="90"/>
      <c r="F165" s="66"/>
      <c r="G165" s="66"/>
    </row>
    <row r="166" spans="1:7">
      <c r="A166" s="65"/>
      <c r="B166" s="66"/>
      <c r="C166" s="90"/>
      <c r="D166" s="117"/>
      <c r="E166" s="90"/>
      <c r="F166" s="66"/>
      <c r="G166" s="66"/>
    </row>
    <row r="167" spans="1:7">
      <c r="A167" s="65"/>
      <c r="B167" s="66"/>
      <c r="C167" s="90"/>
      <c r="D167" s="117"/>
      <c r="E167" s="90"/>
      <c r="F167" s="66"/>
      <c r="G167" s="66"/>
    </row>
    <row r="168" spans="1:7">
      <c r="A168" s="65"/>
      <c r="B168" s="66"/>
      <c r="C168" s="90"/>
      <c r="D168" s="117"/>
      <c r="E168" s="90"/>
      <c r="F168" s="66"/>
      <c r="G168" s="66"/>
    </row>
    <row r="169" spans="1:7">
      <c r="A169" s="65"/>
      <c r="B169" s="66"/>
      <c r="C169" s="90"/>
      <c r="D169" s="117"/>
      <c r="E169" s="90"/>
      <c r="F169" s="66"/>
      <c r="G169" s="66"/>
    </row>
    <row r="170" spans="1:7">
      <c r="A170" s="65"/>
      <c r="B170" s="66"/>
      <c r="C170" s="90"/>
      <c r="D170" s="117"/>
      <c r="E170" s="90"/>
      <c r="F170" s="66"/>
      <c r="G170" s="66"/>
    </row>
    <row r="171" spans="1:7">
      <c r="A171" s="65"/>
      <c r="B171" s="66"/>
      <c r="C171" s="90"/>
      <c r="D171" s="117"/>
      <c r="E171" s="90"/>
      <c r="F171" s="66"/>
      <c r="G171" s="66"/>
    </row>
    <row r="172" spans="1:7">
      <c r="A172" s="65"/>
      <c r="B172" s="66"/>
      <c r="C172" s="90"/>
      <c r="D172" s="117"/>
      <c r="E172" s="90"/>
      <c r="F172" s="66"/>
      <c r="G172" s="66"/>
    </row>
    <row r="173" spans="1:7">
      <c r="A173" s="65"/>
      <c r="B173" s="66"/>
      <c r="C173" s="90"/>
      <c r="D173" s="117"/>
      <c r="E173" s="90"/>
      <c r="F173" s="66"/>
      <c r="G173" s="66"/>
    </row>
    <row r="174" spans="1:7">
      <c r="A174" s="65"/>
      <c r="B174" s="66"/>
      <c r="C174" s="90"/>
      <c r="D174" s="117"/>
      <c r="E174" s="90"/>
      <c r="F174" s="66"/>
      <c r="G174" s="66"/>
    </row>
    <row r="175" spans="1:7">
      <c r="A175" s="65"/>
      <c r="B175" s="66"/>
      <c r="C175" s="90"/>
      <c r="D175" s="117"/>
      <c r="E175" s="90"/>
      <c r="F175" s="66"/>
      <c r="G175" s="66"/>
    </row>
    <row r="176" spans="1:7">
      <c r="A176" s="65"/>
      <c r="B176" s="66"/>
      <c r="C176" s="90"/>
      <c r="D176" s="117"/>
      <c r="E176" s="90"/>
      <c r="F176" s="66"/>
      <c r="G176" s="66"/>
    </row>
    <row r="177" spans="1:7">
      <c r="A177" s="65"/>
      <c r="B177" s="66"/>
      <c r="C177" s="90"/>
      <c r="D177" s="117"/>
      <c r="E177" s="90"/>
      <c r="F177" s="66"/>
      <c r="G177" s="66"/>
    </row>
    <row r="178" spans="1:7">
      <c r="A178" s="65"/>
      <c r="B178" s="66"/>
      <c r="C178" s="90"/>
      <c r="D178" s="117"/>
      <c r="E178" s="90"/>
      <c r="F178" s="66"/>
      <c r="G178" s="66"/>
    </row>
    <row r="179" spans="1:7">
      <c r="A179" s="65"/>
      <c r="B179" s="66"/>
      <c r="C179" s="90"/>
      <c r="D179" s="117"/>
      <c r="E179" s="90"/>
      <c r="F179" s="66"/>
      <c r="G179" s="66"/>
    </row>
    <row r="180" spans="1:7">
      <c r="A180" s="65"/>
      <c r="B180" s="66"/>
      <c r="C180" s="90"/>
      <c r="D180" s="117"/>
      <c r="E180" s="90"/>
      <c r="F180" s="66"/>
      <c r="G180" s="66"/>
    </row>
    <row r="181" spans="1:7">
      <c r="A181" s="65"/>
      <c r="B181" s="66"/>
      <c r="C181" s="90"/>
      <c r="D181" s="117"/>
      <c r="E181" s="90"/>
      <c r="F181" s="66"/>
      <c r="G181" s="66"/>
    </row>
    <row r="182" spans="1:7">
      <c r="A182" s="65"/>
      <c r="B182" s="66"/>
      <c r="C182" s="90"/>
      <c r="D182" s="117"/>
      <c r="E182" s="90"/>
      <c r="F182" s="66"/>
      <c r="G182" s="66"/>
    </row>
    <row r="183" spans="1:7">
      <c r="A183" s="65"/>
      <c r="B183" s="66"/>
      <c r="C183" s="90"/>
      <c r="D183" s="117"/>
      <c r="E183" s="90"/>
      <c r="F183" s="66"/>
      <c r="G183" s="66"/>
    </row>
    <row r="184" spans="1:7">
      <c r="A184" s="65"/>
      <c r="B184" s="66"/>
      <c r="C184" s="90"/>
      <c r="D184" s="117"/>
      <c r="E184" s="90"/>
      <c r="F184" s="66"/>
      <c r="G184" s="66"/>
    </row>
    <row r="185" spans="1:7">
      <c r="A185" s="65"/>
      <c r="B185" s="66"/>
      <c r="C185" s="90"/>
      <c r="D185" s="117"/>
      <c r="E185" s="90"/>
      <c r="F185" s="66"/>
      <c r="G185" s="66"/>
    </row>
    <row r="186" spans="1:7">
      <c r="A186" s="65"/>
      <c r="B186" s="66"/>
      <c r="C186" s="90"/>
      <c r="D186" s="117"/>
      <c r="E186" s="90"/>
      <c r="F186" s="66"/>
      <c r="G186" s="66"/>
    </row>
    <row r="187" spans="1:7">
      <c r="A187" s="65"/>
      <c r="B187" s="66"/>
      <c r="C187" s="90"/>
      <c r="D187" s="117"/>
      <c r="E187" s="90"/>
      <c r="F187" s="66"/>
      <c r="G187" s="66"/>
    </row>
    <row r="188" spans="1:7">
      <c r="A188" s="65"/>
      <c r="B188" s="66"/>
      <c r="C188" s="90"/>
      <c r="D188" s="117"/>
      <c r="E188" s="90"/>
      <c r="F188" s="66"/>
      <c r="G188" s="66"/>
    </row>
    <row r="189" spans="1:7">
      <c r="A189" s="65"/>
      <c r="B189" s="66"/>
      <c r="C189" s="90"/>
      <c r="D189" s="117"/>
      <c r="E189" s="90"/>
      <c r="F189" s="66"/>
      <c r="G189" s="66"/>
    </row>
    <row r="190" spans="1:7">
      <c r="A190" s="65"/>
      <c r="B190" s="66"/>
      <c r="C190" s="90"/>
      <c r="D190" s="117"/>
      <c r="E190" s="90"/>
      <c r="F190" s="66"/>
      <c r="G190" s="66"/>
    </row>
    <row r="191" spans="1:7">
      <c r="A191" s="65"/>
      <c r="B191" s="66"/>
      <c r="C191" s="90"/>
      <c r="D191" s="117"/>
      <c r="E191" s="90"/>
      <c r="F191" s="66"/>
      <c r="G191" s="66"/>
    </row>
    <row r="192" spans="1:7">
      <c r="A192" s="65"/>
      <c r="B192" s="66"/>
      <c r="C192" s="90"/>
      <c r="D192" s="117"/>
      <c r="E192" s="90"/>
      <c r="F192" s="66"/>
      <c r="G192" s="66"/>
    </row>
    <row r="193" spans="1:7">
      <c r="A193" s="65"/>
      <c r="B193" s="66"/>
      <c r="C193" s="90"/>
      <c r="D193" s="117"/>
      <c r="E193" s="90"/>
      <c r="F193" s="66"/>
      <c r="G193" s="66"/>
    </row>
    <row r="194" spans="1:7">
      <c r="A194" s="65"/>
      <c r="B194" s="66"/>
      <c r="C194" s="90"/>
      <c r="D194" s="117"/>
      <c r="E194" s="90"/>
      <c r="F194" s="66"/>
      <c r="G194" s="66"/>
    </row>
    <row r="195" spans="1:7">
      <c r="A195" s="65"/>
      <c r="B195" s="66"/>
      <c r="C195" s="90"/>
      <c r="D195" s="117"/>
      <c r="E195" s="90"/>
      <c r="F195" s="66"/>
      <c r="G195" s="66"/>
    </row>
    <row r="196" spans="1:7">
      <c r="A196" s="65"/>
      <c r="B196" s="66"/>
      <c r="C196" s="90"/>
      <c r="D196" s="117"/>
      <c r="E196" s="90"/>
      <c r="F196" s="66"/>
      <c r="G196" s="66"/>
    </row>
    <row r="197" spans="1:7">
      <c r="A197" s="65"/>
      <c r="B197" s="66"/>
      <c r="C197" s="90"/>
      <c r="D197" s="117"/>
      <c r="E197" s="90"/>
      <c r="F197" s="66"/>
      <c r="G197" s="66"/>
    </row>
    <row r="198" spans="1:7">
      <c r="A198" s="65"/>
      <c r="B198" s="66"/>
      <c r="C198" s="90"/>
      <c r="D198" s="117"/>
      <c r="E198" s="90"/>
      <c r="F198" s="66"/>
      <c r="G198" s="66"/>
    </row>
    <row r="199" spans="1:7">
      <c r="A199" s="65"/>
      <c r="B199" s="66"/>
      <c r="C199" s="90"/>
      <c r="D199" s="117"/>
      <c r="E199" s="90"/>
      <c r="F199" s="66"/>
      <c r="G199" s="66"/>
    </row>
    <row r="200" spans="1:7">
      <c r="A200" s="65"/>
      <c r="B200" s="66"/>
      <c r="C200" s="90"/>
      <c r="D200" s="117"/>
      <c r="E200" s="90"/>
      <c r="F200" s="66"/>
      <c r="G200" s="66"/>
    </row>
    <row r="201" spans="1:7">
      <c r="A201" s="65"/>
      <c r="B201" s="66"/>
      <c r="C201" s="90"/>
      <c r="D201" s="117"/>
      <c r="E201" s="90"/>
      <c r="F201" s="66"/>
      <c r="G201" s="66"/>
    </row>
    <row r="202" spans="1:7">
      <c r="A202" s="65"/>
      <c r="B202" s="66"/>
      <c r="C202" s="90"/>
      <c r="D202" s="117"/>
      <c r="E202" s="90"/>
      <c r="F202" s="66"/>
      <c r="G202" s="66"/>
    </row>
    <row r="203" spans="1:7">
      <c r="A203" s="65"/>
      <c r="B203" s="66"/>
      <c r="C203" s="90"/>
      <c r="D203" s="117"/>
      <c r="E203" s="90"/>
      <c r="F203" s="66"/>
      <c r="G203" s="66"/>
    </row>
    <row r="204" spans="1:7">
      <c r="A204" s="99"/>
      <c r="B204" s="68"/>
      <c r="C204" s="69"/>
      <c r="D204" s="69"/>
      <c r="E204" s="99"/>
    </row>
  </sheetData>
  <mergeCells count="1">
    <mergeCell ref="A1:B1"/>
  </mergeCells>
  <pageMargins left="0.7" right="0.7" top="0.78740157499999996" bottom="0.78740157499999996" header="0.3" footer="0.3"/>
  <pageSetup paperSize="9" orientation="portrait" horizontalDpi="4294967293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Tabelle16"/>
  <dimension ref="A1:I127"/>
  <sheetViews>
    <sheetView zoomScale="115" zoomScaleNormal="115" workbookViewId="0">
      <pane ySplit="4365" topLeftCell="A3" activePane="bottomLeft"/>
      <selection activeCell="A2" sqref="A2"/>
      <selection pane="bottomLeft" activeCell="C3" sqref="C3:D3"/>
    </sheetView>
  </sheetViews>
  <sheetFormatPr baseColWidth="10" defaultColWidth="11.42578125" defaultRowHeight="14.25"/>
  <cols>
    <col min="1" max="1" width="24.42578125" style="74" bestFit="1" customWidth="1"/>
    <col min="2" max="2" width="27.140625" style="72" bestFit="1" customWidth="1"/>
    <col min="3" max="3" width="7.42578125" style="132" customWidth="1"/>
    <col min="4" max="5" width="7.42578125" style="135" customWidth="1"/>
    <col min="6" max="6" width="6.7109375" style="48" customWidth="1"/>
    <col min="7" max="7" width="7.42578125" style="48" customWidth="1"/>
    <col min="8" max="8" width="11.42578125" style="48"/>
    <col min="9" max="9" width="11" style="48" customWidth="1"/>
    <col min="10" max="16384" width="11.42578125" style="48"/>
  </cols>
  <sheetData>
    <row r="1" spans="1:9" ht="159" customHeight="1">
      <c r="A1" s="333" t="s">
        <v>98</v>
      </c>
      <c r="B1" s="334"/>
      <c r="C1" s="128" t="s">
        <v>145</v>
      </c>
      <c r="D1" s="136" t="s">
        <v>195</v>
      </c>
      <c r="E1" s="136"/>
    </row>
    <row r="2" spans="1:9" ht="15.75" customHeight="1" thickBot="1">
      <c r="A2" s="78" t="s">
        <v>273</v>
      </c>
      <c r="B2" s="79" t="s">
        <v>194</v>
      </c>
      <c r="C2" s="129"/>
      <c r="D2" s="130"/>
      <c r="E2" s="130"/>
    </row>
    <row r="3" spans="1:9" s="71" customFormat="1" ht="15" thickTop="1">
      <c r="A3" s="67"/>
      <c r="B3" s="68"/>
      <c r="C3" s="131"/>
      <c r="D3" s="86"/>
      <c r="E3" s="86"/>
    </row>
    <row r="4" spans="1:9">
      <c r="A4" s="140"/>
      <c r="D4" s="86"/>
      <c r="E4" s="86"/>
      <c r="I4" s="81"/>
    </row>
    <row r="5" spans="1:9">
      <c r="A5" s="140"/>
      <c r="D5" s="86"/>
      <c r="E5" s="86"/>
      <c r="I5" s="81"/>
    </row>
    <row r="6" spans="1:9">
      <c r="A6" s="67"/>
      <c r="D6" s="86"/>
      <c r="E6" s="86"/>
      <c r="I6" s="81"/>
    </row>
    <row r="7" spans="1:9">
      <c r="A7" s="67"/>
      <c r="D7" s="86"/>
      <c r="E7" s="86"/>
      <c r="I7" s="81"/>
    </row>
    <row r="8" spans="1:9">
      <c r="A8" s="67"/>
      <c r="D8" s="86"/>
      <c r="E8" s="86"/>
      <c r="I8" s="81"/>
    </row>
    <row r="9" spans="1:9">
      <c r="A9" s="67"/>
      <c r="D9" s="86"/>
      <c r="E9" s="86"/>
      <c r="I9" s="81"/>
    </row>
    <row r="10" spans="1:9">
      <c r="A10" s="67"/>
      <c r="D10" s="86"/>
      <c r="E10" s="86"/>
      <c r="I10" s="81"/>
    </row>
    <row r="11" spans="1:9">
      <c r="A11" s="67"/>
      <c r="D11" s="86"/>
      <c r="E11" s="86"/>
      <c r="I11" s="81"/>
    </row>
    <row r="12" spans="1:9">
      <c r="A12" s="67"/>
      <c r="D12" s="86"/>
      <c r="E12" s="86"/>
      <c r="I12" s="81"/>
    </row>
    <row r="13" spans="1:9">
      <c r="A13" s="67"/>
      <c r="D13" s="86"/>
      <c r="E13" s="86"/>
      <c r="I13" s="81"/>
    </row>
    <row r="14" spans="1:9">
      <c r="A14" s="67"/>
      <c r="D14" s="86"/>
      <c r="E14" s="86"/>
      <c r="I14" s="81"/>
    </row>
    <row r="15" spans="1:9">
      <c r="A15" s="67"/>
      <c r="D15" s="86"/>
      <c r="E15" s="86"/>
      <c r="I15" s="81"/>
    </row>
    <row r="16" spans="1:9">
      <c r="A16" s="86"/>
      <c r="B16" s="85"/>
      <c r="D16" s="86"/>
      <c r="E16" s="86"/>
      <c r="I16" s="81"/>
    </row>
    <row r="17" spans="1:9">
      <c r="A17" s="67"/>
      <c r="D17" s="86"/>
      <c r="E17" s="86"/>
      <c r="I17" s="81"/>
    </row>
    <row r="18" spans="1:9">
      <c r="A18" s="67"/>
      <c r="D18" s="86"/>
      <c r="E18" s="86"/>
      <c r="I18" s="81"/>
    </row>
    <row r="19" spans="1:9">
      <c r="A19" s="67"/>
      <c r="D19" s="86"/>
      <c r="E19" s="86"/>
      <c r="I19" s="81"/>
    </row>
    <row r="20" spans="1:9">
      <c r="A20" s="67"/>
      <c r="D20" s="86"/>
      <c r="E20" s="86"/>
      <c r="I20" s="81"/>
    </row>
    <row r="21" spans="1:9">
      <c r="A21" s="67"/>
      <c r="D21" s="86"/>
      <c r="E21" s="86"/>
      <c r="I21" s="81"/>
    </row>
    <row r="22" spans="1:9">
      <c r="A22" s="67"/>
      <c r="D22" s="86"/>
      <c r="E22" s="86"/>
      <c r="I22" s="81"/>
    </row>
    <row r="23" spans="1:9">
      <c r="A23" s="67"/>
      <c r="D23" s="86"/>
      <c r="E23" s="86"/>
      <c r="I23" s="81"/>
    </row>
    <row r="24" spans="1:9">
      <c r="A24" s="67"/>
      <c r="D24" s="86"/>
      <c r="E24" s="86"/>
      <c r="I24" s="81"/>
    </row>
    <row r="25" spans="1:9">
      <c r="A25" s="67"/>
      <c r="D25" s="86"/>
      <c r="E25" s="86"/>
      <c r="I25" s="81"/>
    </row>
    <row r="26" spans="1:9">
      <c r="A26" s="67"/>
      <c r="D26" s="86"/>
      <c r="E26" s="86"/>
      <c r="I26" s="81"/>
    </row>
    <row r="27" spans="1:9">
      <c r="A27" s="67"/>
      <c r="D27" s="86"/>
      <c r="E27" s="86"/>
      <c r="I27" s="81"/>
    </row>
    <row r="28" spans="1:9">
      <c r="A28" s="67"/>
      <c r="D28" s="86"/>
      <c r="E28" s="86"/>
      <c r="I28" s="81"/>
    </row>
    <row r="29" spans="1:9">
      <c r="A29" s="67"/>
      <c r="D29" s="86"/>
      <c r="E29" s="86"/>
      <c r="I29" s="81"/>
    </row>
    <row r="30" spans="1:9">
      <c r="A30" s="67"/>
      <c r="D30" s="86"/>
      <c r="E30" s="86"/>
      <c r="I30" s="81"/>
    </row>
    <row r="31" spans="1:9">
      <c r="A31" s="67"/>
      <c r="D31" s="86"/>
      <c r="E31" s="86"/>
      <c r="I31" s="81"/>
    </row>
    <row r="32" spans="1:9">
      <c r="A32" s="67"/>
      <c r="D32" s="86"/>
      <c r="E32" s="86"/>
      <c r="I32" s="81"/>
    </row>
    <row r="33" spans="1:9">
      <c r="A33" s="67"/>
      <c r="D33" s="86"/>
      <c r="E33" s="86"/>
      <c r="I33" s="81"/>
    </row>
    <row r="34" spans="1:9">
      <c r="A34" s="67"/>
      <c r="D34" s="86"/>
      <c r="E34" s="86"/>
      <c r="I34" s="81"/>
    </row>
    <row r="35" spans="1:9">
      <c r="A35" s="67"/>
      <c r="D35" s="86"/>
      <c r="E35" s="86"/>
      <c r="I35" s="81"/>
    </row>
    <row r="36" spans="1:9">
      <c r="A36" s="67"/>
      <c r="D36" s="86"/>
      <c r="E36" s="86"/>
      <c r="I36" s="81"/>
    </row>
    <row r="37" spans="1:9">
      <c r="A37" s="67"/>
      <c r="D37" s="86"/>
      <c r="E37" s="86"/>
      <c r="I37" s="81"/>
    </row>
    <row r="38" spans="1:9">
      <c r="A38" s="67"/>
      <c r="D38" s="86"/>
      <c r="E38" s="86"/>
      <c r="I38" s="81"/>
    </row>
    <row r="39" spans="1:9">
      <c r="A39" s="67"/>
      <c r="D39" s="86"/>
      <c r="E39" s="86"/>
      <c r="I39" s="81"/>
    </row>
    <row r="40" spans="1:9">
      <c r="A40" s="67"/>
      <c r="D40" s="86"/>
      <c r="E40" s="86"/>
      <c r="I40" s="81"/>
    </row>
    <row r="41" spans="1:9">
      <c r="A41" s="67"/>
      <c r="D41" s="86"/>
      <c r="E41" s="86"/>
      <c r="I41" s="81"/>
    </row>
    <row r="42" spans="1:9">
      <c r="A42" s="67"/>
      <c r="D42" s="86"/>
      <c r="E42" s="86"/>
      <c r="I42" s="81"/>
    </row>
    <row r="43" spans="1:9">
      <c r="A43" s="67"/>
      <c r="D43" s="86"/>
      <c r="E43" s="86"/>
      <c r="I43" s="81"/>
    </row>
    <row r="44" spans="1:9">
      <c r="A44" s="67"/>
      <c r="D44" s="86"/>
      <c r="E44" s="86"/>
      <c r="I44" s="81"/>
    </row>
    <row r="45" spans="1:9">
      <c r="A45" s="67"/>
      <c r="D45" s="86"/>
      <c r="E45" s="86"/>
      <c r="I45" s="81"/>
    </row>
    <row r="46" spans="1:9">
      <c r="A46" s="67"/>
      <c r="D46" s="86"/>
      <c r="E46" s="86"/>
      <c r="I46" s="81"/>
    </row>
    <row r="47" spans="1:9">
      <c r="A47" s="67"/>
      <c r="D47" s="86"/>
      <c r="E47" s="86"/>
      <c r="I47" s="81"/>
    </row>
    <row r="48" spans="1:9">
      <c r="A48" s="67"/>
      <c r="D48" s="86"/>
      <c r="E48" s="86"/>
      <c r="I48" s="81"/>
    </row>
    <row r="49" spans="1:9">
      <c r="A49" s="67"/>
      <c r="D49" s="86"/>
      <c r="E49" s="86"/>
      <c r="I49" s="81"/>
    </row>
    <row r="50" spans="1:9">
      <c r="A50" s="67"/>
      <c r="D50" s="86"/>
      <c r="E50" s="86"/>
      <c r="I50" s="81"/>
    </row>
    <row r="51" spans="1:9">
      <c r="A51" s="67"/>
      <c r="D51" s="86"/>
      <c r="E51" s="86"/>
      <c r="I51" s="81"/>
    </row>
    <row r="52" spans="1:9">
      <c r="A52" s="67"/>
      <c r="D52" s="86"/>
      <c r="E52" s="86"/>
      <c r="I52" s="81"/>
    </row>
    <row r="53" spans="1:9">
      <c r="A53" s="67"/>
      <c r="D53" s="86"/>
      <c r="E53" s="86"/>
      <c r="I53" s="81"/>
    </row>
    <row r="54" spans="1:9">
      <c r="A54" s="67"/>
      <c r="D54" s="86"/>
      <c r="E54" s="86"/>
      <c r="I54" s="81"/>
    </row>
    <row r="55" spans="1:9">
      <c r="A55" s="67"/>
      <c r="D55" s="86"/>
      <c r="E55" s="86"/>
      <c r="I55" s="81"/>
    </row>
    <row r="56" spans="1:9">
      <c r="A56" s="67"/>
      <c r="D56" s="86"/>
      <c r="E56" s="86"/>
      <c r="I56" s="81"/>
    </row>
    <row r="57" spans="1:9">
      <c r="A57" s="67"/>
      <c r="D57" s="86"/>
      <c r="E57" s="86"/>
      <c r="I57" s="81"/>
    </row>
    <row r="58" spans="1:9">
      <c r="A58" s="67"/>
      <c r="D58" s="86"/>
      <c r="E58" s="86"/>
      <c r="I58" s="81"/>
    </row>
    <row r="59" spans="1:9">
      <c r="A59" s="67"/>
      <c r="D59" s="86"/>
      <c r="E59" s="86"/>
      <c r="I59" s="81"/>
    </row>
    <row r="60" spans="1:9">
      <c r="A60" s="67"/>
      <c r="D60" s="86"/>
      <c r="E60" s="86"/>
      <c r="I60" s="81"/>
    </row>
    <row r="61" spans="1:9">
      <c r="A61" s="86"/>
      <c r="B61" s="85"/>
      <c r="D61" s="86"/>
      <c r="E61" s="86"/>
      <c r="I61" s="81"/>
    </row>
    <row r="62" spans="1:9">
      <c r="A62" s="67"/>
      <c r="D62" s="86"/>
      <c r="E62" s="86"/>
      <c r="I62" s="81"/>
    </row>
    <row r="63" spans="1:9">
      <c r="A63" s="67"/>
      <c r="D63" s="86"/>
      <c r="E63" s="86"/>
      <c r="I63" s="81"/>
    </row>
    <row r="64" spans="1:9">
      <c r="A64" s="67"/>
      <c r="C64" s="131"/>
      <c r="D64" s="86"/>
      <c r="E64" s="86"/>
      <c r="I64" s="81"/>
    </row>
    <row r="65" spans="1:9">
      <c r="A65" s="67"/>
      <c r="D65" s="86"/>
      <c r="E65" s="86"/>
      <c r="I65" s="81"/>
    </row>
    <row r="66" spans="1:9">
      <c r="A66" s="67"/>
      <c r="B66" s="85"/>
      <c r="D66" s="86"/>
      <c r="E66" s="86"/>
      <c r="I66" s="81"/>
    </row>
    <row r="67" spans="1:9">
      <c r="A67" s="67"/>
      <c r="C67" s="131"/>
      <c r="D67" s="86"/>
      <c r="E67" s="86"/>
      <c r="I67" s="81"/>
    </row>
    <row r="68" spans="1:9">
      <c r="A68" s="67"/>
      <c r="D68" s="86"/>
      <c r="E68" s="86"/>
      <c r="I68" s="81"/>
    </row>
    <row r="69" spans="1:9">
      <c r="A69" s="67"/>
      <c r="D69" s="86"/>
      <c r="E69" s="86"/>
      <c r="I69" s="81"/>
    </row>
    <row r="70" spans="1:9">
      <c r="A70" s="67"/>
      <c r="D70" s="86"/>
      <c r="E70" s="86"/>
      <c r="I70" s="81"/>
    </row>
    <row r="71" spans="1:9">
      <c r="A71" s="67"/>
      <c r="D71" s="86"/>
      <c r="E71" s="86"/>
      <c r="I71" s="81"/>
    </row>
    <row r="72" spans="1:9">
      <c r="A72" s="67"/>
      <c r="D72" s="86"/>
      <c r="E72" s="86"/>
      <c r="I72" s="81"/>
    </row>
    <row r="73" spans="1:9">
      <c r="A73" s="67"/>
      <c r="D73" s="86"/>
      <c r="E73" s="86"/>
      <c r="I73" s="81"/>
    </row>
    <row r="74" spans="1:9">
      <c r="A74" s="67"/>
      <c r="D74" s="86"/>
      <c r="E74" s="86"/>
      <c r="I74" s="81"/>
    </row>
    <row r="75" spans="1:9">
      <c r="A75" s="67"/>
      <c r="D75" s="86"/>
      <c r="E75" s="86"/>
      <c r="I75" s="81"/>
    </row>
    <row r="76" spans="1:9">
      <c r="A76" s="67"/>
      <c r="D76" s="86"/>
      <c r="E76" s="86"/>
      <c r="I76" s="81"/>
    </row>
    <row r="77" spans="1:9">
      <c r="A77" s="67"/>
      <c r="D77" s="86"/>
      <c r="E77" s="86"/>
      <c r="I77" s="81"/>
    </row>
    <row r="78" spans="1:9">
      <c r="A78" s="67"/>
      <c r="D78" s="86"/>
      <c r="E78" s="86"/>
      <c r="I78" s="81"/>
    </row>
    <row r="79" spans="1:9">
      <c r="A79" s="67"/>
      <c r="D79" s="86"/>
      <c r="E79" s="86"/>
      <c r="I79" s="81"/>
    </row>
    <row r="80" spans="1:9">
      <c r="A80" s="67"/>
      <c r="D80" s="86"/>
      <c r="E80" s="86"/>
      <c r="I80" s="81"/>
    </row>
    <row r="81" spans="1:9">
      <c r="A81" s="67"/>
      <c r="D81" s="86"/>
      <c r="E81" s="86"/>
      <c r="I81" s="81"/>
    </row>
    <row r="82" spans="1:9">
      <c r="A82" s="67"/>
      <c r="D82" s="86"/>
      <c r="E82" s="86"/>
      <c r="I82" s="81"/>
    </row>
    <row r="83" spans="1:9">
      <c r="A83" s="67"/>
      <c r="D83" s="86"/>
      <c r="E83" s="86"/>
      <c r="I83" s="81"/>
    </row>
    <row r="84" spans="1:9">
      <c r="A84" s="67"/>
      <c r="D84" s="86"/>
      <c r="E84" s="86"/>
      <c r="I84" s="81"/>
    </row>
    <row r="85" spans="1:9">
      <c r="A85" s="67"/>
      <c r="D85" s="86"/>
      <c r="E85" s="86"/>
      <c r="I85" s="81"/>
    </row>
    <row r="86" spans="1:9">
      <c r="A86" s="67"/>
      <c r="D86" s="86"/>
      <c r="E86" s="86"/>
      <c r="I86" s="81"/>
    </row>
    <row r="87" spans="1:9">
      <c r="A87" s="67"/>
      <c r="D87" s="86"/>
      <c r="E87" s="86"/>
      <c r="I87" s="81"/>
    </row>
    <row r="88" spans="1:9">
      <c r="A88" s="67"/>
      <c r="D88" s="86"/>
      <c r="E88" s="86"/>
      <c r="I88" s="81"/>
    </row>
    <row r="89" spans="1:9">
      <c r="A89" s="67"/>
      <c r="D89" s="86"/>
      <c r="E89" s="86"/>
      <c r="I89" s="81"/>
    </row>
    <row r="90" spans="1:9">
      <c r="A90" s="67"/>
      <c r="D90" s="86"/>
      <c r="E90" s="86"/>
      <c r="I90" s="81"/>
    </row>
    <row r="91" spans="1:9">
      <c r="A91" s="83"/>
      <c r="B91" s="84"/>
      <c r="D91" s="86"/>
      <c r="E91" s="86"/>
    </row>
    <row r="92" spans="1:9">
      <c r="A92" s="83"/>
      <c r="B92" s="84"/>
      <c r="D92" s="86"/>
      <c r="E92" s="86"/>
    </row>
    <row r="93" spans="1:9">
      <c r="A93" s="83"/>
      <c r="B93" s="84"/>
      <c r="D93" s="86"/>
      <c r="E93" s="86"/>
    </row>
    <row r="94" spans="1:9">
      <c r="A94" s="83"/>
      <c r="B94" s="84"/>
      <c r="D94" s="86"/>
      <c r="E94" s="86"/>
    </row>
    <row r="95" spans="1:9">
      <c r="A95" s="83"/>
      <c r="B95" s="84"/>
      <c r="D95" s="86"/>
      <c r="E95" s="86"/>
    </row>
    <row r="96" spans="1:9">
      <c r="A96" s="83"/>
      <c r="B96" s="84"/>
      <c r="D96" s="133"/>
      <c r="E96" s="134"/>
    </row>
    <row r="97" spans="1:5">
      <c r="A97" s="83"/>
      <c r="B97" s="84"/>
      <c r="D97" s="133"/>
      <c r="E97" s="134"/>
    </row>
    <row r="98" spans="1:5">
      <c r="A98" s="83"/>
      <c r="B98" s="84"/>
      <c r="D98" s="133"/>
      <c r="E98" s="134"/>
    </row>
    <row r="99" spans="1:5">
      <c r="A99" s="83"/>
      <c r="B99" s="84"/>
      <c r="D99" s="133"/>
      <c r="E99" s="134"/>
    </row>
    <row r="100" spans="1:5">
      <c r="A100" s="83"/>
      <c r="B100" s="84"/>
      <c r="D100" s="133"/>
      <c r="E100" s="134"/>
    </row>
    <row r="101" spans="1:5">
      <c r="A101" s="83"/>
      <c r="B101" s="84"/>
      <c r="D101" s="133"/>
      <c r="E101" s="134"/>
    </row>
    <row r="102" spans="1:5">
      <c r="A102" s="83"/>
      <c r="B102" s="84"/>
      <c r="D102" s="133"/>
      <c r="E102" s="134"/>
    </row>
    <row r="103" spans="1:5">
      <c r="A103" s="83"/>
      <c r="B103" s="84"/>
      <c r="D103" s="133"/>
      <c r="E103" s="134"/>
    </row>
    <row r="104" spans="1:5">
      <c r="A104" s="83"/>
      <c r="B104" s="84"/>
      <c r="D104" s="133"/>
      <c r="E104" s="134"/>
    </row>
    <row r="105" spans="1:5">
      <c r="A105" s="83"/>
      <c r="B105" s="84"/>
      <c r="D105" s="133"/>
      <c r="E105" s="134"/>
    </row>
    <row r="106" spans="1:5">
      <c r="A106" s="83"/>
      <c r="B106" s="84"/>
      <c r="D106" s="133"/>
      <c r="E106" s="134"/>
    </row>
    <row r="107" spans="1:5">
      <c r="A107" s="83"/>
      <c r="B107" s="84"/>
      <c r="D107" s="133"/>
    </row>
    <row r="108" spans="1:5">
      <c r="A108" s="83"/>
      <c r="B108" s="84"/>
      <c r="D108" s="133"/>
    </row>
    <row r="109" spans="1:5">
      <c r="A109" s="83"/>
      <c r="B109" s="84"/>
      <c r="D109" s="133"/>
    </row>
    <row r="110" spans="1:5">
      <c r="A110" s="83"/>
      <c r="B110" s="84"/>
      <c r="D110" s="133"/>
    </row>
    <row r="111" spans="1:5">
      <c r="A111" s="83"/>
      <c r="B111" s="84"/>
      <c r="D111" s="133"/>
    </row>
    <row r="112" spans="1:5">
      <c r="A112" s="83"/>
      <c r="B112" s="84"/>
      <c r="D112" s="133"/>
    </row>
    <row r="113" spans="1:5">
      <c r="A113" s="83"/>
      <c r="B113" s="84"/>
      <c r="D113" s="133"/>
    </row>
    <row r="114" spans="1:5">
      <c r="A114" s="83"/>
      <c r="B114" s="84"/>
      <c r="D114" s="133"/>
    </row>
    <row r="115" spans="1:5">
      <c r="A115" s="83"/>
      <c r="B115" s="84"/>
      <c r="D115" s="133"/>
    </row>
    <row r="116" spans="1:5">
      <c r="A116" s="83"/>
      <c r="B116" s="84"/>
      <c r="D116" s="133"/>
    </row>
    <row r="117" spans="1:5">
      <c r="A117" s="83"/>
      <c r="B117" s="84"/>
      <c r="D117" s="133"/>
    </row>
    <row r="118" spans="1:5">
      <c r="A118" s="83"/>
      <c r="B118" s="84"/>
      <c r="D118" s="133"/>
      <c r="E118" s="133"/>
    </row>
    <row r="119" spans="1:5">
      <c r="A119" s="83"/>
      <c r="B119" s="84"/>
      <c r="D119" s="133"/>
      <c r="E119" s="133"/>
    </row>
    <row r="120" spans="1:5">
      <c r="A120" s="83"/>
      <c r="B120" s="84"/>
      <c r="D120" s="133"/>
      <c r="E120" s="133"/>
    </row>
    <row r="121" spans="1:5">
      <c r="A121" s="83"/>
      <c r="D121" s="133"/>
      <c r="E121" s="133"/>
    </row>
    <row r="122" spans="1:5">
      <c r="A122" s="83"/>
      <c r="D122" s="133"/>
      <c r="E122" s="133"/>
    </row>
    <row r="124" spans="1:5">
      <c r="B124" s="84"/>
      <c r="D124" s="86"/>
      <c r="E124" s="86"/>
    </row>
    <row r="125" spans="1:5">
      <c r="B125" s="84"/>
      <c r="D125" s="86"/>
      <c r="E125" s="86"/>
    </row>
    <row r="126" spans="1:5">
      <c r="B126" s="84"/>
      <c r="D126" s="86"/>
      <c r="E126" s="86"/>
    </row>
    <row r="127" spans="1:5">
      <c r="B127" s="84"/>
      <c r="D127" s="86"/>
      <c r="E127" s="86"/>
    </row>
  </sheetData>
  <mergeCells count="1">
    <mergeCell ref="A1:B1"/>
  </mergeCells>
  <pageMargins left="0.7" right="0.7" top="0.78740157499999996" bottom="0.78740157499999996" header="0.3" footer="0.3"/>
  <pageSetup paperSize="9" orientation="portrait" horizontalDpi="4294967293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Tabelle6"/>
  <dimension ref="A1:Y452"/>
  <sheetViews>
    <sheetView workbookViewId="0">
      <selection activeCell="R9" sqref="R9"/>
    </sheetView>
  </sheetViews>
  <sheetFormatPr baseColWidth="10" defaultRowHeight="15"/>
  <sheetData>
    <row r="1" spans="1:25" ht="85.5">
      <c r="A1" s="202"/>
      <c r="B1" s="202"/>
      <c r="C1" s="202"/>
      <c r="D1" s="29" t="s">
        <v>68</v>
      </c>
      <c r="E1" s="29" t="s">
        <v>69</v>
      </c>
      <c r="F1" s="29" t="s">
        <v>70</v>
      </c>
      <c r="G1" s="29" t="s">
        <v>71</v>
      </c>
      <c r="H1" s="29" t="s">
        <v>72</v>
      </c>
      <c r="I1" s="29" t="s">
        <v>73</v>
      </c>
      <c r="J1" s="29" t="s">
        <v>74</v>
      </c>
      <c r="K1" s="38" t="s">
        <v>84</v>
      </c>
      <c r="L1" s="38" t="s">
        <v>14</v>
      </c>
      <c r="M1" s="38" t="s">
        <v>75</v>
      </c>
      <c r="N1" s="38" t="s">
        <v>3079</v>
      </c>
      <c r="O1" s="39" t="s">
        <v>76</v>
      </c>
      <c r="P1" s="36" t="s">
        <v>77</v>
      </c>
      <c r="Q1" s="36" t="s">
        <v>78</v>
      </c>
      <c r="R1" s="36" t="s">
        <v>108</v>
      </c>
      <c r="S1" s="36" t="s">
        <v>111</v>
      </c>
      <c r="T1" s="36" t="s">
        <v>112</v>
      </c>
      <c r="U1" s="36" t="s">
        <v>79</v>
      </c>
      <c r="V1" s="31" t="s">
        <v>3080</v>
      </c>
      <c r="W1" s="31" t="s">
        <v>3081</v>
      </c>
      <c r="X1" s="31" t="s">
        <v>3082</v>
      </c>
      <c r="Y1" s="31" t="s">
        <v>80</v>
      </c>
    </row>
    <row r="2" spans="1:25">
      <c r="A2" s="203" t="s">
        <v>67</v>
      </c>
      <c r="B2" s="203">
        <v>1</v>
      </c>
      <c r="C2" s="203">
        <v>2</v>
      </c>
      <c r="D2" s="203"/>
      <c r="E2" s="203"/>
      <c r="F2" s="203"/>
      <c r="G2" s="203"/>
      <c r="H2" s="203"/>
      <c r="I2" s="203"/>
      <c r="J2" s="203"/>
      <c r="K2" s="203">
        <v>5</v>
      </c>
      <c r="L2" s="203" t="s">
        <v>23</v>
      </c>
      <c r="M2" s="203">
        <v>4</v>
      </c>
      <c r="N2" s="203"/>
      <c r="O2" s="203">
        <v>7</v>
      </c>
      <c r="P2" s="203">
        <v>6</v>
      </c>
      <c r="Q2" s="203" t="s">
        <v>9</v>
      </c>
      <c r="R2" s="203" t="s">
        <v>105</v>
      </c>
      <c r="S2" s="203" t="s">
        <v>114</v>
      </c>
      <c r="T2" s="203">
        <v>10</v>
      </c>
      <c r="U2" s="203">
        <v>9</v>
      </c>
      <c r="V2" s="203">
        <v>4</v>
      </c>
      <c r="W2" s="203"/>
      <c r="X2" s="203"/>
      <c r="Y2" s="203">
        <v>8</v>
      </c>
    </row>
    <row r="3" spans="1:25">
      <c r="A3" s="204">
        <f t="shared" ref="A3:A66" si="0">ROW()-ROW($A$2)</f>
        <v>1</v>
      </c>
      <c r="B3" s="205" t="str">
        <f t="shared" ref="B3:K12" si="1">IF(ISNONTEXT(B$2),IF(B$2="","",IF(INDEX(IMPORT,$A3,B$2)=0,"",IFERROR(VLOOKUP(INDEX(IMPORT,$A3,B$2),ImportTranslation,2,0),INDEX(IMPORT,$A3,B$2)))),B$2)</f>
        <v>x</v>
      </c>
      <c r="C3" s="205" t="str">
        <f t="shared" si="1"/>
        <v>x</v>
      </c>
      <c r="D3" s="205" t="str">
        <f t="shared" si="1"/>
        <v/>
      </c>
      <c r="E3" s="205" t="str">
        <f t="shared" si="1"/>
        <v/>
      </c>
      <c r="F3" s="205" t="str">
        <f t="shared" si="1"/>
        <v/>
      </c>
      <c r="G3" s="205" t="str">
        <f t="shared" si="1"/>
        <v/>
      </c>
      <c r="H3" s="205" t="str">
        <f t="shared" si="1"/>
        <v/>
      </c>
      <c r="I3" s="205" t="str">
        <f t="shared" si="1"/>
        <v/>
      </c>
      <c r="J3" s="205" t="str">
        <f t="shared" si="1"/>
        <v/>
      </c>
      <c r="K3" s="205" t="str">
        <f t="shared" si="1"/>
        <v/>
      </c>
      <c r="L3" s="205" t="str">
        <f t="shared" ref="L3:Y12" si="2">IF(ISNONTEXT(L$2),IF(L$2="","",IF(INDEX(IMPORT,$A3,L$2)=0,"",IFERROR(VLOOKUP(INDEX(IMPORT,$A3,L$2),ImportTranslation,2,0),INDEX(IMPORT,$A3,L$2)))),L$2)</f>
        <v>info</v>
      </c>
      <c r="M3" s="205" t="str">
        <f t="shared" si="2"/>
        <v/>
      </c>
      <c r="N3" s="205" t="str">
        <f t="shared" si="2"/>
        <v/>
      </c>
      <c r="O3" s="205" t="str">
        <f t="shared" si="2"/>
        <v>model</v>
      </c>
      <c r="P3" s="206" t="str">
        <f t="shared" si="2"/>
        <v>Boolean</v>
      </c>
      <c r="Q3" s="206" t="str">
        <f t="shared" si="2"/>
        <v>x</v>
      </c>
      <c r="R3" s="206" t="str">
        <f t="shared" si="2"/>
        <v>BS</v>
      </c>
      <c r="S3" s="206" t="str">
        <f t="shared" si="2"/>
        <v>all</v>
      </c>
      <c r="T3" s="205">
        <f t="shared" si="2"/>
        <v>1</v>
      </c>
      <c r="U3" s="205" t="str">
        <f t="shared" si="2"/>
        <v>2D-Fixpunkte in 3D zeigen</v>
      </c>
      <c r="V3" s="205" t="str">
        <f t="shared" si="2"/>
        <v/>
      </c>
      <c r="W3" s="205" t="str">
        <f t="shared" si="2"/>
        <v/>
      </c>
      <c r="X3" s="205" t="str">
        <f t="shared" si="2"/>
        <v/>
      </c>
      <c r="Y3" s="205" t="str">
        <f t="shared" si="2"/>
        <v>AC_show2DHotspotsIn3D</v>
      </c>
    </row>
    <row r="4" spans="1:25">
      <c r="A4" s="204">
        <f t="shared" si="0"/>
        <v>2</v>
      </c>
      <c r="B4" s="205" t="str">
        <f t="shared" si="1"/>
        <v>x</v>
      </c>
      <c r="C4" s="205" t="str">
        <f t="shared" si="1"/>
        <v>x</v>
      </c>
      <c r="D4" s="205" t="str">
        <f t="shared" si="1"/>
        <v/>
      </c>
      <c r="E4" s="205" t="str">
        <f t="shared" si="1"/>
        <v/>
      </c>
      <c r="F4" s="205" t="str">
        <f t="shared" si="1"/>
        <v/>
      </c>
      <c r="G4" s="205" t="str">
        <f t="shared" si="1"/>
        <v/>
      </c>
      <c r="H4" s="205" t="str">
        <f t="shared" si="1"/>
        <v/>
      </c>
      <c r="I4" s="205" t="str">
        <f t="shared" si="1"/>
        <v/>
      </c>
      <c r="J4" s="205" t="str">
        <f t="shared" si="1"/>
        <v/>
      </c>
      <c r="K4" s="205" t="str">
        <f t="shared" si="1"/>
        <v/>
      </c>
      <c r="L4" s="205" t="str">
        <f t="shared" si="2"/>
        <v>info</v>
      </c>
      <c r="M4" s="205" t="str">
        <f t="shared" si="2"/>
        <v/>
      </c>
      <c r="N4" s="205" t="str">
        <f t="shared" si="2"/>
        <v/>
      </c>
      <c r="O4" s="205" t="str">
        <f t="shared" si="2"/>
        <v>model</v>
      </c>
      <c r="P4" s="206" t="str">
        <f t="shared" si="2"/>
        <v>Length</v>
      </c>
      <c r="Q4" s="206" t="str">
        <f t="shared" si="2"/>
        <v>x</v>
      </c>
      <c r="R4" s="206" t="str">
        <f t="shared" si="2"/>
        <v>BS</v>
      </c>
      <c r="S4" s="206" t="str">
        <f t="shared" si="2"/>
        <v>all</v>
      </c>
      <c r="T4" s="205">
        <f t="shared" si="2"/>
        <v>1</v>
      </c>
      <c r="U4" s="205" t="str">
        <f t="shared" si="2"/>
        <v>Untere Ebene</v>
      </c>
      <c r="V4" s="205" t="str">
        <f t="shared" si="2"/>
        <v/>
      </c>
      <c r="W4" s="205" t="str">
        <f t="shared" si="2"/>
        <v/>
      </c>
      <c r="X4" s="205" t="str">
        <f t="shared" si="2"/>
        <v/>
      </c>
      <c r="Y4" s="205" t="str">
        <f t="shared" si="2"/>
        <v>ac_bottomlevel</v>
      </c>
    </row>
    <row r="5" spans="1:25">
      <c r="A5" s="204">
        <f t="shared" si="0"/>
        <v>3</v>
      </c>
      <c r="B5" s="205" t="str">
        <f t="shared" si="1"/>
        <v>x</v>
      </c>
      <c r="C5" s="205" t="str">
        <f t="shared" si="1"/>
        <v>x</v>
      </c>
      <c r="D5" s="205" t="str">
        <f t="shared" si="1"/>
        <v/>
      </c>
      <c r="E5" s="205" t="str">
        <f t="shared" si="1"/>
        <v/>
      </c>
      <c r="F5" s="205" t="str">
        <f t="shared" si="1"/>
        <v/>
      </c>
      <c r="G5" s="205" t="str">
        <f t="shared" si="1"/>
        <v/>
      </c>
      <c r="H5" s="205" t="str">
        <f t="shared" si="1"/>
        <v/>
      </c>
      <c r="I5" s="205" t="str">
        <f t="shared" si="1"/>
        <v/>
      </c>
      <c r="J5" s="205" t="str">
        <f t="shared" si="1"/>
        <v/>
      </c>
      <c r="K5" s="205" t="str">
        <f t="shared" si="1"/>
        <v/>
      </c>
      <c r="L5" s="205" t="str">
        <f t="shared" si="2"/>
        <v>info</v>
      </c>
      <c r="M5" s="205" t="str">
        <f t="shared" si="2"/>
        <v/>
      </c>
      <c r="N5" s="205" t="str">
        <f t="shared" si="2"/>
        <v/>
      </c>
      <c r="O5" s="205" t="str">
        <f t="shared" si="2"/>
        <v>model</v>
      </c>
      <c r="P5" s="206" t="str">
        <f t="shared" si="2"/>
        <v>Length</v>
      </c>
      <c r="Q5" s="206" t="str">
        <f t="shared" si="2"/>
        <v>x</v>
      </c>
      <c r="R5" s="206" t="str">
        <f t="shared" si="2"/>
        <v>BS</v>
      </c>
      <c r="S5" s="206" t="str">
        <f t="shared" si="2"/>
        <v>all</v>
      </c>
      <c r="T5" s="205" t="str">
        <f t="shared" si="2"/>
        <v/>
      </c>
      <c r="U5" s="205" t="str">
        <f t="shared" si="2"/>
        <v>Obere Ebene</v>
      </c>
      <c r="V5" s="205" t="str">
        <f t="shared" si="2"/>
        <v/>
      </c>
      <c r="W5" s="205" t="str">
        <f t="shared" si="2"/>
        <v/>
      </c>
      <c r="X5" s="205" t="str">
        <f t="shared" si="2"/>
        <v/>
      </c>
      <c r="Y5" s="205" t="str">
        <f t="shared" si="2"/>
        <v>ac_toplevel</v>
      </c>
    </row>
    <row r="6" spans="1:25">
      <c r="A6" s="204">
        <f t="shared" si="0"/>
        <v>4</v>
      </c>
      <c r="B6" s="205" t="str">
        <f t="shared" si="1"/>
        <v>x</v>
      </c>
      <c r="C6" s="205" t="str">
        <f t="shared" si="1"/>
        <v>x</v>
      </c>
      <c r="D6" s="205" t="str">
        <f t="shared" si="1"/>
        <v/>
      </c>
      <c r="E6" s="205" t="str">
        <f t="shared" si="1"/>
        <v/>
      </c>
      <c r="F6" s="205" t="str">
        <f t="shared" si="1"/>
        <v/>
      </c>
      <c r="G6" s="205" t="str">
        <f t="shared" si="1"/>
        <v/>
      </c>
      <c r="H6" s="205" t="str">
        <f t="shared" si="1"/>
        <v/>
      </c>
      <c r="I6" s="205" t="str">
        <f t="shared" si="1"/>
        <v/>
      </c>
      <c r="J6" s="205" t="str">
        <f t="shared" si="1"/>
        <v/>
      </c>
      <c r="K6" s="205" t="str">
        <f t="shared" si="1"/>
        <v>x</v>
      </c>
      <c r="L6" s="205" t="str">
        <f t="shared" si="2"/>
        <v>info</v>
      </c>
      <c r="M6" s="205" t="str">
        <f t="shared" si="2"/>
        <v/>
      </c>
      <c r="N6" s="205" t="str">
        <f t="shared" si="2"/>
        <v/>
      </c>
      <c r="O6" s="205" t="str">
        <f t="shared" si="2"/>
        <v>model</v>
      </c>
      <c r="P6" s="206" t="str">
        <f t="shared" si="2"/>
        <v>Length</v>
      </c>
      <c r="Q6" s="206" t="str">
        <f t="shared" si="2"/>
        <v>x</v>
      </c>
      <c r="R6" s="206" t="str">
        <f t="shared" si="2"/>
        <v>BS</v>
      </c>
      <c r="S6" s="206" t="str">
        <f t="shared" si="2"/>
        <v>all</v>
      </c>
      <c r="T6" s="205" t="str">
        <f t="shared" si="2"/>
        <v/>
      </c>
      <c r="U6" s="205" t="str">
        <f t="shared" si="2"/>
        <v>Brüstungshöhe zum aktuellen Geschoss</v>
      </c>
      <c r="V6" s="205" t="str">
        <f t="shared" si="2"/>
        <v/>
      </c>
      <c r="W6" s="205" t="str">
        <f t="shared" si="2"/>
        <v/>
      </c>
      <c r="X6" s="205" t="str">
        <f t="shared" si="2"/>
        <v/>
      </c>
      <c r="Y6" s="205" t="str">
        <f t="shared" si="2"/>
        <v>AC_Sill_To_Curr_Story</v>
      </c>
    </row>
    <row r="7" spans="1:25">
      <c r="A7" s="204">
        <f t="shared" si="0"/>
        <v>5</v>
      </c>
      <c r="B7" s="205" t="str">
        <f t="shared" si="1"/>
        <v>x</v>
      </c>
      <c r="C7" s="205" t="str">
        <f t="shared" si="1"/>
        <v>x</v>
      </c>
      <c r="D7" s="205" t="str">
        <f t="shared" si="1"/>
        <v/>
      </c>
      <c r="E7" s="205" t="str">
        <f t="shared" si="1"/>
        <v/>
      </c>
      <c r="F7" s="205" t="str">
        <f t="shared" si="1"/>
        <v/>
      </c>
      <c r="G7" s="205" t="str">
        <f t="shared" si="1"/>
        <v/>
      </c>
      <c r="H7" s="205" t="str">
        <f t="shared" si="1"/>
        <v/>
      </c>
      <c r="I7" s="205" t="str">
        <f t="shared" si="1"/>
        <v/>
      </c>
      <c r="J7" s="205" t="str">
        <f t="shared" si="1"/>
        <v/>
      </c>
      <c r="K7" s="205" t="str">
        <f t="shared" si="1"/>
        <v/>
      </c>
      <c r="L7" s="205" t="str">
        <f t="shared" si="2"/>
        <v>info</v>
      </c>
      <c r="M7" s="205" t="str">
        <f t="shared" si="2"/>
        <v/>
      </c>
      <c r="N7" s="205" t="str">
        <f t="shared" si="2"/>
        <v/>
      </c>
      <c r="O7" s="205" t="str">
        <f t="shared" si="2"/>
        <v>model</v>
      </c>
      <c r="P7" s="206" t="str">
        <f t="shared" si="2"/>
        <v>Integer</v>
      </c>
      <c r="Q7" s="206" t="str">
        <f t="shared" si="2"/>
        <v>x</v>
      </c>
      <c r="R7" s="206" t="str">
        <f t="shared" si="2"/>
        <v>BS</v>
      </c>
      <c r="S7" s="206" t="str">
        <f t="shared" si="2"/>
        <v>all</v>
      </c>
      <c r="T7" s="205">
        <f t="shared" si="2"/>
        <v>3</v>
      </c>
      <c r="U7" s="205" t="str">
        <f t="shared" si="2"/>
        <v>Darstellungseinstellung Grundr.</v>
      </c>
      <c r="V7" s="205" t="str">
        <f t="shared" si="2"/>
        <v/>
      </c>
      <c r="W7" s="205" t="str">
        <f t="shared" si="2"/>
        <v/>
      </c>
      <c r="X7" s="205" t="str">
        <f t="shared" si="2"/>
        <v/>
      </c>
      <c r="Y7" s="205" t="str">
        <f t="shared" si="2"/>
        <v>AC_Hole_Display_Option</v>
      </c>
    </row>
    <row r="8" spans="1:25">
      <c r="A8" s="204">
        <f t="shared" si="0"/>
        <v>6</v>
      </c>
      <c r="B8" s="205" t="str">
        <f t="shared" si="1"/>
        <v>x</v>
      </c>
      <c r="C8" s="205" t="str">
        <f t="shared" si="1"/>
        <v>x</v>
      </c>
      <c r="D8" s="205" t="str">
        <f t="shared" si="1"/>
        <v/>
      </c>
      <c r="E8" s="205" t="str">
        <f t="shared" si="1"/>
        <v/>
      </c>
      <c r="F8" s="205" t="str">
        <f t="shared" si="1"/>
        <v/>
      </c>
      <c r="G8" s="205" t="str">
        <f t="shared" si="1"/>
        <v/>
      </c>
      <c r="H8" s="205" t="str">
        <f t="shared" si="1"/>
        <v/>
      </c>
      <c r="I8" s="205" t="str">
        <f t="shared" si="1"/>
        <v/>
      </c>
      <c r="J8" s="205" t="str">
        <f t="shared" si="1"/>
        <v/>
      </c>
      <c r="K8" s="205" t="str">
        <f t="shared" si="1"/>
        <v/>
      </c>
      <c r="L8" s="205" t="str">
        <f t="shared" si="2"/>
        <v>info</v>
      </c>
      <c r="M8" s="205" t="str">
        <f t="shared" si="2"/>
        <v/>
      </c>
      <c r="N8" s="205" t="str">
        <f t="shared" si="2"/>
        <v/>
      </c>
      <c r="O8" s="205" t="str">
        <f t="shared" si="2"/>
        <v>model</v>
      </c>
      <c r="P8" s="206" t="str">
        <f t="shared" si="2"/>
        <v>Angle</v>
      </c>
      <c r="Q8" s="206" t="str">
        <f t="shared" si="2"/>
        <v>x</v>
      </c>
      <c r="R8" s="206" t="str">
        <f t="shared" si="2"/>
        <v>BS</v>
      </c>
      <c r="S8" s="206" t="str">
        <f t="shared" si="2"/>
        <v>all</v>
      </c>
      <c r="T8" s="205" t="str">
        <f t="shared" si="2"/>
        <v/>
      </c>
      <c r="U8" s="205" t="str">
        <f t="shared" si="2"/>
        <v>Winkel Öffnungsposition</v>
      </c>
      <c r="V8" s="205" t="str">
        <f t="shared" si="2"/>
        <v/>
      </c>
      <c r="W8" s="205" t="str">
        <f t="shared" si="2"/>
        <v/>
      </c>
      <c r="X8" s="205" t="str">
        <f t="shared" si="2"/>
        <v/>
      </c>
      <c r="Y8" s="205" t="str">
        <f t="shared" si="2"/>
        <v>AC_Hole_Position_Angle</v>
      </c>
    </row>
    <row r="9" spans="1:25">
      <c r="A9" s="204">
        <f t="shared" si="0"/>
        <v>7</v>
      </c>
      <c r="B9" s="205" t="str">
        <f t="shared" si="1"/>
        <v>x</v>
      </c>
      <c r="C9" s="205" t="str">
        <f t="shared" si="1"/>
        <v>x</v>
      </c>
      <c r="D9" s="205" t="str">
        <f t="shared" si="1"/>
        <v/>
      </c>
      <c r="E9" s="205" t="str">
        <f t="shared" si="1"/>
        <v/>
      </c>
      <c r="F9" s="205" t="str">
        <f t="shared" si="1"/>
        <v/>
      </c>
      <c r="G9" s="205" t="str">
        <f t="shared" si="1"/>
        <v/>
      </c>
      <c r="H9" s="205" t="str">
        <f t="shared" si="1"/>
        <v/>
      </c>
      <c r="I9" s="205" t="str">
        <f t="shared" si="1"/>
        <v/>
      </c>
      <c r="J9" s="205" t="str">
        <f t="shared" si="1"/>
        <v/>
      </c>
      <c r="K9" s="205" t="str">
        <f t="shared" si="1"/>
        <v/>
      </c>
      <c r="L9" s="205" t="str">
        <f t="shared" si="2"/>
        <v>info</v>
      </c>
      <c r="M9" s="205" t="str">
        <f t="shared" si="2"/>
        <v/>
      </c>
      <c r="N9" s="205" t="str">
        <f t="shared" si="2"/>
        <v/>
      </c>
      <c r="O9" s="205" t="str">
        <f t="shared" si="2"/>
        <v>model</v>
      </c>
      <c r="P9" s="206" t="str">
        <f t="shared" si="2"/>
        <v>Boolean</v>
      </c>
      <c r="Q9" s="206" t="str">
        <f t="shared" si="2"/>
        <v>x</v>
      </c>
      <c r="R9" s="206" t="str">
        <f t="shared" si="2"/>
        <v>BS</v>
      </c>
      <c r="S9" s="206" t="str">
        <f t="shared" si="2"/>
        <v>all</v>
      </c>
      <c r="T9" s="205">
        <f t="shared" si="2"/>
        <v>1</v>
      </c>
      <c r="U9" s="205" t="str">
        <f t="shared" si="2"/>
        <v>Loch übernimmt Oberflächenmaterial der Wandseite</v>
      </c>
      <c r="V9" s="205" t="str">
        <f t="shared" si="2"/>
        <v/>
      </c>
      <c r="W9" s="205" t="str">
        <f t="shared" si="2"/>
        <v/>
      </c>
      <c r="X9" s="205" t="str">
        <f t="shared" si="2"/>
        <v/>
      </c>
      <c r="Y9" s="205" t="str">
        <f t="shared" si="2"/>
        <v>AC_HoleSideMaterial</v>
      </c>
    </row>
    <row r="10" spans="1:25">
      <c r="A10" s="204">
        <f t="shared" si="0"/>
        <v>8</v>
      </c>
      <c r="B10" s="205" t="str">
        <f t="shared" si="1"/>
        <v>x</v>
      </c>
      <c r="C10" s="205" t="str">
        <f t="shared" si="1"/>
        <v>x</v>
      </c>
      <c r="D10" s="205" t="str">
        <f t="shared" si="1"/>
        <v/>
      </c>
      <c r="E10" s="205" t="str">
        <f t="shared" si="1"/>
        <v/>
      </c>
      <c r="F10" s="205" t="str">
        <f t="shared" si="1"/>
        <v/>
      </c>
      <c r="G10" s="205" t="str">
        <f t="shared" si="1"/>
        <v/>
      </c>
      <c r="H10" s="205" t="str">
        <f t="shared" si="1"/>
        <v/>
      </c>
      <c r="I10" s="205" t="str">
        <f t="shared" si="1"/>
        <v/>
      </c>
      <c r="J10" s="205" t="str">
        <f t="shared" si="1"/>
        <v/>
      </c>
      <c r="K10" s="205" t="str">
        <f t="shared" si="1"/>
        <v/>
      </c>
      <c r="L10" s="205" t="str">
        <f t="shared" si="2"/>
        <v>info</v>
      </c>
      <c r="M10" s="205" t="str">
        <f t="shared" si="2"/>
        <v/>
      </c>
      <c r="N10" s="205" t="str">
        <f t="shared" si="2"/>
        <v/>
      </c>
      <c r="O10" s="205" t="str">
        <f t="shared" si="2"/>
        <v>model</v>
      </c>
      <c r="P10" s="206" t="str">
        <f t="shared" si="2"/>
        <v>Boolean</v>
      </c>
      <c r="Q10" s="206" t="str">
        <f t="shared" si="2"/>
        <v>x</v>
      </c>
      <c r="R10" s="206" t="str">
        <f t="shared" si="2"/>
        <v>BS</v>
      </c>
      <c r="S10" s="206" t="str">
        <f t="shared" si="2"/>
        <v>all</v>
      </c>
      <c r="T10" s="205" t="str">
        <f t="shared" si="2"/>
        <v/>
      </c>
      <c r="U10" s="205" t="str">
        <f t="shared" si="2"/>
        <v>Öffnungsoberfläche ist gebogen in gebogenen Wänden</v>
      </c>
      <c r="V10" s="205" t="str">
        <f t="shared" si="2"/>
        <v/>
      </c>
      <c r="W10" s="205" t="str">
        <f t="shared" si="2"/>
        <v/>
      </c>
      <c r="X10" s="205" t="str">
        <f t="shared" si="2"/>
        <v/>
      </c>
      <c r="Y10" s="205" t="str">
        <f t="shared" si="2"/>
        <v>AC_HoleMaterialCurved</v>
      </c>
    </row>
    <row r="11" spans="1:25">
      <c r="A11" s="204">
        <f t="shared" si="0"/>
        <v>9</v>
      </c>
      <c r="B11" s="205" t="str">
        <f t="shared" si="1"/>
        <v>x</v>
      </c>
      <c r="C11" s="205" t="str">
        <f t="shared" si="1"/>
        <v>x</v>
      </c>
      <c r="D11" s="205" t="str">
        <f t="shared" si="1"/>
        <v/>
      </c>
      <c r="E11" s="205" t="str">
        <f t="shared" si="1"/>
        <v/>
      </c>
      <c r="F11" s="205" t="str">
        <f t="shared" si="1"/>
        <v/>
      </c>
      <c r="G11" s="205" t="str">
        <f t="shared" si="1"/>
        <v/>
      </c>
      <c r="H11" s="205" t="str">
        <f t="shared" si="1"/>
        <v/>
      </c>
      <c r="I11" s="205" t="str">
        <f t="shared" si="1"/>
        <v/>
      </c>
      <c r="J11" s="205" t="str">
        <f t="shared" si="1"/>
        <v/>
      </c>
      <c r="K11" s="205" t="str">
        <f t="shared" si="1"/>
        <v/>
      </c>
      <c r="L11" s="205" t="str">
        <f t="shared" si="2"/>
        <v>info</v>
      </c>
      <c r="M11" s="205" t="str">
        <f t="shared" si="2"/>
        <v/>
      </c>
      <c r="N11" s="205" t="str">
        <f t="shared" si="2"/>
        <v/>
      </c>
      <c r="O11" s="205" t="str">
        <f t="shared" si="2"/>
        <v>model</v>
      </c>
      <c r="P11" s="206" t="str">
        <f t="shared" si="2"/>
        <v>Integer</v>
      </c>
      <c r="Q11" s="206" t="str">
        <f t="shared" si="2"/>
        <v>x</v>
      </c>
      <c r="R11" s="206" t="str">
        <f t="shared" si="2"/>
        <v>BS</v>
      </c>
      <c r="S11" s="206" t="str">
        <f t="shared" si="2"/>
        <v>all</v>
      </c>
      <c r="T11" s="205">
        <f t="shared" si="2"/>
        <v>1</v>
      </c>
      <c r="U11" s="205" t="str">
        <f t="shared" si="2"/>
        <v>Wand-Typ</v>
      </c>
      <c r="V11" s="205" t="str">
        <f t="shared" si="2"/>
        <v/>
      </c>
      <c r="W11" s="205" t="str">
        <f t="shared" si="2"/>
        <v/>
      </c>
      <c r="X11" s="205" t="str">
        <f t="shared" si="2"/>
        <v/>
      </c>
      <c r="Y11" s="205" t="str">
        <f t="shared" si="2"/>
        <v>AC_WallType</v>
      </c>
    </row>
    <row r="12" spans="1:25">
      <c r="A12" s="204">
        <f t="shared" si="0"/>
        <v>10</v>
      </c>
      <c r="B12" s="205" t="str">
        <f t="shared" si="1"/>
        <v>x</v>
      </c>
      <c r="C12" s="205" t="str">
        <f t="shared" si="1"/>
        <v>x</v>
      </c>
      <c r="D12" s="205" t="str">
        <f t="shared" si="1"/>
        <v/>
      </c>
      <c r="E12" s="205" t="str">
        <f t="shared" si="1"/>
        <v/>
      </c>
      <c r="F12" s="205" t="str">
        <f t="shared" si="1"/>
        <v/>
      </c>
      <c r="G12" s="205" t="str">
        <f t="shared" si="1"/>
        <v/>
      </c>
      <c r="H12" s="205" t="str">
        <f t="shared" si="1"/>
        <v/>
      </c>
      <c r="I12" s="205" t="str">
        <f t="shared" si="1"/>
        <v/>
      </c>
      <c r="J12" s="205" t="str">
        <f t="shared" si="1"/>
        <v/>
      </c>
      <c r="K12" s="205" t="str">
        <f t="shared" si="1"/>
        <v/>
      </c>
      <c r="L12" s="205" t="str">
        <f t="shared" si="2"/>
        <v>info</v>
      </c>
      <c r="M12" s="205" t="str">
        <f t="shared" si="2"/>
        <v/>
      </c>
      <c r="N12" s="205" t="str">
        <f t="shared" si="2"/>
        <v/>
      </c>
      <c r="O12" s="205" t="str">
        <f t="shared" si="2"/>
        <v>model</v>
      </c>
      <c r="P12" s="206" t="str">
        <f t="shared" si="2"/>
        <v>Integer</v>
      </c>
      <c r="Q12" s="206" t="str">
        <f t="shared" si="2"/>
        <v>x</v>
      </c>
      <c r="R12" s="206" t="str">
        <f t="shared" si="2"/>
        <v>BS</v>
      </c>
      <c r="S12" s="206" t="str">
        <f t="shared" si="2"/>
        <v>all</v>
      </c>
      <c r="T12" s="205" t="str">
        <f t="shared" si="2"/>
        <v>{array}</v>
      </c>
      <c r="U12" s="205" t="str">
        <f t="shared" si="2"/>
        <v>Fenster in Wandkontur</v>
      </c>
      <c r="V12" s="205" t="str">
        <f t="shared" si="2"/>
        <v/>
      </c>
      <c r="W12" s="205" t="str">
        <f t="shared" si="2"/>
        <v/>
      </c>
      <c r="X12" s="205" t="str">
        <f t="shared" si="2"/>
        <v/>
      </c>
      <c r="Y12" s="205" t="str">
        <f t="shared" si="2"/>
        <v>AC_WindowInWallContour</v>
      </c>
    </row>
    <row r="13" spans="1:25">
      <c r="A13" s="204">
        <f t="shared" si="0"/>
        <v>11</v>
      </c>
      <c r="B13" s="205" t="str">
        <f t="shared" ref="B13:K22" si="3">IF(ISNONTEXT(B$2),IF(B$2="","",IF(INDEX(IMPORT,$A13,B$2)=0,"",IFERROR(VLOOKUP(INDEX(IMPORT,$A13,B$2),ImportTranslation,2,0),INDEX(IMPORT,$A13,B$2)))),B$2)</f>
        <v>x</v>
      </c>
      <c r="C13" s="205" t="str">
        <f t="shared" si="3"/>
        <v>x</v>
      </c>
      <c r="D13" s="205" t="str">
        <f t="shared" si="3"/>
        <v/>
      </c>
      <c r="E13" s="205" t="str">
        <f t="shared" si="3"/>
        <v/>
      </c>
      <c r="F13" s="205" t="str">
        <f t="shared" si="3"/>
        <v/>
      </c>
      <c r="G13" s="205" t="str">
        <f t="shared" si="3"/>
        <v/>
      </c>
      <c r="H13" s="205" t="str">
        <f t="shared" si="3"/>
        <v/>
      </c>
      <c r="I13" s="205" t="str">
        <f t="shared" si="3"/>
        <v/>
      </c>
      <c r="J13" s="205" t="str">
        <f t="shared" si="3"/>
        <v/>
      </c>
      <c r="K13" s="205" t="str">
        <f t="shared" si="3"/>
        <v/>
      </c>
      <c r="L13" s="205" t="str">
        <f t="shared" ref="L13:Y22" si="4">IF(ISNONTEXT(L$2),IF(L$2="","",IF(INDEX(IMPORT,$A13,L$2)=0,"",IFERROR(VLOOKUP(INDEX(IMPORT,$A13,L$2),ImportTranslation,2,0),INDEX(IMPORT,$A13,L$2)))),L$2)</f>
        <v>info</v>
      </c>
      <c r="M13" s="205" t="str">
        <f t="shared" si="4"/>
        <v/>
      </c>
      <c r="N13" s="205" t="str">
        <f t="shared" si="4"/>
        <v/>
      </c>
      <c r="O13" s="205" t="str">
        <f t="shared" si="4"/>
        <v>model</v>
      </c>
      <c r="P13" s="206" t="str">
        <f t="shared" si="4"/>
        <v>Length</v>
      </c>
      <c r="Q13" s="206" t="str">
        <f t="shared" si="4"/>
        <v>x</v>
      </c>
      <c r="R13" s="206" t="str">
        <f t="shared" si="4"/>
        <v>BS</v>
      </c>
      <c r="S13" s="206" t="str">
        <f t="shared" si="4"/>
        <v>all</v>
      </c>
      <c r="T13" s="205" t="str">
        <f t="shared" si="4"/>
        <v>{array}</v>
      </c>
      <c r="U13" s="205" t="str">
        <f t="shared" si="4"/>
        <v>Wandkonturpolygon</v>
      </c>
      <c r="V13" s="205" t="str">
        <f t="shared" si="4"/>
        <v/>
      </c>
      <c r="W13" s="205" t="str">
        <f t="shared" si="4"/>
        <v/>
      </c>
      <c r="X13" s="205" t="str">
        <f t="shared" si="4"/>
        <v/>
      </c>
      <c r="Y13" s="205" t="str">
        <f t="shared" si="4"/>
        <v>AC_WallContourPolygon</v>
      </c>
    </row>
    <row r="14" spans="1:25">
      <c r="A14" s="204">
        <f t="shared" si="0"/>
        <v>12</v>
      </c>
      <c r="B14" s="205" t="str">
        <f t="shared" si="3"/>
        <v>x</v>
      </c>
      <c r="C14" s="205" t="str">
        <f t="shared" si="3"/>
        <v>x</v>
      </c>
      <c r="D14" s="205" t="str">
        <f t="shared" si="3"/>
        <v/>
      </c>
      <c r="E14" s="205" t="str">
        <f t="shared" si="3"/>
        <v/>
      </c>
      <c r="F14" s="205" t="str">
        <f t="shared" si="3"/>
        <v/>
      </c>
      <c r="G14" s="205" t="str">
        <f t="shared" si="3"/>
        <v/>
      </c>
      <c r="H14" s="205" t="str">
        <f t="shared" si="3"/>
        <v/>
      </c>
      <c r="I14" s="205" t="str">
        <f t="shared" si="3"/>
        <v/>
      </c>
      <c r="J14" s="205" t="str">
        <f t="shared" si="3"/>
        <v/>
      </c>
      <c r="K14" s="205" t="str">
        <f t="shared" si="3"/>
        <v/>
      </c>
      <c r="L14" s="205" t="str">
        <f t="shared" si="4"/>
        <v>info</v>
      </c>
      <c r="M14" s="205" t="str">
        <f t="shared" si="4"/>
        <v/>
      </c>
      <c r="N14" s="205" t="str">
        <f t="shared" si="4"/>
        <v/>
      </c>
      <c r="O14" s="205" t="str">
        <f t="shared" si="4"/>
        <v>model</v>
      </c>
      <c r="P14" s="206" t="str">
        <f t="shared" si="4"/>
        <v>Integer</v>
      </c>
      <c r="Q14" s="206" t="str">
        <f t="shared" si="4"/>
        <v>x</v>
      </c>
      <c r="R14" s="206" t="str">
        <f t="shared" si="4"/>
        <v>BS</v>
      </c>
      <c r="S14" s="206" t="str">
        <f t="shared" si="4"/>
        <v>all</v>
      </c>
      <c r="T14" s="205" t="str">
        <f t="shared" si="4"/>
        <v/>
      </c>
      <c r="U14" s="205" t="str">
        <f t="shared" si="4"/>
        <v>Wandrichtungstyp</v>
      </c>
      <c r="V14" s="205" t="str">
        <f t="shared" si="4"/>
        <v/>
      </c>
      <c r="W14" s="205" t="str">
        <f t="shared" si="4"/>
        <v/>
      </c>
      <c r="X14" s="205" t="str">
        <f t="shared" si="4"/>
        <v/>
      </c>
      <c r="Y14" s="205" t="str">
        <f t="shared" si="4"/>
        <v>AC_Wall_Direction_Type</v>
      </c>
    </row>
    <row r="15" spans="1:25">
      <c r="A15" s="204">
        <f t="shared" si="0"/>
        <v>13</v>
      </c>
      <c r="B15" s="205" t="str">
        <f t="shared" si="3"/>
        <v>x</v>
      </c>
      <c r="C15" s="205" t="str">
        <f t="shared" si="3"/>
        <v>x</v>
      </c>
      <c r="D15" s="205" t="str">
        <f t="shared" si="3"/>
        <v/>
      </c>
      <c r="E15" s="205" t="str">
        <f t="shared" si="3"/>
        <v/>
      </c>
      <c r="F15" s="205" t="str">
        <f t="shared" si="3"/>
        <v/>
      </c>
      <c r="G15" s="205" t="str">
        <f t="shared" si="3"/>
        <v/>
      </c>
      <c r="H15" s="205" t="str">
        <f t="shared" si="3"/>
        <v/>
      </c>
      <c r="I15" s="205" t="str">
        <f t="shared" si="3"/>
        <v/>
      </c>
      <c r="J15" s="205" t="str">
        <f t="shared" si="3"/>
        <v/>
      </c>
      <c r="K15" s="205" t="str">
        <f t="shared" si="3"/>
        <v>x</v>
      </c>
      <c r="L15" s="205" t="str">
        <f t="shared" si="4"/>
        <v>info</v>
      </c>
      <c r="M15" s="205" t="str">
        <f t="shared" si="4"/>
        <v/>
      </c>
      <c r="N15" s="205" t="str">
        <f t="shared" si="4"/>
        <v/>
      </c>
      <c r="O15" s="205" t="str">
        <f t="shared" si="4"/>
        <v>model</v>
      </c>
      <c r="P15" s="206" t="str">
        <f t="shared" si="4"/>
        <v>Integer</v>
      </c>
      <c r="Q15" s="206" t="str">
        <f t="shared" si="4"/>
        <v>x</v>
      </c>
      <c r="R15" s="206" t="str">
        <f t="shared" si="4"/>
        <v>BS</v>
      </c>
      <c r="S15" s="206" t="str">
        <f t="shared" si="4"/>
        <v>all</v>
      </c>
      <c r="T15" s="205">
        <f t="shared" si="4"/>
        <v>2</v>
      </c>
      <c r="U15" s="205" t="str">
        <f t="shared" si="4"/>
        <v>Laibung Ankerposition</v>
      </c>
      <c r="V15" s="205" t="str">
        <f t="shared" si="4"/>
        <v/>
      </c>
      <c r="W15" s="205" t="str">
        <f t="shared" si="4"/>
        <v/>
      </c>
      <c r="X15" s="205" t="str">
        <f t="shared" si="4"/>
        <v/>
      </c>
      <c r="Y15" s="205" t="str">
        <f t="shared" si="4"/>
        <v>ac_revealAnchorPos</v>
      </c>
    </row>
    <row r="16" spans="1:25">
      <c r="A16" s="204">
        <f t="shared" si="0"/>
        <v>14</v>
      </c>
      <c r="B16" s="205" t="str">
        <f t="shared" si="3"/>
        <v>x</v>
      </c>
      <c r="C16" s="205" t="str">
        <f t="shared" si="3"/>
        <v>x</v>
      </c>
      <c r="D16" s="205" t="str">
        <f t="shared" si="3"/>
        <v/>
      </c>
      <c r="E16" s="205" t="str">
        <f t="shared" si="3"/>
        <v/>
      </c>
      <c r="F16" s="205" t="str">
        <f t="shared" si="3"/>
        <v/>
      </c>
      <c r="G16" s="205" t="str">
        <f t="shared" si="3"/>
        <v/>
      </c>
      <c r="H16" s="205" t="str">
        <f t="shared" si="3"/>
        <v/>
      </c>
      <c r="I16" s="205" t="str">
        <f t="shared" si="3"/>
        <v/>
      </c>
      <c r="J16" s="205" t="str">
        <f t="shared" si="3"/>
        <v/>
      </c>
      <c r="K16" s="205" t="str">
        <f t="shared" si="3"/>
        <v>x</v>
      </c>
      <c r="L16" s="205" t="str">
        <f t="shared" si="4"/>
        <v>info</v>
      </c>
      <c r="M16" s="205" t="str">
        <f t="shared" si="4"/>
        <v/>
      </c>
      <c r="N16" s="205" t="str">
        <f t="shared" si="4"/>
        <v/>
      </c>
      <c r="O16" s="205" t="str">
        <f t="shared" si="4"/>
        <v>model</v>
      </c>
      <c r="P16" s="206" t="str">
        <f t="shared" si="4"/>
        <v>Length</v>
      </c>
      <c r="Q16" s="206" t="str">
        <f t="shared" si="4"/>
        <v>x</v>
      </c>
      <c r="R16" s="206" t="str">
        <f t="shared" si="4"/>
        <v>BS</v>
      </c>
      <c r="S16" s="206" t="str">
        <f t="shared" si="4"/>
        <v>all</v>
      </c>
      <c r="T16" s="205">
        <f t="shared" si="4"/>
        <v>-0.255</v>
      </c>
      <c r="U16" s="205" t="str">
        <f t="shared" si="4"/>
        <v>Laibung zum Wandkern</v>
      </c>
      <c r="V16" s="205" t="str">
        <f t="shared" si="4"/>
        <v/>
      </c>
      <c r="W16" s="205" t="str">
        <f t="shared" si="4"/>
        <v/>
      </c>
      <c r="X16" s="205" t="str">
        <f t="shared" si="4"/>
        <v/>
      </c>
      <c r="Y16" s="205" t="str">
        <f t="shared" si="4"/>
        <v>ac_revealToWallCore</v>
      </c>
    </row>
    <row r="17" spans="1:25">
      <c r="A17" s="204">
        <f t="shared" si="0"/>
        <v>15</v>
      </c>
      <c r="B17" s="205" t="str">
        <f t="shared" si="3"/>
        <v>x</v>
      </c>
      <c r="C17" s="205" t="str">
        <f t="shared" si="3"/>
        <v>x</v>
      </c>
      <c r="D17" s="205" t="str">
        <f t="shared" si="3"/>
        <v/>
      </c>
      <c r="E17" s="205" t="str">
        <f t="shared" si="3"/>
        <v/>
      </c>
      <c r="F17" s="205" t="str">
        <f t="shared" si="3"/>
        <v/>
      </c>
      <c r="G17" s="205" t="str">
        <f t="shared" si="3"/>
        <v/>
      </c>
      <c r="H17" s="205" t="str">
        <f t="shared" si="3"/>
        <v/>
      </c>
      <c r="I17" s="205" t="str">
        <f t="shared" si="3"/>
        <v/>
      </c>
      <c r="J17" s="205" t="str">
        <f t="shared" si="3"/>
        <v/>
      </c>
      <c r="K17" s="205" t="str">
        <f t="shared" si="3"/>
        <v/>
      </c>
      <c r="L17" s="205" t="str">
        <f t="shared" si="4"/>
        <v>info</v>
      </c>
      <c r="M17" s="205" t="str">
        <f t="shared" si="4"/>
        <v/>
      </c>
      <c r="N17" s="205" t="str">
        <f t="shared" si="4"/>
        <v/>
      </c>
      <c r="O17" s="205" t="str">
        <f t="shared" si="4"/>
        <v>model</v>
      </c>
      <c r="P17" s="206" t="str">
        <f t="shared" si="4"/>
        <v>Integer</v>
      </c>
      <c r="Q17" s="206" t="str">
        <f t="shared" si="4"/>
        <v>x</v>
      </c>
      <c r="R17" s="206" t="str">
        <f t="shared" si="4"/>
        <v>BS</v>
      </c>
      <c r="S17" s="206" t="str">
        <f t="shared" si="4"/>
        <v>all</v>
      </c>
      <c r="T17" s="205">
        <f t="shared" si="4"/>
        <v>1</v>
      </c>
      <c r="U17" s="205" t="str">
        <f t="shared" si="4"/>
        <v>Wandquerschnittstyp</v>
      </c>
      <c r="V17" s="205" t="str">
        <f t="shared" si="4"/>
        <v/>
      </c>
      <c r="W17" s="205" t="str">
        <f t="shared" si="4"/>
        <v/>
      </c>
      <c r="X17" s="205" t="str">
        <f t="shared" si="4"/>
        <v/>
      </c>
      <c r="Y17" s="205" t="str">
        <f t="shared" si="4"/>
        <v>AC_Wall_CrossSection_Type</v>
      </c>
    </row>
    <row r="18" spans="1:25">
      <c r="A18" s="204">
        <f t="shared" si="0"/>
        <v>16</v>
      </c>
      <c r="B18" s="205" t="str">
        <f t="shared" si="3"/>
        <v>x</v>
      </c>
      <c r="C18" s="205" t="str">
        <f t="shared" si="3"/>
        <v>x</v>
      </c>
      <c r="D18" s="205" t="str">
        <f t="shared" si="3"/>
        <v/>
      </c>
      <c r="E18" s="205" t="str">
        <f t="shared" si="3"/>
        <v/>
      </c>
      <c r="F18" s="205" t="str">
        <f t="shared" si="3"/>
        <v/>
      </c>
      <c r="G18" s="205" t="str">
        <f t="shared" si="3"/>
        <v/>
      </c>
      <c r="H18" s="205" t="str">
        <f t="shared" si="3"/>
        <v/>
      </c>
      <c r="I18" s="205" t="str">
        <f t="shared" si="3"/>
        <v/>
      </c>
      <c r="J18" s="205" t="str">
        <f t="shared" si="3"/>
        <v/>
      </c>
      <c r="K18" s="205" t="str">
        <f t="shared" si="3"/>
        <v/>
      </c>
      <c r="L18" s="205" t="str">
        <f t="shared" si="4"/>
        <v>info</v>
      </c>
      <c r="M18" s="205" t="str">
        <f t="shared" si="4"/>
        <v/>
      </c>
      <c r="N18" s="205" t="str">
        <f t="shared" si="4"/>
        <v/>
      </c>
      <c r="O18" s="205" t="str">
        <f t="shared" si="4"/>
        <v>model</v>
      </c>
      <c r="P18" s="206" t="str">
        <f t="shared" si="4"/>
        <v>Integer</v>
      </c>
      <c r="Q18" s="206" t="str">
        <f t="shared" si="4"/>
        <v>x</v>
      </c>
      <c r="R18" s="206" t="str">
        <f t="shared" si="4"/>
        <v>BS</v>
      </c>
      <c r="S18" s="206" t="str">
        <f t="shared" si="4"/>
        <v>all</v>
      </c>
      <c r="T18" s="205">
        <f t="shared" si="4"/>
        <v>2</v>
      </c>
      <c r="U18" s="205" t="str">
        <f t="shared" si="4"/>
        <v/>
      </c>
      <c r="V18" s="205" t="str">
        <f t="shared" si="4"/>
        <v/>
      </c>
      <c r="W18" s="205" t="str">
        <f t="shared" si="4"/>
        <v/>
      </c>
      <c r="X18" s="205" t="str">
        <f t="shared" si="4"/>
        <v/>
      </c>
      <c r="Y18" s="205" t="str">
        <f t="shared" si="4"/>
        <v>ac_wido_hide_options</v>
      </c>
    </row>
    <row r="19" spans="1:25">
      <c r="A19" s="204">
        <f t="shared" si="0"/>
        <v>17</v>
      </c>
      <c r="B19" s="205" t="str">
        <f t="shared" si="3"/>
        <v>x</v>
      </c>
      <c r="C19" s="205" t="str">
        <f t="shared" si="3"/>
        <v>x</v>
      </c>
      <c r="D19" s="205" t="str">
        <f t="shared" si="3"/>
        <v/>
      </c>
      <c r="E19" s="205" t="str">
        <f t="shared" si="3"/>
        <v/>
      </c>
      <c r="F19" s="205" t="str">
        <f t="shared" si="3"/>
        <v/>
      </c>
      <c r="G19" s="205" t="str">
        <f t="shared" si="3"/>
        <v/>
      </c>
      <c r="H19" s="205" t="str">
        <f t="shared" si="3"/>
        <v/>
      </c>
      <c r="I19" s="205" t="str">
        <f t="shared" si="3"/>
        <v/>
      </c>
      <c r="J19" s="205" t="str">
        <f t="shared" si="3"/>
        <v/>
      </c>
      <c r="K19" s="205" t="str">
        <f t="shared" si="3"/>
        <v>x</v>
      </c>
      <c r="L19" s="205" t="str">
        <f t="shared" si="4"/>
        <v>info</v>
      </c>
      <c r="M19" s="205" t="str">
        <f t="shared" si="4"/>
        <v/>
      </c>
      <c r="N19" s="205" t="str">
        <f t="shared" si="4"/>
        <v/>
      </c>
      <c r="O19" s="205" t="str">
        <f t="shared" si="4"/>
        <v>model</v>
      </c>
      <c r="P19" s="206" t="str">
        <f t="shared" si="4"/>
        <v>Integer</v>
      </c>
      <c r="Q19" s="206" t="str">
        <f t="shared" si="4"/>
        <v>x</v>
      </c>
      <c r="R19" s="206" t="str">
        <f t="shared" si="4"/>
        <v>BS</v>
      </c>
      <c r="S19" s="206" t="str">
        <f t="shared" si="4"/>
        <v>all</v>
      </c>
      <c r="T19" s="205" t="str">
        <f t="shared" si="4"/>
        <v/>
      </c>
      <c r="U19" s="205" t="str">
        <f t="shared" si="4"/>
        <v>Öffnungsdirektion</v>
      </c>
      <c r="V19" s="205" t="str">
        <f t="shared" si="4"/>
        <v/>
      </c>
      <c r="W19" s="205" t="str">
        <f t="shared" si="4"/>
        <v/>
      </c>
      <c r="X19" s="205" t="str">
        <f t="shared" si="4"/>
        <v/>
      </c>
      <c r="Y19" s="205" t="str">
        <f t="shared" si="4"/>
        <v>ac_zone_on_reveal_side</v>
      </c>
    </row>
    <row r="20" spans="1:25">
      <c r="A20" s="204">
        <f t="shared" si="0"/>
        <v>18</v>
      </c>
      <c r="B20" s="205" t="str">
        <f t="shared" si="3"/>
        <v>x</v>
      </c>
      <c r="C20" s="205" t="str">
        <f t="shared" si="3"/>
        <v>x</v>
      </c>
      <c r="D20" s="205" t="str">
        <f t="shared" si="3"/>
        <v/>
      </c>
      <c r="E20" s="205" t="str">
        <f t="shared" si="3"/>
        <v/>
      </c>
      <c r="F20" s="205" t="str">
        <f t="shared" si="3"/>
        <v/>
      </c>
      <c r="G20" s="205" t="str">
        <f t="shared" si="3"/>
        <v/>
      </c>
      <c r="H20" s="205" t="str">
        <f t="shared" si="3"/>
        <v/>
      </c>
      <c r="I20" s="205" t="str">
        <f t="shared" si="3"/>
        <v/>
      </c>
      <c r="J20" s="205" t="str">
        <f t="shared" si="3"/>
        <v/>
      </c>
      <c r="K20" s="205" t="str">
        <f t="shared" si="3"/>
        <v>x</v>
      </c>
      <c r="L20" s="205" t="str">
        <f t="shared" si="4"/>
        <v>info</v>
      </c>
      <c r="M20" s="205" t="str">
        <f t="shared" si="4"/>
        <v/>
      </c>
      <c r="N20" s="205" t="str">
        <f t="shared" si="4"/>
        <v/>
      </c>
      <c r="O20" s="205" t="str">
        <f t="shared" si="4"/>
        <v>model</v>
      </c>
      <c r="P20" s="206" t="str">
        <f t="shared" si="4"/>
        <v>Integer</v>
      </c>
      <c r="Q20" s="206" t="str">
        <f t="shared" si="4"/>
        <v>x</v>
      </c>
      <c r="R20" s="206" t="str">
        <f t="shared" si="4"/>
        <v>BS</v>
      </c>
      <c r="S20" s="206" t="str">
        <f t="shared" si="4"/>
        <v>all</v>
      </c>
      <c r="T20" s="205">
        <f t="shared" si="4"/>
        <v>3</v>
      </c>
      <c r="U20" s="205" t="str">
        <f t="shared" si="4"/>
        <v>Heizkörpernische</v>
      </c>
      <c r="V20" s="205" t="str">
        <f t="shared" si="4"/>
        <v/>
      </c>
      <c r="W20" s="205" t="str">
        <f t="shared" si="4"/>
        <v/>
      </c>
      <c r="X20" s="205" t="str">
        <f t="shared" si="4"/>
        <v/>
      </c>
      <c r="Y20" s="205" t="str">
        <f t="shared" si="4"/>
        <v>pwi</v>
      </c>
    </row>
    <row r="21" spans="1:25">
      <c r="A21" s="204">
        <f t="shared" si="0"/>
        <v>19</v>
      </c>
      <c r="B21" s="205" t="str">
        <f t="shared" si="3"/>
        <v>x</v>
      </c>
      <c r="C21" s="205" t="str">
        <f t="shared" si="3"/>
        <v/>
      </c>
      <c r="D21" s="205" t="str">
        <f t="shared" si="3"/>
        <v/>
      </c>
      <c r="E21" s="205" t="str">
        <f t="shared" si="3"/>
        <v/>
      </c>
      <c r="F21" s="205" t="str">
        <f t="shared" si="3"/>
        <v/>
      </c>
      <c r="G21" s="205" t="str">
        <f t="shared" si="3"/>
        <v/>
      </c>
      <c r="H21" s="205" t="str">
        <f t="shared" si="3"/>
        <v/>
      </c>
      <c r="I21" s="205" t="str">
        <f t="shared" si="3"/>
        <v/>
      </c>
      <c r="J21" s="205" t="str">
        <f t="shared" si="3"/>
        <v/>
      </c>
      <c r="K21" s="205" t="str">
        <f t="shared" si="3"/>
        <v/>
      </c>
      <c r="L21" s="205" t="str">
        <f t="shared" si="4"/>
        <v>info</v>
      </c>
      <c r="M21" s="205" t="str">
        <f t="shared" si="4"/>
        <v/>
      </c>
      <c r="N21" s="205" t="str">
        <f t="shared" si="4"/>
        <v/>
      </c>
      <c r="O21" s="205" t="str">
        <f t="shared" si="4"/>
        <v>model</v>
      </c>
      <c r="P21" s="206" t="str">
        <f t="shared" si="4"/>
        <v>Title</v>
      </c>
      <c r="Q21" s="206" t="str">
        <f t="shared" si="4"/>
        <v>x</v>
      </c>
      <c r="R21" s="206" t="str">
        <f t="shared" si="4"/>
        <v>BS</v>
      </c>
      <c r="S21" s="206" t="str">
        <f t="shared" si="4"/>
        <v>all</v>
      </c>
      <c r="T21" s="205" t="str">
        <f t="shared" si="4"/>
        <v/>
      </c>
      <c r="U21" s="205" t="str">
        <f t="shared" si="4"/>
        <v>Türgrößen</v>
      </c>
      <c r="V21" s="205" t="str">
        <f t="shared" si="4"/>
        <v/>
      </c>
      <c r="W21" s="205" t="str">
        <f t="shared" si="4"/>
        <v/>
      </c>
      <c r="X21" s="205" t="str">
        <f t="shared" si="4"/>
        <v/>
      </c>
      <c r="Y21" s="205" t="str">
        <f t="shared" si="4"/>
        <v>gs_door_sizes</v>
      </c>
    </row>
    <row r="22" spans="1:25">
      <c r="A22" s="204">
        <f t="shared" si="0"/>
        <v>20</v>
      </c>
      <c r="B22" s="205" t="str">
        <f t="shared" si="3"/>
        <v>x</v>
      </c>
      <c r="C22" s="205" t="str">
        <f t="shared" si="3"/>
        <v/>
      </c>
      <c r="D22" s="205" t="str">
        <f t="shared" si="3"/>
        <v/>
      </c>
      <c r="E22" s="205" t="str">
        <f t="shared" si="3"/>
        <v/>
      </c>
      <c r="F22" s="205" t="str">
        <f t="shared" si="3"/>
        <v/>
      </c>
      <c r="G22" s="205" t="str">
        <f t="shared" si="3"/>
        <v/>
      </c>
      <c r="H22" s="205" t="str">
        <f t="shared" si="3"/>
        <v/>
      </c>
      <c r="I22" s="205" t="str">
        <f t="shared" si="3"/>
        <v/>
      </c>
      <c r="J22" s="205" t="str">
        <f t="shared" si="3"/>
        <v/>
      </c>
      <c r="K22" s="205" t="str">
        <f t="shared" si="3"/>
        <v/>
      </c>
      <c r="L22" s="205" t="str">
        <f t="shared" si="4"/>
        <v>info</v>
      </c>
      <c r="M22" s="205" t="str">
        <f t="shared" si="4"/>
        <v>x</v>
      </c>
      <c r="N22" s="205" t="str">
        <f t="shared" si="4"/>
        <v/>
      </c>
      <c r="O22" s="205" t="str">
        <f t="shared" si="4"/>
        <v>model</v>
      </c>
      <c r="P22" s="206" t="str">
        <f t="shared" si="4"/>
        <v>Length</v>
      </c>
      <c r="Q22" s="206" t="str">
        <f t="shared" si="4"/>
        <v>x</v>
      </c>
      <c r="R22" s="206" t="str">
        <f t="shared" si="4"/>
        <v>BS</v>
      </c>
      <c r="S22" s="206" t="str">
        <f t="shared" si="4"/>
        <v>all</v>
      </c>
      <c r="T22" s="205" t="str">
        <f t="shared" si="4"/>
        <v/>
      </c>
      <c r="U22" s="205" t="str">
        <f t="shared" si="4"/>
        <v>Einbautoleranz links</v>
      </c>
      <c r="V22" s="205" t="str">
        <f t="shared" si="4"/>
        <v>x</v>
      </c>
      <c r="W22" s="205" t="str">
        <f t="shared" si="4"/>
        <v/>
      </c>
      <c r="X22" s="205" t="str">
        <f t="shared" si="4"/>
        <v/>
      </c>
      <c r="Y22" s="205" t="str">
        <f t="shared" si="4"/>
        <v>gs_tolerance_left</v>
      </c>
    </row>
    <row r="23" spans="1:25">
      <c r="A23" s="204">
        <f t="shared" si="0"/>
        <v>21</v>
      </c>
      <c r="B23" s="205" t="str">
        <f t="shared" ref="B23:K32" si="5">IF(ISNONTEXT(B$2),IF(B$2="","",IF(INDEX(IMPORT,$A23,B$2)=0,"",IFERROR(VLOOKUP(INDEX(IMPORT,$A23,B$2),ImportTranslation,2,0),INDEX(IMPORT,$A23,B$2)))),B$2)</f>
        <v>x</v>
      </c>
      <c r="C23" s="205" t="str">
        <f t="shared" si="5"/>
        <v/>
      </c>
      <c r="D23" s="205" t="str">
        <f t="shared" si="5"/>
        <v/>
      </c>
      <c r="E23" s="205" t="str">
        <f t="shared" si="5"/>
        <v/>
      </c>
      <c r="F23" s="205" t="str">
        <f t="shared" si="5"/>
        <v/>
      </c>
      <c r="G23" s="205" t="str">
        <f t="shared" si="5"/>
        <v/>
      </c>
      <c r="H23" s="205" t="str">
        <f t="shared" si="5"/>
        <v/>
      </c>
      <c r="I23" s="205" t="str">
        <f t="shared" si="5"/>
        <v/>
      </c>
      <c r="J23" s="205" t="str">
        <f t="shared" si="5"/>
        <v/>
      </c>
      <c r="K23" s="205" t="str">
        <f t="shared" si="5"/>
        <v/>
      </c>
      <c r="L23" s="205" t="str">
        <f t="shared" ref="L23:Y32" si="6">IF(ISNONTEXT(L$2),IF(L$2="","",IF(INDEX(IMPORT,$A23,L$2)=0,"",IFERROR(VLOOKUP(INDEX(IMPORT,$A23,L$2),ImportTranslation,2,0),INDEX(IMPORT,$A23,L$2)))),L$2)</f>
        <v>info</v>
      </c>
      <c r="M23" s="205" t="str">
        <f t="shared" si="6"/>
        <v>x</v>
      </c>
      <c r="N23" s="205" t="str">
        <f t="shared" si="6"/>
        <v/>
      </c>
      <c r="O23" s="205" t="str">
        <f t="shared" si="6"/>
        <v>model</v>
      </c>
      <c r="P23" s="206" t="str">
        <f t="shared" si="6"/>
        <v>Length</v>
      </c>
      <c r="Q23" s="206" t="str">
        <f t="shared" si="6"/>
        <v>x</v>
      </c>
      <c r="R23" s="206" t="str">
        <f t="shared" si="6"/>
        <v>BS</v>
      </c>
      <c r="S23" s="206" t="str">
        <f t="shared" si="6"/>
        <v>all</v>
      </c>
      <c r="T23" s="205" t="str">
        <f t="shared" si="6"/>
        <v/>
      </c>
      <c r="U23" s="205" t="str">
        <f t="shared" si="6"/>
        <v>Einbautoleranz rechts</v>
      </c>
      <c r="V23" s="205" t="str">
        <f t="shared" si="6"/>
        <v>x</v>
      </c>
      <c r="W23" s="205" t="str">
        <f t="shared" si="6"/>
        <v/>
      </c>
      <c r="X23" s="205" t="str">
        <f t="shared" si="6"/>
        <v/>
      </c>
      <c r="Y23" s="205" t="str">
        <f t="shared" si="6"/>
        <v>gs_tolerance_right</v>
      </c>
    </row>
    <row r="24" spans="1:25">
      <c r="A24" s="204">
        <f t="shared" si="0"/>
        <v>22</v>
      </c>
      <c r="B24" s="205" t="str">
        <f t="shared" si="5"/>
        <v>x</v>
      </c>
      <c r="C24" s="205" t="str">
        <f t="shared" si="5"/>
        <v/>
      </c>
      <c r="D24" s="205" t="str">
        <f t="shared" si="5"/>
        <v/>
      </c>
      <c r="E24" s="205" t="str">
        <f t="shared" si="5"/>
        <v/>
      </c>
      <c r="F24" s="205" t="str">
        <f t="shared" si="5"/>
        <v/>
      </c>
      <c r="G24" s="205" t="str">
        <f t="shared" si="5"/>
        <v/>
      </c>
      <c r="H24" s="205" t="str">
        <f t="shared" si="5"/>
        <v/>
      </c>
      <c r="I24" s="205" t="str">
        <f t="shared" si="5"/>
        <v/>
      </c>
      <c r="J24" s="205" t="str">
        <f t="shared" si="5"/>
        <v/>
      </c>
      <c r="K24" s="205" t="str">
        <f t="shared" si="5"/>
        <v/>
      </c>
      <c r="L24" s="205" t="str">
        <f t="shared" si="6"/>
        <v>info</v>
      </c>
      <c r="M24" s="205" t="str">
        <f t="shared" si="6"/>
        <v>x</v>
      </c>
      <c r="N24" s="205" t="str">
        <f t="shared" si="6"/>
        <v/>
      </c>
      <c r="O24" s="205" t="str">
        <f t="shared" si="6"/>
        <v>model</v>
      </c>
      <c r="P24" s="206" t="str">
        <f t="shared" si="6"/>
        <v>Length</v>
      </c>
      <c r="Q24" s="206" t="str">
        <f t="shared" si="6"/>
        <v>x</v>
      </c>
      <c r="R24" s="206" t="str">
        <f t="shared" si="6"/>
        <v>BS</v>
      </c>
      <c r="S24" s="206" t="str">
        <f t="shared" si="6"/>
        <v>all</v>
      </c>
      <c r="T24" s="205" t="str">
        <f t="shared" si="6"/>
        <v/>
      </c>
      <c r="U24" s="205" t="str">
        <f t="shared" si="6"/>
        <v>Einbautoleranz oben</v>
      </c>
      <c r="V24" s="205" t="str">
        <f t="shared" si="6"/>
        <v>x</v>
      </c>
      <c r="W24" s="205" t="str">
        <f t="shared" si="6"/>
        <v/>
      </c>
      <c r="X24" s="205" t="str">
        <f t="shared" si="6"/>
        <v/>
      </c>
      <c r="Y24" s="205" t="str">
        <f t="shared" si="6"/>
        <v>gs_tolerance_upper</v>
      </c>
    </row>
    <row r="25" spans="1:25">
      <c r="A25" s="204">
        <f t="shared" si="0"/>
        <v>23</v>
      </c>
      <c r="B25" s="205" t="str">
        <f t="shared" si="5"/>
        <v>x</v>
      </c>
      <c r="C25" s="205" t="str">
        <f t="shared" si="5"/>
        <v>x</v>
      </c>
      <c r="D25" s="205" t="str">
        <f t="shared" si="5"/>
        <v/>
      </c>
      <c r="E25" s="205" t="str">
        <f t="shared" si="5"/>
        <v/>
      </c>
      <c r="F25" s="205" t="str">
        <f t="shared" si="5"/>
        <v/>
      </c>
      <c r="G25" s="205" t="str">
        <f t="shared" si="5"/>
        <v/>
      </c>
      <c r="H25" s="205" t="str">
        <f t="shared" si="5"/>
        <v/>
      </c>
      <c r="I25" s="205" t="str">
        <f t="shared" si="5"/>
        <v/>
      </c>
      <c r="J25" s="205" t="str">
        <f t="shared" si="5"/>
        <v/>
      </c>
      <c r="K25" s="205" t="str">
        <f t="shared" si="5"/>
        <v/>
      </c>
      <c r="L25" s="205" t="str">
        <f t="shared" si="6"/>
        <v>info</v>
      </c>
      <c r="M25" s="205" t="str">
        <f t="shared" si="6"/>
        <v>x</v>
      </c>
      <c r="N25" s="205" t="str">
        <f t="shared" si="6"/>
        <v/>
      </c>
      <c r="O25" s="205" t="str">
        <f t="shared" si="6"/>
        <v>model</v>
      </c>
      <c r="P25" s="206" t="str">
        <f t="shared" si="6"/>
        <v>Length</v>
      </c>
      <c r="Q25" s="206" t="str">
        <f t="shared" si="6"/>
        <v>x</v>
      </c>
      <c r="R25" s="206" t="str">
        <f t="shared" si="6"/>
        <v>BS</v>
      </c>
      <c r="S25" s="206" t="str">
        <f t="shared" si="6"/>
        <v>all</v>
      </c>
      <c r="T25" s="205" t="str">
        <f t="shared" si="6"/>
        <v/>
      </c>
      <c r="U25" s="205" t="str">
        <f t="shared" si="6"/>
        <v>Einbautoleranz unten</v>
      </c>
      <c r="V25" s="205" t="str">
        <f t="shared" si="6"/>
        <v>x</v>
      </c>
      <c r="W25" s="205" t="str">
        <f t="shared" si="6"/>
        <v/>
      </c>
      <c r="X25" s="205" t="str">
        <f t="shared" si="6"/>
        <v/>
      </c>
      <c r="Y25" s="205" t="str">
        <f t="shared" si="6"/>
        <v>gs_tolerance_lower</v>
      </c>
    </row>
    <row r="26" spans="1:25">
      <c r="A26" s="204">
        <f t="shared" si="0"/>
        <v>24</v>
      </c>
      <c r="B26" s="205" t="str">
        <f t="shared" si="5"/>
        <v>x</v>
      </c>
      <c r="C26" s="205" t="str">
        <f t="shared" si="5"/>
        <v/>
      </c>
      <c r="D26" s="205" t="str">
        <f t="shared" si="5"/>
        <v/>
      </c>
      <c r="E26" s="205" t="str">
        <f t="shared" si="5"/>
        <v/>
      </c>
      <c r="F26" s="205" t="str">
        <f t="shared" si="5"/>
        <v/>
      </c>
      <c r="G26" s="205" t="str">
        <f t="shared" si="5"/>
        <v/>
      </c>
      <c r="H26" s="205" t="str">
        <f t="shared" si="5"/>
        <v/>
      </c>
      <c r="I26" s="205" t="str">
        <f t="shared" si="5"/>
        <v/>
      </c>
      <c r="J26" s="205" t="str">
        <f t="shared" si="5"/>
        <v/>
      </c>
      <c r="K26" s="205" t="str">
        <f t="shared" si="5"/>
        <v/>
      </c>
      <c r="L26" s="205" t="str">
        <f t="shared" si="6"/>
        <v>info</v>
      </c>
      <c r="M26" s="205" t="str">
        <f t="shared" si="6"/>
        <v>x</v>
      </c>
      <c r="N26" s="205" t="str">
        <f t="shared" si="6"/>
        <v/>
      </c>
      <c r="O26" s="205" t="str">
        <f t="shared" si="6"/>
        <v>model</v>
      </c>
      <c r="P26" s="206" t="str">
        <f t="shared" si="6"/>
        <v>Length</v>
      </c>
      <c r="Q26" s="206" t="str">
        <f t="shared" si="6"/>
        <v>x</v>
      </c>
      <c r="R26" s="206" t="str">
        <f t="shared" si="6"/>
        <v>BS</v>
      </c>
      <c r="S26" s="206" t="str">
        <f t="shared" si="6"/>
        <v>all</v>
      </c>
      <c r="T26" s="205" t="str">
        <f t="shared" si="6"/>
        <v/>
      </c>
      <c r="U26" s="205" t="str">
        <f t="shared" si="6"/>
        <v>Toleranz außen links</v>
      </c>
      <c r="V26" s="205" t="str">
        <f t="shared" si="6"/>
        <v>x</v>
      </c>
      <c r="W26" s="205" t="str">
        <f t="shared" si="6"/>
        <v/>
      </c>
      <c r="X26" s="205" t="str">
        <f t="shared" si="6"/>
        <v/>
      </c>
      <c r="Y26" s="205" t="str">
        <f t="shared" si="6"/>
        <v>gs_baurichtmass_outer_left</v>
      </c>
    </row>
    <row r="27" spans="1:25">
      <c r="A27" s="204">
        <f t="shared" si="0"/>
        <v>25</v>
      </c>
      <c r="B27" s="205" t="str">
        <f t="shared" si="5"/>
        <v>x</v>
      </c>
      <c r="C27" s="205" t="str">
        <f t="shared" si="5"/>
        <v/>
      </c>
      <c r="D27" s="205" t="str">
        <f t="shared" si="5"/>
        <v/>
      </c>
      <c r="E27" s="205" t="str">
        <f t="shared" si="5"/>
        <v/>
      </c>
      <c r="F27" s="205" t="str">
        <f t="shared" si="5"/>
        <v/>
      </c>
      <c r="G27" s="205" t="str">
        <f t="shared" si="5"/>
        <v/>
      </c>
      <c r="H27" s="205" t="str">
        <f t="shared" si="5"/>
        <v/>
      </c>
      <c r="I27" s="205" t="str">
        <f t="shared" si="5"/>
        <v/>
      </c>
      <c r="J27" s="205" t="str">
        <f t="shared" si="5"/>
        <v/>
      </c>
      <c r="K27" s="205" t="str">
        <f t="shared" si="5"/>
        <v/>
      </c>
      <c r="L27" s="205" t="str">
        <f t="shared" si="6"/>
        <v>info</v>
      </c>
      <c r="M27" s="205" t="str">
        <f t="shared" si="6"/>
        <v>x</v>
      </c>
      <c r="N27" s="205" t="str">
        <f t="shared" si="6"/>
        <v/>
      </c>
      <c r="O27" s="205" t="str">
        <f t="shared" si="6"/>
        <v>model</v>
      </c>
      <c r="P27" s="206" t="str">
        <f t="shared" si="6"/>
        <v>Length</v>
      </c>
      <c r="Q27" s="206" t="str">
        <f t="shared" si="6"/>
        <v>x</v>
      </c>
      <c r="R27" s="206" t="str">
        <f t="shared" si="6"/>
        <v>BS</v>
      </c>
      <c r="S27" s="206" t="str">
        <f t="shared" si="6"/>
        <v>all</v>
      </c>
      <c r="T27" s="205" t="str">
        <f t="shared" si="6"/>
        <v/>
      </c>
      <c r="U27" s="205" t="str">
        <f t="shared" si="6"/>
        <v>Toleranz innen links</v>
      </c>
      <c r="V27" s="205" t="str">
        <f t="shared" si="6"/>
        <v>x</v>
      </c>
      <c r="W27" s="205" t="str">
        <f t="shared" si="6"/>
        <v/>
      </c>
      <c r="X27" s="205" t="str">
        <f t="shared" si="6"/>
        <v/>
      </c>
      <c r="Y27" s="205" t="str">
        <f t="shared" si="6"/>
        <v>gs_baurichtmass_inner_left</v>
      </c>
    </row>
    <row r="28" spans="1:25">
      <c r="A28" s="204">
        <f t="shared" si="0"/>
        <v>26</v>
      </c>
      <c r="B28" s="205" t="str">
        <f t="shared" si="5"/>
        <v>x</v>
      </c>
      <c r="C28" s="205" t="str">
        <f t="shared" si="5"/>
        <v/>
      </c>
      <c r="D28" s="205" t="str">
        <f t="shared" si="5"/>
        <v/>
      </c>
      <c r="E28" s="205" t="str">
        <f t="shared" si="5"/>
        <v/>
      </c>
      <c r="F28" s="205" t="str">
        <f t="shared" si="5"/>
        <v/>
      </c>
      <c r="G28" s="205" t="str">
        <f t="shared" si="5"/>
        <v/>
      </c>
      <c r="H28" s="205" t="str">
        <f t="shared" si="5"/>
        <v/>
      </c>
      <c r="I28" s="205" t="str">
        <f t="shared" si="5"/>
        <v/>
      </c>
      <c r="J28" s="205" t="str">
        <f t="shared" si="5"/>
        <v/>
      </c>
      <c r="K28" s="205" t="str">
        <f t="shared" si="5"/>
        <v/>
      </c>
      <c r="L28" s="205" t="str">
        <f t="shared" si="6"/>
        <v>info</v>
      </c>
      <c r="M28" s="205" t="str">
        <f t="shared" si="6"/>
        <v>x</v>
      </c>
      <c r="N28" s="205" t="str">
        <f t="shared" si="6"/>
        <v/>
      </c>
      <c r="O28" s="205" t="str">
        <f t="shared" si="6"/>
        <v>model</v>
      </c>
      <c r="P28" s="206" t="str">
        <f t="shared" si="6"/>
        <v>Length</v>
      </c>
      <c r="Q28" s="206" t="str">
        <f t="shared" si="6"/>
        <v>x</v>
      </c>
      <c r="R28" s="206" t="str">
        <f t="shared" si="6"/>
        <v>BS</v>
      </c>
      <c r="S28" s="206" t="str">
        <f t="shared" si="6"/>
        <v>all</v>
      </c>
      <c r="T28" s="205" t="str">
        <f t="shared" si="6"/>
        <v/>
      </c>
      <c r="U28" s="205" t="str">
        <f t="shared" si="6"/>
        <v>Toleranz außen rechts</v>
      </c>
      <c r="V28" s="205" t="str">
        <f t="shared" si="6"/>
        <v>x</v>
      </c>
      <c r="W28" s="205" t="str">
        <f t="shared" si="6"/>
        <v/>
      </c>
      <c r="X28" s="205" t="str">
        <f t="shared" si="6"/>
        <v/>
      </c>
      <c r="Y28" s="205" t="str">
        <f t="shared" si="6"/>
        <v>gs_baurichtmass_outer_right</v>
      </c>
    </row>
    <row r="29" spans="1:25">
      <c r="A29" s="204">
        <f t="shared" si="0"/>
        <v>27</v>
      </c>
      <c r="B29" s="205" t="str">
        <f t="shared" si="5"/>
        <v>x</v>
      </c>
      <c r="C29" s="205" t="str">
        <f t="shared" si="5"/>
        <v/>
      </c>
      <c r="D29" s="205" t="str">
        <f t="shared" si="5"/>
        <v/>
      </c>
      <c r="E29" s="205" t="str">
        <f t="shared" si="5"/>
        <v/>
      </c>
      <c r="F29" s="205" t="str">
        <f t="shared" si="5"/>
        <v/>
      </c>
      <c r="G29" s="205" t="str">
        <f t="shared" si="5"/>
        <v/>
      </c>
      <c r="H29" s="205" t="str">
        <f t="shared" si="5"/>
        <v/>
      </c>
      <c r="I29" s="205" t="str">
        <f t="shared" si="5"/>
        <v/>
      </c>
      <c r="J29" s="205" t="str">
        <f t="shared" si="5"/>
        <v/>
      </c>
      <c r="K29" s="205" t="str">
        <f t="shared" si="5"/>
        <v/>
      </c>
      <c r="L29" s="205" t="str">
        <f t="shared" si="6"/>
        <v>info</v>
      </c>
      <c r="M29" s="205" t="str">
        <f t="shared" si="6"/>
        <v>x</v>
      </c>
      <c r="N29" s="205" t="str">
        <f t="shared" si="6"/>
        <v/>
      </c>
      <c r="O29" s="205" t="str">
        <f t="shared" si="6"/>
        <v>model</v>
      </c>
      <c r="P29" s="206" t="str">
        <f t="shared" si="6"/>
        <v>Length</v>
      </c>
      <c r="Q29" s="206" t="str">
        <f t="shared" si="6"/>
        <v>x</v>
      </c>
      <c r="R29" s="206" t="str">
        <f t="shared" si="6"/>
        <v>BS</v>
      </c>
      <c r="S29" s="206" t="str">
        <f t="shared" si="6"/>
        <v>all</v>
      </c>
      <c r="T29" s="205" t="str">
        <f t="shared" si="6"/>
        <v/>
      </c>
      <c r="U29" s="205" t="str">
        <f t="shared" si="6"/>
        <v>Toleranz innen rechts</v>
      </c>
      <c r="V29" s="205" t="str">
        <f t="shared" si="6"/>
        <v>x</v>
      </c>
      <c r="W29" s="205" t="str">
        <f t="shared" si="6"/>
        <v/>
      </c>
      <c r="X29" s="205" t="str">
        <f t="shared" si="6"/>
        <v/>
      </c>
      <c r="Y29" s="205" t="str">
        <f t="shared" si="6"/>
        <v>gs_baurichtmass_inner_right</v>
      </c>
    </row>
    <row r="30" spans="1:25">
      <c r="A30" s="204">
        <f t="shared" si="0"/>
        <v>28</v>
      </c>
      <c r="B30" s="205" t="str">
        <f t="shared" si="5"/>
        <v>x</v>
      </c>
      <c r="C30" s="205" t="str">
        <f t="shared" si="5"/>
        <v/>
      </c>
      <c r="D30" s="205" t="str">
        <f t="shared" si="5"/>
        <v/>
      </c>
      <c r="E30" s="205" t="str">
        <f t="shared" si="5"/>
        <v/>
      </c>
      <c r="F30" s="205" t="str">
        <f t="shared" si="5"/>
        <v/>
      </c>
      <c r="G30" s="205" t="str">
        <f t="shared" si="5"/>
        <v/>
      </c>
      <c r="H30" s="205" t="str">
        <f t="shared" si="5"/>
        <v/>
      </c>
      <c r="I30" s="205" t="str">
        <f t="shared" si="5"/>
        <v/>
      </c>
      <c r="J30" s="205" t="str">
        <f t="shared" si="5"/>
        <v/>
      </c>
      <c r="K30" s="205" t="str">
        <f t="shared" si="5"/>
        <v/>
      </c>
      <c r="L30" s="205" t="str">
        <f t="shared" si="6"/>
        <v>info</v>
      </c>
      <c r="M30" s="205" t="str">
        <f t="shared" si="6"/>
        <v>x</v>
      </c>
      <c r="N30" s="205" t="str">
        <f t="shared" si="6"/>
        <v/>
      </c>
      <c r="O30" s="205" t="str">
        <f t="shared" si="6"/>
        <v>model</v>
      </c>
      <c r="P30" s="206" t="str">
        <f t="shared" si="6"/>
        <v>Length</v>
      </c>
      <c r="Q30" s="206" t="str">
        <f t="shared" si="6"/>
        <v>x</v>
      </c>
      <c r="R30" s="206" t="str">
        <f t="shared" si="6"/>
        <v>BS</v>
      </c>
      <c r="S30" s="206" t="str">
        <f t="shared" si="6"/>
        <v>all</v>
      </c>
      <c r="T30" s="205" t="str">
        <f t="shared" si="6"/>
        <v/>
      </c>
      <c r="U30" s="205" t="str">
        <f t="shared" si="6"/>
        <v>Toleranz außen oben</v>
      </c>
      <c r="V30" s="205" t="str">
        <f t="shared" si="6"/>
        <v>x</v>
      </c>
      <c r="W30" s="205" t="str">
        <f t="shared" si="6"/>
        <v/>
      </c>
      <c r="X30" s="205" t="str">
        <f t="shared" si="6"/>
        <v/>
      </c>
      <c r="Y30" s="205" t="str">
        <f t="shared" si="6"/>
        <v>gs_baurichtmass_outer_upper</v>
      </c>
    </row>
    <row r="31" spans="1:25">
      <c r="A31" s="204">
        <f t="shared" si="0"/>
        <v>29</v>
      </c>
      <c r="B31" s="205" t="str">
        <f t="shared" si="5"/>
        <v>x</v>
      </c>
      <c r="C31" s="205" t="str">
        <f t="shared" si="5"/>
        <v/>
      </c>
      <c r="D31" s="205" t="str">
        <f t="shared" si="5"/>
        <v/>
      </c>
      <c r="E31" s="205" t="str">
        <f t="shared" si="5"/>
        <v/>
      </c>
      <c r="F31" s="205" t="str">
        <f t="shared" si="5"/>
        <v/>
      </c>
      <c r="G31" s="205" t="str">
        <f t="shared" si="5"/>
        <v/>
      </c>
      <c r="H31" s="205" t="str">
        <f t="shared" si="5"/>
        <v/>
      </c>
      <c r="I31" s="205" t="str">
        <f t="shared" si="5"/>
        <v/>
      </c>
      <c r="J31" s="205" t="str">
        <f t="shared" si="5"/>
        <v/>
      </c>
      <c r="K31" s="205" t="str">
        <f t="shared" si="5"/>
        <v/>
      </c>
      <c r="L31" s="205" t="str">
        <f t="shared" si="6"/>
        <v>info</v>
      </c>
      <c r="M31" s="205" t="str">
        <f t="shared" si="6"/>
        <v>x</v>
      </c>
      <c r="N31" s="205" t="str">
        <f t="shared" si="6"/>
        <v/>
      </c>
      <c r="O31" s="205" t="str">
        <f t="shared" si="6"/>
        <v>model</v>
      </c>
      <c r="P31" s="206" t="str">
        <f t="shared" si="6"/>
        <v>Length</v>
      </c>
      <c r="Q31" s="206" t="str">
        <f t="shared" si="6"/>
        <v>x</v>
      </c>
      <c r="R31" s="206" t="str">
        <f t="shared" si="6"/>
        <v>BS</v>
      </c>
      <c r="S31" s="206" t="str">
        <f t="shared" si="6"/>
        <v>all</v>
      </c>
      <c r="T31" s="205" t="str">
        <f t="shared" si="6"/>
        <v/>
      </c>
      <c r="U31" s="205" t="str">
        <f t="shared" si="6"/>
        <v>Toleranz innen oben</v>
      </c>
      <c r="V31" s="205" t="str">
        <f t="shared" si="6"/>
        <v>x</v>
      </c>
      <c r="W31" s="205" t="str">
        <f t="shared" si="6"/>
        <v/>
      </c>
      <c r="X31" s="205" t="str">
        <f t="shared" si="6"/>
        <v/>
      </c>
      <c r="Y31" s="205" t="str">
        <f t="shared" si="6"/>
        <v>gs_baurichtmass_inner_upper</v>
      </c>
    </row>
    <row r="32" spans="1:25">
      <c r="A32" s="204">
        <f t="shared" si="0"/>
        <v>30</v>
      </c>
      <c r="B32" s="205" t="str">
        <f t="shared" si="5"/>
        <v>x</v>
      </c>
      <c r="C32" s="205" t="str">
        <f t="shared" si="5"/>
        <v>x</v>
      </c>
      <c r="D32" s="205" t="str">
        <f t="shared" si="5"/>
        <v/>
      </c>
      <c r="E32" s="205" t="str">
        <f t="shared" si="5"/>
        <v/>
      </c>
      <c r="F32" s="205" t="str">
        <f t="shared" si="5"/>
        <v/>
      </c>
      <c r="G32" s="205" t="str">
        <f t="shared" si="5"/>
        <v/>
      </c>
      <c r="H32" s="205" t="str">
        <f t="shared" si="5"/>
        <v/>
      </c>
      <c r="I32" s="205" t="str">
        <f t="shared" si="5"/>
        <v/>
      </c>
      <c r="J32" s="205" t="str">
        <f t="shared" si="5"/>
        <v/>
      </c>
      <c r="K32" s="205" t="str">
        <f t="shared" si="5"/>
        <v/>
      </c>
      <c r="L32" s="205" t="str">
        <f t="shared" si="6"/>
        <v>info</v>
      </c>
      <c r="M32" s="205" t="str">
        <f t="shared" si="6"/>
        <v>x</v>
      </c>
      <c r="N32" s="205" t="str">
        <f t="shared" si="6"/>
        <v/>
      </c>
      <c r="O32" s="205" t="str">
        <f t="shared" si="6"/>
        <v>model</v>
      </c>
      <c r="P32" s="206" t="str">
        <f t="shared" si="6"/>
        <v>Length</v>
      </c>
      <c r="Q32" s="206" t="str">
        <f t="shared" si="6"/>
        <v>x</v>
      </c>
      <c r="R32" s="206" t="str">
        <f t="shared" si="6"/>
        <v>BS</v>
      </c>
      <c r="S32" s="206" t="str">
        <f t="shared" si="6"/>
        <v>all</v>
      </c>
      <c r="T32" s="205" t="str">
        <f t="shared" si="6"/>
        <v/>
      </c>
      <c r="U32" s="205" t="str">
        <f t="shared" si="6"/>
        <v>Toleranz außen unten</v>
      </c>
      <c r="V32" s="205" t="str">
        <f t="shared" si="6"/>
        <v>x</v>
      </c>
      <c r="W32" s="205" t="str">
        <f t="shared" si="6"/>
        <v/>
      </c>
      <c r="X32" s="205" t="str">
        <f t="shared" si="6"/>
        <v/>
      </c>
      <c r="Y32" s="205" t="str">
        <f t="shared" si="6"/>
        <v>gs_baurichtmass_outer_lower</v>
      </c>
    </row>
    <row r="33" spans="1:25">
      <c r="A33" s="204">
        <f t="shared" si="0"/>
        <v>31</v>
      </c>
      <c r="B33" s="205" t="str">
        <f t="shared" ref="B33:K42" si="7">IF(ISNONTEXT(B$2),IF(B$2="","",IF(INDEX(IMPORT,$A33,B$2)=0,"",IFERROR(VLOOKUP(INDEX(IMPORT,$A33,B$2),ImportTranslation,2,0),INDEX(IMPORT,$A33,B$2)))),B$2)</f>
        <v>x</v>
      </c>
      <c r="C33" s="205" t="str">
        <f t="shared" si="7"/>
        <v>x</v>
      </c>
      <c r="D33" s="205" t="str">
        <f t="shared" si="7"/>
        <v/>
      </c>
      <c r="E33" s="205" t="str">
        <f t="shared" si="7"/>
        <v/>
      </c>
      <c r="F33" s="205" t="str">
        <f t="shared" si="7"/>
        <v/>
      </c>
      <c r="G33" s="205" t="str">
        <f t="shared" si="7"/>
        <v/>
      </c>
      <c r="H33" s="205" t="str">
        <f t="shared" si="7"/>
        <v/>
      </c>
      <c r="I33" s="205" t="str">
        <f t="shared" si="7"/>
        <v/>
      </c>
      <c r="J33" s="205" t="str">
        <f t="shared" si="7"/>
        <v/>
      </c>
      <c r="K33" s="205" t="str">
        <f t="shared" si="7"/>
        <v/>
      </c>
      <c r="L33" s="205" t="str">
        <f t="shared" ref="L33:Y42" si="8">IF(ISNONTEXT(L$2),IF(L$2="","",IF(INDEX(IMPORT,$A33,L$2)=0,"",IFERROR(VLOOKUP(INDEX(IMPORT,$A33,L$2),ImportTranslation,2,0),INDEX(IMPORT,$A33,L$2)))),L$2)</f>
        <v>info</v>
      </c>
      <c r="M33" s="205" t="str">
        <f t="shared" si="8"/>
        <v>x</v>
      </c>
      <c r="N33" s="205" t="str">
        <f t="shared" si="8"/>
        <v/>
      </c>
      <c r="O33" s="205" t="str">
        <f t="shared" si="8"/>
        <v>model</v>
      </c>
      <c r="P33" s="206" t="str">
        <f t="shared" si="8"/>
        <v>Length</v>
      </c>
      <c r="Q33" s="206" t="str">
        <f t="shared" si="8"/>
        <v>x</v>
      </c>
      <c r="R33" s="206" t="str">
        <f t="shared" si="8"/>
        <v>BS</v>
      </c>
      <c r="S33" s="206" t="str">
        <f t="shared" si="8"/>
        <v>all</v>
      </c>
      <c r="T33" s="205" t="str">
        <f t="shared" si="8"/>
        <v/>
      </c>
      <c r="U33" s="205" t="str">
        <f t="shared" si="8"/>
        <v>Toleranz innen unten</v>
      </c>
      <c r="V33" s="205" t="str">
        <f t="shared" si="8"/>
        <v>x</v>
      </c>
      <c r="W33" s="205" t="str">
        <f t="shared" si="8"/>
        <v/>
      </c>
      <c r="X33" s="205" t="str">
        <f t="shared" si="8"/>
        <v/>
      </c>
      <c r="Y33" s="205" t="str">
        <f t="shared" si="8"/>
        <v>gs_baurichtmass_inner_lower</v>
      </c>
    </row>
    <row r="34" spans="1:25">
      <c r="A34" s="204">
        <f t="shared" si="0"/>
        <v>32</v>
      </c>
      <c r="B34" s="205" t="str">
        <f t="shared" si="7"/>
        <v>x</v>
      </c>
      <c r="C34" s="205" t="str">
        <f t="shared" si="7"/>
        <v/>
      </c>
      <c r="D34" s="205" t="str">
        <f t="shared" si="7"/>
        <v/>
      </c>
      <c r="E34" s="205" t="str">
        <f t="shared" si="7"/>
        <v/>
      </c>
      <c r="F34" s="205" t="str">
        <f t="shared" si="7"/>
        <v/>
      </c>
      <c r="G34" s="205" t="str">
        <f t="shared" si="7"/>
        <v/>
      </c>
      <c r="H34" s="205" t="str">
        <f t="shared" si="7"/>
        <v/>
      </c>
      <c r="I34" s="205" t="str">
        <f t="shared" si="7"/>
        <v/>
      </c>
      <c r="J34" s="205" t="str">
        <f t="shared" si="7"/>
        <v/>
      </c>
      <c r="K34" s="205" t="str">
        <f t="shared" si="7"/>
        <v/>
      </c>
      <c r="L34" s="205" t="str">
        <f t="shared" si="8"/>
        <v>info</v>
      </c>
      <c r="M34" s="205" t="str">
        <f t="shared" si="8"/>
        <v>x</v>
      </c>
      <c r="N34" s="205" t="str">
        <f t="shared" si="8"/>
        <v/>
      </c>
      <c r="O34" s="205" t="str">
        <f t="shared" si="8"/>
        <v>model</v>
      </c>
      <c r="P34" s="206" t="str">
        <f t="shared" si="8"/>
        <v>Length</v>
      </c>
      <c r="Q34" s="206" t="str">
        <f t="shared" si="8"/>
        <v>x</v>
      </c>
      <c r="R34" s="206" t="str">
        <f t="shared" si="8"/>
        <v>BS</v>
      </c>
      <c r="S34" s="206" t="str">
        <f t="shared" si="8"/>
        <v>all</v>
      </c>
      <c r="T34" s="205">
        <f t="shared" si="8"/>
        <v>2.5099999999999998</v>
      </c>
      <c r="U34" s="205" t="str">
        <f t="shared" si="8"/>
        <v>Rohbauöffnung Breite</v>
      </c>
      <c r="V34" s="205" t="str">
        <f t="shared" si="8"/>
        <v>x</v>
      </c>
      <c r="W34" s="205" t="str">
        <f t="shared" si="8"/>
        <v/>
      </c>
      <c r="X34" s="205" t="str">
        <f t="shared" si="8"/>
        <v/>
      </c>
      <c r="Y34" s="205" t="str">
        <f t="shared" si="8"/>
        <v>ac_wallhole_width</v>
      </c>
    </row>
    <row r="35" spans="1:25">
      <c r="A35" s="204">
        <f t="shared" si="0"/>
        <v>33</v>
      </c>
      <c r="B35" s="205" t="str">
        <f t="shared" si="7"/>
        <v>x</v>
      </c>
      <c r="C35" s="205" t="str">
        <f t="shared" si="7"/>
        <v/>
      </c>
      <c r="D35" s="205" t="str">
        <f t="shared" si="7"/>
        <v/>
      </c>
      <c r="E35" s="205" t="str">
        <f t="shared" si="7"/>
        <v/>
      </c>
      <c r="F35" s="205" t="str">
        <f t="shared" si="7"/>
        <v/>
      </c>
      <c r="G35" s="205" t="str">
        <f t="shared" si="7"/>
        <v/>
      </c>
      <c r="H35" s="205" t="str">
        <f t="shared" si="7"/>
        <v/>
      </c>
      <c r="I35" s="205" t="str">
        <f t="shared" si="7"/>
        <v/>
      </c>
      <c r="J35" s="205" t="str">
        <f t="shared" si="7"/>
        <v/>
      </c>
      <c r="K35" s="205" t="str">
        <f t="shared" si="7"/>
        <v/>
      </c>
      <c r="L35" s="205" t="str">
        <f t="shared" si="8"/>
        <v>info</v>
      </c>
      <c r="M35" s="205" t="str">
        <f t="shared" si="8"/>
        <v>x</v>
      </c>
      <c r="N35" s="205" t="str">
        <f t="shared" si="8"/>
        <v/>
      </c>
      <c r="O35" s="205" t="str">
        <f t="shared" si="8"/>
        <v>model</v>
      </c>
      <c r="P35" s="206" t="str">
        <f t="shared" si="8"/>
        <v>Length</v>
      </c>
      <c r="Q35" s="206" t="str">
        <f t="shared" si="8"/>
        <v>x</v>
      </c>
      <c r="R35" s="206" t="str">
        <f t="shared" si="8"/>
        <v>BS</v>
      </c>
      <c r="S35" s="206" t="str">
        <f t="shared" si="8"/>
        <v>all</v>
      </c>
      <c r="T35" s="205">
        <f t="shared" si="8"/>
        <v>2.5099999999999998</v>
      </c>
      <c r="U35" s="205" t="str">
        <f t="shared" si="8"/>
        <v>Rohbauöffnung Höhe</v>
      </c>
      <c r="V35" s="205" t="str">
        <f t="shared" si="8"/>
        <v>x</v>
      </c>
      <c r="W35" s="205" t="str">
        <f t="shared" si="8"/>
        <v/>
      </c>
      <c r="X35" s="205" t="str">
        <f t="shared" si="8"/>
        <v/>
      </c>
      <c r="Y35" s="205" t="str">
        <f t="shared" si="8"/>
        <v>ac_wallhole_height</v>
      </c>
    </row>
    <row r="36" spans="1:25">
      <c r="A36" s="204">
        <f t="shared" si="0"/>
        <v>34</v>
      </c>
      <c r="B36" s="205" t="str">
        <f t="shared" si="7"/>
        <v>x</v>
      </c>
      <c r="C36" s="205" t="str">
        <f t="shared" si="7"/>
        <v>x</v>
      </c>
      <c r="D36" s="205" t="str">
        <f t="shared" si="7"/>
        <v/>
      </c>
      <c r="E36" s="205" t="str">
        <f t="shared" si="7"/>
        <v/>
      </c>
      <c r="F36" s="205" t="str">
        <f t="shared" si="7"/>
        <v/>
      </c>
      <c r="G36" s="205" t="str">
        <f t="shared" si="7"/>
        <v/>
      </c>
      <c r="H36" s="205" t="str">
        <f t="shared" si="7"/>
        <v/>
      </c>
      <c r="I36" s="205" t="str">
        <f t="shared" si="7"/>
        <v/>
      </c>
      <c r="J36" s="205" t="str">
        <f t="shared" si="7"/>
        <v/>
      </c>
      <c r="K36" s="205" t="str">
        <f t="shared" si="7"/>
        <v>x</v>
      </c>
      <c r="L36" s="205" t="str">
        <f t="shared" si="8"/>
        <v>info</v>
      </c>
      <c r="M36" s="205" t="str">
        <f t="shared" si="8"/>
        <v>x</v>
      </c>
      <c r="N36" s="205" t="str">
        <f t="shared" si="8"/>
        <v/>
      </c>
      <c r="O36" s="205" t="str">
        <f t="shared" si="8"/>
        <v>model</v>
      </c>
      <c r="P36" s="206" t="str">
        <f t="shared" si="8"/>
        <v>Length</v>
      </c>
      <c r="Q36" s="206" t="str">
        <f t="shared" si="8"/>
        <v>x</v>
      </c>
      <c r="R36" s="206" t="str">
        <f t="shared" si="8"/>
        <v>BS</v>
      </c>
      <c r="S36" s="206" t="str">
        <f t="shared" si="8"/>
        <v>all</v>
      </c>
      <c r="T36" s="205">
        <f t="shared" si="8"/>
        <v>2.5099999999999998</v>
      </c>
      <c r="U36" s="205" t="str">
        <f t="shared" si="8"/>
        <v>Rohbauöffnung Höhe</v>
      </c>
      <c r="V36" s="205" t="str">
        <f t="shared" si="8"/>
        <v>x</v>
      </c>
      <c r="W36" s="205" t="str">
        <f t="shared" si="8"/>
        <v/>
      </c>
      <c r="X36" s="205" t="str">
        <f t="shared" si="8"/>
        <v/>
      </c>
      <c r="Y36" s="205" t="str">
        <f t="shared" si="8"/>
        <v>ac_wallhole_height_original</v>
      </c>
    </row>
    <row r="37" spans="1:25">
      <c r="A37" s="204">
        <f t="shared" si="0"/>
        <v>35</v>
      </c>
      <c r="B37" s="205" t="str">
        <f t="shared" si="7"/>
        <v>x</v>
      </c>
      <c r="C37" s="205" t="str">
        <f t="shared" si="7"/>
        <v/>
      </c>
      <c r="D37" s="205" t="str">
        <f t="shared" si="7"/>
        <v/>
      </c>
      <c r="E37" s="205" t="str">
        <f t="shared" si="7"/>
        <v/>
      </c>
      <c r="F37" s="205" t="str">
        <f t="shared" si="7"/>
        <v/>
      </c>
      <c r="G37" s="205" t="str">
        <f t="shared" si="7"/>
        <v/>
      </c>
      <c r="H37" s="205" t="str">
        <f t="shared" si="7"/>
        <v/>
      </c>
      <c r="I37" s="205" t="str">
        <f t="shared" si="7"/>
        <v/>
      </c>
      <c r="J37" s="205" t="str">
        <f t="shared" si="7"/>
        <v/>
      </c>
      <c r="K37" s="205" t="str">
        <f t="shared" si="7"/>
        <v/>
      </c>
      <c r="L37" s="205" t="str">
        <f t="shared" si="8"/>
        <v>info</v>
      </c>
      <c r="M37" s="205" t="str">
        <f t="shared" si="8"/>
        <v>x</v>
      </c>
      <c r="N37" s="205" t="str">
        <f t="shared" si="8"/>
        <v/>
      </c>
      <c r="O37" s="205" t="str">
        <f t="shared" si="8"/>
        <v>model</v>
      </c>
      <c r="P37" s="206" t="str">
        <f t="shared" si="8"/>
        <v>Length</v>
      </c>
      <c r="Q37" s="206" t="str">
        <f t="shared" si="8"/>
        <v>x</v>
      </c>
      <c r="R37" s="206" t="str">
        <f t="shared" si="8"/>
        <v>BS</v>
      </c>
      <c r="S37" s="206" t="str">
        <f t="shared" si="8"/>
        <v>all</v>
      </c>
      <c r="T37" s="205">
        <f t="shared" si="8"/>
        <v>2.5099999999999998</v>
      </c>
      <c r="U37" s="205" t="str">
        <f t="shared" si="8"/>
        <v>Architekturlichte Breite</v>
      </c>
      <c r="V37" s="205" t="str">
        <f t="shared" si="8"/>
        <v>x</v>
      </c>
      <c r="W37" s="205" t="str">
        <f t="shared" si="8"/>
        <v/>
      </c>
      <c r="X37" s="205" t="str">
        <f t="shared" si="8"/>
        <v/>
      </c>
      <c r="Y37" s="205" t="str">
        <f t="shared" si="8"/>
        <v>ac_reveal_width</v>
      </c>
    </row>
    <row r="38" spans="1:25">
      <c r="A38" s="204">
        <f t="shared" si="0"/>
        <v>36</v>
      </c>
      <c r="B38" s="205" t="str">
        <f t="shared" si="7"/>
        <v>x</v>
      </c>
      <c r="C38" s="205" t="str">
        <f t="shared" si="7"/>
        <v/>
      </c>
      <c r="D38" s="205" t="str">
        <f t="shared" si="7"/>
        <v/>
      </c>
      <c r="E38" s="205" t="str">
        <f t="shared" si="7"/>
        <v/>
      </c>
      <c r="F38" s="205" t="str">
        <f t="shared" si="7"/>
        <v/>
      </c>
      <c r="G38" s="205" t="str">
        <f t="shared" si="7"/>
        <v/>
      </c>
      <c r="H38" s="205" t="str">
        <f t="shared" si="7"/>
        <v/>
      </c>
      <c r="I38" s="205" t="str">
        <f t="shared" si="7"/>
        <v/>
      </c>
      <c r="J38" s="205" t="str">
        <f t="shared" si="7"/>
        <v/>
      </c>
      <c r="K38" s="205" t="str">
        <f t="shared" si="7"/>
        <v/>
      </c>
      <c r="L38" s="205" t="str">
        <f t="shared" si="8"/>
        <v>info</v>
      </c>
      <c r="M38" s="205" t="str">
        <f t="shared" si="8"/>
        <v>x</v>
      </c>
      <c r="N38" s="205" t="str">
        <f t="shared" si="8"/>
        <v/>
      </c>
      <c r="O38" s="205" t="str">
        <f t="shared" si="8"/>
        <v>model</v>
      </c>
      <c r="P38" s="206" t="str">
        <f t="shared" si="8"/>
        <v>Length</v>
      </c>
      <c r="Q38" s="206" t="str">
        <f t="shared" si="8"/>
        <v>x</v>
      </c>
      <c r="R38" s="206" t="str">
        <f t="shared" si="8"/>
        <v>BS</v>
      </c>
      <c r="S38" s="206" t="str">
        <f t="shared" si="8"/>
        <v>all</v>
      </c>
      <c r="T38" s="205">
        <f t="shared" si="8"/>
        <v>2.5099999999999998</v>
      </c>
      <c r="U38" s="205" t="str">
        <f t="shared" si="8"/>
        <v>Architekturlichte Höhe</v>
      </c>
      <c r="V38" s="205" t="str">
        <f t="shared" si="8"/>
        <v>x</v>
      </c>
      <c r="W38" s="205" t="str">
        <f t="shared" si="8"/>
        <v/>
      </c>
      <c r="X38" s="205" t="str">
        <f t="shared" si="8"/>
        <v/>
      </c>
      <c r="Y38" s="205" t="str">
        <f t="shared" si="8"/>
        <v>ac_reveal_height</v>
      </c>
    </row>
    <row r="39" spans="1:25">
      <c r="A39" s="204">
        <f t="shared" si="0"/>
        <v>37</v>
      </c>
      <c r="B39" s="205" t="str">
        <f t="shared" si="7"/>
        <v>x</v>
      </c>
      <c r="C39" s="205" t="str">
        <f t="shared" si="7"/>
        <v>x</v>
      </c>
      <c r="D39" s="205" t="str">
        <f t="shared" si="7"/>
        <v/>
      </c>
      <c r="E39" s="205" t="str">
        <f t="shared" si="7"/>
        <v/>
      </c>
      <c r="F39" s="205" t="str">
        <f t="shared" si="7"/>
        <v/>
      </c>
      <c r="G39" s="205" t="str">
        <f t="shared" si="7"/>
        <v/>
      </c>
      <c r="H39" s="205" t="str">
        <f t="shared" si="7"/>
        <v/>
      </c>
      <c r="I39" s="205" t="str">
        <f t="shared" si="7"/>
        <v/>
      </c>
      <c r="J39" s="205" t="str">
        <f t="shared" si="7"/>
        <v/>
      </c>
      <c r="K39" s="205" t="str">
        <f t="shared" si="7"/>
        <v>x</v>
      </c>
      <c r="L39" s="205" t="str">
        <f t="shared" si="8"/>
        <v>info</v>
      </c>
      <c r="M39" s="205" t="str">
        <f t="shared" si="8"/>
        <v>x</v>
      </c>
      <c r="N39" s="205" t="str">
        <f t="shared" si="8"/>
        <v/>
      </c>
      <c r="O39" s="205" t="str">
        <f t="shared" si="8"/>
        <v>model</v>
      </c>
      <c r="P39" s="206" t="str">
        <f t="shared" si="8"/>
        <v>Length</v>
      </c>
      <c r="Q39" s="206" t="str">
        <f t="shared" si="8"/>
        <v>x</v>
      </c>
      <c r="R39" s="206" t="str">
        <f t="shared" si="8"/>
        <v>BS</v>
      </c>
      <c r="S39" s="206" t="str">
        <f t="shared" si="8"/>
        <v>all</v>
      </c>
      <c r="T39" s="205">
        <f t="shared" si="8"/>
        <v>2.5099999999999998</v>
      </c>
      <c r="U39" s="205" t="str">
        <f t="shared" si="8"/>
        <v>Architekturlichte Höhe</v>
      </c>
      <c r="V39" s="205" t="str">
        <f t="shared" si="8"/>
        <v>x</v>
      </c>
      <c r="W39" s="205" t="str">
        <f t="shared" si="8"/>
        <v/>
      </c>
      <c r="X39" s="205" t="str">
        <f t="shared" si="8"/>
        <v/>
      </c>
      <c r="Y39" s="205" t="str">
        <f t="shared" si="8"/>
        <v>ac_reveal_height_original</v>
      </c>
    </row>
    <row r="40" spans="1:25">
      <c r="A40" s="204">
        <f t="shared" si="0"/>
        <v>38</v>
      </c>
      <c r="B40" s="205" t="str">
        <f t="shared" si="7"/>
        <v>x</v>
      </c>
      <c r="C40" s="205" t="str">
        <f t="shared" si="7"/>
        <v/>
      </c>
      <c r="D40" s="205" t="str">
        <f t="shared" si="7"/>
        <v/>
      </c>
      <c r="E40" s="205" t="str">
        <f t="shared" si="7"/>
        <v/>
      </c>
      <c r="F40" s="205" t="str">
        <f t="shared" si="7"/>
        <v/>
      </c>
      <c r="G40" s="205" t="str">
        <f t="shared" si="7"/>
        <v/>
      </c>
      <c r="H40" s="205" t="str">
        <f t="shared" si="7"/>
        <v/>
      </c>
      <c r="I40" s="205" t="str">
        <f t="shared" si="7"/>
        <v/>
      </c>
      <c r="J40" s="205" t="str">
        <f t="shared" si="7"/>
        <v/>
      </c>
      <c r="K40" s="205" t="str">
        <f t="shared" si="7"/>
        <v/>
      </c>
      <c r="L40" s="205" t="str">
        <f t="shared" si="8"/>
        <v>info</v>
      </c>
      <c r="M40" s="205" t="str">
        <f t="shared" si="8"/>
        <v>x</v>
      </c>
      <c r="N40" s="205" t="str">
        <f t="shared" si="8"/>
        <v/>
      </c>
      <c r="O40" s="205" t="str">
        <f t="shared" si="8"/>
        <v>model</v>
      </c>
      <c r="P40" s="206" t="str">
        <f t="shared" si="8"/>
        <v>Length</v>
      </c>
      <c r="Q40" s="206" t="str">
        <f t="shared" si="8"/>
        <v>x</v>
      </c>
      <c r="R40" s="206" t="str">
        <f t="shared" si="8"/>
        <v>BS</v>
      </c>
      <c r="S40" s="206" t="str">
        <f t="shared" si="8"/>
        <v>all</v>
      </c>
      <c r="T40" s="205">
        <f t="shared" si="8"/>
        <v>2.5099999999999998</v>
      </c>
      <c r="U40" s="205" t="str">
        <f t="shared" si="8"/>
        <v>Rahmen Breite</v>
      </c>
      <c r="V40" s="205" t="str">
        <f t="shared" si="8"/>
        <v>x</v>
      </c>
      <c r="W40" s="205" t="str">
        <f t="shared" si="8"/>
        <v/>
      </c>
      <c r="X40" s="205" t="str">
        <f t="shared" si="8"/>
        <v/>
      </c>
      <c r="Y40" s="205" t="str">
        <f t="shared" si="8"/>
        <v>ac_unit_width</v>
      </c>
    </row>
    <row r="41" spans="1:25">
      <c r="A41" s="204">
        <f t="shared" si="0"/>
        <v>39</v>
      </c>
      <c r="B41" s="205" t="str">
        <f t="shared" si="7"/>
        <v>x</v>
      </c>
      <c r="C41" s="205" t="str">
        <f t="shared" si="7"/>
        <v/>
      </c>
      <c r="D41" s="205" t="str">
        <f t="shared" si="7"/>
        <v/>
      </c>
      <c r="E41" s="205" t="str">
        <f t="shared" si="7"/>
        <v/>
      </c>
      <c r="F41" s="205" t="str">
        <f t="shared" si="7"/>
        <v/>
      </c>
      <c r="G41" s="205" t="str">
        <f t="shared" si="7"/>
        <v/>
      </c>
      <c r="H41" s="205" t="str">
        <f t="shared" si="7"/>
        <v/>
      </c>
      <c r="I41" s="205" t="str">
        <f t="shared" si="7"/>
        <v/>
      </c>
      <c r="J41" s="205" t="str">
        <f t="shared" si="7"/>
        <v/>
      </c>
      <c r="K41" s="205" t="str">
        <f t="shared" si="7"/>
        <v/>
      </c>
      <c r="L41" s="205" t="str">
        <f t="shared" si="8"/>
        <v>info</v>
      </c>
      <c r="M41" s="205" t="str">
        <f t="shared" si="8"/>
        <v>x</v>
      </c>
      <c r="N41" s="205" t="str">
        <f t="shared" si="8"/>
        <v/>
      </c>
      <c r="O41" s="205" t="str">
        <f t="shared" si="8"/>
        <v>model</v>
      </c>
      <c r="P41" s="206" t="str">
        <f t="shared" si="8"/>
        <v>Length</v>
      </c>
      <c r="Q41" s="206" t="str">
        <f t="shared" si="8"/>
        <v>x</v>
      </c>
      <c r="R41" s="206" t="str">
        <f t="shared" si="8"/>
        <v>BS</v>
      </c>
      <c r="S41" s="206" t="str">
        <f t="shared" si="8"/>
        <v>all</v>
      </c>
      <c r="T41" s="205">
        <f t="shared" si="8"/>
        <v>2.5099999999999998</v>
      </c>
      <c r="U41" s="205" t="str">
        <f t="shared" si="8"/>
        <v>Rahmen Höhe</v>
      </c>
      <c r="V41" s="205" t="str">
        <f t="shared" si="8"/>
        <v>x</v>
      </c>
      <c r="W41" s="205" t="str">
        <f t="shared" si="8"/>
        <v/>
      </c>
      <c r="X41" s="205" t="str">
        <f t="shared" si="8"/>
        <v/>
      </c>
      <c r="Y41" s="205" t="str">
        <f t="shared" si="8"/>
        <v>ac_unit_height</v>
      </c>
    </row>
    <row r="42" spans="1:25">
      <c r="A42" s="204">
        <f t="shared" si="0"/>
        <v>40</v>
      </c>
      <c r="B42" s="205" t="str">
        <f t="shared" si="7"/>
        <v>x</v>
      </c>
      <c r="C42" s="205" t="str">
        <f t="shared" si="7"/>
        <v/>
      </c>
      <c r="D42" s="205" t="str">
        <f t="shared" si="7"/>
        <v/>
      </c>
      <c r="E42" s="205" t="str">
        <f t="shared" si="7"/>
        <v/>
      </c>
      <c r="F42" s="205" t="str">
        <f t="shared" si="7"/>
        <v/>
      </c>
      <c r="G42" s="205" t="str">
        <f t="shared" si="7"/>
        <v/>
      </c>
      <c r="H42" s="205" t="str">
        <f t="shared" si="7"/>
        <v/>
      </c>
      <c r="I42" s="205" t="str">
        <f t="shared" si="7"/>
        <v/>
      </c>
      <c r="J42" s="205" t="str">
        <f t="shared" si="7"/>
        <v/>
      </c>
      <c r="K42" s="205" t="str">
        <f t="shared" si="7"/>
        <v>x</v>
      </c>
      <c r="L42" s="205" t="str">
        <f t="shared" si="8"/>
        <v>info</v>
      </c>
      <c r="M42" s="205" t="str">
        <f t="shared" si="8"/>
        <v>x</v>
      </c>
      <c r="N42" s="205" t="str">
        <f t="shared" si="8"/>
        <v/>
      </c>
      <c r="O42" s="205" t="str">
        <f t="shared" si="8"/>
        <v>model</v>
      </c>
      <c r="P42" s="206" t="str">
        <f t="shared" si="8"/>
        <v>Length</v>
      </c>
      <c r="Q42" s="206" t="str">
        <f t="shared" si="8"/>
        <v>x</v>
      </c>
      <c r="R42" s="206" t="str">
        <f t="shared" si="8"/>
        <v>BS</v>
      </c>
      <c r="S42" s="206" t="str">
        <f t="shared" si="8"/>
        <v>all</v>
      </c>
      <c r="T42" s="205">
        <f t="shared" si="8"/>
        <v>2.5099999999999998</v>
      </c>
      <c r="U42" s="205" t="str">
        <f t="shared" si="8"/>
        <v>Breite Baurichtmaß</v>
      </c>
      <c r="V42" s="205" t="str">
        <f t="shared" si="8"/>
        <v>x</v>
      </c>
      <c r="W42" s="205" t="str">
        <f t="shared" si="8"/>
        <v/>
      </c>
      <c r="X42" s="205" t="str">
        <f t="shared" si="8"/>
        <v/>
      </c>
      <c r="Y42" s="205" t="str">
        <f t="shared" si="8"/>
        <v>ac_baurichtmass_width</v>
      </c>
    </row>
    <row r="43" spans="1:25">
      <c r="A43" s="204">
        <f t="shared" si="0"/>
        <v>41</v>
      </c>
      <c r="B43" s="205" t="str">
        <f t="shared" ref="B43:K52" si="9">IF(ISNONTEXT(B$2),IF(B$2="","",IF(INDEX(IMPORT,$A43,B$2)=0,"",IFERROR(VLOOKUP(INDEX(IMPORT,$A43,B$2),ImportTranslation,2,0),INDEX(IMPORT,$A43,B$2)))),B$2)</f>
        <v>x</v>
      </c>
      <c r="C43" s="205" t="str">
        <f t="shared" si="9"/>
        <v/>
      </c>
      <c r="D43" s="205" t="str">
        <f t="shared" si="9"/>
        <v/>
      </c>
      <c r="E43" s="205" t="str">
        <f t="shared" si="9"/>
        <v/>
      </c>
      <c r="F43" s="205" t="str">
        <f t="shared" si="9"/>
        <v/>
      </c>
      <c r="G43" s="205" t="str">
        <f t="shared" si="9"/>
        <v/>
      </c>
      <c r="H43" s="205" t="str">
        <f t="shared" si="9"/>
        <v/>
      </c>
      <c r="I43" s="205" t="str">
        <f t="shared" si="9"/>
        <v/>
      </c>
      <c r="J43" s="205" t="str">
        <f t="shared" si="9"/>
        <v/>
      </c>
      <c r="K43" s="205" t="str">
        <f t="shared" si="9"/>
        <v>x</v>
      </c>
      <c r="L43" s="205" t="str">
        <f t="shared" ref="L43:Y52" si="10">IF(ISNONTEXT(L$2),IF(L$2="","",IF(INDEX(IMPORT,$A43,L$2)=0,"",IFERROR(VLOOKUP(INDEX(IMPORT,$A43,L$2),ImportTranslation,2,0),INDEX(IMPORT,$A43,L$2)))),L$2)</f>
        <v>info</v>
      </c>
      <c r="M43" s="205" t="str">
        <f t="shared" si="10"/>
        <v>x</v>
      </c>
      <c r="N43" s="205" t="str">
        <f t="shared" si="10"/>
        <v/>
      </c>
      <c r="O43" s="205" t="str">
        <f t="shared" si="10"/>
        <v>model</v>
      </c>
      <c r="P43" s="206" t="str">
        <f t="shared" si="10"/>
        <v>Length</v>
      </c>
      <c r="Q43" s="206" t="str">
        <f t="shared" si="10"/>
        <v>x</v>
      </c>
      <c r="R43" s="206" t="str">
        <f t="shared" si="10"/>
        <v>BS</v>
      </c>
      <c r="S43" s="206" t="str">
        <f t="shared" si="10"/>
        <v>all</v>
      </c>
      <c r="T43" s="205">
        <f t="shared" si="10"/>
        <v>2.5099999999999998</v>
      </c>
      <c r="U43" s="205" t="str">
        <f t="shared" si="10"/>
        <v>Höhe Baurichtmaß</v>
      </c>
      <c r="V43" s="205" t="str">
        <f t="shared" si="10"/>
        <v>x</v>
      </c>
      <c r="W43" s="205" t="str">
        <f t="shared" si="10"/>
        <v/>
      </c>
      <c r="X43" s="205" t="str">
        <f t="shared" si="10"/>
        <v/>
      </c>
      <c r="Y43" s="205" t="str">
        <f t="shared" si="10"/>
        <v>ac_baurichtmass_height</v>
      </c>
    </row>
    <row r="44" spans="1:25">
      <c r="A44" s="204">
        <f t="shared" si="0"/>
        <v>42</v>
      </c>
      <c r="B44" s="205" t="str">
        <f t="shared" si="9"/>
        <v>x</v>
      </c>
      <c r="C44" s="205" t="str">
        <f t="shared" si="9"/>
        <v/>
      </c>
      <c r="D44" s="205" t="str">
        <f t="shared" si="9"/>
        <v/>
      </c>
      <c r="E44" s="205" t="str">
        <f t="shared" si="9"/>
        <v/>
      </c>
      <c r="F44" s="205" t="str">
        <f t="shared" si="9"/>
        <v/>
      </c>
      <c r="G44" s="205" t="str">
        <f t="shared" si="9"/>
        <v/>
      </c>
      <c r="H44" s="205" t="str">
        <f t="shared" si="9"/>
        <v/>
      </c>
      <c r="I44" s="205" t="str">
        <f t="shared" si="9"/>
        <v/>
      </c>
      <c r="J44" s="205" t="str">
        <f t="shared" si="9"/>
        <v/>
      </c>
      <c r="K44" s="205" t="str">
        <f t="shared" si="9"/>
        <v/>
      </c>
      <c r="L44" s="205" t="str">
        <f t="shared" si="10"/>
        <v>info</v>
      </c>
      <c r="M44" s="205" t="str">
        <f t="shared" si="10"/>
        <v>x</v>
      </c>
      <c r="N44" s="205" t="str">
        <f t="shared" si="10"/>
        <v/>
      </c>
      <c r="O44" s="205" t="str">
        <f t="shared" si="10"/>
        <v>model</v>
      </c>
      <c r="P44" s="206" t="str">
        <f t="shared" si="10"/>
        <v>Length</v>
      </c>
      <c r="Q44" s="206" t="str">
        <f t="shared" si="10"/>
        <v>x</v>
      </c>
      <c r="R44" s="206" t="str">
        <f t="shared" si="10"/>
        <v>BS</v>
      </c>
      <c r="S44" s="206" t="str">
        <f t="shared" si="10"/>
        <v>all</v>
      </c>
      <c r="T44" s="205">
        <f t="shared" si="10"/>
        <v>1.3</v>
      </c>
      <c r="U44" s="205" t="str">
        <f t="shared" si="10"/>
        <v>Durchgangslichte Breite</v>
      </c>
      <c r="V44" s="205" t="str">
        <f t="shared" si="10"/>
        <v>x</v>
      </c>
      <c r="W44" s="205" t="str">
        <f t="shared" si="10"/>
        <v/>
      </c>
      <c r="X44" s="205" t="str">
        <f t="shared" si="10"/>
        <v/>
      </c>
      <c r="Y44" s="205" t="str">
        <f t="shared" si="10"/>
        <v>ac_egress_width</v>
      </c>
    </row>
    <row r="45" spans="1:25">
      <c r="A45" s="204">
        <f t="shared" si="0"/>
        <v>43</v>
      </c>
      <c r="B45" s="205" t="str">
        <f t="shared" si="9"/>
        <v>x</v>
      </c>
      <c r="C45" s="205" t="str">
        <f t="shared" si="9"/>
        <v/>
      </c>
      <c r="D45" s="205" t="str">
        <f t="shared" si="9"/>
        <v/>
      </c>
      <c r="E45" s="205" t="str">
        <f t="shared" si="9"/>
        <v/>
      </c>
      <c r="F45" s="205" t="str">
        <f t="shared" si="9"/>
        <v/>
      </c>
      <c r="G45" s="205" t="str">
        <f t="shared" si="9"/>
        <v/>
      </c>
      <c r="H45" s="205" t="str">
        <f t="shared" si="9"/>
        <v/>
      </c>
      <c r="I45" s="205" t="str">
        <f t="shared" si="9"/>
        <v/>
      </c>
      <c r="J45" s="205" t="str">
        <f t="shared" si="9"/>
        <v/>
      </c>
      <c r="K45" s="205" t="str">
        <f t="shared" si="9"/>
        <v/>
      </c>
      <c r="L45" s="205" t="str">
        <f t="shared" si="10"/>
        <v>info</v>
      </c>
      <c r="M45" s="205" t="str">
        <f t="shared" si="10"/>
        <v>x</v>
      </c>
      <c r="N45" s="205" t="str">
        <f t="shared" si="10"/>
        <v/>
      </c>
      <c r="O45" s="205" t="str">
        <f t="shared" si="10"/>
        <v>model</v>
      </c>
      <c r="P45" s="206" t="str">
        <f t="shared" si="10"/>
        <v>Length</v>
      </c>
      <c r="Q45" s="206" t="str">
        <f t="shared" si="10"/>
        <v>x</v>
      </c>
      <c r="R45" s="206" t="str">
        <f t="shared" si="10"/>
        <v>BS</v>
      </c>
      <c r="S45" s="206" t="str">
        <f t="shared" si="10"/>
        <v>all</v>
      </c>
      <c r="T45" s="205">
        <f t="shared" si="10"/>
        <v>2.0099999999999998</v>
      </c>
      <c r="U45" s="205" t="str">
        <f t="shared" si="10"/>
        <v>Durchgangslichte Höhe</v>
      </c>
      <c r="V45" s="205" t="str">
        <f t="shared" si="10"/>
        <v>x</v>
      </c>
      <c r="W45" s="205" t="str">
        <f t="shared" si="10"/>
        <v/>
      </c>
      <c r="X45" s="205" t="str">
        <f t="shared" si="10"/>
        <v/>
      </c>
      <c r="Y45" s="205" t="str">
        <f t="shared" si="10"/>
        <v>ac_egress_height</v>
      </c>
    </row>
    <row r="46" spans="1:25">
      <c r="A46" s="204">
        <f t="shared" si="0"/>
        <v>44</v>
      </c>
      <c r="B46" s="205" t="str">
        <f t="shared" si="9"/>
        <v>x</v>
      </c>
      <c r="C46" s="205" t="str">
        <f t="shared" si="9"/>
        <v/>
      </c>
      <c r="D46" s="205" t="str">
        <f t="shared" si="9"/>
        <v/>
      </c>
      <c r="E46" s="205" t="str">
        <f t="shared" si="9"/>
        <v/>
      </c>
      <c r="F46" s="205" t="str">
        <f t="shared" si="9"/>
        <v/>
      </c>
      <c r="G46" s="205" t="str">
        <f t="shared" si="9"/>
        <v/>
      </c>
      <c r="H46" s="205" t="str">
        <f t="shared" si="9"/>
        <v/>
      </c>
      <c r="I46" s="205" t="str">
        <f t="shared" si="9"/>
        <v/>
      </c>
      <c r="J46" s="205" t="str">
        <f t="shared" si="9"/>
        <v/>
      </c>
      <c r="K46" s="205" t="str">
        <f t="shared" si="9"/>
        <v/>
      </c>
      <c r="L46" s="205" t="str">
        <f t="shared" si="10"/>
        <v>info</v>
      </c>
      <c r="M46" s="205" t="str">
        <f t="shared" si="10"/>
        <v>x</v>
      </c>
      <c r="N46" s="205" t="str">
        <f t="shared" si="10"/>
        <v/>
      </c>
      <c r="O46" s="205" t="str">
        <f t="shared" si="10"/>
        <v>model</v>
      </c>
      <c r="P46" s="206" t="str">
        <f t="shared" si="10"/>
        <v>Length</v>
      </c>
      <c r="Q46" s="206" t="str">
        <f t="shared" si="10"/>
        <v>x</v>
      </c>
      <c r="R46" s="206" t="str">
        <f t="shared" si="10"/>
        <v>BS</v>
      </c>
      <c r="S46" s="206" t="str">
        <f t="shared" si="10"/>
        <v>all</v>
      </c>
      <c r="T46" s="205">
        <f t="shared" si="10"/>
        <v>1.33</v>
      </c>
      <c r="U46" s="205" t="str">
        <f t="shared" si="10"/>
        <v>Türblatt Breite</v>
      </c>
      <c r="V46" s="205" t="str">
        <f t="shared" si="10"/>
        <v>x</v>
      </c>
      <c r="W46" s="205" t="str">
        <f t="shared" si="10"/>
        <v/>
      </c>
      <c r="X46" s="205" t="str">
        <f t="shared" si="10"/>
        <v/>
      </c>
      <c r="Y46" s="205" t="str">
        <f t="shared" si="10"/>
        <v>ac_leaf_width</v>
      </c>
    </row>
    <row r="47" spans="1:25">
      <c r="A47" s="204">
        <f t="shared" si="0"/>
        <v>45</v>
      </c>
      <c r="B47" s="205" t="str">
        <f t="shared" si="9"/>
        <v>x</v>
      </c>
      <c r="C47" s="205" t="str">
        <f t="shared" si="9"/>
        <v/>
      </c>
      <c r="D47" s="205" t="str">
        <f t="shared" si="9"/>
        <v/>
      </c>
      <c r="E47" s="205" t="str">
        <f t="shared" si="9"/>
        <v/>
      </c>
      <c r="F47" s="205" t="str">
        <f t="shared" si="9"/>
        <v/>
      </c>
      <c r="G47" s="205" t="str">
        <f t="shared" si="9"/>
        <v/>
      </c>
      <c r="H47" s="205" t="str">
        <f t="shared" si="9"/>
        <v/>
      </c>
      <c r="I47" s="205" t="str">
        <f t="shared" si="9"/>
        <v/>
      </c>
      <c r="J47" s="205" t="str">
        <f t="shared" si="9"/>
        <v/>
      </c>
      <c r="K47" s="205" t="str">
        <f t="shared" si="9"/>
        <v/>
      </c>
      <c r="L47" s="205" t="str">
        <f t="shared" si="10"/>
        <v>info</v>
      </c>
      <c r="M47" s="205" t="str">
        <f t="shared" si="10"/>
        <v>x</v>
      </c>
      <c r="N47" s="205" t="str">
        <f t="shared" si="10"/>
        <v/>
      </c>
      <c r="O47" s="205" t="str">
        <f t="shared" si="10"/>
        <v>model</v>
      </c>
      <c r="P47" s="206" t="str">
        <f t="shared" si="10"/>
        <v>Length</v>
      </c>
      <c r="Q47" s="206" t="str">
        <f t="shared" si="10"/>
        <v>x</v>
      </c>
      <c r="R47" s="206" t="str">
        <f t="shared" si="10"/>
        <v>BS</v>
      </c>
      <c r="S47" s="206" t="str">
        <f t="shared" si="10"/>
        <v>all</v>
      </c>
      <c r="T47" s="205">
        <f t="shared" si="10"/>
        <v>2.02</v>
      </c>
      <c r="U47" s="205" t="str">
        <f t="shared" si="10"/>
        <v>Türblatt Höhe</v>
      </c>
      <c r="V47" s="205" t="str">
        <f t="shared" si="10"/>
        <v>x</v>
      </c>
      <c r="W47" s="205" t="str">
        <f t="shared" si="10"/>
        <v/>
      </c>
      <c r="X47" s="205" t="str">
        <f t="shared" si="10"/>
        <v/>
      </c>
      <c r="Y47" s="205" t="str">
        <f t="shared" si="10"/>
        <v>ac_leaf_height</v>
      </c>
    </row>
    <row r="48" spans="1:25">
      <c r="A48" s="204">
        <f t="shared" si="0"/>
        <v>46</v>
      </c>
      <c r="B48" s="205" t="str">
        <f t="shared" si="9"/>
        <v>x</v>
      </c>
      <c r="C48" s="205" t="str">
        <f t="shared" si="9"/>
        <v>x</v>
      </c>
      <c r="D48" s="205" t="str">
        <f t="shared" si="9"/>
        <v/>
      </c>
      <c r="E48" s="205" t="str">
        <f t="shared" si="9"/>
        <v/>
      </c>
      <c r="F48" s="205" t="str">
        <f t="shared" si="9"/>
        <v/>
      </c>
      <c r="G48" s="205" t="str">
        <f t="shared" si="9"/>
        <v/>
      </c>
      <c r="H48" s="205" t="str">
        <f t="shared" si="9"/>
        <v/>
      </c>
      <c r="I48" s="205" t="str">
        <f t="shared" si="9"/>
        <v/>
      </c>
      <c r="J48" s="205" t="str">
        <f t="shared" si="9"/>
        <v/>
      </c>
      <c r="K48" s="205" t="str">
        <f t="shared" si="9"/>
        <v/>
      </c>
      <c r="L48" s="205" t="str">
        <f t="shared" si="10"/>
        <v>info</v>
      </c>
      <c r="M48" s="205" t="str">
        <f t="shared" si="10"/>
        <v>x</v>
      </c>
      <c r="N48" s="205" t="str">
        <f t="shared" si="10"/>
        <v/>
      </c>
      <c r="O48" s="205" t="str">
        <f t="shared" si="10"/>
        <v>model</v>
      </c>
      <c r="P48" s="206" t="str">
        <f t="shared" si="10"/>
        <v>Integer</v>
      </c>
      <c r="Q48" s="206" t="str">
        <f t="shared" si="10"/>
        <v>x</v>
      </c>
      <c r="R48" s="206" t="str">
        <f t="shared" si="10"/>
        <v>BS</v>
      </c>
      <c r="S48" s="206" t="str">
        <f t="shared" si="10"/>
        <v>all</v>
      </c>
      <c r="T48" s="205" t="str">
        <f t="shared" si="10"/>
        <v/>
      </c>
      <c r="U48" s="205" t="str">
        <f t="shared" si="10"/>
        <v>Nominalmaß</v>
      </c>
      <c r="V48" s="205" t="str">
        <f t="shared" si="10"/>
        <v>x</v>
      </c>
      <c r="W48" s="205" t="str">
        <f t="shared" si="10"/>
        <v/>
      </c>
      <c r="X48" s="205" t="str">
        <f t="shared" si="10"/>
        <v/>
      </c>
      <c r="Y48" s="205" t="str">
        <f t="shared" si="10"/>
        <v>gs_nominal_size</v>
      </c>
    </row>
    <row r="49" spans="1:25">
      <c r="A49" s="204">
        <f t="shared" si="0"/>
        <v>47</v>
      </c>
      <c r="B49" s="205" t="str">
        <f t="shared" si="9"/>
        <v>x</v>
      </c>
      <c r="C49" s="205" t="str">
        <f t="shared" si="9"/>
        <v/>
      </c>
      <c r="D49" s="205" t="str">
        <f t="shared" si="9"/>
        <v/>
      </c>
      <c r="E49" s="205" t="str">
        <f t="shared" si="9"/>
        <v/>
      </c>
      <c r="F49" s="205" t="str">
        <f t="shared" si="9"/>
        <v/>
      </c>
      <c r="G49" s="205" t="str">
        <f t="shared" si="9"/>
        <v/>
      </c>
      <c r="H49" s="205" t="str">
        <f t="shared" si="9"/>
        <v/>
      </c>
      <c r="I49" s="205" t="str">
        <f t="shared" si="9"/>
        <v/>
      </c>
      <c r="J49" s="205" t="str">
        <f t="shared" si="9"/>
        <v/>
      </c>
      <c r="K49" s="205" t="str">
        <f t="shared" si="9"/>
        <v/>
      </c>
      <c r="L49" s="205" t="str">
        <f t="shared" si="10"/>
        <v>info</v>
      </c>
      <c r="M49" s="205" t="str">
        <f t="shared" si="10"/>
        <v>x</v>
      </c>
      <c r="N49" s="205" t="str">
        <f t="shared" si="10"/>
        <v/>
      </c>
      <c r="O49" s="205" t="str">
        <f t="shared" si="10"/>
        <v>model</v>
      </c>
      <c r="P49" s="206" t="str">
        <f t="shared" si="10"/>
        <v>Boolean</v>
      </c>
      <c r="Q49" s="206" t="str">
        <f t="shared" si="10"/>
        <v>x</v>
      </c>
      <c r="R49" s="206" t="str">
        <f t="shared" si="10"/>
        <v>BS</v>
      </c>
      <c r="S49" s="206" t="str">
        <f t="shared" si="10"/>
        <v>all</v>
      </c>
      <c r="T49" s="205" t="str">
        <f t="shared" si="10"/>
        <v/>
      </c>
      <c r="U49" s="205" t="str">
        <f t="shared" si="10"/>
        <v>Rohbauöffnung als Nominalmaß einstellen</v>
      </c>
      <c r="V49" s="205" t="str">
        <f t="shared" si="10"/>
        <v>x</v>
      </c>
      <c r="W49" s="205" t="str">
        <f t="shared" si="10"/>
        <v/>
      </c>
      <c r="X49" s="205" t="str">
        <f t="shared" si="10"/>
        <v/>
      </c>
      <c r="Y49" s="205" t="str">
        <f t="shared" si="10"/>
        <v>gs_wallhole_nominal</v>
      </c>
    </row>
    <row r="50" spans="1:25">
      <c r="A50" s="204">
        <f t="shared" si="0"/>
        <v>48</v>
      </c>
      <c r="B50" s="205" t="str">
        <f t="shared" si="9"/>
        <v>x</v>
      </c>
      <c r="C50" s="205" t="str">
        <f t="shared" si="9"/>
        <v/>
      </c>
      <c r="D50" s="205" t="str">
        <f t="shared" si="9"/>
        <v/>
      </c>
      <c r="E50" s="205" t="str">
        <f t="shared" si="9"/>
        <v/>
      </c>
      <c r="F50" s="205" t="str">
        <f t="shared" si="9"/>
        <v/>
      </c>
      <c r="G50" s="205" t="str">
        <f t="shared" si="9"/>
        <v/>
      </c>
      <c r="H50" s="205" t="str">
        <f t="shared" si="9"/>
        <v/>
      </c>
      <c r="I50" s="205" t="str">
        <f t="shared" si="9"/>
        <v/>
      </c>
      <c r="J50" s="205" t="str">
        <f t="shared" si="9"/>
        <v/>
      </c>
      <c r="K50" s="205" t="str">
        <f t="shared" si="9"/>
        <v/>
      </c>
      <c r="L50" s="205" t="str">
        <f t="shared" si="10"/>
        <v>info</v>
      </c>
      <c r="M50" s="205" t="str">
        <f t="shared" si="10"/>
        <v>x</v>
      </c>
      <c r="N50" s="205" t="str">
        <f t="shared" si="10"/>
        <v/>
      </c>
      <c r="O50" s="205" t="str">
        <f t="shared" si="10"/>
        <v>model</v>
      </c>
      <c r="P50" s="206" t="str">
        <f t="shared" si="10"/>
        <v>Boolean</v>
      </c>
      <c r="Q50" s="206" t="str">
        <f t="shared" si="10"/>
        <v>x</v>
      </c>
      <c r="R50" s="206" t="str">
        <f t="shared" si="10"/>
        <v>BS</v>
      </c>
      <c r="S50" s="206" t="str">
        <f t="shared" si="10"/>
        <v>all</v>
      </c>
      <c r="T50" s="205">
        <f t="shared" si="10"/>
        <v>1</v>
      </c>
      <c r="U50" s="205" t="str">
        <f t="shared" si="10"/>
        <v>Architekturlichte als Nominalmaß einstellen</v>
      </c>
      <c r="V50" s="205" t="str">
        <f t="shared" si="10"/>
        <v>x</v>
      </c>
      <c r="W50" s="205" t="str">
        <f t="shared" si="10"/>
        <v/>
      </c>
      <c r="X50" s="205" t="str">
        <f t="shared" si="10"/>
        <v/>
      </c>
      <c r="Y50" s="205" t="str">
        <f t="shared" si="10"/>
        <v>gs_reveal_nominal</v>
      </c>
    </row>
    <row r="51" spans="1:25">
      <c r="A51" s="204">
        <f t="shared" si="0"/>
        <v>49</v>
      </c>
      <c r="B51" s="205" t="str">
        <f t="shared" si="9"/>
        <v>x</v>
      </c>
      <c r="C51" s="205" t="str">
        <f t="shared" si="9"/>
        <v/>
      </c>
      <c r="D51" s="205" t="str">
        <f t="shared" si="9"/>
        <v/>
      </c>
      <c r="E51" s="205" t="str">
        <f t="shared" si="9"/>
        <v/>
      </c>
      <c r="F51" s="205" t="str">
        <f t="shared" si="9"/>
        <v/>
      </c>
      <c r="G51" s="205" t="str">
        <f t="shared" si="9"/>
        <v/>
      </c>
      <c r="H51" s="205" t="str">
        <f t="shared" si="9"/>
        <v/>
      </c>
      <c r="I51" s="205" t="str">
        <f t="shared" si="9"/>
        <v/>
      </c>
      <c r="J51" s="205" t="str">
        <f t="shared" si="9"/>
        <v/>
      </c>
      <c r="K51" s="205" t="str">
        <f t="shared" si="9"/>
        <v/>
      </c>
      <c r="L51" s="205" t="str">
        <f t="shared" si="10"/>
        <v>info</v>
      </c>
      <c r="M51" s="205" t="str">
        <f t="shared" si="10"/>
        <v>x</v>
      </c>
      <c r="N51" s="205" t="str">
        <f t="shared" si="10"/>
        <v/>
      </c>
      <c r="O51" s="205" t="str">
        <f t="shared" si="10"/>
        <v>model</v>
      </c>
      <c r="P51" s="206" t="str">
        <f t="shared" si="10"/>
        <v>Boolean</v>
      </c>
      <c r="Q51" s="206" t="str">
        <f t="shared" si="10"/>
        <v>x</v>
      </c>
      <c r="R51" s="206" t="str">
        <f t="shared" si="10"/>
        <v>BS</v>
      </c>
      <c r="S51" s="206" t="str">
        <f t="shared" si="10"/>
        <v>all</v>
      </c>
      <c r="T51" s="205" t="str">
        <f t="shared" si="10"/>
        <v/>
      </c>
      <c r="U51" s="205" t="str">
        <f t="shared" si="10"/>
        <v>Rahmen-Außenmaß als Nominalmaß einstellen</v>
      </c>
      <c r="V51" s="205" t="str">
        <f t="shared" si="10"/>
        <v>x</v>
      </c>
      <c r="W51" s="205" t="str">
        <f t="shared" si="10"/>
        <v/>
      </c>
      <c r="X51" s="205" t="str">
        <f t="shared" si="10"/>
        <v/>
      </c>
      <c r="Y51" s="205" t="str">
        <f t="shared" si="10"/>
        <v>gs_unit_nominal</v>
      </c>
    </row>
    <row r="52" spans="1:25">
      <c r="A52" s="204">
        <f t="shared" si="0"/>
        <v>50</v>
      </c>
      <c r="B52" s="205" t="str">
        <f t="shared" si="9"/>
        <v>x</v>
      </c>
      <c r="C52" s="205" t="str">
        <f t="shared" si="9"/>
        <v/>
      </c>
      <c r="D52" s="205" t="str">
        <f t="shared" si="9"/>
        <v/>
      </c>
      <c r="E52" s="205" t="str">
        <f t="shared" si="9"/>
        <v/>
      </c>
      <c r="F52" s="205" t="str">
        <f t="shared" si="9"/>
        <v/>
      </c>
      <c r="G52" s="205" t="str">
        <f t="shared" si="9"/>
        <v/>
      </c>
      <c r="H52" s="205" t="str">
        <f t="shared" si="9"/>
        <v/>
      </c>
      <c r="I52" s="205" t="str">
        <f t="shared" si="9"/>
        <v/>
      </c>
      <c r="J52" s="205" t="str">
        <f t="shared" si="9"/>
        <v/>
      </c>
      <c r="K52" s="205" t="str">
        <f t="shared" si="9"/>
        <v/>
      </c>
      <c r="L52" s="205" t="str">
        <f t="shared" si="10"/>
        <v>info</v>
      </c>
      <c r="M52" s="205" t="str">
        <f t="shared" si="10"/>
        <v>x</v>
      </c>
      <c r="N52" s="205" t="str">
        <f t="shared" si="10"/>
        <v/>
      </c>
      <c r="O52" s="205" t="str">
        <f t="shared" si="10"/>
        <v>model</v>
      </c>
      <c r="P52" s="206" t="str">
        <f t="shared" si="10"/>
        <v>Boolean</v>
      </c>
      <c r="Q52" s="206" t="str">
        <f t="shared" si="10"/>
        <v>x</v>
      </c>
      <c r="R52" s="206" t="str">
        <f t="shared" si="10"/>
        <v>BS</v>
      </c>
      <c r="S52" s="206" t="str">
        <f t="shared" si="10"/>
        <v>all</v>
      </c>
      <c r="T52" s="205" t="str">
        <f t="shared" si="10"/>
        <v/>
      </c>
      <c r="U52" s="205" t="str">
        <f t="shared" si="10"/>
        <v>Baurichtmaß als Nominalmaß einstellen</v>
      </c>
      <c r="V52" s="205" t="str">
        <f t="shared" si="10"/>
        <v>x</v>
      </c>
      <c r="W52" s="205" t="str">
        <f t="shared" si="10"/>
        <v/>
      </c>
      <c r="X52" s="205" t="str">
        <f t="shared" si="10"/>
        <v/>
      </c>
      <c r="Y52" s="205" t="str">
        <f t="shared" si="10"/>
        <v>gs_baurichtmass_nominal</v>
      </c>
    </row>
    <row r="53" spans="1:25">
      <c r="A53" s="204">
        <f t="shared" si="0"/>
        <v>51</v>
      </c>
      <c r="B53" s="205" t="str">
        <f t="shared" ref="B53:K62" si="11">IF(ISNONTEXT(B$2),IF(B$2="","",IF(INDEX(IMPORT,$A53,B$2)=0,"",IFERROR(VLOOKUP(INDEX(IMPORT,$A53,B$2),ImportTranslation,2,0),INDEX(IMPORT,$A53,B$2)))),B$2)</f>
        <v>x</v>
      </c>
      <c r="C53" s="205" t="str">
        <f t="shared" si="11"/>
        <v/>
      </c>
      <c r="D53" s="205" t="str">
        <f t="shared" si="11"/>
        <v/>
      </c>
      <c r="E53" s="205" t="str">
        <f t="shared" si="11"/>
        <v/>
      </c>
      <c r="F53" s="205" t="str">
        <f t="shared" si="11"/>
        <v/>
      </c>
      <c r="G53" s="205" t="str">
        <f t="shared" si="11"/>
        <v/>
      </c>
      <c r="H53" s="205" t="str">
        <f t="shared" si="11"/>
        <v/>
      </c>
      <c r="I53" s="205" t="str">
        <f t="shared" si="11"/>
        <v/>
      </c>
      <c r="J53" s="205" t="str">
        <f t="shared" si="11"/>
        <v/>
      </c>
      <c r="K53" s="205" t="str">
        <f t="shared" si="11"/>
        <v/>
      </c>
      <c r="L53" s="205" t="str">
        <f t="shared" ref="L53:Y62" si="12">IF(ISNONTEXT(L$2),IF(L$2="","",IF(INDEX(IMPORT,$A53,L$2)=0,"",IFERROR(VLOOKUP(INDEX(IMPORT,$A53,L$2),ImportTranslation,2,0),INDEX(IMPORT,$A53,L$2)))),L$2)</f>
        <v>info</v>
      </c>
      <c r="M53" s="205" t="str">
        <f t="shared" si="12"/>
        <v>x</v>
      </c>
      <c r="N53" s="205" t="str">
        <f t="shared" si="12"/>
        <v/>
      </c>
      <c r="O53" s="205" t="str">
        <f t="shared" si="12"/>
        <v>model</v>
      </c>
      <c r="P53" s="206" t="str">
        <f t="shared" si="12"/>
        <v>Boolean</v>
      </c>
      <c r="Q53" s="206" t="str">
        <f t="shared" si="12"/>
        <v>x</v>
      </c>
      <c r="R53" s="206" t="str">
        <f t="shared" si="12"/>
        <v>BS</v>
      </c>
      <c r="S53" s="206" t="str">
        <f t="shared" si="12"/>
        <v>all</v>
      </c>
      <c r="T53" s="205" t="str">
        <f t="shared" si="12"/>
        <v/>
      </c>
      <c r="U53" s="205" t="str">
        <f t="shared" si="12"/>
        <v>Freies Öffnungsmaß als Nominalmaß einstellen</v>
      </c>
      <c r="V53" s="205" t="str">
        <f t="shared" si="12"/>
        <v>x</v>
      </c>
      <c r="W53" s="205" t="str">
        <f t="shared" si="12"/>
        <v/>
      </c>
      <c r="X53" s="205" t="str">
        <f t="shared" si="12"/>
        <v/>
      </c>
      <c r="Y53" s="205" t="str">
        <f t="shared" si="12"/>
        <v>gs_egress_nominal</v>
      </c>
    </row>
    <row r="54" spans="1:25">
      <c r="A54" s="204">
        <f t="shared" si="0"/>
        <v>52</v>
      </c>
      <c r="B54" s="205" t="str">
        <f t="shared" si="11"/>
        <v>x</v>
      </c>
      <c r="C54" s="205" t="str">
        <f t="shared" si="11"/>
        <v/>
      </c>
      <c r="D54" s="205" t="str">
        <f t="shared" si="11"/>
        <v/>
      </c>
      <c r="E54" s="205" t="str">
        <f t="shared" si="11"/>
        <v/>
      </c>
      <c r="F54" s="205" t="str">
        <f t="shared" si="11"/>
        <v/>
      </c>
      <c r="G54" s="205" t="str">
        <f t="shared" si="11"/>
        <v/>
      </c>
      <c r="H54" s="205" t="str">
        <f t="shared" si="11"/>
        <v/>
      </c>
      <c r="I54" s="205" t="str">
        <f t="shared" si="11"/>
        <v/>
      </c>
      <c r="J54" s="205" t="str">
        <f t="shared" si="11"/>
        <v/>
      </c>
      <c r="K54" s="205" t="str">
        <f t="shared" si="11"/>
        <v/>
      </c>
      <c r="L54" s="205" t="str">
        <f t="shared" si="12"/>
        <v>info</v>
      </c>
      <c r="M54" s="205" t="str">
        <f t="shared" si="12"/>
        <v>x</v>
      </c>
      <c r="N54" s="205" t="str">
        <f t="shared" si="12"/>
        <v/>
      </c>
      <c r="O54" s="205" t="str">
        <f t="shared" si="12"/>
        <v>model</v>
      </c>
      <c r="P54" s="206" t="str">
        <f t="shared" si="12"/>
        <v>Boolean</v>
      </c>
      <c r="Q54" s="206" t="str">
        <f t="shared" si="12"/>
        <v>x</v>
      </c>
      <c r="R54" s="206" t="str">
        <f t="shared" si="12"/>
        <v>BS</v>
      </c>
      <c r="S54" s="206" t="str">
        <f t="shared" si="12"/>
        <v>all</v>
      </c>
      <c r="T54" s="205" t="str">
        <f t="shared" si="12"/>
        <v/>
      </c>
      <c r="U54" s="205" t="str">
        <f t="shared" si="12"/>
        <v>Türblattmaß als Nominalmaß einstellen</v>
      </c>
      <c r="V54" s="205" t="str">
        <f t="shared" si="12"/>
        <v>x</v>
      </c>
      <c r="W54" s="205" t="str">
        <f t="shared" si="12"/>
        <v/>
      </c>
      <c r="X54" s="205" t="str">
        <f t="shared" si="12"/>
        <v/>
      </c>
      <c r="Y54" s="205" t="str">
        <f t="shared" si="12"/>
        <v>gs_leaf_nominal</v>
      </c>
    </row>
    <row r="55" spans="1:25">
      <c r="A55" s="204">
        <f t="shared" si="0"/>
        <v>53</v>
      </c>
      <c r="B55" s="205" t="str">
        <f t="shared" si="11"/>
        <v>x</v>
      </c>
      <c r="C55" s="205" t="str">
        <f t="shared" si="11"/>
        <v/>
      </c>
      <c r="D55" s="205" t="str">
        <f t="shared" si="11"/>
        <v/>
      </c>
      <c r="E55" s="205" t="str">
        <f t="shared" si="11"/>
        <v/>
      </c>
      <c r="F55" s="205" t="str">
        <f t="shared" si="11"/>
        <v/>
      </c>
      <c r="G55" s="205" t="str">
        <f t="shared" si="11"/>
        <v/>
      </c>
      <c r="H55" s="205" t="str">
        <f t="shared" si="11"/>
        <v/>
      </c>
      <c r="I55" s="205" t="str">
        <f t="shared" si="11"/>
        <v/>
      </c>
      <c r="J55" s="205" t="str">
        <f t="shared" si="11"/>
        <v/>
      </c>
      <c r="K55" s="205" t="str">
        <f t="shared" si="11"/>
        <v/>
      </c>
      <c r="L55" s="205" t="str">
        <f t="shared" si="12"/>
        <v>info</v>
      </c>
      <c r="M55" s="205" t="str">
        <f t="shared" si="12"/>
        <v>x</v>
      </c>
      <c r="N55" s="205" t="str">
        <f t="shared" si="12"/>
        <v/>
      </c>
      <c r="O55" s="205" t="str">
        <f t="shared" si="12"/>
        <v>model</v>
      </c>
      <c r="P55" s="206" t="str">
        <f t="shared" si="12"/>
        <v>Boolean</v>
      </c>
      <c r="Q55" s="206" t="str">
        <f t="shared" si="12"/>
        <v>x</v>
      </c>
      <c r="R55" s="206" t="str">
        <f t="shared" si="12"/>
        <v>BS</v>
      </c>
      <c r="S55" s="206" t="str">
        <f t="shared" si="12"/>
        <v>all</v>
      </c>
      <c r="T55" s="205">
        <f t="shared" si="12"/>
        <v>1</v>
      </c>
      <c r="U55" s="205" t="str">
        <f t="shared" si="12"/>
        <v>Übertrage aktuelle Nominal Größe auf die Auswahl</v>
      </c>
      <c r="V55" s="205" t="str">
        <f t="shared" si="12"/>
        <v>x</v>
      </c>
      <c r="W55" s="205" t="str">
        <f t="shared" si="12"/>
        <v/>
      </c>
      <c r="X55" s="205" t="str">
        <f t="shared" si="12"/>
        <v/>
      </c>
      <c r="Y55" s="205" t="str">
        <f t="shared" si="12"/>
        <v>gs_retain_nominal_sizes</v>
      </c>
    </row>
    <row r="56" spans="1:25">
      <c r="A56" s="204">
        <f t="shared" si="0"/>
        <v>54</v>
      </c>
      <c r="B56" s="205" t="str">
        <f t="shared" si="11"/>
        <v>x</v>
      </c>
      <c r="C56" s="205" t="str">
        <f t="shared" si="11"/>
        <v/>
      </c>
      <c r="D56" s="205" t="str">
        <f t="shared" si="11"/>
        <v/>
      </c>
      <c r="E56" s="205" t="str">
        <f t="shared" si="11"/>
        <v/>
      </c>
      <c r="F56" s="205" t="str">
        <f t="shared" si="11"/>
        <v/>
      </c>
      <c r="G56" s="205" t="str">
        <f t="shared" si="11"/>
        <v/>
      </c>
      <c r="H56" s="205" t="str">
        <f t="shared" si="11"/>
        <v/>
      </c>
      <c r="I56" s="205" t="str">
        <f t="shared" si="11"/>
        <v/>
      </c>
      <c r="J56" s="205" t="str">
        <f t="shared" si="11"/>
        <v/>
      </c>
      <c r="K56" s="205" t="str">
        <f t="shared" si="11"/>
        <v/>
      </c>
      <c r="L56" s="205" t="str">
        <f t="shared" si="12"/>
        <v>info</v>
      </c>
      <c r="M56" s="205" t="str">
        <f t="shared" si="12"/>
        <v/>
      </c>
      <c r="N56" s="205" t="str">
        <f t="shared" si="12"/>
        <v/>
      </c>
      <c r="O56" s="205" t="str">
        <f t="shared" si="12"/>
        <v>model</v>
      </c>
      <c r="P56" s="206" t="str">
        <f t="shared" si="12"/>
        <v>Title</v>
      </c>
      <c r="Q56" s="206" t="str">
        <f t="shared" si="12"/>
        <v>x</v>
      </c>
      <c r="R56" s="206" t="str">
        <f t="shared" si="12"/>
        <v>BS</v>
      </c>
      <c r="S56" s="206" t="str">
        <f t="shared" si="12"/>
        <v>all</v>
      </c>
      <c r="T56" s="205" t="str">
        <f t="shared" si="12"/>
        <v/>
      </c>
      <c r="U56" s="205" t="str">
        <f t="shared" si="12"/>
        <v>Türblatt Einstellungen</v>
      </c>
      <c r="V56" s="205" t="str">
        <f t="shared" si="12"/>
        <v/>
      </c>
      <c r="W56" s="205" t="str">
        <f t="shared" si="12"/>
        <v/>
      </c>
      <c r="X56" s="205" t="str">
        <f t="shared" si="12"/>
        <v/>
      </c>
      <c r="Y56" s="205" t="str">
        <f t="shared" si="12"/>
        <v>gs_door_panel</v>
      </c>
    </row>
    <row r="57" spans="1:25">
      <c r="A57" s="204">
        <f t="shared" si="0"/>
        <v>55</v>
      </c>
      <c r="B57" s="205" t="str">
        <f t="shared" si="11"/>
        <v/>
      </c>
      <c r="C57" s="205" t="str">
        <f t="shared" si="11"/>
        <v/>
      </c>
      <c r="D57" s="205" t="str">
        <f t="shared" si="11"/>
        <v/>
      </c>
      <c r="E57" s="205" t="str">
        <f t="shared" si="11"/>
        <v/>
      </c>
      <c r="F57" s="205" t="str">
        <f t="shared" si="11"/>
        <v/>
      </c>
      <c r="G57" s="205" t="str">
        <f t="shared" si="11"/>
        <v/>
      </c>
      <c r="H57" s="205" t="str">
        <f t="shared" si="11"/>
        <v/>
      </c>
      <c r="I57" s="205" t="str">
        <f t="shared" si="11"/>
        <v/>
      </c>
      <c r="J57" s="205" t="str">
        <f t="shared" si="11"/>
        <v/>
      </c>
      <c r="K57" s="205" t="str">
        <f t="shared" si="11"/>
        <v/>
      </c>
      <c r="L57" s="205" t="str">
        <f t="shared" si="12"/>
        <v>info</v>
      </c>
      <c r="M57" s="205" t="str">
        <f t="shared" si="12"/>
        <v>x</v>
      </c>
      <c r="N57" s="205" t="str">
        <f t="shared" si="12"/>
        <v/>
      </c>
      <c r="O57" s="205" t="str">
        <f t="shared" si="12"/>
        <v>model</v>
      </c>
      <c r="P57" s="206" t="str">
        <f t="shared" si="12"/>
        <v>Boolean</v>
      </c>
      <c r="Q57" s="206" t="str">
        <f t="shared" si="12"/>
        <v>x</v>
      </c>
      <c r="R57" s="206" t="str">
        <f t="shared" si="12"/>
        <v>BS</v>
      </c>
      <c r="S57" s="206" t="str">
        <f t="shared" si="12"/>
        <v>all</v>
      </c>
      <c r="T57" s="205" t="str">
        <f t="shared" si="12"/>
        <v/>
      </c>
      <c r="U57" s="205" t="str">
        <f t="shared" si="12"/>
        <v>Einheitliche Panele pro Blatt 1</v>
      </c>
      <c r="V57" s="205" t="str">
        <f t="shared" si="12"/>
        <v>x</v>
      </c>
      <c r="W57" s="205" t="str">
        <f t="shared" si="12"/>
        <v/>
      </c>
      <c r="X57" s="205" t="str">
        <f t="shared" si="12"/>
        <v/>
      </c>
      <c r="Y57" s="205" t="str">
        <f t="shared" si="12"/>
        <v>bUniformPanels1</v>
      </c>
    </row>
    <row r="58" spans="1:25">
      <c r="A58" s="204">
        <f t="shared" si="0"/>
        <v>56</v>
      </c>
      <c r="B58" s="205" t="str">
        <f t="shared" si="11"/>
        <v/>
      </c>
      <c r="C58" s="205" t="str">
        <f t="shared" si="11"/>
        <v/>
      </c>
      <c r="D58" s="205" t="str">
        <f t="shared" si="11"/>
        <v/>
      </c>
      <c r="E58" s="205" t="str">
        <f t="shared" si="11"/>
        <v/>
      </c>
      <c r="F58" s="205" t="str">
        <f t="shared" si="11"/>
        <v/>
      </c>
      <c r="G58" s="205" t="str">
        <f t="shared" si="11"/>
        <v/>
      </c>
      <c r="H58" s="205" t="str">
        <f t="shared" si="11"/>
        <v/>
      </c>
      <c r="I58" s="205" t="str">
        <f t="shared" si="11"/>
        <v/>
      </c>
      <c r="J58" s="205" t="str">
        <f t="shared" si="11"/>
        <v/>
      </c>
      <c r="K58" s="205" t="str">
        <f t="shared" si="11"/>
        <v/>
      </c>
      <c r="L58" s="205" t="str">
        <f t="shared" si="12"/>
        <v>info</v>
      </c>
      <c r="M58" s="205" t="str">
        <f t="shared" si="12"/>
        <v>x</v>
      </c>
      <c r="N58" s="205" t="str">
        <f t="shared" si="12"/>
        <v/>
      </c>
      <c r="O58" s="205" t="str">
        <f t="shared" si="12"/>
        <v>model</v>
      </c>
      <c r="P58" s="206" t="str">
        <f t="shared" si="12"/>
        <v>Boolean</v>
      </c>
      <c r="Q58" s="206" t="str">
        <f t="shared" si="12"/>
        <v>x</v>
      </c>
      <c r="R58" s="206" t="str">
        <f t="shared" si="12"/>
        <v>BS</v>
      </c>
      <c r="S58" s="206" t="str">
        <f t="shared" si="12"/>
        <v>all</v>
      </c>
      <c r="T58" s="205" t="str">
        <f t="shared" si="12"/>
        <v/>
      </c>
      <c r="U58" s="205" t="str">
        <f t="shared" si="12"/>
        <v>Einheitliche Panele pro Blatt 2</v>
      </c>
      <c r="V58" s="205" t="str">
        <f t="shared" si="12"/>
        <v>x</v>
      </c>
      <c r="W58" s="205" t="str">
        <f t="shared" si="12"/>
        <v/>
      </c>
      <c r="X58" s="205" t="str">
        <f t="shared" si="12"/>
        <v/>
      </c>
      <c r="Y58" s="205" t="str">
        <f t="shared" si="12"/>
        <v>bUniformPanels2</v>
      </c>
    </row>
    <row r="59" spans="1:25">
      <c r="A59" s="204">
        <f t="shared" si="0"/>
        <v>57</v>
      </c>
      <c r="B59" s="205" t="str">
        <f t="shared" si="11"/>
        <v>x</v>
      </c>
      <c r="C59" s="205" t="str">
        <f t="shared" si="11"/>
        <v/>
      </c>
      <c r="D59" s="205" t="str">
        <f t="shared" si="11"/>
        <v/>
      </c>
      <c r="E59" s="205" t="str">
        <f t="shared" si="11"/>
        <v/>
      </c>
      <c r="F59" s="205" t="str">
        <f t="shared" si="11"/>
        <v/>
      </c>
      <c r="G59" s="205" t="str">
        <f t="shared" si="11"/>
        <v/>
      </c>
      <c r="H59" s="205" t="str">
        <f t="shared" si="11"/>
        <v/>
      </c>
      <c r="I59" s="205" t="str">
        <f t="shared" si="11"/>
        <v/>
      </c>
      <c r="J59" s="205" t="str">
        <f t="shared" si="11"/>
        <v/>
      </c>
      <c r="K59" s="205" t="str">
        <f t="shared" si="11"/>
        <v/>
      </c>
      <c r="L59" s="205" t="str">
        <f t="shared" si="12"/>
        <v>info</v>
      </c>
      <c r="M59" s="205" t="str">
        <f t="shared" si="12"/>
        <v>x</v>
      </c>
      <c r="N59" s="205" t="str">
        <f t="shared" si="12"/>
        <v/>
      </c>
      <c r="O59" s="205" t="str">
        <f t="shared" si="12"/>
        <v>model</v>
      </c>
      <c r="P59" s="206" t="str">
        <f t="shared" si="12"/>
        <v>Integer</v>
      </c>
      <c r="Q59" s="206" t="str">
        <f t="shared" si="12"/>
        <v>x</v>
      </c>
      <c r="R59" s="206" t="str">
        <f t="shared" si="12"/>
        <v>BS</v>
      </c>
      <c r="S59" s="206" t="str">
        <f t="shared" si="12"/>
        <v>all</v>
      </c>
      <c r="T59" s="205">
        <f t="shared" si="12"/>
        <v>1</v>
      </c>
      <c r="U59" s="205" t="str">
        <f t="shared" si="12"/>
        <v>Türblatt</v>
      </c>
      <c r="V59" s="205" t="str">
        <f t="shared" si="12"/>
        <v>x</v>
      </c>
      <c r="W59" s="205" t="str">
        <f t="shared" si="12"/>
        <v/>
      </c>
      <c r="X59" s="205" t="str">
        <f t="shared" si="12"/>
        <v/>
      </c>
      <c r="Y59" s="205" t="str">
        <f t="shared" si="12"/>
        <v>iDoorPanelType</v>
      </c>
    </row>
    <row r="60" spans="1:25">
      <c r="A60" s="204">
        <f t="shared" si="0"/>
        <v>58</v>
      </c>
      <c r="B60" s="205" t="str">
        <f t="shared" si="11"/>
        <v/>
      </c>
      <c r="C60" s="205" t="str">
        <f t="shared" si="11"/>
        <v/>
      </c>
      <c r="D60" s="205" t="str">
        <f t="shared" si="11"/>
        <v/>
      </c>
      <c r="E60" s="205" t="str">
        <f t="shared" si="11"/>
        <v/>
      </c>
      <c r="F60" s="205" t="str">
        <f t="shared" si="11"/>
        <v/>
      </c>
      <c r="G60" s="205" t="str">
        <f t="shared" si="11"/>
        <v/>
      </c>
      <c r="H60" s="205" t="str">
        <f t="shared" si="11"/>
        <v/>
      </c>
      <c r="I60" s="205" t="str">
        <f t="shared" si="11"/>
        <v/>
      </c>
      <c r="J60" s="205" t="str">
        <f t="shared" si="11"/>
        <v/>
      </c>
      <c r="K60" s="205" t="str">
        <f t="shared" si="11"/>
        <v/>
      </c>
      <c r="L60" s="205" t="str">
        <f t="shared" si="12"/>
        <v>info</v>
      </c>
      <c r="M60" s="205" t="str">
        <f t="shared" si="12"/>
        <v>x</v>
      </c>
      <c r="N60" s="205" t="str">
        <f t="shared" si="12"/>
        <v/>
      </c>
      <c r="O60" s="205" t="str">
        <f t="shared" si="12"/>
        <v>model</v>
      </c>
      <c r="P60" s="206" t="str">
        <f t="shared" si="12"/>
        <v>Integer</v>
      </c>
      <c r="Q60" s="206" t="str">
        <f t="shared" si="12"/>
        <v>x</v>
      </c>
      <c r="R60" s="206" t="str">
        <f t="shared" si="12"/>
        <v>BS</v>
      </c>
      <c r="S60" s="206" t="str">
        <f t="shared" si="12"/>
        <v>all</v>
      </c>
      <c r="T60" s="205">
        <f t="shared" si="12"/>
        <v>1</v>
      </c>
      <c r="U60" s="205" t="str">
        <f t="shared" si="12"/>
        <v>Türblatt 2</v>
      </c>
      <c r="V60" s="205" t="str">
        <f t="shared" si="12"/>
        <v>x</v>
      </c>
      <c r="W60" s="205" t="str">
        <f t="shared" si="12"/>
        <v/>
      </c>
      <c r="X60" s="205" t="str">
        <f t="shared" si="12"/>
        <v/>
      </c>
      <c r="Y60" s="205" t="str">
        <f t="shared" si="12"/>
        <v>iDoorPanelType2</v>
      </c>
    </row>
    <row r="61" spans="1:25">
      <c r="A61" s="204">
        <f t="shared" si="0"/>
        <v>59</v>
      </c>
      <c r="B61" s="205" t="str">
        <f t="shared" si="11"/>
        <v>x</v>
      </c>
      <c r="C61" s="205" t="str">
        <f t="shared" si="11"/>
        <v/>
      </c>
      <c r="D61" s="205" t="str">
        <f t="shared" si="11"/>
        <v/>
      </c>
      <c r="E61" s="205" t="str">
        <f t="shared" si="11"/>
        <v/>
      </c>
      <c r="F61" s="205" t="str">
        <f t="shared" si="11"/>
        <v/>
      </c>
      <c r="G61" s="205" t="str">
        <f t="shared" si="11"/>
        <v/>
      </c>
      <c r="H61" s="205" t="str">
        <f t="shared" si="11"/>
        <v/>
      </c>
      <c r="I61" s="205" t="str">
        <f t="shared" si="11"/>
        <v/>
      </c>
      <c r="J61" s="205" t="str">
        <f t="shared" si="11"/>
        <v/>
      </c>
      <c r="K61" s="205" t="str">
        <f t="shared" si="11"/>
        <v/>
      </c>
      <c r="L61" s="205" t="str">
        <f t="shared" si="12"/>
        <v>info</v>
      </c>
      <c r="M61" s="205" t="str">
        <f t="shared" si="12"/>
        <v>x</v>
      </c>
      <c r="N61" s="205" t="str">
        <f t="shared" si="12"/>
        <v/>
      </c>
      <c r="O61" s="205" t="str">
        <f t="shared" si="12"/>
        <v>model</v>
      </c>
      <c r="P61" s="206" t="str">
        <f t="shared" si="12"/>
        <v>String</v>
      </c>
      <c r="Q61" s="206" t="str">
        <f t="shared" si="12"/>
        <v>x</v>
      </c>
      <c r="R61" s="206" t="str">
        <f t="shared" si="12"/>
        <v>BS</v>
      </c>
      <c r="S61" s="206" t="str">
        <f t="shared" si="12"/>
        <v>all</v>
      </c>
      <c r="T61" s="205" t="str">
        <f t="shared" si="12"/>
        <v/>
      </c>
      <c r="U61" s="205" t="str">
        <f t="shared" si="12"/>
        <v>Namen Eigenes Paneel</v>
      </c>
      <c r="V61" s="205" t="str">
        <f t="shared" si="12"/>
        <v>x</v>
      </c>
      <c r="W61" s="205" t="str">
        <f t="shared" si="12"/>
        <v/>
      </c>
      <c r="X61" s="205" t="str">
        <f t="shared" si="12"/>
        <v/>
      </c>
      <c r="Y61" s="205" t="str">
        <f t="shared" si="12"/>
        <v>gs_cust_panel</v>
      </c>
    </row>
    <row r="62" spans="1:25">
      <c r="A62" s="204">
        <f t="shared" si="0"/>
        <v>60</v>
      </c>
      <c r="B62" s="205" t="str">
        <f t="shared" si="11"/>
        <v/>
      </c>
      <c r="C62" s="205" t="str">
        <f t="shared" si="11"/>
        <v/>
      </c>
      <c r="D62" s="205" t="str">
        <f t="shared" si="11"/>
        <v/>
      </c>
      <c r="E62" s="205" t="str">
        <f t="shared" si="11"/>
        <v/>
      </c>
      <c r="F62" s="205" t="str">
        <f t="shared" si="11"/>
        <v/>
      </c>
      <c r="G62" s="205" t="str">
        <f t="shared" si="11"/>
        <v/>
      </c>
      <c r="H62" s="205" t="str">
        <f t="shared" si="11"/>
        <v/>
      </c>
      <c r="I62" s="205" t="str">
        <f t="shared" si="11"/>
        <v/>
      </c>
      <c r="J62" s="205" t="str">
        <f t="shared" si="11"/>
        <v/>
      </c>
      <c r="K62" s="205" t="str">
        <f t="shared" si="11"/>
        <v/>
      </c>
      <c r="L62" s="205" t="str">
        <f t="shared" si="12"/>
        <v>info</v>
      </c>
      <c r="M62" s="205" t="str">
        <f t="shared" si="12"/>
        <v>x</v>
      </c>
      <c r="N62" s="205" t="str">
        <f t="shared" si="12"/>
        <v/>
      </c>
      <c r="O62" s="205" t="str">
        <f t="shared" si="12"/>
        <v>model</v>
      </c>
      <c r="P62" s="206" t="str">
        <f t="shared" si="12"/>
        <v>String</v>
      </c>
      <c r="Q62" s="206" t="str">
        <f t="shared" si="12"/>
        <v>x</v>
      </c>
      <c r="R62" s="206" t="str">
        <f t="shared" si="12"/>
        <v>BS</v>
      </c>
      <c r="S62" s="206" t="str">
        <f t="shared" si="12"/>
        <v>all</v>
      </c>
      <c r="T62" s="205" t="str">
        <f t="shared" si="12"/>
        <v/>
      </c>
      <c r="U62" s="205" t="str">
        <f t="shared" si="12"/>
        <v>Eigenes Paneel Name 2</v>
      </c>
      <c r="V62" s="205" t="str">
        <f t="shared" si="12"/>
        <v>x</v>
      </c>
      <c r="W62" s="205" t="str">
        <f t="shared" si="12"/>
        <v/>
      </c>
      <c r="X62" s="205" t="str">
        <f t="shared" si="12"/>
        <v/>
      </c>
      <c r="Y62" s="205" t="str">
        <f t="shared" si="12"/>
        <v>gs_cust_panel2</v>
      </c>
    </row>
    <row r="63" spans="1:25">
      <c r="A63" s="204">
        <f t="shared" si="0"/>
        <v>61</v>
      </c>
      <c r="B63" s="205" t="str">
        <f t="shared" ref="B63:K72" si="13">IF(ISNONTEXT(B$2),IF(B$2="","",IF(INDEX(IMPORT,$A63,B$2)=0,"",IFERROR(VLOOKUP(INDEX(IMPORT,$A63,B$2),ImportTranslation,2,0),INDEX(IMPORT,$A63,B$2)))),B$2)</f>
        <v>x</v>
      </c>
      <c r="C63" s="205" t="str">
        <f t="shared" si="13"/>
        <v/>
      </c>
      <c r="D63" s="205" t="str">
        <f t="shared" si="13"/>
        <v/>
      </c>
      <c r="E63" s="205" t="str">
        <f t="shared" si="13"/>
        <v/>
      </c>
      <c r="F63" s="205" t="str">
        <f t="shared" si="13"/>
        <v/>
      </c>
      <c r="G63" s="205" t="str">
        <f t="shared" si="13"/>
        <v/>
      </c>
      <c r="H63" s="205" t="str">
        <f t="shared" si="13"/>
        <v/>
      </c>
      <c r="I63" s="205" t="str">
        <f t="shared" si="13"/>
        <v/>
      </c>
      <c r="J63" s="205" t="str">
        <f t="shared" si="13"/>
        <v/>
      </c>
      <c r="K63" s="205" t="str">
        <f t="shared" si="13"/>
        <v/>
      </c>
      <c r="L63" s="205" t="str">
        <f t="shared" ref="L63:Y72" si="14">IF(ISNONTEXT(L$2),IF(L$2="","",IF(INDEX(IMPORT,$A63,L$2)=0,"",IFERROR(VLOOKUP(INDEX(IMPORT,$A63,L$2),ImportTranslation,2,0),INDEX(IMPORT,$A63,L$2)))),L$2)</f>
        <v>info</v>
      </c>
      <c r="M63" s="205" t="str">
        <f t="shared" si="14"/>
        <v>x</v>
      </c>
      <c r="N63" s="205" t="str">
        <f t="shared" si="14"/>
        <v/>
      </c>
      <c r="O63" s="205" t="str">
        <f t="shared" si="14"/>
        <v>model</v>
      </c>
      <c r="P63" s="206" t="str">
        <f t="shared" si="14"/>
        <v>Length</v>
      </c>
      <c r="Q63" s="206" t="str">
        <f t="shared" si="14"/>
        <v>x</v>
      </c>
      <c r="R63" s="206" t="str">
        <f t="shared" si="14"/>
        <v>BS</v>
      </c>
      <c r="S63" s="206" t="str">
        <f t="shared" si="14"/>
        <v>all</v>
      </c>
      <c r="T63" s="205">
        <f t="shared" si="14"/>
        <v>5.0000000000000001E-3</v>
      </c>
      <c r="U63" s="205" t="str">
        <f t="shared" si="14"/>
        <v>Spalt unter Türblatt</v>
      </c>
      <c r="V63" s="205" t="str">
        <f t="shared" si="14"/>
        <v>x</v>
      </c>
      <c r="W63" s="205" t="str">
        <f t="shared" si="14"/>
        <v/>
      </c>
      <c r="X63" s="205" t="str">
        <f t="shared" si="14"/>
        <v/>
      </c>
      <c r="Y63" s="205" t="str">
        <f t="shared" si="14"/>
        <v>gapHeightUnderPanel</v>
      </c>
    </row>
    <row r="64" spans="1:25">
      <c r="A64" s="204">
        <f t="shared" si="0"/>
        <v>62</v>
      </c>
      <c r="B64" s="205" t="str">
        <f t="shared" si="13"/>
        <v>x</v>
      </c>
      <c r="C64" s="205" t="str">
        <f t="shared" si="13"/>
        <v/>
      </c>
      <c r="D64" s="205" t="str">
        <f t="shared" si="13"/>
        <v/>
      </c>
      <c r="E64" s="205" t="str">
        <f t="shared" si="13"/>
        <v/>
      </c>
      <c r="F64" s="205" t="str">
        <f t="shared" si="13"/>
        <v/>
      </c>
      <c r="G64" s="205" t="str">
        <f t="shared" si="13"/>
        <v/>
      </c>
      <c r="H64" s="205" t="str">
        <f t="shared" si="13"/>
        <v/>
      </c>
      <c r="I64" s="205" t="str">
        <f t="shared" si="13"/>
        <v/>
      </c>
      <c r="J64" s="205" t="str">
        <f t="shared" si="13"/>
        <v/>
      </c>
      <c r="K64" s="205" t="str">
        <f t="shared" si="13"/>
        <v/>
      </c>
      <c r="L64" s="205" t="str">
        <f t="shared" si="14"/>
        <v>info</v>
      </c>
      <c r="M64" s="205" t="str">
        <f t="shared" si="14"/>
        <v>x</v>
      </c>
      <c r="N64" s="205" t="str">
        <f t="shared" si="14"/>
        <v/>
      </c>
      <c r="O64" s="205" t="str">
        <f t="shared" si="14"/>
        <v>model</v>
      </c>
      <c r="P64" s="206" t="str">
        <f t="shared" si="14"/>
        <v>Length</v>
      </c>
      <c r="Q64" s="206" t="str">
        <f t="shared" si="14"/>
        <v>x</v>
      </c>
      <c r="R64" s="206" t="str">
        <f t="shared" si="14"/>
        <v>BS</v>
      </c>
      <c r="S64" s="206" t="str">
        <f t="shared" si="14"/>
        <v>all</v>
      </c>
      <c r="T64" s="205">
        <f t="shared" si="14"/>
        <v>0.04</v>
      </c>
      <c r="U64" s="205" t="str">
        <f t="shared" si="14"/>
        <v>Türblatt Stärke</v>
      </c>
      <c r="V64" s="205" t="str">
        <f t="shared" si="14"/>
        <v>x</v>
      </c>
      <c r="W64" s="205" t="str">
        <f t="shared" si="14"/>
        <v/>
      </c>
      <c r="X64" s="205" t="str">
        <f t="shared" si="14"/>
        <v/>
      </c>
      <c r="Y64" s="205" t="str">
        <f t="shared" si="14"/>
        <v>gs_leaf_thk</v>
      </c>
    </row>
    <row r="65" spans="1:25">
      <c r="A65" s="204">
        <f t="shared" si="0"/>
        <v>63</v>
      </c>
      <c r="B65" s="205" t="str">
        <f t="shared" si="13"/>
        <v>x</v>
      </c>
      <c r="C65" s="205" t="str">
        <f t="shared" si="13"/>
        <v/>
      </c>
      <c r="D65" s="205" t="str">
        <f t="shared" si="13"/>
        <v/>
      </c>
      <c r="E65" s="205" t="str">
        <f t="shared" si="13"/>
        <v/>
      </c>
      <c r="F65" s="205" t="str">
        <f t="shared" si="13"/>
        <v/>
      </c>
      <c r="G65" s="205" t="str">
        <f t="shared" si="13"/>
        <v/>
      </c>
      <c r="H65" s="205" t="str">
        <f t="shared" si="13"/>
        <v/>
      </c>
      <c r="I65" s="205" t="str">
        <f t="shared" si="13"/>
        <v/>
      </c>
      <c r="J65" s="205" t="str">
        <f t="shared" si="13"/>
        <v/>
      </c>
      <c r="K65" s="205" t="str">
        <f t="shared" si="13"/>
        <v/>
      </c>
      <c r="L65" s="205" t="str">
        <f t="shared" si="14"/>
        <v>info</v>
      </c>
      <c r="M65" s="205" t="str">
        <f t="shared" si="14"/>
        <v>x</v>
      </c>
      <c r="N65" s="205" t="str">
        <f t="shared" si="14"/>
        <v/>
      </c>
      <c r="O65" s="205" t="str">
        <f t="shared" si="14"/>
        <v>model</v>
      </c>
      <c r="P65" s="206" t="str">
        <f t="shared" si="14"/>
        <v>Length</v>
      </c>
      <c r="Q65" s="206" t="str">
        <f t="shared" si="14"/>
        <v>x</v>
      </c>
      <c r="R65" s="206" t="str">
        <f t="shared" si="14"/>
        <v>BS</v>
      </c>
      <c r="S65" s="206" t="str">
        <f t="shared" si="14"/>
        <v>all</v>
      </c>
      <c r="T65" s="205">
        <f t="shared" si="14"/>
        <v>1.4999999999999999E-2</v>
      </c>
      <c r="U65" s="205" t="str">
        <f t="shared" si="14"/>
        <v>Falzbreite</v>
      </c>
      <c r="V65" s="205" t="str">
        <f t="shared" si="14"/>
        <v>x</v>
      </c>
      <c r="W65" s="205" t="str">
        <f t="shared" si="14"/>
        <v/>
      </c>
      <c r="X65" s="205" t="str">
        <f t="shared" si="14"/>
        <v/>
      </c>
      <c r="Y65" s="205" t="str">
        <f t="shared" si="14"/>
        <v>gs_vb</v>
      </c>
    </row>
    <row r="66" spans="1:25">
      <c r="A66" s="204">
        <f t="shared" si="0"/>
        <v>64</v>
      </c>
      <c r="B66" s="205" t="str">
        <f t="shared" si="13"/>
        <v>x</v>
      </c>
      <c r="C66" s="205" t="str">
        <f t="shared" si="13"/>
        <v/>
      </c>
      <c r="D66" s="205" t="str">
        <f t="shared" si="13"/>
        <v/>
      </c>
      <c r="E66" s="205" t="str">
        <f t="shared" si="13"/>
        <v/>
      </c>
      <c r="F66" s="205" t="str">
        <f t="shared" si="13"/>
        <v/>
      </c>
      <c r="G66" s="205" t="str">
        <f t="shared" si="13"/>
        <v/>
      </c>
      <c r="H66" s="205" t="str">
        <f t="shared" si="13"/>
        <v/>
      </c>
      <c r="I66" s="205" t="str">
        <f t="shared" si="13"/>
        <v/>
      </c>
      <c r="J66" s="205" t="str">
        <f t="shared" si="13"/>
        <v/>
      </c>
      <c r="K66" s="205" t="str">
        <f t="shared" si="13"/>
        <v/>
      </c>
      <c r="L66" s="205" t="str">
        <f t="shared" si="14"/>
        <v>info</v>
      </c>
      <c r="M66" s="205" t="str">
        <f t="shared" si="14"/>
        <v>x</v>
      </c>
      <c r="N66" s="205" t="str">
        <f t="shared" si="14"/>
        <v/>
      </c>
      <c r="O66" s="205" t="str">
        <f t="shared" si="14"/>
        <v>model</v>
      </c>
      <c r="P66" s="206" t="str">
        <f t="shared" si="14"/>
        <v>Length</v>
      </c>
      <c r="Q66" s="206" t="str">
        <f t="shared" si="14"/>
        <v>x</v>
      </c>
      <c r="R66" s="206" t="str">
        <f t="shared" si="14"/>
        <v>BS</v>
      </c>
      <c r="S66" s="206" t="str">
        <f t="shared" si="14"/>
        <v>all</v>
      </c>
      <c r="T66" s="205">
        <f t="shared" si="14"/>
        <v>0.02</v>
      </c>
      <c r="U66" s="205" t="str">
        <f t="shared" si="14"/>
        <v>Falztiefe</v>
      </c>
      <c r="V66" s="205" t="str">
        <f t="shared" si="14"/>
        <v>x</v>
      </c>
      <c r="W66" s="205" t="str">
        <f t="shared" si="14"/>
        <v/>
      </c>
      <c r="X66" s="205" t="str">
        <f t="shared" si="14"/>
        <v/>
      </c>
      <c r="Y66" s="205" t="str">
        <f t="shared" si="14"/>
        <v>gs_vt</v>
      </c>
    </row>
    <row r="67" spans="1:25">
      <c r="A67" s="204">
        <f t="shared" ref="A67:A130" si="15">ROW()-ROW($A$2)</f>
        <v>65</v>
      </c>
      <c r="B67" s="205" t="str">
        <f t="shared" si="13"/>
        <v>x</v>
      </c>
      <c r="C67" s="205" t="str">
        <f t="shared" si="13"/>
        <v/>
      </c>
      <c r="D67" s="205" t="str">
        <f t="shared" si="13"/>
        <v/>
      </c>
      <c r="E67" s="205" t="str">
        <f t="shared" si="13"/>
        <v/>
      </c>
      <c r="F67" s="205" t="str">
        <f t="shared" si="13"/>
        <v/>
      </c>
      <c r="G67" s="205" t="str">
        <f t="shared" si="13"/>
        <v/>
      </c>
      <c r="H67" s="205" t="str">
        <f t="shared" si="13"/>
        <v/>
      </c>
      <c r="I67" s="205" t="str">
        <f t="shared" si="13"/>
        <v/>
      </c>
      <c r="J67" s="205" t="str">
        <f t="shared" si="13"/>
        <v/>
      </c>
      <c r="K67" s="205" t="str">
        <f t="shared" si="13"/>
        <v/>
      </c>
      <c r="L67" s="205" t="str">
        <f t="shared" si="14"/>
        <v>info</v>
      </c>
      <c r="M67" s="205" t="str">
        <f t="shared" si="14"/>
        <v>x</v>
      </c>
      <c r="N67" s="205" t="str">
        <f t="shared" si="14"/>
        <v/>
      </c>
      <c r="O67" s="205" t="str">
        <f t="shared" si="14"/>
        <v>model</v>
      </c>
      <c r="P67" s="206" t="str">
        <f t="shared" si="14"/>
        <v>Length</v>
      </c>
      <c r="Q67" s="206" t="str">
        <f t="shared" si="14"/>
        <v>x</v>
      </c>
      <c r="R67" s="206" t="str">
        <f t="shared" si="14"/>
        <v>BS</v>
      </c>
      <c r="S67" s="206" t="str">
        <f t="shared" si="14"/>
        <v>all</v>
      </c>
      <c r="T67" s="205">
        <f t="shared" si="14"/>
        <v>0.02</v>
      </c>
      <c r="U67" s="205" t="str">
        <f t="shared" si="14"/>
        <v>Dicke Türfüllung</v>
      </c>
      <c r="V67" s="205" t="str">
        <f t="shared" si="14"/>
        <v>x</v>
      </c>
      <c r="W67" s="205" t="str">
        <f t="shared" si="14"/>
        <v/>
      </c>
      <c r="X67" s="205" t="str">
        <f t="shared" si="14"/>
        <v/>
      </c>
      <c r="Y67" s="205" t="str">
        <f t="shared" si="14"/>
        <v>thkDoorFilling</v>
      </c>
    </row>
    <row r="68" spans="1:25">
      <c r="A68" s="204">
        <f t="shared" si="15"/>
        <v>66</v>
      </c>
      <c r="B68" s="205" t="str">
        <f t="shared" si="13"/>
        <v/>
      </c>
      <c r="C68" s="205" t="str">
        <f t="shared" si="13"/>
        <v/>
      </c>
      <c r="D68" s="205" t="str">
        <f t="shared" si="13"/>
        <v/>
      </c>
      <c r="E68" s="205" t="str">
        <f t="shared" si="13"/>
        <v/>
      </c>
      <c r="F68" s="205" t="str">
        <f t="shared" si="13"/>
        <v/>
      </c>
      <c r="G68" s="205" t="str">
        <f t="shared" si="13"/>
        <v/>
      </c>
      <c r="H68" s="205" t="str">
        <f t="shared" si="13"/>
        <v/>
      </c>
      <c r="I68" s="205" t="str">
        <f t="shared" si="13"/>
        <v/>
      </c>
      <c r="J68" s="205" t="str">
        <f t="shared" si="13"/>
        <v/>
      </c>
      <c r="K68" s="205" t="str">
        <f t="shared" si="13"/>
        <v/>
      </c>
      <c r="L68" s="205" t="str">
        <f t="shared" si="14"/>
        <v>info</v>
      </c>
      <c r="M68" s="205" t="str">
        <f t="shared" si="14"/>
        <v>x</v>
      </c>
      <c r="N68" s="205" t="str">
        <f t="shared" si="14"/>
        <v/>
      </c>
      <c r="O68" s="205" t="str">
        <f t="shared" si="14"/>
        <v>model</v>
      </c>
      <c r="P68" s="206" t="str">
        <f t="shared" si="14"/>
        <v>Length</v>
      </c>
      <c r="Q68" s="206" t="str">
        <f t="shared" si="14"/>
        <v>x</v>
      </c>
      <c r="R68" s="206" t="str">
        <f t="shared" si="14"/>
        <v>BS</v>
      </c>
      <c r="S68" s="206" t="str">
        <f t="shared" si="14"/>
        <v>all</v>
      </c>
      <c r="T68" s="205">
        <f t="shared" si="14"/>
        <v>0.02</v>
      </c>
      <c r="U68" s="205" t="str">
        <f t="shared" si="14"/>
        <v>Dicke Türfüllung 2</v>
      </c>
      <c r="V68" s="205" t="str">
        <f t="shared" si="14"/>
        <v>x</v>
      </c>
      <c r="W68" s="205" t="str">
        <f t="shared" si="14"/>
        <v/>
      </c>
      <c r="X68" s="205" t="str">
        <f t="shared" si="14"/>
        <v/>
      </c>
      <c r="Y68" s="205" t="str">
        <f t="shared" si="14"/>
        <v>thkDoorFilling2</v>
      </c>
    </row>
    <row r="69" spans="1:25">
      <c r="A69" s="204">
        <f t="shared" si="15"/>
        <v>67</v>
      </c>
      <c r="B69" s="205" t="str">
        <f t="shared" si="13"/>
        <v>x</v>
      </c>
      <c r="C69" s="205" t="str">
        <f t="shared" si="13"/>
        <v/>
      </c>
      <c r="D69" s="205" t="str">
        <f t="shared" si="13"/>
        <v/>
      </c>
      <c r="E69" s="205" t="str">
        <f t="shared" si="13"/>
        <v/>
      </c>
      <c r="F69" s="205" t="str">
        <f t="shared" si="13"/>
        <v/>
      </c>
      <c r="G69" s="205" t="str">
        <f t="shared" si="13"/>
        <v/>
      </c>
      <c r="H69" s="205" t="str">
        <f t="shared" si="13"/>
        <v/>
      </c>
      <c r="I69" s="205" t="str">
        <f t="shared" si="13"/>
        <v/>
      </c>
      <c r="J69" s="205" t="str">
        <f t="shared" si="13"/>
        <v/>
      </c>
      <c r="K69" s="205" t="str">
        <f t="shared" si="13"/>
        <v/>
      </c>
      <c r="L69" s="205" t="str">
        <f t="shared" si="14"/>
        <v>info</v>
      </c>
      <c r="M69" s="205" t="str">
        <f t="shared" si="14"/>
        <v>x</v>
      </c>
      <c r="N69" s="205" t="str">
        <f t="shared" si="14"/>
        <v/>
      </c>
      <c r="O69" s="205" t="str">
        <f t="shared" si="14"/>
        <v>model</v>
      </c>
      <c r="P69" s="206" t="str">
        <f t="shared" si="14"/>
        <v>Length</v>
      </c>
      <c r="Q69" s="206" t="str">
        <f t="shared" si="14"/>
        <v>x</v>
      </c>
      <c r="R69" s="206" t="str">
        <f t="shared" si="14"/>
        <v>BS</v>
      </c>
      <c r="S69" s="206" t="str">
        <f t="shared" si="14"/>
        <v>all</v>
      </c>
      <c r="T69" s="205">
        <f t="shared" si="14"/>
        <v>0.1</v>
      </c>
      <c r="U69" s="205" t="str">
        <f t="shared" si="14"/>
        <v>Rahmenbreite links</v>
      </c>
      <c r="V69" s="205" t="str">
        <f t="shared" si="14"/>
        <v>x</v>
      </c>
      <c r="W69" s="205" t="str">
        <f t="shared" si="14"/>
        <v/>
      </c>
      <c r="X69" s="205" t="str">
        <f t="shared" si="14"/>
        <v/>
      </c>
      <c r="Y69" s="205" t="str">
        <f t="shared" si="14"/>
        <v>leafFrWidthLeft</v>
      </c>
    </row>
    <row r="70" spans="1:25">
      <c r="A70" s="204">
        <f t="shared" si="15"/>
        <v>68</v>
      </c>
      <c r="B70" s="205" t="str">
        <f t="shared" si="13"/>
        <v/>
      </c>
      <c r="C70" s="205" t="str">
        <f t="shared" si="13"/>
        <v/>
      </c>
      <c r="D70" s="205" t="str">
        <f t="shared" si="13"/>
        <v/>
      </c>
      <c r="E70" s="205" t="str">
        <f t="shared" si="13"/>
        <v/>
      </c>
      <c r="F70" s="205" t="str">
        <f t="shared" si="13"/>
        <v/>
      </c>
      <c r="G70" s="205" t="str">
        <f t="shared" si="13"/>
        <v/>
      </c>
      <c r="H70" s="205" t="str">
        <f t="shared" si="13"/>
        <v/>
      </c>
      <c r="I70" s="205" t="str">
        <f t="shared" si="13"/>
        <v/>
      </c>
      <c r="J70" s="205" t="str">
        <f t="shared" si="13"/>
        <v/>
      </c>
      <c r="K70" s="205" t="str">
        <f t="shared" si="13"/>
        <v/>
      </c>
      <c r="L70" s="205" t="str">
        <f t="shared" si="14"/>
        <v>info</v>
      </c>
      <c r="M70" s="205" t="str">
        <f t="shared" si="14"/>
        <v>x</v>
      </c>
      <c r="N70" s="205" t="str">
        <f t="shared" si="14"/>
        <v/>
      </c>
      <c r="O70" s="205" t="str">
        <f t="shared" si="14"/>
        <v>model</v>
      </c>
      <c r="P70" s="206" t="str">
        <f t="shared" si="14"/>
        <v>Length</v>
      </c>
      <c r="Q70" s="206" t="str">
        <f t="shared" si="14"/>
        <v>x</v>
      </c>
      <c r="R70" s="206" t="str">
        <f t="shared" si="14"/>
        <v>BS</v>
      </c>
      <c r="S70" s="206" t="str">
        <f t="shared" si="14"/>
        <v>all</v>
      </c>
      <c r="T70" s="205">
        <f t="shared" si="14"/>
        <v>0.1</v>
      </c>
      <c r="U70" s="205" t="str">
        <f t="shared" si="14"/>
        <v>Rahmen-Breite links 2</v>
      </c>
      <c r="V70" s="205" t="str">
        <f t="shared" si="14"/>
        <v>x</v>
      </c>
      <c r="W70" s="205" t="str">
        <f t="shared" si="14"/>
        <v/>
      </c>
      <c r="X70" s="205" t="str">
        <f t="shared" si="14"/>
        <v/>
      </c>
      <c r="Y70" s="205" t="str">
        <f t="shared" si="14"/>
        <v>leafFrWidthLeft2</v>
      </c>
    </row>
    <row r="71" spans="1:25">
      <c r="A71" s="204">
        <f t="shared" si="15"/>
        <v>69</v>
      </c>
      <c r="B71" s="205" t="str">
        <f t="shared" si="13"/>
        <v>x</v>
      </c>
      <c r="C71" s="205" t="str">
        <f t="shared" si="13"/>
        <v/>
      </c>
      <c r="D71" s="205" t="str">
        <f t="shared" si="13"/>
        <v/>
      </c>
      <c r="E71" s="205" t="str">
        <f t="shared" si="13"/>
        <v/>
      </c>
      <c r="F71" s="205" t="str">
        <f t="shared" si="13"/>
        <v/>
      </c>
      <c r="G71" s="205" t="str">
        <f t="shared" si="13"/>
        <v/>
      </c>
      <c r="H71" s="205" t="str">
        <f t="shared" si="13"/>
        <v/>
      </c>
      <c r="I71" s="205" t="str">
        <f t="shared" si="13"/>
        <v/>
      </c>
      <c r="J71" s="205" t="str">
        <f t="shared" si="13"/>
        <v/>
      </c>
      <c r="K71" s="205" t="str">
        <f t="shared" si="13"/>
        <v/>
      </c>
      <c r="L71" s="205" t="str">
        <f t="shared" si="14"/>
        <v>info</v>
      </c>
      <c r="M71" s="205" t="str">
        <f t="shared" si="14"/>
        <v>x</v>
      </c>
      <c r="N71" s="205" t="str">
        <f t="shared" si="14"/>
        <v/>
      </c>
      <c r="O71" s="205" t="str">
        <f t="shared" si="14"/>
        <v>model</v>
      </c>
      <c r="P71" s="206" t="str">
        <f t="shared" si="14"/>
        <v>Length</v>
      </c>
      <c r="Q71" s="206" t="str">
        <f t="shared" si="14"/>
        <v>x</v>
      </c>
      <c r="R71" s="206" t="str">
        <f t="shared" si="14"/>
        <v>BS</v>
      </c>
      <c r="S71" s="206" t="str">
        <f t="shared" si="14"/>
        <v>all</v>
      </c>
      <c r="T71" s="205">
        <f t="shared" si="14"/>
        <v>0.1</v>
      </c>
      <c r="U71" s="205" t="str">
        <f t="shared" si="14"/>
        <v>Rahmenbreite rechts</v>
      </c>
      <c r="V71" s="205" t="str">
        <f t="shared" si="14"/>
        <v>x</v>
      </c>
      <c r="W71" s="205" t="str">
        <f t="shared" si="14"/>
        <v/>
      </c>
      <c r="X71" s="205" t="str">
        <f t="shared" si="14"/>
        <v/>
      </c>
      <c r="Y71" s="205" t="str">
        <f t="shared" si="14"/>
        <v>leafFrWidthRight</v>
      </c>
    </row>
    <row r="72" spans="1:25">
      <c r="A72" s="204">
        <f t="shared" si="15"/>
        <v>70</v>
      </c>
      <c r="B72" s="205" t="str">
        <f t="shared" si="13"/>
        <v/>
      </c>
      <c r="C72" s="205" t="str">
        <f t="shared" si="13"/>
        <v/>
      </c>
      <c r="D72" s="205" t="str">
        <f t="shared" si="13"/>
        <v/>
      </c>
      <c r="E72" s="205" t="str">
        <f t="shared" si="13"/>
        <v/>
      </c>
      <c r="F72" s="205" t="str">
        <f t="shared" si="13"/>
        <v/>
      </c>
      <c r="G72" s="205" t="str">
        <f t="shared" si="13"/>
        <v/>
      </c>
      <c r="H72" s="205" t="str">
        <f t="shared" si="13"/>
        <v/>
      </c>
      <c r="I72" s="205" t="str">
        <f t="shared" si="13"/>
        <v/>
      </c>
      <c r="J72" s="205" t="str">
        <f t="shared" si="13"/>
        <v/>
      </c>
      <c r="K72" s="205" t="str">
        <f t="shared" si="13"/>
        <v/>
      </c>
      <c r="L72" s="205" t="str">
        <f t="shared" si="14"/>
        <v>info</v>
      </c>
      <c r="M72" s="205" t="str">
        <f t="shared" si="14"/>
        <v>x</v>
      </c>
      <c r="N72" s="205" t="str">
        <f t="shared" si="14"/>
        <v/>
      </c>
      <c r="O72" s="205" t="str">
        <f t="shared" si="14"/>
        <v>model</v>
      </c>
      <c r="P72" s="206" t="str">
        <f t="shared" si="14"/>
        <v>Length</v>
      </c>
      <c r="Q72" s="206" t="str">
        <f t="shared" si="14"/>
        <v>x</v>
      </c>
      <c r="R72" s="206" t="str">
        <f t="shared" si="14"/>
        <v>BS</v>
      </c>
      <c r="S72" s="206" t="str">
        <f t="shared" si="14"/>
        <v>all</v>
      </c>
      <c r="T72" s="205">
        <f t="shared" si="14"/>
        <v>0.1</v>
      </c>
      <c r="U72" s="205" t="str">
        <f t="shared" si="14"/>
        <v>Rahmenbreite rechts 2</v>
      </c>
      <c r="V72" s="205" t="str">
        <f t="shared" si="14"/>
        <v>x</v>
      </c>
      <c r="W72" s="205" t="str">
        <f t="shared" si="14"/>
        <v/>
      </c>
      <c r="X72" s="205" t="str">
        <f t="shared" si="14"/>
        <v/>
      </c>
      <c r="Y72" s="205" t="str">
        <f t="shared" si="14"/>
        <v>leafFrWidthRight2</v>
      </c>
    </row>
    <row r="73" spans="1:25">
      <c r="A73" s="204">
        <f t="shared" si="15"/>
        <v>71</v>
      </c>
      <c r="B73" s="205" t="str">
        <f t="shared" ref="B73:K82" si="16">IF(ISNONTEXT(B$2),IF(B$2="","",IF(INDEX(IMPORT,$A73,B$2)=0,"",IFERROR(VLOOKUP(INDEX(IMPORT,$A73,B$2),ImportTranslation,2,0),INDEX(IMPORT,$A73,B$2)))),B$2)</f>
        <v>x</v>
      </c>
      <c r="C73" s="205" t="str">
        <f t="shared" si="16"/>
        <v/>
      </c>
      <c r="D73" s="205" t="str">
        <f t="shared" si="16"/>
        <v/>
      </c>
      <c r="E73" s="205" t="str">
        <f t="shared" si="16"/>
        <v/>
      </c>
      <c r="F73" s="205" t="str">
        <f t="shared" si="16"/>
        <v/>
      </c>
      <c r="G73" s="205" t="str">
        <f t="shared" si="16"/>
        <v/>
      </c>
      <c r="H73" s="205" t="str">
        <f t="shared" si="16"/>
        <v/>
      </c>
      <c r="I73" s="205" t="str">
        <f t="shared" si="16"/>
        <v/>
      </c>
      <c r="J73" s="205" t="str">
        <f t="shared" si="16"/>
        <v/>
      </c>
      <c r="K73" s="205" t="str">
        <f t="shared" si="16"/>
        <v/>
      </c>
      <c r="L73" s="205" t="str">
        <f t="shared" ref="L73:Y82" si="17">IF(ISNONTEXT(L$2),IF(L$2="","",IF(INDEX(IMPORT,$A73,L$2)=0,"",IFERROR(VLOOKUP(INDEX(IMPORT,$A73,L$2),ImportTranslation,2,0),INDEX(IMPORT,$A73,L$2)))),L$2)</f>
        <v>info</v>
      </c>
      <c r="M73" s="205" t="str">
        <f t="shared" si="17"/>
        <v>x</v>
      </c>
      <c r="N73" s="205" t="str">
        <f t="shared" si="17"/>
        <v/>
      </c>
      <c r="O73" s="205" t="str">
        <f t="shared" si="17"/>
        <v>model</v>
      </c>
      <c r="P73" s="206" t="str">
        <f t="shared" si="17"/>
        <v>Length</v>
      </c>
      <c r="Q73" s="206" t="str">
        <f t="shared" si="17"/>
        <v>x</v>
      </c>
      <c r="R73" s="206" t="str">
        <f t="shared" si="17"/>
        <v>BS</v>
      </c>
      <c r="S73" s="206" t="str">
        <f t="shared" si="17"/>
        <v>all</v>
      </c>
      <c r="T73" s="205">
        <f t="shared" si="17"/>
        <v>0.9</v>
      </c>
      <c r="U73" s="205" t="str">
        <f t="shared" si="17"/>
        <v>Rahmenbreite unten</v>
      </c>
      <c r="V73" s="205" t="str">
        <f t="shared" si="17"/>
        <v>x</v>
      </c>
      <c r="W73" s="205" t="str">
        <f t="shared" si="17"/>
        <v/>
      </c>
      <c r="X73" s="205" t="str">
        <f t="shared" si="17"/>
        <v/>
      </c>
      <c r="Y73" s="205" t="str">
        <f t="shared" si="17"/>
        <v>leafFrWidthBottom</v>
      </c>
    </row>
    <row r="74" spans="1:25">
      <c r="A74" s="204">
        <f t="shared" si="15"/>
        <v>72</v>
      </c>
      <c r="B74" s="205" t="str">
        <f t="shared" si="16"/>
        <v/>
      </c>
      <c r="C74" s="205" t="str">
        <f t="shared" si="16"/>
        <v/>
      </c>
      <c r="D74" s="205" t="str">
        <f t="shared" si="16"/>
        <v/>
      </c>
      <c r="E74" s="205" t="str">
        <f t="shared" si="16"/>
        <v/>
      </c>
      <c r="F74" s="205" t="str">
        <f t="shared" si="16"/>
        <v/>
      </c>
      <c r="G74" s="205" t="str">
        <f t="shared" si="16"/>
        <v/>
      </c>
      <c r="H74" s="205" t="str">
        <f t="shared" si="16"/>
        <v/>
      </c>
      <c r="I74" s="205" t="str">
        <f t="shared" si="16"/>
        <v/>
      </c>
      <c r="J74" s="205" t="str">
        <f t="shared" si="16"/>
        <v/>
      </c>
      <c r="K74" s="205" t="str">
        <f t="shared" si="16"/>
        <v/>
      </c>
      <c r="L74" s="205" t="str">
        <f t="shared" si="17"/>
        <v>info</v>
      </c>
      <c r="M74" s="205" t="str">
        <f t="shared" si="17"/>
        <v>x</v>
      </c>
      <c r="N74" s="205" t="str">
        <f t="shared" si="17"/>
        <v/>
      </c>
      <c r="O74" s="205" t="str">
        <f t="shared" si="17"/>
        <v>model</v>
      </c>
      <c r="P74" s="206" t="str">
        <f t="shared" si="17"/>
        <v>Length</v>
      </c>
      <c r="Q74" s="206" t="str">
        <f t="shared" si="17"/>
        <v>x</v>
      </c>
      <c r="R74" s="206" t="str">
        <f t="shared" si="17"/>
        <v>BS</v>
      </c>
      <c r="S74" s="206" t="str">
        <f t="shared" si="17"/>
        <v>all</v>
      </c>
      <c r="T74" s="205">
        <f t="shared" si="17"/>
        <v>0.9</v>
      </c>
      <c r="U74" s="205" t="str">
        <f t="shared" si="17"/>
        <v>Rahmen-Breite unten 2</v>
      </c>
      <c r="V74" s="205" t="str">
        <f t="shared" si="17"/>
        <v>x</v>
      </c>
      <c r="W74" s="205" t="str">
        <f t="shared" si="17"/>
        <v/>
      </c>
      <c r="X74" s="205" t="str">
        <f t="shared" si="17"/>
        <v/>
      </c>
      <c r="Y74" s="205" t="str">
        <f t="shared" si="17"/>
        <v>leafFrWidthBottom2</v>
      </c>
    </row>
    <row r="75" spans="1:25">
      <c r="A75" s="204">
        <f t="shared" si="15"/>
        <v>73</v>
      </c>
      <c r="B75" s="205" t="str">
        <f t="shared" si="16"/>
        <v>x</v>
      </c>
      <c r="C75" s="205" t="str">
        <f t="shared" si="16"/>
        <v/>
      </c>
      <c r="D75" s="205" t="str">
        <f t="shared" si="16"/>
        <v/>
      </c>
      <c r="E75" s="205" t="str">
        <f t="shared" si="16"/>
        <v/>
      </c>
      <c r="F75" s="205" t="str">
        <f t="shared" si="16"/>
        <v/>
      </c>
      <c r="G75" s="205" t="str">
        <f t="shared" si="16"/>
        <v/>
      </c>
      <c r="H75" s="205" t="str">
        <f t="shared" si="16"/>
        <v/>
      </c>
      <c r="I75" s="205" t="str">
        <f t="shared" si="16"/>
        <v/>
      </c>
      <c r="J75" s="205" t="str">
        <f t="shared" si="16"/>
        <v/>
      </c>
      <c r="K75" s="205" t="str">
        <f t="shared" si="16"/>
        <v/>
      </c>
      <c r="L75" s="205" t="str">
        <f t="shared" si="17"/>
        <v>info</v>
      </c>
      <c r="M75" s="205" t="str">
        <f t="shared" si="17"/>
        <v>x</v>
      </c>
      <c r="N75" s="205" t="str">
        <f t="shared" si="17"/>
        <v/>
      </c>
      <c r="O75" s="205" t="str">
        <f t="shared" si="17"/>
        <v>model</v>
      </c>
      <c r="P75" s="206" t="str">
        <f t="shared" si="17"/>
        <v>Length</v>
      </c>
      <c r="Q75" s="206" t="str">
        <f t="shared" si="17"/>
        <v>x</v>
      </c>
      <c r="R75" s="206" t="str">
        <f t="shared" si="17"/>
        <v>BS</v>
      </c>
      <c r="S75" s="206" t="str">
        <f t="shared" si="17"/>
        <v>all</v>
      </c>
      <c r="T75" s="205">
        <f t="shared" si="17"/>
        <v>0.1</v>
      </c>
      <c r="U75" s="205" t="str">
        <f t="shared" si="17"/>
        <v>Rahmenbreite oben</v>
      </c>
      <c r="V75" s="205" t="str">
        <f t="shared" si="17"/>
        <v>x</v>
      </c>
      <c r="W75" s="205" t="str">
        <f t="shared" si="17"/>
        <v/>
      </c>
      <c r="X75" s="205" t="str">
        <f t="shared" si="17"/>
        <v/>
      </c>
      <c r="Y75" s="205" t="str">
        <f t="shared" si="17"/>
        <v>leafFrWidthTop</v>
      </c>
    </row>
    <row r="76" spans="1:25">
      <c r="A76" s="204">
        <f t="shared" si="15"/>
        <v>74</v>
      </c>
      <c r="B76" s="205" t="str">
        <f t="shared" si="16"/>
        <v/>
      </c>
      <c r="C76" s="205" t="str">
        <f t="shared" si="16"/>
        <v/>
      </c>
      <c r="D76" s="205" t="str">
        <f t="shared" si="16"/>
        <v/>
      </c>
      <c r="E76" s="205" t="str">
        <f t="shared" si="16"/>
        <v/>
      </c>
      <c r="F76" s="205" t="str">
        <f t="shared" si="16"/>
        <v/>
      </c>
      <c r="G76" s="205" t="str">
        <f t="shared" si="16"/>
        <v/>
      </c>
      <c r="H76" s="205" t="str">
        <f t="shared" si="16"/>
        <v/>
      </c>
      <c r="I76" s="205" t="str">
        <f t="shared" si="16"/>
        <v/>
      </c>
      <c r="J76" s="205" t="str">
        <f t="shared" si="16"/>
        <v/>
      </c>
      <c r="K76" s="205" t="str">
        <f t="shared" si="16"/>
        <v/>
      </c>
      <c r="L76" s="205" t="str">
        <f t="shared" si="17"/>
        <v>info</v>
      </c>
      <c r="M76" s="205" t="str">
        <f t="shared" si="17"/>
        <v>x</v>
      </c>
      <c r="N76" s="205" t="str">
        <f t="shared" si="17"/>
        <v/>
      </c>
      <c r="O76" s="205" t="str">
        <f t="shared" si="17"/>
        <v>model</v>
      </c>
      <c r="P76" s="206" t="str">
        <f t="shared" si="17"/>
        <v>Length</v>
      </c>
      <c r="Q76" s="206" t="str">
        <f t="shared" si="17"/>
        <v>x</v>
      </c>
      <c r="R76" s="206" t="str">
        <f t="shared" si="17"/>
        <v>BS</v>
      </c>
      <c r="S76" s="206" t="str">
        <f t="shared" si="17"/>
        <v>all</v>
      </c>
      <c r="T76" s="205">
        <f t="shared" si="17"/>
        <v>0.1</v>
      </c>
      <c r="U76" s="205" t="str">
        <f t="shared" si="17"/>
        <v>Rahmenbreite oben 2</v>
      </c>
      <c r="V76" s="205" t="str">
        <f t="shared" si="17"/>
        <v>x</v>
      </c>
      <c r="W76" s="205" t="str">
        <f t="shared" si="17"/>
        <v/>
      </c>
      <c r="X76" s="205" t="str">
        <f t="shared" si="17"/>
        <v/>
      </c>
      <c r="Y76" s="205" t="str">
        <f t="shared" si="17"/>
        <v>leafFrWidthTop2</v>
      </c>
    </row>
    <row r="77" spans="1:25">
      <c r="A77" s="204">
        <f t="shared" si="15"/>
        <v>75</v>
      </c>
      <c r="B77" s="205" t="str">
        <f t="shared" si="16"/>
        <v>x</v>
      </c>
      <c r="C77" s="205" t="str">
        <f t="shared" si="16"/>
        <v/>
      </c>
      <c r="D77" s="205" t="str">
        <f t="shared" si="16"/>
        <v/>
      </c>
      <c r="E77" s="205" t="str">
        <f t="shared" si="16"/>
        <v/>
      </c>
      <c r="F77" s="205" t="str">
        <f t="shared" si="16"/>
        <v/>
      </c>
      <c r="G77" s="205" t="str">
        <f t="shared" si="16"/>
        <v/>
      </c>
      <c r="H77" s="205" t="str">
        <f t="shared" si="16"/>
        <v/>
      </c>
      <c r="I77" s="205" t="str">
        <f t="shared" si="16"/>
        <v/>
      </c>
      <c r="J77" s="205" t="str">
        <f t="shared" si="16"/>
        <v/>
      </c>
      <c r="K77" s="205" t="str">
        <f t="shared" si="16"/>
        <v/>
      </c>
      <c r="L77" s="205" t="str">
        <f t="shared" si="17"/>
        <v>info</v>
      </c>
      <c r="M77" s="205" t="str">
        <f t="shared" si="17"/>
        <v>x</v>
      </c>
      <c r="N77" s="205" t="str">
        <f t="shared" si="17"/>
        <v/>
      </c>
      <c r="O77" s="205" t="str">
        <f t="shared" si="17"/>
        <v>model</v>
      </c>
      <c r="P77" s="206" t="str">
        <f t="shared" si="17"/>
        <v>Integer</v>
      </c>
      <c r="Q77" s="206" t="str">
        <f t="shared" si="17"/>
        <v>x</v>
      </c>
      <c r="R77" s="206" t="str">
        <f t="shared" si="17"/>
        <v>BS</v>
      </c>
      <c r="S77" s="206" t="str">
        <f t="shared" si="17"/>
        <v>all</v>
      </c>
      <c r="T77" s="205">
        <f t="shared" si="17"/>
        <v>3</v>
      </c>
      <c r="U77" s="205" t="str">
        <f t="shared" si="17"/>
        <v>Sprossen horizontal</v>
      </c>
      <c r="V77" s="205" t="str">
        <f t="shared" si="17"/>
        <v>x</v>
      </c>
      <c r="W77" s="205" t="str">
        <f t="shared" si="17"/>
        <v/>
      </c>
      <c r="X77" s="205" t="str">
        <f t="shared" si="17"/>
        <v/>
      </c>
      <c r="Y77" s="205" t="str">
        <f t="shared" si="17"/>
        <v>nMullHorizontal</v>
      </c>
    </row>
    <row r="78" spans="1:25">
      <c r="A78" s="204">
        <f t="shared" si="15"/>
        <v>76</v>
      </c>
      <c r="B78" s="205" t="str">
        <f t="shared" si="16"/>
        <v/>
      </c>
      <c r="C78" s="205" t="str">
        <f t="shared" si="16"/>
        <v/>
      </c>
      <c r="D78" s="205" t="str">
        <f t="shared" si="16"/>
        <v/>
      </c>
      <c r="E78" s="205" t="str">
        <f t="shared" si="16"/>
        <v/>
      </c>
      <c r="F78" s="205" t="str">
        <f t="shared" si="16"/>
        <v/>
      </c>
      <c r="G78" s="205" t="str">
        <f t="shared" si="16"/>
        <v/>
      </c>
      <c r="H78" s="205" t="str">
        <f t="shared" si="16"/>
        <v/>
      </c>
      <c r="I78" s="205" t="str">
        <f t="shared" si="16"/>
        <v/>
      </c>
      <c r="J78" s="205" t="str">
        <f t="shared" si="16"/>
        <v/>
      </c>
      <c r="K78" s="205" t="str">
        <f t="shared" si="16"/>
        <v/>
      </c>
      <c r="L78" s="205" t="str">
        <f t="shared" si="17"/>
        <v>info</v>
      </c>
      <c r="M78" s="205" t="str">
        <f t="shared" si="17"/>
        <v>x</v>
      </c>
      <c r="N78" s="205" t="str">
        <f t="shared" si="17"/>
        <v/>
      </c>
      <c r="O78" s="205" t="str">
        <f t="shared" si="17"/>
        <v>model</v>
      </c>
      <c r="P78" s="206" t="str">
        <f t="shared" si="17"/>
        <v>Integer</v>
      </c>
      <c r="Q78" s="206" t="str">
        <f t="shared" si="17"/>
        <v>x</v>
      </c>
      <c r="R78" s="206" t="str">
        <f t="shared" si="17"/>
        <v>BS</v>
      </c>
      <c r="S78" s="206" t="str">
        <f t="shared" si="17"/>
        <v>all</v>
      </c>
      <c r="T78" s="205">
        <f t="shared" si="17"/>
        <v>3</v>
      </c>
      <c r="U78" s="205" t="str">
        <f t="shared" si="17"/>
        <v>Sprossen - horizontal 2</v>
      </c>
      <c r="V78" s="205" t="str">
        <f t="shared" si="17"/>
        <v>x</v>
      </c>
      <c r="W78" s="205" t="str">
        <f t="shared" si="17"/>
        <v/>
      </c>
      <c r="X78" s="205" t="str">
        <f t="shared" si="17"/>
        <v/>
      </c>
      <c r="Y78" s="205" t="str">
        <f t="shared" si="17"/>
        <v>nMullHorizontal2</v>
      </c>
    </row>
    <row r="79" spans="1:25">
      <c r="A79" s="204">
        <f t="shared" si="15"/>
        <v>77</v>
      </c>
      <c r="B79" s="205" t="str">
        <f t="shared" si="16"/>
        <v>x</v>
      </c>
      <c r="C79" s="205" t="str">
        <f t="shared" si="16"/>
        <v/>
      </c>
      <c r="D79" s="205" t="str">
        <f t="shared" si="16"/>
        <v/>
      </c>
      <c r="E79" s="205" t="str">
        <f t="shared" si="16"/>
        <v/>
      </c>
      <c r="F79" s="205" t="str">
        <f t="shared" si="16"/>
        <v/>
      </c>
      <c r="G79" s="205" t="str">
        <f t="shared" si="16"/>
        <v/>
      </c>
      <c r="H79" s="205" t="str">
        <f t="shared" si="16"/>
        <v/>
      </c>
      <c r="I79" s="205" t="str">
        <f t="shared" si="16"/>
        <v/>
      </c>
      <c r="J79" s="205" t="str">
        <f t="shared" si="16"/>
        <v/>
      </c>
      <c r="K79" s="205" t="str">
        <f t="shared" si="16"/>
        <v/>
      </c>
      <c r="L79" s="205" t="str">
        <f t="shared" si="17"/>
        <v>info</v>
      </c>
      <c r="M79" s="205" t="str">
        <f t="shared" si="17"/>
        <v>x</v>
      </c>
      <c r="N79" s="205" t="str">
        <f t="shared" si="17"/>
        <v/>
      </c>
      <c r="O79" s="205" t="str">
        <f t="shared" si="17"/>
        <v>model</v>
      </c>
      <c r="P79" s="206" t="str">
        <f t="shared" si="17"/>
        <v>Integer</v>
      </c>
      <c r="Q79" s="206" t="str">
        <f t="shared" si="17"/>
        <v>x</v>
      </c>
      <c r="R79" s="206" t="str">
        <f t="shared" si="17"/>
        <v>BS</v>
      </c>
      <c r="S79" s="206" t="str">
        <f t="shared" si="17"/>
        <v>all</v>
      </c>
      <c r="T79" s="205">
        <f t="shared" si="17"/>
        <v>2</v>
      </c>
      <c r="U79" s="205" t="str">
        <f t="shared" si="17"/>
        <v>Sprossen vertical</v>
      </c>
      <c r="V79" s="205" t="str">
        <f t="shared" si="17"/>
        <v>x</v>
      </c>
      <c r="W79" s="205" t="str">
        <f t="shared" si="17"/>
        <v/>
      </c>
      <c r="X79" s="205" t="str">
        <f t="shared" si="17"/>
        <v/>
      </c>
      <c r="Y79" s="205" t="str">
        <f t="shared" si="17"/>
        <v>nMullVertical</v>
      </c>
    </row>
    <row r="80" spans="1:25">
      <c r="A80" s="204">
        <f t="shared" si="15"/>
        <v>78</v>
      </c>
      <c r="B80" s="205" t="str">
        <f t="shared" si="16"/>
        <v/>
      </c>
      <c r="C80" s="205" t="str">
        <f t="shared" si="16"/>
        <v/>
      </c>
      <c r="D80" s="205" t="str">
        <f t="shared" si="16"/>
        <v/>
      </c>
      <c r="E80" s="205" t="str">
        <f t="shared" si="16"/>
        <v/>
      </c>
      <c r="F80" s="205" t="str">
        <f t="shared" si="16"/>
        <v/>
      </c>
      <c r="G80" s="205" t="str">
        <f t="shared" si="16"/>
        <v/>
      </c>
      <c r="H80" s="205" t="str">
        <f t="shared" si="16"/>
        <v/>
      </c>
      <c r="I80" s="205" t="str">
        <f t="shared" si="16"/>
        <v/>
      </c>
      <c r="J80" s="205" t="str">
        <f t="shared" si="16"/>
        <v/>
      </c>
      <c r="K80" s="205" t="str">
        <f t="shared" si="16"/>
        <v/>
      </c>
      <c r="L80" s="205" t="str">
        <f t="shared" si="17"/>
        <v>info</v>
      </c>
      <c r="M80" s="205" t="str">
        <f t="shared" si="17"/>
        <v>x</v>
      </c>
      <c r="N80" s="205" t="str">
        <f t="shared" si="17"/>
        <v/>
      </c>
      <c r="O80" s="205" t="str">
        <f t="shared" si="17"/>
        <v>model</v>
      </c>
      <c r="P80" s="206" t="str">
        <f t="shared" si="17"/>
        <v>Integer</v>
      </c>
      <c r="Q80" s="206" t="str">
        <f t="shared" si="17"/>
        <v>x</v>
      </c>
      <c r="R80" s="206" t="str">
        <f t="shared" si="17"/>
        <v>BS</v>
      </c>
      <c r="S80" s="206" t="str">
        <f t="shared" si="17"/>
        <v>all</v>
      </c>
      <c r="T80" s="205">
        <f t="shared" si="17"/>
        <v>2</v>
      </c>
      <c r="U80" s="205" t="str">
        <f t="shared" si="17"/>
        <v>Sprossen - vertikal 2</v>
      </c>
      <c r="V80" s="205" t="str">
        <f t="shared" si="17"/>
        <v>x</v>
      </c>
      <c r="W80" s="205" t="str">
        <f t="shared" si="17"/>
        <v/>
      </c>
      <c r="X80" s="205" t="str">
        <f t="shared" si="17"/>
        <v/>
      </c>
      <c r="Y80" s="205" t="str">
        <f t="shared" si="17"/>
        <v>nMullVertical2</v>
      </c>
    </row>
    <row r="81" spans="1:25">
      <c r="A81" s="204">
        <f t="shared" si="15"/>
        <v>79</v>
      </c>
      <c r="B81" s="205" t="str">
        <f t="shared" si="16"/>
        <v>x</v>
      </c>
      <c r="C81" s="205" t="str">
        <f t="shared" si="16"/>
        <v/>
      </c>
      <c r="D81" s="205" t="str">
        <f t="shared" si="16"/>
        <v/>
      </c>
      <c r="E81" s="205" t="str">
        <f t="shared" si="16"/>
        <v/>
      </c>
      <c r="F81" s="205" t="str">
        <f t="shared" si="16"/>
        <v/>
      </c>
      <c r="G81" s="205" t="str">
        <f t="shared" si="16"/>
        <v/>
      </c>
      <c r="H81" s="205" t="str">
        <f t="shared" si="16"/>
        <v/>
      </c>
      <c r="I81" s="205" t="str">
        <f t="shared" si="16"/>
        <v/>
      </c>
      <c r="J81" s="205" t="str">
        <f t="shared" si="16"/>
        <v/>
      </c>
      <c r="K81" s="205" t="str">
        <f t="shared" si="16"/>
        <v/>
      </c>
      <c r="L81" s="205" t="str">
        <f t="shared" si="17"/>
        <v>info</v>
      </c>
      <c r="M81" s="205" t="str">
        <f t="shared" si="17"/>
        <v>x</v>
      </c>
      <c r="N81" s="205" t="str">
        <f t="shared" si="17"/>
        <v/>
      </c>
      <c r="O81" s="205" t="str">
        <f t="shared" si="17"/>
        <v>model</v>
      </c>
      <c r="P81" s="206" t="str">
        <f t="shared" si="17"/>
        <v>Length</v>
      </c>
      <c r="Q81" s="206" t="str">
        <f t="shared" si="17"/>
        <v>x</v>
      </c>
      <c r="R81" s="206" t="str">
        <f t="shared" si="17"/>
        <v>BS</v>
      </c>
      <c r="S81" s="206" t="str">
        <f t="shared" si="17"/>
        <v>all</v>
      </c>
      <c r="T81" s="205">
        <f t="shared" si="17"/>
        <v>2.5000000000000001E-2</v>
      </c>
      <c r="U81" s="205" t="str">
        <f t="shared" si="17"/>
        <v>Sprossenbreite</v>
      </c>
      <c r="V81" s="205" t="str">
        <f t="shared" si="17"/>
        <v>x</v>
      </c>
      <c r="W81" s="205" t="str">
        <f t="shared" si="17"/>
        <v/>
      </c>
      <c r="X81" s="205" t="str">
        <f t="shared" si="17"/>
        <v/>
      </c>
      <c r="Y81" s="205" t="str">
        <f t="shared" si="17"/>
        <v>mullWidth</v>
      </c>
    </row>
    <row r="82" spans="1:25">
      <c r="A82" s="204">
        <f t="shared" si="15"/>
        <v>80</v>
      </c>
      <c r="B82" s="205" t="str">
        <f t="shared" si="16"/>
        <v/>
      </c>
      <c r="C82" s="205" t="str">
        <f t="shared" si="16"/>
        <v/>
      </c>
      <c r="D82" s="205" t="str">
        <f t="shared" si="16"/>
        <v/>
      </c>
      <c r="E82" s="205" t="str">
        <f t="shared" si="16"/>
        <v/>
      </c>
      <c r="F82" s="205" t="str">
        <f t="shared" si="16"/>
        <v/>
      </c>
      <c r="G82" s="205" t="str">
        <f t="shared" si="16"/>
        <v/>
      </c>
      <c r="H82" s="205" t="str">
        <f t="shared" si="16"/>
        <v/>
      </c>
      <c r="I82" s="205" t="str">
        <f t="shared" si="16"/>
        <v/>
      </c>
      <c r="J82" s="205" t="str">
        <f t="shared" si="16"/>
        <v/>
      </c>
      <c r="K82" s="205" t="str">
        <f t="shared" si="16"/>
        <v/>
      </c>
      <c r="L82" s="205" t="str">
        <f t="shared" si="17"/>
        <v>info</v>
      </c>
      <c r="M82" s="205" t="str">
        <f t="shared" si="17"/>
        <v>x</v>
      </c>
      <c r="N82" s="205" t="str">
        <f t="shared" si="17"/>
        <v/>
      </c>
      <c r="O82" s="205" t="str">
        <f t="shared" si="17"/>
        <v>model</v>
      </c>
      <c r="P82" s="206" t="str">
        <f t="shared" si="17"/>
        <v>Length</v>
      </c>
      <c r="Q82" s="206" t="str">
        <f t="shared" si="17"/>
        <v>x</v>
      </c>
      <c r="R82" s="206" t="str">
        <f t="shared" si="17"/>
        <v>BS</v>
      </c>
      <c r="S82" s="206" t="str">
        <f t="shared" si="17"/>
        <v>all</v>
      </c>
      <c r="T82" s="205">
        <f t="shared" si="17"/>
        <v>2.5000000000000001E-2</v>
      </c>
      <c r="U82" s="205" t="str">
        <f t="shared" si="17"/>
        <v>Sprossenbreite 2</v>
      </c>
      <c r="V82" s="205" t="str">
        <f t="shared" si="17"/>
        <v>x</v>
      </c>
      <c r="W82" s="205" t="str">
        <f t="shared" si="17"/>
        <v/>
      </c>
      <c r="X82" s="205" t="str">
        <f t="shared" si="17"/>
        <v/>
      </c>
      <c r="Y82" s="205" t="str">
        <f t="shared" si="17"/>
        <v>mullWidth2</v>
      </c>
    </row>
    <row r="83" spans="1:25">
      <c r="A83" s="204">
        <f t="shared" si="15"/>
        <v>81</v>
      </c>
      <c r="B83" s="205" t="str">
        <f t="shared" ref="B83:K92" si="18">IF(ISNONTEXT(B$2),IF(B$2="","",IF(INDEX(IMPORT,$A83,B$2)=0,"",IFERROR(VLOOKUP(INDEX(IMPORT,$A83,B$2),ImportTranslation,2,0),INDEX(IMPORT,$A83,B$2)))),B$2)</f>
        <v>x</v>
      </c>
      <c r="C83" s="205" t="str">
        <f t="shared" si="18"/>
        <v/>
      </c>
      <c r="D83" s="205" t="str">
        <f t="shared" si="18"/>
        <v/>
      </c>
      <c r="E83" s="205" t="str">
        <f t="shared" si="18"/>
        <v/>
      </c>
      <c r="F83" s="205" t="str">
        <f t="shared" si="18"/>
        <v/>
      </c>
      <c r="G83" s="205" t="str">
        <f t="shared" si="18"/>
        <v/>
      </c>
      <c r="H83" s="205" t="str">
        <f t="shared" si="18"/>
        <v/>
      </c>
      <c r="I83" s="205" t="str">
        <f t="shared" si="18"/>
        <v/>
      </c>
      <c r="J83" s="205" t="str">
        <f t="shared" si="18"/>
        <v/>
      </c>
      <c r="K83" s="205" t="str">
        <f t="shared" si="18"/>
        <v/>
      </c>
      <c r="L83" s="205" t="str">
        <f t="shared" ref="L83:Y92" si="19">IF(ISNONTEXT(L$2),IF(L$2="","",IF(INDEX(IMPORT,$A83,L$2)=0,"",IFERROR(VLOOKUP(INDEX(IMPORT,$A83,L$2),ImportTranslation,2,0),INDEX(IMPORT,$A83,L$2)))),L$2)</f>
        <v>info</v>
      </c>
      <c r="M83" s="205" t="str">
        <f t="shared" si="19"/>
        <v>x</v>
      </c>
      <c r="N83" s="205" t="str">
        <f t="shared" si="19"/>
        <v/>
      </c>
      <c r="O83" s="205" t="str">
        <f t="shared" si="19"/>
        <v>model</v>
      </c>
      <c r="P83" s="206" t="str">
        <f t="shared" si="19"/>
        <v>Length</v>
      </c>
      <c r="Q83" s="206" t="str">
        <f t="shared" si="19"/>
        <v>x</v>
      </c>
      <c r="R83" s="206" t="str">
        <f t="shared" si="19"/>
        <v>BS</v>
      </c>
      <c r="S83" s="206" t="str">
        <f t="shared" si="19"/>
        <v>all</v>
      </c>
      <c r="T83" s="205">
        <f t="shared" si="19"/>
        <v>2.5000000000000001E-2</v>
      </c>
      <c r="U83" s="205" t="str">
        <f t="shared" si="19"/>
        <v>Sprossentiefe</v>
      </c>
      <c r="V83" s="205" t="str">
        <f t="shared" si="19"/>
        <v>x</v>
      </c>
      <c r="W83" s="205" t="str">
        <f t="shared" si="19"/>
        <v/>
      </c>
      <c r="X83" s="205" t="str">
        <f t="shared" si="19"/>
        <v/>
      </c>
      <c r="Y83" s="205" t="str">
        <f t="shared" si="19"/>
        <v>mullThickness</v>
      </c>
    </row>
    <row r="84" spans="1:25">
      <c r="A84" s="204">
        <f t="shared" si="15"/>
        <v>82</v>
      </c>
      <c r="B84" s="205" t="str">
        <f t="shared" si="18"/>
        <v/>
      </c>
      <c r="C84" s="205" t="str">
        <f t="shared" si="18"/>
        <v/>
      </c>
      <c r="D84" s="205" t="str">
        <f t="shared" si="18"/>
        <v/>
      </c>
      <c r="E84" s="205" t="str">
        <f t="shared" si="18"/>
        <v/>
      </c>
      <c r="F84" s="205" t="str">
        <f t="shared" si="18"/>
        <v/>
      </c>
      <c r="G84" s="205" t="str">
        <f t="shared" si="18"/>
        <v/>
      </c>
      <c r="H84" s="205" t="str">
        <f t="shared" si="18"/>
        <v/>
      </c>
      <c r="I84" s="205" t="str">
        <f t="shared" si="18"/>
        <v/>
      </c>
      <c r="J84" s="205" t="str">
        <f t="shared" si="18"/>
        <v/>
      </c>
      <c r="K84" s="205" t="str">
        <f t="shared" si="18"/>
        <v/>
      </c>
      <c r="L84" s="205" t="str">
        <f t="shared" si="19"/>
        <v>info</v>
      </c>
      <c r="M84" s="205" t="str">
        <f t="shared" si="19"/>
        <v>x</v>
      </c>
      <c r="N84" s="205" t="str">
        <f t="shared" si="19"/>
        <v/>
      </c>
      <c r="O84" s="205" t="str">
        <f t="shared" si="19"/>
        <v>model</v>
      </c>
      <c r="P84" s="206" t="str">
        <f t="shared" si="19"/>
        <v>Length</v>
      </c>
      <c r="Q84" s="206" t="str">
        <f t="shared" si="19"/>
        <v>x</v>
      </c>
      <c r="R84" s="206" t="str">
        <f t="shared" si="19"/>
        <v>BS</v>
      </c>
      <c r="S84" s="206" t="str">
        <f t="shared" si="19"/>
        <v>all</v>
      </c>
      <c r="T84" s="205">
        <f t="shared" si="19"/>
        <v>2.5000000000000001E-2</v>
      </c>
      <c r="U84" s="205" t="str">
        <f t="shared" si="19"/>
        <v>Sprossentiefe 2</v>
      </c>
      <c r="V84" s="205" t="str">
        <f t="shared" si="19"/>
        <v>x</v>
      </c>
      <c r="W84" s="205" t="str">
        <f t="shared" si="19"/>
        <v/>
      </c>
      <c r="X84" s="205" t="str">
        <f t="shared" si="19"/>
        <v/>
      </c>
      <c r="Y84" s="205" t="str">
        <f t="shared" si="19"/>
        <v>mullThickness2</v>
      </c>
    </row>
    <row r="85" spans="1:25">
      <c r="A85" s="204">
        <f t="shared" si="15"/>
        <v>83</v>
      </c>
      <c r="B85" s="205" t="str">
        <f t="shared" si="18"/>
        <v>x</v>
      </c>
      <c r="C85" s="205" t="str">
        <f t="shared" si="18"/>
        <v/>
      </c>
      <c r="D85" s="205" t="str">
        <f t="shared" si="18"/>
        <v/>
      </c>
      <c r="E85" s="205" t="str">
        <f t="shared" si="18"/>
        <v/>
      </c>
      <c r="F85" s="205" t="str">
        <f t="shared" si="18"/>
        <v/>
      </c>
      <c r="G85" s="205" t="str">
        <f t="shared" si="18"/>
        <v/>
      </c>
      <c r="H85" s="205" t="str">
        <f t="shared" si="18"/>
        <v/>
      </c>
      <c r="I85" s="205" t="str">
        <f t="shared" si="18"/>
        <v/>
      </c>
      <c r="J85" s="205" t="str">
        <f t="shared" si="18"/>
        <v/>
      </c>
      <c r="K85" s="205" t="str">
        <f t="shared" si="18"/>
        <v/>
      </c>
      <c r="L85" s="205" t="str">
        <f t="shared" si="19"/>
        <v>info</v>
      </c>
      <c r="M85" s="205" t="str">
        <f t="shared" si="19"/>
        <v>x</v>
      </c>
      <c r="N85" s="205" t="str">
        <f t="shared" si="19"/>
        <v/>
      </c>
      <c r="O85" s="205" t="str">
        <f t="shared" si="19"/>
        <v>model</v>
      </c>
      <c r="P85" s="206" t="str">
        <f t="shared" si="19"/>
        <v>Length</v>
      </c>
      <c r="Q85" s="206" t="str">
        <f t="shared" si="19"/>
        <v>x</v>
      </c>
      <c r="R85" s="206" t="str">
        <f t="shared" si="19"/>
        <v>BS</v>
      </c>
      <c r="S85" s="206" t="str">
        <f t="shared" si="19"/>
        <v>all</v>
      </c>
      <c r="T85" s="205">
        <f t="shared" si="19"/>
        <v>0.2</v>
      </c>
      <c r="U85" s="205" t="str">
        <f t="shared" si="19"/>
        <v>Radius Türfüllung</v>
      </c>
      <c r="V85" s="205" t="str">
        <f t="shared" si="19"/>
        <v>x</v>
      </c>
      <c r="W85" s="205" t="str">
        <f t="shared" si="19"/>
        <v/>
      </c>
      <c r="X85" s="205" t="str">
        <f t="shared" si="19"/>
        <v/>
      </c>
      <c r="Y85" s="205" t="str">
        <f t="shared" si="19"/>
        <v>radDoorFilling</v>
      </c>
    </row>
    <row r="86" spans="1:25">
      <c r="A86" s="204">
        <f t="shared" si="15"/>
        <v>84</v>
      </c>
      <c r="B86" s="205" t="str">
        <f t="shared" si="18"/>
        <v/>
      </c>
      <c r="C86" s="205" t="str">
        <f t="shared" si="18"/>
        <v/>
      </c>
      <c r="D86" s="205" t="str">
        <f t="shared" si="18"/>
        <v/>
      </c>
      <c r="E86" s="205" t="str">
        <f t="shared" si="18"/>
        <v/>
      </c>
      <c r="F86" s="205" t="str">
        <f t="shared" si="18"/>
        <v/>
      </c>
      <c r="G86" s="205" t="str">
        <f t="shared" si="18"/>
        <v/>
      </c>
      <c r="H86" s="205" t="str">
        <f t="shared" si="18"/>
        <v/>
      </c>
      <c r="I86" s="205" t="str">
        <f t="shared" si="18"/>
        <v/>
      </c>
      <c r="J86" s="205" t="str">
        <f t="shared" si="18"/>
        <v/>
      </c>
      <c r="K86" s="205" t="str">
        <f t="shared" si="18"/>
        <v/>
      </c>
      <c r="L86" s="205" t="str">
        <f t="shared" si="19"/>
        <v>info</v>
      </c>
      <c r="M86" s="205" t="str">
        <f t="shared" si="19"/>
        <v>x</v>
      </c>
      <c r="N86" s="205" t="str">
        <f t="shared" si="19"/>
        <v/>
      </c>
      <c r="O86" s="205" t="str">
        <f t="shared" si="19"/>
        <v>model</v>
      </c>
      <c r="P86" s="206" t="str">
        <f t="shared" si="19"/>
        <v>Length</v>
      </c>
      <c r="Q86" s="206" t="str">
        <f t="shared" si="19"/>
        <v>x</v>
      </c>
      <c r="R86" s="206" t="str">
        <f t="shared" si="19"/>
        <v>BS</v>
      </c>
      <c r="S86" s="206" t="str">
        <f t="shared" si="19"/>
        <v>all</v>
      </c>
      <c r="T86" s="205">
        <f t="shared" si="19"/>
        <v>0.2</v>
      </c>
      <c r="U86" s="205" t="str">
        <f t="shared" si="19"/>
        <v>Radius Türfüllung Radius 2</v>
      </c>
      <c r="V86" s="205" t="str">
        <f t="shared" si="19"/>
        <v>x</v>
      </c>
      <c r="W86" s="205" t="str">
        <f t="shared" si="19"/>
        <v/>
      </c>
      <c r="X86" s="205" t="str">
        <f t="shared" si="19"/>
        <v/>
      </c>
      <c r="Y86" s="205" t="str">
        <f t="shared" si="19"/>
        <v>radDoorFilling2</v>
      </c>
    </row>
    <row r="87" spans="1:25">
      <c r="A87" s="204">
        <f t="shared" si="15"/>
        <v>85</v>
      </c>
      <c r="B87" s="205" t="str">
        <f t="shared" si="18"/>
        <v>x</v>
      </c>
      <c r="C87" s="205" t="str">
        <f t="shared" si="18"/>
        <v/>
      </c>
      <c r="D87" s="205" t="str">
        <f t="shared" si="18"/>
        <v/>
      </c>
      <c r="E87" s="205" t="str">
        <f t="shared" si="18"/>
        <v/>
      </c>
      <c r="F87" s="205" t="str">
        <f t="shared" si="18"/>
        <v/>
      </c>
      <c r="G87" s="205" t="str">
        <f t="shared" si="18"/>
        <v/>
      </c>
      <c r="H87" s="205" t="str">
        <f t="shared" si="18"/>
        <v/>
      </c>
      <c r="I87" s="205" t="str">
        <f t="shared" si="18"/>
        <v/>
      </c>
      <c r="J87" s="205" t="str">
        <f t="shared" si="18"/>
        <v/>
      </c>
      <c r="K87" s="205" t="str">
        <f t="shared" si="18"/>
        <v/>
      </c>
      <c r="L87" s="205" t="str">
        <f t="shared" si="19"/>
        <v>info</v>
      </c>
      <c r="M87" s="205" t="str">
        <f t="shared" si="19"/>
        <v>x</v>
      </c>
      <c r="N87" s="205" t="str">
        <f t="shared" si="19"/>
        <v/>
      </c>
      <c r="O87" s="205" t="str">
        <f t="shared" si="19"/>
        <v>model</v>
      </c>
      <c r="P87" s="206" t="str">
        <f t="shared" si="19"/>
        <v>Length</v>
      </c>
      <c r="Q87" s="206" t="str">
        <f t="shared" si="19"/>
        <v>x</v>
      </c>
      <c r="R87" s="206" t="str">
        <f t="shared" si="19"/>
        <v>BS</v>
      </c>
      <c r="S87" s="206" t="str">
        <f t="shared" si="19"/>
        <v>all</v>
      </c>
      <c r="T87" s="205">
        <f t="shared" si="19"/>
        <v>0.35</v>
      </c>
      <c r="U87" s="205" t="str">
        <f t="shared" si="19"/>
        <v>Abstand Mittelpunkt - links</v>
      </c>
      <c r="V87" s="205" t="str">
        <f t="shared" si="19"/>
        <v>x</v>
      </c>
      <c r="W87" s="205" t="str">
        <f t="shared" si="19"/>
        <v/>
      </c>
      <c r="X87" s="205" t="str">
        <f t="shared" si="19"/>
        <v/>
      </c>
      <c r="Y87" s="205" t="str">
        <f t="shared" si="19"/>
        <v>centerOffsetLeft</v>
      </c>
    </row>
    <row r="88" spans="1:25">
      <c r="A88" s="204">
        <f t="shared" si="15"/>
        <v>86</v>
      </c>
      <c r="B88" s="205" t="str">
        <f t="shared" si="18"/>
        <v/>
      </c>
      <c r="C88" s="205" t="str">
        <f t="shared" si="18"/>
        <v/>
      </c>
      <c r="D88" s="205" t="str">
        <f t="shared" si="18"/>
        <v/>
      </c>
      <c r="E88" s="205" t="str">
        <f t="shared" si="18"/>
        <v/>
      </c>
      <c r="F88" s="205" t="str">
        <f t="shared" si="18"/>
        <v/>
      </c>
      <c r="G88" s="205" t="str">
        <f t="shared" si="18"/>
        <v/>
      </c>
      <c r="H88" s="205" t="str">
        <f t="shared" si="18"/>
        <v/>
      </c>
      <c r="I88" s="205" t="str">
        <f t="shared" si="18"/>
        <v/>
      </c>
      <c r="J88" s="205" t="str">
        <f t="shared" si="18"/>
        <v/>
      </c>
      <c r="K88" s="205" t="str">
        <f t="shared" si="18"/>
        <v/>
      </c>
      <c r="L88" s="205" t="str">
        <f t="shared" si="19"/>
        <v>info</v>
      </c>
      <c r="M88" s="205" t="str">
        <f t="shared" si="19"/>
        <v>x</v>
      </c>
      <c r="N88" s="205" t="str">
        <f t="shared" si="19"/>
        <v/>
      </c>
      <c r="O88" s="205" t="str">
        <f t="shared" si="19"/>
        <v>model</v>
      </c>
      <c r="P88" s="206" t="str">
        <f t="shared" si="19"/>
        <v>Length</v>
      </c>
      <c r="Q88" s="206" t="str">
        <f t="shared" si="19"/>
        <v>x</v>
      </c>
      <c r="R88" s="206" t="str">
        <f t="shared" si="19"/>
        <v>BS</v>
      </c>
      <c r="S88" s="206" t="str">
        <f t="shared" si="19"/>
        <v>all</v>
      </c>
      <c r="T88" s="205">
        <f t="shared" si="19"/>
        <v>0.35</v>
      </c>
      <c r="U88" s="205" t="str">
        <f t="shared" si="19"/>
        <v>Abstand Mittelpunkt - links 2</v>
      </c>
      <c r="V88" s="205" t="str">
        <f t="shared" si="19"/>
        <v>x</v>
      </c>
      <c r="W88" s="205" t="str">
        <f t="shared" si="19"/>
        <v/>
      </c>
      <c r="X88" s="205" t="str">
        <f t="shared" si="19"/>
        <v/>
      </c>
      <c r="Y88" s="205" t="str">
        <f t="shared" si="19"/>
        <v>centerOffsetLeft2</v>
      </c>
    </row>
    <row r="89" spans="1:25">
      <c r="A89" s="204">
        <f t="shared" si="15"/>
        <v>87</v>
      </c>
      <c r="B89" s="205" t="str">
        <f t="shared" si="18"/>
        <v>x</v>
      </c>
      <c r="C89" s="205" t="str">
        <f t="shared" si="18"/>
        <v/>
      </c>
      <c r="D89" s="205" t="str">
        <f t="shared" si="18"/>
        <v/>
      </c>
      <c r="E89" s="205" t="str">
        <f t="shared" si="18"/>
        <v/>
      </c>
      <c r="F89" s="205" t="str">
        <f t="shared" si="18"/>
        <v/>
      </c>
      <c r="G89" s="205" t="str">
        <f t="shared" si="18"/>
        <v/>
      </c>
      <c r="H89" s="205" t="str">
        <f t="shared" si="18"/>
        <v/>
      </c>
      <c r="I89" s="205" t="str">
        <f t="shared" si="18"/>
        <v/>
      </c>
      <c r="J89" s="205" t="str">
        <f t="shared" si="18"/>
        <v/>
      </c>
      <c r="K89" s="205" t="str">
        <f t="shared" si="18"/>
        <v/>
      </c>
      <c r="L89" s="205" t="str">
        <f t="shared" si="19"/>
        <v>info</v>
      </c>
      <c r="M89" s="205" t="str">
        <f t="shared" si="19"/>
        <v>x</v>
      </c>
      <c r="N89" s="205" t="str">
        <f t="shared" si="19"/>
        <v/>
      </c>
      <c r="O89" s="205" t="str">
        <f t="shared" si="19"/>
        <v>model</v>
      </c>
      <c r="P89" s="206" t="str">
        <f t="shared" si="19"/>
        <v>Length</v>
      </c>
      <c r="Q89" s="206" t="str">
        <f t="shared" si="19"/>
        <v>x</v>
      </c>
      <c r="R89" s="206" t="str">
        <f t="shared" si="19"/>
        <v>BS</v>
      </c>
      <c r="S89" s="206" t="str">
        <f t="shared" si="19"/>
        <v>all</v>
      </c>
      <c r="T89" s="205">
        <f t="shared" si="19"/>
        <v>0.98</v>
      </c>
      <c r="U89" s="205" t="str">
        <f t="shared" si="19"/>
        <v>Abstand Mittelpunkt - rechts</v>
      </c>
      <c r="V89" s="205" t="str">
        <f t="shared" si="19"/>
        <v>x</v>
      </c>
      <c r="W89" s="205" t="str">
        <f t="shared" si="19"/>
        <v/>
      </c>
      <c r="X89" s="205" t="str">
        <f t="shared" si="19"/>
        <v/>
      </c>
      <c r="Y89" s="205" t="str">
        <f t="shared" si="19"/>
        <v>centerOffsetRight</v>
      </c>
    </row>
    <row r="90" spans="1:25">
      <c r="A90" s="204">
        <f t="shared" si="15"/>
        <v>88</v>
      </c>
      <c r="B90" s="205" t="str">
        <f t="shared" si="18"/>
        <v/>
      </c>
      <c r="C90" s="205" t="str">
        <f t="shared" si="18"/>
        <v/>
      </c>
      <c r="D90" s="205" t="str">
        <f t="shared" si="18"/>
        <v/>
      </c>
      <c r="E90" s="205" t="str">
        <f t="shared" si="18"/>
        <v/>
      </c>
      <c r="F90" s="205" t="str">
        <f t="shared" si="18"/>
        <v/>
      </c>
      <c r="G90" s="205" t="str">
        <f t="shared" si="18"/>
        <v/>
      </c>
      <c r="H90" s="205" t="str">
        <f t="shared" si="18"/>
        <v/>
      </c>
      <c r="I90" s="205" t="str">
        <f t="shared" si="18"/>
        <v/>
      </c>
      <c r="J90" s="205" t="str">
        <f t="shared" si="18"/>
        <v/>
      </c>
      <c r="K90" s="205" t="str">
        <f t="shared" si="18"/>
        <v/>
      </c>
      <c r="L90" s="205" t="str">
        <f t="shared" si="19"/>
        <v>info</v>
      </c>
      <c r="M90" s="205" t="str">
        <f t="shared" si="19"/>
        <v>x</v>
      </c>
      <c r="N90" s="205" t="str">
        <f t="shared" si="19"/>
        <v/>
      </c>
      <c r="O90" s="205" t="str">
        <f t="shared" si="19"/>
        <v>model</v>
      </c>
      <c r="P90" s="206" t="str">
        <f t="shared" si="19"/>
        <v>Length</v>
      </c>
      <c r="Q90" s="206" t="str">
        <f t="shared" si="19"/>
        <v>x</v>
      </c>
      <c r="R90" s="206" t="str">
        <f t="shared" si="19"/>
        <v>BS</v>
      </c>
      <c r="S90" s="206" t="str">
        <f t="shared" si="19"/>
        <v>all</v>
      </c>
      <c r="T90" s="205">
        <f t="shared" si="19"/>
        <v>0.98</v>
      </c>
      <c r="U90" s="205" t="str">
        <f t="shared" si="19"/>
        <v>Abstand Mittelpunkt - rechts 2</v>
      </c>
      <c r="V90" s="205" t="str">
        <f t="shared" si="19"/>
        <v>x</v>
      </c>
      <c r="W90" s="205" t="str">
        <f t="shared" si="19"/>
        <v/>
      </c>
      <c r="X90" s="205" t="str">
        <f t="shared" si="19"/>
        <v/>
      </c>
      <c r="Y90" s="205" t="str">
        <f t="shared" si="19"/>
        <v>centerOffsetRight2</v>
      </c>
    </row>
    <row r="91" spans="1:25">
      <c r="A91" s="204">
        <f t="shared" si="15"/>
        <v>89</v>
      </c>
      <c r="B91" s="205" t="str">
        <f t="shared" si="18"/>
        <v>x</v>
      </c>
      <c r="C91" s="205" t="str">
        <f t="shared" si="18"/>
        <v/>
      </c>
      <c r="D91" s="205" t="str">
        <f t="shared" si="18"/>
        <v/>
      </c>
      <c r="E91" s="205" t="str">
        <f t="shared" si="18"/>
        <v/>
      </c>
      <c r="F91" s="205" t="str">
        <f t="shared" si="18"/>
        <v/>
      </c>
      <c r="G91" s="205" t="str">
        <f t="shared" si="18"/>
        <v/>
      </c>
      <c r="H91" s="205" t="str">
        <f t="shared" si="18"/>
        <v/>
      </c>
      <c r="I91" s="205" t="str">
        <f t="shared" si="18"/>
        <v/>
      </c>
      <c r="J91" s="205" t="str">
        <f t="shared" si="18"/>
        <v/>
      </c>
      <c r="K91" s="205" t="str">
        <f t="shared" si="18"/>
        <v/>
      </c>
      <c r="L91" s="205" t="str">
        <f t="shared" si="19"/>
        <v>info</v>
      </c>
      <c r="M91" s="205" t="str">
        <f t="shared" si="19"/>
        <v>x</v>
      </c>
      <c r="N91" s="205" t="str">
        <f t="shared" si="19"/>
        <v/>
      </c>
      <c r="O91" s="205" t="str">
        <f t="shared" si="19"/>
        <v>model</v>
      </c>
      <c r="P91" s="206" t="str">
        <f t="shared" si="19"/>
        <v>Length</v>
      </c>
      <c r="Q91" s="206" t="str">
        <f t="shared" si="19"/>
        <v>x</v>
      </c>
      <c r="R91" s="206" t="str">
        <f t="shared" si="19"/>
        <v>BS</v>
      </c>
      <c r="S91" s="206" t="str">
        <f t="shared" si="19"/>
        <v>all</v>
      </c>
      <c r="T91" s="205">
        <f t="shared" si="19"/>
        <v>1.4</v>
      </c>
      <c r="U91" s="205" t="str">
        <f t="shared" si="19"/>
        <v>Abstand Mittelpunkt - unten</v>
      </c>
      <c r="V91" s="205" t="str">
        <f t="shared" si="19"/>
        <v>x</v>
      </c>
      <c r="W91" s="205" t="str">
        <f t="shared" si="19"/>
        <v/>
      </c>
      <c r="X91" s="205" t="str">
        <f t="shared" si="19"/>
        <v/>
      </c>
      <c r="Y91" s="205" t="str">
        <f t="shared" si="19"/>
        <v>centerOffsetBottom</v>
      </c>
    </row>
    <row r="92" spans="1:25">
      <c r="A92" s="204">
        <f t="shared" si="15"/>
        <v>90</v>
      </c>
      <c r="B92" s="205" t="str">
        <f t="shared" si="18"/>
        <v/>
      </c>
      <c r="C92" s="205" t="str">
        <f t="shared" si="18"/>
        <v/>
      </c>
      <c r="D92" s="205" t="str">
        <f t="shared" si="18"/>
        <v/>
      </c>
      <c r="E92" s="205" t="str">
        <f t="shared" si="18"/>
        <v/>
      </c>
      <c r="F92" s="205" t="str">
        <f t="shared" si="18"/>
        <v/>
      </c>
      <c r="G92" s="205" t="str">
        <f t="shared" si="18"/>
        <v/>
      </c>
      <c r="H92" s="205" t="str">
        <f t="shared" si="18"/>
        <v/>
      </c>
      <c r="I92" s="205" t="str">
        <f t="shared" si="18"/>
        <v/>
      </c>
      <c r="J92" s="205" t="str">
        <f t="shared" si="18"/>
        <v/>
      </c>
      <c r="K92" s="205" t="str">
        <f t="shared" si="18"/>
        <v/>
      </c>
      <c r="L92" s="205" t="str">
        <f t="shared" si="19"/>
        <v>info</v>
      </c>
      <c r="M92" s="205" t="str">
        <f t="shared" si="19"/>
        <v>x</v>
      </c>
      <c r="N92" s="205" t="str">
        <f t="shared" si="19"/>
        <v/>
      </c>
      <c r="O92" s="205" t="str">
        <f t="shared" si="19"/>
        <v>model</v>
      </c>
      <c r="P92" s="206" t="str">
        <f t="shared" si="19"/>
        <v>Length</v>
      </c>
      <c r="Q92" s="206" t="str">
        <f t="shared" si="19"/>
        <v>x</v>
      </c>
      <c r="R92" s="206" t="str">
        <f t="shared" si="19"/>
        <v>BS</v>
      </c>
      <c r="S92" s="206" t="str">
        <f t="shared" si="19"/>
        <v>all</v>
      </c>
      <c r="T92" s="205">
        <f t="shared" si="19"/>
        <v>1.4</v>
      </c>
      <c r="U92" s="205" t="str">
        <f t="shared" si="19"/>
        <v>Abstand Mittelpunkt - unten 2</v>
      </c>
      <c r="V92" s="205" t="str">
        <f t="shared" si="19"/>
        <v>x</v>
      </c>
      <c r="W92" s="205" t="str">
        <f t="shared" si="19"/>
        <v/>
      </c>
      <c r="X92" s="205" t="str">
        <f t="shared" si="19"/>
        <v/>
      </c>
      <c r="Y92" s="205" t="str">
        <f t="shared" si="19"/>
        <v>centerOffsetBottom2</v>
      </c>
    </row>
    <row r="93" spans="1:25">
      <c r="A93" s="204">
        <f t="shared" si="15"/>
        <v>91</v>
      </c>
      <c r="B93" s="205" t="str">
        <f t="shared" ref="B93:K102" si="20">IF(ISNONTEXT(B$2),IF(B$2="","",IF(INDEX(IMPORT,$A93,B$2)=0,"",IFERROR(VLOOKUP(INDEX(IMPORT,$A93,B$2),ImportTranslation,2,0),INDEX(IMPORT,$A93,B$2)))),B$2)</f>
        <v>x</v>
      </c>
      <c r="C93" s="205" t="str">
        <f t="shared" si="20"/>
        <v/>
      </c>
      <c r="D93" s="205" t="str">
        <f t="shared" si="20"/>
        <v/>
      </c>
      <c r="E93" s="205" t="str">
        <f t="shared" si="20"/>
        <v/>
      </c>
      <c r="F93" s="205" t="str">
        <f t="shared" si="20"/>
        <v/>
      </c>
      <c r="G93" s="205" t="str">
        <f t="shared" si="20"/>
        <v/>
      </c>
      <c r="H93" s="205" t="str">
        <f t="shared" si="20"/>
        <v/>
      </c>
      <c r="I93" s="205" t="str">
        <f t="shared" si="20"/>
        <v/>
      </c>
      <c r="J93" s="205" t="str">
        <f t="shared" si="20"/>
        <v/>
      </c>
      <c r="K93" s="205" t="str">
        <f t="shared" si="20"/>
        <v/>
      </c>
      <c r="L93" s="205" t="str">
        <f t="shared" ref="L93:Y102" si="21">IF(ISNONTEXT(L$2),IF(L$2="","",IF(INDEX(IMPORT,$A93,L$2)=0,"",IFERROR(VLOOKUP(INDEX(IMPORT,$A93,L$2),ImportTranslation,2,0),INDEX(IMPORT,$A93,L$2)))),L$2)</f>
        <v>info</v>
      </c>
      <c r="M93" s="205" t="str">
        <f t="shared" si="21"/>
        <v>x</v>
      </c>
      <c r="N93" s="205" t="str">
        <f t="shared" si="21"/>
        <v/>
      </c>
      <c r="O93" s="205" t="str">
        <f t="shared" si="21"/>
        <v>model</v>
      </c>
      <c r="P93" s="206" t="str">
        <f t="shared" si="21"/>
        <v>Length</v>
      </c>
      <c r="Q93" s="206" t="str">
        <f t="shared" si="21"/>
        <v>x</v>
      </c>
      <c r="R93" s="206" t="str">
        <f t="shared" si="21"/>
        <v>BS</v>
      </c>
      <c r="S93" s="206" t="str">
        <f t="shared" si="21"/>
        <v>all</v>
      </c>
      <c r="T93" s="205">
        <f t="shared" si="21"/>
        <v>0.51500000000000001</v>
      </c>
      <c r="U93" s="205" t="str">
        <f t="shared" si="21"/>
        <v>Abstand Mittelpunkt - oben</v>
      </c>
      <c r="V93" s="205" t="str">
        <f t="shared" si="21"/>
        <v>x</v>
      </c>
      <c r="W93" s="205" t="str">
        <f t="shared" si="21"/>
        <v/>
      </c>
      <c r="X93" s="205" t="str">
        <f t="shared" si="21"/>
        <v/>
      </c>
      <c r="Y93" s="205" t="str">
        <f t="shared" si="21"/>
        <v>centerOffsetTop</v>
      </c>
    </row>
    <row r="94" spans="1:25">
      <c r="A94" s="204">
        <f t="shared" si="15"/>
        <v>92</v>
      </c>
      <c r="B94" s="205" t="str">
        <f t="shared" si="20"/>
        <v/>
      </c>
      <c r="C94" s="205" t="str">
        <f t="shared" si="20"/>
        <v/>
      </c>
      <c r="D94" s="205" t="str">
        <f t="shared" si="20"/>
        <v/>
      </c>
      <c r="E94" s="205" t="str">
        <f t="shared" si="20"/>
        <v/>
      </c>
      <c r="F94" s="205" t="str">
        <f t="shared" si="20"/>
        <v/>
      </c>
      <c r="G94" s="205" t="str">
        <f t="shared" si="20"/>
        <v/>
      </c>
      <c r="H94" s="205" t="str">
        <f t="shared" si="20"/>
        <v/>
      </c>
      <c r="I94" s="205" t="str">
        <f t="shared" si="20"/>
        <v/>
      </c>
      <c r="J94" s="205" t="str">
        <f t="shared" si="20"/>
        <v/>
      </c>
      <c r="K94" s="205" t="str">
        <f t="shared" si="20"/>
        <v/>
      </c>
      <c r="L94" s="205" t="str">
        <f t="shared" si="21"/>
        <v>info</v>
      </c>
      <c r="M94" s="205" t="str">
        <f t="shared" si="21"/>
        <v>x</v>
      </c>
      <c r="N94" s="205" t="str">
        <f t="shared" si="21"/>
        <v/>
      </c>
      <c r="O94" s="205" t="str">
        <f t="shared" si="21"/>
        <v>model</v>
      </c>
      <c r="P94" s="206" t="str">
        <f t="shared" si="21"/>
        <v>Length</v>
      </c>
      <c r="Q94" s="206" t="str">
        <f t="shared" si="21"/>
        <v>x</v>
      </c>
      <c r="R94" s="206" t="str">
        <f t="shared" si="21"/>
        <v>BS</v>
      </c>
      <c r="S94" s="206" t="str">
        <f t="shared" si="21"/>
        <v>all</v>
      </c>
      <c r="T94" s="205">
        <f t="shared" si="21"/>
        <v>0.51500000000000001</v>
      </c>
      <c r="U94" s="205" t="str">
        <f t="shared" si="21"/>
        <v>Abstand Mittelpunkt - oben 2</v>
      </c>
      <c r="V94" s="205" t="str">
        <f t="shared" si="21"/>
        <v>x</v>
      </c>
      <c r="W94" s="205" t="str">
        <f t="shared" si="21"/>
        <v/>
      </c>
      <c r="X94" s="205" t="str">
        <f t="shared" si="21"/>
        <v/>
      </c>
      <c r="Y94" s="205" t="str">
        <f t="shared" si="21"/>
        <v>centerOffsetTop2</v>
      </c>
    </row>
    <row r="95" spans="1:25">
      <c r="A95" s="204">
        <f t="shared" si="15"/>
        <v>93</v>
      </c>
      <c r="B95" s="205" t="str">
        <f t="shared" si="20"/>
        <v>x</v>
      </c>
      <c r="C95" s="205" t="str">
        <f t="shared" si="20"/>
        <v/>
      </c>
      <c r="D95" s="205" t="str">
        <f t="shared" si="20"/>
        <v/>
      </c>
      <c r="E95" s="205" t="str">
        <f t="shared" si="20"/>
        <v/>
      </c>
      <c r="F95" s="205" t="str">
        <f t="shared" si="20"/>
        <v/>
      </c>
      <c r="G95" s="205" t="str">
        <f t="shared" si="20"/>
        <v/>
      </c>
      <c r="H95" s="205" t="str">
        <f t="shared" si="20"/>
        <v/>
      </c>
      <c r="I95" s="205" t="str">
        <f t="shared" si="20"/>
        <v/>
      </c>
      <c r="J95" s="205" t="str">
        <f t="shared" si="20"/>
        <v/>
      </c>
      <c r="K95" s="205" t="str">
        <f t="shared" si="20"/>
        <v/>
      </c>
      <c r="L95" s="205" t="str">
        <f t="shared" si="21"/>
        <v>info</v>
      </c>
      <c r="M95" s="205" t="str">
        <f t="shared" si="21"/>
        <v/>
      </c>
      <c r="N95" s="205" t="str">
        <f t="shared" si="21"/>
        <v/>
      </c>
      <c r="O95" s="205" t="str">
        <f t="shared" si="21"/>
        <v>model</v>
      </c>
      <c r="P95" s="206" t="str">
        <f t="shared" si="21"/>
        <v>Title</v>
      </c>
      <c r="Q95" s="206" t="str">
        <f t="shared" si="21"/>
        <v>x</v>
      </c>
      <c r="R95" s="206" t="str">
        <f t="shared" si="21"/>
        <v>BS</v>
      </c>
      <c r="S95" s="206" t="str">
        <f t="shared" si="21"/>
        <v>all</v>
      </c>
      <c r="T95" s="205" t="str">
        <f t="shared" si="21"/>
        <v/>
      </c>
      <c r="U95" s="205" t="str">
        <f t="shared" si="21"/>
        <v>Türgriff</v>
      </c>
      <c r="V95" s="205" t="str">
        <f t="shared" si="21"/>
        <v/>
      </c>
      <c r="W95" s="205" t="str">
        <f t="shared" si="21"/>
        <v/>
      </c>
      <c r="X95" s="205" t="str">
        <f t="shared" si="21"/>
        <v/>
      </c>
      <c r="Y95" s="205" t="str">
        <f t="shared" si="21"/>
        <v>gs_door_handle</v>
      </c>
    </row>
    <row r="96" spans="1:25">
      <c r="A96" s="204">
        <f t="shared" si="15"/>
        <v>94</v>
      </c>
      <c r="B96" s="205" t="str">
        <f t="shared" si="20"/>
        <v>x</v>
      </c>
      <c r="C96" s="205" t="str">
        <f t="shared" si="20"/>
        <v/>
      </c>
      <c r="D96" s="205" t="str">
        <f t="shared" si="20"/>
        <v/>
      </c>
      <c r="E96" s="205" t="str">
        <f t="shared" si="20"/>
        <v/>
      </c>
      <c r="F96" s="205" t="str">
        <f t="shared" si="20"/>
        <v/>
      </c>
      <c r="G96" s="205" t="str">
        <f t="shared" si="20"/>
        <v/>
      </c>
      <c r="H96" s="205" t="str">
        <f t="shared" si="20"/>
        <v/>
      </c>
      <c r="I96" s="205" t="str">
        <f t="shared" si="20"/>
        <v/>
      </c>
      <c r="J96" s="205" t="str">
        <f t="shared" si="20"/>
        <v/>
      </c>
      <c r="K96" s="205" t="str">
        <f t="shared" si="20"/>
        <v/>
      </c>
      <c r="L96" s="205" t="str">
        <f t="shared" si="21"/>
        <v>info</v>
      </c>
      <c r="M96" s="205" t="str">
        <f t="shared" si="21"/>
        <v>x</v>
      </c>
      <c r="N96" s="205" t="str">
        <f t="shared" si="21"/>
        <v/>
      </c>
      <c r="O96" s="205" t="str">
        <f t="shared" si="21"/>
        <v>model</v>
      </c>
      <c r="P96" s="206" t="str">
        <f t="shared" si="21"/>
        <v>String</v>
      </c>
      <c r="Q96" s="206" t="str">
        <f t="shared" si="21"/>
        <v>x</v>
      </c>
      <c r="R96" s="206" t="str">
        <f t="shared" si="21"/>
        <v>BS</v>
      </c>
      <c r="S96" s="206" t="str">
        <f t="shared" si="21"/>
        <v>all</v>
      </c>
      <c r="T96" s="205" t="str">
        <f t="shared" si="21"/>
        <v>Klinke 3</v>
      </c>
      <c r="U96" s="205" t="str">
        <f t="shared" si="21"/>
        <v>Klinketyp</v>
      </c>
      <c r="V96" s="205" t="str">
        <f t="shared" si="21"/>
        <v>x</v>
      </c>
      <c r="W96" s="205" t="str">
        <f t="shared" si="21"/>
        <v/>
      </c>
      <c r="X96" s="205" t="str">
        <f t="shared" si="21"/>
        <v/>
      </c>
      <c r="Y96" s="205" t="str">
        <f t="shared" si="21"/>
        <v>gs_handle_type</v>
      </c>
    </row>
    <row r="97" spans="1:25">
      <c r="A97" s="204">
        <f t="shared" si="15"/>
        <v>95</v>
      </c>
      <c r="B97" s="205" t="str">
        <f t="shared" si="20"/>
        <v/>
      </c>
      <c r="C97" s="205" t="str">
        <f t="shared" si="20"/>
        <v>x</v>
      </c>
      <c r="D97" s="205" t="str">
        <f t="shared" si="20"/>
        <v/>
      </c>
      <c r="E97" s="205" t="str">
        <f t="shared" si="20"/>
        <v/>
      </c>
      <c r="F97" s="205" t="str">
        <f t="shared" si="20"/>
        <v/>
      </c>
      <c r="G97" s="205" t="str">
        <f t="shared" si="20"/>
        <v/>
      </c>
      <c r="H97" s="205" t="str">
        <f t="shared" si="20"/>
        <v/>
      </c>
      <c r="I97" s="205" t="str">
        <f t="shared" si="20"/>
        <v/>
      </c>
      <c r="J97" s="205" t="str">
        <f t="shared" si="20"/>
        <v/>
      </c>
      <c r="K97" s="205" t="str">
        <f t="shared" si="20"/>
        <v/>
      </c>
      <c r="L97" s="205" t="str">
        <f t="shared" si="21"/>
        <v>info</v>
      </c>
      <c r="M97" s="205" t="str">
        <f t="shared" si="21"/>
        <v>x</v>
      </c>
      <c r="N97" s="205" t="str">
        <f t="shared" si="21"/>
        <v/>
      </c>
      <c r="O97" s="205" t="str">
        <f t="shared" si="21"/>
        <v>model</v>
      </c>
      <c r="P97" s="206" t="str">
        <f t="shared" si="21"/>
        <v>Integer</v>
      </c>
      <c r="Q97" s="206" t="str">
        <f t="shared" si="21"/>
        <v>x</v>
      </c>
      <c r="R97" s="206" t="str">
        <f t="shared" si="21"/>
        <v>BS</v>
      </c>
      <c r="S97" s="206" t="str">
        <f t="shared" si="21"/>
        <v>all</v>
      </c>
      <c r="T97" s="205">
        <f t="shared" si="21"/>
        <v>10</v>
      </c>
      <c r="U97" s="205" t="str">
        <f t="shared" si="21"/>
        <v>Klinketyp</v>
      </c>
      <c r="V97" s="205" t="str">
        <f t="shared" si="21"/>
        <v>x</v>
      </c>
      <c r="W97" s="205" t="str">
        <f t="shared" si="21"/>
        <v/>
      </c>
      <c r="X97" s="205" t="str">
        <f t="shared" si="21"/>
        <v/>
      </c>
      <c r="Y97" s="205" t="str">
        <f t="shared" si="21"/>
        <v>gs_handle_type_m</v>
      </c>
    </row>
    <row r="98" spans="1:25">
      <c r="A98" s="204">
        <f t="shared" si="15"/>
        <v>96</v>
      </c>
      <c r="B98" s="205" t="str">
        <f t="shared" si="20"/>
        <v/>
      </c>
      <c r="C98" s="205" t="str">
        <f t="shared" si="20"/>
        <v/>
      </c>
      <c r="D98" s="205" t="str">
        <f t="shared" si="20"/>
        <v/>
      </c>
      <c r="E98" s="205" t="str">
        <f t="shared" si="20"/>
        <v/>
      </c>
      <c r="F98" s="205" t="str">
        <f t="shared" si="20"/>
        <v/>
      </c>
      <c r="G98" s="205" t="str">
        <f t="shared" si="20"/>
        <v/>
      </c>
      <c r="H98" s="205" t="str">
        <f t="shared" si="20"/>
        <v/>
      </c>
      <c r="I98" s="205" t="str">
        <f t="shared" si="20"/>
        <v/>
      </c>
      <c r="J98" s="205" t="str">
        <f t="shared" si="20"/>
        <v/>
      </c>
      <c r="K98" s="205" t="str">
        <f t="shared" si="20"/>
        <v/>
      </c>
      <c r="L98" s="205" t="str">
        <f t="shared" si="21"/>
        <v>info</v>
      </c>
      <c r="M98" s="205" t="str">
        <f t="shared" si="21"/>
        <v>x</v>
      </c>
      <c r="N98" s="205" t="str">
        <f t="shared" si="21"/>
        <v/>
      </c>
      <c r="O98" s="205" t="str">
        <f t="shared" si="21"/>
        <v>model</v>
      </c>
      <c r="P98" s="206" t="str">
        <f t="shared" si="21"/>
        <v>Integer</v>
      </c>
      <c r="Q98" s="206" t="str">
        <f t="shared" si="21"/>
        <v>x</v>
      </c>
      <c r="R98" s="206" t="str">
        <f t="shared" si="21"/>
        <v>BS</v>
      </c>
      <c r="S98" s="206" t="str">
        <f t="shared" si="21"/>
        <v>all</v>
      </c>
      <c r="T98" s="205" t="str">
        <f t="shared" si="21"/>
        <v/>
      </c>
      <c r="U98" s="205" t="str">
        <f t="shared" si="21"/>
        <v>Klinkentyp 2</v>
      </c>
      <c r="V98" s="205" t="str">
        <f t="shared" si="21"/>
        <v>x</v>
      </c>
      <c r="W98" s="205" t="str">
        <f t="shared" si="21"/>
        <v/>
      </c>
      <c r="X98" s="205" t="str">
        <f t="shared" si="21"/>
        <v/>
      </c>
      <c r="Y98" s="205" t="str">
        <f t="shared" si="21"/>
        <v>gs_handle_type2_m</v>
      </c>
    </row>
    <row r="99" spans="1:25">
      <c r="A99" s="204">
        <f t="shared" si="15"/>
        <v>97</v>
      </c>
      <c r="B99" s="205" t="str">
        <f t="shared" si="20"/>
        <v/>
      </c>
      <c r="C99" s="205" t="str">
        <f t="shared" si="20"/>
        <v/>
      </c>
      <c r="D99" s="205" t="str">
        <f t="shared" si="20"/>
        <v/>
      </c>
      <c r="E99" s="205" t="str">
        <f t="shared" si="20"/>
        <v/>
      </c>
      <c r="F99" s="205" t="str">
        <f t="shared" si="20"/>
        <v/>
      </c>
      <c r="G99" s="205" t="str">
        <f t="shared" si="20"/>
        <v/>
      </c>
      <c r="H99" s="205" t="str">
        <f t="shared" si="20"/>
        <v/>
      </c>
      <c r="I99" s="205" t="str">
        <f t="shared" si="20"/>
        <v/>
      </c>
      <c r="J99" s="205" t="str">
        <f t="shared" si="20"/>
        <v/>
      </c>
      <c r="K99" s="205" t="str">
        <f t="shared" si="20"/>
        <v/>
      </c>
      <c r="L99" s="205" t="str">
        <f t="shared" si="21"/>
        <v>info</v>
      </c>
      <c r="M99" s="205" t="str">
        <f t="shared" si="21"/>
        <v>x</v>
      </c>
      <c r="N99" s="205" t="str">
        <f t="shared" si="21"/>
        <v/>
      </c>
      <c r="O99" s="205" t="str">
        <f t="shared" si="21"/>
        <v>model</v>
      </c>
      <c r="P99" s="206" t="str">
        <f t="shared" si="21"/>
        <v>String</v>
      </c>
      <c r="Q99" s="206" t="str">
        <f t="shared" si="21"/>
        <v>x</v>
      </c>
      <c r="R99" s="206" t="str">
        <f t="shared" si="21"/>
        <v>BS</v>
      </c>
      <c r="S99" s="206" t="str">
        <f t="shared" si="21"/>
        <v>all</v>
      </c>
      <c r="T99" s="205" t="str">
        <f t="shared" si="21"/>
        <v/>
      </c>
      <c r="U99" s="205" t="str">
        <f t="shared" si="21"/>
        <v>Eigener Griff</v>
      </c>
      <c r="V99" s="205" t="str">
        <f t="shared" si="21"/>
        <v>x</v>
      </c>
      <c r="W99" s="205" t="str">
        <f t="shared" si="21"/>
        <v/>
      </c>
      <c r="X99" s="205" t="str">
        <f t="shared" si="21"/>
        <v/>
      </c>
      <c r="Y99" s="205" t="str">
        <f t="shared" si="21"/>
        <v>gs_cust_handle</v>
      </c>
    </row>
    <row r="100" spans="1:25">
      <c r="A100" s="204">
        <f t="shared" si="15"/>
        <v>98</v>
      </c>
      <c r="B100" s="205" t="str">
        <f t="shared" si="20"/>
        <v/>
      </c>
      <c r="C100" s="205" t="str">
        <f t="shared" si="20"/>
        <v/>
      </c>
      <c r="D100" s="205" t="str">
        <f t="shared" si="20"/>
        <v/>
      </c>
      <c r="E100" s="205" t="str">
        <f t="shared" si="20"/>
        <v/>
      </c>
      <c r="F100" s="205" t="str">
        <f t="shared" si="20"/>
        <v/>
      </c>
      <c r="G100" s="205" t="str">
        <f t="shared" si="20"/>
        <v/>
      </c>
      <c r="H100" s="205" t="str">
        <f t="shared" si="20"/>
        <v/>
      </c>
      <c r="I100" s="205" t="str">
        <f t="shared" si="20"/>
        <v/>
      </c>
      <c r="J100" s="205" t="str">
        <f t="shared" si="20"/>
        <v/>
      </c>
      <c r="K100" s="205" t="str">
        <f t="shared" si="20"/>
        <v/>
      </c>
      <c r="L100" s="205" t="str">
        <f t="shared" si="21"/>
        <v>info</v>
      </c>
      <c r="M100" s="205" t="str">
        <f t="shared" si="21"/>
        <v>x</v>
      </c>
      <c r="N100" s="205" t="str">
        <f t="shared" si="21"/>
        <v/>
      </c>
      <c r="O100" s="205" t="str">
        <f t="shared" si="21"/>
        <v>model</v>
      </c>
      <c r="P100" s="206" t="str">
        <f t="shared" si="21"/>
        <v>String</v>
      </c>
      <c r="Q100" s="206" t="str">
        <f t="shared" si="21"/>
        <v>x</v>
      </c>
      <c r="R100" s="206" t="str">
        <f t="shared" si="21"/>
        <v>BS</v>
      </c>
      <c r="S100" s="206" t="str">
        <f t="shared" si="21"/>
        <v>all</v>
      </c>
      <c r="T100" s="205" t="str">
        <f t="shared" si="21"/>
        <v/>
      </c>
      <c r="U100" s="205" t="str">
        <f t="shared" si="21"/>
        <v>Eigener Griff 2</v>
      </c>
      <c r="V100" s="205" t="str">
        <f t="shared" si="21"/>
        <v>x</v>
      </c>
      <c r="W100" s="205" t="str">
        <f t="shared" si="21"/>
        <v/>
      </c>
      <c r="X100" s="205" t="str">
        <f t="shared" si="21"/>
        <v/>
      </c>
      <c r="Y100" s="205" t="str">
        <f t="shared" si="21"/>
        <v>gs_cust_handle2</v>
      </c>
    </row>
    <row r="101" spans="1:25">
      <c r="A101" s="204">
        <f t="shared" si="15"/>
        <v>99</v>
      </c>
      <c r="B101" s="205" t="str">
        <f t="shared" si="20"/>
        <v/>
      </c>
      <c r="C101" s="205" t="str">
        <f t="shared" si="20"/>
        <v/>
      </c>
      <c r="D101" s="205" t="str">
        <f t="shared" si="20"/>
        <v/>
      </c>
      <c r="E101" s="205" t="str">
        <f t="shared" si="20"/>
        <v/>
      </c>
      <c r="F101" s="205" t="str">
        <f t="shared" si="20"/>
        <v/>
      </c>
      <c r="G101" s="205" t="str">
        <f t="shared" si="20"/>
        <v/>
      </c>
      <c r="H101" s="205" t="str">
        <f t="shared" si="20"/>
        <v/>
      </c>
      <c r="I101" s="205" t="str">
        <f t="shared" si="20"/>
        <v/>
      </c>
      <c r="J101" s="205" t="str">
        <f t="shared" si="20"/>
        <v/>
      </c>
      <c r="K101" s="205" t="str">
        <f t="shared" si="20"/>
        <v/>
      </c>
      <c r="L101" s="205" t="str">
        <f t="shared" si="21"/>
        <v>info</v>
      </c>
      <c r="M101" s="205" t="str">
        <f t="shared" si="21"/>
        <v>x</v>
      </c>
      <c r="N101" s="205" t="str">
        <f t="shared" si="21"/>
        <v/>
      </c>
      <c r="O101" s="205" t="str">
        <f t="shared" si="21"/>
        <v>model</v>
      </c>
      <c r="P101" s="206" t="str">
        <f t="shared" si="21"/>
        <v>Length</v>
      </c>
      <c r="Q101" s="206" t="str">
        <f t="shared" si="21"/>
        <v>x</v>
      </c>
      <c r="R101" s="206" t="str">
        <f t="shared" si="21"/>
        <v>BS</v>
      </c>
      <c r="S101" s="206" t="str">
        <f t="shared" si="21"/>
        <v>all</v>
      </c>
      <c r="T101" s="205">
        <f t="shared" si="21"/>
        <v>1.05</v>
      </c>
      <c r="U101" s="205" t="str">
        <f t="shared" si="21"/>
        <v>Klinkenhöhe</v>
      </c>
      <c r="V101" s="205" t="str">
        <f t="shared" si="21"/>
        <v>x</v>
      </c>
      <c r="W101" s="205" t="str">
        <f t="shared" si="21"/>
        <v/>
      </c>
      <c r="X101" s="205" t="str">
        <f t="shared" si="21"/>
        <v/>
      </c>
      <c r="Y101" s="205" t="str">
        <f t="shared" si="21"/>
        <v>gs_han_height</v>
      </c>
    </row>
    <row r="102" spans="1:25">
      <c r="A102" s="204">
        <f t="shared" si="15"/>
        <v>100</v>
      </c>
      <c r="B102" s="205" t="str">
        <f t="shared" si="20"/>
        <v/>
      </c>
      <c r="C102" s="205" t="str">
        <f t="shared" si="20"/>
        <v/>
      </c>
      <c r="D102" s="205" t="str">
        <f t="shared" si="20"/>
        <v/>
      </c>
      <c r="E102" s="205" t="str">
        <f t="shared" si="20"/>
        <v/>
      </c>
      <c r="F102" s="205" t="str">
        <f t="shared" si="20"/>
        <v/>
      </c>
      <c r="G102" s="205" t="str">
        <f t="shared" si="20"/>
        <v/>
      </c>
      <c r="H102" s="205" t="str">
        <f t="shared" si="20"/>
        <v/>
      </c>
      <c r="I102" s="205" t="str">
        <f t="shared" si="20"/>
        <v/>
      </c>
      <c r="J102" s="205" t="str">
        <f t="shared" si="20"/>
        <v/>
      </c>
      <c r="K102" s="205" t="str">
        <f t="shared" si="20"/>
        <v/>
      </c>
      <c r="L102" s="205" t="str">
        <f t="shared" si="21"/>
        <v>info</v>
      </c>
      <c r="M102" s="205" t="str">
        <f t="shared" si="21"/>
        <v>x</v>
      </c>
      <c r="N102" s="205" t="str">
        <f t="shared" si="21"/>
        <v/>
      </c>
      <c r="O102" s="205" t="str">
        <f t="shared" si="21"/>
        <v>model</v>
      </c>
      <c r="P102" s="206" t="str">
        <f t="shared" si="21"/>
        <v>Length</v>
      </c>
      <c r="Q102" s="206" t="str">
        <f t="shared" si="21"/>
        <v>x</v>
      </c>
      <c r="R102" s="206" t="str">
        <f t="shared" si="21"/>
        <v>BS</v>
      </c>
      <c r="S102" s="206" t="str">
        <f t="shared" si="21"/>
        <v>all</v>
      </c>
      <c r="T102" s="205">
        <f t="shared" si="21"/>
        <v>1.05</v>
      </c>
      <c r="U102" s="205" t="str">
        <f t="shared" si="21"/>
        <v>Klinkenhöhe 2</v>
      </c>
      <c r="V102" s="205" t="str">
        <f t="shared" si="21"/>
        <v>x</v>
      </c>
      <c r="W102" s="205" t="str">
        <f t="shared" si="21"/>
        <v/>
      </c>
      <c r="X102" s="205" t="str">
        <f t="shared" si="21"/>
        <v/>
      </c>
      <c r="Y102" s="205" t="str">
        <f t="shared" si="21"/>
        <v>gs_han_height2</v>
      </c>
    </row>
    <row r="103" spans="1:25">
      <c r="A103" s="204">
        <f t="shared" si="15"/>
        <v>101</v>
      </c>
      <c r="B103" s="205" t="str">
        <f t="shared" ref="B103:K112" si="22">IF(ISNONTEXT(B$2),IF(B$2="","",IF(INDEX(IMPORT,$A103,B$2)=0,"",IFERROR(VLOOKUP(INDEX(IMPORT,$A103,B$2),ImportTranslation,2,0),INDEX(IMPORT,$A103,B$2)))),B$2)</f>
        <v/>
      </c>
      <c r="C103" s="205" t="str">
        <f t="shared" si="22"/>
        <v/>
      </c>
      <c r="D103" s="205" t="str">
        <f t="shared" si="22"/>
        <v/>
      </c>
      <c r="E103" s="205" t="str">
        <f t="shared" si="22"/>
        <v/>
      </c>
      <c r="F103" s="205" t="str">
        <f t="shared" si="22"/>
        <v/>
      </c>
      <c r="G103" s="205" t="str">
        <f t="shared" si="22"/>
        <v/>
      </c>
      <c r="H103" s="205" t="str">
        <f t="shared" si="22"/>
        <v/>
      </c>
      <c r="I103" s="205" t="str">
        <f t="shared" si="22"/>
        <v/>
      </c>
      <c r="J103" s="205" t="str">
        <f t="shared" si="22"/>
        <v/>
      </c>
      <c r="K103" s="205" t="str">
        <f t="shared" si="22"/>
        <v/>
      </c>
      <c r="L103" s="205" t="str">
        <f t="shared" ref="L103:Y112" si="23">IF(ISNONTEXT(L$2),IF(L$2="","",IF(INDEX(IMPORT,$A103,L$2)=0,"",IFERROR(VLOOKUP(INDEX(IMPORT,$A103,L$2),ImportTranslation,2,0),INDEX(IMPORT,$A103,L$2)))),L$2)</f>
        <v>info</v>
      </c>
      <c r="M103" s="205" t="str">
        <f t="shared" si="23"/>
        <v>x</v>
      </c>
      <c r="N103" s="205" t="str">
        <f t="shared" si="23"/>
        <v/>
      </c>
      <c r="O103" s="205" t="str">
        <f t="shared" si="23"/>
        <v>model</v>
      </c>
      <c r="P103" s="206" t="str">
        <f t="shared" si="23"/>
        <v>Length</v>
      </c>
      <c r="Q103" s="206" t="str">
        <f t="shared" si="23"/>
        <v>x</v>
      </c>
      <c r="R103" s="206" t="str">
        <f t="shared" si="23"/>
        <v>BS</v>
      </c>
      <c r="S103" s="206" t="str">
        <f t="shared" si="23"/>
        <v>all</v>
      </c>
      <c r="T103" s="205">
        <f t="shared" si="23"/>
        <v>0.06</v>
      </c>
      <c r="U103" s="205" t="str">
        <f t="shared" si="23"/>
        <v>Klinkeposition</v>
      </c>
      <c r="V103" s="205" t="str">
        <f t="shared" si="23"/>
        <v>x</v>
      </c>
      <c r="W103" s="205" t="str">
        <f t="shared" si="23"/>
        <v/>
      </c>
      <c r="X103" s="205" t="str">
        <f t="shared" si="23"/>
        <v/>
      </c>
      <c r="Y103" s="205" t="str">
        <f t="shared" si="23"/>
        <v>gs_han_pos</v>
      </c>
    </row>
    <row r="104" spans="1:25">
      <c r="A104" s="204">
        <f t="shared" si="15"/>
        <v>102</v>
      </c>
      <c r="B104" s="205" t="str">
        <f t="shared" si="22"/>
        <v/>
      </c>
      <c r="C104" s="205" t="str">
        <f t="shared" si="22"/>
        <v/>
      </c>
      <c r="D104" s="205" t="str">
        <f t="shared" si="22"/>
        <v/>
      </c>
      <c r="E104" s="205" t="str">
        <f t="shared" si="22"/>
        <v/>
      </c>
      <c r="F104" s="205" t="str">
        <f t="shared" si="22"/>
        <v/>
      </c>
      <c r="G104" s="205" t="str">
        <f t="shared" si="22"/>
        <v/>
      </c>
      <c r="H104" s="205" t="str">
        <f t="shared" si="22"/>
        <v/>
      </c>
      <c r="I104" s="205" t="str">
        <f t="shared" si="22"/>
        <v/>
      </c>
      <c r="J104" s="205" t="str">
        <f t="shared" si="22"/>
        <v/>
      </c>
      <c r="K104" s="205" t="str">
        <f t="shared" si="22"/>
        <v/>
      </c>
      <c r="L104" s="205" t="str">
        <f t="shared" si="23"/>
        <v>info</v>
      </c>
      <c r="M104" s="205" t="str">
        <f t="shared" si="23"/>
        <v>x</v>
      </c>
      <c r="N104" s="205" t="str">
        <f t="shared" si="23"/>
        <v/>
      </c>
      <c r="O104" s="205" t="str">
        <f t="shared" si="23"/>
        <v>model</v>
      </c>
      <c r="P104" s="206" t="str">
        <f t="shared" si="23"/>
        <v>Length</v>
      </c>
      <c r="Q104" s="206" t="str">
        <f t="shared" si="23"/>
        <v>x</v>
      </c>
      <c r="R104" s="206" t="str">
        <f t="shared" si="23"/>
        <v>BS</v>
      </c>
      <c r="S104" s="206" t="str">
        <f t="shared" si="23"/>
        <v>all</v>
      </c>
      <c r="T104" s="205">
        <f t="shared" si="23"/>
        <v>0.06</v>
      </c>
      <c r="U104" s="205" t="str">
        <f t="shared" si="23"/>
        <v>Klinkeposition 2</v>
      </c>
      <c r="V104" s="205" t="str">
        <f t="shared" si="23"/>
        <v>x</v>
      </c>
      <c r="W104" s="205" t="str">
        <f t="shared" si="23"/>
        <v/>
      </c>
      <c r="X104" s="205" t="str">
        <f t="shared" si="23"/>
        <v/>
      </c>
      <c r="Y104" s="205" t="str">
        <f t="shared" si="23"/>
        <v>gs_han_pos2</v>
      </c>
    </row>
    <row r="105" spans="1:25">
      <c r="A105" s="204">
        <f t="shared" si="15"/>
        <v>103</v>
      </c>
      <c r="B105" s="205" t="str">
        <f t="shared" si="22"/>
        <v>x</v>
      </c>
      <c r="C105" s="205" t="str">
        <f t="shared" si="22"/>
        <v/>
      </c>
      <c r="D105" s="205" t="str">
        <f t="shared" si="22"/>
        <v/>
      </c>
      <c r="E105" s="205" t="str">
        <f t="shared" si="22"/>
        <v/>
      </c>
      <c r="F105" s="205" t="str">
        <f t="shared" si="22"/>
        <v/>
      </c>
      <c r="G105" s="205" t="str">
        <f t="shared" si="22"/>
        <v/>
      </c>
      <c r="H105" s="205" t="str">
        <f t="shared" si="22"/>
        <v/>
      </c>
      <c r="I105" s="205" t="str">
        <f t="shared" si="22"/>
        <v/>
      </c>
      <c r="J105" s="205" t="str">
        <f t="shared" si="22"/>
        <v/>
      </c>
      <c r="K105" s="205" t="str">
        <f t="shared" si="22"/>
        <v/>
      </c>
      <c r="L105" s="205" t="str">
        <f t="shared" si="23"/>
        <v>info</v>
      </c>
      <c r="M105" s="205" t="str">
        <f t="shared" si="23"/>
        <v/>
      </c>
      <c r="N105" s="205" t="str">
        <f t="shared" si="23"/>
        <v/>
      </c>
      <c r="O105" s="205" t="str">
        <f t="shared" si="23"/>
        <v>model</v>
      </c>
      <c r="P105" s="206" t="str">
        <f t="shared" si="23"/>
        <v>Title</v>
      </c>
      <c r="Q105" s="206" t="str">
        <f t="shared" si="23"/>
        <v>x</v>
      </c>
      <c r="R105" s="206" t="str">
        <f t="shared" si="23"/>
        <v>BS</v>
      </c>
      <c r="S105" s="206" t="str">
        <f t="shared" si="23"/>
        <v>all</v>
      </c>
      <c r="T105" s="205" t="str">
        <f t="shared" si="23"/>
        <v/>
      </c>
      <c r="U105" s="205" t="str">
        <f t="shared" si="23"/>
        <v>Oberlicht</v>
      </c>
      <c r="V105" s="205" t="str">
        <f t="shared" si="23"/>
        <v/>
      </c>
      <c r="W105" s="205" t="str">
        <f t="shared" si="23"/>
        <v/>
      </c>
      <c r="X105" s="205" t="str">
        <f t="shared" si="23"/>
        <v/>
      </c>
      <c r="Y105" s="205" t="str">
        <f t="shared" si="23"/>
        <v>gs_door_oberlicht</v>
      </c>
    </row>
    <row r="106" spans="1:25">
      <c r="A106" s="204">
        <f t="shared" si="15"/>
        <v>104</v>
      </c>
      <c r="B106" s="205" t="str">
        <f t="shared" si="22"/>
        <v>x</v>
      </c>
      <c r="C106" s="205" t="str">
        <f t="shared" si="22"/>
        <v/>
      </c>
      <c r="D106" s="205" t="str">
        <f t="shared" si="22"/>
        <v/>
      </c>
      <c r="E106" s="205" t="str">
        <f t="shared" si="22"/>
        <v/>
      </c>
      <c r="F106" s="205" t="str">
        <f t="shared" si="22"/>
        <v/>
      </c>
      <c r="G106" s="205" t="str">
        <f t="shared" si="22"/>
        <v/>
      </c>
      <c r="H106" s="205" t="str">
        <f t="shared" si="22"/>
        <v/>
      </c>
      <c r="I106" s="205" t="str">
        <f t="shared" si="22"/>
        <v/>
      </c>
      <c r="J106" s="205" t="str">
        <f t="shared" si="22"/>
        <v/>
      </c>
      <c r="K106" s="205" t="str">
        <f t="shared" si="22"/>
        <v/>
      </c>
      <c r="L106" s="205" t="str">
        <f t="shared" si="23"/>
        <v>info</v>
      </c>
      <c r="M106" s="205" t="str">
        <f t="shared" si="23"/>
        <v>x</v>
      </c>
      <c r="N106" s="205" t="str">
        <f t="shared" si="23"/>
        <v/>
      </c>
      <c r="O106" s="205" t="str">
        <f t="shared" si="23"/>
        <v>model</v>
      </c>
      <c r="P106" s="206" t="str">
        <f t="shared" si="23"/>
        <v>Boolean</v>
      </c>
      <c r="Q106" s="206" t="str">
        <f t="shared" si="23"/>
        <v>x</v>
      </c>
      <c r="R106" s="206" t="str">
        <f t="shared" si="23"/>
        <v>BS</v>
      </c>
      <c r="S106" s="206" t="str">
        <f t="shared" si="23"/>
        <v>all</v>
      </c>
      <c r="T106" s="205">
        <f t="shared" si="23"/>
        <v>1</v>
      </c>
      <c r="U106" s="205" t="str">
        <f t="shared" si="23"/>
        <v>Oberlicht</v>
      </c>
      <c r="V106" s="205" t="str">
        <f t="shared" si="23"/>
        <v>x</v>
      </c>
      <c r="W106" s="205" t="str">
        <f t="shared" si="23"/>
        <v/>
      </c>
      <c r="X106" s="205" t="str">
        <f t="shared" si="23"/>
        <v/>
      </c>
      <c r="Y106" s="205" t="str">
        <f t="shared" si="23"/>
        <v>gs_kamp</v>
      </c>
    </row>
    <row r="107" spans="1:25">
      <c r="A107" s="204">
        <f t="shared" si="15"/>
        <v>105</v>
      </c>
      <c r="B107" s="205" t="str">
        <f t="shared" si="22"/>
        <v>x</v>
      </c>
      <c r="C107" s="205" t="str">
        <f t="shared" si="22"/>
        <v/>
      </c>
      <c r="D107" s="205" t="str">
        <f t="shared" si="22"/>
        <v/>
      </c>
      <c r="E107" s="205" t="str">
        <f t="shared" si="22"/>
        <v/>
      </c>
      <c r="F107" s="205" t="str">
        <f t="shared" si="22"/>
        <v/>
      </c>
      <c r="G107" s="205" t="str">
        <f t="shared" si="22"/>
        <v/>
      </c>
      <c r="H107" s="205" t="str">
        <f t="shared" si="22"/>
        <v/>
      </c>
      <c r="I107" s="205" t="str">
        <f t="shared" si="22"/>
        <v/>
      </c>
      <c r="J107" s="205" t="str">
        <f t="shared" si="22"/>
        <v/>
      </c>
      <c r="K107" s="205" t="str">
        <f t="shared" si="22"/>
        <v/>
      </c>
      <c r="L107" s="205" t="str">
        <f t="shared" si="23"/>
        <v>info</v>
      </c>
      <c r="M107" s="205" t="str">
        <f t="shared" si="23"/>
        <v>x</v>
      </c>
      <c r="N107" s="205" t="str">
        <f t="shared" si="23"/>
        <v/>
      </c>
      <c r="O107" s="205" t="str">
        <f t="shared" si="23"/>
        <v>model</v>
      </c>
      <c r="P107" s="206" t="str">
        <f t="shared" si="23"/>
        <v>Length</v>
      </c>
      <c r="Q107" s="206" t="str">
        <f t="shared" si="23"/>
        <v>x</v>
      </c>
      <c r="R107" s="206" t="str">
        <f t="shared" si="23"/>
        <v>BS</v>
      </c>
      <c r="S107" s="206" t="str">
        <f t="shared" si="23"/>
        <v>all</v>
      </c>
      <c r="T107" s="205">
        <f t="shared" si="23"/>
        <v>0.5</v>
      </c>
      <c r="U107" s="205" t="str">
        <f t="shared" si="23"/>
        <v>Höhe Kämpfer</v>
      </c>
      <c r="V107" s="205" t="str">
        <f t="shared" si="23"/>
        <v>x</v>
      </c>
      <c r="W107" s="205" t="str">
        <f t="shared" si="23"/>
        <v/>
      </c>
      <c r="X107" s="205" t="str">
        <f t="shared" si="23"/>
        <v/>
      </c>
      <c r="Y107" s="205" t="str">
        <f t="shared" si="23"/>
        <v>gs_am</v>
      </c>
    </row>
    <row r="108" spans="1:25">
      <c r="A108" s="204">
        <f t="shared" si="15"/>
        <v>106</v>
      </c>
      <c r="B108" s="205" t="str">
        <f t="shared" si="22"/>
        <v/>
      </c>
      <c r="C108" s="205" t="str">
        <f t="shared" si="22"/>
        <v/>
      </c>
      <c r="D108" s="205" t="str">
        <f t="shared" si="22"/>
        <v/>
      </c>
      <c r="E108" s="205" t="str">
        <f t="shared" si="22"/>
        <v/>
      </c>
      <c r="F108" s="205" t="str">
        <f t="shared" si="22"/>
        <v/>
      </c>
      <c r="G108" s="205" t="str">
        <f t="shared" si="22"/>
        <v/>
      </c>
      <c r="H108" s="205" t="str">
        <f t="shared" si="22"/>
        <v/>
      </c>
      <c r="I108" s="205" t="str">
        <f t="shared" si="22"/>
        <v/>
      </c>
      <c r="J108" s="205" t="str">
        <f t="shared" si="22"/>
        <v/>
      </c>
      <c r="K108" s="205" t="str">
        <f t="shared" si="22"/>
        <v/>
      </c>
      <c r="L108" s="205" t="str">
        <f t="shared" si="23"/>
        <v>info</v>
      </c>
      <c r="M108" s="205" t="str">
        <f t="shared" si="23"/>
        <v/>
      </c>
      <c r="N108" s="205" t="str">
        <f t="shared" si="23"/>
        <v/>
      </c>
      <c r="O108" s="205" t="str">
        <f t="shared" si="23"/>
        <v>model</v>
      </c>
      <c r="P108" s="206" t="str">
        <f t="shared" si="23"/>
        <v>Title</v>
      </c>
      <c r="Q108" s="206" t="str">
        <f t="shared" si="23"/>
        <v>x</v>
      </c>
      <c r="R108" s="206" t="str">
        <f t="shared" si="23"/>
        <v>BS</v>
      </c>
      <c r="S108" s="206" t="str">
        <f t="shared" si="23"/>
        <v>all</v>
      </c>
      <c r="T108" s="205" t="str">
        <f t="shared" si="23"/>
        <v/>
      </c>
      <c r="U108" s="205" t="str">
        <f t="shared" si="23"/>
        <v>Seitenfeld</v>
      </c>
      <c r="V108" s="205" t="str">
        <f t="shared" si="23"/>
        <v/>
      </c>
      <c r="W108" s="205" t="str">
        <f t="shared" si="23"/>
        <v/>
      </c>
      <c r="X108" s="205" t="str">
        <f t="shared" si="23"/>
        <v/>
      </c>
      <c r="Y108" s="205" t="str">
        <f t="shared" si="23"/>
        <v>DoorTranso_sp0</v>
      </c>
    </row>
    <row r="109" spans="1:25">
      <c r="A109" s="204">
        <f t="shared" si="15"/>
        <v>107</v>
      </c>
      <c r="B109" s="205" t="str">
        <f t="shared" si="22"/>
        <v/>
      </c>
      <c r="C109" s="205" t="str">
        <f t="shared" si="22"/>
        <v/>
      </c>
      <c r="D109" s="205" t="str">
        <f t="shared" si="22"/>
        <v/>
      </c>
      <c r="E109" s="205" t="str">
        <f t="shared" si="22"/>
        <v/>
      </c>
      <c r="F109" s="205" t="str">
        <f t="shared" si="22"/>
        <v/>
      </c>
      <c r="G109" s="205" t="str">
        <f t="shared" si="22"/>
        <v/>
      </c>
      <c r="H109" s="205" t="str">
        <f t="shared" si="22"/>
        <v/>
      </c>
      <c r="I109" s="205" t="str">
        <f t="shared" si="22"/>
        <v/>
      </c>
      <c r="J109" s="205" t="str">
        <f t="shared" si="22"/>
        <v/>
      </c>
      <c r="K109" s="205" t="str">
        <f t="shared" si="22"/>
        <v/>
      </c>
      <c r="L109" s="205" t="str">
        <f t="shared" si="23"/>
        <v>info</v>
      </c>
      <c r="M109" s="205" t="str">
        <f t="shared" si="23"/>
        <v>x</v>
      </c>
      <c r="N109" s="205" t="str">
        <f t="shared" si="23"/>
        <v/>
      </c>
      <c r="O109" s="205" t="str">
        <f t="shared" si="23"/>
        <v>model</v>
      </c>
      <c r="P109" s="206" t="str">
        <f t="shared" si="23"/>
        <v>Boolean</v>
      </c>
      <c r="Q109" s="206" t="str">
        <f t="shared" si="23"/>
        <v>x</v>
      </c>
      <c r="R109" s="206" t="str">
        <f t="shared" si="23"/>
        <v>BS</v>
      </c>
      <c r="S109" s="206" t="str">
        <f t="shared" si="23"/>
        <v>all</v>
      </c>
      <c r="T109" s="205" t="str">
        <f t="shared" si="23"/>
        <v/>
      </c>
      <c r="U109" s="205" t="str">
        <f t="shared" si="23"/>
        <v>Seitenfeld untersch. Breiten</v>
      </c>
      <c r="V109" s="205" t="str">
        <f t="shared" si="23"/>
        <v>x</v>
      </c>
      <c r="W109" s="205" t="str">
        <f t="shared" si="23"/>
        <v/>
      </c>
      <c r="X109" s="205" t="str">
        <f t="shared" si="23"/>
        <v/>
      </c>
      <c r="Y109" s="205" t="str">
        <f t="shared" si="23"/>
        <v>bDiffSidelightWidth</v>
      </c>
    </row>
    <row r="110" spans="1:25">
      <c r="A110" s="204">
        <f t="shared" si="15"/>
        <v>108</v>
      </c>
      <c r="B110" s="205" t="str">
        <f t="shared" si="22"/>
        <v/>
      </c>
      <c r="C110" s="205" t="str">
        <f t="shared" si="22"/>
        <v/>
      </c>
      <c r="D110" s="205" t="str">
        <f t="shared" si="22"/>
        <v/>
      </c>
      <c r="E110" s="205" t="str">
        <f t="shared" si="22"/>
        <v/>
      </c>
      <c r="F110" s="205" t="str">
        <f t="shared" si="22"/>
        <v/>
      </c>
      <c r="G110" s="205" t="str">
        <f t="shared" si="22"/>
        <v/>
      </c>
      <c r="H110" s="205" t="str">
        <f t="shared" si="22"/>
        <v/>
      </c>
      <c r="I110" s="205" t="str">
        <f t="shared" si="22"/>
        <v/>
      </c>
      <c r="J110" s="205" t="str">
        <f t="shared" si="22"/>
        <v/>
      </c>
      <c r="K110" s="205" t="str">
        <f t="shared" si="22"/>
        <v/>
      </c>
      <c r="L110" s="205" t="str">
        <f t="shared" si="23"/>
        <v>info</v>
      </c>
      <c r="M110" s="205" t="str">
        <f t="shared" si="23"/>
        <v>x</v>
      </c>
      <c r="N110" s="205" t="str">
        <f t="shared" si="23"/>
        <v/>
      </c>
      <c r="O110" s="205" t="str">
        <f t="shared" si="23"/>
        <v>model</v>
      </c>
      <c r="P110" s="206" t="str">
        <f t="shared" si="23"/>
        <v>Length</v>
      </c>
      <c r="Q110" s="206" t="str">
        <f t="shared" si="23"/>
        <v>x</v>
      </c>
      <c r="R110" s="206" t="str">
        <f t="shared" si="23"/>
        <v>BS</v>
      </c>
      <c r="S110" s="206" t="str">
        <f t="shared" si="23"/>
        <v>all</v>
      </c>
      <c r="T110" s="205">
        <f t="shared" si="23"/>
        <v>0.505</v>
      </c>
      <c r="U110" s="205" t="str">
        <f t="shared" si="23"/>
        <v>Seitenfeld 1 Breite</v>
      </c>
      <c r="V110" s="205" t="str">
        <f t="shared" si="23"/>
        <v>x</v>
      </c>
      <c r="W110" s="205" t="str">
        <f t="shared" si="23"/>
        <v/>
      </c>
      <c r="X110" s="205" t="str">
        <f t="shared" si="23"/>
        <v/>
      </c>
      <c r="Y110" s="205" t="str">
        <f t="shared" si="23"/>
        <v>asz</v>
      </c>
    </row>
    <row r="111" spans="1:25">
      <c r="A111" s="204">
        <f t="shared" si="15"/>
        <v>109</v>
      </c>
      <c r="B111" s="205" t="str">
        <f t="shared" si="22"/>
        <v/>
      </c>
      <c r="C111" s="205" t="str">
        <f t="shared" si="22"/>
        <v/>
      </c>
      <c r="D111" s="205" t="str">
        <f t="shared" si="22"/>
        <v/>
      </c>
      <c r="E111" s="205" t="str">
        <f t="shared" si="22"/>
        <v/>
      </c>
      <c r="F111" s="205" t="str">
        <f t="shared" si="22"/>
        <v/>
      </c>
      <c r="G111" s="205" t="str">
        <f t="shared" si="22"/>
        <v/>
      </c>
      <c r="H111" s="205" t="str">
        <f t="shared" si="22"/>
        <v/>
      </c>
      <c r="I111" s="205" t="str">
        <f t="shared" si="22"/>
        <v/>
      </c>
      <c r="J111" s="205" t="str">
        <f t="shared" si="22"/>
        <v/>
      </c>
      <c r="K111" s="205" t="str">
        <f t="shared" si="22"/>
        <v/>
      </c>
      <c r="L111" s="205" t="str">
        <f t="shared" si="23"/>
        <v>info</v>
      </c>
      <c r="M111" s="205" t="str">
        <f t="shared" si="23"/>
        <v>x</v>
      </c>
      <c r="N111" s="205" t="str">
        <f t="shared" si="23"/>
        <v/>
      </c>
      <c r="O111" s="205" t="str">
        <f t="shared" si="23"/>
        <v>model</v>
      </c>
      <c r="P111" s="206" t="str">
        <f t="shared" si="23"/>
        <v>Length</v>
      </c>
      <c r="Q111" s="206" t="str">
        <f t="shared" si="23"/>
        <v>x</v>
      </c>
      <c r="R111" s="206" t="str">
        <f t="shared" si="23"/>
        <v>BS</v>
      </c>
      <c r="S111" s="206" t="str">
        <f t="shared" si="23"/>
        <v>all</v>
      </c>
      <c r="T111" s="205">
        <f t="shared" si="23"/>
        <v>0.5</v>
      </c>
      <c r="U111" s="205" t="str">
        <f t="shared" si="23"/>
        <v>Seitenfeld 2 Breite</v>
      </c>
      <c r="V111" s="205" t="str">
        <f t="shared" si="23"/>
        <v>x</v>
      </c>
      <c r="W111" s="205" t="str">
        <f t="shared" si="23"/>
        <v/>
      </c>
      <c r="X111" s="205" t="str">
        <f t="shared" si="23"/>
        <v/>
      </c>
      <c r="Y111" s="205" t="str">
        <f t="shared" si="23"/>
        <v>sidelightWidthLeft</v>
      </c>
    </row>
    <row r="112" spans="1:25">
      <c r="A112" s="204">
        <f t="shared" si="15"/>
        <v>110</v>
      </c>
      <c r="B112" s="205" t="str">
        <f t="shared" si="22"/>
        <v/>
      </c>
      <c r="C112" s="205" t="str">
        <f t="shared" si="22"/>
        <v/>
      </c>
      <c r="D112" s="205" t="str">
        <f t="shared" si="22"/>
        <v/>
      </c>
      <c r="E112" s="205" t="str">
        <f t="shared" si="22"/>
        <v/>
      </c>
      <c r="F112" s="205" t="str">
        <f t="shared" si="22"/>
        <v/>
      </c>
      <c r="G112" s="205" t="str">
        <f t="shared" si="22"/>
        <v/>
      </c>
      <c r="H112" s="205" t="str">
        <f t="shared" si="22"/>
        <v/>
      </c>
      <c r="I112" s="205" t="str">
        <f t="shared" si="22"/>
        <v/>
      </c>
      <c r="J112" s="205" t="str">
        <f t="shared" si="22"/>
        <v/>
      </c>
      <c r="K112" s="205" t="str">
        <f t="shared" si="22"/>
        <v/>
      </c>
      <c r="L112" s="205" t="str">
        <f t="shared" si="23"/>
        <v>info</v>
      </c>
      <c r="M112" s="205" t="str">
        <f t="shared" si="23"/>
        <v>x</v>
      </c>
      <c r="N112" s="205" t="str">
        <f t="shared" si="23"/>
        <v/>
      </c>
      <c r="O112" s="205" t="str">
        <f t="shared" si="23"/>
        <v>model</v>
      </c>
      <c r="P112" s="206" t="str">
        <f t="shared" si="23"/>
        <v>Boolean</v>
      </c>
      <c r="Q112" s="206" t="str">
        <f t="shared" si="23"/>
        <v>x</v>
      </c>
      <c r="R112" s="206" t="str">
        <f t="shared" si="23"/>
        <v>BS</v>
      </c>
      <c r="S112" s="206" t="str">
        <f t="shared" si="23"/>
        <v>all</v>
      </c>
      <c r="T112" s="205">
        <f t="shared" si="23"/>
        <v>1</v>
      </c>
      <c r="U112" s="205" t="str">
        <f t="shared" si="23"/>
        <v>Automatische Seitenfeldhöhe</v>
      </c>
      <c r="V112" s="205" t="str">
        <f t="shared" si="23"/>
        <v>x</v>
      </c>
      <c r="W112" s="205" t="str">
        <f t="shared" si="23"/>
        <v/>
      </c>
      <c r="X112" s="205" t="str">
        <f t="shared" si="23"/>
        <v/>
      </c>
      <c r="Y112" s="205" t="str">
        <f t="shared" si="23"/>
        <v>bAutoSideLightSize</v>
      </c>
    </row>
    <row r="113" spans="1:25">
      <c r="A113" s="204">
        <f t="shared" si="15"/>
        <v>111</v>
      </c>
      <c r="B113" s="205" t="str">
        <f t="shared" ref="B113:K122" si="24">IF(ISNONTEXT(B$2),IF(B$2="","",IF(INDEX(IMPORT,$A113,B$2)=0,"",IFERROR(VLOOKUP(INDEX(IMPORT,$A113,B$2),ImportTranslation,2,0),INDEX(IMPORT,$A113,B$2)))),B$2)</f>
        <v/>
      </c>
      <c r="C113" s="205" t="str">
        <f t="shared" si="24"/>
        <v/>
      </c>
      <c r="D113" s="205" t="str">
        <f t="shared" si="24"/>
        <v/>
      </c>
      <c r="E113" s="205" t="str">
        <f t="shared" si="24"/>
        <v/>
      </c>
      <c r="F113" s="205" t="str">
        <f t="shared" si="24"/>
        <v/>
      </c>
      <c r="G113" s="205" t="str">
        <f t="shared" si="24"/>
        <v/>
      </c>
      <c r="H113" s="205" t="str">
        <f t="shared" si="24"/>
        <v/>
      </c>
      <c r="I113" s="205" t="str">
        <f t="shared" si="24"/>
        <v/>
      </c>
      <c r="J113" s="205" t="str">
        <f t="shared" si="24"/>
        <v/>
      </c>
      <c r="K113" s="205" t="str">
        <f t="shared" si="24"/>
        <v/>
      </c>
      <c r="L113" s="205" t="str">
        <f t="shared" ref="L113:Y122" si="25">IF(ISNONTEXT(L$2),IF(L$2="","",IF(INDEX(IMPORT,$A113,L$2)=0,"",IFERROR(VLOOKUP(INDEX(IMPORT,$A113,L$2),ImportTranslation,2,0),INDEX(IMPORT,$A113,L$2)))),L$2)</f>
        <v>info</v>
      </c>
      <c r="M113" s="205" t="str">
        <f t="shared" si="25"/>
        <v>x</v>
      </c>
      <c r="N113" s="205" t="str">
        <f t="shared" si="25"/>
        <v/>
      </c>
      <c r="O113" s="205" t="str">
        <f t="shared" si="25"/>
        <v>model</v>
      </c>
      <c r="P113" s="206" t="str">
        <f t="shared" si="25"/>
        <v>Length</v>
      </c>
      <c r="Q113" s="206" t="str">
        <f t="shared" si="25"/>
        <v>x</v>
      </c>
      <c r="R113" s="206" t="str">
        <f t="shared" si="25"/>
        <v>BS</v>
      </c>
      <c r="S113" s="206" t="str">
        <f t="shared" si="25"/>
        <v>all</v>
      </c>
      <c r="T113" s="205">
        <f t="shared" si="25"/>
        <v>0.38500000000000001</v>
      </c>
      <c r="U113" s="205" t="str">
        <f t="shared" si="25"/>
        <v>Verglasung 1 Breite</v>
      </c>
      <c r="V113" s="205" t="str">
        <f t="shared" si="25"/>
        <v>x</v>
      </c>
      <c r="W113" s="205" t="str">
        <f t="shared" si="25"/>
        <v/>
      </c>
      <c r="X113" s="205" t="str">
        <f t="shared" si="25"/>
        <v/>
      </c>
      <c r="Y113" s="205" t="str">
        <f t="shared" si="25"/>
        <v>sx</v>
      </c>
    </row>
    <row r="114" spans="1:25">
      <c r="A114" s="204">
        <f t="shared" si="15"/>
        <v>112</v>
      </c>
      <c r="B114" s="205" t="str">
        <f t="shared" si="24"/>
        <v/>
      </c>
      <c r="C114" s="205" t="str">
        <f t="shared" si="24"/>
        <v/>
      </c>
      <c r="D114" s="205" t="str">
        <f t="shared" si="24"/>
        <v/>
      </c>
      <c r="E114" s="205" t="str">
        <f t="shared" si="24"/>
        <v/>
      </c>
      <c r="F114" s="205" t="str">
        <f t="shared" si="24"/>
        <v/>
      </c>
      <c r="G114" s="205" t="str">
        <f t="shared" si="24"/>
        <v/>
      </c>
      <c r="H114" s="205" t="str">
        <f t="shared" si="24"/>
        <v/>
      </c>
      <c r="I114" s="205" t="str">
        <f t="shared" si="24"/>
        <v/>
      </c>
      <c r="J114" s="205" t="str">
        <f t="shared" si="24"/>
        <v/>
      </c>
      <c r="K114" s="205" t="str">
        <f t="shared" si="24"/>
        <v/>
      </c>
      <c r="L114" s="205" t="str">
        <f t="shared" si="25"/>
        <v>info</v>
      </c>
      <c r="M114" s="205" t="str">
        <f t="shared" si="25"/>
        <v>x</v>
      </c>
      <c r="N114" s="205" t="str">
        <f t="shared" si="25"/>
        <v/>
      </c>
      <c r="O114" s="205" t="str">
        <f t="shared" si="25"/>
        <v>model</v>
      </c>
      <c r="P114" s="206" t="str">
        <f t="shared" si="25"/>
        <v>Length</v>
      </c>
      <c r="Q114" s="206" t="str">
        <f t="shared" si="25"/>
        <v>x</v>
      </c>
      <c r="R114" s="206" t="str">
        <f t="shared" si="25"/>
        <v>BS</v>
      </c>
      <c r="S114" s="206" t="str">
        <f t="shared" si="25"/>
        <v>all</v>
      </c>
      <c r="T114" s="205">
        <f t="shared" si="25"/>
        <v>0.39</v>
      </c>
      <c r="U114" s="205" t="str">
        <f t="shared" si="25"/>
        <v>Verglasung 2 Breite</v>
      </c>
      <c r="V114" s="205" t="str">
        <f t="shared" si="25"/>
        <v>x</v>
      </c>
      <c r="W114" s="205" t="str">
        <f t="shared" si="25"/>
        <v/>
      </c>
      <c r="X114" s="205" t="str">
        <f t="shared" si="25"/>
        <v/>
      </c>
      <c r="Y114" s="205" t="str">
        <f t="shared" si="25"/>
        <v>glazingWidthRight</v>
      </c>
    </row>
    <row r="115" spans="1:25">
      <c r="A115" s="204">
        <f t="shared" si="15"/>
        <v>113</v>
      </c>
      <c r="B115" s="205" t="str">
        <f t="shared" si="24"/>
        <v/>
      </c>
      <c r="C115" s="205" t="str">
        <f t="shared" si="24"/>
        <v/>
      </c>
      <c r="D115" s="205" t="str">
        <f t="shared" si="24"/>
        <v/>
      </c>
      <c r="E115" s="205" t="str">
        <f t="shared" si="24"/>
        <v/>
      </c>
      <c r="F115" s="205" t="str">
        <f t="shared" si="24"/>
        <v/>
      </c>
      <c r="G115" s="205" t="str">
        <f t="shared" si="24"/>
        <v/>
      </c>
      <c r="H115" s="205" t="str">
        <f t="shared" si="24"/>
        <v/>
      </c>
      <c r="I115" s="205" t="str">
        <f t="shared" si="24"/>
        <v/>
      </c>
      <c r="J115" s="205" t="str">
        <f t="shared" si="24"/>
        <v/>
      </c>
      <c r="K115" s="205" t="str">
        <f t="shared" si="24"/>
        <v/>
      </c>
      <c r="L115" s="205" t="str">
        <f t="shared" si="25"/>
        <v>info</v>
      </c>
      <c r="M115" s="205" t="str">
        <f t="shared" si="25"/>
        <v>x</v>
      </c>
      <c r="N115" s="205" t="str">
        <f t="shared" si="25"/>
        <v/>
      </c>
      <c r="O115" s="205" t="str">
        <f t="shared" si="25"/>
        <v>model</v>
      </c>
      <c r="P115" s="206" t="str">
        <f t="shared" si="25"/>
        <v>Length</v>
      </c>
      <c r="Q115" s="206" t="str">
        <f t="shared" si="25"/>
        <v>x</v>
      </c>
      <c r="R115" s="206" t="str">
        <f t="shared" si="25"/>
        <v>BS</v>
      </c>
      <c r="S115" s="206" t="str">
        <f t="shared" si="25"/>
        <v>all</v>
      </c>
      <c r="T115" s="205">
        <f t="shared" si="25"/>
        <v>1.91</v>
      </c>
      <c r="U115" s="205" t="str">
        <f t="shared" si="25"/>
        <v>Verglasung Höhe</v>
      </c>
      <c r="V115" s="205" t="str">
        <f t="shared" si="25"/>
        <v>x</v>
      </c>
      <c r="W115" s="205" t="str">
        <f t="shared" si="25"/>
        <v/>
      </c>
      <c r="X115" s="205" t="str">
        <f t="shared" si="25"/>
        <v/>
      </c>
      <c r="Y115" s="205" t="str">
        <f t="shared" si="25"/>
        <v>glazingHeight</v>
      </c>
    </row>
    <row r="116" spans="1:25">
      <c r="A116" s="204">
        <f t="shared" si="15"/>
        <v>114</v>
      </c>
      <c r="B116" s="205" t="str">
        <f t="shared" si="24"/>
        <v>x</v>
      </c>
      <c r="C116" s="205" t="str">
        <f t="shared" si="24"/>
        <v/>
      </c>
      <c r="D116" s="205" t="str">
        <f t="shared" si="24"/>
        <v/>
      </c>
      <c r="E116" s="205" t="str">
        <f t="shared" si="24"/>
        <v/>
      </c>
      <c r="F116" s="205" t="str">
        <f t="shared" si="24"/>
        <v/>
      </c>
      <c r="G116" s="205" t="str">
        <f t="shared" si="24"/>
        <v/>
      </c>
      <c r="H116" s="205" t="str">
        <f t="shared" si="24"/>
        <v/>
      </c>
      <c r="I116" s="205" t="str">
        <f t="shared" si="24"/>
        <v/>
      </c>
      <c r="J116" s="205" t="str">
        <f t="shared" si="24"/>
        <v/>
      </c>
      <c r="K116" s="205" t="str">
        <f t="shared" si="24"/>
        <v/>
      </c>
      <c r="L116" s="205" t="str">
        <f t="shared" si="25"/>
        <v>info</v>
      </c>
      <c r="M116" s="205" t="str">
        <f t="shared" si="25"/>
        <v/>
      </c>
      <c r="N116" s="205" t="str">
        <f t="shared" si="25"/>
        <v/>
      </c>
      <c r="O116" s="205" t="str">
        <f t="shared" si="25"/>
        <v>model</v>
      </c>
      <c r="P116" s="206" t="str">
        <f t="shared" si="25"/>
        <v>Title</v>
      </c>
      <c r="Q116" s="206" t="str">
        <f t="shared" si="25"/>
        <v>x</v>
      </c>
      <c r="R116" s="206" t="str">
        <f t="shared" si="25"/>
        <v>BS</v>
      </c>
      <c r="S116" s="206" t="str">
        <f t="shared" si="25"/>
        <v>all</v>
      </c>
      <c r="T116" s="205" t="str">
        <f t="shared" si="25"/>
        <v/>
      </c>
      <c r="U116" s="205" t="str">
        <f t="shared" si="25"/>
        <v>Türrahmen</v>
      </c>
      <c r="V116" s="205" t="str">
        <f t="shared" si="25"/>
        <v/>
      </c>
      <c r="W116" s="205" t="str">
        <f t="shared" si="25"/>
        <v/>
      </c>
      <c r="X116" s="205" t="str">
        <f t="shared" si="25"/>
        <v/>
      </c>
      <c r="Y116" s="205" t="str">
        <f t="shared" si="25"/>
        <v>gs_door_frame</v>
      </c>
    </row>
    <row r="117" spans="1:25">
      <c r="A117" s="204">
        <f t="shared" si="15"/>
        <v>115</v>
      </c>
      <c r="B117" s="205" t="str">
        <f t="shared" si="24"/>
        <v>x</v>
      </c>
      <c r="C117" s="205" t="str">
        <f t="shared" si="24"/>
        <v/>
      </c>
      <c r="D117" s="205" t="str">
        <f t="shared" si="24"/>
        <v/>
      </c>
      <c r="E117" s="205" t="str">
        <f t="shared" si="24"/>
        <v/>
      </c>
      <c r="F117" s="205" t="str">
        <f t="shared" si="24"/>
        <v/>
      </c>
      <c r="G117" s="205" t="str">
        <f t="shared" si="24"/>
        <v/>
      </c>
      <c r="H117" s="205" t="str">
        <f t="shared" si="24"/>
        <v/>
      </c>
      <c r="I117" s="205" t="str">
        <f t="shared" si="24"/>
        <v/>
      </c>
      <c r="J117" s="205" t="str">
        <f t="shared" si="24"/>
        <v/>
      </c>
      <c r="K117" s="205" t="str">
        <f t="shared" si="24"/>
        <v/>
      </c>
      <c r="L117" s="205" t="str">
        <f t="shared" si="25"/>
        <v>info</v>
      </c>
      <c r="M117" s="205" t="str">
        <f t="shared" si="25"/>
        <v>x</v>
      </c>
      <c r="N117" s="205" t="str">
        <f t="shared" si="25"/>
        <v/>
      </c>
      <c r="O117" s="205" t="str">
        <f t="shared" si="25"/>
        <v>model</v>
      </c>
      <c r="P117" s="206" t="str">
        <f t="shared" si="25"/>
        <v>String</v>
      </c>
      <c r="Q117" s="206" t="str">
        <f t="shared" si="25"/>
        <v>x</v>
      </c>
      <c r="R117" s="206" t="str">
        <f t="shared" si="25"/>
        <v>BS</v>
      </c>
      <c r="S117" s="206" t="str">
        <f t="shared" si="25"/>
        <v>all</v>
      </c>
      <c r="T117" s="205" t="str">
        <f t="shared" si="25"/>
        <v>Standard</v>
      </c>
      <c r="U117" s="205" t="str">
        <f t="shared" si="25"/>
        <v>Rahmentyp</v>
      </c>
      <c r="V117" s="205" t="str">
        <f t="shared" si="25"/>
        <v>x</v>
      </c>
      <c r="W117" s="205" t="str">
        <f t="shared" si="25"/>
        <v/>
      </c>
      <c r="X117" s="205" t="str">
        <f t="shared" si="25"/>
        <v/>
      </c>
      <c r="Y117" s="205" t="str">
        <f t="shared" si="25"/>
        <v>gs_frame_type</v>
      </c>
    </row>
    <row r="118" spans="1:25">
      <c r="A118" s="204">
        <f t="shared" si="15"/>
        <v>116</v>
      </c>
      <c r="B118" s="205" t="str">
        <f t="shared" si="24"/>
        <v>x</v>
      </c>
      <c r="C118" s="205" t="str">
        <f t="shared" si="24"/>
        <v>x</v>
      </c>
      <c r="D118" s="205" t="str">
        <f t="shared" si="24"/>
        <v/>
      </c>
      <c r="E118" s="205" t="str">
        <f t="shared" si="24"/>
        <v/>
      </c>
      <c r="F118" s="205" t="str">
        <f t="shared" si="24"/>
        <v/>
      </c>
      <c r="G118" s="205" t="str">
        <f t="shared" si="24"/>
        <v/>
      </c>
      <c r="H118" s="205" t="str">
        <f t="shared" si="24"/>
        <v/>
      </c>
      <c r="I118" s="205" t="str">
        <f t="shared" si="24"/>
        <v/>
      </c>
      <c r="J118" s="205" t="str">
        <f t="shared" si="24"/>
        <v/>
      </c>
      <c r="K118" s="205" t="str">
        <f t="shared" si="24"/>
        <v/>
      </c>
      <c r="L118" s="205" t="str">
        <f t="shared" si="25"/>
        <v>info</v>
      </c>
      <c r="M118" s="205" t="str">
        <f t="shared" si="25"/>
        <v>x</v>
      </c>
      <c r="N118" s="205" t="str">
        <f t="shared" si="25"/>
        <v/>
      </c>
      <c r="O118" s="205" t="str">
        <f t="shared" si="25"/>
        <v>model</v>
      </c>
      <c r="P118" s="206" t="str">
        <f t="shared" si="25"/>
        <v>Integer</v>
      </c>
      <c r="Q118" s="206" t="str">
        <f t="shared" si="25"/>
        <v>x</v>
      </c>
      <c r="R118" s="206" t="str">
        <f t="shared" si="25"/>
        <v>BS</v>
      </c>
      <c r="S118" s="206" t="str">
        <f t="shared" si="25"/>
        <v>all</v>
      </c>
      <c r="T118" s="205">
        <f t="shared" si="25"/>
        <v>1</v>
      </c>
      <c r="U118" s="205" t="str">
        <f t="shared" si="25"/>
        <v>Rahmentyp</v>
      </c>
      <c r="V118" s="205" t="str">
        <f t="shared" si="25"/>
        <v>x</v>
      </c>
      <c r="W118" s="205" t="str">
        <f t="shared" si="25"/>
        <v/>
      </c>
      <c r="X118" s="205" t="str">
        <f t="shared" si="25"/>
        <v/>
      </c>
      <c r="Y118" s="205" t="str">
        <f t="shared" si="25"/>
        <v>iFrameType</v>
      </c>
    </row>
    <row r="119" spans="1:25">
      <c r="A119" s="204">
        <f t="shared" si="15"/>
        <v>117</v>
      </c>
      <c r="B119" s="205" t="str">
        <f t="shared" si="24"/>
        <v/>
      </c>
      <c r="C119" s="205" t="str">
        <f t="shared" si="24"/>
        <v/>
      </c>
      <c r="D119" s="205" t="str">
        <f t="shared" si="24"/>
        <v/>
      </c>
      <c r="E119" s="205" t="str">
        <f t="shared" si="24"/>
        <v/>
      </c>
      <c r="F119" s="205" t="str">
        <f t="shared" si="24"/>
        <v/>
      </c>
      <c r="G119" s="205" t="str">
        <f t="shared" si="24"/>
        <v/>
      </c>
      <c r="H119" s="205" t="str">
        <f t="shared" si="24"/>
        <v/>
      </c>
      <c r="I119" s="205" t="str">
        <f t="shared" si="24"/>
        <v/>
      </c>
      <c r="J119" s="205" t="str">
        <f t="shared" si="24"/>
        <v/>
      </c>
      <c r="K119" s="205" t="str">
        <f t="shared" si="24"/>
        <v/>
      </c>
      <c r="L119" s="205" t="str">
        <f t="shared" si="25"/>
        <v>info</v>
      </c>
      <c r="M119" s="205" t="str">
        <f t="shared" si="25"/>
        <v>x</v>
      </c>
      <c r="N119" s="205" t="str">
        <f t="shared" si="25"/>
        <v/>
      </c>
      <c r="O119" s="205" t="str">
        <f t="shared" si="25"/>
        <v>model</v>
      </c>
      <c r="P119" s="206" t="str">
        <f t="shared" si="25"/>
        <v>Boolean</v>
      </c>
      <c r="Q119" s="206" t="str">
        <f t="shared" si="25"/>
        <v>x</v>
      </c>
      <c r="R119" s="206" t="str">
        <f t="shared" si="25"/>
        <v>BS</v>
      </c>
      <c r="S119" s="206" t="str">
        <f t="shared" si="25"/>
        <v>all</v>
      </c>
      <c r="T119" s="205" t="str">
        <f t="shared" si="25"/>
        <v/>
      </c>
      <c r="U119" s="205" t="str">
        <f t="shared" si="25"/>
        <v>Unterschiedliche Breiten</v>
      </c>
      <c r="V119" s="205" t="str">
        <f t="shared" si="25"/>
        <v>x</v>
      </c>
      <c r="W119" s="205" t="str">
        <f t="shared" si="25"/>
        <v/>
      </c>
      <c r="X119" s="205" t="str">
        <f t="shared" si="25"/>
        <v/>
      </c>
      <c r="Y119" s="205" t="str">
        <f t="shared" si="25"/>
        <v>gs_different_framewidth</v>
      </c>
    </row>
    <row r="120" spans="1:25">
      <c r="A120" s="204">
        <f t="shared" si="15"/>
        <v>118</v>
      </c>
      <c r="B120" s="205" t="str">
        <f t="shared" si="24"/>
        <v>x</v>
      </c>
      <c r="C120" s="205" t="str">
        <f t="shared" si="24"/>
        <v/>
      </c>
      <c r="D120" s="205" t="str">
        <f t="shared" si="24"/>
        <v/>
      </c>
      <c r="E120" s="205" t="str">
        <f t="shared" si="24"/>
        <v/>
      </c>
      <c r="F120" s="205" t="str">
        <f t="shared" si="24"/>
        <v/>
      </c>
      <c r="G120" s="205" t="str">
        <f t="shared" si="24"/>
        <v/>
      </c>
      <c r="H120" s="205" t="str">
        <f t="shared" si="24"/>
        <v/>
      </c>
      <c r="I120" s="205" t="str">
        <f t="shared" si="24"/>
        <v/>
      </c>
      <c r="J120" s="205" t="str">
        <f t="shared" si="24"/>
        <v/>
      </c>
      <c r="K120" s="205" t="str">
        <f t="shared" si="24"/>
        <v/>
      </c>
      <c r="L120" s="205" t="str">
        <f t="shared" si="25"/>
        <v>info</v>
      </c>
      <c r="M120" s="205" t="str">
        <f t="shared" si="25"/>
        <v>x</v>
      </c>
      <c r="N120" s="205" t="str">
        <f t="shared" si="25"/>
        <v/>
      </c>
      <c r="O120" s="205" t="str">
        <f t="shared" si="25"/>
        <v>model</v>
      </c>
      <c r="P120" s="206" t="str">
        <f t="shared" si="25"/>
        <v>Length</v>
      </c>
      <c r="Q120" s="206" t="str">
        <f t="shared" si="25"/>
        <v>x</v>
      </c>
      <c r="R120" s="206" t="str">
        <f t="shared" si="25"/>
        <v>BS</v>
      </c>
      <c r="S120" s="206" t="str">
        <f t="shared" si="25"/>
        <v>all</v>
      </c>
      <c r="T120" s="205">
        <f t="shared" si="25"/>
        <v>0.1</v>
      </c>
      <c r="U120" s="205" t="str">
        <f t="shared" si="25"/>
        <v>Rahmen-Breite</v>
      </c>
      <c r="V120" s="205" t="str">
        <f t="shared" si="25"/>
        <v>x</v>
      </c>
      <c r="W120" s="205" t="str">
        <f t="shared" si="25"/>
        <v/>
      </c>
      <c r="X120" s="205" t="str">
        <f t="shared" si="25"/>
        <v/>
      </c>
      <c r="Y120" s="205" t="str">
        <f t="shared" si="25"/>
        <v>gs_frame_width</v>
      </c>
    </row>
    <row r="121" spans="1:25">
      <c r="A121" s="204">
        <f t="shared" si="15"/>
        <v>119</v>
      </c>
      <c r="B121" s="205" t="str">
        <f t="shared" si="24"/>
        <v/>
      </c>
      <c r="C121" s="205" t="str">
        <f t="shared" si="24"/>
        <v/>
      </c>
      <c r="D121" s="205" t="str">
        <f t="shared" si="24"/>
        <v/>
      </c>
      <c r="E121" s="205" t="str">
        <f t="shared" si="24"/>
        <v/>
      </c>
      <c r="F121" s="205" t="str">
        <f t="shared" si="24"/>
        <v/>
      </c>
      <c r="G121" s="205" t="str">
        <f t="shared" si="24"/>
        <v/>
      </c>
      <c r="H121" s="205" t="str">
        <f t="shared" si="24"/>
        <v/>
      </c>
      <c r="I121" s="205" t="str">
        <f t="shared" si="24"/>
        <v/>
      </c>
      <c r="J121" s="205" t="str">
        <f t="shared" si="24"/>
        <v/>
      </c>
      <c r="K121" s="205" t="str">
        <f t="shared" si="24"/>
        <v/>
      </c>
      <c r="L121" s="205" t="str">
        <f t="shared" si="25"/>
        <v>info</v>
      </c>
      <c r="M121" s="205" t="str">
        <f t="shared" si="25"/>
        <v>x</v>
      </c>
      <c r="N121" s="205" t="str">
        <f t="shared" si="25"/>
        <v/>
      </c>
      <c r="O121" s="205" t="str">
        <f t="shared" si="25"/>
        <v>model</v>
      </c>
      <c r="P121" s="206" t="str">
        <f t="shared" si="25"/>
        <v>Length</v>
      </c>
      <c r="Q121" s="206" t="str">
        <f t="shared" si="25"/>
        <v>x</v>
      </c>
      <c r="R121" s="206" t="str">
        <f t="shared" si="25"/>
        <v>BS</v>
      </c>
      <c r="S121" s="206" t="str">
        <f t="shared" si="25"/>
        <v>all</v>
      </c>
      <c r="T121" s="205">
        <f t="shared" si="25"/>
        <v>0.1</v>
      </c>
      <c r="U121" s="205" t="str">
        <f t="shared" si="25"/>
        <v>Rahmenbreite Seite 1</v>
      </c>
      <c r="V121" s="205" t="str">
        <f t="shared" si="25"/>
        <v>x</v>
      </c>
      <c r="W121" s="205" t="str">
        <f t="shared" si="25"/>
        <v/>
      </c>
      <c r="X121" s="205" t="str">
        <f t="shared" si="25"/>
        <v/>
      </c>
      <c r="Y121" s="205" t="str">
        <f t="shared" si="25"/>
        <v>gs_frame_width_right</v>
      </c>
    </row>
    <row r="122" spans="1:25">
      <c r="A122" s="204">
        <f t="shared" si="15"/>
        <v>120</v>
      </c>
      <c r="B122" s="205" t="str">
        <f t="shared" si="24"/>
        <v/>
      </c>
      <c r="C122" s="205" t="str">
        <f t="shared" si="24"/>
        <v/>
      </c>
      <c r="D122" s="205" t="str">
        <f t="shared" si="24"/>
        <v/>
      </c>
      <c r="E122" s="205" t="str">
        <f t="shared" si="24"/>
        <v/>
      </c>
      <c r="F122" s="205" t="str">
        <f t="shared" si="24"/>
        <v/>
      </c>
      <c r="G122" s="205" t="str">
        <f t="shared" si="24"/>
        <v/>
      </c>
      <c r="H122" s="205" t="str">
        <f t="shared" si="24"/>
        <v/>
      </c>
      <c r="I122" s="205" t="str">
        <f t="shared" si="24"/>
        <v/>
      </c>
      <c r="J122" s="205" t="str">
        <f t="shared" si="24"/>
        <v/>
      </c>
      <c r="K122" s="205" t="str">
        <f t="shared" si="24"/>
        <v/>
      </c>
      <c r="L122" s="205" t="str">
        <f t="shared" si="25"/>
        <v>info</v>
      </c>
      <c r="M122" s="205" t="str">
        <f t="shared" si="25"/>
        <v>x</v>
      </c>
      <c r="N122" s="205" t="str">
        <f t="shared" si="25"/>
        <v/>
      </c>
      <c r="O122" s="205" t="str">
        <f t="shared" si="25"/>
        <v>model</v>
      </c>
      <c r="P122" s="206" t="str">
        <f t="shared" si="25"/>
        <v>Length</v>
      </c>
      <c r="Q122" s="206" t="str">
        <f t="shared" si="25"/>
        <v>x</v>
      </c>
      <c r="R122" s="206" t="str">
        <f t="shared" si="25"/>
        <v>BS</v>
      </c>
      <c r="S122" s="206" t="str">
        <f t="shared" si="25"/>
        <v>all</v>
      </c>
      <c r="T122" s="205">
        <f t="shared" si="25"/>
        <v>0.1</v>
      </c>
      <c r="U122" s="205" t="str">
        <f t="shared" si="25"/>
        <v>Rahmenbreite Seite 2</v>
      </c>
      <c r="V122" s="205" t="str">
        <f t="shared" si="25"/>
        <v>x</v>
      </c>
      <c r="W122" s="205" t="str">
        <f t="shared" si="25"/>
        <v/>
      </c>
      <c r="X122" s="205" t="str">
        <f t="shared" si="25"/>
        <v/>
      </c>
      <c r="Y122" s="205" t="str">
        <f t="shared" si="25"/>
        <v>gs_frame_width_left</v>
      </c>
    </row>
    <row r="123" spans="1:25">
      <c r="A123" s="204">
        <f t="shared" si="15"/>
        <v>121</v>
      </c>
      <c r="B123" s="205" t="str">
        <f t="shared" ref="B123:K132" si="26">IF(ISNONTEXT(B$2),IF(B$2="","",IF(INDEX(IMPORT,$A123,B$2)=0,"",IFERROR(VLOOKUP(INDEX(IMPORT,$A123,B$2),ImportTranslation,2,0),INDEX(IMPORT,$A123,B$2)))),B$2)</f>
        <v/>
      </c>
      <c r="C123" s="205" t="str">
        <f t="shared" si="26"/>
        <v/>
      </c>
      <c r="D123" s="205" t="str">
        <f t="shared" si="26"/>
        <v/>
      </c>
      <c r="E123" s="205" t="str">
        <f t="shared" si="26"/>
        <v/>
      </c>
      <c r="F123" s="205" t="str">
        <f t="shared" si="26"/>
        <v/>
      </c>
      <c r="G123" s="205" t="str">
        <f t="shared" si="26"/>
        <v/>
      </c>
      <c r="H123" s="205" t="str">
        <f t="shared" si="26"/>
        <v/>
      </c>
      <c r="I123" s="205" t="str">
        <f t="shared" si="26"/>
        <v/>
      </c>
      <c r="J123" s="205" t="str">
        <f t="shared" si="26"/>
        <v/>
      </c>
      <c r="K123" s="205" t="str">
        <f t="shared" si="26"/>
        <v/>
      </c>
      <c r="L123" s="205" t="str">
        <f t="shared" ref="L123:Y132" si="27">IF(ISNONTEXT(L$2),IF(L$2="","",IF(INDEX(IMPORT,$A123,L$2)=0,"",IFERROR(VLOOKUP(INDEX(IMPORT,$A123,L$2),ImportTranslation,2,0),INDEX(IMPORT,$A123,L$2)))),L$2)</f>
        <v>info</v>
      </c>
      <c r="M123" s="205" t="str">
        <f t="shared" si="27"/>
        <v>x</v>
      </c>
      <c r="N123" s="205" t="str">
        <f t="shared" si="27"/>
        <v/>
      </c>
      <c r="O123" s="205" t="str">
        <f t="shared" si="27"/>
        <v>model</v>
      </c>
      <c r="P123" s="206" t="str">
        <f t="shared" si="27"/>
        <v>Length</v>
      </c>
      <c r="Q123" s="206" t="str">
        <f t="shared" si="27"/>
        <v>x</v>
      </c>
      <c r="R123" s="206" t="str">
        <f t="shared" si="27"/>
        <v>BS</v>
      </c>
      <c r="S123" s="206" t="str">
        <f t="shared" si="27"/>
        <v>all</v>
      </c>
      <c r="T123" s="205">
        <f t="shared" si="27"/>
        <v>0.1</v>
      </c>
      <c r="U123" s="205" t="str">
        <f t="shared" si="27"/>
        <v>Mittlerer Rahmen Seite 1</v>
      </c>
      <c r="V123" s="205" t="str">
        <f t="shared" si="27"/>
        <v>x</v>
      </c>
      <c r="W123" s="205" t="str">
        <f t="shared" si="27"/>
        <v/>
      </c>
      <c r="X123" s="205" t="str">
        <f t="shared" si="27"/>
        <v/>
      </c>
      <c r="Y123" s="205" t="str">
        <f t="shared" si="27"/>
        <v>gs_frame_width_right_2</v>
      </c>
    </row>
    <row r="124" spans="1:25">
      <c r="A124" s="204">
        <f t="shared" si="15"/>
        <v>122</v>
      </c>
      <c r="B124" s="205" t="str">
        <f t="shared" si="26"/>
        <v/>
      </c>
      <c r="C124" s="205" t="str">
        <f t="shared" si="26"/>
        <v/>
      </c>
      <c r="D124" s="205" t="str">
        <f t="shared" si="26"/>
        <v/>
      </c>
      <c r="E124" s="205" t="str">
        <f t="shared" si="26"/>
        <v/>
      </c>
      <c r="F124" s="205" t="str">
        <f t="shared" si="26"/>
        <v/>
      </c>
      <c r="G124" s="205" t="str">
        <f t="shared" si="26"/>
        <v/>
      </c>
      <c r="H124" s="205" t="str">
        <f t="shared" si="26"/>
        <v/>
      </c>
      <c r="I124" s="205" t="str">
        <f t="shared" si="26"/>
        <v/>
      </c>
      <c r="J124" s="205" t="str">
        <f t="shared" si="26"/>
        <v/>
      </c>
      <c r="K124" s="205" t="str">
        <f t="shared" si="26"/>
        <v/>
      </c>
      <c r="L124" s="205" t="str">
        <f t="shared" si="27"/>
        <v>info</v>
      </c>
      <c r="M124" s="205" t="str">
        <f t="shared" si="27"/>
        <v>x</v>
      </c>
      <c r="N124" s="205" t="str">
        <f t="shared" si="27"/>
        <v/>
      </c>
      <c r="O124" s="205" t="str">
        <f t="shared" si="27"/>
        <v>model</v>
      </c>
      <c r="P124" s="206" t="str">
        <f t="shared" si="27"/>
        <v>Length</v>
      </c>
      <c r="Q124" s="206" t="str">
        <f t="shared" si="27"/>
        <v>x</v>
      </c>
      <c r="R124" s="206" t="str">
        <f t="shared" si="27"/>
        <v>BS</v>
      </c>
      <c r="S124" s="206" t="str">
        <f t="shared" si="27"/>
        <v>all</v>
      </c>
      <c r="T124" s="205">
        <f t="shared" si="27"/>
        <v>0.1</v>
      </c>
      <c r="U124" s="205" t="str">
        <f t="shared" si="27"/>
        <v>Mittlerer Rahmen Seite 2</v>
      </c>
      <c r="V124" s="205" t="str">
        <f t="shared" si="27"/>
        <v>x</v>
      </c>
      <c r="W124" s="205" t="str">
        <f t="shared" si="27"/>
        <v/>
      </c>
      <c r="X124" s="205" t="str">
        <f t="shared" si="27"/>
        <v/>
      </c>
      <c r="Y124" s="205" t="str">
        <f t="shared" si="27"/>
        <v>gs_frame_width_left_2</v>
      </c>
    </row>
    <row r="125" spans="1:25">
      <c r="A125" s="204">
        <f t="shared" si="15"/>
        <v>123</v>
      </c>
      <c r="B125" s="205" t="str">
        <f t="shared" si="26"/>
        <v/>
      </c>
      <c r="C125" s="205" t="str">
        <f t="shared" si="26"/>
        <v/>
      </c>
      <c r="D125" s="205" t="str">
        <f t="shared" si="26"/>
        <v/>
      </c>
      <c r="E125" s="205" t="str">
        <f t="shared" si="26"/>
        <v/>
      </c>
      <c r="F125" s="205" t="str">
        <f t="shared" si="26"/>
        <v/>
      </c>
      <c r="G125" s="205" t="str">
        <f t="shared" si="26"/>
        <v/>
      </c>
      <c r="H125" s="205" t="str">
        <f t="shared" si="26"/>
        <v/>
      </c>
      <c r="I125" s="205" t="str">
        <f t="shared" si="26"/>
        <v/>
      </c>
      <c r="J125" s="205" t="str">
        <f t="shared" si="26"/>
        <v/>
      </c>
      <c r="K125" s="205" t="str">
        <f t="shared" si="26"/>
        <v/>
      </c>
      <c r="L125" s="205" t="str">
        <f t="shared" si="27"/>
        <v>info</v>
      </c>
      <c r="M125" s="205" t="str">
        <f t="shared" si="27"/>
        <v>x</v>
      </c>
      <c r="N125" s="205" t="str">
        <f t="shared" si="27"/>
        <v/>
      </c>
      <c r="O125" s="205" t="str">
        <f t="shared" si="27"/>
        <v>model</v>
      </c>
      <c r="P125" s="206" t="str">
        <f t="shared" si="27"/>
        <v>Length</v>
      </c>
      <c r="Q125" s="206" t="str">
        <f t="shared" si="27"/>
        <v>x</v>
      </c>
      <c r="R125" s="206" t="str">
        <f t="shared" si="27"/>
        <v>BS</v>
      </c>
      <c r="S125" s="206" t="str">
        <f t="shared" si="27"/>
        <v>all</v>
      </c>
      <c r="T125" s="205">
        <f t="shared" si="27"/>
        <v>0.1</v>
      </c>
      <c r="U125" s="205" t="str">
        <f t="shared" si="27"/>
        <v>Oberer Rahmen Breite</v>
      </c>
      <c r="V125" s="205" t="str">
        <f t="shared" si="27"/>
        <v>x</v>
      </c>
      <c r="W125" s="205" t="str">
        <f t="shared" si="27"/>
        <v/>
      </c>
      <c r="X125" s="205" t="str">
        <f t="shared" si="27"/>
        <v/>
      </c>
      <c r="Y125" s="205" t="str">
        <f t="shared" si="27"/>
        <v>gs_frame_width_upper</v>
      </c>
    </row>
    <row r="126" spans="1:25">
      <c r="A126" s="204">
        <f t="shared" si="15"/>
        <v>124</v>
      </c>
      <c r="B126" s="205" t="str">
        <f t="shared" si="26"/>
        <v/>
      </c>
      <c r="C126" s="205" t="str">
        <f t="shared" si="26"/>
        <v/>
      </c>
      <c r="D126" s="205" t="str">
        <f t="shared" si="26"/>
        <v/>
      </c>
      <c r="E126" s="205" t="str">
        <f t="shared" si="26"/>
        <v/>
      </c>
      <c r="F126" s="205" t="str">
        <f t="shared" si="26"/>
        <v/>
      </c>
      <c r="G126" s="205" t="str">
        <f t="shared" si="26"/>
        <v/>
      </c>
      <c r="H126" s="205" t="str">
        <f t="shared" si="26"/>
        <v/>
      </c>
      <c r="I126" s="205" t="str">
        <f t="shared" si="26"/>
        <v/>
      </c>
      <c r="J126" s="205" t="str">
        <f t="shared" si="26"/>
        <v/>
      </c>
      <c r="K126" s="205" t="str">
        <f t="shared" si="26"/>
        <v/>
      </c>
      <c r="L126" s="205" t="str">
        <f t="shared" si="27"/>
        <v>info</v>
      </c>
      <c r="M126" s="205" t="str">
        <f t="shared" si="27"/>
        <v>x</v>
      </c>
      <c r="N126" s="205" t="str">
        <f t="shared" si="27"/>
        <v/>
      </c>
      <c r="O126" s="205" t="str">
        <f t="shared" si="27"/>
        <v>model</v>
      </c>
      <c r="P126" s="206" t="str">
        <f t="shared" si="27"/>
        <v>Length</v>
      </c>
      <c r="Q126" s="206" t="str">
        <f t="shared" si="27"/>
        <v>x</v>
      </c>
      <c r="R126" s="206" t="str">
        <f t="shared" si="27"/>
        <v>BS</v>
      </c>
      <c r="S126" s="206" t="str">
        <f t="shared" si="27"/>
        <v>all</v>
      </c>
      <c r="T126" s="205">
        <f t="shared" si="27"/>
        <v>0.1</v>
      </c>
      <c r="U126" s="205" t="str">
        <f t="shared" si="27"/>
        <v>Querbalken Rahmen Breite</v>
      </c>
      <c r="V126" s="205" t="str">
        <f t="shared" si="27"/>
        <v>x</v>
      </c>
      <c r="W126" s="205" t="str">
        <f t="shared" si="27"/>
        <v/>
      </c>
      <c r="X126" s="205" t="str">
        <f t="shared" si="27"/>
        <v/>
      </c>
      <c r="Y126" s="205" t="str">
        <f t="shared" si="27"/>
        <v>gs_frame_width_transom</v>
      </c>
    </row>
    <row r="127" spans="1:25">
      <c r="A127" s="204">
        <f t="shared" si="15"/>
        <v>125</v>
      </c>
      <c r="B127" s="205" t="str">
        <f t="shared" si="26"/>
        <v/>
      </c>
      <c r="C127" s="205" t="str">
        <f t="shared" si="26"/>
        <v/>
      </c>
      <c r="D127" s="205" t="str">
        <f t="shared" si="26"/>
        <v/>
      </c>
      <c r="E127" s="205" t="str">
        <f t="shared" si="26"/>
        <v/>
      </c>
      <c r="F127" s="205" t="str">
        <f t="shared" si="26"/>
        <v/>
      </c>
      <c r="G127" s="205" t="str">
        <f t="shared" si="26"/>
        <v/>
      </c>
      <c r="H127" s="205" t="str">
        <f t="shared" si="26"/>
        <v/>
      </c>
      <c r="I127" s="205" t="str">
        <f t="shared" si="26"/>
        <v/>
      </c>
      <c r="J127" s="205" t="str">
        <f t="shared" si="26"/>
        <v/>
      </c>
      <c r="K127" s="205" t="str">
        <f t="shared" si="26"/>
        <v/>
      </c>
      <c r="L127" s="205" t="str">
        <f t="shared" si="27"/>
        <v>info</v>
      </c>
      <c r="M127" s="205" t="str">
        <f t="shared" si="27"/>
        <v>x</v>
      </c>
      <c r="N127" s="205" t="str">
        <f t="shared" si="27"/>
        <v/>
      </c>
      <c r="O127" s="205" t="str">
        <f t="shared" si="27"/>
        <v>model</v>
      </c>
      <c r="P127" s="206" t="str">
        <f t="shared" si="27"/>
        <v>Length</v>
      </c>
      <c r="Q127" s="206" t="str">
        <f t="shared" si="27"/>
        <v>x</v>
      </c>
      <c r="R127" s="206" t="str">
        <f t="shared" si="27"/>
        <v>BS</v>
      </c>
      <c r="S127" s="206" t="str">
        <f t="shared" si="27"/>
        <v>all</v>
      </c>
      <c r="T127" s="205">
        <f t="shared" si="27"/>
        <v>0.1</v>
      </c>
      <c r="U127" s="205" t="str">
        <f t="shared" si="27"/>
        <v>Seitenfeld Querbalkenrahmen Breite</v>
      </c>
      <c r="V127" s="205" t="str">
        <f t="shared" si="27"/>
        <v>x</v>
      </c>
      <c r="W127" s="205" t="str">
        <f t="shared" si="27"/>
        <v/>
      </c>
      <c r="X127" s="205" t="str">
        <f t="shared" si="27"/>
        <v/>
      </c>
      <c r="Y127" s="205" t="str">
        <f t="shared" si="27"/>
        <v>gs_frame_width_transom_sl</v>
      </c>
    </row>
    <row r="128" spans="1:25">
      <c r="A128" s="204">
        <f t="shared" si="15"/>
        <v>126</v>
      </c>
      <c r="B128" s="205" t="str">
        <f t="shared" si="26"/>
        <v/>
      </c>
      <c r="C128" s="205" t="str">
        <f t="shared" si="26"/>
        <v/>
      </c>
      <c r="D128" s="205" t="str">
        <f t="shared" si="26"/>
        <v/>
      </c>
      <c r="E128" s="205" t="str">
        <f t="shared" si="26"/>
        <v/>
      </c>
      <c r="F128" s="205" t="str">
        <f t="shared" si="26"/>
        <v/>
      </c>
      <c r="G128" s="205" t="str">
        <f t="shared" si="26"/>
        <v/>
      </c>
      <c r="H128" s="205" t="str">
        <f t="shared" si="26"/>
        <v/>
      </c>
      <c r="I128" s="205" t="str">
        <f t="shared" si="26"/>
        <v/>
      </c>
      <c r="J128" s="205" t="str">
        <f t="shared" si="26"/>
        <v/>
      </c>
      <c r="K128" s="205" t="str">
        <f t="shared" si="26"/>
        <v/>
      </c>
      <c r="L128" s="205" t="str">
        <f t="shared" si="27"/>
        <v>info</v>
      </c>
      <c r="M128" s="205" t="str">
        <f t="shared" si="27"/>
        <v>x</v>
      </c>
      <c r="N128" s="205" t="str">
        <f t="shared" si="27"/>
        <v/>
      </c>
      <c r="O128" s="205" t="str">
        <f t="shared" si="27"/>
        <v>model</v>
      </c>
      <c r="P128" s="206" t="str">
        <f t="shared" si="27"/>
        <v>Length</v>
      </c>
      <c r="Q128" s="206" t="str">
        <f t="shared" si="27"/>
        <v>x</v>
      </c>
      <c r="R128" s="206" t="str">
        <f t="shared" si="27"/>
        <v>BS</v>
      </c>
      <c r="S128" s="206" t="str">
        <f t="shared" si="27"/>
        <v>all</v>
      </c>
      <c r="T128" s="205">
        <f t="shared" si="27"/>
        <v>0.1</v>
      </c>
      <c r="U128" s="205" t="str">
        <f t="shared" si="27"/>
        <v>Seitenfeld oberer Rahmen Breite</v>
      </c>
      <c r="V128" s="205" t="str">
        <f t="shared" si="27"/>
        <v>x</v>
      </c>
      <c r="W128" s="205" t="str">
        <f t="shared" si="27"/>
        <v/>
      </c>
      <c r="X128" s="205" t="str">
        <f t="shared" si="27"/>
        <v/>
      </c>
      <c r="Y128" s="205" t="str">
        <f t="shared" si="27"/>
        <v>gs_frame_width_upper_sl</v>
      </c>
    </row>
    <row r="129" spans="1:25">
      <c r="A129" s="204">
        <f t="shared" si="15"/>
        <v>127</v>
      </c>
      <c r="B129" s="205" t="str">
        <f t="shared" si="26"/>
        <v/>
      </c>
      <c r="C129" s="205" t="str">
        <f t="shared" si="26"/>
        <v/>
      </c>
      <c r="D129" s="205" t="str">
        <f t="shared" si="26"/>
        <v/>
      </c>
      <c r="E129" s="205" t="str">
        <f t="shared" si="26"/>
        <v/>
      </c>
      <c r="F129" s="205" t="str">
        <f t="shared" si="26"/>
        <v/>
      </c>
      <c r="G129" s="205" t="str">
        <f t="shared" si="26"/>
        <v/>
      </c>
      <c r="H129" s="205" t="str">
        <f t="shared" si="26"/>
        <v/>
      </c>
      <c r="I129" s="205" t="str">
        <f t="shared" si="26"/>
        <v/>
      </c>
      <c r="J129" s="205" t="str">
        <f t="shared" si="26"/>
        <v/>
      </c>
      <c r="K129" s="205" t="str">
        <f t="shared" si="26"/>
        <v/>
      </c>
      <c r="L129" s="205" t="str">
        <f t="shared" si="27"/>
        <v>info</v>
      </c>
      <c r="M129" s="205" t="str">
        <f t="shared" si="27"/>
        <v>x</v>
      </c>
      <c r="N129" s="205" t="str">
        <f t="shared" si="27"/>
        <v/>
      </c>
      <c r="O129" s="205" t="str">
        <f t="shared" si="27"/>
        <v>model</v>
      </c>
      <c r="P129" s="206" t="str">
        <f t="shared" si="27"/>
        <v>Length</v>
      </c>
      <c r="Q129" s="206" t="str">
        <f t="shared" si="27"/>
        <v>x</v>
      </c>
      <c r="R129" s="206" t="str">
        <f t="shared" si="27"/>
        <v>BS</v>
      </c>
      <c r="S129" s="206" t="str">
        <f t="shared" si="27"/>
        <v>all</v>
      </c>
      <c r="T129" s="205">
        <f t="shared" si="27"/>
        <v>0.1</v>
      </c>
      <c r="U129" s="205" t="str">
        <f t="shared" si="27"/>
        <v>Unterer Rahmen Breite</v>
      </c>
      <c r="V129" s="205" t="str">
        <f t="shared" si="27"/>
        <v>x</v>
      </c>
      <c r="W129" s="205" t="str">
        <f t="shared" si="27"/>
        <v/>
      </c>
      <c r="X129" s="205" t="str">
        <f t="shared" si="27"/>
        <v/>
      </c>
      <c r="Y129" s="205" t="str">
        <f t="shared" si="27"/>
        <v>gs_frame_width_bottom_sl</v>
      </c>
    </row>
    <row r="130" spans="1:25">
      <c r="A130" s="204">
        <f t="shared" si="15"/>
        <v>128</v>
      </c>
      <c r="B130" s="205" t="str">
        <f t="shared" si="26"/>
        <v>x</v>
      </c>
      <c r="C130" s="205" t="str">
        <f t="shared" si="26"/>
        <v/>
      </c>
      <c r="D130" s="205" t="str">
        <f t="shared" si="26"/>
        <v/>
      </c>
      <c r="E130" s="205" t="str">
        <f t="shared" si="26"/>
        <v/>
      </c>
      <c r="F130" s="205" t="str">
        <f t="shared" si="26"/>
        <v/>
      </c>
      <c r="G130" s="205" t="str">
        <f t="shared" si="26"/>
        <v/>
      </c>
      <c r="H130" s="205" t="str">
        <f t="shared" si="26"/>
        <v/>
      </c>
      <c r="I130" s="205" t="str">
        <f t="shared" si="26"/>
        <v/>
      </c>
      <c r="J130" s="205" t="str">
        <f t="shared" si="26"/>
        <v/>
      </c>
      <c r="K130" s="205" t="str">
        <f t="shared" si="26"/>
        <v/>
      </c>
      <c r="L130" s="205" t="str">
        <f t="shared" si="27"/>
        <v>info</v>
      </c>
      <c r="M130" s="205" t="str">
        <f t="shared" si="27"/>
        <v>x</v>
      </c>
      <c r="N130" s="205" t="str">
        <f t="shared" si="27"/>
        <v/>
      </c>
      <c r="O130" s="205" t="str">
        <f t="shared" si="27"/>
        <v>model</v>
      </c>
      <c r="P130" s="206" t="str">
        <f t="shared" si="27"/>
        <v>Length</v>
      </c>
      <c r="Q130" s="206" t="str">
        <f t="shared" si="27"/>
        <v>x</v>
      </c>
      <c r="R130" s="206" t="str">
        <f t="shared" si="27"/>
        <v>BS</v>
      </c>
      <c r="S130" s="206" t="str">
        <f t="shared" si="27"/>
        <v>all</v>
      </c>
      <c r="T130" s="205">
        <f t="shared" si="27"/>
        <v>0.05</v>
      </c>
      <c r="U130" s="205" t="str">
        <f t="shared" si="27"/>
        <v>Rahmen-Dicke</v>
      </c>
      <c r="V130" s="205" t="str">
        <f t="shared" si="27"/>
        <v>x</v>
      </c>
      <c r="W130" s="205" t="str">
        <f t="shared" si="27"/>
        <v/>
      </c>
      <c r="X130" s="205" t="str">
        <f t="shared" si="27"/>
        <v/>
      </c>
      <c r="Y130" s="205" t="str">
        <f t="shared" si="27"/>
        <v>gs_frame_thk</v>
      </c>
    </row>
    <row r="131" spans="1:25">
      <c r="A131" s="204">
        <f t="shared" ref="A131:A194" si="28">ROW()-ROW($A$2)</f>
        <v>129</v>
      </c>
      <c r="B131" s="205" t="str">
        <f t="shared" si="26"/>
        <v>x</v>
      </c>
      <c r="C131" s="205" t="str">
        <f t="shared" si="26"/>
        <v/>
      </c>
      <c r="D131" s="205" t="str">
        <f t="shared" si="26"/>
        <v/>
      </c>
      <c r="E131" s="205" t="str">
        <f t="shared" si="26"/>
        <v/>
      </c>
      <c r="F131" s="205" t="str">
        <f t="shared" si="26"/>
        <v/>
      </c>
      <c r="G131" s="205" t="str">
        <f t="shared" si="26"/>
        <v/>
      </c>
      <c r="H131" s="205" t="str">
        <f t="shared" si="26"/>
        <v/>
      </c>
      <c r="I131" s="205" t="str">
        <f t="shared" si="26"/>
        <v/>
      </c>
      <c r="J131" s="205" t="str">
        <f t="shared" si="26"/>
        <v/>
      </c>
      <c r="K131" s="205" t="str">
        <f t="shared" si="26"/>
        <v/>
      </c>
      <c r="L131" s="205" t="str">
        <f t="shared" si="27"/>
        <v>info</v>
      </c>
      <c r="M131" s="205" t="str">
        <f t="shared" si="27"/>
        <v>x</v>
      </c>
      <c r="N131" s="205" t="str">
        <f t="shared" si="27"/>
        <v/>
      </c>
      <c r="O131" s="205" t="str">
        <f t="shared" si="27"/>
        <v>model</v>
      </c>
      <c r="P131" s="206" t="str">
        <f t="shared" si="27"/>
        <v>Boolean</v>
      </c>
      <c r="Q131" s="206" t="str">
        <f t="shared" si="27"/>
        <v>x</v>
      </c>
      <c r="R131" s="206" t="str">
        <f t="shared" si="27"/>
        <v>BS</v>
      </c>
      <c r="S131" s="206" t="str">
        <f t="shared" si="27"/>
        <v>all</v>
      </c>
      <c r="T131" s="205">
        <f t="shared" si="27"/>
        <v>1</v>
      </c>
      <c r="U131" s="205" t="str">
        <f t="shared" si="27"/>
        <v>Seite Laibung</v>
      </c>
      <c r="V131" s="205" t="str">
        <f t="shared" si="27"/>
        <v>x</v>
      </c>
      <c r="W131" s="205" t="str">
        <f t="shared" si="27"/>
        <v/>
      </c>
      <c r="X131" s="205" t="str">
        <f t="shared" si="27"/>
        <v/>
      </c>
      <c r="Y131" s="205" t="str">
        <f t="shared" si="27"/>
        <v>gs_rev</v>
      </c>
    </row>
    <row r="132" spans="1:25">
      <c r="A132" s="204">
        <f t="shared" si="28"/>
        <v>130</v>
      </c>
      <c r="B132" s="205" t="str">
        <f t="shared" si="26"/>
        <v>x</v>
      </c>
      <c r="C132" s="205" t="str">
        <f t="shared" si="26"/>
        <v/>
      </c>
      <c r="D132" s="205" t="str">
        <f t="shared" si="26"/>
        <v/>
      </c>
      <c r="E132" s="205" t="str">
        <f t="shared" si="26"/>
        <v/>
      </c>
      <c r="F132" s="205" t="str">
        <f t="shared" si="26"/>
        <v/>
      </c>
      <c r="G132" s="205" t="str">
        <f t="shared" si="26"/>
        <v/>
      </c>
      <c r="H132" s="205" t="str">
        <f t="shared" si="26"/>
        <v/>
      </c>
      <c r="I132" s="205" t="str">
        <f t="shared" si="26"/>
        <v/>
      </c>
      <c r="J132" s="205" t="str">
        <f t="shared" si="26"/>
        <v/>
      </c>
      <c r="K132" s="205" t="str">
        <f t="shared" si="26"/>
        <v/>
      </c>
      <c r="L132" s="205" t="str">
        <f t="shared" si="27"/>
        <v>info</v>
      </c>
      <c r="M132" s="205" t="str">
        <f t="shared" si="27"/>
        <v>x</v>
      </c>
      <c r="N132" s="205" t="str">
        <f t="shared" si="27"/>
        <v/>
      </c>
      <c r="O132" s="205" t="str">
        <f t="shared" si="27"/>
        <v>model</v>
      </c>
      <c r="P132" s="206" t="str">
        <f t="shared" si="27"/>
        <v>Length</v>
      </c>
      <c r="Q132" s="206" t="str">
        <f t="shared" si="27"/>
        <v>x</v>
      </c>
      <c r="R132" s="206" t="str">
        <f t="shared" si="27"/>
        <v>BS</v>
      </c>
      <c r="S132" s="206" t="str">
        <f t="shared" si="27"/>
        <v>all</v>
      </c>
      <c r="T132" s="205">
        <f t="shared" si="27"/>
        <v>0.05</v>
      </c>
      <c r="U132" s="205" t="str">
        <f t="shared" si="27"/>
        <v>Block Breite</v>
      </c>
      <c r="V132" s="205" t="str">
        <f t="shared" si="27"/>
        <v>x</v>
      </c>
      <c r="W132" s="205" t="str">
        <f t="shared" si="27"/>
        <v/>
      </c>
      <c r="X132" s="205" t="str">
        <f t="shared" si="27"/>
        <v/>
      </c>
      <c r="Y132" s="205" t="str">
        <f t="shared" si="27"/>
        <v>gs_bl_thk</v>
      </c>
    </row>
    <row r="133" spans="1:25">
      <c r="A133" s="204">
        <f t="shared" si="28"/>
        <v>131</v>
      </c>
      <c r="B133" s="205" t="str">
        <f t="shared" ref="B133:K142" si="29">IF(ISNONTEXT(B$2),IF(B$2="","",IF(INDEX(IMPORT,$A133,B$2)=0,"",IFERROR(VLOOKUP(INDEX(IMPORT,$A133,B$2),ImportTranslation,2,0),INDEX(IMPORT,$A133,B$2)))),B$2)</f>
        <v>x</v>
      </c>
      <c r="C133" s="205" t="str">
        <f t="shared" si="29"/>
        <v/>
      </c>
      <c r="D133" s="205" t="str">
        <f t="shared" si="29"/>
        <v/>
      </c>
      <c r="E133" s="205" t="str">
        <f t="shared" si="29"/>
        <v/>
      </c>
      <c r="F133" s="205" t="str">
        <f t="shared" si="29"/>
        <v/>
      </c>
      <c r="G133" s="205" t="str">
        <f t="shared" si="29"/>
        <v/>
      </c>
      <c r="H133" s="205" t="str">
        <f t="shared" si="29"/>
        <v/>
      </c>
      <c r="I133" s="205" t="str">
        <f t="shared" si="29"/>
        <v/>
      </c>
      <c r="J133" s="205" t="str">
        <f t="shared" si="29"/>
        <v/>
      </c>
      <c r="K133" s="205" t="str">
        <f t="shared" si="29"/>
        <v/>
      </c>
      <c r="L133" s="205" t="str">
        <f t="shared" ref="L133:Y142" si="30">IF(ISNONTEXT(L$2),IF(L$2="","",IF(INDEX(IMPORT,$A133,L$2)=0,"",IFERROR(VLOOKUP(INDEX(IMPORT,$A133,L$2),ImportTranslation,2,0),INDEX(IMPORT,$A133,L$2)))),L$2)</f>
        <v>info</v>
      </c>
      <c r="M133" s="205" t="str">
        <f t="shared" si="30"/>
        <v>x</v>
      </c>
      <c r="N133" s="205" t="str">
        <f t="shared" si="30"/>
        <v/>
      </c>
      <c r="O133" s="205" t="str">
        <f t="shared" si="30"/>
        <v>model</v>
      </c>
      <c r="P133" s="206" t="str">
        <f t="shared" si="30"/>
        <v>Length</v>
      </c>
      <c r="Q133" s="206" t="str">
        <f t="shared" si="30"/>
        <v>x</v>
      </c>
      <c r="R133" s="206" t="str">
        <f t="shared" si="30"/>
        <v>BS</v>
      </c>
      <c r="S133" s="206" t="str">
        <f t="shared" si="30"/>
        <v>all</v>
      </c>
      <c r="T133" s="205">
        <f t="shared" si="30"/>
        <v>0.06</v>
      </c>
      <c r="U133" s="205" t="str">
        <f t="shared" si="30"/>
        <v>Block Dicke</v>
      </c>
      <c r="V133" s="205" t="str">
        <f t="shared" si="30"/>
        <v>x</v>
      </c>
      <c r="W133" s="205" t="str">
        <f t="shared" si="30"/>
        <v/>
      </c>
      <c r="X133" s="205" t="str">
        <f t="shared" si="30"/>
        <v/>
      </c>
      <c r="Y133" s="205" t="str">
        <f t="shared" si="30"/>
        <v>gs_bl_width</v>
      </c>
    </row>
    <row r="134" spans="1:25">
      <c r="A134" s="204">
        <f t="shared" si="28"/>
        <v>132</v>
      </c>
      <c r="B134" s="205" t="str">
        <f t="shared" si="29"/>
        <v>x</v>
      </c>
      <c r="C134" s="205" t="str">
        <f t="shared" si="29"/>
        <v/>
      </c>
      <c r="D134" s="205" t="str">
        <f t="shared" si="29"/>
        <v/>
      </c>
      <c r="E134" s="205" t="str">
        <f t="shared" si="29"/>
        <v/>
      </c>
      <c r="F134" s="205" t="str">
        <f t="shared" si="29"/>
        <v/>
      </c>
      <c r="G134" s="205" t="str">
        <f t="shared" si="29"/>
        <v/>
      </c>
      <c r="H134" s="205" t="str">
        <f t="shared" si="29"/>
        <v/>
      </c>
      <c r="I134" s="205" t="str">
        <f t="shared" si="29"/>
        <v/>
      </c>
      <c r="J134" s="205" t="str">
        <f t="shared" si="29"/>
        <v/>
      </c>
      <c r="K134" s="205" t="str">
        <f t="shared" si="29"/>
        <v/>
      </c>
      <c r="L134" s="205" t="str">
        <f t="shared" si="30"/>
        <v>info</v>
      </c>
      <c r="M134" s="205" t="str">
        <f t="shared" si="30"/>
        <v>x</v>
      </c>
      <c r="N134" s="205" t="str">
        <f t="shared" si="30"/>
        <v/>
      </c>
      <c r="O134" s="205" t="str">
        <f t="shared" si="30"/>
        <v>model</v>
      </c>
      <c r="P134" s="206" t="str">
        <f t="shared" si="30"/>
        <v>Length</v>
      </c>
      <c r="Q134" s="206" t="str">
        <f t="shared" si="30"/>
        <v>x</v>
      </c>
      <c r="R134" s="206" t="str">
        <f t="shared" si="30"/>
        <v>BS</v>
      </c>
      <c r="S134" s="206" t="str">
        <f t="shared" si="30"/>
        <v>all</v>
      </c>
      <c r="T134" s="205">
        <f t="shared" si="30"/>
        <v>0.01</v>
      </c>
      <c r="U134" s="205" t="str">
        <f t="shared" si="30"/>
        <v>Mörtel</v>
      </c>
      <c r="V134" s="205" t="str">
        <f t="shared" si="30"/>
        <v>x</v>
      </c>
      <c r="W134" s="205" t="str">
        <f t="shared" si="30"/>
        <v/>
      </c>
      <c r="X134" s="205" t="str">
        <f t="shared" si="30"/>
        <v/>
      </c>
      <c r="Y134" s="205" t="str">
        <f t="shared" si="30"/>
        <v>gs_fuge</v>
      </c>
    </row>
    <row r="135" spans="1:25">
      <c r="A135" s="204">
        <f t="shared" si="28"/>
        <v>133</v>
      </c>
      <c r="B135" s="205" t="str">
        <f t="shared" si="29"/>
        <v>x</v>
      </c>
      <c r="C135" s="205" t="str">
        <f t="shared" si="29"/>
        <v/>
      </c>
      <c r="D135" s="205" t="str">
        <f t="shared" si="29"/>
        <v/>
      </c>
      <c r="E135" s="205" t="str">
        <f t="shared" si="29"/>
        <v/>
      </c>
      <c r="F135" s="205" t="str">
        <f t="shared" si="29"/>
        <v/>
      </c>
      <c r="G135" s="205" t="str">
        <f t="shared" si="29"/>
        <v/>
      </c>
      <c r="H135" s="205" t="str">
        <f t="shared" si="29"/>
        <v/>
      </c>
      <c r="I135" s="205" t="str">
        <f t="shared" si="29"/>
        <v/>
      </c>
      <c r="J135" s="205" t="str">
        <f t="shared" si="29"/>
        <v/>
      </c>
      <c r="K135" s="205" t="str">
        <f t="shared" si="29"/>
        <v/>
      </c>
      <c r="L135" s="205" t="str">
        <f t="shared" si="30"/>
        <v>info</v>
      </c>
      <c r="M135" s="205" t="str">
        <f t="shared" si="30"/>
        <v>x</v>
      </c>
      <c r="N135" s="205" t="str">
        <f t="shared" si="30"/>
        <v/>
      </c>
      <c r="O135" s="205" t="str">
        <f t="shared" si="30"/>
        <v>model</v>
      </c>
      <c r="P135" s="206" t="str">
        <f t="shared" si="30"/>
        <v>Length</v>
      </c>
      <c r="Q135" s="206" t="str">
        <f t="shared" si="30"/>
        <v>x</v>
      </c>
      <c r="R135" s="206" t="str">
        <f t="shared" si="30"/>
        <v>BS</v>
      </c>
      <c r="S135" s="206" t="str">
        <f t="shared" si="30"/>
        <v>all</v>
      </c>
      <c r="T135" s="205">
        <f t="shared" si="30"/>
        <v>0.01</v>
      </c>
      <c r="U135" s="205" t="str">
        <f t="shared" si="30"/>
        <v>Überstand 1</v>
      </c>
      <c r="V135" s="205" t="str">
        <f t="shared" si="30"/>
        <v>x</v>
      </c>
      <c r="W135" s="205" t="str">
        <f t="shared" si="30"/>
        <v/>
      </c>
      <c r="X135" s="205" t="str">
        <f t="shared" si="30"/>
        <v/>
      </c>
      <c r="Y135" s="205" t="str">
        <f t="shared" si="30"/>
        <v>gs_ub_st1</v>
      </c>
    </row>
    <row r="136" spans="1:25">
      <c r="A136" s="204">
        <f t="shared" si="28"/>
        <v>134</v>
      </c>
      <c r="B136" s="205" t="str">
        <f t="shared" si="29"/>
        <v>x</v>
      </c>
      <c r="C136" s="205" t="str">
        <f t="shared" si="29"/>
        <v/>
      </c>
      <c r="D136" s="205" t="str">
        <f t="shared" si="29"/>
        <v/>
      </c>
      <c r="E136" s="205" t="str">
        <f t="shared" si="29"/>
        <v/>
      </c>
      <c r="F136" s="205" t="str">
        <f t="shared" si="29"/>
        <v/>
      </c>
      <c r="G136" s="205" t="str">
        <f t="shared" si="29"/>
        <v/>
      </c>
      <c r="H136" s="205" t="str">
        <f t="shared" si="29"/>
        <v/>
      </c>
      <c r="I136" s="205" t="str">
        <f t="shared" si="29"/>
        <v/>
      </c>
      <c r="J136" s="205" t="str">
        <f t="shared" si="29"/>
        <v/>
      </c>
      <c r="K136" s="205" t="str">
        <f t="shared" si="29"/>
        <v/>
      </c>
      <c r="L136" s="205" t="str">
        <f t="shared" si="30"/>
        <v>info</v>
      </c>
      <c r="M136" s="205" t="str">
        <f t="shared" si="30"/>
        <v>x</v>
      </c>
      <c r="N136" s="205" t="str">
        <f t="shared" si="30"/>
        <v/>
      </c>
      <c r="O136" s="205" t="str">
        <f t="shared" si="30"/>
        <v>model</v>
      </c>
      <c r="P136" s="206" t="str">
        <f t="shared" si="30"/>
        <v>Length</v>
      </c>
      <c r="Q136" s="206" t="str">
        <f t="shared" si="30"/>
        <v>x</v>
      </c>
      <c r="R136" s="206" t="str">
        <f t="shared" si="30"/>
        <v>BS</v>
      </c>
      <c r="S136" s="206" t="str">
        <f t="shared" si="30"/>
        <v>all</v>
      </c>
      <c r="T136" s="205">
        <f t="shared" si="30"/>
        <v>0.01</v>
      </c>
      <c r="U136" s="205" t="str">
        <f t="shared" si="30"/>
        <v>Überstand 2</v>
      </c>
      <c r="V136" s="205" t="str">
        <f t="shared" si="30"/>
        <v>x</v>
      </c>
      <c r="W136" s="205" t="str">
        <f t="shared" si="30"/>
        <v/>
      </c>
      <c r="X136" s="205" t="str">
        <f t="shared" si="30"/>
        <v/>
      </c>
      <c r="Y136" s="205" t="str">
        <f t="shared" si="30"/>
        <v>gs_ub_st2</v>
      </c>
    </row>
    <row r="137" spans="1:25">
      <c r="A137" s="204">
        <f t="shared" si="28"/>
        <v>135</v>
      </c>
      <c r="B137" s="205" t="str">
        <f t="shared" si="29"/>
        <v>x</v>
      </c>
      <c r="C137" s="205" t="str">
        <f t="shared" si="29"/>
        <v/>
      </c>
      <c r="D137" s="205" t="str">
        <f t="shared" si="29"/>
        <v/>
      </c>
      <c r="E137" s="205" t="str">
        <f t="shared" si="29"/>
        <v/>
      </c>
      <c r="F137" s="205" t="str">
        <f t="shared" si="29"/>
        <v/>
      </c>
      <c r="G137" s="205" t="str">
        <f t="shared" si="29"/>
        <v/>
      </c>
      <c r="H137" s="205" t="str">
        <f t="shared" si="29"/>
        <v/>
      </c>
      <c r="I137" s="205" t="str">
        <f t="shared" si="29"/>
        <v/>
      </c>
      <c r="J137" s="205" t="str">
        <f t="shared" si="29"/>
        <v/>
      </c>
      <c r="K137" s="205" t="str">
        <f t="shared" si="29"/>
        <v/>
      </c>
      <c r="L137" s="205" t="str">
        <f t="shared" si="30"/>
        <v>info</v>
      </c>
      <c r="M137" s="205" t="str">
        <f t="shared" si="30"/>
        <v/>
      </c>
      <c r="N137" s="205" t="str">
        <f t="shared" si="30"/>
        <v/>
      </c>
      <c r="O137" s="205" t="str">
        <f t="shared" si="30"/>
        <v>model</v>
      </c>
      <c r="P137" s="206" t="str">
        <f t="shared" si="30"/>
        <v>Title</v>
      </c>
      <c r="Q137" s="206" t="str">
        <f t="shared" si="30"/>
        <v>x</v>
      </c>
      <c r="R137" s="206" t="str">
        <f t="shared" si="30"/>
        <v>BS</v>
      </c>
      <c r="S137" s="206" t="str">
        <f t="shared" si="30"/>
        <v>all</v>
      </c>
      <c r="T137" s="205" t="str">
        <f t="shared" si="30"/>
        <v/>
      </c>
      <c r="U137" s="205" t="str">
        <f t="shared" si="30"/>
        <v>Oberflächenmaterialien</v>
      </c>
      <c r="V137" s="205" t="str">
        <f t="shared" si="30"/>
        <v/>
      </c>
      <c r="W137" s="205" t="str">
        <f t="shared" si="30"/>
        <v/>
      </c>
      <c r="X137" s="205" t="str">
        <f t="shared" si="30"/>
        <v/>
      </c>
      <c r="Y137" s="205" t="str">
        <f t="shared" si="30"/>
        <v>gs_door_material</v>
      </c>
    </row>
    <row r="138" spans="1:25">
      <c r="A138" s="204">
        <f t="shared" si="28"/>
        <v>136</v>
      </c>
      <c r="B138" s="205" t="str">
        <f t="shared" si="29"/>
        <v>x</v>
      </c>
      <c r="C138" s="205" t="str">
        <f t="shared" si="29"/>
        <v/>
      </c>
      <c r="D138" s="205" t="str">
        <f t="shared" si="29"/>
        <v/>
      </c>
      <c r="E138" s="205" t="str">
        <f t="shared" si="29"/>
        <v/>
      </c>
      <c r="F138" s="205" t="str">
        <f t="shared" si="29"/>
        <v/>
      </c>
      <c r="G138" s="205" t="str">
        <f t="shared" si="29"/>
        <v/>
      </c>
      <c r="H138" s="205" t="str">
        <f t="shared" si="29"/>
        <v/>
      </c>
      <c r="I138" s="205" t="str">
        <f t="shared" si="29"/>
        <v/>
      </c>
      <c r="J138" s="205" t="str">
        <f t="shared" si="29"/>
        <v/>
      </c>
      <c r="K138" s="205" t="str">
        <f t="shared" si="29"/>
        <v/>
      </c>
      <c r="L138" s="205" t="str">
        <f t="shared" si="30"/>
        <v>info</v>
      </c>
      <c r="M138" s="205" t="str">
        <f t="shared" si="30"/>
        <v>x</v>
      </c>
      <c r="N138" s="205" t="str">
        <f t="shared" si="30"/>
        <v/>
      </c>
      <c r="O138" s="205" t="str">
        <f t="shared" si="30"/>
        <v>model</v>
      </c>
      <c r="P138" s="206" t="str">
        <f t="shared" si="30"/>
        <v>Material</v>
      </c>
      <c r="Q138" s="206" t="str">
        <f t="shared" si="30"/>
        <v>x</v>
      </c>
      <c r="R138" s="206" t="str">
        <f t="shared" si="30"/>
        <v>BS</v>
      </c>
      <c r="S138" s="206" t="str">
        <f t="shared" si="30"/>
        <v>all</v>
      </c>
      <c r="T138" s="205">
        <f t="shared" si="30"/>
        <v>133</v>
      </c>
      <c r="U138" s="205" t="str">
        <f t="shared" si="30"/>
        <v>Rahmen</v>
      </c>
      <c r="V138" s="205" t="str">
        <f t="shared" si="30"/>
        <v>x</v>
      </c>
      <c r="W138" s="205" t="str">
        <f t="shared" si="30"/>
        <v/>
      </c>
      <c r="X138" s="205" t="str">
        <f t="shared" si="30"/>
        <v/>
      </c>
      <c r="Y138" s="205" t="str">
        <f t="shared" si="30"/>
        <v>gs_frame_mat</v>
      </c>
    </row>
    <row r="139" spans="1:25">
      <c r="A139" s="204">
        <f t="shared" si="28"/>
        <v>137</v>
      </c>
      <c r="B139" s="205" t="str">
        <f t="shared" si="29"/>
        <v>x</v>
      </c>
      <c r="C139" s="205" t="str">
        <f t="shared" si="29"/>
        <v/>
      </c>
      <c r="D139" s="205" t="str">
        <f t="shared" si="29"/>
        <v/>
      </c>
      <c r="E139" s="205" t="str">
        <f t="shared" si="29"/>
        <v/>
      </c>
      <c r="F139" s="205" t="str">
        <f t="shared" si="29"/>
        <v/>
      </c>
      <c r="G139" s="205" t="str">
        <f t="shared" si="29"/>
        <v/>
      </c>
      <c r="H139" s="205" t="str">
        <f t="shared" si="29"/>
        <v/>
      </c>
      <c r="I139" s="205" t="str">
        <f t="shared" si="29"/>
        <v/>
      </c>
      <c r="J139" s="205" t="str">
        <f t="shared" si="29"/>
        <v/>
      </c>
      <c r="K139" s="205" t="str">
        <f t="shared" si="29"/>
        <v/>
      </c>
      <c r="L139" s="205" t="str">
        <f t="shared" si="30"/>
        <v>info</v>
      </c>
      <c r="M139" s="205" t="str">
        <f t="shared" si="30"/>
        <v>x</v>
      </c>
      <c r="N139" s="205" t="str">
        <f t="shared" si="30"/>
        <v/>
      </c>
      <c r="O139" s="205" t="str">
        <f t="shared" si="30"/>
        <v>model</v>
      </c>
      <c r="P139" s="206" t="str">
        <f t="shared" si="30"/>
        <v>Material</v>
      </c>
      <c r="Q139" s="206" t="str">
        <f t="shared" si="30"/>
        <v>x</v>
      </c>
      <c r="R139" s="206" t="str">
        <f t="shared" si="30"/>
        <v>BS</v>
      </c>
      <c r="S139" s="206" t="str">
        <f t="shared" si="30"/>
        <v>all</v>
      </c>
      <c r="T139" s="205">
        <f t="shared" si="30"/>
        <v>133</v>
      </c>
      <c r="U139" s="205" t="str">
        <f t="shared" si="30"/>
        <v>Paneel</v>
      </c>
      <c r="V139" s="205" t="str">
        <f t="shared" si="30"/>
        <v>x</v>
      </c>
      <c r="W139" s="205" t="str">
        <f t="shared" si="30"/>
        <v/>
      </c>
      <c r="X139" s="205" t="str">
        <f t="shared" si="30"/>
        <v/>
      </c>
      <c r="Y139" s="205" t="str">
        <f t="shared" si="30"/>
        <v>gs_leaf_mat</v>
      </c>
    </row>
    <row r="140" spans="1:25">
      <c r="A140" s="204">
        <f t="shared" si="28"/>
        <v>138</v>
      </c>
      <c r="B140" s="205" t="str">
        <f t="shared" si="29"/>
        <v>x</v>
      </c>
      <c r="C140" s="205" t="str">
        <f t="shared" si="29"/>
        <v/>
      </c>
      <c r="D140" s="205" t="str">
        <f t="shared" si="29"/>
        <v/>
      </c>
      <c r="E140" s="205" t="str">
        <f t="shared" si="29"/>
        <v/>
      </c>
      <c r="F140" s="205" t="str">
        <f t="shared" si="29"/>
        <v/>
      </c>
      <c r="G140" s="205" t="str">
        <f t="shared" si="29"/>
        <v/>
      </c>
      <c r="H140" s="205" t="str">
        <f t="shared" si="29"/>
        <v/>
      </c>
      <c r="I140" s="205" t="str">
        <f t="shared" si="29"/>
        <v/>
      </c>
      <c r="J140" s="205" t="str">
        <f t="shared" si="29"/>
        <v/>
      </c>
      <c r="K140" s="205" t="str">
        <f t="shared" si="29"/>
        <v/>
      </c>
      <c r="L140" s="205" t="str">
        <f t="shared" si="30"/>
        <v>info</v>
      </c>
      <c r="M140" s="205" t="str">
        <f t="shared" si="30"/>
        <v>x</v>
      </c>
      <c r="N140" s="205" t="str">
        <f t="shared" si="30"/>
        <v/>
      </c>
      <c r="O140" s="205" t="str">
        <f t="shared" si="30"/>
        <v>model</v>
      </c>
      <c r="P140" s="206" t="str">
        <f t="shared" si="30"/>
        <v>Material</v>
      </c>
      <c r="Q140" s="206" t="str">
        <f t="shared" si="30"/>
        <v>x</v>
      </c>
      <c r="R140" s="206" t="str">
        <f t="shared" si="30"/>
        <v>BS</v>
      </c>
      <c r="S140" s="206" t="str">
        <f t="shared" si="30"/>
        <v>all</v>
      </c>
      <c r="T140" s="205">
        <f t="shared" si="30"/>
        <v>24</v>
      </c>
      <c r="U140" s="205" t="str">
        <f t="shared" si="30"/>
        <v>Glas</v>
      </c>
      <c r="V140" s="205" t="str">
        <f t="shared" si="30"/>
        <v>x</v>
      </c>
      <c r="W140" s="205" t="str">
        <f t="shared" si="30"/>
        <v/>
      </c>
      <c r="X140" s="205" t="str">
        <f t="shared" si="30"/>
        <v/>
      </c>
      <c r="Y140" s="205" t="str">
        <f t="shared" si="30"/>
        <v>gs_glass_mat</v>
      </c>
    </row>
    <row r="141" spans="1:25">
      <c r="A141" s="204">
        <f t="shared" si="28"/>
        <v>139</v>
      </c>
      <c r="B141" s="205" t="str">
        <f t="shared" si="29"/>
        <v>x</v>
      </c>
      <c r="C141" s="205" t="str">
        <f t="shared" si="29"/>
        <v/>
      </c>
      <c r="D141" s="205" t="str">
        <f t="shared" si="29"/>
        <v/>
      </c>
      <c r="E141" s="205" t="str">
        <f t="shared" si="29"/>
        <v/>
      </c>
      <c r="F141" s="205" t="str">
        <f t="shared" si="29"/>
        <v/>
      </c>
      <c r="G141" s="205" t="str">
        <f t="shared" si="29"/>
        <v/>
      </c>
      <c r="H141" s="205" t="str">
        <f t="shared" si="29"/>
        <v/>
      </c>
      <c r="I141" s="205" t="str">
        <f t="shared" si="29"/>
        <v/>
      </c>
      <c r="J141" s="205" t="str">
        <f t="shared" si="29"/>
        <v/>
      </c>
      <c r="K141" s="205" t="str">
        <f t="shared" si="29"/>
        <v/>
      </c>
      <c r="L141" s="205" t="str">
        <f t="shared" si="30"/>
        <v>info</v>
      </c>
      <c r="M141" s="205" t="str">
        <f t="shared" si="30"/>
        <v>x</v>
      </c>
      <c r="N141" s="205" t="str">
        <f t="shared" si="30"/>
        <v/>
      </c>
      <c r="O141" s="205" t="str">
        <f t="shared" si="30"/>
        <v>model</v>
      </c>
      <c r="P141" s="206" t="str">
        <f t="shared" si="30"/>
        <v>Material</v>
      </c>
      <c r="Q141" s="206" t="str">
        <f t="shared" si="30"/>
        <v>x</v>
      </c>
      <c r="R141" s="206" t="str">
        <f t="shared" si="30"/>
        <v>BS</v>
      </c>
      <c r="S141" s="206" t="str">
        <f t="shared" si="30"/>
        <v>all</v>
      </c>
      <c r="T141" s="205">
        <f t="shared" si="30"/>
        <v>40</v>
      </c>
      <c r="U141" s="205" t="str">
        <f t="shared" si="30"/>
        <v>Metallteile</v>
      </c>
      <c r="V141" s="205" t="str">
        <f t="shared" si="30"/>
        <v>x</v>
      </c>
      <c r="W141" s="205" t="str">
        <f t="shared" si="30"/>
        <v/>
      </c>
      <c r="X141" s="205" t="str">
        <f t="shared" si="30"/>
        <v/>
      </c>
      <c r="Y141" s="205" t="str">
        <f t="shared" si="30"/>
        <v>gs_metal_mat</v>
      </c>
    </row>
    <row r="142" spans="1:25">
      <c r="A142" s="204">
        <f t="shared" si="28"/>
        <v>140</v>
      </c>
      <c r="B142" s="205" t="str">
        <f t="shared" si="29"/>
        <v>x</v>
      </c>
      <c r="C142" s="205" t="str">
        <f t="shared" si="29"/>
        <v/>
      </c>
      <c r="D142" s="205" t="str">
        <f t="shared" si="29"/>
        <v/>
      </c>
      <c r="E142" s="205" t="str">
        <f t="shared" si="29"/>
        <v/>
      </c>
      <c r="F142" s="205" t="str">
        <f t="shared" si="29"/>
        <v/>
      </c>
      <c r="G142" s="205" t="str">
        <f t="shared" si="29"/>
        <v/>
      </c>
      <c r="H142" s="205" t="str">
        <f t="shared" si="29"/>
        <v/>
      </c>
      <c r="I142" s="205" t="str">
        <f t="shared" si="29"/>
        <v/>
      </c>
      <c r="J142" s="205" t="str">
        <f t="shared" si="29"/>
        <v/>
      </c>
      <c r="K142" s="205" t="str">
        <f t="shared" si="29"/>
        <v/>
      </c>
      <c r="L142" s="205" t="str">
        <f t="shared" si="30"/>
        <v>info</v>
      </c>
      <c r="M142" s="205" t="str">
        <f t="shared" si="30"/>
        <v>x</v>
      </c>
      <c r="N142" s="205" t="str">
        <f t="shared" si="30"/>
        <v/>
      </c>
      <c r="O142" s="205" t="str">
        <f t="shared" si="30"/>
        <v>model</v>
      </c>
      <c r="P142" s="206" t="str">
        <f t="shared" si="30"/>
        <v>Material</v>
      </c>
      <c r="Q142" s="206" t="str">
        <f t="shared" si="30"/>
        <v>x</v>
      </c>
      <c r="R142" s="206" t="str">
        <f t="shared" si="30"/>
        <v>BS</v>
      </c>
      <c r="S142" s="206" t="str">
        <f t="shared" si="30"/>
        <v>all</v>
      </c>
      <c r="T142" s="205">
        <f t="shared" si="30"/>
        <v>54</v>
      </c>
      <c r="U142" s="205" t="str">
        <f t="shared" si="30"/>
        <v>Türfüllung</v>
      </c>
      <c r="V142" s="205" t="str">
        <f t="shared" si="30"/>
        <v>x</v>
      </c>
      <c r="W142" s="205" t="str">
        <f t="shared" si="30"/>
        <v/>
      </c>
      <c r="X142" s="205" t="str">
        <f t="shared" si="30"/>
        <v/>
      </c>
      <c r="Y142" s="205" t="str">
        <f t="shared" si="30"/>
        <v>gs_mat_h</v>
      </c>
    </row>
    <row r="143" spans="1:25">
      <c r="A143" s="204">
        <f t="shared" si="28"/>
        <v>141</v>
      </c>
      <c r="B143" s="205" t="str">
        <f t="shared" ref="B143:K152" si="31">IF(ISNONTEXT(B$2),IF(B$2="","",IF(INDEX(IMPORT,$A143,B$2)=0,"",IFERROR(VLOOKUP(INDEX(IMPORT,$A143,B$2),ImportTranslation,2,0),INDEX(IMPORT,$A143,B$2)))),B$2)</f>
        <v>x</v>
      </c>
      <c r="C143" s="205" t="str">
        <f t="shared" si="31"/>
        <v/>
      </c>
      <c r="D143" s="205" t="str">
        <f t="shared" si="31"/>
        <v/>
      </c>
      <c r="E143" s="205" t="str">
        <f t="shared" si="31"/>
        <v/>
      </c>
      <c r="F143" s="205" t="str">
        <f t="shared" si="31"/>
        <v/>
      </c>
      <c r="G143" s="205" t="str">
        <f t="shared" si="31"/>
        <v/>
      </c>
      <c r="H143" s="205" t="str">
        <f t="shared" si="31"/>
        <v/>
      </c>
      <c r="I143" s="205" t="str">
        <f t="shared" si="31"/>
        <v/>
      </c>
      <c r="J143" s="205" t="str">
        <f t="shared" si="31"/>
        <v/>
      </c>
      <c r="K143" s="205" t="str">
        <f t="shared" si="31"/>
        <v/>
      </c>
      <c r="L143" s="205" t="str">
        <f t="shared" ref="L143:Y152" si="32">IF(ISNONTEXT(L$2),IF(L$2="","",IF(INDEX(IMPORT,$A143,L$2)=0,"",IFERROR(VLOOKUP(INDEX(IMPORT,$A143,L$2),ImportTranslation,2,0),INDEX(IMPORT,$A143,L$2)))),L$2)</f>
        <v>info</v>
      </c>
      <c r="M143" s="205" t="str">
        <f t="shared" si="32"/>
        <v>x</v>
      </c>
      <c r="N143" s="205" t="str">
        <f t="shared" si="32"/>
        <v/>
      </c>
      <c r="O143" s="205" t="str">
        <f t="shared" si="32"/>
        <v>model</v>
      </c>
      <c r="P143" s="206" t="str">
        <f t="shared" si="32"/>
        <v>Material</v>
      </c>
      <c r="Q143" s="206" t="str">
        <f t="shared" si="32"/>
        <v>x</v>
      </c>
      <c r="R143" s="206" t="str">
        <f t="shared" si="32"/>
        <v>BS</v>
      </c>
      <c r="S143" s="206" t="str">
        <f t="shared" si="32"/>
        <v>all</v>
      </c>
      <c r="T143" s="205">
        <f t="shared" si="32"/>
        <v>133</v>
      </c>
      <c r="U143" s="205" t="str">
        <f t="shared" si="32"/>
        <v>Sprossen</v>
      </c>
      <c r="V143" s="205" t="str">
        <f t="shared" si="32"/>
        <v>x</v>
      </c>
      <c r="W143" s="205" t="str">
        <f t="shared" si="32"/>
        <v/>
      </c>
      <c r="X143" s="205" t="str">
        <f t="shared" si="32"/>
        <v/>
      </c>
      <c r="Y143" s="205" t="str">
        <f t="shared" si="32"/>
        <v>gs_mat_spr</v>
      </c>
    </row>
    <row r="144" spans="1:25">
      <c r="A144" s="204">
        <f t="shared" si="28"/>
        <v>142</v>
      </c>
      <c r="B144" s="205" t="str">
        <f t="shared" si="31"/>
        <v>x</v>
      </c>
      <c r="C144" s="205" t="str">
        <f t="shared" si="31"/>
        <v/>
      </c>
      <c r="D144" s="205" t="str">
        <f t="shared" si="31"/>
        <v/>
      </c>
      <c r="E144" s="205" t="str">
        <f t="shared" si="31"/>
        <v/>
      </c>
      <c r="F144" s="205" t="str">
        <f t="shared" si="31"/>
        <v/>
      </c>
      <c r="G144" s="205" t="str">
        <f t="shared" si="31"/>
        <v/>
      </c>
      <c r="H144" s="205" t="str">
        <f t="shared" si="31"/>
        <v/>
      </c>
      <c r="I144" s="205" t="str">
        <f t="shared" si="31"/>
        <v/>
      </c>
      <c r="J144" s="205" t="str">
        <f t="shared" si="31"/>
        <v/>
      </c>
      <c r="K144" s="205" t="str">
        <f t="shared" si="31"/>
        <v/>
      </c>
      <c r="L144" s="205" t="str">
        <f t="shared" si="32"/>
        <v>info</v>
      </c>
      <c r="M144" s="205" t="str">
        <f t="shared" si="32"/>
        <v>x</v>
      </c>
      <c r="N144" s="205" t="str">
        <f t="shared" si="32"/>
        <v/>
      </c>
      <c r="O144" s="205" t="str">
        <f t="shared" si="32"/>
        <v>model</v>
      </c>
      <c r="P144" s="206" t="str">
        <f t="shared" si="32"/>
        <v>Material</v>
      </c>
      <c r="Q144" s="206" t="str">
        <f t="shared" si="32"/>
        <v>x</v>
      </c>
      <c r="R144" s="206" t="str">
        <f t="shared" si="32"/>
        <v>BS</v>
      </c>
      <c r="S144" s="206" t="str">
        <f t="shared" si="32"/>
        <v>all</v>
      </c>
      <c r="T144" s="205">
        <f t="shared" si="32"/>
        <v>40</v>
      </c>
      <c r="U144" s="205" t="str">
        <f t="shared" si="32"/>
        <v>Griff</v>
      </c>
      <c r="V144" s="205" t="str">
        <f t="shared" si="32"/>
        <v>x</v>
      </c>
      <c r="W144" s="205" t="str">
        <f t="shared" si="32"/>
        <v/>
      </c>
      <c r="X144" s="205" t="str">
        <f t="shared" si="32"/>
        <v/>
      </c>
      <c r="Y144" s="205" t="str">
        <f t="shared" si="32"/>
        <v>gs_handle_mat</v>
      </c>
    </row>
    <row r="145" spans="1:25">
      <c r="A145" s="204">
        <f t="shared" si="28"/>
        <v>143</v>
      </c>
      <c r="B145" s="205" t="str">
        <f t="shared" si="31"/>
        <v>x</v>
      </c>
      <c r="C145" s="205" t="str">
        <f t="shared" si="31"/>
        <v/>
      </c>
      <c r="D145" s="205" t="str">
        <f t="shared" si="31"/>
        <v/>
      </c>
      <c r="E145" s="205" t="str">
        <f t="shared" si="31"/>
        <v/>
      </c>
      <c r="F145" s="205" t="str">
        <f t="shared" si="31"/>
        <v/>
      </c>
      <c r="G145" s="205" t="str">
        <f t="shared" si="31"/>
        <v/>
      </c>
      <c r="H145" s="205" t="str">
        <f t="shared" si="31"/>
        <v/>
      </c>
      <c r="I145" s="205" t="str">
        <f t="shared" si="31"/>
        <v/>
      </c>
      <c r="J145" s="205" t="str">
        <f t="shared" si="31"/>
        <v/>
      </c>
      <c r="K145" s="205" t="str">
        <f t="shared" si="31"/>
        <v/>
      </c>
      <c r="L145" s="205" t="str">
        <f t="shared" si="32"/>
        <v>info</v>
      </c>
      <c r="M145" s="205" t="str">
        <f t="shared" si="32"/>
        <v>x</v>
      </c>
      <c r="N145" s="205" t="str">
        <f t="shared" si="32"/>
        <v/>
      </c>
      <c r="O145" s="205" t="str">
        <f t="shared" si="32"/>
        <v>model</v>
      </c>
      <c r="P145" s="206" t="str">
        <f t="shared" si="32"/>
        <v>Material</v>
      </c>
      <c r="Q145" s="206" t="str">
        <f t="shared" si="32"/>
        <v>x</v>
      </c>
      <c r="R145" s="206" t="str">
        <f t="shared" si="32"/>
        <v>BS</v>
      </c>
      <c r="S145" s="206" t="str">
        <f t="shared" si="32"/>
        <v>all</v>
      </c>
      <c r="T145" s="205">
        <f t="shared" si="32"/>
        <v>40</v>
      </c>
      <c r="U145" s="205" t="str">
        <f t="shared" si="32"/>
        <v>Griff Zubehör</v>
      </c>
      <c r="V145" s="205" t="str">
        <f t="shared" si="32"/>
        <v>x</v>
      </c>
      <c r="W145" s="205" t="str">
        <f t="shared" si="32"/>
        <v/>
      </c>
      <c r="X145" s="205" t="str">
        <f t="shared" si="32"/>
        <v/>
      </c>
      <c r="Y145" s="205" t="str">
        <f t="shared" si="32"/>
        <v>gs_handle_ac_mat</v>
      </c>
    </row>
    <row r="146" spans="1:25">
      <c r="A146" s="204">
        <f t="shared" si="28"/>
        <v>144</v>
      </c>
      <c r="B146" s="205" t="str">
        <f t="shared" si="31"/>
        <v>x</v>
      </c>
      <c r="C146" s="205" t="str">
        <f t="shared" si="31"/>
        <v/>
      </c>
      <c r="D146" s="205" t="str">
        <f t="shared" si="31"/>
        <v/>
      </c>
      <c r="E146" s="205" t="str">
        <f t="shared" si="31"/>
        <v/>
      </c>
      <c r="F146" s="205" t="str">
        <f t="shared" si="31"/>
        <v/>
      </c>
      <c r="G146" s="205" t="str">
        <f t="shared" si="31"/>
        <v/>
      </c>
      <c r="H146" s="205" t="str">
        <f t="shared" si="31"/>
        <v/>
      </c>
      <c r="I146" s="205" t="str">
        <f t="shared" si="31"/>
        <v/>
      </c>
      <c r="J146" s="205" t="str">
        <f t="shared" si="31"/>
        <v/>
      </c>
      <c r="K146" s="205" t="str">
        <f t="shared" si="31"/>
        <v/>
      </c>
      <c r="L146" s="205" t="str">
        <f t="shared" si="32"/>
        <v>info</v>
      </c>
      <c r="M146" s="205" t="str">
        <f t="shared" si="32"/>
        <v>x</v>
      </c>
      <c r="N146" s="205" t="str">
        <f t="shared" si="32"/>
        <v/>
      </c>
      <c r="O146" s="205" t="str">
        <f t="shared" si="32"/>
        <v>model</v>
      </c>
      <c r="P146" s="206" t="str">
        <f t="shared" si="32"/>
        <v>Material</v>
      </c>
      <c r="Q146" s="206" t="str">
        <f t="shared" si="32"/>
        <v>x</v>
      </c>
      <c r="R146" s="206" t="str">
        <f t="shared" si="32"/>
        <v>BS</v>
      </c>
      <c r="S146" s="206" t="str">
        <f t="shared" si="32"/>
        <v>all</v>
      </c>
      <c r="T146" s="205">
        <f t="shared" si="32"/>
        <v>15</v>
      </c>
      <c r="U146" s="205" t="str">
        <f t="shared" si="32"/>
        <v>Schwelle Oberflächenmaterial</v>
      </c>
      <c r="V146" s="205" t="str">
        <f t="shared" si="32"/>
        <v>x</v>
      </c>
      <c r="W146" s="205" t="str">
        <f t="shared" si="32"/>
        <v/>
      </c>
      <c r="X146" s="205" t="str">
        <f t="shared" si="32"/>
        <v/>
      </c>
      <c r="Y146" s="205" t="str">
        <f t="shared" si="32"/>
        <v>matThreshold</v>
      </c>
    </row>
    <row r="147" spans="1:25">
      <c r="A147" s="204">
        <f t="shared" si="28"/>
        <v>145</v>
      </c>
      <c r="B147" s="205" t="str">
        <f t="shared" si="31"/>
        <v>x</v>
      </c>
      <c r="C147" s="205" t="str">
        <f t="shared" si="31"/>
        <v/>
      </c>
      <c r="D147" s="205" t="str">
        <f t="shared" si="31"/>
        <v/>
      </c>
      <c r="E147" s="205" t="str">
        <f t="shared" si="31"/>
        <v/>
      </c>
      <c r="F147" s="205" t="str">
        <f t="shared" si="31"/>
        <v/>
      </c>
      <c r="G147" s="205" t="str">
        <f t="shared" si="31"/>
        <v/>
      </c>
      <c r="H147" s="205" t="str">
        <f t="shared" si="31"/>
        <v/>
      </c>
      <c r="I147" s="205" t="str">
        <f t="shared" si="31"/>
        <v/>
      </c>
      <c r="J147" s="205" t="str">
        <f t="shared" si="31"/>
        <v/>
      </c>
      <c r="K147" s="205" t="str">
        <f t="shared" si="31"/>
        <v/>
      </c>
      <c r="L147" s="205" t="str">
        <f t="shared" si="32"/>
        <v>info</v>
      </c>
      <c r="M147" s="205" t="str">
        <f t="shared" si="32"/>
        <v>x</v>
      </c>
      <c r="N147" s="205" t="str">
        <f t="shared" si="32"/>
        <v/>
      </c>
      <c r="O147" s="205" t="str">
        <f t="shared" si="32"/>
        <v>model</v>
      </c>
      <c r="P147" s="206" t="str">
        <f t="shared" si="32"/>
        <v>Material</v>
      </c>
      <c r="Q147" s="206" t="str">
        <f t="shared" si="32"/>
        <v>x</v>
      </c>
      <c r="R147" s="206" t="str">
        <f t="shared" si="32"/>
        <v>BS</v>
      </c>
      <c r="S147" s="206" t="str">
        <f t="shared" si="32"/>
        <v>all</v>
      </c>
      <c r="T147" s="205">
        <f t="shared" si="32"/>
        <v>45</v>
      </c>
      <c r="U147" s="205" t="str">
        <f t="shared" si="32"/>
        <v>Schwelle Metallmaterial</v>
      </c>
      <c r="V147" s="205" t="str">
        <f t="shared" si="32"/>
        <v>x</v>
      </c>
      <c r="W147" s="205" t="str">
        <f t="shared" si="32"/>
        <v/>
      </c>
      <c r="X147" s="205" t="str">
        <f t="shared" si="32"/>
        <v/>
      </c>
      <c r="Y147" s="205" t="str">
        <f t="shared" si="32"/>
        <v>matThresholdMet</v>
      </c>
    </row>
    <row r="148" spans="1:25">
      <c r="A148" s="204">
        <f t="shared" si="28"/>
        <v>146</v>
      </c>
      <c r="B148" s="205" t="str">
        <f t="shared" si="31"/>
        <v>x</v>
      </c>
      <c r="C148" s="205" t="str">
        <f t="shared" si="31"/>
        <v/>
      </c>
      <c r="D148" s="205" t="str">
        <f t="shared" si="31"/>
        <v/>
      </c>
      <c r="E148" s="205" t="str">
        <f t="shared" si="31"/>
        <v/>
      </c>
      <c r="F148" s="205" t="str">
        <f t="shared" si="31"/>
        <v/>
      </c>
      <c r="G148" s="205" t="str">
        <f t="shared" si="31"/>
        <v/>
      </c>
      <c r="H148" s="205" t="str">
        <f t="shared" si="31"/>
        <v/>
      </c>
      <c r="I148" s="205" t="str">
        <f t="shared" si="31"/>
        <v/>
      </c>
      <c r="J148" s="205" t="str">
        <f t="shared" si="31"/>
        <v/>
      </c>
      <c r="K148" s="205" t="str">
        <f t="shared" si="31"/>
        <v/>
      </c>
      <c r="L148" s="205" t="str">
        <f t="shared" si="32"/>
        <v>info</v>
      </c>
      <c r="M148" s="205" t="str">
        <f t="shared" si="32"/>
        <v>x</v>
      </c>
      <c r="N148" s="205" t="str">
        <f t="shared" si="32"/>
        <v/>
      </c>
      <c r="O148" s="205" t="str">
        <f t="shared" si="32"/>
        <v>model</v>
      </c>
      <c r="P148" s="206" t="str">
        <f t="shared" si="32"/>
        <v>Material</v>
      </c>
      <c r="Q148" s="206" t="str">
        <f t="shared" si="32"/>
        <v>x</v>
      </c>
      <c r="R148" s="206" t="str">
        <f t="shared" si="32"/>
        <v>BS</v>
      </c>
      <c r="S148" s="206" t="str">
        <f t="shared" si="32"/>
        <v>all</v>
      </c>
      <c r="T148" s="205">
        <f t="shared" si="32"/>
        <v>15</v>
      </c>
      <c r="U148" s="205" t="str">
        <f t="shared" si="32"/>
        <v>Blindschwelle Oberflächenmaterial</v>
      </c>
      <c r="V148" s="205" t="str">
        <f t="shared" si="32"/>
        <v>x</v>
      </c>
      <c r="W148" s="205" t="str">
        <f t="shared" si="32"/>
        <v/>
      </c>
      <c r="X148" s="205" t="str">
        <f t="shared" si="32"/>
        <v/>
      </c>
      <c r="Y148" s="205" t="str">
        <f t="shared" si="32"/>
        <v>matBlindThreshold</v>
      </c>
    </row>
    <row r="149" spans="1:25">
      <c r="A149" s="204">
        <f t="shared" si="28"/>
        <v>147</v>
      </c>
      <c r="B149" s="205" t="str">
        <f t="shared" si="31"/>
        <v/>
      </c>
      <c r="C149" s="205" t="str">
        <f t="shared" si="31"/>
        <v/>
      </c>
      <c r="D149" s="205" t="str">
        <f t="shared" si="31"/>
        <v/>
      </c>
      <c r="E149" s="205" t="str">
        <f t="shared" si="31"/>
        <v/>
      </c>
      <c r="F149" s="205" t="str">
        <f t="shared" si="31"/>
        <v/>
      </c>
      <c r="G149" s="205" t="str">
        <f t="shared" si="31"/>
        <v/>
      </c>
      <c r="H149" s="205" t="str">
        <f t="shared" si="31"/>
        <v/>
      </c>
      <c r="I149" s="205" t="str">
        <f t="shared" si="31"/>
        <v/>
      </c>
      <c r="J149" s="205" t="str">
        <f t="shared" si="31"/>
        <v/>
      </c>
      <c r="K149" s="205" t="str">
        <f t="shared" si="31"/>
        <v/>
      </c>
      <c r="L149" s="205" t="str">
        <f t="shared" si="32"/>
        <v>info</v>
      </c>
      <c r="M149" s="205" t="str">
        <f t="shared" si="32"/>
        <v>x</v>
      </c>
      <c r="N149" s="205" t="str">
        <f t="shared" si="32"/>
        <v/>
      </c>
      <c r="O149" s="205" t="str">
        <f t="shared" si="32"/>
        <v>model</v>
      </c>
      <c r="P149" s="206" t="str">
        <f t="shared" si="32"/>
        <v>Boolean</v>
      </c>
      <c r="Q149" s="206" t="str">
        <f t="shared" si="32"/>
        <v>x</v>
      </c>
      <c r="R149" s="206" t="str">
        <f t="shared" si="32"/>
        <v>BS</v>
      </c>
      <c r="S149" s="206" t="str">
        <f t="shared" si="32"/>
        <v>all</v>
      </c>
      <c r="T149" s="205">
        <f t="shared" si="32"/>
        <v>1</v>
      </c>
      <c r="U149" s="205" t="str">
        <f t="shared" si="32"/>
        <v>Einheitliche Oberflächen Verkleidung</v>
      </c>
      <c r="V149" s="205" t="str">
        <f t="shared" si="32"/>
        <v>x</v>
      </c>
      <c r="W149" s="205" t="str">
        <f t="shared" si="32"/>
        <v/>
      </c>
      <c r="X149" s="205" t="str">
        <f t="shared" si="32"/>
        <v/>
      </c>
      <c r="Y149" s="205" t="str">
        <f t="shared" si="32"/>
        <v>bLinkCasingSurfaces</v>
      </c>
    </row>
    <row r="150" spans="1:25">
      <c r="A150" s="204">
        <f t="shared" si="28"/>
        <v>148</v>
      </c>
      <c r="B150" s="205" t="str">
        <f t="shared" si="31"/>
        <v/>
      </c>
      <c r="C150" s="205" t="str">
        <f t="shared" si="31"/>
        <v>x</v>
      </c>
      <c r="D150" s="205" t="str">
        <f t="shared" si="31"/>
        <v/>
      </c>
      <c r="E150" s="205" t="str">
        <f t="shared" si="31"/>
        <v/>
      </c>
      <c r="F150" s="205" t="str">
        <f t="shared" si="31"/>
        <v/>
      </c>
      <c r="G150" s="205" t="str">
        <f t="shared" si="31"/>
        <v/>
      </c>
      <c r="H150" s="205" t="str">
        <f t="shared" si="31"/>
        <v/>
      </c>
      <c r="I150" s="205" t="str">
        <f t="shared" si="31"/>
        <v/>
      </c>
      <c r="J150" s="205" t="str">
        <f t="shared" si="31"/>
        <v/>
      </c>
      <c r="K150" s="205" t="str">
        <f t="shared" si="31"/>
        <v/>
      </c>
      <c r="L150" s="205" t="str">
        <f t="shared" si="32"/>
        <v>info</v>
      </c>
      <c r="M150" s="205" t="str">
        <f t="shared" si="32"/>
        <v>x</v>
      </c>
      <c r="N150" s="205" t="str">
        <f t="shared" si="32"/>
        <v/>
      </c>
      <c r="O150" s="205" t="str">
        <f t="shared" si="32"/>
        <v>model</v>
      </c>
      <c r="P150" s="206" t="str">
        <f t="shared" si="32"/>
        <v>Integer</v>
      </c>
      <c r="Q150" s="206" t="str">
        <f t="shared" si="32"/>
        <v>x</v>
      </c>
      <c r="R150" s="206" t="str">
        <f t="shared" si="32"/>
        <v>BS</v>
      </c>
      <c r="S150" s="206" t="str">
        <f t="shared" si="32"/>
        <v>all</v>
      </c>
      <c r="T150" s="205" t="str">
        <f t="shared" si="32"/>
        <v>{array}</v>
      </c>
      <c r="U150" s="205" t="str">
        <f t="shared" si="32"/>
        <v/>
      </c>
      <c r="V150" s="205" t="str">
        <f t="shared" si="32"/>
        <v>x</v>
      </c>
      <c r="W150" s="205" t="str">
        <f t="shared" si="32"/>
        <v/>
      </c>
      <c r="X150" s="205" t="str">
        <f t="shared" si="32"/>
        <v/>
      </c>
      <c r="Y150" s="205" t="str">
        <f t="shared" si="32"/>
        <v>stored_material</v>
      </c>
    </row>
    <row r="151" spans="1:25">
      <c r="A151" s="204">
        <f t="shared" si="28"/>
        <v>149</v>
      </c>
      <c r="B151" s="205" t="str">
        <f t="shared" si="31"/>
        <v>x</v>
      </c>
      <c r="C151" s="205" t="str">
        <f t="shared" si="31"/>
        <v/>
      </c>
      <c r="D151" s="205" t="str">
        <f t="shared" si="31"/>
        <v/>
      </c>
      <c r="E151" s="205" t="str">
        <f t="shared" si="31"/>
        <v/>
      </c>
      <c r="F151" s="205" t="str">
        <f t="shared" si="31"/>
        <v/>
      </c>
      <c r="G151" s="205" t="str">
        <f t="shared" si="31"/>
        <v/>
      </c>
      <c r="H151" s="205" t="str">
        <f t="shared" si="31"/>
        <v/>
      </c>
      <c r="I151" s="205" t="str">
        <f t="shared" si="31"/>
        <v/>
      </c>
      <c r="J151" s="205" t="str">
        <f t="shared" si="31"/>
        <v/>
      </c>
      <c r="K151" s="205" t="str">
        <f t="shared" si="31"/>
        <v/>
      </c>
      <c r="L151" s="205" t="str">
        <f t="shared" si="32"/>
        <v>info</v>
      </c>
      <c r="M151" s="205" t="str">
        <f t="shared" si="32"/>
        <v>x</v>
      </c>
      <c r="N151" s="205" t="str">
        <f t="shared" si="32"/>
        <v/>
      </c>
      <c r="O151" s="205" t="str">
        <f t="shared" si="32"/>
        <v>model</v>
      </c>
      <c r="P151" s="206" t="str">
        <f t="shared" si="32"/>
        <v>Material</v>
      </c>
      <c r="Q151" s="206" t="str">
        <f t="shared" si="32"/>
        <v>x</v>
      </c>
      <c r="R151" s="206" t="str">
        <f t="shared" si="32"/>
        <v>BS</v>
      </c>
      <c r="S151" s="206" t="str">
        <f t="shared" si="32"/>
        <v>all</v>
      </c>
      <c r="T151" s="205">
        <f t="shared" si="32"/>
        <v>133</v>
      </c>
      <c r="U151" s="205" t="str">
        <f t="shared" si="32"/>
        <v>Innenverkleidung Oberflächenmaterial</v>
      </c>
      <c r="V151" s="205" t="str">
        <f t="shared" si="32"/>
        <v>x</v>
      </c>
      <c r="W151" s="205" t="str">
        <f t="shared" si="32"/>
        <v/>
      </c>
      <c r="X151" s="205" t="str">
        <f t="shared" si="32"/>
        <v/>
      </c>
      <c r="Y151" s="205" t="str">
        <f t="shared" si="32"/>
        <v>gs_trim_in_mat</v>
      </c>
    </row>
    <row r="152" spans="1:25">
      <c r="A152" s="204">
        <f t="shared" si="28"/>
        <v>150</v>
      </c>
      <c r="B152" s="205" t="str">
        <f t="shared" si="31"/>
        <v>x</v>
      </c>
      <c r="C152" s="205" t="str">
        <f t="shared" si="31"/>
        <v/>
      </c>
      <c r="D152" s="205" t="str">
        <f t="shared" si="31"/>
        <v/>
      </c>
      <c r="E152" s="205" t="str">
        <f t="shared" si="31"/>
        <v/>
      </c>
      <c r="F152" s="205" t="str">
        <f t="shared" si="31"/>
        <v/>
      </c>
      <c r="G152" s="205" t="str">
        <f t="shared" si="31"/>
        <v/>
      </c>
      <c r="H152" s="205" t="str">
        <f t="shared" si="31"/>
        <v/>
      </c>
      <c r="I152" s="205" t="str">
        <f t="shared" si="31"/>
        <v/>
      </c>
      <c r="J152" s="205" t="str">
        <f t="shared" si="31"/>
        <v/>
      </c>
      <c r="K152" s="205" t="str">
        <f t="shared" si="31"/>
        <v/>
      </c>
      <c r="L152" s="205" t="str">
        <f t="shared" si="32"/>
        <v>info</v>
      </c>
      <c r="M152" s="205" t="str">
        <f t="shared" si="32"/>
        <v>x</v>
      </c>
      <c r="N152" s="205" t="str">
        <f t="shared" si="32"/>
        <v/>
      </c>
      <c r="O152" s="205" t="str">
        <f t="shared" si="32"/>
        <v>model</v>
      </c>
      <c r="P152" s="206" t="str">
        <f t="shared" si="32"/>
        <v>Material</v>
      </c>
      <c r="Q152" s="206" t="str">
        <f t="shared" si="32"/>
        <v>x</v>
      </c>
      <c r="R152" s="206" t="str">
        <f t="shared" si="32"/>
        <v>BS</v>
      </c>
      <c r="S152" s="206" t="str">
        <f t="shared" si="32"/>
        <v>all</v>
      </c>
      <c r="T152" s="205">
        <f t="shared" si="32"/>
        <v>133</v>
      </c>
      <c r="U152" s="205" t="str">
        <f t="shared" si="32"/>
        <v>Außenverkleidung Oberflächenmaterial</v>
      </c>
      <c r="V152" s="205" t="str">
        <f t="shared" si="32"/>
        <v>x</v>
      </c>
      <c r="W152" s="205" t="str">
        <f t="shared" si="32"/>
        <v/>
      </c>
      <c r="X152" s="205" t="str">
        <f t="shared" si="32"/>
        <v/>
      </c>
      <c r="Y152" s="205" t="str">
        <f t="shared" si="32"/>
        <v>gs_trim_out_mat</v>
      </c>
    </row>
    <row r="153" spans="1:25">
      <c r="A153" s="204">
        <f t="shared" si="28"/>
        <v>151</v>
      </c>
      <c r="B153" s="205" t="str">
        <f t="shared" ref="B153:K162" si="33">IF(ISNONTEXT(B$2),IF(B$2="","",IF(INDEX(IMPORT,$A153,B$2)=0,"",IFERROR(VLOOKUP(INDEX(IMPORT,$A153,B$2),ImportTranslation,2,0),INDEX(IMPORT,$A153,B$2)))),B$2)</f>
        <v>x</v>
      </c>
      <c r="C153" s="205" t="str">
        <f t="shared" si="33"/>
        <v/>
      </c>
      <c r="D153" s="205" t="str">
        <f t="shared" si="33"/>
        <v/>
      </c>
      <c r="E153" s="205" t="str">
        <f t="shared" si="33"/>
        <v/>
      </c>
      <c r="F153" s="205" t="str">
        <f t="shared" si="33"/>
        <v/>
      </c>
      <c r="G153" s="205" t="str">
        <f t="shared" si="33"/>
        <v/>
      </c>
      <c r="H153" s="205" t="str">
        <f t="shared" si="33"/>
        <v/>
      </c>
      <c r="I153" s="205" t="str">
        <f t="shared" si="33"/>
        <v/>
      </c>
      <c r="J153" s="205" t="str">
        <f t="shared" si="33"/>
        <v/>
      </c>
      <c r="K153" s="205" t="str">
        <f t="shared" si="33"/>
        <v/>
      </c>
      <c r="L153" s="205" t="str">
        <f t="shared" ref="L153:Y162" si="34">IF(ISNONTEXT(L$2),IF(L$2="","",IF(INDEX(IMPORT,$A153,L$2)=0,"",IFERROR(VLOOKUP(INDEX(IMPORT,$A153,L$2),ImportTranslation,2,0),INDEX(IMPORT,$A153,L$2)))),L$2)</f>
        <v>info</v>
      </c>
      <c r="M153" s="205" t="str">
        <f t="shared" si="34"/>
        <v/>
      </c>
      <c r="N153" s="205" t="str">
        <f t="shared" si="34"/>
        <v/>
      </c>
      <c r="O153" s="205" t="str">
        <f t="shared" si="34"/>
        <v>model</v>
      </c>
      <c r="P153" s="206" t="str">
        <f t="shared" si="34"/>
        <v>Boolean</v>
      </c>
      <c r="Q153" s="206" t="str">
        <f t="shared" si="34"/>
        <v>x</v>
      </c>
      <c r="R153" s="206" t="str">
        <f t="shared" si="34"/>
        <v>BS</v>
      </c>
      <c r="S153" s="206" t="str">
        <f t="shared" si="34"/>
        <v>all</v>
      </c>
      <c r="T153" s="205" t="str">
        <f t="shared" si="34"/>
        <v/>
      </c>
      <c r="U153" s="205" t="str">
        <f t="shared" si="34"/>
        <v>Schwelle</v>
      </c>
      <c r="V153" s="205" t="str">
        <f t="shared" si="34"/>
        <v/>
      </c>
      <c r="W153" s="205" t="str">
        <f t="shared" si="34"/>
        <v/>
      </c>
      <c r="X153" s="205" t="str">
        <f t="shared" si="34"/>
        <v/>
      </c>
      <c r="Y153" s="205" t="str">
        <f t="shared" si="34"/>
        <v>bThreshold</v>
      </c>
    </row>
    <row r="154" spans="1:25">
      <c r="A154" s="204">
        <f t="shared" si="28"/>
        <v>152</v>
      </c>
      <c r="B154" s="205" t="str">
        <f t="shared" si="33"/>
        <v>x</v>
      </c>
      <c r="C154" s="205" t="str">
        <f t="shared" si="33"/>
        <v/>
      </c>
      <c r="D154" s="205" t="str">
        <f t="shared" si="33"/>
        <v/>
      </c>
      <c r="E154" s="205" t="str">
        <f t="shared" si="33"/>
        <v/>
      </c>
      <c r="F154" s="205" t="str">
        <f t="shared" si="33"/>
        <v/>
      </c>
      <c r="G154" s="205" t="str">
        <f t="shared" si="33"/>
        <v/>
      </c>
      <c r="H154" s="205" t="str">
        <f t="shared" si="33"/>
        <v/>
      </c>
      <c r="I154" s="205" t="str">
        <f t="shared" si="33"/>
        <v/>
      </c>
      <c r="J154" s="205" t="str">
        <f t="shared" si="33"/>
        <v/>
      </c>
      <c r="K154" s="205" t="str">
        <f t="shared" si="33"/>
        <v/>
      </c>
      <c r="L154" s="205" t="str">
        <f t="shared" si="34"/>
        <v>info</v>
      </c>
      <c r="M154" s="205" t="str">
        <f t="shared" si="34"/>
        <v>x</v>
      </c>
      <c r="N154" s="205" t="str">
        <f t="shared" si="34"/>
        <v/>
      </c>
      <c r="O154" s="205" t="str">
        <f t="shared" si="34"/>
        <v>model</v>
      </c>
      <c r="P154" s="206" t="str">
        <f t="shared" si="34"/>
        <v>String</v>
      </c>
      <c r="Q154" s="206" t="str">
        <f t="shared" si="34"/>
        <v>x</v>
      </c>
      <c r="R154" s="206" t="str">
        <f t="shared" si="34"/>
        <v>BS</v>
      </c>
      <c r="S154" s="206" t="str">
        <f t="shared" si="34"/>
        <v>all</v>
      </c>
      <c r="T154" s="205" t="str">
        <f t="shared" si="34"/>
        <v>Normal</v>
      </c>
      <c r="U154" s="205" t="str">
        <f t="shared" si="34"/>
        <v>Schwellentyp</v>
      </c>
      <c r="V154" s="205" t="str">
        <f t="shared" si="34"/>
        <v>x</v>
      </c>
      <c r="W154" s="205" t="str">
        <f t="shared" si="34"/>
        <v/>
      </c>
      <c r="X154" s="205" t="str">
        <f t="shared" si="34"/>
        <v/>
      </c>
      <c r="Y154" s="205" t="str">
        <f t="shared" si="34"/>
        <v>thresholdType</v>
      </c>
    </row>
    <row r="155" spans="1:25">
      <c r="A155" s="204">
        <f t="shared" si="28"/>
        <v>153</v>
      </c>
      <c r="B155" s="205" t="str">
        <f t="shared" si="33"/>
        <v>x</v>
      </c>
      <c r="C155" s="205" t="str">
        <f t="shared" si="33"/>
        <v>x</v>
      </c>
      <c r="D155" s="205" t="str">
        <f t="shared" si="33"/>
        <v/>
      </c>
      <c r="E155" s="205" t="str">
        <f t="shared" si="33"/>
        <v/>
      </c>
      <c r="F155" s="205" t="str">
        <f t="shared" si="33"/>
        <v/>
      </c>
      <c r="G155" s="205" t="str">
        <f t="shared" si="33"/>
        <v/>
      </c>
      <c r="H155" s="205" t="str">
        <f t="shared" si="33"/>
        <v/>
      </c>
      <c r="I155" s="205" t="str">
        <f t="shared" si="33"/>
        <v/>
      </c>
      <c r="J155" s="205" t="str">
        <f t="shared" si="33"/>
        <v/>
      </c>
      <c r="K155" s="205" t="str">
        <f t="shared" si="33"/>
        <v/>
      </c>
      <c r="L155" s="205" t="str">
        <f t="shared" si="34"/>
        <v>info</v>
      </c>
      <c r="M155" s="205" t="str">
        <f t="shared" si="34"/>
        <v>x</v>
      </c>
      <c r="N155" s="205" t="str">
        <f t="shared" si="34"/>
        <v/>
      </c>
      <c r="O155" s="205" t="str">
        <f t="shared" si="34"/>
        <v>model</v>
      </c>
      <c r="P155" s="206" t="str">
        <f t="shared" si="34"/>
        <v>Integer</v>
      </c>
      <c r="Q155" s="206" t="str">
        <f t="shared" si="34"/>
        <v>x</v>
      </c>
      <c r="R155" s="206" t="str">
        <f t="shared" si="34"/>
        <v>BS</v>
      </c>
      <c r="S155" s="206" t="str">
        <f t="shared" si="34"/>
        <v>all</v>
      </c>
      <c r="T155" s="205">
        <f t="shared" si="34"/>
        <v>1</v>
      </c>
      <c r="U155" s="205" t="str">
        <f t="shared" si="34"/>
        <v>Schwelle</v>
      </c>
      <c r="V155" s="205" t="str">
        <f t="shared" si="34"/>
        <v>x</v>
      </c>
      <c r="W155" s="205" t="str">
        <f t="shared" si="34"/>
        <v/>
      </c>
      <c r="X155" s="205" t="str">
        <f t="shared" si="34"/>
        <v/>
      </c>
      <c r="Y155" s="205" t="str">
        <f t="shared" si="34"/>
        <v>iThresholdType</v>
      </c>
    </row>
    <row r="156" spans="1:25">
      <c r="A156" s="204">
        <f t="shared" si="28"/>
        <v>154</v>
      </c>
      <c r="B156" s="205" t="str">
        <f t="shared" si="33"/>
        <v>x</v>
      </c>
      <c r="C156" s="205" t="str">
        <f t="shared" si="33"/>
        <v>x</v>
      </c>
      <c r="D156" s="205" t="str">
        <f t="shared" si="33"/>
        <v/>
      </c>
      <c r="E156" s="205" t="str">
        <f t="shared" si="33"/>
        <v/>
      </c>
      <c r="F156" s="205" t="str">
        <f t="shared" si="33"/>
        <v/>
      </c>
      <c r="G156" s="205" t="str">
        <f t="shared" si="33"/>
        <v/>
      </c>
      <c r="H156" s="205" t="str">
        <f t="shared" si="33"/>
        <v/>
      </c>
      <c r="I156" s="205" t="str">
        <f t="shared" si="33"/>
        <v/>
      </c>
      <c r="J156" s="205" t="str">
        <f t="shared" si="33"/>
        <v/>
      </c>
      <c r="K156" s="205" t="str">
        <f t="shared" si="33"/>
        <v/>
      </c>
      <c r="L156" s="205" t="str">
        <f t="shared" si="34"/>
        <v>info</v>
      </c>
      <c r="M156" s="205" t="str">
        <f t="shared" si="34"/>
        <v>x</v>
      </c>
      <c r="N156" s="205" t="str">
        <f t="shared" si="34"/>
        <v/>
      </c>
      <c r="O156" s="205" t="str">
        <f t="shared" si="34"/>
        <v>model</v>
      </c>
      <c r="P156" s="206" t="str">
        <f t="shared" si="34"/>
        <v>Integer</v>
      </c>
      <c r="Q156" s="206" t="str">
        <f t="shared" si="34"/>
        <v>x</v>
      </c>
      <c r="R156" s="206" t="str">
        <f t="shared" si="34"/>
        <v>BS</v>
      </c>
      <c r="S156" s="206" t="str">
        <f t="shared" si="34"/>
        <v>all</v>
      </c>
      <c r="T156" s="205">
        <f t="shared" si="34"/>
        <v>1</v>
      </c>
      <c r="U156" s="205" t="str">
        <f t="shared" si="34"/>
        <v>Standard-Schwelle Typ</v>
      </c>
      <c r="V156" s="205" t="str">
        <f t="shared" si="34"/>
        <v>x</v>
      </c>
      <c r="W156" s="205" t="str">
        <f t="shared" si="34"/>
        <v/>
      </c>
      <c r="X156" s="205" t="str">
        <f t="shared" si="34"/>
        <v/>
      </c>
      <c r="Y156" s="205" t="str">
        <f t="shared" si="34"/>
        <v>iNormalThresholdType</v>
      </c>
    </row>
    <row r="157" spans="1:25">
      <c r="A157" s="204">
        <f t="shared" si="28"/>
        <v>155</v>
      </c>
      <c r="B157" s="205" t="str">
        <f t="shared" si="33"/>
        <v>x</v>
      </c>
      <c r="C157" s="205" t="str">
        <f t="shared" si="33"/>
        <v/>
      </c>
      <c r="D157" s="205" t="str">
        <f t="shared" si="33"/>
        <v/>
      </c>
      <c r="E157" s="205" t="str">
        <f t="shared" si="33"/>
        <v/>
      </c>
      <c r="F157" s="205" t="str">
        <f t="shared" si="33"/>
        <v/>
      </c>
      <c r="G157" s="205" t="str">
        <f t="shared" si="33"/>
        <v/>
      </c>
      <c r="H157" s="205" t="str">
        <f t="shared" si="33"/>
        <v/>
      </c>
      <c r="I157" s="205" t="str">
        <f t="shared" si="33"/>
        <v/>
      </c>
      <c r="J157" s="205" t="str">
        <f t="shared" si="33"/>
        <v/>
      </c>
      <c r="K157" s="205" t="str">
        <f t="shared" si="33"/>
        <v/>
      </c>
      <c r="L157" s="205" t="str">
        <f t="shared" si="34"/>
        <v>info</v>
      </c>
      <c r="M157" s="205" t="str">
        <f t="shared" si="34"/>
        <v>x</v>
      </c>
      <c r="N157" s="205" t="str">
        <f t="shared" si="34"/>
        <v/>
      </c>
      <c r="O157" s="205" t="str">
        <f t="shared" si="34"/>
        <v>model</v>
      </c>
      <c r="P157" s="206" t="str">
        <f t="shared" si="34"/>
        <v>Boolean</v>
      </c>
      <c r="Q157" s="206" t="str">
        <f t="shared" si="34"/>
        <v>x</v>
      </c>
      <c r="R157" s="206" t="str">
        <f t="shared" si="34"/>
        <v>BS</v>
      </c>
      <c r="S157" s="206" t="str">
        <f t="shared" si="34"/>
        <v>all</v>
      </c>
      <c r="T157" s="205" t="str">
        <f t="shared" si="34"/>
        <v/>
      </c>
      <c r="U157" s="205" t="str">
        <f t="shared" si="34"/>
        <v>Blindschwelle</v>
      </c>
      <c r="V157" s="205" t="str">
        <f t="shared" si="34"/>
        <v>x</v>
      </c>
      <c r="W157" s="205" t="str">
        <f t="shared" si="34"/>
        <v/>
      </c>
      <c r="X157" s="205" t="str">
        <f t="shared" si="34"/>
        <v/>
      </c>
      <c r="Y157" s="205" t="str">
        <f t="shared" si="34"/>
        <v>bBlindThreshold</v>
      </c>
    </row>
    <row r="158" spans="1:25">
      <c r="A158" s="204">
        <f t="shared" si="28"/>
        <v>156</v>
      </c>
      <c r="B158" s="205" t="str">
        <f t="shared" si="33"/>
        <v>x</v>
      </c>
      <c r="C158" s="205" t="str">
        <f t="shared" si="33"/>
        <v/>
      </c>
      <c r="D158" s="205" t="str">
        <f t="shared" si="33"/>
        <v/>
      </c>
      <c r="E158" s="205" t="str">
        <f t="shared" si="33"/>
        <v/>
      </c>
      <c r="F158" s="205" t="str">
        <f t="shared" si="33"/>
        <v/>
      </c>
      <c r="G158" s="205" t="str">
        <f t="shared" si="33"/>
        <v/>
      </c>
      <c r="H158" s="205" t="str">
        <f t="shared" si="33"/>
        <v/>
      </c>
      <c r="I158" s="205" t="str">
        <f t="shared" si="33"/>
        <v/>
      </c>
      <c r="J158" s="205" t="str">
        <f t="shared" si="33"/>
        <v/>
      </c>
      <c r="K158" s="205" t="str">
        <f t="shared" si="33"/>
        <v/>
      </c>
      <c r="L158" s="205" t="str">
        <f t="shared" si="34"/>
        <v>info</v>
      </c>
      <c r="M158" s="205" t="str">
        <f t="shared" si="34"/>
        <v>x</v>
      </c>
      <c r="N158" s="205" t="str">
        <f t="shared" si="34"/>
        <v/>
      </c>
      <c r="O158" s="205" t="str">
        <f t="shared" si="34"/>
        <v>model</v>
      </c>
      <c r="P158" s="206" t="str">
        <f t="shared" si="34"/>
        <v>Length</v>
      </c>
      <c r="Q158" s="206" t="str">
        <f t="shared" si="34"/>
        <v>x</v>
      </c>
      <c r="R158" s="206" t="str">
        <f t="shared" si="34"/>
        <v>BS</v>
      </c>
      <c r="S158" s="206" t="str">
        <f t="shared" si="34"/>
        <v>all</v>
      </c>
      <c r="T158" s="205">
        <f t="shared" si="34"/>
        <v>0.02</v>
      </c>
      <c r="U158" s="205" t="str">
        <f t="shared" si="34"/>
        <v>Schwellenhöhe</v>
      </c>
      <c r="V158" s="205" t="str">
        <f t="shared" si="34"/>
        <v>x</v>
      </c>
      <c r="W158" s="205" t="str">
        <f t="shared" si="34"/>
        <v/>
      </c>
      <c r="X158" s="205" t="str">
        <f t="shared" si="34"/>
        <v/>
      </c>
      <c r="Y158" s="205" t="str">
        <f t="shared" si="34"/>
        <v>thresholdHeight3D</v>
      </c>
    </row>
    <row r="159" spans="1:25">
      <c r="A159" s="204">
        <f t="shared" si="28"/>
        <v>157</v>
      </c>
      <c r="B159" s="205" t="str">
        <f t="shared" si="33"/>
        <v>x</v>
      </c>
      <c r="C159" s="205" t="str">
        <f t="shared" si="33"/>
        <v/>
      </c>
      <c r="D159" s="205" t="str">
        <f t="shared" si="33"/>
        <v/>
      </c>
      <c r="E159" s="205" t="str">
        <f t="shared" si="33"/>
        <v/>
      </c>
      <c r="F159" s="205" t="str">
        <f t="shared" si="33"/>
        <v/>
      </c>
      <c r="G159" s="205" t="str">
        <f t="shared" si="33"/>
        <v/>
      </c>
      <c r="H159" s="205" t="str">
        <f t="shared" si="33"/>
        <v/>
      </c>
      <c r="I159" s="205" t="str">
        <f t="shared" si="33"/>
        <v/>
      </c>
      <c r="J159" s="205" t="str">
        <f t="shared" si="33"/>
        <v/>
      </c>
      <c r="K159" s="205" t="str">
        <f t="shared" si="33"/>
        <v/>
      </c>
      <c r="L159" s="205" t="str">
        <f t="shared" si="34"/>
        <v>info</v>
      </c>
      <c r="M159" s="205" t="str">
        <f t="shared" si="34"/>
        <v>x</v>
      </c>
      <c r="N159" s="205" t="str">
        <f t="shared" si="34"/>
        <v/>
      </c>
      <c r="O159" s="205" t="str">
        <f t="shared" si="34"/>
        <v>model</v>
      </c>
      <c r="P159" s="206" t="str">
        <f t="shared" si="34"/>
        <v>Length</v>
      </c>
      <c r="Q159" s="206" t="str">
        <f t="shared" si="34"/>
        <v>x</v>
      </c>
      <c r="R159" s="206" t="str">
        <f t="shared" si="34"/>
        <v>BS</v>
      </c>
      <c r="S159" s="206" t="str">
        <f t="shared" si="34"/>
        <v>all</v>
      </c>
      <c r="T159" s="205">
        <f t="shared" si="34"/>
        <v>0.02</v>
      </c>
      <c r="U159" s="205" t="str">
        <f t="shared" si="34"/>
        <v>Schwellenhöhe</v>
      </c>
      <c r="V159" s="205" t="str">
        <f t="shared" si="34"/>
        <v>x</v>
      </c>
      <c r="W159" s="205" t="str">
        <f t="shared" si="34"/>
        <v/>
      </c>
      <c r="X159" s="205" t="str">
        <f t="shared" si="34"/>
        <v/>
      </c>
      <c r="Y159" s="205" t="str">
        <f t="shared" si="34"/>
        <v>thresholdHeight1</v>
      </c>
    </row>
    <row r="160" spans="1:25">
      <c r="A160" s="204">
        <f t="shared" si="28"/>
        <v>158</v>
      </c>
      <c r="B160" s="205" t="str">
        <f t="shared" si="33"/>
        <v>x</v>
      </c>
      <c r="C160" s="205" t="str">
        <f t="shared" si="33"/>
        <v/>
      </c>
      <c r="D160" s="205" t="str">
        <f t="shared" si="33"/>
        <v/>
      </c>
      <c r="E160" s="205" t="str">
        <f t="shared" si="33"/>
        <v/>
      </c>
      <c r="F160" s="205" t="str">
        <f t="shared" si="33"/>
        <v/>
      </c>
      <c r="G160" s="205" t="str">
        <f t="shared" si="33"/>
        <v/>
      </c>
      <c r="H160" s="205" t="str">
        <f t="shared" si="33"/>
        <v/>
      </c>
      <c r="I160" s="205" t="str">
        <f t="shared" si="33"/>
        <v/>
      </c>
      <c r="J160" s="205" t="str">
        <f t="shared" si="33"/>
        <v/>
      </c>
      <c r="K160" s="205" t="str">
        <f t="shared" si="33"/>
        <v/>
      </c>
      <c r="L160" s="205" t="str">
        <f t="shared" si="34"/>
        <v>info</v>
      </c>
      <c r="M160" s="205" t="str">
        <f t="shared" si="34"/>
        <v>x</v>
      </c>
      <c r="N160" s="205" t="str">
        <f t="shared" si="34"/>
        <v/>
      </c>
      <c r="O160" s="205" t="str">
        <f t="shared" si="34"/>
        <v>model</v>
      </c>
      <c r="P160" s="206" t="str">
        <f t="shared" si="34"/>
        <v>Length</v>
      </c>
      <c r="Q160" s="206" t="str">
        <f t="shared" si="34"/>
        <v>x</v>
      </c>
      <c r="R160" s="206" t="str">
        <f t="shared" si="34"/>
        <v>BS</v>
      </c>
      <c r="S160" s="206" t="str">
        <f t="shared" si="34"/>
        <v>all</v>
      </c>
      <c r="T160" s="205">
        <f t="shared" si="34"/>
        <v>0.02</v>
      </c>
      <c r="U160" s="205" t="str">
        <f t="shared" si="34"/>
        <v>Schwellenhöhe (b)</v>
      </c>
      <c r="V160" s="205" t="str">
        <f t="shared" si="34"/>
        <v>x</v>
      </c>
      <c r="W160" s="205" t="str">
        <f t="shared" si="34"/>
        <v/>
      </c>
      <c r="X160" s="205" t="str">
        <f t="shared" si="34"/>
        <v/>
      </c>
      <c r="Y160" s="205" t="str">
        <f t="shared" si="34"/>
        <v>thresholdHeight2</v>
      </c>
    </row>
    <row r="161" spans="1:25">
      <c r="A161" s="204">
        <f t="shared" si="28"/>
        <v>159</v>
      </c>
      <c r="B161" s="205" t="str">
        <f t="shared" si="33"/>
        <v>x</v>
      </c>
      <c r="C161" s="205" t="str">
        <f t="shared" si="33"/>
        <v/>
      </c>
      <c r="D161" s="205" t="str">
        <f t="shared" si="33"/>
        <v/>
      </c>
      <c r="E161" s="205" t="str">
        <f t="shared" si="33"/>
        <v/>
      </c>
      <c r="F161" s="205" t="str">
        <f t="shared" si="33"/>
        <v/>
      </c>
      <c r="G161" s="205" t="str">
        <f t="shared" si="33"/>
        <v/>
      </c>
      <c r="H161" s="205" t="str">
        <f t="shared" si="33"/>
        <v/>
      </c>
      <c r="I161" s="205" t="str">
        <f t="shared" si="33"/>
        <v/>
      </c>
      <c r="J161" s="205" t="str">
        <f t="shared" si="33"/>
        <v/>
      </c>
      <c r="K161" s="205" t="str">
        <f t="shared" si="33"/>
        <v/>
      </c>
      <c r="L161" s="205" t="str">
        <f t="shared" si="34"/>
        <v>info</v>
      </c>
      <c r="M161" s="205" t="str">
        <f t="shared" si="34"/>
        <v>x</v>
      </c>
      <c r="N161" s="205" t="str">
        <f t="shared" si="34"/>
        <v/>
      </c>
      <c r="O161" s="205" t="str">
        <f t="shared" si="34"/>
        <v>model</v>
      </c>
      <c r="P161" s="206" t="str">
        <f t="shared" si="34"/>
        <v>Length</v>
      </c>
      <c r="Q161" s="206" t="str">
        <f t="shared" si="34"/>
        <v>x</v>
      </c>
      <c r="R161" s="206" t="str">
        <f t="shared" si="34"/>
        <v>BS</v>
      </c>
      <c r="S161" s="206" t="str">
        <f t="shared" si="34"/>
        <v>all</v>
      </c>
      <c r="T161" s="205">
        <f t="shared" si="34"/>
        <v>0.02</v>
      </c>
      <c r="U161" s="205" t="str">
        <f t="shared" si="34"/>
        <v>Schwellenhöhe (c)</v>
      </c>
      <c r="V161" s="205" t="str">
        <f t="shared" si="34"/>
        <v>x</v>
      </c>
      <c r="W161" s="205" t="str">
        <f t="shared" si="34"/>
        <v/>
      </c>
      <c r="X161" s="205" t="str">
        <f t="shared" si="34"/>
        <v/>
      </c>
      <c r="Y161" s="205" t="str">
        <f t="shared" si="34"/>
        <v>thresholdHeight3</v>
      </c>
    </row>
    <row r="162" spans="1:25">
      <c r="A162" s="204">
        <f t="shared" si="28"/>
        <v>160</v>
      </c>
      <c r="B162" s="205" t="str">
        <f t="shared" si="33"/>
        <v>x</v>
      </c>
      <c r="C162" s="205" t="str">
        <f t="shared" si="33"/>
        <v/>
      </c>
      <c r="D162" s="205" t="str">
        <f t="shared" si="33"/>
        <v/>
      </c>
      <c r="E162" s="205" t="str">
        <f t="shared" si="33"/>
        <v/>
      </c>
      <c r="F162" s="205" t="str">
        <f t="shared" si="33"/>
        <v/>
      </c>
      <c r="G162" s="205" t="str">
        <f t="shared" si="33"/>
        <v/>
      </c>
      <c r="H162" s="205" t="str">
        <f t="shared" si="33"/>
        <v/>
      </c>
      <c r="I162" s="205" t="str">
        <f t="shared" si="33"/>
        <v/>
      </c>
      <c r="J162" s="205" t="str">
        <f t="shared" si="33"/>
        <v/>
      </c>
      <c r="K162" s="205" t="str">
        <f t="shared" si="33"/>
        <v/>
      </c>
      <c r="L162" s="205" t="str">
        <f t="shared" si="34"/>
        <v>info</v>
      </c>
      <c r="M162" s="205" t="str">
        <f t="shared" si="34"/>
        <v>x</v>
      </c>
      <c r="N162" s="205" t="str">
        <f t="shared" si="34"/>
        <v/>
      </c>
      <c r="O162" s="205" t="str">
        <f t="shared" si="34"/>
        <v>model</v>
      </c>
      <c r="P162" s="206" t="str">
        <f t="shared" si="34"/>
        <v>Boolean</v>
      </c>
      <c r="Q162" s="206" t="str">
        <f t="shared" si="34"/>
        <v>x</v>
      </c>
      <c r="R162" s="206" t="str">
        <f t="shared" si="34"/>
        <v>BS</v>
      </c>
      <c r="S162" s="206" t="str">
        <f t="shared" si="34"/>
        <v>all</v>
      </c>
      <c r="T162" s="205" t="str">
        <f t="shared" si="34"/>
        <v/>
      </c>
      <c r="U162" s="205" t="str">
        <f t="shared" si="34"/>
        <v>Schwelle in 2D</v>
      </c>
      <c r="V162" s="205" t="str">
        <f t="shared" si="34"/>
        <v>x</v>
      </c>
      <c r="W162" s="205" t="str">
        <f t="shared" si="34"/>
        <v/>
      </c>
      <c r="X162" s="205" t="str">
        <f t="shared" si="34"/>
        <v/>
      </c>
      <c r="Y162" s="205" t="str">
        <f t="shared" si="34"/>
        <v>bShowThreshold2D</v>
      </c>
    </row>
    <row r="163" spans="1:25">
      <c r="A163" s="204">
        <f t="shared" si="28"/>
        <v>161</v>
      </c>
      <c r="B163" s="205" t="str">
        <f t="shared" ref="B163:K172" si="35">IF(ISNONTEXT(B$2),IF(B$2="","",IF(INDEX(IMPORT,$A163,B$2)=0,"",IFERROR(VLOOKUP(INDEX(IMPORT,$A163,B$2),ImportTranslation,2,0),INDEX(IMPORT,$A163,B$2)))),B$2)</f>
        <v>x</v>
      </c>
      <c r="C163" s="205" t="str">
        <f t="shared" si="35"/>
        <v/>
      </c>
      <c r="D163" s="205" t="str">
        <f t="shared" si="35"/>
        <v/>
      </c>
      <c r="E163" s="205" t="str">
        <f t="shared" si="35"/>
        <v/>
      </c>
      <c r="F163" s="205" t="str">
        <f t="shared" si="35"/>
        <v/>
      </c>
      <c r="G163" s="205" t="str">
        <f t="shared" si="35"/>
        <v/>
      </c>
      <c r="H163" s="205" t="str">
        <f t="shared" si="35"/>
        <v/>
      </c>
      <c r="I163" s="205" t="str">
        <f t="shared" si="35"/>
        <v/>
      </c>
      <c r="J163" s="205" t="str">
        <f t="shared" si="35"/>
        <v/>
      </c>
      <c r="K163" s="205" t="str">
        <f t="shared" si="35"/>
        <v/>
      </c>
      <c r="L163" s="205" t="str">
        <f t="shared" ref="L163:Y172" si="36">IF(ISNONTEXT(L$2),IF(L$2="","",IF(INDEX(IMPORT,$A163,L$2)=0,"",IFERROR(VLOOKUP(INDEX(IMPORT,$A163,L$2),ImportTranslation,2,0),INDEX(IMPORT,$A163,L$2)))),L$2)</f>
        <v>info</v>
      </c>
      <c r="M163" s="205" t="str">
        <f t="shared" si="36"/>
        <v>x</v>
      </c>
      <c r="N163" s="205" t="str">
        <f t="shared" si="36"/>
        <v/>
      </c>
      <c r="O163" s="205" t="str">
        <f t="shared" si="36"/>
        <v>model</v>
      </c>
      <c r="P163" s="206" t="str">
        <f t="shared" si="36"/>
        <v>PenColor</v>
      </c>
      <c r="Q163" s="206" t="str">
        <f t="shared" si="36"/>
        <v>x</v>
      </c>
      <c r="R163" s="206" t="str">
        <f t="shared" si="36"/>
        <v>BS</v>
      </c>
      <c r="S163" s="206" t="str">
        <f t="shared" si="36"/>
        <v>all</v>
      </c>
      <c r="T163" s="205">
        <f t="shared" si="36"/>
        <v>1</v>
      </c>
      <c r="U163" s="205" t="str">
        <f t="shared" si="36"/>
        <v>Stift Schwelle</v>
      </c>
      <c r="V163" s="205" t="str">
        <f t="shared" si="36"/>
        <v>x</v>
      </c>
      <c r="W163" s="205" t="str">
        <f t="shared" si="36"/>
        <v/>
      </c>
      <c r="X163" s="205" t="str">
        <f t="shared" si="36"/>
        <v/>
      </c>
      <c r="Y163" s="205" t="str">
        <f t="shared" si="36"/>
        <v>penThreshold</v>
      </c>
    </row>
    <row r="164" spans="1:25">
      <c r="A164" s="204">
        <f t="shared" si="28"/>
        <v>162</v>
      </c>
      <c r="B164" s="205" t="str">
        <f t="shared" si="35"/>
        <v>x</v>
      </c>
      <c r="C164" s="205" t="str">
        <f t="shared" si="35"/>
        <v/>
      </c>
      <c r="D164" s="205" t="str">
        <f t="shared" si="35"/>
        <v/>
      </c>
      <c r="E164" s="205" t="str">
        <f t="shared" si="35"/>
        <v/>
      </c>
      <c r="F164" s="205" t="str">
        <f t="shared" si="35"/>
        <v/>
      </c>
      <c r="G164" s="205" t="str">
        <f t="shared" si="35"/>
        <v/>
      </c>
      <c r="H164" s="205" t="str">
        <f t="shared" si="35"/>
        <v/>
      </c>
      <c r="I164" s="205" t="str">
        <f t="shared" si="35"/>
        <v/>
      </c>
      <c r="J164" s="205" t="str">
        <f t="shared" si="35"/>
        <v/>
      </c>
      <c r="K164" s="205" t="str">
        <f t="shared" si="35"/>
        <v/>
      </c>
      <c r="L164" s="205" t="str">
        <f t="shared" si="36"/>
        <v>info</v>
      </c>
      <c r="M164" s="205" t="str">
        <f t="shared" si="36"/>
        <v>x</v>
      </c>
      <c r="N164" s="205" t="str">
        <f t="shared" si="36"/>
        <v/>
      </c>
      <c r="O164" s="205" t="str">
        <f t="shared" si="36"/>
        <v>model</v>
      </c>
      <c r="P164" s="206" t="str">
        <f t="shared" si="36"/>
        <v>LineType</v>
      </c>
      <c r="Q164" s="206" t="str">
        <f t="shared" si="36"/>
        <v>x</v>
      </c>
      <c r="R164" s="206" t="str">
        <f t="shared" si="36"/>
        <v>BS</v>
      </c>
      <c r="S164" s="206" t="str">
        <f t="shared" si="36"/>
        <v>all</v>
      </c>
      <c r="T164" s="205">
        <f t="shared" si="36"/>
        <v>1</v>
      </c>
      <c r="U164" s="205" t="str">
        <f t="shared" si="36"/>
        <v>Linientyp Schwelle</v>
      </c>
      <c r="V164" s="205" t="str">
        <f t="shared" si="36"/>
        <v>x</v>
      </c>
      <c r="W164" s="205" t="str">
        <f t="shared" si="36"/>
        <v/>
      </c>
      <c r="X164" s="205" t="str">
        <f t="shared" si="36"/>
        <v/>
      </c>
      <c r="Y164" s="205" t="str">
        <f t="shared" si="36"/>
        <v>ltThreshold</v>
      </c>
    </row>
    <row r="165" spans="1:25">
      <c r="A165" s="204">
        <f t="shared" si="28"/>
        <v>163</v>
      </c>
      <c r="B165" s="205" t="str">
        <f t="shared" si="35"/>
        <v>x</v>
      </c>
      <c r="C165" s="205" t="str">
        <f t="shared" si="35"/>
        <v/>
      </c>
      <c r="D165" s="205" t="str">
        <f t="shared" si="35"/>
        <v/>
      </c>
      <c r="E165" s="205" t="str">
        <f t="shared" si="35"/>
        <v/>
      </c>
      <c r="F165" s="205" t="str">
        <f t="shared" si="35"/>
        <v/>
      </c>
      <c r="G165" s="205" t="str">
        <f t="shared" si="35"/>
        <v/>
      </c>
      <c r="H165" s="205" t="str">
        <f t="shared" si="35"/>
        <v/>
      </c>
      <c r="I165" s="205" t="str">
        <f t="shared" si="35"/>
        <v/>
      </c>
      <c r="J165" s="205" t="str">
        <f t="shared" si="35"/>
        <v/>
      </c>
      <c r="K165" s="205" t="str">
        <f t="shared" si="35"/>
        <v/>
      </c>
      <c r="L165" s="205" t="str">
        <f t="shared" si="36"/>
        <v>info</v>
      </c>
      <c r="M165" s="205" t="str">
        <f t="shared" si="36"/>
        <v/>
      </c>
      <c r="N165" s="205" t="str">
        <f t="shared" si="36"/>
        <v/>
      </c>
      <c r="O165" s="205" t="str">
        <f t="shared" si="36"/>
        <v>model</v>
      </c>
      <c r="P165" s="206" t="str">
        <f t="shared" si="36"/>
        <v>String</v>
      </c>
      <c r="Q165" s="206" t="str">
        <f t="shared" si="36"/>
        <v>x</v>
      </c>
      <c r="R165" s="206" t="str">
        <f t="shared" si="36"/>
        <v>BS</v>
      </c>
      <c r="S165" s="206" t="str">
        <f t="shared" si="36"/>
        <v>all</v>
      </c>
      <c r="T165" s="205" t="str">
        <f t="shared" si="36"/>
        <v>Wandöffnung zum aktuellen Geschoss</v>
      </c>
      <c r="U165" s="205" t="str">
        <f t="shared" si="36"/>
        <v>Wandöffnung unter Schwelle</v>
      </c>
      <c r="V165" s="205" t="str">
        <f t="shared" si="36"/>
        <v/>
      </c>
      <c r="W165" s="205" t="str">
        <f t="shared" si="36"/>
        <v/>
      </c>
      <c r="X165" s="205" t="str">
        <f t="shared" si="36"/>
        <v/>
      </c>
      <c r="Y165" s="205" t="str">
        <f t="shared" si="36"/>
        <v>holeUnderThreshold</v>
      </c>
    </row>
    <row r="166" spans="1:25">
      <c r="A166" s="204">
        <f t="shared" si="28"/>
        <v>164</v>
      </c>
      <c r="B166" s="205" t="str">
        <f t="shared" si="35"/>
        <v>x</v>
      </c>
      <c r="C166" s="205" t="str">
        <f t="shared" si="35"/>
        <v>x</v>
      </c>
      <c r="D166" s="205" t="str">
        <f t="shared" si="35"/>
        <v/>
      </c>
      <c r="E166" s="205" t="str">
        <f t="shared" si="35"/>
        <v/>
      </c>
      <c r="F166" s="205" t="str">
        <f t="shared" si="35"/>
        <v/>
      </c>
      <c r="G166" s="205" t="str">
        <f t="shared" si="35"/>
        <v/>
      </c>
      <c r="H166" s="205" t="str">
        <f t="shared" si="35"/>
        <v/>
      </c>
      <c r="I166" s="205" t="str">
        <f t="shared" si="35"/>
        <v/>
      </c>
      <c r="J166" s="205" t="str">
        <f t="shared" si="35"/>
        <v/>
      </c>
      <c r="K166" s="205" t="str">
        <f t="shared" si="35"/>
        <v/>
      </c>
      <c r="L166" s="205" t="str">
        <f t="shared" si="36"/>
        <v>info</v>
      </c>
      <c r="M166" s="205" t="str">
        <f t="shared" si="36"/>
        <v>x</v>
      </c>
      <c r="N166" s="205" t="str">
        <f t="shared" si="36"/>
        <v/>
      </c>
      <c r="O166" s="205" t="str">
        <f t="shared" si="36"/>
        <v>model</v>
      </c>
      <c r="P166" s="206" t="str">
        <f t="shared" si="36"/>
        <v>Integer</v>
      </c>
      <c r="Q166" s="206" t="str">
        <f t="shared" si="36"/>
        <v>x</v>
      </c>
      <c r="R166" s="206" t="str">
        <f t="shared" si="36"/>
        <v>BS</v>
      </c>
      <c r="S166" s="206" t="str">
        <f t="shared" si="36"/>
        <v>all</v>
      </c>
      <c r="T166" s="205">
        <f t="shared" si="36"/>
        <v>1</v>
      </c>
      <c r="U166" s="205" t="str">
        <f t="shared" si="36"/>
        <v>Wandöffnung unter Schwelle</v>
      </c>
      <c r="V166" s="205" t="str">
        <f t="shared" si="36"/>
        <v>x</v>
      </c>
      <c r="W166" s="205" t="str">
        <f t="shared" si="36"/>
        <v/>
      </c>
      <c r="X166" s="205" t="str">
        <f t="shared" si="36"/>
        <v/>
      </c>
      <c r="Y166" s="205" t="str">
        <f t="shared" si="36"/>
        <v>iHoleUnderThreshold</v>
      </c>
    </row>
    <row r="167" spans="1:25">
      <c r="A167" s="204">
        <f t="shared" si="28"/>
        <v>165</v>
      </c>
      <c r="B167" s="205" t="str">
        <f t="shared" si="35"/>
        <v>x</v>
      </c>
      <c r="C167" s="205" t="str">
        <f t="shared" si="35"/>
        <v/>
      </c>
      <c r="D167" s="205" t="str">
        <f t="shared" si="35"/>
        <v/>
      </c>
      <c r="E167" s="205" t="str">
        <f t="shared" si="35"/>
        <v/>
      </c>
      <c r="F167" s="205" t="str">
        <f t="shared" si="35"/>
        <v/>
      </c>
      <c r="G167" s="205" t="str">
        <f t="shared" si="35"/>
        <v/>
      </c>
      <c r="H167" s="205" t="str">
        <f t="shared" si="35"/>
        <v/>
      </c>
      <c r="I167" s="205" t="str">
        <f t="shared" si="35"/>
        <v/>
      </c>
      <c r="J167" s="205" t="str">
        <f t="shared" si="35"/>
        <v/>
      </c>
      <c r="K167" s="205" t="str">
        <f t="shared" si="35"/>
        <v/>
      </c>
      <c r="L167" s="205" t="str">
        <f t="shared" si="36"/>
        <v>info</v>
      </c>
      <c r="M167" s="205" t="str">
        <f t="shared" si="36"/>
        <v>x</v>
      </c>
      <c r="N167" s="205" t="str">
        <f t="shared" si="36"/>
        <v/>
      </c>
      <c r="O167" s="205" t="str">
        <f t="shared" si="36"/>
        <v>model</v>
      </c>
      <c r="P167" s="206" t="str">
        <f t="shared" si="36"/>
        <v>Length</v>
      </c>
      <c r="Q167" s="206" t="str">
        <f t="shared" si="36"/>
        <v>x</v>
      </c>
      <c r="R167" s="206" t="str">
        <f t="shared" si="36"/>
        <v>BS</v>
      </c>
      <c r="S167" s="206" t="str">
        <f t="shared" si="36"/>
        <v>all</v>
      </c>
      <c r="T167" s="205">
        <f t="shared" si="36"/>
        <v>0.05</v>
      </c>
      <c r="U167" s="205" t="str">
        <f t="shared" si="36"/>
        <v>Eigene Wandöffnung Übergröße</v>
      </c>
      <c r="V167" s="205" t="str">
        <f t="shared" si="36"/>
        <v>x</v>
      </c>
      <c r="W167" s="205" t="str">
        <f t="shared" si="36"/>
        <v/>
      </c>
      <c r="X167" s="205" t="str">
        <f t="shared" si="36"/>
        <v/>
      </c>
      <c r="Y167" s="205" t="str">
        <f t="shared" si="36"/>
        <v>thresholdBottomOversize</v>
      </c>
    </row>
    <row r="168" spans="1:25">
      <c r="A168" s="204">
        <f t="shared" si="28"/>
        <v>166</v>
      </c>
      <c r="B168" s="205" t="str">
        <f t="shared" si="35"/>
        <v>x</v>
      </c>
      <c r="C168" s="205" t="str">
        <f t="shared" si="35"/>
        <v/>
      </c>
      <c r="D168" s="205" t="str">
        <f t="shared" si="35"/>
        <v/>
      </c>
      <c r="E168" s="205" t="str">
        <f t="shared" si="35"/>
        <v/>
      </c>
      <c r="F168" s="205" t="str">
        <f t="shared" si="35"/>
        <v/>
      </c>
      <c r="G168" s="205" t="str">
        <f t="shared" si="35"/>
        <v/>
      </c>
      <c r="H168" s="205" t="str">
        <f t="shared" si="35"/>
        <v/>
      </c>
      <c r="I168" s="205" t="str">
        <f t="shared" si="35"/>
        <v/>
      </c>
      <c r="J168" s="205" t="str">
        <f t="shared" si="35"/>
        <v/>
      </c>
      <c r="K168" s="205" t="str">
        <f t="shared" si="35"/>
        <v/>
      </c>
      <c r="L168" s="205" t="str">
        <f t="shared" si="36"/>
        <v>info</v>
      </c>
      <c r="M168" s="205" t="str">
        <f t="shared" si="36"/>
        <v/>
      </c>
      <c r="N168" s="205" t="str">
        <f t="shared" si="36"/>
        <v/>
      </c>
      <c r="O168" s="205" t="str">
        <f t="shared" si="36"/>
        <v>model</v>
      </c>
      <c r="P168" s="206" t="str">
        <f t="shared" si="36"/>
        <v>String</v>
      </c>
      <c r="Q168" s="206" t="str">
        <f t="shared" si="36"/>
        <v>x</v>
      </c>
      <c r="R168" s="206" t="str">
        <f t="shared" si="36"/>
        <v>BS</v>
      </c>
      <c r="S168" s="206" t="str">
        <f t="shared" si="36"/>
        <v>all</v>
      </c>
      <c r="T168" s="205" t="str">
        <f t="shared" si="36"/>
        <v>Maßstababhängig</v>
      </c>
      <c r="U168" s="205" t="str">
        <f t="shared" si="36"/>
        <v>Schwellensymbol nach SIA</v>
      </c>
      <c r="V168" s="205" t="str">
        <f t="shared" si="36"/>
        <v/>
      </c>
      <c r="W168" s="205" t="str">
        <f t="shared" si="36"/>
        <v/>
      </c>
      <c r="X168" s="205" t="str">
        <f t="shared" si="36"/>
        <v/>
      </c>
      <c r="Y168" s="205" t="str">
        <f t="shared" si="36"/>
        <v>showSIASymbol</v>
      </c>
    </row>
    <row r="169" spans="1:25">
      <c r="A169" s="204">
        <f t="shared" si="28"/>
        <v>167</v>
      </c>
      <c r="B169" s="205" t="str">
        <f t="shared" si="35"/>
        <v>x</v>
      </c>
      <c r="C169" s="205" t="str">
        <f t="shared" si="35"/>
        <v>x</v>
      </c>
      <c r="D169" s="205" t="str">
        <f t="shared" si="35"/>
        <v/>
      </c>
      <c r="E169" s="205" t="str">
        <f t="shared" si="35"/>
        <v/>
      </c>
      <c r="F169" s="205" t="str">
        <f t="shared" si="35"/>
        <v/>
      </c>
      <c r="G169" s="205" t="str">
        <f t="shared" si="35"/>
        <v/>
      </c>
      <c r="H169" s="205" t="str">
        <f t="shared" si="35"/>
        <v/>
      </c>
      <c r="I169" s="205" t="str">
        <f t="shared" si="35"/>
        <v/>
      </c>
      <c r="J169" s="205" t="str">
        <f t="shared" si="35"/>
        <v/>
      </c>
      <c r="K169" s="205" t="str">
        <f t="shared" si="35"/>
        <v/>
      </c>
      <c r="L169" s="205" t="str">
        <f t="shared" si="36"/>
        <v>info</v>
      </c>
      <c r="M169" s="205" t="str">
        <f t="shared" si="36"/>
        <v>x</v>
      </c>
      <c r="N169" s="205" t="str">
        <f t="shared" si="36"/>
        <v/>
      </c>
      <c r="O169" s="205" t="str">
        <f t="shared" si="36"/>
        <v>model</v>
      </c>
      <c r="P169" s="206" t="str">
        <f t="shared" si="36"/>
        <v>Integer</v>
      </c>
      <c r="Q169" s="206" t="str">
        <f t="shared" si="36"/>
        <v>x</v>
      </c>
      <c r="R169" s="206" t="str">
        <f t="shared" si="36"/>
        <v>BS</v>
      </c>
      <c r="S169" s="206" t="str">
        <f t="shared" si="36"/>
        <v>all</v>
      </c>
      <c r="T169" s="205" t="str">
        <f t="shared" si="36"/>
        <v/>
      </c>
      <c r="U169" s="205" t="str">
        <f t="shared" si="36"/>
        <v>Schwellensymbol nach SIA</v>
      </c>
      <c r="V169" s="205" t="str">
        <f t="shared" si="36"/>
        <v>x</v>
      </c>
      <c r="W169" s="205" t="str">
        <f t="shared" si="36"/>
        <v/>
      </c>
      <c r="X169" s="205" t="str">
        <f t="shared" si="36"/>
        <v/>
      </c>
      <c r="Y169" s="205" t="str">
        <f t="shared" si="36"/>
        <v>iShowSIASymbol</v>
      </c>
    </row>
    <row r="170" spans="1:25">
      <c r="A170" s="204">
        <f t="shared" si="28"/>
        <v>168</v>
      </c>
      <c r="B170" s="205" t="str">
        <f t="shared" si="35"/>
        <v>x</v>
      </c>
      <c r="C170" s="205" t="str">
        <f t="shared" si="35"/>
        <v/>
      </c>
      <c r="D170" s="205" t="str">
        <f t="shared" si="35"/>
        <v/>
      </c>
      <c r="E170" s="205" t="str">
        <f t="shared" si="35"/>
        <v/>
      </c>
      <c r="F170" s="205" t="str">
        <f t="shared" si="35"/>
        <v/>
      </c>
      <c r="G170" s="205" t="str">
        <f t="shared" si="35"/>
        <v/>
      </c>
      <c r="H170" s="205" t="str">
        <f t="shared" si="35"/>
        <v/>
      </c>
      <c r="I170" s="205" t="str">
        <f t="shared" si="35"/>
        <v/>
      </c>
      <c r="J170" s="205" t="str">
        <f t="shared" si="35"/>
        <v/>
      </c>
      <c r="K170" s="205" t="str">
        <f t="shared" si="35"/>
        <v/>
      </c>
      <c r="L170" s="205" t="str">
        <f t="shared" si="36"/>
        <v>info</v>
      </c>
      <c r="M170" s="205" t="str">
        <f t="shared" si="36"/>
        <v>x</v>
      </c>
      <c r="N170" s="205" t="str">
        <f t="shared" si="36"/>
        <v/>
      </c>
      <c r="O170" s="205" t="str">
        <f t="shared" si="36"/>
        <v>model</v>
      </c>
      <c r="P170" s="206" t="str">
        <f t="shared" si="36"/>
        <v>Boolean</v>
      </c>
      <c r="Q170" s="206" t="str">
        <f t="shared" si="36"/>
        <v>x</v>
      </c>
      <c r="R170" s="206" t="str">
        <f t="shared" si="36"/>
        <v>BS</v>
      </c>
      <c r="S170" s="206" t="str">
        <f t="shared" si="36"/>
        <v>all</v>
      </c>
      <c r="T170" s="205" t="str">
        <f t="shared" si="36"/>
        <v/>
      </c>
      <c r="U170" s="205" t="str">
        <f t="shared" si="36"/>
        <v>Editierbare Schwellenhöhe im Symbol</v>
      </c>
      <c r="V170" s="205" t="str">
        <f t="shared" si="36"/>
        <v>x</v>
      </c>
      <c r="W170" s="205" t="str">
        <f t="shared" si="36"/>
        <v/>
      </c>
      <c r="X170" s="205" t="str">
        <f t="shared" si="36"/>
        <v/>
      </c>
      <c r="Y170" s="205" t="str">
        <f t="shared" si="36"/>
        <v>bEditableSIASymbol</v>
      </c>
    </row>
    <row r="171" spans="1:25">
      <c r="A171" s="204">
        <f t="shared" si="28"/>
        <v>169</v>
      </c>
      <c r="B171" s="205" t="str">
        <f t="shared" si="35"/>
        <v>x</v>
      </c>
      <c r="C171" s="205" t="str">
        <f t="shared" si="35"/>
        <v/>
      </c>
      <c r="D171" s="205" t="str">
        <f t="shared" si="35"/>
        <v/>
      </c>
      <c r="E171" s="205" t="str">
        <f t="shared" si="35"/>
        <v/>
      </c>
      <c r="F171" s="205" t="str">
        <f t="shared" si="35"/>
        <v/>
      </c>
      <c r="G171" s="205" t="str">
        <f t="shared" si="35"/>
        <v/>
      </c>
      <c r="H171" s="205" t="str">
        <f t="shared" si="35"/>
        <v/>
      </c>
      <c r="I171" s="205" t="str">
        <f t="shared" si="35"/>
        <v/>
      </c>
      <c r="J171" s="205" t="str">
        <f t="shared" si="35"/>
        <v/>
      </c>
      <c r="K171" s="205" t="str">
        <f t="shared" si="35"/>
        <v/>
      </c>
      <c r="L171" s="205" t="str">
        <f t="shared" si="36"/>
        <v>info</v>
      </c>
      <c r="M171" s="205" t="str">
        <f t="shared" si="36"/>
        <v>x</v>
      </c>
      <c r="N171" s="205" t="str">
        <f t="shared" si="36"/>
        <v/>
      </c>
      <c r="O171" s="205" t="str">
        <f t="shared" si="36"/>
        <v>model</v>
      </c>
      <c r="P171" s="206" t="str">
        <f t="shared" si="36"/>
        <v>Length</v>
      </c>
      <c r="Q171" s="206" t="str">
        <f t="shared" si="36"/>
        <v>x</v>
      </c>
      <c r="R171" s="206" t="str">
        <f t="shared" si="36"/>
        <v>BS</v>
      </c>
      <c r="S171" s="206" t="str">
        <f t="shared" si="36"/>
        <v>all</v>
      </c>
      <c r="T171" s="205" t="str">
        <f t="shared" si="36"/>
        <v/>
      </c>
      <c r="U171" s="205" t="str">
        <f t="shared" si="36"/>
        <v>Position Schwelle</v>
      </c>
      <c r="V171" s="205" t="str">
        <f t="shared" si="36"/>
        <v>x</v>
      </c>
      <c r="W171" s="205" t="str">
        <f t="shared" si="36"/>
        <v/>
      </c>
      <c r="X171" s="205" t="str">
        <f t="shared" si="36"/>
        <v/>
      </c>
      <c r="Y171" s="205" t="str">
        <f t="shared" si="36"/>
        <v>thresholdPos1</v>
      </c>
    </row>
    <row r="172" spans="1:25">
      <c r="A172" s="204">
        <f t="shared" si="28"/>
        <v>170</v>
      </c>
      <c r="B172" s="205" t="str">
        <f t="shared" si="35"/>
        <v>x</v>
      </c>
      <c r="C172" s="205" t="str">
        <f t="shared" si="35"/>
        <v/>
      </c>
      <c r="D172" s="205" t="str">
        <f t="shared" si="35"/>
        <v/>
      </c>
      <c r="E172" s="205" t="str">
        <f t="shared" si="35"/>
        <v/>
      </c>
      <c r="F172" s="205" t="str">
        <f t="shared" si="35"/>
        <v/>
      </c>
      <c r="G172" s="205" t="str">
        <f t="shared" si="35"/>
        <v/>
      </c>
      <c r="H172" s="205" t="str">
        <f t="shared" si="35"/>
        <v/>
      </c>
      <c r="I172" s="205" t="str">
        <f t="shared" si="35"/>
        <v/>
      </c>
      <c r="J172" s="205" t="str">
        <f t="shared" si="35"/>
        <v/>
      </c>
      <c r="K172" s="205" t="str">
        <f t="shared" si="35"/>
        <v/>
      </c>
      <c r="L172" s="205" t="str">
        <f t="shared" si="36"/>
        <v>info</v>
      </c>
      <c r="M172" s="205" t="str">
        <f t="shared" si="36"/>
        <v>x</v>
      </c>
      <c r="N172" s="205" t="str">
        <f t="shared" si="36"/>
        <v/>
      </c>
      <c r="O172" s="205" t="str">
        <f t="shared" si="36"/>
        <v>model</v>
      </c>
      <c r="P172" s="206" t="str">
        <f t="shared" si="36"/>
        <v>Length</v>
      </c>
      <c r="Q172" s="206" t="str">
        <f t="shared" si="36"/>
        <v>x</v>
      </c>
      <c r="R172" s="206" t="str">
        <f t="shared" si="36"/>
        <v>BS</v>
      </c>
      <c r="S172" s="206" t="str">
        <f t="shared" si="36"/>
        <v>all</v>
      </c>
      <c r="T172" s="205" t="str">
        <f t="shared" si="36"/>
        <v/>
      </c>
      <c r="U172" s="205" t="str">
        <f t="shared" si="36"/>
        <v>Position Schwelle</v>
      </c>
      <c r="V172" s="205" t="str">
        <f t="shared" si="36"/>
        <v>x</v>
      </c>
      <c r="W172" s="205" t="str">
        <f t="shared" si="36"/>
        <v/>
      </c>
      <c r="X172" s="205" t="str">
        <f t="shared" si="36"/>
        <v/>
      </c>
      <c r="Y172" s="205" t="str">
        <f t="shared" si="36"/>
        <v>thresholdPos2</v>
      </c>
    </row>
    <row r="173" spans="1:25">
      <c r="A173" s="204">
        <f t="shared" si="28"/>
        <v>171</v>
      </c>
      <c r="B173" s="205" t="str">
        <f t="shared" ref="B173:K182" si="37">IF(ISNONTEXT(B$2),IF(B$2="","",IF(INDEX(IMPORT,$A173,B$2)=0,"",IFERROR(VLOOKUP(INDEX(IMPORT,$A173,B$2),ImportTranslation,2,0),INDEX(IMPORT,$A173,B$2)))),B$2)</f>
        <v>x</v>
      </c>
      <c r="C173" s="205" t="str">
        <f t="shared" si="37"/>
        <v/>
      </c>
      <c r="D173" s="205" t="str">
        <f t="shared" si="37"/>
        <v/>
      </c>
      <c r="E173" s="205" t="str">
        <f t="shared" si="37"/>
        <v/>
      </c>
      <c r="F173" s="205" t="str">
        <f t="shared" si="37"/>
        <v/>
      </c>
      <c r="G173" s="205" t="str">
        <f t="shared" si="37"/>
        <v/>
      </c>
      <c r="H173" s="205" t="str">
        <f t="shared" si="37"/>
        <v/>
      </c>
      <c r="I173" s="205" t="str">
        <f t="shared" si="37"/>
        <v/>
      </c>
      <c r="J173" s="205" t="str">
        <f t="shared" si="37"/>
        <v/>
      </c>
      <c r="K173" s="205" t="str">
        <f t="shared" si="37"/>
        <v/>
      </c>
      <c r="L173" s="205" t="str">
        <f t="shared" ref="L173:Y182" si="38">IF(ISNONTEXT(L$2),IF(L$2="","",IF(INDEX(IMPORT,$A173,L$2)=0,"",IFERROR(VLOOKUP(INDEX(IMPORT,$A173,L$2),ImportTranslation,2,0),INDEX(IMPORT,$A173,L$2)))),L$2)</f>
        <v>info</v>
      </c>
      <c r="M173" s="205" t="str">
        <f t="shared" si="38"/>
        <v>x</v>
      </c>
      <c r="N173" s="205" t="str">
        <f t="shared" si="38"/>
        <v/>
      </c>
      <c r="O173" s="205" t="str">
        <f t="shared" si="38"/>
        <v>model</v>
      </c>
      <c r="P173" s="206" t="str">
        <f t="shared" si="38"/>
        <v>Length</v>
      </c>
      <c r="Q173" s="206" t="str">
        <f t="shared" si="38"/>
        <v>x</v>
      </c>
      <c r="R173" s="206" t="str">
        <f t="shared" si="38"/>
        <v>BS</v>
      </c>
      <c r="S173" s="206" t="str">
        <f t="shared" si="38"/>
        <v>all</v>
      </c>
      <c r="T173" s="205" t="str">
        <f t="shared" si="38"/>
        <v/>
      </c>
      <c r="U173" s="205" t="str">
        <f t="shared" si="38"/>
        <v>Position Schwelle</v>
      </c>
      <c r="V173" s="205" t="str">
        <f t="shared" si="38"/>
        <v>x</v>
      </c>
      <c r="W173" s="205" t="str">
        <f t="shared" si="38"/>
        <v/>
      </c>
      <c r="X173" s="205" t="str">
        <f t="shared" si="38"/>
        <v/>
      </c>
      <c r="Y173" s="205" t="str">
        <f t="shared" si="38"/>
        <v>thresholdPos3</v>
      </c>
    </row>
    <row r="174" spans="1:25">
      <c r="A174" s="204">
        <f t="shared" si="28"/>
        <v>172</v>
      </c>
      <c r="B174" s="205" t="str">
        <f t="shared" si="37"/>
        <v>x</v>
      </c>
      <c r="C174" s="205" t="str">
        <f t="shared" si="37"/>
        <v/>
      </c>
      <c r="D174" s="205" t="str">
        <f t="shared" si="37"/>
        <v/>
      </c>
      <c r="E174" s="205" t="str">
        <f t="shared" si="37"/>
        <v/>
      </c>
      <c r="F174" s="205" t="str">
        <f t="shared" si="37"/>
        <v/>
      </c>
      <c r="G174" s="205" t="str">
        <f t="shared" si="37"/>
        <v/>
      </c>
      <c r="H174" s="205" t="str">
        <f t="shared" si="37"/>
        <v/>
      </c>
      <c r="I174" s="205" t="str">
        <f t="shared" si="37"/>
        <v/>
      </c>
      <c r="J174" s="205" t="str">
        <f t="shared" si="37"/>
        <v/>
      </c>
      <c r="K174" s="205" t="str">
        <f t="shared" si="37"/>
        <v/>
      </c>
      <c r="L174" s="205" t="str">
        <f t="shared" si="38"/>
        <v>info</v>
      </c>
      <c r="M174" s="205" t="str">
        <f t="shared" si="38"/>
        <v>x</v>
      </c>
      <c r="N174" s="205" t="str">
        <f t="shared" si="38"/>
        <v/>
      </c>
      <c r="O174" s="205" t="str">
        <f t="shared" si="38"/>
        <v>model</v>
      </c>
      <c r="P174" s="206" t="str">
        <f t="shared" si="38"/>
        <v>String</v>
      </c>
      <c r="Q174" s="206" t="str">
        <f t="shared" si="38"/>
        <v>x</v>
      </c>
      <c r="R174" s="206" t="str">
        <f t="shared" si="38"/>
        <v>BS</v>
      </c>
      <c r="S174" s="206" t="str">
        <f t="shared" si="38"/>
        <v>all</v>
      </c>
      <c r="T174" s="205" t="str">
        <f t="shared" si="38"/>
        <v>Typ 1</v>
      </c>
      <c r="U174" s="205" t="str">
        <f t="shared" si="38"/>
        <v>Schwellentyp</v>
      </c>
      <c r="V174" s="205" t="str">
        <f t="shared" si="38"/>
        <v>x</v>
      </c>
      <c r="W174" s="205" t="str">
        <f t="shared" si="38"/>
        <v/>
      </c>
      <c r="X174" s="205" t="str">
        <f t="shared" si="38"/>
        <v/>
      </c>
      <c r="Y174" s="205" t="str">
        <f t="shared" si="38"/>
        <v>SIASymbolType</v>
      </c>
    </row>
    <row r="175" spans="1:25">
      <c r="A175" s="204">
        <f t="shared" si="28"/>
        <v>173</v>
      </c>
      <c r="B175" s="205" t="str">
        <f t="shared" si="37"/>
        <v>x</v>
      </c>
      <c r="C175" s="205" t="str">
        <f t="shared" si="37"/>
        <v>x</v>
      </c>
      <c r="D175" s="205" t="str">
        <f t="shared" si="37"/>
        <v/>
      </c>
      <c r="E175" s="205" t="str">
        <f t="shared" si="37"/>
        <v/>
      </c>
      <c r="F175" s="205" t="str">
        <f t="shared" si="37"/>
        <v/>
      </c>
      <c r="G175" s="205" t="str">
        <f t="shared" si="37"/>
        <v/>
      </c>
      <c r="H175" s="205" t="str">
        <f t="shared" si="37"/>
        <v/>
      </c>
      <c r="I175" s="205" t="str">
        <f t="shared" si="37"/>
        <v/>
      </c>
      <c r="J175" s="205" t="str">
        <f t="shared" si="37"/>
        <v/>
      </c>
      <c r="K175" s="205" t="str">
        <f t="shared" si="37"/>
        <v/>
      </c>
      <c r="L175" s="205" t="str">
        <f t="shared" si="38"/>
        <v>info</v>
      </c>
      <c r="M175" s="205" t="str">
        <f t="shared" si="38"/>
        <v>x</v>
      </c>
      <c r="N175" s="205" t="str">
        <f t="shared" si="38"/>
        <v/>
      </c>
      <c r="O175" s="205" t="str">
        <f t="shared" si="38"/>
        <v>model</v>
      </c>
      <c r="P175" s="206" t="str">
        <f t="shared" si="38"/>
        <v>Integer</v>
      </c>
      <c r="Q175" s="206" t="str">
        <f t="shared" si="38"/>
        <v>x</v>
      </c>
      <c r="R175" s="206" t="str">
        <f t="shared" si="38"/>
        <v>BS</v>
      </c>
      <c r="S175" s="206" t="str">
        <f t="shared" si="38"/>
        <v>all</v>
      </c>
      <c r="T175" s="205">
        <f t="shared" si="38"/>
        <v>1</v>
      </c>
      <c r="U175" s="205" t="str">
        <f t="shared" si="38"/>
        <v>Schwellentyp</v>
      </c>
      <c r="V175" s="205" t="str">
        <f t="shared" si="38"/>
        <v>x</v>
      </c>
      <c r="W175" s="205" t="str">
        <f t="shared" si="38"/>
        <v/>
      </c>
      <c r="X175" s="205" t="str">
        <f t="shared" si="38"/>
        <v/>
      </c>
      <c r="Y175" s="205" t="str">
        <f t="shared" si="38"/>
        <v>iSIASymbolType</v>
      </c>
    </row>
    <row r="176" spans="1:25">
      <c r="A176" s="204">
        <f t="shared" si="28"/>
        <v>174</v>
      </c>
      <c r="B176" s="205" t="str">
        <f t="shared" si="37"/>
        <v>x</v>
      </c>
      <c r="C176" s="205" t="str">
        <f t="shared" si="37"/>
        <v/>
      </c>
      <c r="D176" s="205" t="str">
        <f t="shared" si="37"/>
        <v/>
      </c>
      <c r="E176" s="205" t="str">
        <f t="shared" si="37"/>
        <v/>
      </c>
      <c r="F176" s="205" t="str">
        <f t="shared" si="37"/>
        <v/>
      </c>
      <c r="G176" s="205" t="str">
        <f t="shared" si="37"/>
        <v/>
      </c>
      <c r="H176" s="205" t="str">
        <f t="shared" si="37"/>
        <v/>
      </c>
      <c r="I176" s="205" t="str">
        <f t="shared" si="37"/>
        <v/>
      </c>
      <c r="J176" s="205" t="str">
        <f t="shared" si="37"/>
        <v/>
      </c>
      <c r="K176" s="205" t="str">
        <f t="shared" si="37"/>
        <v/>
      </c>
      <c r="L176" s="205" t="str">
        <f t="shared" si="38"/>
        <v>info</v>
      </c>
      <c r="M176" s="205" t="str">
        <f t="shared" si="38"/>
        <v>x</v>
      </c>
      <c r="N176" s="205" t="str">
        <f t="shared" si="38"/>
        <v/>
      </c>
      <c r="O176" s="205" t="str">
        <f t="shared" si="38"/>
        <v>model</v>
      </c>
      <c r="P176" s="206" t="str">
        <f t="shared" si="38"/>
        <v>String</v>
      </c>
      <c r="Q176" s="206" t="str">
        <f t="shared" si="38"/>
        <v>x</v>
      </c>
      <c r="R176" s="206" t="str">
        <f t="shared" si="38"/>
        <v>BS</v>
      </c>
      <c r="S176" s="206" t="str">
        <f t="shared" si="38"/>
        <v>all</v>
      </c>
      <c r="T176" s="205" t="str">
        <f t="shared" si="38"/>
        <v>Rechts</v>
      </c>
      <c r="U176" s="205" t="str">
        <f t="shared" si="38"/>
        <v>Position Schwellensymbol</v>
      </c>
      <c r="V176" s="205" t="str">
        <f t="shared" si="38"/>
        <v>x</v>
      </c>
      <c r="W176" s="205" t="str">
        <f t="shared" si="38"/>
        <v/>
      </c>
      <c r="X176" s="205" t="str">
        <f t="shared" si="38"/>
        <v/>
      </c>
      <c r="Y176" s="205" t="str">
        <f t="shared" si="38"/>
        <v>SIASymbolSide</v>
      </c>
    </row>
    <row r="177" spans="1:25">
      <c r="A177" s="204">
        <f t="shared" si="28"/>
        <v>175</v>
      </c>
      <c r="B177" s="205" t="str">
        <f t="shared" si="37"/>
        <v>x</v>
      </c>
      <c r="C177" s="205" t="str">
        <f t="shared" si="37"/>
        <v>x</v>
      </c>
      <c r="D177" s="205" t="str">
        <f t="shared" si="37"/>
        <v/>
      </c>
      <c r="E177" s="205" t="str">
        <f t="shared" si="37"/>
        <v/>
      </c>
      <c r="F177" s="205" t="str">
        <f t="shared" si="37"/>
        <v/>
      </c>
      <c r="G177" s="205" t="str">
        <f t="shared" si="37"/>
        <v/>
      </c>
      <c r="H177" s="205" t="str">
        <f t="shared" si="37"/>
        <v/>
      </c>
      <c r="I177" s="205" t="str">
        <f t="shared" si="37"/>
        <v/>
      </c>
      <c r="J177" s="205" t="str">
        <f t="shared" si="37"/>
        <v/>
      </c>
      <c r="K177" s="205" t="str">
        <f t="shared" si="37"/>
        <v/>
      </c>
      <c r="L177" s="205" t="str">
        <f t="shared" si="38"/>
        <v>info</v>
      </c>
      <c r="M177" s="205" t="str">
        <f t="shared" si="38"/>
        <v>x</v>
      </c>
      <c r="N177" s="205" t="str">
        <f t="shared" si="38"/>
        <v/>
      </c>
      <c r="O177" s="205" t="str">
        <f t="shared" si="38"/>
        <v>model</v>
      </c>
      <c r="P177" s="206" t="str">
        <f t="shared" si="38"/>
        <v>Integer</v>
      </c>
      <c r="Q177" s="206" t="str">
        <f t="shared" si="38"/>
        <v>x</v>
      </c>
      <c r="R177" s="206" t="str">
        <f t="shared" si="38"/>
        <v>BS</v>
      </c>
      <c r="S177" s="206" t="str">
        <f t="shared" si="38"/>
        <v>all</v>
      </c>
      <c r="T177" s="205">
        <f t="shared" si="38"/>
        <v>1</v>
      </c>
      <c r="U177" s="205" t="str">
        <f t="shared" si="38"/>
        <v>Position Schwellensymbol</v>
      </c>
      <c r="V177" s="205" t="str">
        <f t="shared" si="38"/>
        <v>x</v>
      </c>
      <c r="W177" s="205" t="str">
        <f t="shared" si="38"/>
        <v/>
      </c>
      <c r="X177" s="205" t="str">
        <f t="shared" si="38"/>
        <v/>
      </c>
      <c r="Y177" s="205" t="str">
        <f t="shared" si="38"/>
        <v>iSIASymbolSide</v>
      </c>
    </row>
    <row r="178" spans="1:25">
      <c r="A178" s="204">
        <f t="shared" si="28"/>
        <v>176</v>
      </c>
      <c r="B178" s="205" t="str">
        <f t="shared" si="37"/>
        <v>x</v>
      </c>
      <c r="C178" s="205" t="str">
        <f t="shared" si="37"/>
        <v/>
      </c>
      <c r="D178" s="205" t="str">
        <f t="shared" si="37"/>
        <v/>
      </c>
      <c r="E178" s="205" t="str">
        <f t="shared" si="37"/>
        <v/>
      </c>
      <c r="F178" s="205" t="str">
        <f t="shared" si="37"/>
        <v/>
      </c>
      <c r="G178" s="205" t="str">
        <f t="shared" si="37"/>
        <v/>
      </c>
      <c r="H178" s="205" t="str">
        <f t="shared" si="37"/>
        <v/>
      </c>
      <c r="I178" s="205" t="str">
        <f t="shared" si="37"/>
        <v/>
      </c>
      <c r="J178" s="205" t="str">
        <f t="shared" si="37"/>
        <v/>
      </c>
      <c r="K178" s="205" t="str">
        <f t="shared" si="37"/>
        <v/>
      </c>
      <c r="L178" s="205" t="str">
        <f t="shared" si="38"/>
        <v>info</v>
      </c>
      <c r="M178" s="205" t="str">
        <f t="shared" si="38"/>
        <v>x</v>
      </c>
      <c r="N178" s="205" t="str">
        <f t="shared" si="38"/>
        <v/>
      </c>
      <c r="O178" s="205" t="str">
        <f t="shared" si="38"/>
        <v>model</v>
      </c>
      <c r="P178" s="206" t="str">
        <f t="shared" si="38"/>
        <v>PenColor</v>
      </c>
      <c r="Q178" s="206" t="str">
        <f t="shared" si="38"/>
        <v>x</v>
      </c>
      <c r="R178" s="206" t="str">
        <f t="shared" si="38"/>
        <v>BS</v>
      </c>
      <c r="S178" s="206" t="str">
        <f t="shared" si="38"/>
        <v>all</v>
      </c>
      <c r="T178" s="205">
        <f t="shared" si="38"/>
        <v>1</v>
      </c>
      <c r="U178" s="205" t="str">
        <f t="shared" si="38"/>
        <v>Stift Text</v>
      </c>
      <c r="V178" s="205" t="str">
        <f t="shared" si="38"/>
        <v>x</v>
      </c>
      <c r="W178" s="205" t="str">
        <f t="shared" si="38"/>
        <v/>
      </c>
      <c r="X178" s="205" t="str">
        <f t="shared" si="38"/>
        <v/>
      </c>
      <c r="Y178" s="205" t="str">
        <f t="shared" si="38"/>
        <v>penSIASymbolText</v>
      </c>
    </row>
    <row r="179" spans="1:25">
      <c r="A179" s="204">
        <f t="shared" si="28"/>
        <v>177</v>
      </c>
      <c r="B179" s="205" t="str">
        <f t="shared" si="37"/>
        <v>x</v>
      </c>
      <c r="C179" s="205" t="str">
        <f t="shared" si="37"/>
        <v/>
      </c>
      <c r="D179" s="205" t="str">
        <f t="shared" si="37"/>
        <v/>
      </c>
      <c r="E179" s="205" t="str">
        <f t="shared" si="37"/>
        <v/>
      </c>
      <c r="F179" s="205" t="str">
        <f t="shared" si="37"/>
        <v/>
      </c>
      <c r="G179" s="205" t="str">
        <f t="shared" si="37"/>
        <v/>
      </c>
      <c r="H179" s="205" t="str">
        <f t="shared" si="37"/>
        <v/>
      </c>
      <c r="I179" s="205" t="str">
        <f t="shared" si="37"/>
        <v/>
      </c>
      <c r="J179" s="205" t="str">
        <f t="shared" si="37"/>
        <v/>
      </c>
      <c r="K179" s="205" t="str">
        <f t="shared" si="37"/>
        <v/>
      </c>
      <c r="L179" s="205" t="str">
        <f t="shared" si="38"/>
        <v>info</v>
      </c>
      <c r="M179" s="205" t="str">
        <f t="shared" si="38"/>
        <v>x</v>
      </c>
      <c r="N179" s="205" t="str">
        <f t="shared" si="38"/>
        <v/>
      </c>
      <c r="O179" s="205" t="str">
        <f t="shared" si="38"/>
        <v>model</v>
      </c>
      <c r="P179" s="206" t="str">
        <f t="shared" si="38"/>
        <v>PenColor</v>
      </c>
      <c r="Q179" s="206" t="str">
        <f t="shared" si="38"/>
        <v>x</v>
      </c>
      <c r="R179" s="206" t="str">
        <f t="shared" si="38"/>
        <v>BS</v>
      </c>
      <c r="S179" s="206" t="str">
        <f t="shared" si="38"/>
        <v>all</v>
      </c>
      <c r="T179" s="205">
        <f t="shared" si="38"/>
        <v>1</v>
      </c>
      <c r="U179" s="205" t="str">
        <f t="shared" si="38"/>
        <v>Symbol-Stift</v>
      </c>
      <c r="V179" s="205" t="str">
        <f t="shared" si="38"/>
        <v>x</v>
      </c>
      <c r="W179" s="205" t="str">
        <f t="shared" si="38"/>
        <v/>
      </c>
      <c r="X179" s="205" t="str">
        <f t="shared" si="38"/>
        <v/>
      </c>
      <c r="Y179" s="205" t="str">
        <f t="shared" si="38"/>
        <v>penSIASymbolLine</v>
      </c>
    </row>
    <row r="180" spans="1:25">
      <c r="A180" s="204">
        <f t="shared" si="28"/>
        <v>178</v>
      </c>
      <c r="B180" s="205" t="str">
        <f t="shared" si="37"/>
        <v>x</v>
      </c>
      <c r="C180" s="205" t="str">
        <f t="shared" si="37"/>
        <v/>
      </c>
      <c r="D180" s="205" t="str">
        <f t="shared" si="37"/>
        <v/>
      </c>
      <c r="E180" s="205" t="str">
        <f t="shared" si="37"/>
        <v/>
      </c>
      <c r="F180" s="205" t="str">
        <f t="shared" si="37"/>
        <v/>
      </c>
      <c r="G180" s="205" t="str">
        <f t="shared" si="37"/>
        <v/>
      </c>
      <c r="H180" s="205" t="str">
        <f t="shared" si="37"/>
        <v/>
      </c>
      <c r="I180" s="205" t="str">
        <f t="shared" si="37"/>
        <v/>
      </c>
      <c r="J180" s="205" t="str">
        <f t="shared" si="37"/>
        <v/>
      </c>
      <c r="K180" s="205" t="str">
        <f t="shared" si="37"/>
        <v/>
      </c>
      <c r="L180" s="205" t="str">
        <f t="shared" si="38"/>
        <v>info</v>
      </c>
      <c r="M180" s="205" t="str">
        <f t="shared" si="38"/>
        <v>x</v>
      </c>
      <c r="N180" s="205" t="str">
        <f t="shared" si="38"/>
        <v/>
      </c>
      <c r="O180" s="205" t="str">
        <f t="shared" si="38"/>
        <v>model</v>
      </c>
      <c r="P180" s="206" t="str">
        <f t="shared" si="38"/>
        <v>String</v>
      </c>
      <c r="Q180" s="206" t="str">
        <f t="shared" si="38"/>
        <v>x</v>
      </c>
      <c r="R180" s="206" t="str">
        <f t="shared" si="38"/>
        <v>BS</v>
      </c>
      <c r="S180" s="206" t="str">
        <f t="shared" si="38"/>
        <v>all</v>
      </c>
      <c r="T180" s="205" t="str">
        <f t="shared" si="38"/>
        <v>Arial</v>
      </c>
      <c r="U180" s="205" t="str">
        <f t="shared" si="38"/>
        <v>Marker-Text</v>
      </c>
      <c r="V180" s="205" t="str">
        <f t="shared" si="38"/>
        <v>x</v>
      </c>
      <c r="W180" s="205" t="str">
        <f t="shared" si="38"/>
        <v/>
      </c>
      <c r="X180" s="205" t="str">
        <f t="shared" si="38"/>
        <v/>
      </c>
      <c r="Y180" s="205" t="str">
        <f t="shared" si="38"/>
        <v>SIASymbolFontStyle</v>
      </c>
    </row>
    <row r="181" spans="1:25">
      <c r="A181" s="204">
        <f t="shared" si="28"/>
        <v>179</v>
      </c>
      <c r="B181" s="205" t="str">
        <f t="shared" si="37"/>
        <v>x</v>
      </c>
      <c r="C181" s="205" t="str">
        <f t="shared" si="37"/>
        <v/>
      </c>
      <c r="D181" s="205" t="str">
        <f t="shared" si="37"/>
        <v/>
      </c>
      <c r="E181" s="205" t="str">
        <f t="shared" si="37"/>
        <v/>
      </c>
      <c r="F181" s="205" t="str">
        <f t="shared" si="37"/>
        <v/>
      </c>
      <c r="G181" s="205" t="str">
        <f t="shared" si="37"/>
        <v/>
      </c>
      <c r="H181" s="205" t="str">
        <f t="shared" si="37"/>
        <v/>
      </c>
      <c r="I181" s="205" t="str">
        <f t="shared" si="37"/>
        <v/>
      </c>
      <c r="J181" s="205" t="str">
        <f t="shared" si="37"/>
        <v/>
      </c>
      <c r="K181" s="205" t="str">
        <f t="shared" si="37"/>
        <v/>
      </c>
      <c r="L181" s="205" t="str">
        <f t="shared" si="38"/>
        <v>info</v>
      </c>
      <c r="M181" s="205" t="str">
        <f t="shared" si="38"/>
        <v>x</v>
      </c>
      <c r="N181" s="205" t="str">
        <f t="shared" si="38"/>
        <v/>
      </c>
      <c r="O181" s="205" t="str">
        <f t="shared" si="38"/>
        <v>model</v>
      </c>
      <c r="P181" s="206" t="str">
        <f t="shared" si="38"/>
        <v>RealNum</v>
      </c>
      <c r="Q181" s="206" t="str">
        <f t="shared" si="38"/>
        <v>x</v>
      </c>
      <c r="R181" s="206" t="str">
        <f t="shared" si="38"/>
        <v>BS</v>
      </c>
      <c r="S181" s="206" t="str">
        <f t="shared" si="38"/>
        <v>all</v>
      </c>
      <c r="T181" s="205">
        <f t="shared" si="38"/>
        <v>1</v>
      </c>
      <c r="U181" s="205" t="str">
        <f t="shared" si="38"/>
        <v>Schriftgröße</v>
      </c>
      <c r="V181" s="205" t="str">
        <f t="shared" si="38"/>
        <v>x</v>
      </c>
      <c r="W181" s="205" t="str">
        <f t="shared" si="38"/>
        <v/>
      </c>
      <c r="X181" s="205" t="str">
        <f t="shared" si="38"/>
        <v/>
      </c>
      <c r="Y181" s="205" t="str">
        <f t="shared" si="38"/>
        <v>SIASymbolFontSize</v>
      </c>
    </row>
    <row r="182" spans="1:25">
      <c r="A182" s="204">
        <f t="shared" si="28"/>
        <v>180</v>
      </c>
      <c r="B182" s="205" t="str">
        <f t="shared" si="37"/>
        <v>x</v>
      </c>
      <c r="C182" s="205" t="str">
        <f t="shared" si="37"/>
        <v/>
      </c>
      <c r="D182" s="205" t="str">
        <f t="shared" si="37"/>
        <v/>
      </c>
      <c r="E182" s="205" t="str">
        <f t="shared" si="37"/>
        <v/>
      </c>
      <c r="F182" s="205" t="str">
        <f t="shared" si="37"/>
        <v/>
      </c>
      <c r="G182" s="205" t="str">
        <f t="shared" si="37"/>
        <v/>
      </c>
      <c r="H182" s="205" t="str">
        <f t="shared" si="37"/>
        <v/>
      </c>
      <c r="I182" s="205" t="str">
        <f t="shared" si="37"/>
        <v/>
      </c>
      <c r="J182" s="205" t="str">
        <f t="shared" si="37"/>
        <v/>
      </c>
      <c r="K182" s="205" t="str">
        <f t="shared" si="37"/>
        <v/>
      </c>
      <c r="L182" s="205" t="str">
        <f t="shared" si="38"/>
        <v>info</v>
      </c>
      <c r="M182" s="205" t="str">
        <f t="shared" si="38"/>
        <v/>
      </c>
      <c r="N182" s="205" t="str">
        <f t="shared" si="38"/>
        <v/>
      </c>
      <c r="O182" s="205" t="str">
        <f t="shared" si="38"/>
        <v>model</v>
      </c>
      <c r="P182" s="206" t="str">
        <f t="shared" si="38"/>
        <v>Boolean</v>
      </c>
      <c r="Q182" s="206" t="str">
        <f t="shared" si="38"/>
        <v>x</v>
      </c>
      <c r="R182" s="206" t="str">
        <f t="shared" si="38"/>
        <v>BS</v>
      </c>
      <c r="S182" s="206" t="str">
        <f t="shared" si="38"/>
        <v>all</v>
      </c>
      <c r="T182" s="205" t="str">
        <f t="shared" si="38"/>
        <v/>
      </c>
      <c r="U182" s="205" t="str">
        <f t="shared" si="38"/>
        <v>Außenverkleidung</v>
      </c>
      <c r="V182" s="205" t="str">
        <f t="shared" si="38"/>
        <v/>
      </c>
      <c r="W182" s="205" t="str">
        <f t="shared" si="38"/>
        <v/>
      </c>
      <c r="X182" s="205" t="str">
        <f t="shared" si="38"/>
        <v/>
      </c>
      <c r="Y182" s="205" t="str">
        <f t="shared" si="38"/>
        <v>gs_trim_outside</v>
      </c>
    </row>
    <row r="183" spans="1:25">
      <c r="A183" s="204">
        <f t="shared" si="28"/>
        <v>181</v>
      </c>
      <c r="B183" s="205" t="str">
        <f t="shared" ref="B183:K192" si="39">IF(ISNONTEXT(B$2),IF(B$2="","",IF(INDEX(IMPORT,$A183,B$2)=0,"",IFERROR(VLOOKUP(INDEX(IMPORT,$A183,B$2),ImportTranslation,2,0),INDEX(IMPORT,$A183,B$2)))),B$2)</f>
        <v>x</v>
      </c>
      <c r="C183" s="205" t="str">
        <f t="shared" si="39"/>
        <v>x</v>
      </c>
      <c r="D183" s="205" t="str">
        <f t="shared" si="39"/>
        <v/>
      </c>
      <c r="E183" s="205" t="str">
        <f t="shared" si="39"/>
        <v/>
      </c>
      <c r="F183" s="205" t="str">
        <f t="shared" si="39"/>
        <v/>
      </c>
      <c r="G183" s="205" t="str">
        <f t="shared" si="39"/>
        <v/>
      </c>
      <c r="H183" s="205" t="str">
        <f t="shared" si="39"/>
        <v/>
      </c>
      <c r="I183" s="205" t="str">
        <f t="shared" si="39"/>
        <v/>
      </c>
      <c r="J183" s="205" t="str">
        <f t="shared" si="39"/>
        <v/>
      </c>
      <c r="K183" s="205" t="str">
        <f t="shared" si="39"/>
        <v/>
      </c>
      <c r="L183" s="205" t="str">
        <f t="shared" ref="L183:Y192" si="40">IF(ISNONTEXT(L$2),IF(L$2="","",IF(INDEX(IMPORT,$A183,L$2)=0,"",IFERROR(VLOOKUP(INDEX(IMPORT,$A183,L$2),ImportTranslation,2,0),INDEX(IMPORT,$A183,L$2)))),L$2)</f>
        <v>info</v>
      </c>
      <c r="M183" s="205" t="str">
        <f t="shared" si="40"/>
        <v>x</v>
      </c>
      <c r="N183" s="205" t="str">
        <f t="shared" si="40"/>
        <v/>
      </c>
      <c r="O183" s="205" t="str">
        <f t="shared" si="40"/>
        <v>model</v>
      </c>
      <c r="P183" s="206" t="str">
        <f t="shared" si="40"/>
        <v>String</v>
      </c>
      <c r="Q183" s="206" t="str">
        <f t="shared" si="40"/>
        <v>x</v>
      </c>
      <c r="R183" s="206" t="str">
        <f t="shared" si="40"/>
        <v>BS</v>
      </c>
      <c r="S183" s="206" t="str">
        <f t="shared" si="40"/>
        <v>all</v>
      </c>
      <c r="T183" s="205" t="str">
        <f t="shared" si="40"/>
        <v>Rechteckig</v>
      </c>
      <c r="U183" s="205" t="str">
        <f t="shared" si="40"/>
        <v>Türfutter außen</v>
      </c>
      <c r="V183" s="205" t="str">
        <f t="shared" si="40"/>
        <v>x</v>
      </c>
      <c r="W183" s="205" t="str">
        <f t="shared" si="40"/>
        <v/>
      </c>
      <c r="X183" s="205" t="str">
        <f t="shared" si="40"/>
        <v/>
      </c>
      <c r="Y183" s="205" t="str">
        <f t="shared" si="40"/>
        <v>gs_trimtype_out</v>
      </c>
    </row>
    <row r="184" spans="1:25">
      <c r="A184" s="204">
        <f t="shared" si="28"/>
        <v>182</v>
      </c>
      <c r="B184" s="205" t="str">
        <f t="shared" si="39"/>
        <v>x</v>
      </c>
      <c r="C184" s="205" t="str">
        <f t="shared" si="39"/>
        <v>x</v>
      </c>
      <c r="D184" s="205" t="str">
        <f t="shared" si="39"/>
        <v/>
      </c>
      <c r="E184" s="205" t="str">
        <f t="shared" si="39"/>
        <v/>
      </c>
      <c r="F184" s="205" t="str">
        <f t="shared" si="39"/>
        <v/>
      </c>
      <c r="G184" s="205" t="str">
        <f t="shared" si="39"/>
        <v/>
      </c>
      <c r="H184" s="205" t="str">
        <f t="shared" si="39"/>
        <v/>
      </c>
      <c r="I184" s="205" t="str">
        <f t="shared" si="39"/>
        <v/>
      </c>
      <c r="J184" s="205" t="str">
        <f t="shared" si="39"/>
        <v/>
      </c>
      <c r="K184" s="205" t="str">
        <f t="shared" si="39"/>
        <v/>
      </c>
      <c r="L184" s="205" t="str">
        <f t="shared" si="40"/>
        <v>info</v>
      </c>
      <c r="M184" s="205" t="str">
        <f t="shared" si="40"/>
        <v>x</v>
      </c>
      <c r="N184" s="205" t="str">
        <f t="shared" si="40"/>
        <v/>
      </c>
      <c r="O184" s="205" t="str">
        <f t="shared" si="40"/>
        <v>model</v>
      </c>
      <c r="P184" s="206" t="str">
        <f t="shared" si="40"/>
        <v>Integer</v>
      </c>
      <c r="Q184" s="206" t="str">
        <f t="shared" si="40"/>
        <v>x</v>
      </c>
      <c r="R184" s="206" t="str">
        <f t="shared" si="40"/>
        <v>BS</v>
      </c>
      <c r="S184" s="206" t="str">
        <f t="shared" si="40"/>
        <v>all</v>
      </c>
      <c r="T184" s="205">
        <f t="shared" si="40"/>
        <v>1</v>
      </c>
      <c r="U184" s="205" t="str">
        <f t="shared" si="40"/>
        <v>Türfutter außen</v>
      </c>
      <c r="V184" s="205" t="str">
        <f t="shared" si="40"/>
        <v>x</v>
      </c>
      <c r="W184" s="205" t="str">
        <f t="shared" si="40"/>
        <v/>
      </c>
      <c r="X184" s="205" t="str">
        <f t="shared" si="40"/>
        <v/>
      </c>
      <c r="Y184" s="205" t="str">
        <f t="shared" si="40"/>
        <v>gs_trimtype_out_int</v>
      </c>
    </row>
    <row r="185" spans="1:25">
      <c r="A185" s="204">
        <f t="shared" si="28"/>
        <v>183</v>
      </c>
      <c r="B185" s="205" t="str">
        <f t="shared" si="39"/>
        <v>x</v>
      </c>
      <c r="C185" s="205" t="str">
        <f t="shared" si="39"/>
        <v/>
      </c>
      <c r="D185" s="205" t="str">
        <f t="shared" si="39"/>
        <v/>
      </c>
      <c r="E185" s="205" t="str">
        <f t="shared" si="39"/>
        <v/>
      </c>
      <c r="F185" s="205" t="str">
        <f t="shared" si="39"/>
        <v/>
      </c>
      <c r="G185" s="205" t="str">
        <f t="shared" si="39"/>
        <v/>
      </c>
      <c r="H185" s="205" t="str">
        <f t="shared" si="39"/>
        <v/>
      </c>
      <c r="I185" s="205" t="str">
        <f t="shared" si="39"/>
        <v/>
      </c>
      <c r="J185" s="205" t="str">
        <f t="shared" si="39"/>
        <v/>
      </c>
      <c r="K185" s="205" t="str">
        <f t="shared" si="39"/>
        <v/>
      </c>
      <c r="L185" s="205" t="str">
        <f t="shared" si="40"/>
        <v>info</v>
      </c>
      <c r="M185" s="205" t="str">
        <f t="shared" si="40"/>
        <v>x</v>
      </c>
      <c r="N185" s="205" t="str">
        <f t="shared" si="40"/>
        <v/>
      </c>
      <c r="O185" s="205" t="str">
        <f t="shared" si="40"/>
        <v>model</v>
      </c>
      <c r="P185" s="206" t="str">
        <f t="shared" si="40"/>
        <v>Integer</v>
      </c>
      <c r="Q185" s="206" t="str">
        <f t="shared" si="40"/>
        <v>x</v>
      </c>
      <c r="R185" s="206" t="str">
        <f t="shared" si="40"/>
        <v>BS</v>
      </c>
      <c r="S185" s="206" t="str">
        <f t="shared" si="40"/>
        <v>all</v>
      </c>
      <c r="T185" s="205">
        <f t="shared" si="40"/>
        <v>1</v>
      </c>
      <c r="U185" s="205" t="str">
        <f t="shared" si="40"/>
        <v>Gehäuse Kopftyp</v>
      </c>
      <c r="V185" s="205" t="str">
        <f t="shared" si="40"/>
        <v>x</v>
      </c>
      <c r="W185" s="205" t="str">
        <f t="shared" si="40"/>
        <v/>
      </c>
      <c r="X185" s="205" t="str">
        <f t="shared" si="40"/>
        <v/>
      </c>
      <c r="Y185" s="205" t="str">
        <f t="shared" si="40"/>
        <v>iCasingHeadTypeOut</v>
      </c>
    </row>
    <row r="186" spans="1:25">
      <c r="A186" s="204">
        <f t="shared" si="28"/>
        <v>184</v>
      </c>
      <c r="B186" s="205" t="str">
        <f t="shared" si="39"/>
        <v>x</v>
      </c>
      <c r="C186" s="205" t="str">
        <f t="shared" si="39"/>
        <v/>
      </c>
      <c r="D186" s="205" t="str">
        <f t="shared" si="39"/>
        <v/>
      </c>
      <c r="E186" s="205" t="str">
        <f t="shared" si="39"/>
        <v/>
      </c>
      <c r="F186" s="205" t="str">
        <f t="shared" si="39"/>
        <v/>
      </c>
      <c r="G186" s="205" t="str">
        <f t="shared" si="39"/>
        <v/>
      </c>
      <c r="H186" s="205" t="str">
        <f t="shared" si="39"/>
        <v/>
      </c>
      <c r="I186" s="205" t="str">
        <f t="shared" si="39"/>
        <v/>
      </c>
      <c r="J186" s="205" t="str">
        <f t="shared" si="39"/>
        <v/>
      </c>
      <c r="K186" s="205" t="str">
        <f t="shared" si="39"/>
        <v/>
      </c>
      <c r="L186" s="205" t="str">
        <f t="shared" si="40"/>
        <v>info</v>
      </c>
      <c r="M186" s="205" t="str">
        <f t="shared" si="40"/>
        <v>x</v>
      </c>
      <c r="N186" s="205" t="str">
        <f t="shared" si="40"/>
        <v/>
      </c>
      <c r="O186" s="205" t="str">
        <f t="shared" si="40"/>
        <v>model</v>
      </c>
      <c r="P186" s="206" t="str">
        <f t="shared" si="40"/>
        <v>Boolean</v>
      </c>
      <c r="Q186" s="206" t="str">
        <f t="shared" si="40"/>
        <v>x</v>
      </c>
      <c r="R186" s="206" t="str">
        <f t="shared" si="40"/>
        <v>BS</v>
      </c>
      <c r="S186" s="206" t="str">
        <f t="shared" si="40"/>
        <v>all</v>
      </c>
      <c r="T186" s="205">
        <f t="shared" si="40"/>
        <v>1</v>
      </c>
      <c r="U186" s="205" t="str">
        <f t="shared" si="40"/>
        <v>Querbalken oben</v>
      </c>
      <c r="V186" s="205" t="str">
        <f t="shared" si="40"/>
        <v>x</v>
      </c>
      <c r="W186" s="205" t="str">
        <f t="shared" si="40"/>
        <v/>
      </c>
      <c r="X186" s="205" t="str">
        <f t="shared" si="40"/>
        <v/>
      </c>
      <c r="Y186" s="205" t="str">
        <f t="shared" si="40"/>
        <v>bArchitraveCapital</v>
      </c>
    </row>
    <row r="187" spans="1:25">
      <c r="A187" s="204">
        <f t="shared" si="28"/>
        <v>185</v>
      </c>
      <c r="B187" s="205" t="str">
        <f t="shared" si="39"/>
        <v>x</v>
      </c>
      <c r="C187" s="205" t="str">
        <f t="shared" si="39"/>
        <v/>
      </c>
      <c r="D187" s="205" t="str">
        <f t="shared" si="39"/>
        <v/>
      </c>
      <c r="E187" s="205" t="str">
        <f t="shared" si="39"/>
        <v/>
      </c>
      <c r="F187" s="205" t="str">
        <f t="shared" si="39"/>
        <v/>
      </c>
      <c r="G187" s="205" t="str">
        <f t="shared" si="39"/>
        <v/>
      </c>
      <c r="H187" s="205" t="str">
        <f t="shared" si="39"/>
        <v/>
      </c>
      <c r="I187" s="205" t="str">
        <f t="shared" si="39"/>
        <v/>
      </c>
      <c r="J187" s="205" t="str">
        <f t="shared" si="39"/>
        <v/>
      </c>
      <c r="K187" s="205" t="str">
        <f t="shared" si="39"/>
        <v/>
      </c>
      <c r="L187" s="205" t="str">
        <f t="shared" si="40"/>
        <v>info</v>
      </c>
      <c r="M187" s="205" t="str">
        <f t="shared" si="40"/>
        <v>x</v>
      </c>
      <c r="N187" s="205" t="str">
        <f t="shared" si="40"/>
        <v/>
      </c>
      <c r="O187" s="205" t="str">
        <f t="shared" si="40"/>
        <v>model</v>
      </c>
      <c r="P187" s="206" t="str">
        <f t="shared" si="40"/>
        <v>Integer</v>
      </c>
      <c r="Q187" s="206" t="str">
        <f t="shared" si="40"/>
        <v>x</v>
      </c>
      <c r="R187" s="206" t="str">
        <f t="shared" si="40"/>
        <v>BS</v>
      </c>
      <c r="S187" s="206" t="str">
        <f t="shared" si="40"/>
        <v>all</v>
      </c>
      <c r="T187" s="205">
        <f t="shared" si="40"/>
        <v>1</v>
      </c>
      <c r="U187" s="205" t="str">
        <f t="shared" si="40"/>
        <v>Querbalken Typ oben</v>
      </c>
      <c r="V187" s="205" t="str">
        <f t="shared" si="40"/>
        <v>x</v>
      </c>
      <c r="W187" s="205" t="str">
        <f t="shared" si="40"/>
        <v/>
      </c>
      <c r="X187" s="205" t="str">
        <f t="shared" si="40"/>
        <v/>
      </c>
      <c r="Y187" s="205" t="str">
        <f t="shared" si="40"/>
        <v>iArchitraveCapitalType</v>
      </c>
    </row>
    <row r="188" spans="1:25">
      <c r="A188" s="204">
        <f t="shared" si="28"/>
        <v>186</v>
      </c>
      <c r="B188" s="205" t="str">
        <f t="shared" si="39"/>
        <v>x</v>
      </c>
      <c r="C188" s="205" t="str">
        <f t="shared" si="39"/>
        <v/>
      </c>
      <c r="D188" s="205" t="str">
        <f t="shared" si="39"/>
        <v/>
      </c>
      <c r="E188" s="205" t="str">
        <f t="shared" si="39"/>
        <v/>
      </c>
      <c r="F188" s="205" t="str">
        <f t="shared" si="39"/>
        <v/>
      </c>
      <c r="G188" s="205" t="str">
        <f t="shared" si="39"/>
        <v/>
      </c>
      <c r="H188" s="205" t="str">
        <f t="shared" si="39"/>
        <v/>
      </c>
      <c r="I188" s="205" t="str">
        <f t="shared" si="39"/>
        <v/>
      </c>
      <c r="J188" s="205" t="str">
        <f t="shared" si="39"/>
        <v/>
      </c>
      <c r="K188" s="205" t="str">
        <f t="shared" si="39"/>
        <v/>
      </c>
      <c r="L188" s="205" t="str">
        <f t="shared" si="40"/>
        <v>info</v>
      </c>
      <c r="M188" s="205" t="str">
        <f t="shared" si="40"/>
        <v>x</v>
      </c>
      <c r="N188" s="205" t="str">
        <f t="shared" si="40"/>
        <v/>
      </c>
      <c r="O188" s="205" t="str">
        <f t="shared" si="40"/>
        <v>model</v>
      </c>
      <c r="P188" s="206" t="str">
        <f t="shared" si="40"/>
        <v>Length</v>
      </c>
      <c r="Q188" s="206" t="str">
        <f t="shared" si="40"/>
        <v>x</v>
      </c>
      <c r="R188" s="206" t="str">
        <f t="shared" si="40"/>
        <v>BS</v>
      </c>
      <c r="S188" s="206" t="str">
        <f t="shared" si="40"/>
        <v>all</v>
      </c>
      <c r="T188" s="205">
        <f t="shared" si="40"/>
        <v>0.02</v>
      </c>
      <c r="U188" s="205" t="str">
        <f t="shared" si="40"/>
        <v>Querbalken oben Breite</v>
      </c>
      <c r="V188" s="205" t="str">
        <f t="shared" si="40"/>
        <v>x</v>
      </c>
      <c r="W188" s="205" t="str">
        <f t="shared" si="40"/>
        <v/>
      </c>
      <c r="X188" s="205" t="str">
        <f t="shared" si="40"/>
        <v/>
      </c>
      <c r="Y188" s="205" t="str">
        <f t="shared" si="40"/>
        <v>architraveCapitalWidth</v>
      </c>
    </row>
    <row r="189" spans="1:25">
      <c r="A189" s="204">
        <f t="shared" si="28"/>
        <v>187</v>
      </c>
      <c r="B189" s="205" t="str">
        <f t="shared" si="39"/>
        <v>x</v>
      </c>
      <c r="C189" s="205" t="str">
        <f t="shared" si="39"/>
        <v/>
      </c>
      <c r="D189" s="205" t="str">
        <f t="shared" si="39"/>
        <v/>
      </c>
      <c r="E189" s="205" t="str">
        <f t="shared" si="39"/>
        <v/>
      </c>
      <c r="F189" s="205" t="str">
        <f t="shared" si="39"/>
        <v/>
      </c>
      <c r="G189" s="205" t="str">
        <f t="shared" si="39"/>
        <v/>
      </c>
      <c r="H189" s="205" t="str">
        <f t="shared" si="39"/>
        <v/>
      </c>
      <c r="I189" s="205" t="str">
        <f t="shared" si="39"/>
        <v/>
      </c>
      <c r="J189" s="205" t="str">
        <f t="shared" si="39"/>
        <v/>
      </c>
      <c r="K189" s="205" t="str">
        <f t="shared" si="39"/>
        <v/>
      </c>
      <c r="L189" s="205" t="str">
        <f t="shared" si="40"/>
        <v>info</v>
      </c>
      <c r="M189" s="205" t="str">
        <f t="shared" si="40"/>
        <v>x</v>
      </c>
      <c r="N189" s="205" t="str">
        <f t="shared" si="40"/>
        <v/>
      </c>
      <c r="O189" s="205" t="str">
        <f t="shared" si="40"/>
        <v>model</v>
      </c>
      <c r="P189" s="206" t="str">
        <f t="shared" si="40"/>
        <v>Boolean</v>
      </c>
      <c r="Q189" s="206" t="str">
        <f t="shared" si="40"/>
        <v>x</v>
      </c>
      <c r="R189" s="206" t="str">
        <f t="shared" si="40"/>
        <v>BS</v>
      </c>
      <c r="S189" s="206" t="str">
        <f t="shared" si="40"/>
        <v>all</v>
      </c>
      <c r="T189" s="205">
        <f t="shared" si="40"/>
        <v>1</v>
      </c>
      <c r="U189" s="205" t="str">
        <f t="shared" si="40"/>
        <v>Verkleidung</v>
      </c>
      <c r="V189" s="205" t="str">
        <f t="shared" si="40"/>
        <v>x</v>
      </c>
      <c r="W189" s="205" t="str">
        <f t="shared" si="40"/>
        <v/>
      </c>
      <c r="X189" s="205" t="str">
        <f t="shared" si="40"/>
        <v/>
      </c>
      <c r="Y189" s="205" t="str">
        <f t="shared" si="40"/>
        <v>gs_trim_show_cover_out</v>
      </c>
    </row>
    <row r="190" spans="1:25">
      <c r="A190" s="204">
        <f t="shared" si="28"/>
        <v>188</v>
      </c>
      <c r="B190" s="205" t="str">
        <f t="shared" si="39"/>
        <v>x</v>
      </c>
      <c r="C190" s="205" t="str">
        <f t="shared" si="39"/>
        <v/>
      </c>
      <c r="D190" s="205" t="str">
        <f t="shared" si="39"/>
        <v/>
      </c>
      <c r="E190" s="205" t="str">
        <f t="shared" si="39"/>
        <v/>
      </c>
      <c r="F190" s="205" t="str">
        <f t="shared" si="39"/>
        <v/>
      </c>
      <c r="G190" s="205" t="str">
        <f t="shared" si="39"/>
        <v/>
      </c>
      <c r="H190" s="205" t="str">
        <f t="shared" si="39"/>
        <v/>
      </c>
      <c r="I190" s="205" t="str">
        <f t="shared" si="39"/>
        <v/>
      </c>
      <c r="J190" s="205" t="str">
        <f t="shared" si="39"/>
        <v/>
      </c>
      <c r="K190" s="205" t="str">
        <f t="shared" si="39"/>
        <v/>
      </c>
      <c r="L190" s="205" t="str">
        <f t="shared" si="40"/>
        <v>info</v>
      </c>
      <c r="M190" s="205" t="str">
        <f t="shared" si="40"/>
        <v>x</v>
      </c>
      <c r="N190" s="205" t="str">
        <f t="shared" si="40"/>
        <v/>
      </c>
      <c r="O190" s="205" t="str">
        <f t="shared" si="40"/>
        <v>model</v>
      </c>
      <c r="P190" s="206" t="str">
        <f t="shared" si="40"/>
        <v>Boolean</v>
      </c>
      <c r="Q190" s="206" t="str">
        <f t="shared" si="40"/>
        <v>x</v>
      </c>
      <c r="R190" s="206" t="str">
        <f t="shared" si="40"/>
        <v>BS</v>
      </c>
      <c r="S190" s="206" t="str">
        <f t="shared" si="40"/>
        <v>all</v>
      </c>
      <c r="T190" s="205">
        <f t="shared" si="40"/>
        <v>1</v>
      </c>
      <c r="U190" s="205" t="str">
        <f t="shared" si="40"/>
        <v>einheitliche Einfassungsbreiten</v>
      </c>
      <c r="V190" s="205" t="str">
        <f t="shared" si="40"/>
        <v>x</v>
      </c>
      <c r="W190" s="205" t="str">
        <f t="shared" si="40"/>
        <v/>
      </c>
      <c r="X190" s="205" t="str">
        <f t="shared" si="40"/>
        <v/>
      </c>
      <c r="Y190" s="205" t="str">
        <f t="shared" si="40"/>
        <v>gs_trim_outside_uniform</v>
      </c>
    </row>
    <row r="191" spans="1:25">
      <c r="A191" s="204">
        <f t="shared" si="28"/>
        <v>189</v>
      </c>
      <c r="B191" s="205" t="str">
        <f t="shared" si="39"/>
        <v>x</v>
      </c>
      <c r="C191" s="205" t="str">
        <f t="shared" si="39"/>
        <v/>
      </c>
      <c r="D191" s="205" t="str">
        <f t="shared" si="39"/>
        <v/>
      </c>
      <c r="E191" s="205" t="str">
        <f t="shared" si="39"/>
        <v/>
      </c>
      <c r="F191" s="205" t="str">
        <f t="shared" si="39"/>
        <v/>
      </c>
      <c r="G191" s="205" t="str">
        <f t="shared" si="39"/>
        <v/>
      </c>
      <c r="H191" s="205" t="str">
        <f t="shared" si="39"/>
        <v/>
      </c>
      <c r="I191" s="205" t="str">
        <f t="shared" si="39"/>
        <v/>
      </c>
      <c r="J191" s="205" t="str">
        <f t="shared" si="39"/>
        <v/>
      </c>
      <c r="K191" s="205" t="str">
        <f t="shared" si="39"/>
        <v/>
      </c>
      <c r="L191" s="205" t="str">
        <f t="shared" si="40"/>
        <v>info</v>
      </c>
      <c r="M191" s="205" t="str">
        <f t="shared" si="40"/>
        <v>x</v>
      </c>
      <c r="N191" s="205" t="str">
        <f t="shared" si="40"/>
        <v/>
      </c>
      <c r="O191" s="205" t="str">
        <f t="shared" si="40"/>
        <v>model</v>
      </c>
      <c r="P191" s="206" t="str">
        <f t="shared" si="40"/>
        <v>Length</v>
      </c>
      <c r="Q191" s="206" t="str">
        <f t="shared" si="40"/>
        <v>x</v>
      </c>
      <c r="R191" s="206" t="str">
        <f t="shared" si="40"/>
        <v>BS</v>
      </c>
      <c r="S191" s="206" t="str">
        <f t="shared" si="40"/>
        <v>all</v>
      </c>
      <c r="T191" s="205">
        <f t="shared" si="40"/>
        <v>0.05</v>
      </c>
      <c r="U191" s="205" t="str">
        <f t="shared" si="40"/>
        <v>Breite Seite 1</v>
      </c>
      <c r="V191" s="205" t="str">
        <f t="shared" si="40"/>
        <v>x</v>
      </c>
      <c r="W191" s="205" t="str">
        <f t="shared" si="40"/>
        <v/>
      </c>
      <c r="X191" s="205" t="str">
        <f t="shared" si="40"/>
        <v/>
      </c>
      <c r="Y191" s="205" t="str">
        <f t="shared" si="40"/>
        <v>gs_tw_right_out</v>
      </c>
    </row>
    <row r="192" spans="1:25">
      <c r="A192" s="204">
        <f t="shared" si="28"/>
        <v>190</v>
      </c>
      <c r="B192" s="205" t="str">
        <f t="shared" si="39"/>
        <v>x</v>
      </c>
      <c r="C192" s="205" t="str">
        <f t="shared" si="39"/>
        <v/>
      </c>
      <c r="D192" s="205" t="str">
        <f t="shared" si="39"/>
        <v/>
      </c>
      <c r="E192" s="205" t="str">
        <f t="shared" si="39"/>
        <v/>
      </c>
      <c r="F192" s="205" t="str">
        <f t="shared" si="39"/>
        <v/>
      </c>
      <c r="G192" s="205" t="str">
        <f t="shared" si="39"/>
        <v/>
      </c>
      <c r="H192" s="205" t="str">
        <f t="shared" si="39"/>
        <v/>
      </c>
      <c r="I192" s="205" t="str">
        <f t="shared" si="39"/>
        <v/>
      </c>
      <c r="J192" s="205" t="str">
        <f t="shared" si="39"/>
        <v/>
      </c>
      <c r="K192" s="205" t="str">
        <f t="shared" si="39"/>
        <v/>
      </c>
      <c r="L192" s="205" t="str">
        <f t="shared" si="40"/>
        <v>info</v>
      </c>
      <c r="M192" s="205" t="str">
        <f t="shared" si="40"/>
        <v>x</v>
      </c>
      <c r="N192" s="205" t="str">
        <f t="shared" si="40"/>
        <v/>
      </c>
      <c r="O192" s="205" t="str">
        <f t="shared" si="40"/>
        <v>model</v>
      </c>
      <c r="P192" s="206" t="str">
        <f t="shared" si="40"/>
        <v>Length</v>
      </c>
      <c r="Q192" s="206" t="str">
        <f t="shared" si="40"/>
        <v>x</v>
      </c>
      <c r="R192" s="206" t="str">
        <f t="shared" si="40"/>
        <v>BS</v>
      </c>
      <c r="S192" s="206" t="str">
        <f t="shared" si="40"/>
        <v>all</v>
      </c>
      <c r="T192" s="205">
        <f t="shared" si="40"/>
        <v>0.05</v>
      </c>
      <c r="U192" s="205" t="str">
        <f t="shared" si="40"/>
        <v>Breite Seite 2</v>
      </c>
      <c r="V192" s="205" t="str">
        <f t="shared" si="40"/>
        <v>x</v>
      </c>
      <c r="W192" s="205" t="str">
        <f t="shared" si="40"/>
        <v/>
      </c>
      <c r="X192" s="205" t="str">
        <f t="shared" si="40"/>
        <v/>
      </c>
      <c r="Y192" s="205" t="str">
        <f t="shared" si="40"/>
        <v>gs_tw_left_out</v>
      </c>
    </row>
    <row r="193" spans="1:25">
      <c r="A193" s="204">
        <f t="shared" si="28"/>
        <v>191</v>
      </c>
      <c r="B193" s="205" t="str">
        <f t="shared" ref="B193:K202" si="41">IF(ISNONTEXT(B$2),IF(B$2="","",IF(INDEX(IMPORT,$A193,B$2)=0,"",IFERROR(VLOOKUP(INDEX(IMPORT,$A193,B$2),ImportTranslation,2,0),INDEX(IMPORT,$A193,B$2)))),B$2)</f>
        <v>x</v>
      </c>
      <c r="C193" s="205" t="str">
        <f t="shared" si="41"/>
        <v/>
      </c>
      <c r="D193" s="205" t="str">
        <f t="shared" si="41"/>
        <v/>
      </c>
      <c r="E193" s="205" t="str">
        <f t="shared" si="41"/>
        <v/>
      </c>
      <c r="F193" s="205" t="str">
        <f t="shared" si="41"/>
        <v/>
      </c>
      <c r="G193" s="205" t="str">
        <f t="shared" si="41"/>
        <v/>
      </c>
      <c r="H193" s="205" t="str">
        <f t="shared" si="41"/>
        <v/>
      </c>
      <c r="I193" s="205" t="str">
        <f t="shared" si="41"/>
        <v/>
      </c>
      <c r="J193" s="205" t="str">
        <f t="shared" si="41"/>
        <v/>
      </c>
      <c r="K193" s="205" t="str">
        <f t="shared" si="41"/>
        <v/>
      </c>
      <c r="L193" s="205" t="str">
        <f t="shared" ref="L193:Y202" si="42">IF(ISNONTEXT(L$2),IF(L$2="","",IF(INDEX(IMPORT,$A193,L$2)=0,"",IFERROR(VLOOKUP(INDEX(IMPORT,$A193,L$2),ImportTranslation,2,0),INDEX(IMPORT,$A193,L$2)))),L$2)</f>
        <v>info</v>
      </c>
      <c r="M193" s="205" t="str">
        <f t="shared" si="42"/>
        <v>x</v>
      </c>
      <c r="N193" s="205" t="str">
        <f t="shared" si="42"/>
        <v/>
      </c>
      <c r="O193" s="205" t="str">
        <f t="shared" si="42"/>
        <v>model</v>
      </c>
      <c r="P193" s="206" t="str">
        <f t="shared" si="42"/>
        <v>Length</v>
      </c>
      <c r="Q193" s="206" t="str">
        <f t="shared" si="42"/>
        <v>x</v>
      </c>
      <c r="R193" s="206" t="str">
        <f t="shared" si="42"/>
        <v>BS</v>
      </c>
      <c r="S193" s="206" t="str">
        <f t="shared" si="42"/>
        <v>all</v>
      </c>
      <c r="T193" s="205">
        <f t="shared" si="42"/>
        <v>0.05</v>
      </c>
      <c r="U193" s="205" t="str">
        <f t="shared" si="42"/>
        <v>Breite oben</v>
      </c>
      <c r="V193" s="205" t="str">
        <f t="shared" si="42"/>
        <v>x</v>
      </c>
      <c r="W193" s="205" t="str">
        <f t="shared" si="42"/>
        <v/>
      </c>
      <c r="X193" s="205" t="str">
        <f t="shared" si="42"/>
        <v/>
      </c>
      <c r="Y193" s="205" t="str">
        <f t="shared" si="42"/>
        <v>gs_tw_top_out</v>
      </c>
    </row>
    <row r="194" spans="1:25">
      <c r="A194" s="204">
        <f t="shared" si="28"/>
        <v>192</v>
      </c>
      <c r="B194" s="205" t="str">
        <f t="shared" si="41"/>
        <v>x</v>
      </c>
      <c r="C194" s="205" t="str">
        <f t="shared" si="41"/>
        <v/>
      </c>
      <c r="D194" s="205" t="str">
        <f t="shared" si="41"/>
        <v/>
      </c>
      <c r="E194" s="205" t="str">
        <f t="shared" si="41"/>
        <v/>
      </c>
      <c r="F194" s="205" t="str">
        <f t="shared" si="41"/>
        <v/>
      </c>
      <c r="G194" s="205" t="str">
        <f t="shared" si="41"/>
        <v/>
      </c>
      <c r="H194" s="205" t="str">
        <f t="shared" si="41"/>
        <v/>
      </c>
      <c r="I194" s="205" t="str">
        <f t="shared" si="41"/>
        <v/>
      </c>
      <c r="J194" s="205" t="str">
        <f t="shared" si="41"/>
        <v/>
      </c>
      <c r="K194" s="205" t="str">
        <f t="shared" si="41"/>
        <v/>
      </c>
      <c r="L194" s="205" t="str">
        <f t="shared" si="42"/>
        <v>info</v>
      </c>
      <c r="M194" s="205" t="str">
        <f t="shared" si="42"/>
        <v>x</v>
      </c>
      <c r="N194" s="205" t="str">
        <f t="shared" si="42"/>
        <v/>
      </c>
      <c r="O194" s="205" t="str">
        <f t="shared" si="42"/>
        <v>model</v>
      </c>
      <c r="P194" s="206" t="str">
        <f t="shared" si="42"/>
        <v>Length</v>
      </c>
      <c r="Q194" s="206" t="str">
        <f t="shared" si="42"/>
        <v>x</v>
      </c>
      <c r="R194" s="206" t="str">
        <f t="shared" si="42"/>
        <v>BS</v>
      </c>
      <c r="S194" s="206" t="str">
        <f t="shared" si="42"/>
        <v>all</v>
      </c>
      <c r="T194" s="205">
        <f t="shared" si="42"/>
        <v>1.9E-2</v>
      </c>
      <c r="U194" s="205" t="str">
        <f t="shared" si="42"/>
        <v>Dicke an Wand</v>
      </c>
      <c r="V194" s="205" t="str">
        <f t="shared" si="42"/>
        <v>x</v>
      </c>
      <c r="W194" s="205" t="str">
        <f t="shared" si="42"/>
        <v/>
      </c>
      <c r="X194" s="205" t="str">
        <f t="shared" si="42"/>
        <v/>
      </c>
      <c r="Y194" s="205" t="str">
        <f t="shared" si="42"/>
        <v>gs_trim_thk_out</v>
      </c>
    </row>
    <row r="195" spans="1:25">
      <c r="A195" s="204">
        <f t="shared" ref="A195:A258" si="43">ROW()-ROW($A$2)</f>
        <v>193</v>
      </c>
      <c r="B195" s="205" t="str">
        <f t="shared" si="41"/>
        <v>x</v>
      </c>
      <c r="C195" s="205" t="str">
        <f t="shared" si="41"/>
        <v/>
      </c>
      <c r="D195" s="205" t="str">
        <f t="shared" si="41"/>
        <v/>
      </c>
      <c r="E195" s="205" t="str">
        <f t="shared" si="41"/>
        <v/>
      </c>
      <c r="F195" s="205" t="str">
        <f t="shared" si="41"/>
        <v/>
      </c>
      <c r="G195" s="205" t="str">
        <f t="shared" si="41"/>
        <v/>
      </c>
      <c r="H195" s="205" t="str">
        <f t="shared" si="41"/>
        <v/>
      </c>
      <c r="I195" s="205" t="str">
        <f t="shared" si="41"/>
        <v/>
      </c>
      <c r="J195" s="205" t="str">
        <f t="shared" si="41"/>
        <v/>
      </c>
      <c r="K195" s="205" t="str">
        <f t="shared" si="41"/>
        <v/>
      </c>
      <c r="L195" s="205" t="str">
        <f t="shared" si="42"/>
        <v>info</v>
      </c>
      <c r="M195" s="205" t="str">
        <f t="shared" si="42"/>
        <v>x</v>
      </c>
      <c r="N195" s="205" t="str">
        <f t="shared" si="42"/>
        <v/>
      </c>
      <c r="O195" s="205" t="str">
        <f t="shared" si="42"/>
        <v>model</v>
      </c>
      <c r="P195" s="206" t="str">
        <f t="shared" si="42"/>
        <v>Length</v>
      </c>
      <c r="Q195" s="206" t="str">
        <f t="shared" si="42"/>
        <v>x</v>
      </c>
      <c r="R195" s="206" t="str">
        <f t="shared" si="42"/>
        <v>BS</v>
      </c>
      <c r="S195" s="206" t="str">
        <f t="shared" si="42"/>
        <v>all</v>
      </c>
      <c r="T195" s="205">
        <f t="shared" si="42"/>
        <v>2.5000000000000001E-2</v>
      </c>
      <c r="U195" s="205" t="str">
        <f t="shared" si="42"/>
        <v>Dicke in Wandloch</v>
      </c>
      <c r="V195" s="205" t="str">
        <f t="shared" si="42"/>
        <v>x</v>
      </c>
      <c r="W195" s="205" t="str">
        <f t="shared" si="42"/>
        <v/>
      </c>
      <c r="X195" s="205" t="str">
        <f t="shared" si="42"/>
        <v/>
      </c>
      <c r="Y195" s="205" t="str">
        <f t="shared" si="42"/>
        <v>gs_trim_width_out</v>
      </c>
    </row>
    <row r="196" spans="1:25">
      <c r="A196" s="204">
        <f t="shared" si="43"/>
        <v>194</v>
      </c>
      <c r="B196" s="205" t="str">
        <f t="shared" si="41"/>
        <v>x</v>
      </c>
      <c r="C196" s="205" t="str">
        <f t="shared" si="41"/>
        <v/>
      </c>
      <c r="D196" s="205" t="str">
        <f t="shared" si="41"/>
        <v/>
      </c>
      <c r="E196" s="205" t="str">
        <f t="shared" si="41"/>
        <v/>
      </c>
      <c r="F196" s="205" t="str">
        <f t="shared" si="41"/>
        <v/>
      </c>
      <c r="G196" s="205" t="str">
        <f t="shared" si="41"/>
        <v/>
      </c>
      <c r="H196" s="205" t="str">
        <f t="shared" si="41"/>
        <v/>
      </c>
      <c r="I196" s="205" t="str">
        <f t="shared" si="41"/>
        <v/>
      </c>
      <c r="J196" s="205" t="str">
        <f t="shared" si="41"/>
        <v/>
      </c>
      <c r="K196" s="205" t="str">
        <f t="shared" si="41"/>
        <v/>
      </c>
      <c r="L196" s="205" t="str">
        <f t="shared" si="42"/>
        <v>info</v>
      </c>
      <c r="M196" s="205" t="str">
        <f t="shared" si="42"/>
        <v>x</v>
      </c>
      <c r="N196" s="205" t="str">
        <f t="shared" si="42"/>
        <v/>
      </c>
      <c r="O196" s="205" t="str">
        <f t="shared" si="42"/>
        <v>model</v>
      </c>
      <c r="P196" s="206" t="str">
        <f t="shared" si="42"/>
        <v>Length</v>
      </c>
      <c r="Q196" s="206" t="str">
        <f t="shared" si="42"/>
        <v>x</v>
      </c>
      <c r="R196" s="206" t="str">
        <f t="shared" si="42"/>
        <v>BS</v>
      </c>
      <c r="S196" s="206" t="str">
        <f t="shared" si="42"/>
        <v>all</v>
      </c>
      <c r="T196" s="205" t="str">
        <f t="shared" si="42"/>
        <v/>
      </c>
      <c r="U196" s="205" t="str">
        <f t="shared" si="42"/>
        <v>Versatz</v>
      </c>
      <c r="V196" s="205" t="str">
        <f t="shared" si="42"/>
        <v>x</v>
      </c>
      <c r="W196" s="205" t="str">
        <f t="shared" si="42"/>
        <v/>
      </c>
      <c r="X196" s="205" t="str">
        <f t="shared" si="42"/>
        <v/>
      </c>
      <c r="Y196" s="205" t="str">
        <f t="shared" si="42"/>
        <v>gs_trim_offs_out</v>
      </c>
    </row>
    <row r="197" spans="1:25">
      <c r="A197" s="204">
        <f t="shared" si="43"/>
        <v>195</v>
      </c>
      <c r="B197" s="205" t="str">
        <f t="shared" si="41"/>
        <v>x</v>
      </c>
      <c r="C197" s="205" t="str">
        <f t="shared" si="41"/>
        <v/>
      </c>
      <c r="D197" s="205" t="str">
        <f t="shared" si="41"/>
        <v/>
      </c>
      <c r="E197" s="205" t="str">
        <f t="shared" si="41"/>
        <v/>
      </c>
      <c r="F197" s="205" t="str">
        <f t="shared" si="41"/>
        <v/>
      </c>
      <c r="G197" s="205" t="str">
        <f t="shared" si="41"/>
        <v/>
      </c>
      <c r="H197" s="205" t="str">
        <f t="shared" si="41"/>
        <v/>
      </c>
      <c r="I197" s="205" t="str">
        <f t="shared" si="41"/>
        <v/>
      </c>
      <c r="J197" s="205" t="str">
        <f t="shared" si="41"/>
        <v/>
      </c>
      <c r="K197" s="205" t="str">
        <f t="shared" si="41"/>
        <v/>
      </c>
      <c r="L197" s="205" t="str">
        <f t="shared" si="42"/>
        <v>info</v>
      </c>
      <c r="M197" s="205" t="str">
        <f t="shared" si="42"/>
        <v>x</v>
      </c>
      <c r="N197" s="205" t="str">
        <f t="shared" si="42"/>
        <v/>
      </c>
      <c r="O197" s="205" t="str">
        <f t="shared" si="42"/>
        <v>model</v>
      </c>
      <c r="P197" s="206" t="str">
        <f t="shared" si="42"/>
        <v>Length</v>
      </c>
      <c r="Q197" s="206" t="str">
        <f t="shared" si="42"/>
        <v>x</v>
      </c>
      <c r="R197" s="206" t="str">
        <f t="shared" si="42"/>
        <v>BS</v>
      </c>
      <c r="S197" s="206" t="str">
        <f t="shared" si="42"/>
        <v>all</v>
      </c>
      <c r="T197" s="205">
        <f t="shared" si="42"/>
        <v>0.05</v>
      </c>
      <c r="U197" s="205" t="str">
        <f t="shared" si="42"/>
        <v>Auskragung</v>
      </c>
      <c r="V197" s="205" t="str">
        <f t="shared" si="42"/>
        <v>x</v>
      </c>
      <c r="W197" s="205" t="str">
        <f t="shared" si="42"/>
        <v/>
      </c>
      <c r="X197" s="205" t="str">
        <f t="shared" si="42"/>
        <v/>
      </c>
      <c r="Y197" s="205" t="str">
        <f t="shared" si="42"/>
        <v>gs_trim_jambext_nosing_out</v>
      </c>
    </row>
    <row r="198" spans="1:25">
      <c r="A198" s="204">
        <f t="shared" si="43"/>
        <v>196</v>
      </c>
      <c r="B198" s="205" t="str">
        <f t="shared" si="41"/>
        <v>x</v>
      </c>
      <c r="C198" s="205" t="str">
        <f t="shared" si="41"/>
        <v/>
      </c>
      <c r="D198" s="205" t="str">
        <f t="shared" si="41"/>
        <v/>
      </c>
      <c r="E198" s="205" t="str">
        <f t="shared" si="41"/>
        <v/>
      </c>
      <c r="F198" s="205" t="str">
        <f t="shared" si="41"/>
        <v/>
      </c>
      <c r="G198" s="205" t="str">
        <f t="shared" si="41"/>
        <v/>
      </c>
      <c r="H198" s="205" t="str">
        <f t="shared" si="41"/>
        <v/>
      </c>
      <c r="I198" s="205" t="str">
        <f t="shared" si="41"/>
        <v/>
      </c>
      <c r="J198" s="205" t="str">
        <f t="shared" si="41"/>
        <v/>
      </c>
      <c r="K198" s="205" t="str">
        <f t="shared" si="41"/>
        <v/>
      </c>
      <c r="L198" s="205" t="str">
        <f t="shared" si="42"/>
        <v>info</v>
      </c>
      <c r="M198" s="205" t="str">
        <f t="shared" si="42"/>
        <v>x</v>
      </c>
      <c r="N198" s="205" t="str">
        <f t="shared" si="42"/>
        <v/>
      </c>
      <c r="O198" s="205" t="str">
        <f t="shared" si="42"/>
        <v>model</v>
      </c>
      <c r="P198" s="206" t="str">
        <f t="shared" si="42"/>
        <v>Length</v>
      </c>
      <c r="Q198" s="206" t="str">
        <f t="shared" si="42"/>
        <v>x</v>
      </c>
      <c r="R198" s="206" t="str">
        <f t="shared" si="42"/>
        <v>BS</v>
      </c>
      <c r="S198" s="206" t="str">
        <f t="shared" si="42"/>
        <v>all</v>
      </c>
      <c r="T198" s="205">
        <f t="shared" si="42"/>
        <v>0.1</v>
      </c>
      <c r="U198" s="205" t="str">
        <f t="shared" si="42"/>
        <v>Oberer Überstand</v>
      </c>
      <c r="V198" s="205" t="str">
        <f t="shared" si="42"/>
        <v>x</v>
      </c>
      <c r="W198" s="205" t="str">
        <f t="shared" si="42"/>
        <v/>
      </c>
      <c r="X198" s="205" t="str">
        <f t="shared" si="42"/>
        <v/>
      </c>
      <c r="Y198" s="205" t="str">
        <f t="shared" si="42"/>
        <v>gs_trimov_top_right_out</v>
      </c>
    </row>
    <row r="199" spans="1:25">
      <c r="A199" s="204">
        <f t="shared" si="43"/>
        <v>197</v>
      </c>
      <c r="B199" s="205" t="str">
        <f t="shared" si="41"/>
        <v>x</v>
      </c>
      <c r="C199" s="205" t="str">
        <f t="shared" si="41"/>
        <v/>
      </c>
      <c r="D199" s="205" t="str">
        <f t="shared" si="41"/>
        <v/>
      </c>
      <c r="E199" s="205" t="str">
        <f t="shared" si="41"/>
        <v/>
      </c>
      <c r="F199" s="205" t="str">
        <f t="shared" si="41"/>
        <v/>
      </c>
      <c r="G199" s="205" t="str">
        <f t="shared" si="41"/>
        <v/>
      </c>
      <c r="H199" s="205" t="str">
        <f t="shared" si="41"/>
        <v/>
      </c>
      <c r="I199" s="205" t="str">
        <f t="shared" si="41"/>
        <v/>
      </c>
      <c r="J199" s="205" t="str">
        <f t="shared" si="41"/>
        <v/>
      </c>
      <c r="K199" s="205" t="str">
        <f t="shared" si="41"/>
        <v/>
      </c>
      <c r="L199" s="205" t="str">
        <f t="shared" si="42"/>
        <v>info</v>
      </c>
      <c r="M199" s="205" t="str">
        <f t="shared" si="42"/>
        <v>x</v>
      </c>
      <c r="N199" s="205" t="str">
        <f t="shared" si="42"/>
        <v/>
      </c>
      <c r="O199" s="205" t="str">
        <f t="shared" si="42"/>
        <v>model</v>
      </c>
      <c r="P199" s="206" t="str">
        <f t="shared" si="42"/>
        <v>PenColor</v>
      </c>
      <c r="Q199" s="206" t="str">
        <f t="shared" si="42"/>
        <v>x</v>
      </c>
      <c r="R199" s="206" t="str">
        <f t="shared" si="42"/>
        <v>BS</v>
      </c>
      <c r="S199" s="206" t="str">
        <f t="shared" si="42"/>
        <v>all</v>
      </c>
      <c r="T199" s="205">
        <f t="shared" si="42"/>
        <v>1</v>
      </c>
      <c r="U199" s="205" t="str">
        <f t="shared" si="42"/>
        <v>Futter Schnittlinienstift auf beiden Seiten</v>
      </c>
      <c r="V199" s="205" t="str">
        <f t="shared" si="42"/>
        <v>x</v>
      </c>
      <c r="W199" s="205" t="str">
        <f t="shared" si="42"/>
        <v/>
      </c>
      <c r="X199" s="205" t="str">
        <f t="shared" si="42"/>
        <v/>
      </c>
      <c r="Y199" s="205" t="str">
        <f t="shared" si="42"/>
        <v>gs_trim_pen_cont</v>
      </c>
    </row>
    <row r="200" spans="1:25">
      <c r="A200" s="204">
        <f t="shared" si="43"/>
        <v>198</v>
      </c>
      <c r="B200" s="205" t="str">
        <f t="shared" si="41"/>
        <v>x</v>
      </c>
      <c r="C200" s="205" t="str">
        <f t="shared" si="41"/>
        <v/>
      </c>
      <c r="D200" s="205" t="str">
        <f t="shared" si="41"/>
        <v/>
      </c>
      <c r="E200" s="205" t="str">
        <f t="shared" si="41"/>
        <v/>
      </c>
      <c r="F200" s="205" t="str">
        <f t="shared" si="41"/>
        <v/>
      </c>
      <c r="G200" s="205" t="str">
        <f t="shared" si="41"/>
        <v/>
      </c>
      <c r="H200" s="205" t="str">
        <f t="shared" si="41"/>
        <v/>
      </c>
      <c r="I200" s="205" t="str">
        <f t="shared" si="41"/>
        <v/>
      </c>
      <c r="J200" s="205" t="str">
        <f t="shared" si="41"/>
        <v/>
      </c>
      <c r="K200" s="205" t="str">
        <f t="shared" si="41"/>
        <v/>
      </c>
      <c r="L200" s="205" t="str">
        <f t="shared" si="42"/>
        <v>info</v>
      </c>
      <c r="M200" s="205" t="str">
        <f t="shared" si="42"/>
        <v>x</v>
      </c>
      <c r="N200" s="205" t="str">
        <f t="shared" si="42"/>
        <v/>
      </c>
      <c r="O200" s="205" t="str">
        <f t="shared" si="42"/>
        <v>model</v>
      </c>
      <c r="P200" s="206" t="str">
        <f t="shared" si="42"/>
        <v>FillPattern</v>
      </c>
      <c r="Q200" s="206" t="str">
        <f t="shared" si="42"/>
        <v>x</v>
      </c>
      <c r="R200" s="206" t="str">
        <f t="shared" si="42"/>
        <v>BS</v>
      </c>
      <c r="S200" s="206" t="str">
        <f t="shared" si="42"/>
        <v>all</v>
      </c>
      <c r="T200" s="205">
        <f t="shared" si="42"/>
        <v>65</v>
      </c>
      <c r="U200" s="205" t="str">
        <f t="shared" si="42"/>
        <v>Schraffur Zarge außen</v>
      </c>
      <c r="V200" s="205" t="str">
        <f t="shared" si="42"/>
        <v>x</v>
      </c>
      <c r="W200" s="205" t="str">
        <f t="shared" si="42"/>
        <v/>
      </c>
      <c r="X200" s="205" t="str">
        <f t="shared" si="42"/>
        <v/>
      </c>
      <c r="Y200" s="205" t="str">
        <f t="shared" si="42"/>
        <v>gs_trim_fill_out</v>
      </c>
    </row>
    <row r="201" spans="1:25">
      <c r="A201" s="204">
        <f t="shared" si="43"/>
        <v>199</v>
      </c>
      <c r="B201" s="205" t="str">
        <f t="shared" si="41"/>
        <v>x</v>
      </c>
      <c r="C201" s="205" t="str">
        <f t="shared" si="41"/>
        <v/>
      </c>
      <c r="D201" s="205" t="str">
        <f t="shared" si="41"/>
        <v/>
      </c>
      <c r="E201" s="205" t="str">
        <f t="shared" si="41"/>
        <v/>
      </c>
      <c r="F201" s="205" t="str">
        <f t="shared" si="41"/>
        <v/>
      </c>
      <c r="G201" s="205" t="str">
        <f t="shared" si="41"/>
        <v/>
      </c>
      <c r="H201" s="205" t="str">
        <f t="shared" si="41"/>
        <v/>
      </c>
      <c r="I201" s="205" t="str">
        <f t="shared" si="41"/>
        <v/>
      </c>
      <c r="J201" s="205" t="str">
        <f t="shared" si="41"/>
        <v/>
      </c>
      <c r="K201" s="205" t="str">
        <f t="shared" si="41"/>
        <v/>
      </c>
      <c r="L201" s="205" t="str">
        <f t="shared" si="42"/>
        <v>info</v>
      </c>
      <c r="M201" s="205" t="str">
        <f t="shared" si="42"/>
        <v>x</v>
      </c>
      <c r="N201" s="205" t="str">
        <f t="shared" si="42"/>
        <v/>
      </c>
      <c r="O201" s="205" t="str">
        <f t="shared" si="42"/>
        <v>model</v>
      </c>
      <c r="P201" s="206" t="str">
        <f t="shared" si="42"/>
        <v>PenColor</v>
      </c>
      <c r="Q201" s="206" t="str">
        <f t="shared" si="42"/>
        <v>x</v>
      </c>
      <c r="R201" s="206" t="str">
        <f t="shared" si="42"/>
        <v>BS</v>
      </c>
      <c r="S201" s="206" t="str">
        <f t="shared" si="42"/>
        <v>all</v>
      </c>
      <c r="T201" s="205">
        <f t="shared" si="42"/>
        <v>19</v>
      </c>
      <c r="U201" s="205" t="str">
        <f t="shared" si="42"/>
        <v>Schraffurstift Zarge assuen</v>
      </c>
      <c r="V201" s="205" t="str">
        <f t="shared" si="42"/>
        <v>x</v>
      </c>
      <c r="W201" s="205" t="str">
        <f t="shared" si="42"/>
        <v/>
      </c>
      <c r="X201" s="205" t="str">
        <f t="shared" si="42"/>
        <v/>
      </c>
      <c r="Y201" s="205" t="str">
        <f t="shared" si="42"/>
        <v>gs_trim_pen_fg_out</v>
      </c>
    </row>
    <row r="202" spans="1:25">
      <c r="A202" s="204">
        <f t="shared" si="43"/>
        <v>200</v>
      </c>
      <c r="B202" s="205" t="str">
        <f t="shared" si="41"/>
        <v>x</v>
      </c>
      <c r="C202" s="205" t="str">
        <f t="shared" si="41"/>
        <v/>
      </c>
      <c r="D202" s="205" t="str">
        <f t="shared" si="41"/>
        <v/>
      </c>
      <c r="E202" s="205" t="str">
        <f t="shared" si="41"/>
        <v/>
      </c>
      <c r="F202" s="205" t="str">
        <f t="shared" si="41"/>
        <v/>
      </c>
      <c r="G202" s="205" t="str">
        <f t="shared" si="41"/>
        <v/>
      </c>
      <c r="H202" s="205" t="str">
        <f t="shared" si="41"/>
        <v/>
      </c>
      <c r="I202" s="205" t="str">
        <f t="shared" si="41"/>
        <v/>
      </c>
      <c r="J202" s="205" t="str">
        <f t="shared" si="41"/>
        <v/>
      </c>
      <c r="K202" s="205" t="str">
        <f t="shared" si="41"/>
        <v/>
      </c>
      <c r="L202" s="205" t="str">
        <f t="shared" si="42"/>
        <v>info</v>
      </c>
      <c r="M202" s="205" t="str">
        <f t="shared" si="42"/>
        <v>x</v>
      </c>
      <c r="N202" s="205" t="str">
        <f t="shared" si="42"/>
        <v/>
      </c>
      <c r="O202" s="205" t="str">
        <f t="shared" si="42"/>
        <v>model</v>
      </c>
      <c r="P202" s="206" t="str">
        <f t="shared" si="42"/>
        <v>PenColor</v>
      </c>
      <c r="Q202" s="206" t="str">
        <f t="shared" si="42"/>
        <v>x</v>
      </c>
      <c r="R202" s="206" t="str">
        <f t="shared" si="42"/>
        <v>BS</v>
      </c>
      <c r="S202" s="206" t="str">
        <f t="shared" si="42"/>
        <v>all</v>
      </c>
      <c r="T202" s="205">
        <f t="shared" si="42"/>
        <v>19</v>
      </c>
      <c r="U202" s="205" t="str">
        <f t="shared" si="42"/>
        <v>Stift Hintergr.schr. Verkleidung außen</v>
      </c>
      <c r="V202" s="205" t="str">
        <f t="shared" si="42"/>
        <v>x</v>
      </c>
      <c r="W202" s="205" t="str">
        <f t="shared" si="42"/>
        <v/>
      </c>
      <c r="X202" s="205" t="str">
        <f t="shared" si="42"/>
        <v/>
      </c>
      <c r="Y202" s="205" t="str">
        <f t="shared" si="42"/>
        <v>gs_trim_pen_bg_out</v>
      </c>
    </row>
    <row r="203" spans="1:25">
      <c r="A203" s="204">
        <f t="shared" si="43"/>
        <v>201</v>
      </c>
      <c r="B203" s="205" t="str">
        <f t="shared" ref="B203:K212" si="44">IF(ISNONTEXT(B$2),IF(B$2="","",IF(INDEX(IMPORT,$A203,B$2)=0,"",IFERROR(VLOOKUP(INDEX(IMPORT,$A203,B$2),ImportTranslation,2,0),INDEX(IMPORT,$A203,B$2)))),B$2)</f>
        <v>x</v>
      </c>
      <c r="C203" s="205" t="str">
        <f t="shared" si="44"/>
        <v/>
      </c>
      <c r="D203" s="205" t="str">
        <f t="shared" si="44"/>
        <v/>
      </c>
      <c r="E203" s="205" t="str">
        <f t="shared" si="44"/>
        <v/>
      </c>
      <c r="F203" s="205" t="str">
        <f t="shared" si="44"/>
        <v/>
      </c>
      <c r="G203" s="205" t="str">
        <f t="shared" si="44"/>
        <v/>
      </c>
      <c r="H203" s="205" t="str">
        <f t="shared" si="44"/>
        <v/>
      </c>
      <c r="I203" s="205" t="str">
        <f t="shared" si="44"/>
        <v/>
      </c>
      <c r="J203" s="205" t="str">
        <f t="shared" si="44"/>
        <v/>
      </c>
      <c r="K203" s="205" t="str">
        <f t="shared" si="44"/>
        <v/>
      </c>
      <c r="L203" s="205" t="str">
        <f t="shared" ref="L203:Y212" si="45">IF(ISNONTEXT(L$2),IF(L$2="","",IF(INDEX(IMPORT,$A203,L$2)=0,"",IFERROR(VLOOKUP(INDEX(IMPORT,$A203,L$2),ImportTranslation,2,0),INDEX(IMPORT,$A203,L$2)))),L$2)</f>
        <v>info</v>
      </c>
      <c r="M203" s="205" t="str">
        <f t="shared" si="45"/>
        <v/>
      </c>
      <c r="N203" s="205" t="str">
        <f t="shared" si="45"/>
        <v/>
      </c>
      <c r="O203" s="205" t="str">
        <f t="shared" si="45"/>
        <v>model</v>
      </c>
      <c r="P203" s="206" t="str">
        <f t="shared" si="45"/>
        <v>Boolean</v>
      </c>
      <c r="Q203" s="206" t="str">
        <f t="shared" si="45"/>
        <v>x</v>
      </c>
      <c r="R203" s="206" t="str">
        <f t="shared" si="45"/>
        <v>BS</v>
      </c>
      <c r="S203" s="206" t="str">
        <f t="shared" si="45"/>
        <v>all</v>
      </c>
      <c r="T203" s="205" t="str">
        <f t="shared" si="45"/>
        <v/>
      </c>
      <c r="U203" s="205" t="str">
        <f t="shared" si="45"/>
        <v>Innenverkleidung</v>
      </c>
      <c r="V203" s="205" t="str">
        <f t="shared" si="45"/>
        <v/>
      </c>
      <c r="W203" s="205" t="str">
        <f t="shared" si="45"/>
        <v/>
      </c>
      <c r="X203" s="205" t="str">
        <f t="shared" si="45"/>
        <v/>
      </c>
      <c r="Y203" s="205" t="str">
        <f t="shared" si="45"/>
        <v>gs_trim_inside</v>
      </c>
    </row>
    <row r="204" spans="1:25">
      <c r="A204" s="204">
        <f t="shared" si="43"/>
        <v>202</v>
      </c>
      <c r="B204" s="205" t="str">
        <f t="shared" si="44"/>
        <v>x</v>
      </c>
      <c r="C204" s="205" t="str">
        <f t="shared" si="44"/>
        <v>x</v>
      </c>
      <c r="D204" s="205" t="str">
        <f t="shared" si="44"/>
        <v/>
      </c>
      <c r="E204" s="205" t="str">
        <f t="shared" si="44"/>
        <v/>
      </c>
      <c r="F204" s="205" t="str">
        <f t="shared" si="44"/>
        <v/>
      </c>
      <c r="G204" s="205" t="str">
        <f t="shared" si="44"/>
        <v/>
      </c>
      <c r="H204" s="205" t="str">
        <f t="shared" si="44"/>
        <v/>
      </c>
      <c r="I204" s="205" t="str">
        <f t="shared" si="44"/>
        <v/>
      </c>
      <c r="J204" s="205" t="str">
        <f t="shared" si="44"/>
        <v/>
      </c>
      <c r="K204" s="205" t="str">
        <f t="shared" si="44"/>
        <v/>
      </c>
      <c r="L204" s="205" t="str">
        <f t="shared" si="45"/>
        <v>info</v>
      </c>
      <c r="M204" s="205" t="str">
        <f t="shared" si="45"/>
        <v>x</v>
      </c>
      <c r="N204" s="205" t="str">
        <f t="shared" si="45"/>
        <v/>
      </c>
      <c r="O204" s="205" t="str">
        <f t="shared" si="45"/>
        <v>model</v>
      </c>
      <c r="P204" s="206" t="str">
        <f t="shared" si="45"/>
        <v>String</v>
      </c>
      <c r="Q204" s="206" t="str">
        <f t="shared" si="45"/>
        <v>x</v>
      </c>
      <c r="R204" s="206" t="str">
        <f t="shared" si="45"/>
        <v>BS</v>
      </c>
      <c r="S204" s="206" t="str">
        <f t="shared" si="45"/>
        <v>all</v>
      </c>
      <c r="T204" s="205" t="str">
        <f t="shared" si="45"/>
        <v>Rechteckig</v>
      </c>
      <c r="U204" s="205" t="str">
        <f t="shared" si="45"/>
        <v>Türfutter innen</v>
      </c>
      <c r="V204" s="205" t="str">
        <f t="shared" si="45"/>
        <v>x</v>
      </c>
      <c r="W204" s="205" t="str">
        <f t="shared" si="45"/>
        <v/>
      </c>
      <c r="X204" s="205" t="str">
        <f t="shared" si="45"/>
        <v/>
      </c>
      <c r="Y204" s="205" t="str">
        <f t="shared" si="45"/>
        <v>gs_trimtype_in</v>
      </c>
    </row>
    <row r="205" spans="1:25">
      <c r="A205" s="204">
        <f t="shared" si="43"/>
        <v>203</v>
      </c>
      <c r="B205" s="205" t="str">
        <f t="shared" si="44"/>
        <v>x</v>
      </c>
      <c r="C205" s="205" t="str">
        <f t="shared" si="44"/>
        <v>x</v>
      </c>
      <c r="D205" s="205" t="str">
        <f t="shared" si="44"/>
        <v/>
      </c>
      <c r="E205" s="205" t="str">
        <f t="shared" si="44"/>
        <v/>
      </c>
      <c r="F205" s="205" t="str">
        <f t="shared" si="44"/>
        <v/>
      </c>
      <c r="G205" s="205" t="str">
        <f t="shared" si="44"/>
        <v/>
      </c>
      <c r="H205" s="205" t="str">
        <f t="shared" si="44"/>
        <v/>
      </c>
      <c r="I205" s="205" t="str">
        <f t="shared" si="44"/>
        <v/>
      </c>
      <c r="J205" s="205" t="str">
        <f t="shared" si="44"/>
        <v/>
      </c>
      <c r="K205" s="205" t="str">
        <f t="shared" si="44"/>
        <v/>
      </c>
      <c r="L205" s="205" t="str">
        <f t="shared" si="45"/>
        <v>info</v>
      </c>
      <c r="M205" s="205" t="str">
        <f t="shared" si="45"/>
        <v>x</v>
      </c>
      <c r="N205" s="205" t="str">
        <f t="shared" si="45"/>
        <v/>
      </c>
      <c r="O205" s="205" t="str">
        <f t="shared" si="45"/>
        <v>model</v>
      </c>
      <c r="P205" s="206" t="str">
        <f t="shared" si="45"/>
        <v>Integer</v>
      </c>
      <c r="Q205" s="206" t="str">
        <f t="shared" si="45"/>
        <v>x</v>
      </c>
      <c r="R205" s="206" t="str">
        <f t="shared" si="45"/>
        <v>BS</v>
      </c>
      <c r="S205" s="206" t="str">
        <f t="shared" si="45"/>
        <v>all</v>
      </c>
      <c r="T205" s="205">
        <f t="shared" si="45"/>
        <v>1</v>
      </c>
      <c r="U205" s="205" t="str">
        <f t="shared" si="45"/>
        <v>Türfutter innen</v>
      </c>
      <c r="V205" s="205" t="str">
        <f t="shared" si="45"/>
        <v>x</v>
      </c>
      <c r="W205" s="205" t="str">
        <f t="shared" si="45"/>
        <v/>
      </c>
      <c r="X205" s="205" t="str">
        <f t="shared" si="45"/>
        <v/>
      </c>
      <c r="Y205" s="205" t="str">
        <f t="shared" si="45"/>
        <v>gs_trimtype_in_int</v>
      </c>
    </row>
    <row r="206" spans="1:25">
      <c r="A206" s="204">
        <f t="shared" si="43"/>
        <v>204</v>
      </c>
      <c r="B206" s="205" t="str">
        <f t="shared" si="44"/>
        <v>x</v>
      </c>
      <c r="C206" s="205" t="str">
        <f t="shared" si="44"/>
        <v/>
      </c>
      <c r="D206" s="205" t="str">
        <f t="shared" si="44"/>
        <v/>
      </c>
      <c r="E206" s="205" t="str">
        <f t="shared" si="44"/>
        <v/>
      </c>
      <c r="F206" s="205" t="str">
        <f t="shared" si="44"/>
        <v/>
      </c>
      <c r="G206" s="205" t="str">
        <f t="shared" si="44"/>
        <v/>
      </c>
      <c r="H206" s="205" t="str">
        <f t="shared" si="44"/>
        <v/>
      </c>
      <c r="I206" s="205" t="str">
        <f t="shared" si="44"/>
        <v/>
      </c>
      <c r="J206" s="205" t="str">
        <f t="shared" si="44"/>
        <v/>
      </c>
      <c r="K206" s="205" t="str">
        <f t="shared" si="44"/>
        <v/>
      </c>
      <c r="L206" s="205" t="str">
        <f t="shared" si="45"/>
        <v>info</v>
      </c>
      <c r="M206" s="205" t="str">
        <f t="shared" si="45"/>
        <v>x</v>
      </c>
      <c r="N206" s="205" t="str">
        <f t="shared" si="45"/>
        <v/>
      </c>
      <c r="O206" s="205" t="str">
        <f t="shared" si="45"/>
        <v>model</v>
      </c>
      <c r="P206" s="206" t="str">
        <f t="shared" si="45"/>
        <v>Boolean</v>
      </c>
      <c r="Q206" s="206" t="str">
        <f t="shared" si="45"/>
        <v>x</v>
      </c>
      <c r="R206" s="206" t="str">
        <f t="shared" si="45"/>
        <v>BS</v>
      </c>
      <c r="S206" s="206" t="str">
        <f t="shared" si="45"/>
        <v>all</v>
      </c>
      <c r="T206" s="205">
        <f t="shared" si="45"/>
        <v>1</v>
      </c>
      <c r="U206" s="205" t="str">
        <f t="shared" si="45"/>
        <v>Verkleidung</v>
      </c>
      <c r="V206" s="205" t="str">
        <f t="shared" si="45"/>
        <v>x</v>
      </c>
      <c r="W206" s="205" t="str">
        <f t="shared" si="45"/>
        <v/>
      </c>
      <c r="X206" s="205" t="str">
        <f t="shared" si="45"/>
        <v/>
      </c>
      <c r="Y206" s="205" t="str">
        <f t="shared" si="45"/>
        <v>gs_trim_show_cover_in</v>
      </c>
    </row>
    <row r="207" spans="1:25">
      <c r="A207" s="204">
        <f t="shared" si="43"/>
        <v>205</v>
      </c>
      <c r="B207" s="205" t="str">
        <f t="shared" si="44"/>
        <v>x</v>
      </c>
      <c r="C207" s="205" t="str">
        <f t="shared" si="44"/>
        <v/>
      </c>
      <c r="D207" s="205" t="str">
        <f t="shared" si="44"/>
        <v/>
      </c>
      <c r="E207" s="205" t="str">
        <f t="shared" si="44"/>
        <v/>
      </c>
      <c r="F207" s="205" t="str">
        <f t="shared" si="44"/>
        <v/>
      </c>
      <c r="G207" s="205" t="str">
        <f t="shared" si="44"/>
        <v/>
      </c>
      <c r="H207" s="205" t="str">
        <f t="shared" si="44"/>
        <v/>
      </c>
      <c r="I207" s="205" t="str">
        <f t="shared" si="44"/>
        <v/>
      </c>
      <c r="J207" s="205" t="str">
        <f t="shared" si="44"/>
        <v/>
      </c>
      <c r="K207" s="205" t="str">
        <f t="shared" si="44"/>
        <v/>
      </c>
      <c r="L207" s="205" t="str">
        <f t="shared" si="45"/>
        <v>info</v>
      </c>
      <c r="M207" s="205" t="str">
        <f t="shared" si="45"/>
        <v>x</v>
      </c>
      <c r="N207" s="205" t="str">
        <f t="shared" si="45"/>
        <v/>
      </c>
      <c r="O207" s="205" t="str">
        <f t="shared" si="45"/>
        <v>model</v>
      </c>
      <c r="P207" s="206" t="str">
        <f t="shared" si="45"/>
        <v>Boolean</v>
      </c>
      <c r="Q207" s="206" t="str">
        <f t="shared" si="45"/>
        <v>x</v>
      </c>
      <c r="R207" s="206" t="str">
        <f t="shared" si="45"/>
        <v>BS</v>
      </c>
      <c r="S207" s="206" t="str">
        <f t="shared" si="45"/>
        <v>all</v>
      </c>
      <c r="T207" s="205">
        <f t="shared" si="45"/>
        <v>1</v>
      </c>
      <c r="U207" s="205" t="str">
        <f t="shared" si="45"/>
        <v>einheitliche Einfassungsbreiten</v>
      </c>
      <c r="V207" s="205" t="str">
        <f t="shared" si="45"/>
        <v>x</v>
      </c>
      <c r="W207" s="205" t="str">
        <f t="shared" si="45"/>
        <v/>
      </c>
      <c r="X207" s="205" t="str">
        <f t="shared" si="45"/>
        <v/>
      </c>
      <c r="Y207" s="205" t="str">
        <f t="shared" si="45"/>
        <v>gs_trim_inside_uniform</v>
      </c>
    </row>
    <row r="208" spans="1:25">
      <c r="A208" s="204">
        <f t="shared" si="43"/>
        <v>206</v>
      </c>
      <c r="B208" s="205" t="str">
        <f t="shared" si="44"/>
        <v>x</v>
      </c>
      <c r="C208" s="205" t="str">
        <f t="shared" si="44"/>
        <v/>
      </c>
      <c r="D208" s="205" t="str">
        <f t="shared" si="44"/>
        <v/>
      </c>
      <c r="E208" s="205" t="str">
        <f t="shared" si="44"/>
        <v/>
      </c>
      <c r="F208" s="205" t="str">
        <f t="shared" si="44"/>
        <v/>
      </c>
      <c r="G208" s="205" t="str">
        <f t="shared" si="44"/>
        <v/>
      </c>
      <c r="H208" s="205" t="str">
        <f t="shared" si="44"/>
        <v/>
      </c>
      <c r="I208" s="205" t="str">
        <f t="shared" si="44"/>
        <v/>
      </c>
      <c r="J208" s="205" t="str">
        <f t="shared" si="44"/>
        <v/>
      </c>
      <c r="K208" s="205" t="str">
        <f t="shared" si="44"/>
        <v/>
      </c>
      <c r="L208" s="205" t="str">
        <f t="shared" si="45"/>
        <v>info</v>
      </c>
      <c r="M208" s="205" t="str">
        <f t="shared" si="45"/>
        <v>x</v>
      </c>
      <c r="N208" s="205" t="str">
        <f t="shared" si="45"/>
        <v/>
      </c>
      <c r="O208" s="205" t="str">
        <f t="shared" si="45"/>
        <v>model</v>
      </c>
      <c r="P208" s="206" t="str">
        <f t="shared" si="45"/>
        <v>Length</v>
      </c>
      <c r="Q208" s="206" t="str">
        <f t="shared" si="45"/>
        <v>x</v>
      </c>
      <c r="R208" s="206" t="str">
        <f t="shared" si="45"/>
        <v>BS</v>
      </c>
      <c r="S208" s="206" t="str">
        <f t="shared" si="45"/>
        <v>all</v>
      </c>
      <c r="T208" s="205">
        <f t="shared" si="45"/>
        <v>0.05</v>
      </c>
      <c r="U208" s="205" t="str">
        <f t="shared" si="45"/>
        <v>Breite Seite 1</v>
      </c>
      <c r="V208" s="205" t="str">
        <f t="shared" si="45"/>
        <v>x</v>
      </c>
      <c r="W208" s="205" t="str">
        <f t="shared" si="45"/>
        <v/>
      </c>
      <c r="X208" s="205" t="str">
        <f t="shared" si="45"/>
        <v/>
      </c>
      <c r="Y208" s="205" t="str">
        <f t="shared" si="45"/>
        <v>gs_tw_right_in</v>
      </c>
    </row>
    <row r="209" spans="1:25">
      <c r="A209" s="204">
        <f t="shared" si="43"/>
        <v>207</v>
      </c>
      <c r="B209" s="205" t="str">
        <f t="shared" si="44"/>
        <v>x</v>
      </c>
      <c r="C209" s="205" t="str">
        <f t="shared" si="44"/>
        <v/>
      </c>
      <c r="D209" s="205" t="str">
        <f t="shared" si="44"/>
        <v/>
      </c>
      <c r="E209" s="205" t="str">
        <f t="shared" si="44"/>
        <v/>
      </c>
      <c r="F209" s="205" t="str">
        <f t="shared" si="44"/>
        <v/>
      </c>
      <c r="G209" s="205" t="str">
        <f t="shared" si="44"/>
        <v/>
      </c>
      <c r="H209" s="205" t="str">
        <f t="shared" si="44"/>
        <v/>
      </c>
      <c r="I209" s="205" t="str">
        <f t="shared" si="44"/>
        <v/>
      </c>
      <c r="J209" s="205" t="str">
        <f t="shared" si="44"/>
        <v/>
      </c>
      <c r="K209" s="205" t="str">
        <f t="shared" si="44"/>
        <v/>
      </c>
      <c r="L209" s="205" t="str">
        <f t="shared" si="45"/>
        <v>info</v>
      </c>
      <c r="M209" s="205" t="str">
        <f t="shared" si="45"/>
        <v>x</v>
      </c>
      <c r="N209" s="205" t="str">
        <f t="shared" si="45"/>
        <v/>
      </c>
      <c r="O209" s="205" t="str">
        <f t="shared" si="45"/>
        <v>model</v>
      </c>
      <c r="P209" s="206" t="str">
        <f t="shared" si="45"/>
        <v>Length</v>
      </c>
      <c r="Q209" s="206" t="str">
        <f t="shared" si="45"/>
        <v>x</v>
      </c>
      <c r="R209" s="206" t="str">
        <f t="shared" si="45"/>
        <v>BS</v>
      </c>
      <c r="S209" s="206" t="str">
        <f t="shared" si="45"/>
        <v>all</v>
      </c>
      <c r="T209" s="205">
        <f t="shared" si="45"/>
        <v>0.05</v>
      </c>
      <c r="U209" s="205" t="str">
        <f t="shared" si="45"/>
        <v>Breite Seite 2</v>
      </c>
      <c r="V209" s="205" t="str">
        <f t="shared" si="45"/>
        <v>x</v>
      </c>
      <c r="W209" s="205" t="str">
        <f t="shared" si="45"/>
        <v/>
      </c>
      <c r="X209" s="205" t="str">
        <f t="shared" si="45"/>
        <v/>
      </c>
      <c r="Y209" s="205" t="str">
        <f t="shared" si="45"/>
        <v>gs_tw_left_in</v>
      </c>
    </row>
    <row r="210" spans="1:25">
      <c r="A210" s="204">
        <f t="shared" si="43"/>
        <v>208</v>
      </c>
      <c r="B210" s="205" t="str">
        <f t="shared" si="44"/>
        <v>x</v>
      </c>
      <c r="C210" s="205" t="str">
        <f t="shared" si="44"/>
        <v/>
      </c>
      <c r="D210" s="205" t="str">
        <f t="shared" si="44"/>
        <v/>
      </c>
      <c r="E210" s="205" t="str">
        <f t="shared" si="44"/>
        <v/>
      </c>
      <c r="F210" s="205" t="str">
        <f t="shared" si="44"/>
        <v/>
      </c>
      <c r="G210" s="205" t="str">
        <f t="shared" si="44"/>
        <v/>
      </c>
      <c r="H210" s="205" t="str">
        <f t="shared" si="44"/>
        <v/>
      </c>
      <c r="I210" s="205" t="str">
        <f t="shared" si="44"/>
        <v/>
      </c>
      <c r="J210" s="205" t="str">
        <f t="shared" si="44"/>
        <v/>
      </c>
      <c r="K210" s="205" t="str">
        <f t="shared" si="44"/>
        <v/>
      </c>
      <c r="L210" s="205" t="str">
        <f t="shared" si="45"/>
        <v>info</v>
      </c>
      <c r="M210" s="205" t="str">
        <f t="shared" si="45"/>
        <v>x</v>
      </c>
      <c r="N210" s="205" t="str">
        <f t="shared" si="45"/>
        <v/>
      </c>
      <c r="O210" s="205" t="str">
        <f t="shared" si="45"/>
        <v>model</v>
      </c>
      <c r="P210" s="206" t="str">
        <f t="shared" si="45"/>
        <v>Length</v>
      </c>
      <c r="Q210" s="206" t="str">
        <f t="shared" si="45"/>
        <v>x</v>
      </c>
      <c r="R210" s="206" t="str">
        <f t="shared" si="45"/>
        <v>BS</v>
      </c>
      <c r="S210" s="206" t="str">
        <f t="shared" si="45"/>
        <v>all</v>
      </c>
      <c r="T210" s="205">
        <f t="shared" si="45"/>
        <v>0.05</v>
      </c>
      <c r="U210" s="205" t="str">
        <f t="shared" si="45"/>
        <v>Breite oben</v>
      </c>
      <c r="V210" s="205" t="str">
        <f t="shared" si="45"/>
        <v>x</v>
      </c>
      <c r="W210" s="205" t="str">
        <f t="shared" si="45"/>
        <v/>
      </c>
      <c r="X210" s="205" t="str">
        <f t="shared" si="45"/>
        <v/>
      </c>
      <c r="Y210" s="205" t="str">
        <f t="shared" si="45"/>
        <v>gs_tw_top_in</v>
      </c>
    </row>
    <row r="211" spans="1:25">
      <c r="A211" s="204">
        <f t="shared" si="43"/>
        <v>209</v>
      </c>
      <c r="B211" s="205" t="str">
        <f t="shared" si="44"/>
        <v>x</v>
      </c>
      <c r="C211" s="205" t="str">
        <f t="shared" si="44"/>
        <v/>
      </c>
      <c r="D211" s="205" t="str">
        <f t="shared" si="44"/>
        <v/>
      </c>
      <c r="E211" s="205" t="str">
        <f t="shared" si="44"/>
        <v/>
      </c>
      <c r="F211" s="205" t="str">
        <f t="shared" si="44"/>
        <v/>
      </c>
      <c r="G211" s="205" t="str">
        <f t="shared" si="44"/>
        <v/>
      </c>
      <c r="H211" s="205" t="str">
        <f t="shared" si="44"/>
        <v/>
      </c>
      <c r="I211" s="205" t="str">
        <f t="shared" si="44"/>
        <v/>
      </c>
      <c r="J211" s="205" t="str">
        <f t="shared" si="44"/>
        <v/>
      </c>
      <c r="K211" s="205" t="str">
        <f t="shared" si="44"/>
        <v/>
      </c>
      <c r="L211" s="205" t="str">
        <f t="shared" si="45"/>
        <v>info</v>
      </c>
      <c r="M211" s="205" t="str">
        <f t="shared" si="45"/>
        <v>x</v>
      </c>
      <c r="N211" s="205" t="str">
        <f t="shared" si="45"/>
        <v/>
      </c>
      <c r="O211" s="205" t="str">
        <f t="shared" si="45"/>
        <v>model</v>
      </c>
      <c r="P211" s="206" t="str">
        <f t="shared" si="45"/>
        <v>Length</v>
      </c>
      <c r="Q211" s="206" t="str">
        <f t="shared" si="45"/>
        <v>x</v>
      </c>
      <c r="R211" s="206" t="str">
        <f t="shared" si="45"/>
        <v>BS</v>
      </c>
      <c r="S211" s="206" t="str">
        <f t="shared" si="45"/>
        <v>all</v>
      </c>
      <c r="T211" s="205">
        <f t="shared" si="45"/>
        <v>1.9E-2</v>
      </c>
      <c r="U211" s="205" t="str">
        <f t="shared" si="45"/>
        <v>Dicke an Wand</v>
      </c>
      <c r="V211" s="205" t="str">
        <f t="shared" si="45"/>
        <v>x</v>
      </c>
      <c r="W211" s="205" t="str">
        <f t="shared" si="45"/>
        <v/>
      </c>
      <c r="X211" s="205" t="str">
        <f t="shared" si="45"/>
        <v/>
      </c>
      <c r="Y211" s="205" t="str">
        <f t="shared" si="45"/>
        <v>gs_trim_thk_in</v>
      </c>
    </row>
    <row r="212" spans="1:25">
      <c r="A212" s="204">
        <f t="shared" si="43"/>
        <v>210</v>
      </c>
      <c r="B212" s="205" t="str">
        <f t="shared" si="44"/>
        <v>x</v>
      </c>
      <c r="C212" s="205" t="str">
        <f t="shared" si="44"/>
        <v/>
      </c>
      <c r="D212" s="205" t="str">
        <f t="shared" si="44"/>
        <v/>
      </c>
      <c r="E212" s="205" t="str">
        <f t="shared" si="44"/>
        <v/>
      </c>
      <c r="F212" s="205" t="str">
        <f t="shared" si="44"/>
        <v/>
      </c>
      <c r="G212" s="205" t="str">
        <f t="shared" si="44"/>
        <v/>
      </c>
      <c r="H212" s="205" t="str">
        <f t="shared" si="44"/>
        <v/>
      </c>
      <c r="I212" s="205" t="str">
        <f t="shared" si="44"/>
        <v/>
      </c>
      <c r="J212" s="205" t="str">
        <f t="shared" si="44"/>
        <v/>
      </c>
      <c r="K212" s="205" t="str">
        <f t="shared" si="44"/>
        <v/>
      </c>
      <c r="L212" s="205" t="str">
        <f t="shared" si="45"/>
        <v>info</v>
      </c>
      <c r="M212" s="205" t="str">
        <f t="shared" si="45"/>
        <v>x</v>
      </c>
      <c r="N212" s="205" t="str">
        <f t="shared" si="45"/>
        <v/>
      </c>
      <c r="O212" s="205" t="str">
        <f t="shared" si="45"/>
        <v>model</v>
      </c>
      <c r="P212" s="206" t="str">
        <f t="shared" si="45"/>
        <v>Length</v>
      </c>
      <c r="Q212" s="206" t="str">
        <f t="shared" si="45"/>
        <v>x</v>
      </c>
      <c r="R212" s="206" t="str">
        <f t="shared" si="45"/>
        <v>BS</v>
      </c>
      <c r="S212" s="206" t="str">
        <f t="shared" si="45"/>
        <v>all</v>
      </c>
      <c r="T212" s="205">
        <f t="shared" si="45"/>
        <v>2.5000000000000001E-2</v>
      </c>
      <c r="U212" s="205" t="str">
        <f t="shared" si="45"/>
        <v>Dicke in Wandloch</v>
      </c>
      <c r="V212" s="205" t="str">
        <f t="shared" si="45"/>
        <v>x</v>
      </c>
      <c r="W212" s="205" t="str">
        <f t="shared" si="45"/>
        <v/>
      </c>
      <c r="X212" s="205" t="str">
        <f t="shared" si="45"/>
        <v/>
      </c>
      <c r="Y212" s="205" t="str">
        <f t="shared" si="45"/>
        <v>gs_trim_width_in</v>
      </c>
    </row>
    <row r="213" spans="1:25">
      <c r="A213" s="204">
        <f t="shared" si="43"/>
        <v>211</v>
      </c>
      <c r="B213" s="205" t="str">
        <f t="shared" ref="B213:K222" si="46">IF(ISNONTEXT(B$2),IF(B$2="","",IF(INDEX(IMPORT,$A213,B$2)=0,"",IFERROR(VLOOKUP(INDEX(IMPORT,$A213,B$2),ImportTranslation,2,0),INDEX(IMPORT,$A213,B$2)))),B$2)</f>
        <v>x</v>
      </c>
      <c r="C213" s="205" t="str">
        <f t="shared" si="46"/>
        <v/>
      </c>
      <c r="D213" s="205" t="str">
        <f t="shared" si="46"/>
        <v/>
      </c>
      <c r="E213" s="205" t="str">
        <f t="shared" si="46"/>
        <v/>
      </c>
      <c r="F213" s="205" t="str">
        <f t="shared" si="46"/>
        <v/>
      </c>
      <c r="G213" s="205" t="str">
        <f t="shared" si="46"/>
        <v/>
      </c>
      <c r="H213" s="205" t="str">
        <f t="shared" si="46"/>
        <v/>
      </c>
      <c r="I213" s="205" t="str">
        <f t="shared" si="46"/>
        <v/>
      </c>
      <c r="J213" s="205" t="str">
        <f t="shared" si="46"/>
        <v/>
      </c>
      <c r="K213" s="205" t="str">
        <f t="shared" si="46"/>
        <v/>
      </c>
      <c r="L213" s="205" t="str">
        <f t="shared" ref="L213:Y222" si="47">IF(ISNONTEXT(L$2),IF(L$2="","",IF(INDEX(IMPORT,$A213,L$2)=0,"",IFERROR(VLOOKUP(INDEX(IMPORT,$A213,L$2),ImportTranslation,2,0),INDEX(IMPORT,$A213,L$2)))),L$2)</f>
        <v>info</v>
      </c>
      <c r="M213" s="205" t="str">
        <f t="shared" si="47"/>
        <v>x</v>
      </c>
      <c r="N213" s="205" t="str">
        <f t="shared" si="47"/>
        <v/>
      </c>
      <c r="O213" s="205" t="str">
        <f t="shared" si="47"/>
        <v>model</v>
      </c>
      <c r="P213" s="206" t="str">
        <f t="shared" si="47"/>
        <v>Length</v>
      </c>
      <c r="Q213" s="206" t="str">
        <f t="shared" si="47"/>
        <v>x</v>
      </c>
      <c r="R213" s="206" t="str">
        <f t="shared" si="47"/>
        <v>BS</v>
      </c>
      <c r="S213" s="206" t="str">
        <f t="shared" si="47"/>
        <v>all</v>
      </c>
      <c r="T213" s="205" t="str">
        <f t="shared" si="47"/>
        <v/>
      </c>
      <c r="U213" s="205" t="str">
        <f t="shared" si="47"/>
        <v>Versatz</v>
      </c>
      <c r="V213" s="205" t="str">
        <f t="shared" si="47"/>
        <v>x</v>
      </c>
      <c r="W213" s="205" t="str">
        <f t="shared" si="47"/>
        <v/>
      </c>
      <c r="X213" s="205" t="str">
        <f t="shared" si="47"/>
        <v/>
      </c>
      <c r="Y213" s="205" t="str">
        <f t="shared" si="47"/>
        <v>gs_trim_offs_in</v>
      </c>
    </row>
    <row r="214" spans="1:25">
      <c r="A214" s="204">
        <f t="shared" si="43"/>
        <v>212</v>
      </c>
      <c r="B214" s="205" t="str">
        <f t="shared" si="46"/>
        <v>x</v>
      </c>
      <c r="C214" s="205" t="str">
        <f t="shared" si="46"/>
        <v/>
      </c>
      <c r="D214" s="205" t="str">
        <f t="shared" si="46"/>
        <v/>
      </c>
      <c r="E214" s="205" t="str">
        <f t="shared" si="46"/>
        <v/>
      </c>
      <c r="F214" s="205" t="str">
        <f t="shared" si="46"/>
        <v/>
      </c>
      <c r="G214" s="205" t="str">
        <f t="shared" si="46"/>
        <v/>
      </c>
      <c r="H214" s="205" t="str">
        <f t="shared" si="46"/>
        <v/>
      </c>
      <c r="I214" s="205" t="str">
        <f t="shared" si="46"/>
        <v/>
      </c>
      <c r="J214" s="205" t="str">
        <f t="shared" si="46"/>
        <v/>
      </c>
      <c r="K214" s="205" t="str">
        <f t="shared" si="46"/>
        <v/>
      </c>
      <c r="L214" s="205" t="str">
        <f t="shared" si="47"/>
        <v>info</v>
      </c>
      <c r="M214" s="205" t="str">
        <f t="shared" si="47"/>
        <v>x</v>
      </c>
      <c r="N214" s="205" t="str">
        <f t="shared" si="47"/>
        <v/>
      </c>
      <c r="O214" s="205" t="str">
        <f t="shared" si="47"/>
        <v>model</v>
      </c>
      <c r="P214" s="206" t="str">
        <f t="shared" si="47"/>
        <v>Length</v>
      </c>
      <c r="Q214" s="206" t="str">
        <f t="shared" si="47"/>
        <v>x</v>
      </c>
      <c r="R214" s="206" t="str">
        <f t="shared" si="47"/>
        <v>BS</v>
      </c>
      <c r="S214" s="206" t="str">
        <f t="shared" si="47"/>
        <v>all</v>
      </c>
      <c r="T214" s="205">
        <f t="shared" si="47"/>
        <v>0.03</v>
      </c>
      <c r="U214" s="205" t="str">
        <f t="shared" si="47"/>
        <v>Auskragung</v>
      </c>
      <c r="V214" s="205" t="str">
        <f t="shared" si="47"/>
        <v>x</v>
      </c>
      <c r="W214" s="205" t="str">
        <f t="shared" si="47"/>
        <v/>
      </c>
      <c r="X214" s="205" t="str">
        <f t="shared" si="47"/>
        <v/>
      </c>
      <c r="Y214" s="205" t="str">
        <f t="shared" si="47"/>
        <v>gs_trim_jambext_nosing_in</v>
      </c>
    </row>
    <row r="215" spans="1:25">
      <c r="A215" s="204">
        <f t="shared" si="43"/>
        <v>213</v>
      </c>
      <c r="B215" s="205" t="str">
        <f t="shared" si="46"/>
        <v>x</v>
      </c>
      <c r="C215" s="205" t="str">
        <f t="shared" si="46"/>
        <v/>
      </c>
      <c r="D215" s="205" t="str">
        <f t="shared" si="46"/>
        <v/>
      </c>
      <c r="E215" s="205" t="str">
        <f t="shared" si="46"/>
        <v/>
      </c>
      <c r="F215" s="205" t="str">
        <f t="shared" si="46"/>
        <v/>
      </c>
      <c r="G215" s="205" t="str">
        <f t="shared" si="46"/>
        <v/>
      </c>
      <c r="H215" s="205" t="str">
        <f t="shared" si="46"/>
        <v/>
      </c>
      <c r="I215" s="205" t="str">
        <f t="shared" si="46"/>
        <v/>
      </c>
      <c r="J215" s="205" t="str">
        <f t="shared" si="46"/>
        <v/>
      </c>
      <c r="K215" s="205" t="str">
        <f t="shared" si="46"/>
        <v/>
      </c>
      <c r="L215" s="205" t="str">
        <f t="shared" si="47"/>
        <v>info</v>
      </c>
      <c r="M215" s="205" t="str">
        <f t="shared" si="47"/>
        <v>x</v>
      </c>
      <c r="N215" s="205" t="str">
        <f t="shared" si="47"/>
        <v/>
      </c>
      <c r="O215" s="205" t="str">
        <f t="shared" si="47"/>
        <v>model</v>
      </c>
      <c r="P215" s="206" t="str">
        <f t="shared" si="47"/>
        <v>Length</v>
      </c>
      <c r="Q215" s="206" t="str">
        <f t="shared" si="47"/>
        <v>x</v>
      </c>
      <c r="R215" s="206" t="str">
        <f t="shared" si="47"/>
        <v>BS</v>
      </c>
      <c r="S215" s="206" t="str">
        <f t="shared" si="47"/>
        <v>all</v>
      </c>
      <c r="T215" s="205">
        <f t="shared" si="47"/>
        <v>0.1</v>
      </c>
      <c r="U215" s="205" t="str">
        <f t="shared" si="47"/>
        <v>Oberer Überstand</v>
      </c>
      <c r="V215" s="205" t="str">
        <f t="shared" si="47"/>
        <v>x</v>
      </c>
      <c r="W215" s="205" t="str">
        <f t="shared" si="47"/>
        <v/>
      </c>
      <c r="X215" s="205" t="str">
        <f t="shared" si="47"/>
        <v/>
      </c>
      <c r="Y215" s="205" t="str">
        <f t="shared" si="47"/>
        <v>gs_trimov_top_right_in</v>
      </c>
    </row>
    <row r="216" spans="1:25">
      <c r="A216" s="204">
        <f t="shared" si="43"/>
        <v>214</v>
      </c>
      <c r="B216" s="205" t="str">
        <f t="shared" si="46"/>
        <v>x</v>
      </c>
      <c r="C216" s="205" t="str">
        <f t="shared" si="46"/>
        <v/>
      </c>
      <c r="D216" s="205" t="str">
        <f t="shared" si="46"/>
        <v/>
      </c>
      <c r="E216" s="205" t="str">
        <f t="shared" si="46"/>
        <v/>
      </c>
      <c r="F216" s="205" t="str">
        <f t="shared" si="46"/>
        <v/>
      </c>
      <c r="G216" s="205" t="str">
        <f t="shared" si="46"/>
        <v/>
      </c>
      <c r="H216" s="205" t="str">
        <f t="shared" si="46"/>
        <v/>
      </c>
      <c r="I216" s="205" t="str">
        <f t="shared" si="46"/>
        <v/>
      </c>
      <c r="J216" s="205" t="str">
        <f t="shared" si="46"/>
        <v/>
      </c>
      <c r="K216" s="205" t="str">
        <f t="shared" si="46"/>
        <v/>
      </c>
      <c r="L216" s="205" t="str">
        <f t="shared" si="47"/>
        <v>info</v>
      </c>
      <c r="M216" s="205" t="str">
        <f t="shared" si="47"/>
        <v>x</v>
      </c>
      <c r="N216" s="205" t="str">
        <f t="shared" si="47"/>
        <v/>
      </c>
      <c r="O216" s="205" t="str">
        <f t="shared" si="47"/>
        <v>model</v>
      </c>
      <c r="P216" s="206" t="str">
        <f t="shared" si="47"/>
        <v>FillPattern</v>
      </c>
      <c r="Q216" s="206" t="str">
        <f t="shared" si="47"/>
        <v>x</v>
      </c>
      <c r="R216" s="206" t="str">
        <f t="shared" si="47"/>
        <v>BS</v>
      </c>
      <c r="S216" s="206" t="str">
        <f t="shared" si="47"/>
        <v>all</v>
      </c>
      <c r="T216" s="205">
        <f t="shared" si="47"/>
        <v>65</v>
      </c>
      <c r="U216" s="205" t="str">
        <f t="shared" si="47"/>
        <v>Schraffur Zarge innen</v>
      </c>
      <c r="V216" s="205" t="str">
        <f t="shared" si="47"/>
        <v>x</v>
      </c>
      <c r="W216" s="205" t="str">
        <f t="shared" si="47"/>
        <v/>
      </c>
      <c r="X216" s="205" t="str">
        <f t="shared" si="47"/>
        <v/>
      </c>
      <c r="Y216" s="205" t="str">
        <f t="shared" si="47"/>
        <v>gs_trim_fill_in</v>
      </c>
    </row>
    <row r="217" spans="1:25">
      <c r="A217" s="204">
        <f t="shared" si="43"/>
        <v>215</v>
      </c>
      <c r="B217" s="205" t="str">
        <f t="shared" si="46"/>
        <v>x</v>
      </c>
      <c r="C217" s="205" t="str">
        <f t="shared" si="46"/>
        <v/>
      </c>
      <c r="D217" s="205" t="str">
        <f t="shared" si="46"/>
        <v/>
      </c>
      <c r="E217" s="205" t="str">
        <f t="shared" si="46"/>
        <v/>
      </c>
      <c r="F217" s="205" t="str">
        <f t="shared" si="46"/>
        <v/>
      </c>
      <c r="G217" s="205" t="str">
        <f t="shared" si="46"/>
        <v/>
      </c>
      <c r="H217" s="205" t="str">
        <f t="shared" si="46"/>
        <v/>
      </c>
      <c r="I217" s="205" t="str">
        <f t="shared" si="46"/>
        <v/>
      </c>
      <c r="J217" s="205" t="str">
        <f t="shared" si="46"/>
        <v/>
      </c>
      <c r="K217" s="205" t="str">
        <f t="shared" si="46"/>
        <v/>
      </c>
      <c r="L217" s="205" t="str">
        <f t="shared" si="47"/>
        <v>info</v>
      </c>
      <c r="M217" s="205" t="str">
        <f t="shared" si="47"/>
        <v>x</v>
      </c>
      <c r="N217" s="205" t="str">
        <f t="shared" si="47"/>
        <v/>
      </c>
      <c r="O217" s="205" t="str">
        <f t="shared" si="47"/>
        <v>model</v>
      </c>
      <c r="P217" s="206" t="str">
        <f t="shared" si="47"/>
        <v>PenColor</v>
      </c>
      <c r="Q217" s="206" t="str">
        <f t="shared" si="47"/>
        <v>x</v>
      </c>
      <c r="R217" s="206" t="str">
        <f t="shared" si="47"/>
        <v>BS</v>
      </c>
      <c r="S217" s="206" t="str">
        <f t="shared" si="47"/>
        <v>all</v>
      </c>
      <c r="T217" s="205">
        <f t="shared" si="47"/>
        <v>19</v>
      </c>
      <c r="U217" s="205" t="str">
        <f t="shared" si="47"/>
        <v>Schraffurstift Zarge innen</v>
      </c>
      <c r="V217" s="205" t="str">
        <f t="shared" si="47"/>
        <v>x</v>
      </c>
      <c r="W217" s="205" t="str">
        <f t="shared" si="47"/>
        <v/>
      </c>
      <c r="X217" s="205" t="str">
        <f t="shared" si="47"/>
        <v/>
      </c>
      <c r="Y217" s="205" t="str">
        <f t="shared" si="47"/>
        <v>gs_trim_pen_fg_in</v>
      </c>
    </row>
    <row r="218" spans="1:25">
      <c r="A218" s="204">
        <f t="shared" si="43"/>
        <v>216</v>
      </c>
      <c r="B218" s="205" t="str">
        <f t="shared" si="46"/>
        <v>x</v>
      </c>
      <c r="C218" s="205" t="str">
        <f t="shared" si="46"/>
        <v/>
      </c>
      <c r="D218" s="205" t="str">
        <f t="shared" si="46"/>
        <v/>
      </c>
      <c r="E218" s="205" t="str">
        <f t="shared" si="46"/>
        <v/>
      </c>
      <c r="F218" s="205" t="str">
        <f t="shared" si="46"/>
        <v/>
      </c>
      <c r="G218" s="205" t="str">
        <f t="shared" si="46"/>
        <v/>
      </c>
      <c r="H218" s="205" t="str">
        <f t="shared" si="46"/>
        <v/>
      </c>
      <c r="I218" s="205" t="str">
        <f t="shared" si="46"/>
        <v/>
      </c>
      <c r="J218" s="205" t="str">
        <f t="shared" si="46"/>
        <v/>
      </c>
      <c r="K218" s="205" t="str">
        <f t="shared" si="46"/>
        <v/>
      </c>
      <c r="L218" s="205" t="str">
        <f t="shared" si="47"/>
        <v>info</v>
      </c>
      <c r="M218" s="205" t="str">
        <f t="shared" si="47"/>
        <v>x</v>
      </c>
      <c r="N218" s="205" t="str">
        <f t="shared" si="47"/>
        <v/>
      </c>
      <c r="O218" s="205" t="str">
        <f t="shared" si="47"/>
        <v>model</v>
      </c>
      <c r="P218" s="206" t="str">
        <f t="shared" si="47"/>
        <v>PenColor</v>
      </c>
      <c r="Q218" s="206" t="str">
        <f t="shared" si="47"/>
        <v>x</v>
      </c>
      <c r="R218" s="206" t="str">
        <f t="shared" si="47"/>
        <v>BS</v>
      </c>
      <c r="S218" s="206" t="str">
        <f t="shared" si="47"/>
        <v>all</v>
      </c>
      <c r="T218" s="205">
        <f t="shared" si="47"/>
        <v>19</v>
      </c>
      <c r="U218" s="205" t="str">
        <f t="shared" si="47"/>
        <v>Hintergrundstift Zarge innen</v>
      </c>
      <c r="V218" s="205" t="str">
        <f t="shared" si="47"/>
        <v>x</v>
      </c>
      <c r="W218" s="205" t="str">
        <f t="shared" si="47"/>
        <v/>
      </c>
      <c r="X218" s="205" t="str">
        <f t="shared" si="47"/>
        <v/>
      </c>
      <c r="Y218" s="205" t="str">
        <f t="shared" si="47"/>
        <v>gs_trim_pen_bg_in</v>
      </c>
    </row>
    <row r="219" spans="1:25">
      <c r="A219" s="204">
        <f t="shared" si="43"/>
        <v>217</v>
      </c>
      <c r="B219" s="205" t="str">
        <f t="shared" si="46"/>
        <v>x</v>
      </c>
      <c r="C219" s="205" t="str">
        <f t="shared" si="46"/>
        <v/>
      </c>
      <c r="D219" s="205" t="str">
        <f t="shared" si="46"/>
        <v/>
      </c>
      <c r="E219" s="205" t="str">
        <f t="shared" si="46"/>
        <v/>
      </c>
      <c r="F219" s="205" t="str">
        <f t="shared" si="46"/>
        <v/>
      </c>
      <c r="G219" s="205" t="str">
        <f t="shared" si="46"/>
        <v/>
      </c>
      <c r="H219" s="205" t="str">
        <f t="shared" si="46"/>
        <v/>
      </c>
      <c r="I219" s="205" t="str">
        <f t="shared" si="46"/>
        <v/>
      </c>
      <c r="J219" s="205" t="str">
        <f t="shared" si="46"/>
        <v/>
      </c>
      <c r="K219" s="205" t="str">
        <f t="shared" si="46"/>
        <v/>
      </c>
      <c r="L219" s="205" t="str">
        <f t="shared" si="47"/>
        <v>info</v>
      </c>
      <c r="M219" s="205" t="str">
        <f t="shared" si="47"/>
        <v/>
      </c>
      <c r="N219" s="205" t="str">
        <f t="shared" si="47"/>
        <v/>
      </c>
      <c r="O219" s="205" t="str">
        <f t="shared" si="47"/>
        <v>model</v>
      </c>
      <c r="P219" s="206" t="str">
        <f t="shared" si="47"/>
        <v>Boolean</v>
      </c>
      <c r="Q219" s="206" t="str">
        <f t="shared" si="47"/>
        <v>x</v>
      </c>
      <c r="R219" s="206" t="str">
        <f t="shared" si="47"/>
        <v>BS</v>
      </c>
      <c r="S219" s="206" t="str">
        <f t="shared" si="47"/>
        <v>all</v>
      </c>
      <c r="T219" s="205" t="str">
        <f t="shared" si="47"/>
        <v/>
      </c>
      <c r="U219" s="205" t="str">
        <f t="shared" si="47"/>
        <v>Fensterbank Außen</v>
      </c>
      <c r="V219" s="205" t="str">
        <f t="shared" si="47"/>
        <v/>
      </c>
      <c r="W219" s="205" t="str">
        <f t="shared" si="47"/>
        <v/>
      </c>
      <c r="X219" s="205" t="str">
        <f t="shared" si="47"/>
        <v/>
      </c>
      <c r="Y219" s="205" t="str">
        <f t="shared" si="47"/>
        <v>gs_sill_outside</v>
      </c>
    </row>
    <row r="220" spans="1:25">
      <c r="A220" s="204">
        <f t="shared" si="43"/>
        <v>218</v>
      </c>
      <c r="B220" s="205" t="str">
        <f t="shared" si="46"/>
        <v>x</v>
      </c>
      <c r="C220" s="205" t="str">
        <f t="shared" si="46"/>
        <v/>
      </c>
      <c r="D220" s="205" t="str">
        <f t="shared" si="46"/>
        <v/>
      </c>
      <c r="E220" s="205" t="str">
        <f t="shared" si="46"/>
        <v/>
      </c>
      <c r="F220" s="205" t="str">
        <f t="shared" si="46"/>
        <v/>
      </c>
      <c r="G220" s="205" t="str">
        <f t="shared" si="46"/>
        <v/>
      </c>
      <c r="H220" s="205" t="str">
        <f t="shared" si="46"/>
        <v/>
      </c>
      <c r="I220" s="205" t="str">
        <f t="shared" si="46"/>
        <v/>
      </c>
      <c r="J220" s="205" t="str">
        <f t="shared" si="46"/>
        <v/>
      </c>
      <c r="K220" s="205" t="str">
        <f t="shared" si="46"/>
        <v/>
      </c>
      <c r="L220" s="205" t="str">
        <f t="shared" si="47"/>
        <v>info</v>
      </c>
      <c r="M220" s="205" t="str">
        <f t="shared" si="47"/>
        <v>x</v>
      </c>
      <c r="N220" s="205" t="str">
        <f t="shared" si="47"/>
        <v/>
      </c>
      <c r="O220" s="205" t="str">
        <f t="shared" si="47"/>
        <v>model</v>
      </c>
      <c r="P220" s="206" t="str">
        <f t="shared" si="47"/>
        <v>Boolean</v>
      </c>
      <c r="Q220" s="206" t="str">
        <f t="shared" si="47"/>
        <v>x</v>
      </c>
      <c r="R220" s="206" t="str">
        <f t="shared" si="47"/>
        <v>BS</v>
      </c>
      <c r="S220" s="206" t="str">
        <f t="shared" si="47"/>
        <v>all</v>
      </c>
      <c r="T220" s="205" t="str">
        <f t="shared" si="47"/>
        <v/>
      </c>
      <c r="U220" s="205" t="str">
        <f t="shared" si="47"/>
        <v>Übergröße Fensterbank Außen</v>
      </c>
      <c r="V220" s="205" t="str">
        <f t="shared" si="47"/>
        <v>x</v>
      </c>
      <c r="W220" s="205" t="str">
        <f t="shared" si="47"/>
        <v/>
      </c>
      <c r="X220" s="205" t="str">
        <f t="shared" si="47"/>
        <v/>
      </c>
      <c r="Y220" s="205" t="str">
        <f t="shared" si="47"/>
        <v>gs_sill_oversize</v>
      </c>
    </row>
    <row r="221" spans="1:25">
      <c r="A221" s="204">
        <f t="shared" si="43"/>
        <v>219</v>
      </c>
      <c r="B221" s="205" t="str">
        <f t="shared" si="46"/>
        <v>x</v>
      </c>
      <c r="C221" s="205" t="str">
        <f t="shared" si="46"/>
        <v/>
      </c>
      <c r="D221" s="205" t="str">
        <f t="shared" si="46"/>
        <v/>
      </c>
      <c r="E221" s="205" t="str">
        <f t="shared" si="46"/>
        <v/>
      </c>
      <c r="F221" s="205" t="str">
        <f t="shared" si="46"/>
        <v/>
      </c>
      <c r="G221" s="205" t="str">
        <f t="shared" si="46"/>
        <v/>
      </c>
      <c r="H221" s="205" t="str">
        <f t="shared" si="46"/>
        <v/>
      </c>
      <c r="I221" s="205" t="str">
        <f t="shared" si="46"/>
        <v/>
      </c>
      <c r="J221" s="205" t="str">
        <f t="shared" si="46"/>
        <v/>
      </c>
      <c r="K221" s="205" t="str">
        <f t="shared" si="46"/>
        <v/>
      </c>
      <c r="L221" s="205" t="str">
        <f t="shared" si="47"/>
        <v>info</v>
      </c>
      <c r="M221" s="205" t="str">
        <f t="shared" si="47"/>
        <v>x</v>
      </c>
      <c r="N221" s="205" t="str">
        <f t="shared" si="47"/>
        <v/>
      </c>
      <c r="O221" s="205" t="str">
        <f t="shared" si="47"/>
        <v>model</v>
      </c>
      <c r="P221" s="206" t="str">
        <f t="shared" si="47"/>
        <v>Integer</v>
      </c>
      <c r="Q221" s="206" t="str">
        <f t="shared" si="47"/>
        <v>x</v>
      </c>
      <c r="R221" s="206" t="str">
        <f t="shared" si="47"/>
        <v>BS</v>
      </c>
      <c r="S221" s="206" t="str">
        <f t="shared" si="47"/>
        <v>all</v>
      </c>
      <c r="T221" s="205">
        <f t="shared" si="47"/>
        <v>2</v>
      </c>
      <c r="U221" s="205" t="str">
        <f t="shared" si="47"/>
        <v>Fensterbanktyp</v>
      </c>
      <c r="V221" s="205" t="str">
        <f t="shared" si="47"/>
        <v>x</v>
      </c>
      <c r="W221" s="205" t="str">
        <f t="shared" si="47"/>
        <v/>
      </c>
      <c r="X221" s="205" t="str">
        <f t="shared" si="47"/>
        <v/>
      </c>
      <c r="Y221" s="205" t="str">
        <f t="shared" si="47"/>
        <v>iSillType</v>
      </c>
    </row>
    <row r="222" spans="1:25">
      <c r="A222" s="204">
        <f t="shared" si="43"/>
        <v>220</v>
      </c>
      <c r="B222" s="205" t="str">
        <f t="shared" si="46"/>
        <v>x</v>
      </c>
      <c r="C222" s="205" t="str">
        <f t="shared" si="46"/>
        <v/>
      </c>
      <c r="D222" s="205" t="str">
        <f t="shared" si="46"/>
        <v/>
      </c>
      <c r="E222" s="205" t="str">
        <f t="shared" si="46"/>
        <v/>
      </c>
      <c r="F222" s="205" t="str">
        <f t="shared" si="46"/>
        <v/>
      </c>
      <c r="G222" s="205" t="str">
        <f t="shared" si="46"/>
        <v/>
      </c>
      <c r="H222" s="205" t="str">
        <f t="shared" si="46"/>
        <v/>
      </c>
      <c r="I222" s="205" t="str">
        <f t="shared" si="46"/>
        <v/>
      </c>
      <c r="J222" s="205" t="str">
        <f t="shared" si="46"/>
        <v/>
      </c>
      <c r="K222" s="205" t="str">
        <f t="shared" si="46"/>
        <v>x</v>
      </c>
      <c r="L222" s="205" t="str">
        <f t="shared" si="47"/>
        <v>info</v>
      </c>
      <c r="M222" s="205" t="str">
        <f t="shared" si="47"/>
        <v>x</v>
      </c>
      <c r="N222" s="205" t="str">
        <f t="shared" si="47"/>
        <v/>
      </c>
      <c r="O222" s="205" t="str">
        <f t="shared" si="47"/>
        <v>model</v>
      </c>
      <c r="P222" s="206" t="str">
        <f t="shared" si="47"/>
        <v>Length</v>
      </c>
      <c r="Q222" s="206" t="str">
        <f t="shared" si="47"/>
        <v>x</v>
      </c>
      <c r="R222" s="206" t="str">
        <f t="shared" si="47"/>
        <v>BS</v>
      </c>
      <c r="S222" s="206" t="str">
        <f t="shared" si="47"/>
        <v>all</v>
      </c>
      <c r="T222" s="205" t="str">
        <f t="shared" si="47"/>
        <v/>
      </c>
      <c r="U222" s="205" t="str">
        <f t="shared" si="47"/>
        <v>Fensterbank Breite</v>
      </c>
      <c r="V222" s="205" t="str">
        <f t="shared" si="47"/>
        <v>x</v>
      </c>
      <c r="W222" s="205" t="str">
        <f t="shared" si="47"/>
        <v/>
      </c>
      <c r="X222" s="205" t="str">
        <f t="shared" si="47"/>
        <v/>
      </c>
      <c r="Y222" s="205" t="str">
        <f t="shared" si="47"/>
        <v>gs_sill_width</v>
      </c>
    </row>
    <row r="223" spans="1:25">
      <c r="A223" s="204">
        <f t="shared" si="43"/>
        <v>221</v>
      </c>
      <c r="B223" s="205" t="str">
        <f t="shared" ref="B223:K232" si="48">IF(ISNONTEXT(B$2),IF(B$2="","",IF(INDEX(IMPORT,$A223,B$2)=0,"",IFERROR(VLOOKUP(INDEX(IMPORT,$A223,B$2),ImportTranslation,2,0),INDEX(IMPORT,$A223,B$2)))),B$2)</f>
        <v>x</v>
      </c>
      <c r="C223" s="205" t="str">
        <f t="shared" si="48"/>
        <v/>
      </c>
      <c r="D223" s="205" t="str">
        <f t="shared" si="48"/>
        <v/>
      </c>
      <c r="E223" s="205" t="str">
        <f t="shared" si="48"/>
        <v/>
      </c>
      <c r="F223" s="205" t="str">
        <f t="shared" si="48"/>
        <v/>
      </c>
      <c r="G223" s="205" t="str">
        <f t="shared" si="48"/>
        <v/>
      </c>
      <c r="H223" s="205" t="str">
        <f t="shared" si="48"/>
        <v/>
      </c>
      <c r="I223" s="205" t="str">
        <f t="shared" si="48"/>
        <v/>
      </c>
      <c r="J223" s="205" t="str">
        <f t="shared" si="48"/>
        <v/>
      </c>
      <c r="K223" s="205" t="str">
        <f t="shared" si="48"/>
        <v/>
      </c>
      <c r="L223" s="205" t="str">
        <f t="shared" ref="L223:Y232" si="49">IF(ISNONTEXT(L$2),IF(L$2="","",IF(INDEX(IMPORT,$A223,L$2)=0,"",IFERROR(VLOOKUP(INDEX(IMPORT,$A223,L$2),ImportTranslation,2,0),INDEX(IMPORT,$A223,L$2)))),L$2)</f>
        <v>info</v>
      </c>
      <c r="M223" s="205" t="str">
        <f t="shared" si="49"/>
        <v>x</v>
      </c>
      <c r="N223" s="205" t="str">
        <f t="shared" si="49"/>
        <v/>
      </c>
      <c r="O223" s="205" t="str">
        <f t="shared" si="49"/>
        <v>model</v>
      </c>
      <c r="P223" s="206" t="str">
        <f t="shared" si="49"/>
        <v>Length</v>
      </c>
      <c r="Q223" s="206" t="str">
        <f t="shared" si="49"/>
        <v>x</v>
      </c>
      <c r="R223" s="206" t="str">
        <f t="shared" si="49"/>
        <v>BS</v>
      </c>
      <c r="S223" s="206" t="str">
        <f t="shared" si="49"/>
        <v>all</v>
      </c>
      <c r="T223" s="205">
        <f t="shared" si="49"/>
        <v>0.01</v>
      </c>
      <c r="U223" s="205" t="str">
        <f t="shared" si="49"/>
        <v>Fensterbank obere Breite</v>
      </c>
      <c r="V223" s="205" t="str">
        <f t="shared" si="49"/>
        <v>x</v>
      </c>
      <c r="W223" s="205" t="str">
        <f t="shared" si="49"/>
        <v/>
      </c>
      <c r="X223" s="205" t="str">
        <f t="shared" si="49"/>
        <v/>
      </c>
      <c r="Y223" s="205" t="str">
        <f t="shared" si="49"/>
        <v>gs_sill_topWidth</v>
      </c>
    </row>
    <row r="224" spans="1:25">
      <c r="A224" s="204">
        <f t="shared" si="43"/>
        <v>222</v>
      </c>
      <c r="B224" s="205" t="str">
        <f t="shared" si="48"/>
        <v>x</v>
      </c>
      <c r="C224" s="205" t="str">
        <f t="shared" si="48"/>
        <v/>
      </c>
      <c r="D224" s="205" t="str">
        <f t="shared" si="48"/>
        <v/>
      </c>
      <c r="E224" s="205" t="str">
        <f t="shared" si="48"/>
        <v/>
      </c>
      <c r="F224" s="205" t="str">
        <f t="shared" si="48"/>
        <v/>
      </c>
      <c r="G224" s="205" t="str">
        <f t="shared" si="48"/>
        <v/>
      </c>
      <c r="H224" s="205" t="str">
        <f t="shared" si="48"/>
        <v/>
      </c>
      <c r="I224" s="205" t="str">
        <f t="shared" si="48"/>
        <v/>
      </c>
      <c r="J224" s="205" t="str">
        <f t="shared" si="48"/>
        <v/>
      </c>
      <c r="K224" s="205" t="str">
        <f t="shared" si="48"/>
        <v/>
      </c>
      <c r="L224" s="205" t="str">
        <f t="shared" si="49"/>
        <v>info</v>
      </c>
      <c r="M224" s="205" t="str">
        <f t="shared" si="49"/>
        <v>x</v>
      </c>
      <c r="N224" s="205" t="str">
        <f t="shared" si="49"/>
        <v/>
      </c>
      <c r="O224" s="205" t="str">
        <f t="shared" si="49"/>
        <v>model</v>
      </c>
      <c r="P224" s="206" t="str">
        <f t="shared" si="49"/>
        <v>Length</v>
      </c>
      <c r="Q224" s="206" t="str">
        <f t="shared" si="49"/>
        <v>x</v>
      </c>
      <c r="R224" s="206" t="str">
        <f t="shared" si="49"/>
        <v>BS</v>
      </c>
      <c r="S224" s="206" t="str">
        <f t="shared" si="49"/>
        <v>all</v>
      </c>
      <c r="T224" s="205">
        <f t="shared" si="49"/>
        <v>0.01</v>
      </c>
      <c r="U224" s="205" t="str">
        <f t="shared" si="49"/>
        <v>Fensterbank obere Höhe</v>
      </c>
      <c r="V224" s="205" t="str">
        <f t="shared" si="49"/>
        <v>x</v>
      </c>
      <c r="W224" s="205" t="str">
        <f t="shared" si="49"/>
        <v/>
      </c>
      <c r="X224" s="205" t="str">
        <f t="shared" si="49"/>
        <v/>
      </c>
      <c r="Y224" s="205" t="str">
        <f t="shared" si="49"/>
        <v>gs_sill_topHeight</v>
      </c>
    </row>
    <row r="225" spans="1:25">
      <c r="A225" s="204">
        <f t="shared" si="43"/>
        <v>223</v>
      </c>
      <c r="B225" s="205" t="str">
        <f t="shared" si="48"/>
        <v>x</v>
      </c>
      <c r="C225" s="205" t="str">
        <f t="shared" si="48"/>
        <v/>
      </c>
      <c r="D225" s="205" t="str">
        <f t="shared" si="48"/>
        <v/>
      </c>
      <c r="E225" s="205" t="str">
        <f t="shared" si="48"/>
        <v/>
      </c>
      <c r="F225" s="205" t="str">
        <f t="shared" si="48"/>
        <v/>
      </c>
      <c r="G225" s="205" t="str">
        <f t="shared" si="48"/>
        <v/>
      </c>
      <c r="H225" s="205" t="str">
        <f t="shared" si="48"/>
        <v/>
      </c>
      <c r="I225" s="205" t="str">
        <f t="shared" si="48"/>
        <v/>
      </c>
      <c r="J225" s="205" t="str">
        <f t="shared" si="48"/>
        <v/>
      </c>
      <c r="K225" s="205" t="str">
        <f t="shared" si="48"/>
        <v/>
      </c>
      <c r="L225" s="205" t="str">
        <f t="shared" si="49"/>
        <v>info</v>
      </c>
      <c r="M225" s="205" t="str">
        <f t="shared" si="49"/>
        <v>x</v>
      </c>
      <c r="N225" s="205" t="str">
        <f t="shared" si="49"/>
        <v/>
      </c>
      <c r="O225" s="205" t="str">
        <f t="shared" si="49"/>
        <v>model</v>
      </c>
      <c r="P225" s="206" t="str">
        <f t="shared" si="49"/>
        <v>Length</v>
      </c>
      <c r="Q225" s="206" t="str">
        <f t="shared" si="49"/>
        <v>x</v>
      </c>
      <c r="R225" s="206" t="str">
        <f t="shared" si="49"/>
        <v>BS</v>
      </c>
      <c r="S225" s="206" t="str">
        <f t="shared" si="49"/>
        <v>all</v>
      </c>
      <c r="T225" s="205">
        <f t="shared" si="49"/>
        <v>2.5000000000000001E-2</v>
      </c>
      <c r="U225" s="205" t="str">
        <f t="shared" si="49"/>
        <v>Schwellendicke</v>
      </c>
      <c r="V225" s="205" t="str">
        <f t="shared" si="49"/>
        <v>x</v>
      </c>
      <c r="W225" s="205" t="str">
        <f t="shared" si="49"/>
        <v/>
      </c>
      <c r="X225" s="205" t="str">
        <f t="shared" si="49"/>
        <v/>
      </c>
      <c r="Y225" s="205" t="str">
        <f t="shared" si="49"/>
        <v>gs_sill_thk</v>
      </c>
    </row>
    <row r="226" spans="1:25">
      <c r="A226" s="204">
        <f t="shared" si="43"/>
        <v>224</v>
      </c>
      <c r="B226" s="205" t="str">
        <f t="shared" si="48"/>
        <v>x</v>
      </c>
      <c r="C226" s="205" t="str">
        <f t="shared" si="48"/>
        <v/>
      </c>
      <c r="D226" s="205" t="str">
        <f t="shared" si="48"/>
        <v/>
      </c>
      <c r="E226" s="205" t="str">
        <f t="shared" si="48"/>
        <v/>
      </c>
      <c r="F226" s="205" t="str">
        <f t="shared" si="48"/>
        <v/>
      </c>
      <c r="G226" s="205" t="str">
        <f t="shared" si="48"/>
        <v/>
      </c>
      <c r="H226" s="205" t="str">
        <f t="shared" si="48"/>
        <v/>
      </c>
      <c r="I226" s="205" t="str">
        <f t="shared" si="48"/>
        <v/>
      </c>
      <c r="J226" s="205" t="str">
        <f t="shared" si="48"/>
        <v/>
      </c>
      <c r="K226" s="205" t="str">
        <f t="shared" si="48"/>
        <v/>
      </c>
      <c r="L226" s="205" t="str">
        <f t="shared" si="49"/>
        <v>info</v>
      </c>
      <c r="M226" s="205" t="str">
        <f t="shared" si="49"/>
        <v>x</v>
      </c>
      <c r="N226" s="205" t="str">
        <f t="shared" si="49"/>
        <v/>
      </c>
      <c r="O226" s="205" t="str">
        <f t="shared" si="49"/>
        <v>model</v>
      </c>
      <c r="P226" s="206" t="str">
        <f t="shared" si="49"/>
        <v>Length</v>
      </c>
      <c r="Q226" s="206" t="str">
        <f t="shared" si="49"/>
        <v>x</v>
      </c>
      <c r="R226" s="206" t="str">
        <f t="shared" si="49"/>
        <v>BS</v>
      </c>
      <c r="S226" s="206" t="str">
        <f t="shared" si="49"/>
        <v>all</v>
      </c>
      <c r="T226" s="205">
        <f t="shared" si="49"/>
        <v>1.4999999999999999E-2</v>
      </c>
      <c r="U226" s="205" t="str">
        <f t="shared" si="49"/>
        <v>Fensterbank Vorderseite Dicke</v>
      </c>
      <c r="V226" s="205" t="str">
        <f t="shared" si="49"/>
        <v>x</v>
      </c>
      <c r="W226" s="205" t="str">
        <f t="shared" si="49"/>
        <v/>
      </c>
      <c r="X226" s="205" t="str">
        <f t="shared" si="49"/>
        <v/>
      </c>
      <c r="Y226" s="205" t="str">
        <f t="shared" si="49"/>
        <v>gs_sill_endthk</v>
      </c>
    </row>
    <row r="227" spans="1:25">
      <c r="A227" s="204">
        <f t="shared" si="43"/>
        <v>225</v>
      </c>
      <c r="B227" s="205" t="str">
        <f t="shared" si="48"/>
        <v>x</v>
      </c>
      <c r="C227" s="205" t="str">
        <f t="shared" si="48"/>
        <v/>
      </c>
      <c r="D227" s="205" t="str">
        <f t="shared" si="48"/>
        <v/>
      </c>
      <c r="E227" s="205" t="str">
        <f t="shared" si="48"/>
        <v/>
      </c>
      <c r="F227" s="205" t="str">
        <f t="shared" si="48"/>
        <v/>
      </c>
      <c r="G227" s="205" t="str">
        <f t="shared" si="48"/>
        <v/>
      </c>
      <c r="H227" s="205" t="str">
        <f t="shared" si="48"/>
        <v/>
      </c>
      <c r="I227" s="205" t="str">
        <f t="shared" si="48"/>
        <v/>
      </c>
      <c r="J227" s="205" t="str">
        <f t="shared" si="48"/>
        <v/>
      </c>
      <c r="K227" s="205" t="str">
        <f t="shared" si="48"/>
        <v/>
      </c>
      <c r="L227" s="205" t="str">
        <f t="shared" si="49"/>
        <v>info</v>
      </c>
      <c r="M227" s="205" t="str">
        <f t="shared" si="49"/>
        <v>x</v>
      </c>
      <c r="N227" s="205" t="str">
        <f t="shared" si="49"/>
        <v/>
      </c>
      <c r="O227" s="205" t="str">
        <f t="shared" si="49"/>
        <v>model</v>
      </c>
      <c r="P227" s="206" t="str">
        <f t="shared" si="49"/>
        <v>Length</v>
      </c>
      <c r="Q227" s="206" t="str">
        <f t="shared" si="49"/>
        <v>x</v>
      </c>
      <c r="R227" s="206" t="str">
        <f t="shared" si="49"/>
        <v>BS</v>
      </c>
      <c r="S227" s="206" t="str">
        <f t="shared" si="49"/>
        <v>all</v>
      </c>
      <c r="T227" s="205">
        <f t="shared" si="49"/>
        <v>5.0000000000000001E-3</v>
      </c>
      <c r="U227" s="205" t="str">
        <f t="shared" si="49"/>
        <v>Schwelle Ansicht</v>
      </c>
      <c r="V227" s="205" t="str">
        <f t="shared" si="49"/>
        <v>x</v>
      </c>
      <c r="W227" s="205" t="str">
        <f t="shared" si="49"/>
        <v/>
      </c>
      <c r="X227" s="205" t="str">
        <f t="shared" si="49"/>
        <v/>
      </c>
      <c r="Y227" s="205" t="str">
        <f t="shared" si="49"/>
        <v>gs_sill_elev</v>
      </c>
    </row>
    <row r="228" spans="1:25">
      <c r="A228" s="204">
        <f t="shared" si="43"/>
        <v>226</v>
      </c>
      <c r="B228" s="205" t="str">
        <f t="shared" si="48"/>
        <v>x</v>
      </c>
      <c r="C228" s="205" t="str">
        <f t="shared" si="48"/>
        <v/>
      </c>
      <c r="D228" s="205" t="str">
        <f t="shared" si="48"/>
        <v/>
      </c>
      <c r="E228" s="205" t="str">
        <f t="shared" si="48"/>
        <v/>
      </c>
      <c r="F228" s="205" t="str">
        <f t="shared" si="48"/>
        <v/>
      </c>
      <c r="G228" s="205" t="str">
        <f t="shared" si="48"/>
        <v/>
      </c>
      <c r="H228" s="205" t="str">
        <f t="shared" si="48"/>
        <v/>
      </c>
      <c r="I228" s="205" t="str">
        <f t="shared" si="48"/>
        <v/>
      </c>
      <c r="J228" s="205" t="str">
        <f t="shared" si="48"/>
        <v/>
      </c>
      <c r="K228" s="205" t="str">
        <f t="shared" si="48"/>
        <v/>
      </c>
      <c r="L228" s="205" t="str">
        <f t="shared" si="49"/>
        <v>info</v>
      </c>
      <c r="M228" s="205" t="str">
        <f t="shared" si="49"/>
        <v>x</v>
      </c>
      <c r="N228" s="205" t="str">
        <f t="shared" si="49"/>
        <v/>
      </c>
      <c r="O228" s="205" t="str">
        <f t="shared" si="49"/>
        <v>model</v>
      </c>
      <c r="P228" s="206" t="str">
        <f t="shared" si="49"/>
        <v>Length</v>
      </c>
      <c r="Q228" s="206" t="str">
        <f t="shared" si="49"/>
        <v>x</v>
      </c>
      <c r="R228" s="206" t="str">
        <f t="shared" si="49"/>
        <v>BS</v>
      </c>
      <c r="S228" s="206" t="str">
        <f t="shared" si="49"/>
        <v>all</v>
      </c>
      <c r="T228" s="205">
        <f t="shared" si="49"/>
        <v>0.02</v>
      </c>
      <c r="U228" s="205" t="str">
        <f t="shared" si="49"/>
        <v>Fensterbank Tropfüberhang</v>
      </c>
      <c r="V228" s="205" t="str">
        <f t="shared" si="49"/>
        <v>x</v>
      </c>
      <c r="W228" s="205" t="str">
        <f t="shared" si="49"/>
        <v/>
      </c>
      <c r="X228" s="205" t="str">
        <f t="shared" si="49"/>
        <v/>
      </c>
      <c r="Y228" s="205" t="str">
        <f t="shared" si="49"/>
        <v>gs_sill_dripnos</v>
      </c>
    </row>
    <row r="229" spans="1:25">
      <c r="A229" s="204">
        <f t="shared" si="43"/>
        <v>227</v>
      </c>
      <c r="B229" s="205" t="str">
        <f t="shared" si="48"/>
        <v>x</v>
      </c>
      <c r="C229" s="205" t="str">
        <f t="shared" si="48"/>
        <v/>
      </c>
      <c r="D229" s="205" t="str">
        <f t="shared" si="48"/>
        <v/>
      </c>
      <c r="E229" s="205" t="str">
        <f t="shared" si="48"/>
        <v/>
      </c>
      <c r="F229" s="205" t="str">
        <f t="shared" si="48"/>
        <v/>
      </c>
      <c r="G229" s="205" t="str">
        <f t="shared" si="48"/>
        <v/>
      </c>
      <c r="H229" s="205" t="str">
        <f t="shared" si="48"/>
        <v/>
      </c>
      <c r="I229" s="205" t="str">
        <f t="shared" si="48"/>
        <v/>
      </c>
      <c r="J229" s="205" t="str">
        <f t="shared" si="48"/>
        <v/>
      </c>
      <c r="K229" s="205" t="str">
        <f t="shared" si="48"/>
        <v/>
      </c>
      <c r="L229" s="205" t="str">
        <f t="shared" si="49"/>
        <v>info</v>
      </c>
      <c r="M229" s="205" t="str">
        <f t="shared" si="49"/>
        <v>x</v>
      </c>
      <c r="N229" s="205" t="str">
        <f t="shared" si="49"/>
        <v/>
      </c>
      <c r="O229" s="205" t="str">
        <f t="shared" si="49"/>
        <v>model</v>
      </c>
      <c r="P229" s="206" t="str">
        <f t="shared" si="49"/>
        <v>Length</v>
      </c>
      <c r="Q229" s="206" t="str">
        <f t="shared" si="49"/>
        <v>x</v>
      </c>
      <c r="R229" s="206" t="str">
        <f t="shared" si="49"/>
        <v>BS</v>
      </c>
      <c r="S229" s="206" t="str">
        <f t="shared" si="49"/>
        <v>all</v>
      </c>
      <c r="T229" s="205">
        <f t="shared" si="49"/>
        <v>0.03</v>
      </c>
      <c r="U229" s="205" t="str">
        <f t="shared" si="49"/>
        <v>Dicke Fensterbankkante</v>
      </c>
      <c r="V229" s="205" t="str">
        <f t="shared" si="49"/>
        <v>x</v>
      </c>
      <c r="W229" s="205" t="str">
        <f t="shared" si="49"/>
        <v/>
      </c>
      <c r="X229" s="205" t="str">
        <f t="shared" si="49"/>
        <v/>
      </c>
      <c r="Y229" s="205" t="str">
        <f t="shared" si="49"/>
        <v>gs_sill_dripwidth</v>
      </c>
    </row>
    <row r="230" spans="1:25">
      <c r="A230" s="204">
        <f t="shared" si="43"/>
        <v>228</v>
      </c>
      <c r="B230" s="205" t="str">
        <f t="shared" si="48"/>
        <v>x</v>
      </c>
      <c r="C230" s="205" t="str">
        <f t="shared" si="48"/>
        <v/>
      </c>
      <c r="D230" s="205" t="str">
        <f t="shared" si="48"/>
        <v/>
      </c>
      <c r="E230" s="205" t="str">
        <f t="shared" si="48"/>
        <v/>
      </c>
      <c r="F230" s="205" t="str">
        <f t="shared" si="48"/>
        <v/>
      </c>
      <c r="G230" s="205" t="str">
        <f t="shared" si="48"/>
        <v/>
      </c>
      <c r="H230" s="205" t="str">
        <f t="shared" si="48"/>
        <v/>
      </c>
      <c r="I230" s="205" t="str">
        <f t="shared" si="48"/>
        <v/>
      </c>
      <c r="J230" s="205" t="str">
        <f t="shared" si="48"/>
        <v/>
      </c>
      <c r="K230" s="205" t="str">
        <f t="shared" si="48"/>
        <v/>
      </c>
      <c r="L230" s="205" t="str">
        <f t="shared" si="49"/>
        <v>info</v>
      </c>
      <c r="M230" s="205" t="str">
        <f t="shared" si="49"/>
        <v>x</v>
      </c>
      <c r="N230" s="205" t="str">
        <f t="shared" si="49"/>
        <v/>
      </c>
      <c r="O230" s="205" t="str">
        <f t="shared" si="49"/>
        <v>model</v>
      </c>
      <c r="P230" s="206" t="str">
        <f t="shared" si="49"/>
        <v>Length</v>
      </c>
      <c r="Q230" s="206" t="str">
        <f t="shared" si="49"/>
        <v>x</v>
      </c>
      <c r="R230" s="206" t="str">
        <f t="shared" si="49"/>
        <v>BS</v>
      </c>
      <c r="S230" s="206" t="str">
        <f t="shared" si="49"/>
        <v>all</v>
      </c>
      <c r="T230" s="205">
        <f t="shared" si="49"/>
        <v>0.03</v>
      </c>
      <c r="U230" s="205" t="str">
        <f t="shared" si="49"/>
        <v>Schwelle Überstand</v>
      </c>
      <c r="V230" s="205" t="str">
        <f t="shared" si="49"/>
        <v>x</v>
      </c>
      <c r="W230" s="205" t="str">
        <f t="shared" si="49"/>
        <v/>
      </c>
      <c r="X230" s="205" t="str">
        <f t="shared" si="49"/>
        <v/>
      </c>
      <c r="Y230" s="205" t="str">
        <f t="shared" si="49"/>
        <v>gs_sill_nosing</v>
      </c>
    </row>
    <row r="231" spans="1:25">
      <c r="A231" s="204">
        <f t="shared" si="43"/>
        <v>229</v>
      </c>
      <c r="B231" s="205" t="str">
        <f t="shared" si="48"/>
        <v>x</v>
      </c>
      <c r="C231" s="205" t="str">
        <f t="shared" si="48"/>
        <v/>
      </c>
      <c r="D231" s="205" t="str">
        <f t="shared" si="48"/>
        <v/>
      </c>
      <c r="E231" s="205" t="str">
        <f t="shared" si="48"/>
        <v/>
      </c>
      <c r="F231" s="205" t="str">
        <f t="shared" si="48"/>
        <v/>
      </c>
      <c r="G231" s="205" t="str">
        <f t="shared" si="48"/>
        <v/>
      </c>
      <c r="H231" s="205" t="str">
        <f t="shared" si="48"/>
        <v/>
      </c>
      <c r="I231" s="205" t="str">
        <f t="shared" si="48"/>
        <v/>
      </c>
      <c r="J231" s="205" t="str">
        <f t="shared" si="48"/>
        <v/>
      </c>
      <c r="K231" s="205" t="str">
        <f t="shared" si="48"/>
        <v/>
      </c>
      <c r="L231" s="205" t="str">
        <f t="shared" si="49"/>
        <v>info</v>
      </c>
      <c r="M231" s="205" t="str">
        <f t="shared" si="49"/>
        <v>x</v>
      </c>
      <c r="N231" s="205" t="str">
        <f t="shared" si="49"/>
        <v/>
      </c>
      <c r="O231" s="205" t="str">
        <f t="shared" si="49"/>
        <v>model</v>
      </c>
      <c r="P231" s="206" t="str">
        <f t="shared" si="49"/>
        <v>Angle</v>
      </c>
      <c r="Q231" s="206" t="str">
        <f t="shared" si="49"/>
        <v>x</v>
      </c>
      <c r="R231" s="206" t="str">
        <f t="shared" si="49"/>
        <v>BS</v>
      </c>
      <c r="S231" s="206" t="str">
        <f t="shared" si="49"/>
        <v>all</v>
      </c>
      <c r="T231" s="205">
        <f t="shared" si="49"/>
        <v>3</v>
      </c>
      <c r="U231" s="205" t="str">
        <f t="shared" si="49"/>
        <v>Schwelle Winkel</v>
      </c>
      <c r="V231" s="205" t="str">
        <f t="shared" si="49"/>
        <v>x</v>
      </c>
      <c r="W231" s="205" t="str">
        <f t="shared" si="49"/>
        <v/>
      </c>
      <c r="X231" s="205" t="str">
        <f t="shared" si="49"/>
        <v/>
      </c>
      <c r="Y231" s="205" t="str">
        <f t="shared" si="49"/>
        <v>gs_sill_angle</v>
      </c>
    </row>
    <row r="232" spans="1:25">
      <c r="A232" s="204">
        <f t="shared" si="43"/>
        <v>230</v>
      </c>
      <c r="B232" s="205" t="str">
        <f t="shared" si="48"/>
        <v>x</v>
      </c>
      <c r="C232" s="205" t="str">
        <f t="shared" si="48"/>
        <v/>
      </c>
      <c r="D232" s="205" t="str">
        <f t="shared" si="48"/>
        <v/>
      </c>
      <c r="E232" s="205" t="str">
        <f t="shared" si="48"/>
        <v/>
      </c>
      <c r="F232" s="205" t="str">
        <f t="shared" si="48"/>
        <v/>
      </c>
      <c r="G232" s="205" t="str">
        <f t="shared" si="48"/>
        <v/>
      </c>
      <c r="H232" s="205" t="str">
        <f t="shared" si="48"/>
        <v/>
      </c>
      <c r="I232" s="205" t="str">
        <f t="shared" si="48"/>
        <v/>
      </c>
      <c r="J232" s="205" t="str">
        <f t="shared" si="48"/>
        <v/>
      </c>
      <c r="K232" s="205" t="str">
        <f t="shared" si="48"/>
        <v/>
      </c>
      <c r="L232" s="205" t="str">
        <f t="shared" si="49"/>
        <v>info</v>
      </c>
      <c r="M232" s="205" t="str">
        <f t="shared" si="49"/>
        <v>x</v>
      </c>
      <c r="N232" s="205" t="str">
        <f t="shared" si="49"/>
        <v/>
      </c>
      <c r="O232" s="205" t="str">
        <f t="shared" si="49"/>
        <v>model</v>
      </c>
      <c r="P232" s="206" t="str">
        <f t="shared" si="49"/>
        <v>Length</v>
      </c>
      <c r="Q232" s="206" t="str">
        <f t="shared" si="49"/>
        <v>x</v>
      </c>
      <c r="R232" s="206" t="str">
        <f t="shared" si="49"/>
        <v>BS</v>
      </c>
      <c r="S232" s="206" t="str">
        <f t="shared" si="49"/>
        <v>all</v>
      </c>
      <c r="T232" s="205" t="str">
        <f t="shared" si="49"/>
        <v/>
      </c>
      <c r="U232" s="205" t="str">
        <f t="shared" si="49"/>
        <v>Fensterbank Überhang links</v>
      </c>
      <c r="V232" s="205" t="str">
        <f t="shared" si="49"/>
        <v>x</v>
      </c>
      <c r="W232" s="205" t="str">
        <f t="shared" si="49"/>
        <v/>
      </c>
      <c r="X232" s="205" t="str">
        <f t="shared" si="49"/>
        <v/>
      </c>
      <c r="Y232" s="205" t="str">
        <f t="shared" si="49"/>
        <v>gs_sill_ovhg_left</v>
      </c>
    </row>
    <row r="233" spans="1:25">
      <c r="A233" s="204">
        <f t="shared" si="43"/>
        <v>231</v>
      </c>
      <c r="B233" s="205" t="str">
        <f t="shared" ref="B233:K242" si="50">IF(ISNONTEXT(B$2),IF(B$2="","",IF(INDEX(IMPORT,$A233,B$2)=0,"",IFERROR(VLOOKUP(INDEX(IMPORT,$A233,B$2),ImportTranslation,2,0),INDEX(IMPORT,$A233,B$2)))),B$2)</f>
        <v>x</v>
      </c>
      <c r="C233" s="205" t="str">
        <f t="shared" si="50"/>
        <v/>
      </c>
      <c r="D233" s="205" t="str">
        <f t="shared" si="50"/>
        <v/>
      </c>
      <c r="E233" s="205" t="str">
        <f t="shared" si="50"/>
        <v/>
      </c>
      <c r="F233" s="205" t="str">
        <f t="shared" si="50"/>
        <v/>
      </c>
      <c r="G233" s="205" t="str">
        <f t="shared" si="50"/>
        <v/>
      </c>
      <c r="H233" s="205" t="str">
        <f t="shared" si="50"/>
        <v/>
      </c>
      <c r="I233" s="205" t="str">
        <f t="shared" si="50"/>
        <v/>
      </c>
      <c r="J233" s="205" t="str">
        <f t="shared" si="50"/>
        <v/>
      </c>
      <c r="K233" s="205" t="str">
        <f t="shared" si="50"/>
        <v/>
      </c>
      <c r="L233" s="205" t="str">
        <f t="shared" ref="L233:Y242" si="51">IF(ISNONTEXT(L$2),IF(L$2="","",IF(INDEX(IMPORT,$A233,L$2)=0,"",IFERROR(VLOOKUP(INDEX(IMPORT,$A233,L$2),ImportTranslation,2,0),INDEX(IMPORT,$A233,L$2)))),L$2)</f>
        <v>info</v>
      </c>
      <c r="M233" s="205" t="str">
        <f t="shared" si="51"/>
        <v>x</v>
      </c>
      <c r="N233" s="205" t="str">
        <f t="shared" si="51"/>
        <v/>
      </c>
      <c r="O233" s="205" t="str">
        <f t="shared" si="51"/>
        <v>model</v>
      </c>
      <c r="P233" s="206" t="str">
        <f t="shared" si="51"/>
        <v>Length</v>
      </c>
      <c r="Q233" s="206" t="str">
        <f t="shared" si="51"/>
        <v>x</v>
      </c>
      <c r="R233" s="206" t="str">
        <f t="shared" si="51"/>
        <v>BS</v>
      </c>
      <c r="S233" s="206" t="str">
        <f t="shared" si="51"/>
        <v>all</v>
      </c>
      <c r="T233" s="205" t="str">
        <f t="shared" si="51"/>
        <v/>
      </c>
      <c r="U233" s="205" t="str">
        <f t="shared" si="51"/>
        <v>Fensterbank Überhang rechts</v>
      </c>
      <c r="V233" s="205" t="str">
        <f t="shared" si="51"/>
        <v>x</v>
      </c>
      <c r="W233" s="205" t="str">
        <f t="shared" si="51"/>
        <v/>
      </c>
      <c r="X233" s="205" t="str">
        <f t="shared" si="51"/>
        <v/>
      </c>
      <c r="Y233" s="205" t="str">
        <f t="shared" si="51"/>
        <v>gs_sill_ovhg_right</v>
      </c>
    </row>
    <row r="234" spans="1:25">
      <c r="A234" s="204">
        <f t="shared" si="43"/>
        <v>232</v>
      </c>
      <c r="B234" s="205" t="str">
        <f t="shared" si="50"/>
        <v>x</v>
      </c>
      <c r="C234" s="205" t="str">
        <f t="shared" si="50"/>
        <v/>
      </c>
      <c r="D234" s="205" t="str">
        <f t="shared" si="50"/>
        <v/>
      </c>
      <c r="E234" s="205" t="str">
        <f t="shared" si="50"/>
        <v/>
      </c>
      <c r="F234" s="205" t="str">
        <f t="shared" si="50"/>
        <v/>
      </c>
      <c r="G234" s="205" t="str">
        <f t="shared" si="50"/>
        <v/>
      </c>
      <c r="H234" s="205" t="str">
        <f t="shared" si="50"/>
        <v/>
      </c>
      <c r="I234" s="205" t="str">
        <f t="shared" si="50"/>
        <v/>
      </c>
      <c r="J234" s="205" t="str">
        <f t="shared" si="50"/>
        <v/>
      </c>
      <c r="K234" s="205" t="str">
        <f t="shared" si="50"/>
        <v/>
      </c>
      <c r="L234" s="205" t="str">
        <f t="shared" si="51"/>
        <v>info</v>
      </c>
      <c r="M234" s="205" t="str">
        <f t="shared" si="51"/>
        <v>x</v>
      </c>
      <c r="N234" s="205" t="str">
        <f t="shared" si="51"/>
        <v/>
      </c>
      <c r="O234" s="205" t="str">
        <f t="shared" si="51"/>
        <v>model</v>
      </c>
      <c r="P234" s="206" t="str">
        <f t="shared" si="51"/>
        <v>Length</v>
      </c>
      <c r="Q234" s="206" t="str">
        <f t="shared" si="51"/>
        <v>x</v>
      </c>
      <c r="R234" s="206" t="str">
        <f t="shared" si="51"/>
        <v>BS</v>
      </c>
      <c r="S234" s="206" t="str">
        <f t="shared" si="51"/>
        <v>all</v>
      </c>
      <c r="T234" s="205">
        <f t="shared" si="51"/>
        <v>0.02</v>
      </c>
      <c r="U234" s="205" t="str">
        <f t="shared" si="51"/>
        <v>Fensterbank Einschub Tiefe</v>
      </c>
      <c r="V234" s="205" t="str">
        <f t="shared" si="51"/>
        <v>x</v>
      </c>
      <c r="W234" s="205" t="str">
        <f t="shared" si="51"/>
        <v/>
      </c>
      <c r="X234" s="205" t="str">
        <f t="shared" si="51"/>
        <v/>
      </c>
      <c r="Y234" s="205" t="str">
        <f t="shared" si="51"/>
        <v>gs_sill_slip_in</v>
      </c>
    </row>
    <row r="235" spans="1:25">
      <c r="A235" s="204">
        <f t="shared" si="43"/>
        <v>233</v>
      </c>
      <c r="B235" s="205" t="str">
        <f t="shared" si="50"/>
        <v>x</v>
      </c>
      <c r="C235" s="205" t="str">
        <f t="shared" si="50"/>
        <v/>
      </c>
      <c r="D235" s="205" t="str">
        <f t="shared" si="50"/>
        <v/>
      </c>
      <c r="E235" s="205" t="str">
        <f t="shared" si="50"/>
        <v/>
      </c>
      <c r="F235" s="205" t="str">
        <f t="shared" si="50"/>
        <v/>
      </c>
      <c r="G235" s="205" t="str">
        <f t="shared" si="50"/>
        <v/>
      </c>
      <c r="H235" s="205" t="str">
        <f t="shared" si="50"/>
        <v/>
      </c>
      <c r="I235" s="205" t="str">
        <f t="shared" si="50"/>
        <v/>
      </c>
      <c r="J235" s="205" t="str">
        <f t="shared" si="50"/>
        <v/>
      </c>
      <c r="K235" s="205" t="str">
        <f t="shared" si="50"/>
        <v/>
      </c>
      <c r="L235" s="205" t="str">
        <f t="shared" si="51"/>
        <v>info</v>
      </c>
      <c r="M235" s="205" t="str">
        <f t="shared" si="51"/>
        <v>x</v>
      </c>
      <c r="N235" s="205" t="str">
        <f t="shared" si="51"/>
        <v/>
      </c>
      <c r="O235" s="205" t="str">
        <f t="shared" si="51"/>
        <v>model</v>
      </c>
      <c r="P235" s="206" t="str">
        <f t="shared" si="51"/>
        <v>Length</v>
      </c>
      <c r="Q235" s="206" t="str">
        <f t="shared" si="51"/>
        <v>x</v>
      </c>
      <c r="R235" s="206" t="str">
        <f t="shared" si="51"/>
        <v>BS</v>
      </c>
      <c r="S235" s="206" t="str">
        <f t="shared" si="51"/>
        <v>all</v>
      </c>
      <c r="T235" s="205" t="str">
        <f t="shared" si="51"/>
        <v/>
      </c>
      <c r="U235" s="205" t="str">
        <f t="shared" si="51"/>
        <v>Fensterbank Einschub von Wand</v>
      </c>
      <c r="V235" s="205" t="str">
        <f t="shared" si="51"/>
        <v>x</v>
      </c>
      <c r="W235" s="205" t="str">
        <f t="shared" si="51"/>
        <v/>
      </c>
      <c r="X235" s="205" t="str">
        <f t="shared" si="51"/>
        <v/>
      </c>
      <c r="Y235" s="205" t="str">
        <f t="shared" si="51"/>
        <v>gs_sill_slip_wall</v>
      </c>
    </row>
    <row r="236" spans="1:25">
      <c r="A236" s="204">
        <f t="shared" si="43"/>
        <v>234</v>
      </c>
      <c r="B236" s="205" t="str">
        <f t="shared" si="50"/>
        <v>x</v>
      </c>
      <c r="C236" s="205" t="str">
        <f t="shared" si="50"/>
        <v/>
      </c>
      <c r="D236" s="205" t="str">
        <f t="shared" si="50"/>
        <v/>
      </c>
      <c r="E236" s="205" t="str">
        <f t="shared" si="50"/>
        <v/>
      </c>
      <c r="F236" s="205" t="str">
        <f t="shared" si="50"/>
        <v/>
      </c>
      <c r="G236" s="205" t="str">
        <f t="shared" si="50"/>
        <v/>
      </c>
      <c r="H236" s="205" t="str">
        <f t="shared" si="50"/>
        <v/>
      </c>
      <c r="I236" s="205" t="str">
        <f t="shared" si="50"/>
        <v/>
      </c>
      <c r="J236" s="205" t="str">
        <f t="shared" si="50"/>
        <v/>
      </c>
      <c r="K236" s="205" t="str">
        <f t="shared" si="50"/>
        <v/>
      </c>
      <c r="L236" s="205" t="str">
        <f t="shared" si="51"/>
        <v>info</v>
      </c>
      <c r="M236" s="205" t="str">
        <f t="shared" si="51"/>
        <v>x</v>
      </c>
      <c r="N236" s="205" t="str">
        <f t="shared" si="51"/>
        <v/>
      </c>
      <c r="O236" s="205" t="str">
        <f t="shared" si="51"/>
        <v>model</v>
      </c>
      <c r="P236" s="206" t="str">
        <f t="shared" si="51"/>
        <v>Length</v>
      </c>
      <c r="Q236" s="206" t="str">
        <f t="shared" si="51"/>
        <v>x</v>
      </c>
      <c r="R236" s="206" t="str">
        <f t="shared" si="51"/>
        <v>BS</v>
      </c>
      <c r="S236" s="206" t="str">
        <f t="shared" si="51"/>
        <v>all</v>
      </c>
      <c r="T236" s="205" t="str">
        <f t="shared" si="51"/>
        <v/>
      </c>
      <c r="U236" s="205" t="str">
        <f t="shared" si="51"/>
        <v>Hintere Lochtiefe</v>
      </c>
      <c r="V236" s="205" t="str">
        <f t="shared" si="51"/>
        <v>x</v>
      </c>
      <c r="W236" s="205" t="str">
        <f t="shared" si="51"/>
        <v/>
      </c>
      <c r="X236" s="205" t="str">
        <f t="shared" si="51"/>
        <v/>
      </c>
      <c r="Y236" s="205" t="str">
        <f t="shared" si="51"/>
        <v>gs_sill_holeDepthBehind</v>
      </c>
    </row>
    <row r="237" spans="1:25">
      <c r="A237" s="204">
        <f t="shared" si="43"/>
        <v>235</v>
      </c>
      <c r="B237" s="205" t="str">
        <f t="shared" si="50"/>
        <v>x</v>
      </c>
      <c r="C237" s="205" t="str">
        <f t="shared" si="50"/>
        <v/>
      </c>
      <c r="D237" s="205" t="str">
        <f t="shared" si="50"/>
        <v/>
      </c>
      <c r="E237" s="205" t="str">
        <f t="shared" si="50"/>
        <v/>
      </c>
      <c r="F237" s="205" t="str">
        <f t="shared" si="50"/>
        <v/>
      </c>
      <c r="G237" s="205" t="str">
        <f t="shared" si="50"/>
        <v/>
      </c>
      <c r="H237" s="205" t="str">
        <f t="shared" si="50"/>
        <v/>
      </c>
      <c r="I237" s="205" t="str">
        <f t="shared" si="50"/>
        <v/>
      </c>
      <c r="J237" s="205" t="str">
        <f t="shared" si="50"/>
        <v/>
      </c>
      <c r="K237" s="205" t="str">
        <f t="shared" si="50"/>
        <v/>
      </c>
      <c r="L237" s="205" t="str">
        <f t="shared" si="51"/>
        <v>info</v>
      </c>
      <c r="M237" s="205" t="str">
        <f t="shared" si="51"/>
        <v>x</v>
      </c>
      <c r="N237" s="205" t="str">
        <f t="shared" si="51"/>
        <v/>
      </c>
      <c r="O237" s="205" t="str">
        <f t="shared" si="51"/>
        <v>model</v>
      </c>
      <c r="P237" s="206" t="str">
        <f t="shared" si="51"/>
        <v>Boolean</v>
      </c>
      <c r="Q237" s="206" t="str">
        <f t="shared" si="51"/>
        <v>x</v>
      </c>
      <c r="R237" s="206" t="str">
        <f t="shared" si="51"/>
        <v>BS</v>
      </c>
      <c r="S237" s="206" t="str">
        <f t="shared" si="51"/>
        <v>all</v>
      </c>
      <c r="T237" s="205">
        <f t="shared" si="51"/>
        <v>1</v>
      </c>
      <c r="U237" s="205" t="str">
        <f t="shared" si="51"/>
        <v>Fensterbank ist gebogen in gebogenen Wänden</v>
      </c>
      <c r="V237" s="205" t="str">
        <f t="shared" si="51"/>
        <v>x</v>
      </c>
      <c r="W237" s="205" t="str">
        <f t="shared" si="51"/>
        <v/>
      </c>
      <c r="X237" s="205" t="str">
        <f t="shared" si="51"/>
        <v/>
      </c>
      <c r="Y237" s="205" t="str">
        <f t="shared" si="51"/>
        <v>gs_sill_curved</v>
      </c>
    </row>
    <row r="238" spans="1:25">
      <c r="A238" s="204">
        <f t="shared" si="43"/>
        <v>236</v>
      </c>
      <c r="B238" s="205" t="str">
        <f t="shared" si="50"/>
        <v>x</v>
      </c>
      <c r="C238" s="205" t="str">
        <f t="shared" si="50"/>
        <v/>
      </c>
      <c r="D238" s="205" t="str">
        <f t="shared" si="50"/>
        <v/>
      </c>
      <c r="E238" s="205" t="str">
        <f t="shared" si="50"/>
        <v/>
      </c>
      <c r="F238" s="205" t="str">
        <f t="shared" si="50"/>
        <v/>
      </c>
      <c r="G238" s="205" t="str">
        <f t="shared" si="50"/>
        <v/>
      </c>
      <c r="H238" s="205" t="str">
        <f t="shared" si="50"/>
        <v/>
      </c>
      <c r="I238" s="205" t="str">
        <f t="shared" si="50"/>
        <v/>
      </c>
      <c r="J238" s="205" t="str">
        <f t="shared" si="50"/>
        <v/>
      </c>
      <c r="K238" s="205" t="str">
        <f t="shared" si="50"/>
        <v/>
      </c>
      <c r="L238" s="205" t="str">
        <f t="shared" si="51"/>
        <v>info</v>
      </c>
      <c r="M238" s="205" t="str">
        <f t="shared" si="51"/>
        <v>x</v>
      </c>
      <c r="N238" s="205" t="str">
        <f t="shared" si="51"/>
        <v/>
      </c>
      <c r="O238" s="205" t="str">
        <f t="shared" si="51"/>
        <v>model</v>
      </c>
      <c r="P238" s="206" t="str">
        <f t="shared" si="51"/>
        <v>Boolean</v>
      </c>
      <c r="Q238" s="206" t="str">
        <f t="shared" si="51"/>
        <v>x</v>
      </c>
      <c r="R238" s="206" t="str">
        <f t="shared" si="51"/>
        <v>BS</v>
      </c>
      <c r="S238" s="206" t="str">
        <f t="shared" si="51"/>
        <v>all</v>
      </c>
      <c r="T238" s="205">
        <f t="shared" si="51"/>
        <v>1</v>
      </c>
      <c r="U238" s="205" t="str">
        <f t="shared" si="51"/>
        <v>Dämmung unter Fensterbank</v>
      </c>
      <c r="V238" s="205" t="str">
        <f t="shared" si="51"/>
        <v>x</v>
      </c>
      <c r="W238" s="205" t="str">
        <f t="shared" si="51"/>
        <v/>
      </c>
      <c r="X238" s="205" t="str">
        <f t="shared" si="51"/>
        <v/>
      </c>
      <c r="Y238" s="205" t="str">
        <f t="shared" si="51"/>
        <v>gs_sill_ins_below</v>
      </c>
    </row>
    <row r="239" spans="1:25">
      <c r="A239" s="204">
        <f t="shared" si="43"/>
        <v>237</v>
      </c>
      <c r="B239" s="205" t="str">
        <f t="shared" si="50"/>
        <v>x</v>
      </c>
      <c r="C239" s="205" t="str">
        <f t="shared" si="50"/>
        <v/>
      </c>
      <c r="D239" s="205" t="str">
        <f t="shared" si="50"/>
        <v/>
      </c>
      <c r="E239" s="205" t="str">
        <f t="shared" si="50"/>
        <v/>
      </c>
      <c r="F239" s="205" t="str">
        <f t="shared" si="50"/>
        <v/>
      </c>
      <c r="G239" s="205" t="str">
        <f t="shared" si="50"/>
        <v/>
      </c>
      <c r="H239" s="205" t="str">
        <f t="shared" si="50"/>
        <v/>
      </c>
      <c r="I239" s="205" t="str">
        <f t="shared" si="50"/>
        <v/>
      </c>
      <c r="J239" s="205" t="str">
        <f t="shared" si="50"/>
        <v/>
      </c>
      <c r="K239" s="205" t="str">
        <f t="shared" si="50"/>
        <v/>
      </c>
      <c r="L239" s="205" t="str">
        <f t="shared" si="51"/>
        <v>info</v>
      </c>
      <c r="M239" s="205" t="str">
        <f t="shared" si="51"/>
        <v>x</v>
      </c>
      <c r="N239" s="205" t="str">
        <f t="shared" si="51"/>
        <v/>
      </c>
      <c r="O239" s="205" t="str">
        <f t="shared" si="51"/>
        <v>model</v>
      </c>
      <c r="P239" s="206" t="str">
        <f t="shared" si="51"/>
        <v>Boolean</v>
      </c>
      <c r="Q239" s="206" t="str">
        <f t="shared" si="51"/>
        <v>x</v>
      </c>
      <c r="R239" s="206" t="str">
        <f t="shared" si="51"/>
        <v>BS</v>
      </c>
      <c r="S239" s="206" t="str">
        <f t="shared" si="51"/>
        <v>all</v>
      </c>
      <c r="T239" s="205" t="str">
        <f t="shared" si="51"/>
        <v/>
      </c>
      <c r="U239" s="205" t="str">
        <f t="shared" si="51"/>
        <v>Wand-Dämmschicht benutzen</v>
      </c>
      <c r="V239" s="205" t="str">
        <f t="shared" si="51"/>
        <v>x</v>
      </c>
      <c r="W239" s="205" t="str">
        <f t="shared" si="51"/>
        <v/>
      </c>
      <c r="X239" s="205" t="str">
        <f t="shared" si="51"/>
        <v/>
      </c>
      <c r="Y239" s="205" t="str">
        <f t="shared" si="51"/>
        <v>gs_sill_ins_use_wall_skin</v>
      </c>
    </row>
    <row r="240" spans="1:25">
      <c r="A240" s="204">
        <f t="shared" si="43"/>
        <v>238</v>
      </c>
      <c r="B240" s="205" t="str">
        <f t="shared" si="50"/>
        <v>x</v>
      </c>
      <c r="C240" s="205" t="str">
        <f t="shared" si="50"/>
        <v/>
      </c>
      <c r="D240" s="205" t="str">
        <f t="shared" si="50"/>
        <v/>
      </c>
      <c r="E240" s="205" t="str">
        <f t="shared" si="50"/>
        <v/>
      </c>
      <c r="F240" s="205" t="str">
        <f t="shared" si="50"/>
        <v/>
      </c>
      <c r="G240" s="205" t="str">
        <f t="shared" si="50"/>
        <v/>
      </c>
      <c r="H240" s="205" t="str">
        <f t="shared" si="50"/>
        <v/>
      </c>
      <c r="I240" s="205" t="str">
        <f t="shared" si="50"/>
        <v/>
      </c>
      <c r="J240" s="205" t="str">
        <f t="shared" si="50"/>
        <v/>
      </c>
      <c r="K240" s="205" t="str">
        <f t="shared" si="50"/>
        <v/>
      </c>
      <c r="L240" s="205" t="str">
        <f t="shared" si="51"/>
        <v>info</v>
      </c>
      <c r="M240" s="205" t="str">
        <f t="shared" si="51"/>
        <v>x</v>
      </c>
      <c r="N240" s="205" t="str">
        <f t="shared" si="51"/>
        <v/>
      </c>
      <c r="O240" s="205" t="str">
        <f t="shared" si="51"/>
        <v>model</v>
      </c>
      <c r="P240" s="206" t="str">
        <f t="shared" si="51"/>
        <v>Integer</v>
      </c>
      <c r="Q240" s="206" t="str">
        <f t="shared" si="51"/>
        <v>x</v>
      </c>
      <c r="R240" s="206" t="str">
        <f t="shared" si="51"/>
        <v>BS</v>
      </c>
      <c r="S240" s="206" t="str">
        <f t="shared" si="51"/>
        <v>all</v>
      </c>
      <c r="T240" s="205">
        <f t="shared" si="51"/>
        <v>1</v>
      </c>
      <c r="U240" s="205" t="str">
        <f t="shared" si="51"/>
        <v>Rollschicht 3D Detaillierungsgrad</v>
      </c>
      <c r="V240" s="205" t="str">
        <f t="shared" si="51"/>
        <v>x</v>
      </c>
      <c r="W240" s="205" t="str">
        <f t="shared" si="51"/>
        <v/>
      </c>
      <c r="X240" s="205" t="str">
        <f t="shared" si="51"/>
        <v/>
      </c>
      <c r="Y240" s="205" t="str">
        <f t="shared" si="51"/>
        <v>iBrickSilldetlevel</v>
      </c>
    </row>
    <row r="241" spans="1:25">
      <c r="A241" s="204">
        <f t="shared" si="43"/>
        <v>239</v>
      </c>
      <c r="B241" s="205" t="str">
        <f t="shared" si="50"/>
        <v>x</v>
      </c>
      <c r="C241" s="205" t="str">
        <f t="shared" si="50"/>
        <v/>
      </c>
      <c r="D241" s="205" t="str">
        <f t="shared" si="50"/>
        <v/>
      </c>
      <c r="E241" s="205" t="str">
        <f t="shared" si="50"/>
        <v/>
      </c>
      <c r="F241" s="205" t="str">
        <f t="shared" si="50"/>
        <v/>
      </c>
      <c r="G241" s="205" t="str">
        <f t="shared" si="50"/>
        <v/>
      </c>
      <c r="H241" s="205" t="str">
        <f t="shared" si="50"/>
        <v/>
      </c>
      <c r="I241" s="205" t="str">
        <f t="shared" si="50"/>
        <v/>
      </c>
      <c r="J241" s="205" t="str">
        <f t="shared" si="50"/>
        <v/>
      </c>
      <c r="K241" s="205" t="str">
        <f t="shared" si="50"/>
        <v/>
      </c>
      <c r="L241" s="205" t="str">
        <f t="shared" si="51"/>
        <v>info</v>
      </c>
      <c r="M241" s="205" t="str">
        <f t="shared" si="51"/>
        <v>x</v>
      </c>
      <c r="N241" s="205" t="str">
        <f t="shared" si="51"/>
        <v/>
      </c>
      <c r="O241" s="205" t="str">
        <f t="shared" si="51"/>
        <v>model</v>
      </c>
      <c r="P241" s="206" t="str">
        <f t="shared" si="51"/>
        <v>Length</v>
      </c>
      <c r="Q241" s="206" t="str">
        <f t="shared" si="51"/>
        <v>x</v>
      </c>
      <c r="R241" s="206" t="str">
        <f t="shared" si="51"/>
        <v>BS</v>
      </c>
      <c r="S241" s="206" t="str">
        <f t="shared" si="51"/>
        <v>all</v>
      </c>
      <c r="T241" s="205">
        <f t="shared" si="51"/>
        <v>6.5000000000000002E-2</v>
      </c>
      <c r="U241" s="205" t="str">
        <f t="shared" si="51"/>
        <v>Steinbreite</v>
      </c>
      <c r="V241" s="205" t="str">
        <f t="shared" si="51"/>
        <v>x</v>
      </c>
      <c r="W241" s="205" t="str">
        <f t="shared" si="51"/>
        <v/>
      </c>
      <c r="X241" s="205" t="str">
        <f t="shared" si="51"/>
        <v/>
      </c>
      <c r="Y241" s="205" t="str">
        <f t="shared" si="51"/>
        <v>gs_brick_sill_br_thk</v>
      </c>
    </row>
    <row r="242" spans="1:25">
      <c r="A242" s="204">
        <f t="shared" si="43"/>
        <v>240</v>
      </c>
      <c r="B242" s="205" t="str">
        <f t="shared" si="50"/>
        <v>x</v>
      </c>
      <c r="C242" s="205" t="str">
        <f t="shared" si="50"/>
        <v/>
      </c>
      <c r="D242" s="205" t="str">
        <f t="shared" si="50"/>
        <v/>
      </c>
      <c r="E242" s="205" t="str">
        <f t="shared" si="50"/>
        <v/>
      </c>
      <c r="F242" s="205" t="str">
        <f t="shared" si="50"/>
        <v/>
      </c>
      <c r="G242" s="205" t="str">
        <f t="shared" si="50"/>
        <v/>
      </c>
      <c r="H242" s="205" t="str">
        <f t="shared" si="50"/>
        <v/>
      </c>
      <c r="I242" s="205" t="str">
        <f t="shared" si="50"/>
        <v/>
      </c>
      <c r="J242" s="205" t="str">
        <f t="shared" si="50"/>
        <v/>
      </c>
      <c r="K242" s="205" t="str">
        <f t="shared" si="50"/>
        <v/>
      </c>
      <c r="L242" s="205" t="str">
        <f t="shared" si="51"/>
        <v>info</v>
      </c>
      <c r="M242" s="205" t="str">
        <f t="shared" si="51"/>
        <v>x</v>
      </c>
      <c r="N242" s="205" t="str">
        <f t="shared" si="51"/>
        <v/>
      </c>
      <c r="O242" s="205" t="str">
        <f t="shared" si="51"/>
        <v>model</v>
      </c>
      <c r="P242" s="206" t="str">
        <f t="shared" si="51"/>
        <v>Length</v>
      </c>
      <c r="Q242" s="206" t="str">
        <f t="shared" si="51"/>
        <v>x</v>
      </c>
      <c r="R242" s="206" t="str">
        <f t="shared" si="51"/>
        <v>BS</v>
      </c>
      <c r="S242" s="206" t="str">
        <f t="shared" si="51"/>
        <v>all</v>
      </c>
      <c r="T242" s="205">
        <f t="shared" si="51"/>
        <v>1.4999999999999999E-2</v>
      </c>
      <c r="U242" s="205" t="str">
        <f t="shared" si="51"/>
        <v>Fugenbreite</v>
      </c>
      <c r="V242" s="205" t="str">
        <f t="shared" si="51"/>
        <v>x</v>
      </c>
      <c r="W242" s="205" t="str">
        <f t="shared" si="51"/>
        <v/>
      </c>
      <c r="X242" s="205" t="str">
        <f t="shared" si="51"/>
        <v/>
      </c>
      <c r="Y242" s="205" t="str">
        <f t="shared" si="51"/>
        <v>gs_brick_sill_mort_thk</v>
      </c>
    </row>
    <row r="243" spans="1:25">
      <c r="A243" s="204">
        <f t="shared" si="43"/>
        <v>241</v>
      </c>
      <c r="B243" s="205" t="str">
        <f t="shared" ref="B243:K252" si="52">IF(ISNONTEXT(B$2),IF(B$2="","",IF(INDEX(IMPORT,$A243,B$2)=0,"",IFERROR(VLOOKUP(INDEX(IMPORT,$A243,B$2),ImportTranslation,2,0),INDEX(IMPORT,$A243,B$2)))),B$2)</f>
        <v>x</v>
      </c>
      <c r="C243" s="205" t="str">
        <f t="shared" si="52"/>
        <v/>
      </c>
      <c r="D243" s="205" t="str">
        <f t="shared" si="52"/>
        <v/>
      </c>
      <c r="E243" s="205" t="str">
        <f t="shared" si="52"/>
        <v/>
      </c>
      <c r="F243" s="205" t="str">
        <f t="shared" si="52"/>
        <v/>
      </c>
      <c r="G243" s="205" t="str">
        <f t="shared" si="52"/>
        <v/>
      </c>
      <c r="H243" s="205" t="str">
        <f t="shared" si="52"/>
        <v/>
      </c>
      <c r="I243" s="205" t="str">
        <f t="shared" si="52"/>
        <v/>
      </c>
      <c r="J243" s="205" t="str">
        <f t="shared" si="52"/>
        <v/>
      </c>
      <c r="K243" s="205" t="str">
        <f t="shared" si="52"/>
        <v/>
      </c>
      <c r="L243" s="205" t="str">
        <f t="shared" ref="L243:Y252" si="53">IF(ISNONTEXT(L$2),IF(L$2="","",IF(INDEX(IMPORT,$A243,L$2)=0,"",IFERROR(VLOOKUP(INDEX(IMPORT,$A243,L$2),ImportTranslation,2,0),INDEX(IMPORT,$A243,L$2)))),L$2)</f>
        <v>info</v>
      </c>
      <c r="M243" s="205" t="str">
        <f t="shared" si="53"/>
        <v>x</v>
      </c>
      <c r="N243" s="205" t="str">
        <f t="shared" si="53"/>
        <v/>
      </c>
      <c r="O243" s="205" t="str">
        <f t="shared" si="53"/>
        <v>model</v>
      </c>
      <c r="P243" s="206" t="str">
        <f t="shared" si="53"/>
        <v>PenColor</v>
      </c>
      <c r="Q243" s="206" t="str">
        <f t="shared" si="53"/>
        <v>x</v>
      </c>
      <c r="R243" s="206" t="str">
        <f t="shared" si="53"/>
        <v>BS</v>
      </c>
      <c r="S243" s="206" t="str">
        <f t="shared" si="53"/>
        <v>all</v>
      </c>
      <c r="T243" s="205">
        <f t="shared" si="53"/>
        <v>1</v>
      </c>
      <c r="U243" s="205" t="str">
        <f t="shared" si="53"/>
        <v>Fensterbank Stift für 3D und Aufsicht</v>
      </c>
      <c r="V243" s="205" t="str">
        <f t="shared" si="53"/>
        <v>x</v>
      </c>
      <c r="W243" s="205" t="str">
        <f t="shared" si="53"/>
        <v/>
      </c>
      <c r="X243" s="205" t="str">
        <f t="shared" si="53"/>
        <v/>
      </c>
      <c r="Y243" s="205" t="str">
        <f t="shared" si="53"/>
        <v>gs_sill_pen_3D</v>
      </c>
    </row>
    <row r="244" spans="1:25">
      <c r="A244" s="204">
        <f t="shared" si="43"/>
        <v>242</v>
      </c>
      <c r="B244" s="205" t="str">
        <f t="shared" si="52"/>
        <v>x</v>
      </c>
      <c r="C244" s="205" t="str">
        <f t="shared" si="52"/>
        <v/>
      </c>
      <c r="D244" s="205" t="str">
        <f t="shared" si="52"/>
        <v/>
      </c>
      <c r="E244" s="205" t="str">
        <f t="shared" si="52"/>
        <v/>
      </c>
      <c r="F244" s="205" t="str">
        <f t="shared" si="52"/>
        <v/>
      </c>
      <c r="G244" s="205" t="str">
        <f t="shared" si="52"/>
        <v/>
      </c>
      <c r="H244" s="205" t="str">
        <f t="shared" si="52"/>
        <v/>
      </c>
      <c r="I244" s="205" t="str">
        <f t="shared" si="52"/>
        <v/>
      </c>
      <c r="J244" s="205" t="str">
        <f t="shared" si="52"/>
        <v/>
      </c>
      <c r="K244" s="205" t="str">
        <f t="shared" si="52"/>
        <v/>
      </c>
      <c r="L244" s="205" t="str">
        <f t="shared" si="53"/>
        <v>info</v>
      </c>
      <c r="M244" s="205" t="str">
        <f t="shared" si="53"/>
        <v>x</v>
      </c>
      <c r="N244" s="205" t="str">
        <f t="shared" si="53"/>
        <v/>
      </c>
      <c r="O244" s="205" t="str">
        <f t="shared" si="53"/>
        <v>model</v>
      </c>
      <c r="P244" s="206" t="str">
        <f t="shared" si="53"/>
        <v>PenColor</v>
      </c>
      <c r="Q244" s="206" t="str">
        <f t="shared" si="53"/>
        <v>x</v>
      </c>
      <c r="R244" s="206" t="str">
        <f t="shared" si="53"/>
        <v>BS</v>
      </c>
      <c r="S244" s="206" t="str">
        <f t="shared" si="53"/>
        <v>all</v>
      </c>
      <c r="T244" s="205">
        <f t="shared" si="53"/>
        <v>1</v>
      </c>
      <c r="U244" s="205" t="str">
        <f t="shared" si="53"/>
        <v>Fensterbank Schnitt Konturstift</v>
      </c>
      <c r="V244" s="205" t="str">
        <f t="shared" si="53"/>
        <v>x</v>
      </c>
      <c r="W244" s="205" t="str">
        <f t="shared" si="53"/>
        <v/>
      </c>
      <c r="X244" s="205" t="str">
        <f t="shared" si="53"/>
        <v/>
      </c>
      <c r="Y244" s="205" t="str">
        <f t="shared" si="53"/>
        <v>gs_sill_pen_sectcont</v>
      </c>
    </row>
    <row r="245" spans="1:25">
      <c r="A245" s="204">
        <f t="shared" si="43"/>
        <v>243</v>
      </c>
      <c r="B245" s="205" t="str">
        <f t="shared" si="52"/>
        <v>x</v>
      </c>
      <c r="C245" s="205" t="str">
        <f t="shared" si="52"/>
        <v/>
      </c>
      <c r="D245" s="205" t="str">
        <f t="shared" si="52"/>
        <v/>
      </c>
      <c r="E245" s="205" t="str">
        <f t="shared" si="52"/>
        <v/>
      </c>
      <c r="F245" s="205" t="str">
        <f t="shared" si="52"/>
        <v/>
      </c>
      <c r="G245" s="205" t="str">
        <f t="shared" si="52"/>
        <v/>
      </c>
      <c r="H245" s="205" t="str">
        <f t="shared" si="52"/>
        <v/>
      </c>
      <c r="I245" s="205" t="str">
        <f t="shared" si="52"/>
        <v/>
      </c>
      <c r="J245" s="205" t="str">
        <f t="shared" si="52"/>
        <v/>
      </c>
      <c r="K245" s="205" t="str">
        <f t="shared" si="52"/>
        <v/>
      </c>
      <c r="L245" s="205" t="str">
        <f t="shared" si="53"/>
        <v>info</v>
      </c>
      <c r="M245" s="205" t="str">
        <f t="shared" si="53"/>
        <v>x</v>
      </c>
      <c r="N245" s="205" t="str">
        <f t="shared" si="53"/>
        <v/>
      </c>
      <c r="O245" s="205" t="str">
        <f t="shared" si="53"/>
        <v>model</v>
      </c>
      <c r="P245" s="206" t="str">
        <f t="shared" si="53"/>
        <v>FillPattern</v>
      </c>
      <c r="Q245" s="206" t="str">
        <f t="shared" si="53"/>
        <v>x</v>
      </c>
      <c r="R245" s="206" t="str">
        <f t="shared" si="53"/>
        <v>BS</v>
      </c>
      <c r="S245" s="206" t="str">
        <f t="shared" si="53"/>
        <v>all</v>
      </c>
      <c r="T245" s="205">
        <f t="shared" si="53"/>
        <v>65</v>
      </c>
      <c r="U245" s="205" t="str">
        <f t="shared" si="53"/>
        <v>Fensterbank Schnitt Schraffurtyp</v>
      </c>
      <c r="V245" s="205" t="str">
        <f t="shared" si="53"/>
        <v>x</v>
      </c>
      <c r="W245" s="205" t="str">
        <f t="shared" si="53"/>
        <v/>
      </c>
      <c r="X245" s="205" t="str">
        <f t="shared" si="53"/>
        <v/>
      </c>
      <c r="Y245" s="205" t="str">
        <f t="shared" si="53"/>
        <v>gs_sill_fill</v>
      </c>
    </row>
    <row r="246" spans="1:25">
      <c r="A246" s="204">
        <f t="shared" si="43"/>
        <v>244</v>
      </c>
      <c r="B246" s="205" t="str">
        <f t="shared" si="52"/>
        <v>x</v>
      </c>
      <c r="C246" s="205" t="str">
        <f t="shared" si="52"/>
        <v/>
      </c>
      <c r="D246" s="205" t="str">
        <f t="shared" si="52"/>
        <v/>
      </c>
      <c r="E246" s="205" t="str">
        <f t="shared" si="52"/>
        <v/>
      </c>
      <c r="F246" s="205" t="str">
        <f t="shared" si="52"/>
        <v/>
      </c>
      <c r="G246" s="205" t="str">
        <f t="shared" si="52"/>
        <v/>
      </c>
      <c r="H246" s="205" t="str">
        <f t="shared" si="52"/>
        <v/>
      </c>
      <c r="I246" s="205" t="str">
        <f t="shared" si="52"/>
        <v/>
      </c>
      <c r="J246" s="205" t="str">
        <f t="shared" si="52"/>
        <v/>
      </c>
      <c r="K246" s="205" t="str">
        <f t="shared" si="52"/>
        <v/>
      </c>
      <c r="L246" s="205" t="str">
        <f t="shared" si="53"/>
        <v>info</v>
      </c>
      <c r="M246" s="205" t="str">
        <f t="shared" si="53"/>
        <v>x</v>
      </c>
      <c r="N246" s="205" t="str">
        <f t="shared" si="53"/>
        <v/>
      </c>
      <c r="O246" s="205" t="str">
        <f t="shared" si="53"/>
        <v>model</v>
      </c>
      <c r="P246" s="206" t="str">
        <f t="shared" si="53"/>
        <v>PenColor</v>
      </c>
      <c r="Q246" s="206" t="str">
        <f t="shared" si="53"/>
        <v>x</v>
      </c>
      <c r="R246" s="206" t="str">
        <f t="shared" si="53"/>
        <v>BS</v>
      </c>
      <c r="S246" s="206" t="str">
        <f t="shared" si="53"/>
        <v>all</v>
      </c>
      <c r="T246" s="205">
        <f t="shared" si="53"/>
        <v>19</v>
      </c>
      <c r="U246" s="205" t="str">
        <f t="shared" si="53"/>
        <v>Fensterbank Schnitt Schraffurstift</v>
      </c>
      <c r="V246" s="205" t="str">
        <f t="shared" si="53"/>
        <v>x</v>
      </c>
      <c r="W246" s="205" t="str">
        <f t="shared" si="53"/>
        <v/>
      </c>
      <c r="X246" s="205" t="str">
        <f t="shared" si="53"/>
        <v/>
      </c>
      <c r="Y246" s="205" t="str">
        <f t="shared" si="53"/>
        <v>gs_sill_pen_fg</v>
      </c>
    </row>
    <row r="247" spans="1:25">
      <c r="A247" s="204">
        <f t="shared" si="43"/>
        <v>245</v>
      </c>
      <c r="B247" s="205" t="str">
        <f t="shared" si="52"/>
        <v>x</v>
      </c>
      <c r="C247" s="205" t="str">
        <f t="shared" si="52"/>
        <v/>
      </c>
      <c r="D247" s="205" t="str">
        <f t="shared" si="52"/>
        <v/>
      </c>
      <c r="E247" s="205" t="str">
        <f t="shared" si="52"/>
        <v/>
      </c>
      <c r="F247" s="205" t="str">
        <f t="shared" si="52"/>
        <v/>
      </c>
      <c r="G247" s="205" t="str">
        <f t="shared" si="52"/>
        <v/>
      </c>
      <c r="H247" s="205" t="str">
        <f t="shared" si="52"/>
        <v/>
      </c>
      <c r="I247" s="205" t="str">
        <f t="shared" si="52"/>
        <v/>
      </c>
      <c r="J247" s="205" t="str">
        <f t="shared" si="52"/>
        <v/>
      </c>
      <c r="K247" s="205" t="str">
        <f t="shared" si="52"/>
        <v/>
      </c>
      <c r="L247" s="205" t="str">
        <f t="shared" si="53"/>
        <v>info</v>
      </c>
      <c r="M247" s="205" t="str">
        <f t="shared" si="53"/>
        <v>x</v>
      </c>
      <c r="N247" s="205" t="str">
        <f t="shared" si="53"/>
        <v/>
      </c>
      <c r="O247" s="205" t="str">
        <f t="shared" si="53"/>
        <v>model</v>
      </c>
      <c r="P247" s="206" t="str">
        <f t="shared" si="53"/>
        <v>PenColor</v>
      </c>
      <c r="Q247" s="206" t="str">
        <f t="shared" si="53"/>
        <v>x</v>
      </c>
      <c r="R247" s="206" t="str">
        <f t="shared" si="53"/>
        <v>BS</v>
      </c>
      <c r="S247" s="206" t="str">
        <f t="shared" si="53"/>
        <v>all</v>
      </c>
      <c r="T247" s="205">
        <f t="shared" si="53"/>
        <v>19</v>
      </c>
      <c r="U247" s="205" t="str">
        <f t="shared" si="53"/>
        <v>Fensterbank Schnitt Schraffur Hintergrundstift</v>
      </c>
      <c r="V247" s="205" t="str">
        <f t="shared" si="53"/>
        <v>x</v>
      </c>
      <c r="W247" s="205" t="str">
        <f t="shared" si="53"/>
        <v/>
      </c>
      <c r="X247" s="205" t="str">
        <f t="shared" si="53"/>
        <v/>
      </c>
      <c r="Y247" s="205" t="str">
        <f t="shared" si="53"/>
        <v>gs_sill_pen_bg</v>
      </c>
    </row>
    <row r="248" spans="1:25">
      <c r="A248" s="204">
        <f t="shared" si="43"/>
        <v>246</v>
      </c>
      <c r="B248" s="205" t="str">
        <f t="shared" si="52"/>
        <v>x</v>
      </c>
      <c r="C248" s="205" t="str">
        <f t="shared" si="52"/>
        <v/>
      </c>
      <c r="D248" s="205" t="str">
        <f t="shared" si="52"/>
        <v/>
      </c>
      <c r="E248" s="205" t="str">
        <f t="shared" si="52"/>
        <v/>
      </c>
      <c r="F248" s="205" t="str">
        <f t="shared" si="52"/>
        <v/>
      </c>
      <c r="G248" s="205" t="str">
        <f t="shared" si="52"/>
        <v/>
      </c>
      <c r="H248" s="205" t="str">
        <f t="shared" si="52"/>
        <v/>
      </c>
      <c r="I248" s="205" t="str">
        <f t="shared" si="52"/>
        <v/>
      </c>
      <c r="J248" s="205" t="str">
        <f t="shared" si="52"/>
        <v/>
      </c>
      <c r="K248" s="205" t="str">
        <f t="shared" si="52"/>
        <v/>
      </c>
      <c r="L248" s="205" t="str">
        <f t="shared" si="53"/>
        <v>info</v>
      </c>
      <c r="M248" s="205" t="str">
        <f t="shared" si="53"/>
        <v>x</v>
      </c>
      <c r="N248" s="205" t="str">
        <f t="shared" si="53"/>
        <v/>
      </c>
      <c r="O248" s="205" t="str">
        <f t="shared" si="53"/>
        <v>model</v>
      </c>
      <c r="P248" s="206" t="str">
        <f t="shared" si="53"/>
        <v>PenColor</v>
      </c>
      <c r="Q248" s="206" t="str">
        <f t="shared" si="53"/>
        <v>x</v>
      </c>
      <c r="R248" s="206" t="str">
        <f t="shared" si="53"/>
        <v>BS</v>
      </c>
      <c r="S248" s="206" t="str">
        <f t="shared" si="53"/>
        <v>all</v>
      </c>
      <c r="T248" s="205">
        <f t="shared" si="53"/>
        <v>1</v>
      </c>
      <c r="U248" s="205" t="str">
        <f t="shared" si="53"/>
        <v>Schnitt Dämmung Konturstift</v>
      </c>
      <c r="V248" s="205" t="str">
        <f t="shared" si="53"/>
        <v>x</v>
      </c>
      <c r="W248" s="205" t="str">
        <f t="shared" si="53"/>
        <v/>
      </c>
      <c r="X248" s="205" t="str">
        <f t="shared" si="53"/>
        <v/>
      </c>
      <c r="Y248" s="205" t="str">
        <f t="shared" si="53"/>
        <v>gs_sill_pen_ins_sectcont</v>
      </c>
    </row>
    <row r="249" spans="1:25">
      <c r="A249" s="204">
        <f t="shared" si="43"/>
        <v>247</v>
      </c>
      <c r="B249" s="205" t="str">
        <f t="shared" si="52"/>
        <v>x</v>
      </c>
      <c r="C249" s="205" t="str">
        <f t="shared" si="52"/>
        <v/>
      </c>
      <c r="D249" s="205" t="str">
        <f t="shared" si="52"/>
        <v/>
      </c>
      <c r="E249" s="205" t="str">
        <f t="shared" si="52"/>
        <v/>
      </c>
      <c r="F249" s="205" t="str">
        <f t="shared" si="52"/>
        <v/>
      </c>
      <c r="G249" s="205" t="str">
        <f t="shared" si="52"/>
        <v/>
      </c>
      <c r="H249" s="205" t="str">
        <f t="shared" si="52"/>
        <v/>
      </c>
      <c r="I249" s="205" t="str">
        <f t="shared" si="52"/>
        <v/>
      </c>
      <c r="J249" s="205" t="str">
        <f t="shared" si="52"/>
        <v/>
      </c>
      <c r="K249" s="205" t="str">
        <f t="shared" si="52"/>
        <v/>
      </c>
      <c r="L249" s="205" t="str">
        <f t="shared" si="53"/>
        <v>info</v>
      </c>
      <c r="M249" s="205" t="str">
        <f t="shared" si="53"/>
        <v>x</v>
      </c>
      <c r="N249" s="205" t="str">
        <f t="shared" si="53"/>
        <v/>
      </c>
      <c r="O249" s="205" t="str">
        <f t="shared" si="53"/>
        <v>model</v>
      </c>
      <c r="P249" s="206" t="str">
        <f t="shared" si="53"/>
        <v>FillPattern</v>
      </c>
      <c r="Q249" s="206" t="str">
        <f t="shared" si="53"/>
        <v>x</v>
      </c>
      <c r="R249" s="206" t="str">
        <f t="shared" si="53"/>
        <v>BS</v>
      </c>
      <c r="S249" s="206" t="str">
        <f t="shared" si="53"/>
        <v>all</v>
      </c>
      <c r="T249" s="205">
        <f t="shared" si="53"/>
        <v>17</v>
      </c>
      <c r="U249" s="205" t="str">
        <f t="shared" si="53"/>
        <v>Schnitt Dämmung Schraffurtyp</v>
      </c>
      <c r="V249" s="205" t="str">
        <f t="shared" si="53"/>
        <v>x</v>
      </c>
      <c r="W249" s="205" t="str">
        <f t="shared" si="53"/>
        <v/>
      </c>
      <c r="X249" s="205" t="str">
        <f t="shared" si="53"/>
        <v/>
      </c>
      <c r="Y249" s="205" t="str">
        <f t="shared" si="53"/>
        <v>gs_sill_fill_ins_fg</v>
      </c>
    </row>
    <row r="250" spans="1:25">
      <c r="A250" s="204">
        <f t="shared" si="43"/>
        <v>248</v>
      </c>
      <c r="B250" s="205" t="str">
        <f t="shared" si="52"/>
        <v>x</v>
      </c>
      <c r="C250" s="205" t="str">
        <f t="shared" si="52"/>
        <v/>
      </c>
      <c r="D250" s="205" t="str">
        <f t="shared" si="52"/>
        <v/>
      </c>
      <c r="E250" s="205" t="str">
        <f t="shared" si="52"/>
        <v/>
      </c>
      <c r="F250" s="205" t="str">
        <f t="shared" si="52"/>
        <v/>
      </c>
      <c r="G250" s="205" t="str">
        <f t="shared" si="52"/>
        <v/>
      </c>
      <c r="H250" s="205" t="str">
        <f t="shared" si="52"/>
        <v/>
      </c>
      <c r="I250" s="205" t="str">
        <f t="shared" si="52"/>
        <v/>
      </c>
      <c r="J250" s="205" t="str">
        <f t="shared" si="52"/>
        <v/>
      </c>
      <c r="K250" s="205" t="str">
        <f t="shared" si="52"/>
        <v/>
      </c>
      <c r="L250" s="205" t="str">
        <f t="shared" si="53"/>
        <v>info</v>
      </c>
      <c r="M250" s="205" t="str">
        <f t="shared" si="53"/>
        <v>x</v>
      </c>
      <c r="N250" s="205" t="str">
        <f t="shared" si="53"/>
        <v/>
      </c>
      <c r="O250" s="205" t="str">
        <f t="shared" si="53"/>
        <v>model</v>
      </c>
      <c r="P250" s="206" t="str">
        <f t="shared" si="53"/>
        <v>PenColor</v>
      </c>
      <c r="Q250" s="206" t="str">
        <f t="shared" si="53"/>
        <v>x</v>
      </c>
      <c r="R250" s="206" t="str">
        <f t="shared" si="53"/>
        <v>BS</v>
      </c>
      <c r="S250" s="206" t="str">
        <f t="shared" si="53"/>
        <v>all</v>
      </c>
      <c r="T250" s="205">
        <f t="shared" si="53"/>
        <v>1</v>
      </c>
      <c r="U250" s="205" t="str">
        <f t="shared" si="53"/>
        <v>Schnitt Dämmung Schraffurstift</v>
      </c>
      <c r="V250" s="205" t="str">
        <f t="shared" si="53"/>
        <v>x</v>
      </c>
      <c r="W250" s="205" t="str">
        <f t="shared" si="53"/>
        <v/>
      </c>
      <c r="X250" s="205" t="str">
        <f t="shared" si="53"/>
        <v/>
      </c>
      <c r="Y250" s="205" t="str">
        <f t="shared" si="53"/>
        <v>gs_sill_pen_ins_fg</v>
      </c>
    </row>
    <row r="251" spans="1:25">
      <c r="A251" s="204">
        <f t="shared" si="43"/>
        <v>249</v>
      </c>
      <c r="B251" s="205" t="str">
        <f t="shared" si="52"/>
        <v>x</v>
      </c>
      <c r="C251" s="205" t="str">
        <f t="shared" si="52"/>
        <v/>
      </c>
      <c r="D251" s="205" t="str">
        <f t="shared" si="52"/>
        <v/>
      </c>
      <c r="E251" s="205" t="str">
        <f t="shared" si="52"/>
        <v/>
      </c>
      <c r="F251" s="205" t="str">
        <f t="shared" si="52"/>
        <v/>
      </c>
      <c r="G251" s="205" t="str">
        <f t="shared" si="52"/>
        <v/>
      </c>
      <c r="H251" s="205" t="str">
        <f t="shared" si="52"/>
        <v/>
      </c>
      <c r="I251" s="205" t="str">
        <f t="shared" si="52"/>
        <v/>
      </c>
      <c r="J251" s="205" t="str">
        <f t="shared" si="52"/>
        <v/>
      </c>
      <c r="K251" s="205" t="str">
        <f t="shared" si="52"/>
        <v/>
      </c>
      <c r="L251" s="205" t="str">
        <f t="shared" si="53"/>
        <v>info</v>
      </c>
      <c r="M251" s="205" t="str">
        <f t="shared" si="53"/>
        <v>x</v>
      </c>
      <c r="N251" s="205" t="str">
        <f t="shared" si="53"/>
        <v/>
      </c>
      <c r="O251" s="205" t="str">
        <f t="shared" si="53"/>
        <v>model</v>
      </c>
      <c r="P251" s="206" t="str">
        <f t="shared" si="53"/>
        <v>PenColor</v>
      </c>
      <c r="Q251" s="206" t="str">
        <f t="shared" si="53"/>
        <v>x</v>
      </c>
      <c r="R251" s="206" t="str">
        <f t="shared" si="53"/>
        <v>BS</v>
      </c>
      <c r="S251" s="206" t="str">
        <f t="shared" si="53"/>
        <v>all</v>
      </c>
      <c r="T251" s="205">
        <f t="shared" si="53"/>
        <v>19</v>
      </c>
      <c r="U251" s="205" t="str">
        <f t="shared" si="53"/>
        <v>Schnitt Dämmung Schraffur Hintergrundstift</v>
      </c>
      <c r="V251" s="205" t="str">
        <f t="shared" si="53"/>
        <v>x</v>
      </c>
      <c r="W251" s="205" t="str">
        <f t="shared" si="53"/>
        <v/>
      </c>
      <c r="X251" s="205" t="str">
        <f t="shared" si="53"/>
        <v/>
      </c>
      <c r="Y251" s="205" t="str">
        <f t="shared" si="53"/>
        <v>gs_sill_pen_ins_bg</v>
      </c>
    </row>
    <row r="252" spans="1:25">
      <c r="A252" s="204">
        <f t="shared" si="43"/>
        <v>250</v>
      </c>
      <c r="B252" s="205" t="str">
        <f t="shared" si="52"/>
        <v>x</v>
      </c>
      <c r="C252" s="205" t="str">
        <f t="shared" si="52"/>
        <v/>
      </c>
      <c r="D252" s="205" t="str">
        <f t="shared" si="52"/>
        <v/>
      </c>
      <c r="E252" s="205" t="str">
        <f t="shared" si="52"/>
        <v/>
      </c>
      <c r="F252" s="205" t="str">
        <f t="shared" si="52"/>
        <v/>
      </c>
      <c r="G252" s="205" t="str">
        <f t="shared" si="52"/>
        <v/>
      </c>
      <c r="H252" s="205" t="str">
        <f t="shared" si="52"/>
        <v/>
      </c>
      <c r="I252" s="205" t="str">
        <f t="shared" si="52"/>
        <v/>
      </c>
      <c r="J252" s="205" t="str">
        <f t="shared" si="52"/>
        <v/>
      </c>
      <c r="K252" s="205" t="str">
        <f t="shared" si="52"/>
        <v/>
      </c>
      <c r="L252" s="205" t="str">
        <f t="shared" si="53"/>
        <v>info</v>
      </c>
      <c r="M252" s="205" t="str">
        <f t="shared" si="53"/>
        <v>x</v>
      </c>
      <c r="N252" s="205" t="str">
        <f t="shared" si="53"/>
        <v/>
      </c>
      <c r="O252" s="205" t="str">
        <f t="shared" si="53"/>
        <v>model</v>
      </c>
      <c r="P252" s="206" t="str">
        <f t="shared" si="53"/>
        <v>Material</v>
      </c>
      <c r="Q252" s="206" t="str">
        <f t="shared" si="53"/>
        <v>x</v>
      </c>
      <c r="R252" s="206" t="str">
        <f t="shared" si="53"/>
        <v>BS</v>
      </c>
      <c r="S252" s="206" t="str">
        <f t="shared" si="53"/>
        <v>all</v>
      </c>
      <c r="T252" s="205">
        <f t="shared" si="53"/>
        <v>1</v>
      </c>
      <c r="U252" s="205" t="str">
        <f t="shared" si="53"/>
        <v>Fensterbank Oberflächenmaterial</v>
      </c>
      <c r="V252" s="205" t="str">
        <f t="shared" si="53"/>
        <v>x</v>
      </c>
      <c r="W252" s="205" t="str">
        <f t="shared" si="53"/>
        <v/>
      </c>
      <c r="X252" s="205" t="str">
        <f t="shared" si="53"/>
        <v/>
      </c>
      <c r="Y252" s="205" t="str">
        <f t="shared" si="53"/>
        <v>gs_sill_mat</v>
      </c>
    </row>
    <row r="253" spans="1:25">
      <c r="A253" s="204">
        <f t="shared" si="43"/>
        <v>251</v>
      </c>
      <c r="B253" s="205" t="str">
        <f t="shared" ref="B253:K262" si="54">IF(ISNONTEXT(B$2),IF(B$2="","",IF(INDEX(IMPORT,$A253,B$2)=0,"",IFERROR(VLOOKUP(INDEX(IMPORT,$A253,B$2),ImportTranslation,2,0),INDEX(IMPORT,$A253,B$2)))),B$2)</f>
        <v>x</v>
      </c>
      <c r="C253" s="205" t="str">
        <f t="shared" si="54"/>
        <v/>
      </c>
      <c r="D253" s="205" t="str">
        <f t="shared" si="54"/>
        <v/>
      </c>
      <c r="E253" s="205" t="str">
        <f t="shared" si="54"/>
        <v/>
      </c>
      <c r="F253" s="205" t="str">
        <f t="shared" si="54"/>
        <v/>
      </c>
      <c r="G253" s="205" t="str">
        <f t="shared" si="54"/>
        <v/>
      </c>
      <c r="H253" s="205" t="str">
        <f t="shared" si="54"/>
        <v/>
      </c>
      <c r="I253" s="205" t="str">
        <f t="shared" si="54"/>
        <v/>
      </c>
      <c r="J253" s="205" t="str">
        <f t="shared" si="54"/>
        <v/>
      </c>
      <c r="K253" s="205" t="str">
        <f t="shared" si="54"/>
        <v/>
      </c>
      <c r="L253" s="205" t="str">
        <f t="shared" ref="L253:Y262" si="55">IF(ISNONTEXT(L$2),IF(L$2="","",IF(INDEX(IMPORT,$A253,L$2)=0,"",IFERROR(VLOOKUP(INDEX(IMPORT,$A253,L$2),ImportTranslation,2,0),INDEX(IMPORT,$A253,L$2)))),L$2)</f>
        <v>info</v>
      </c>
      <c r="M253" s="205" t="str">
        <f t="shared" si="55"/>
        <v>x</v>
      </c>
      <c r="N253" s="205" t="str">
        <f t="shared" si="55"/>
        <v/>
      </c>
      <c r="O253" s="205" t="str">
        <f t="shared" si="55"/>
        <v>model</v>
      </c>
      <c r="P253" s="206" t="str">
        <f t="shared" si="55"/>
        <v>Material</v>
      </c>
      <c r="Q253" s="206" t="str">
        <f t="shared" si="55"/>
        <v>x</v>
      </c>
      <c r="R253" s="206" t="str">
        <f t="shared" si="55"/>
        <v>BS</v>
      </c>
      <c r="S253" s="206" t="str">
        <f t="shared" si="55"/>
        <v>all</v>
      </c>
      <c r="T253" s="205">
        <f t="shared" si="55"/>
        <v>2</v>
      </c>
      <c r="U253" s="205" t="str">
        <f t="shared" si="55"/>
        <v>Mauerwerksbrüstung Mörtel Oberflächenmaterial</v>
      </c>
      <c r="V253" s="205" t="str">
        <f t="shared" si="55"/>
        <v>x</v>
      </c>
      <c r="W253" s="205" t="str">
        <f t="shared" si="55"/>
        <v/>
      </c>
      <c r="X253" s="205" t="str">
        <f t="shared" si="55"/>
        <v/>
      </c>
      <c r="Y253" s="205" t="str">
        <f t="shared" si="55"/>
        <v>gs_brick_sill_mort_mat</v>
      </c>
    </row>
    <row r="254" spans="1:25">
      <c r="A254" s="204">
        <f t="shared" si="43"/>
        <v>252</v>
      </c>
      <c r="B254" s="205" t="str">
        <f t="shared" si="54"/>
        <v>x</v>
      </c>
      <c r="C254" s="205" t="str">
        <f t="shared" si="54"/>
        <v/>
      </c>
      <c r="D254" s="205" t="str">
        <f t="shared" si="54"/>
        <v/>
      </c>
      <c r="E254" s="205" t="str">
        <f t="shared" si="54"/>
        <v/>
      </c>
      <c r="F254" s="205" t="str">
        <f t="shared" si="54"/>
        <v/>
      </c>
      <c r="G254" s="205" t="str">
        <f t="shared" si="54"/>
        <v/>
      </c>
      <c r="H254" s="205" t="str">
        <f t="shared" si="54"/>
        <v/>
      </c>
      <c r="I254" s="205" t="str">
        <f t="shared" si="54"/>
        <v/>
      </c>
      <c r="J254" s="205" t="str">
        <f t="shared" si="54"/>
        <v/>
      </c>
      <c r="K254" s="205" t="str">
        <f t="shared" si="54"/>
        <v/>
      </c>
      <c r="L254" s="205" t="str">
        <f t="shared" si="55"/>
        <v>info</v>
      </c>
      <c r="M254" s="205" t="str">
        <f t="shared" si="55"/>
        <v/>
      </c>
      <c r="N254" s="205" t="str">
        <f t="shared" si="55"/>
        <v/>
      </c>
      <c r="O254" s="205" t="str">
        <f t="shared" si="55"/>
        <v>model</v>
      </c>
      <c r="P254" s="206" t="str">
        <f t="shared" si="55"/>
        <v>Boolean</v>
      </c>
      <c r="Q254" s="206" t="str">
        <f t="shared" si="55"/>
        <v>x</v>
      </c>
      <c r="R254" s="206" t="str">
        <f t="shared" si="55"/>
        <v>BS</v>
      </c>
      <c r="S254" s="206" t="str">
        <f t="shared" si="55"/>
        <v>all</v>
      </c>
      <c r="T254" s="205" t="str">
        <f t="shared" si="55"/>
        <v/>
      </c>
      <c r="U254" s="205" t="str">
        <f t="shared" si="55"/>
        <v>Rollschicht</v>
      </c>
      <c r="V254" s="205" t="str">
        <f t="shared" si="55"/>
        <v/>
      </c>
      <c r="W254" s="205" t="str">
        <f t="shared" si="55"/>
        <v/>
      </c>
      <c r="X254" s="205" t="str">
        <f t="shared" si="55"/>
        <v/>
      </c>
      <c r="Y254" s="205" t="str">
        <f t="shared" si="55"/>
        <v>bMasonryArch</v>
      </c>
    </row>
    <row r="255" spans="1:25">
      <c r="A255" s="204">
        <f t="shared" si="43"/>
        <v>253</v>
      </c>
      <c r="B255" s="205" t="str">
        <f t="shared" si="54"/>
        <v>x</v>
      </c>
      <c r="C255" s="205" t="str">
        <f t="shared" si="54"/>
        <v/>
      </c>
      <c r="D255" s="205" t="str">
        <f t="shared" si="54"/>
        <v/>
      </c>
      <c r="E255" s="205" t="str">
        <f t="shared" si="54"/>
        <v/>
      </c>
      <c r="F255" s="205" t="str">
        <f t="shared" si="54"/>
        <v/>
      </c>
      <c r="G255" s="205" t="str">
        <f t="shared" si="54"/>
        <v/>
      </c>
      <c r="H255" s="205" t="str">
        <f t="shared" si="54"/>
        <v/>
      </c>
      <c r="I255" s="205" t="str">
        <f t="shared" si="54"/>
        <v/>
      </c>
      <c r="J255" s="205" t="str">
        <f t="shared" si="54"/>
        <v/>
      </c>
      <c r="K255" s="205" t="str">
        <f t="shared" si="54"/>
        <v/>
      </c>
      <c r="L255" s="205" t="str">
        <f t="shared" si="55"/>
        <v>info</v>
      </c>
      <c r="M255" s="205" t="str">
        <f t="shared" si="55"/>
        <v>x</v>
      </c>
      <c r="N255" s="205" t="str">
        <f t="shared" si="55"/>
        <v/>
      </c>
      <c r="O255" s="205" t="str">
        <f t="shared" si="55"/>
        <v>model</v>
      </c>
      <c r="P255" s="206" t="str">
        <f t="shared" si="55"/>
        <v>Integer</v>
      </c>
      <c r="Q255" s="206" t="str">
        <f t="shared" si="55"/>
        <v>x</v>
      </c>
      <c r="R255" s="206" t="str">
        <f t="shared" si="55"/>
        <v>BS</v>
      </c>
      <c r="S255" s="206" t="str">
        <f t="shared" si="55"/>
        <v>all</v>
      </c>
      <c r="T255" s="205">
        <f t="shared" si="55"/>
        <v>2</v>
      </c>
      <c r="U255" s="205" t="str">
        <f t="shared" si="55"/>
        <v>Rollschicht</v>
      </c>
      <c r="V255" s="205" t="str">
        <f t="shared" si="55"/>
        <v>x</v>
      </c>
      <c r="W255" s="205" t="str">
        <f t="shared" si="55"/>
        <v/>
      </c>
      <c r="X255" s="205" t="str">
        <f t="shared" si="55"/>
        <v/>
      </c>
      <c r="Y255" s="205" t="str">
        <f t="shared" si="55"/>
        <v>gs_masonry_arch_int</v>
      </c>
    </row>
    <row r="256" spans="1:25">
      <c r="A256" s="204">
        <f t="shared" si="43"/>
        <v>254</v>
      </c>
      <c r="B256" s="205" t="str">
        <f t="shared" si="54"/>
        <v>x</v>
      </c>
      <c r="C256" s="205" t="str">
        <f t="shared" si="54"/>
        <v/>
      </c>
      <c r="D256" s="205" t="str">
        <f t="shared" si="54"/>
        <v/>
      </c>
      <c r="E256" s="205" t="str">
        <f t="shared" si="54"/>
        <v/>
      </c>
      <c r="F256" s="205" t="str">
        <f t="shared" si="54"/>
        <v/>
      </c>
      <c r="G256" s="205" t="str">
        <f t="shared" si="54"/>
        <v/>
      </c>
      <c r="H256" s="205" t="str">
        <f t="shared" si="54"/>
        <v/>
      </c>
      <c r="I256" s="205" t="str">
        <f t="shared" si="54"/>
        <v/>
      </c>
      <c r="J256" s="205" t="str">
        <f t="shared" si="54"/>
        <v/>
      </c>
      <c r="K256" s="205" t="str">
        <f t="shared" si="54"/>
        <v/>
      </c>
      <c r="L256" s="205" t="str">
        <f t="shared" si="55"/>
        <v>info</v>
      </c>
      <c r="M256" s="205" t="str">
        <f t="shared" si="55"/>
        <v>x</v>
      </c>
      <c r="N256" s="205" t="str">
        <f t="shared" si="55"/>
        <v/>
      </c>
      <c r="O256" s="205" t="str">
        <f t="shared" si="55"/>
        <v>model</v>
      </c>
      <c r="P256" s="206" t="str">
        <f t="shared" si="55"/>
        <v>String</v>
      </c>
      <c r="Q256" s="206" t="str">
        <f t="shared" si="55"/>
        <v>x</v>
      </c>
      <c r="R256" s="206" t="str">
        <f t="shared" si="55"/>
        <v>BS</v>
      </c>
      <c r="S256" s="206" t="str">
        <f t="shared" si="55"/>
        <v>all</v>
      </c>
      <c r="T256" s="205" t="str">
        <f t="shared" si="55"/>
        <v>Verputzt</v>
      </c>
      <c r="U256" s="205" t="str">
        <f t="shared" si="55"/>
        <v>Typ Sturz</v>
      </c>
      <c r="V256" s="205" t="str">
        <f t="shared" si="55"/>
        <v>x</v>
      </c>
      <c r="W256" s="205" t="str">
        <f t="shared" si="55"/>
        <v/>
      </c>
      <c r="X256" s="205" t="str">
        <f t="shared" si="55"/>
        <v/>
      </c>
      <c r="Y256" s="205" t="str">
        <f t="shared" si="55"/>
        <v>gs_masonry_arch_structure</v>
      </c>
    </row>
    <row r="257" spans="1:25">
      <c r="A257" s="204">
        <f t="shared" si="43"/>
        <v>255</v>
      </c>
      <c r="B257" s="205" t="str">
        <f t="shared" si="54"/>
        <v>x</v>
      </c>
      <c r="C257" s="205" t="str">
        <f t="shared" si="54"/>
        <v>x</v>
      </c>
      <c r="D257" s="205" t="str">
        <f t="shared" si="54"/>
        <v/>
      </c>
      <c r="E257" s="205" t="str">
        <f t="shared" si="54"/>
        <v/>
      </c>
      <c r="F257" s="205" t="str">
        <f t="shared" si="54"/>
        <v/>
      </c>
      <c r="G257" s="205" t="str">
        <f t="shared" si="54"/>
        <v/>
      </c>
      <c r="H257" s="205" t="str">
        <f t="shared" si="54"/>
        <v/>
      </c>
      <c r="I257" s="205" t="str">
        <f t="shared" si="54"/>
        <v/>
      </c>
      <c r="J257" s="205" t="str">
        <f t="shared" si="54"/>
        <v/>
      </c>
      <c r="K257" s="205" t="str">
        <f t="shared" si="54"/>
        <v/>
      </c>
      <c r="L257" s="205" t="str">
        <f t="shared" si="55"/>
        <v>info</v>
      </c>
      <c r="M257" s="205" t="str">
        <f t="shared" si="55"/>
        <v>x</v>
      </c>
      <c r="N257" s="205" t="str">
        <f t="shared" si="55"/>
        <v/>
      </c>
      <c r="O257" s="205" t="str">
        <f t="shared" si="55"/>
        <v>model</v>
      </c>
      <c r="P257" s="206" t="str">
        <f t="shared" si="55"/>
        <v>Integer</v>
      </c>
      <c r="Q257" s="206" t="str">
        <f t="shared" si="55"/>
        <v>x</v>
      </c>
      <c r="R257" s="206" t="str">
        <f t="shared" si="55"/>
        <v>BS</v>
      </c>
      <c r="S257" s="206" t="str">
        <f t="shared" si="55"/>
        <v>all</v>
      </c>
      <c r="T257" s="205">
        <f t="shared" si="55"/>
        <v>1</v>
      </c>
      <c r="U257" s="205" t="str">
        <f t="shared" si="55"/>
        <v>Typ Sturz</v>
      </c>
      <c r="V257" s="205" t="str">
        <f t="shared" si="55"/>
        <v>x</v>
      </c>
      <c r="W257" s="205" t="str">
        <f t="shared" si="55"/>
        <v/>
      </c>
      <c r="X257" s="205" t="str">
        <f t="shared" si="55"/>
        <v/>
      </c>
      <c r="Y257" s="205" t="str">
        <f t="shared" si="55"/>
        <v>gs_masonry_arch_structure_int</v>
      </c>
    </row>
    <row r="258" spans="1:25">
      <c r="A258" s="204">
        <f t="shared" si="43"/>
        <v>256</v>
      </c>
      <c r="B258" s="205" t="str">
        <f t="shared" si="54"/>
        <v>x</v>
      </c>
      <c r="C258" s="205" t="str">
        <f t="shared" si="54"/>
        <v/>
      </c>
      <c r="D258" s="205" t="str">
        <f t="shared" si="54"/>
        <v/>
      </c>
      <c r="E258" s="205" t="str">
        <f t="shared" si="54"/>
        <v/>
      </c>
      <c r="F258" s="205" t="str">
        <f t="shared" si="54"/>
        <v/>
      </c>
      <c r="G258" s="205" t="str">
        <f t="shared" si="54"/>
        <v/>
      </c>
      <c r="H258" s="205" t="str">
        <f t="shared" si="54"/>
        <v/>
      </c>
      <c r="I258" s="205" t="str">
        <f t="shared" si="54"/>
        <v/>
      </c>
      <c r="J258" s="205" t="str">
        <f t="shared" si="54"/>
        <v/>
      </c>
      <c r="K258" s="205" t="str">
        <f t="shared" si="54"/>
        <v/>
      </c>
      <c r="L258" s="205" t="str">
        <f t="shared" si="55"/>
        <v>info</v>
      </c>
      <c r="M258" s="205" t="str">
        <f t="shared" si="55"/>
        <v>x</v>
      </c>
      <c r="N258" s="205" t="str">
        <f t="shared" si="55"/>
        <v/>
      </c>
      <c r="O258" s="205" t="str">
        <f t="shared" si="55"/>
        <v>model</v>
      </c>
      <c r="P258" s="206" t="str">
        <f t="shared" si="55"/>
        <v>Boolean</v>
      </c>
      <c r="Q258" s="206" t="str">
        <f t="shared" si="55"/>
        <v>x</v>
      </c>
      <c r="R258" s="206" t="str">
        <f t="shared" si="55"/>
        <v>BS</v>
      </c>
      <c r="S258" s="206" t="str">
        <f t="shared" si="55"/>
        <v>all</v>
      </c>
      <c r="T258" s="205">
        <f t="shared" si="55"/>
        <v>1</v>
      </c>
      <c r="U258" s="205" t="str">
        <f t="shared" si="55"/>
        <v>Sturz direkt über der Tür</v>
      </c>
      <c r="V258" s="205" t="str">
        <f t="shared" si="55"/>
        <v>x</v>
      </c>
      <c r="W258" s="205" t="str">
        <f t="shared" si="55"/>
        <v/>
      </c>
      <c r="X258" s="205" t="str">
        <f t="shared" si="55"/>
        <v/>
      </c>
      <c r="Y258" s="205" t="str">
        <f t="shared" si="55"/>
        <v>gs_AutomaticArchHeight</v>
      </c>
    </row>
    <row r="259" spans="1:25">
      <c r="A259" s="204">
        <f t="shared" ref="A259:A322" si="56">ROW()-ROW($A$2)</f>
        <v>257</v>
      </c>
      <c r="B259" s="205" t="str">
        <f t="shared" si="54"/>
        <v>x</v>
      </c>
      <c r="C259" s="205" t="str">
        <f t="shared" si="54"/>
        <v/>
      </c>
      <c r="D259" s="205" t="str">
        <f t="shared" si="54"/>
        <v/>
      </c>
      <c r="E259" s="205" t="str">
        <f t="shared" si="54"/>
        <v/>
      </c>
      <c r="F259" s="205" t="str">
        <f t="shared" si="54"/>
        <v/>
      </c>
      <c r="G259" s="205" t="str">
        <f t="shared" si="54"/>
        <v/>
      </c>
      <c r="H259" s="205" t="str">
        <f t="shared" si="54"/>
        <v/>
      </c>
      <c r="I259" s="205" t="str">
        <f t="shared" si="54"/>
        <v/>
      </c>
      <c r="J259" s="205" t="str">
        <f t="shared" si="54"/>
        <v/>
      </c>
      <c r="K259" s="205" t="str">
        <f t="shared" si="54"/>
        <v/>
      </c>
      <c r="L259" s="205" t="str">
        <f t="shared" si="55"/>
        <v>info</v>
      </c>
      <c r="M259" s="205" t="str">
        <f t="shared" si="55"/>
        <v>x</v>
      </c>
      <c r="N259" s="205" t="str">
        <f t="shared" si="55"/>
        <v/>
      </c>
      <c r="O259" s="205" t="str">
        <f t="shared" si="55"/>
        <v>model</v>
      </c>
      <c r="P259" s="206" t="str">
        <f t="shared" si="55"/>
        <v>Length</v>
      </c>
      <c r="Q259" s="206" t="str">
        <f t="shared" si="55"/>
        <v>x</v>
      </c>
      <c r="R259" s="206" t="str">
        <f t="shared" si="55"/>
        <v>BS</v>
      </c>
      <c r="S259" s="206" t="str">
        <f t="shared" si="55"/>
        <v>all</v>
      </c>
      <c r="T259" s="205" t="str">
        <f t="shared" si="55"/>
        <v/>
      </c>
      <c r="U259" s="205" t="str">
        <f t="shared" si="55"/>
        <v>Distanz zwischen Bogen und Tür</v>
      </c>
      <c r="V259" s="205" t="str">
        <f t="shared" si="55"/>
        <v>x</v>
      </c>
      <c r="W259" s="205" t="str">
        <f t="shared" si="55"/>
        <v/>
      </c>
      <c r="X259" s="205" t="str">
        <f t="shared" si="55"/>
        <v/>
      </c>
      <c r="Y259" s="205" t="str">
        <f t="shared" si="55"/>
        <v>gs_MasonryArch_height</v>
      </c>
    </row>
    <row r="260" spans="1:25">
      <c r="A260" s="204">
        <f t="shared" si="56"/>
        <v>258</v>
      </c>
      <c r="B260" s="205" t="str">
        <f t="shared" si="54"/>
        <v>x</v>
      </c>
      <c r="C260" s="205" t="str">
        <f t="shared" si="54"/>
        <v/>
      </c>
      <c r="D260" s="205" t="str">
        <f t="shared" si="54"/>
        <v/>
      </c>
      <c r="E260" s="205" t="str">
        <f t="shared" si="54"/>
        <v/>
      </c>
      <c r="F260" s="205" t="str">
        <f t="shared" si="54"/>
        <v/>
      </c>
      <c r="G260" s="205" t="str">
        <f t="shared" si="54"/>
        <v/>
      </c>
      <c r="H260" s="205" t="str">
        <f t="shared" si="54"/>
        <v/>
      </c>
      <c r="I260" s="205" t="str">
        <f t="shared" si="54"/>
        <v/>
      </c>
      <c r="J260" s="205" t="str">
        <f t="shared" si="54"/>
        <v/>
      </c>
      <c r="K260" s="205" t="str">
        <f t="shared" si="54"/>
        <v/>
      </c>
      <c r="L260" s="205" t="str">
        <f t="shared" si="55"/>
        <v>info</v>
      </c>
      <c r="M260" s="205" t="str">
        <f t="shared" si="55"/>
        <v>x</v>
      </c>
      <c r="N260" s="205" t="str">
        <f t="shared" si="55"/>
        <v/>
      </c>
      <c r="O260" s="205" t="str">
        <f t="shared" si="55"/>
        <v>model</v>
      </c>
      <c r="P260" s="206" t="str">
        <f t="shared" si="55"/>
        <v>Boolean</v>
      </c>
      <c r="Q260" s="206" t="str">
        <f t="shared" si="55"/>
        <v>x</v>
      </c>
      <c r="R260" s="206" t="str">
        <f t="shared" si="55"/>
        <v>BS</v>
      </c>
      <c r="S260" s="206" t="str">
        <f t="shared" si="55"/>
        <v>all</v>
      </c>
      <c r="T260" s="205">
        <f t="shared" si="55"/>
        <v>1</v>
      </c>
      <c r="U260" s="205" t="str">
        <f t="shared" si="55"/>
        <v>Nische unterm Bogen</v>
      </c>
      <c r="V260" s="205" t="str">
        <f t="shared" si="55"/>
        <v>x</v>
      </c>
      <c r="W260" s="205" t="str">
        <f t="shared" si="55"/>
        <v/>
      </c>
      <c r="X260" s="205" t="str">
        <f t="shared" si="55"/>
        <v/>
      </c>
      <c r="Y260" s="205" t="str">
        <f t="shared" si="55"/>
        <v>gs_NicheBelowArch</v>
      </c>
    </row>
    <row r="261" spans="1:25">
      <c r="A261" s="204">
        <f t="shared" si="56"/>
        <v>259</v>
      </c>
      <c r="B261" s="205" t="str">
        <f t="shared" si="54"/>
        <v>x</v>
      </c>
      <c r="C261" s="205" t="str">
        <f t="shared" si="54"/>
        <v/>
      </c>
      <c r="D261" s="205" t="str">
        <f t="shared" si="54"/>
        <v/>
      </c>
      <c r="E261" s="205" t="str">
        <f t="shared" si="54"/>
        <v/>
      </c>
      <c r="F261" s="205" t="str">
        <f t="shared" si="54"/>
        <v/>
      </c>
      <c r="G261" s="205" t="str">
        <f t="shared" si="54"/>
        <v/>
      </c>
      <c r="H261" s="205" t="str">
        <f t="shared" si="54"/>
        <v/>
      </c>
      <c r="I261" s="205" t="str">
        <f t="shared" si="54"/>
        <v/>
      </c>
      <c r="J261" s="205" t="str">
        <f t="shared" si="54"/>
        <v/>
      </c>
      <c r="K261" s="205" t="str">
        <f t="shared" si="54"/>
        <v/>
      </c>
      <c r="L261" s="205" t="str">
        <f t="shared" si="55"/>
        <v>info</v>
      </c>
      <c r="M261" s="205" t="str">
        <f t="shared" si="55"/>
        <v>x</v>
      </c>
      <c r="N261" s="205" t="str">
        <f t="shared" si="55"/>
        <v/>
      </c>
      <c r="O261" s="205" t="str">
        <f t="shared" si="55"/>
        <v>model</v>
      </c>
      <c r="P261" s="206" t="str">
        <f t="shared" si="55"/>
        <v>Length</v>
      </c>
      <c r="Q261" s="206" t="str">
        <f t="shared" si="55"/>
        <v>x</v>
      </c>
      <c r="R261" s="206" t="str">
        <f t="shared" si="55"/>
        <v>BS</v>
      </c>
      <c r="S261" s="206" t="str">
        <f t="shared" si="55"/>
        <v>all</v>
      </c>
      <c r="T261" s="205" t="str">
        <f t="shared" si="55"/>
        <v/>
      </c>
      <c r="U261" s="205" t="str">
        <f t="shared" si="55"/>
        <v>Sturz Überhang links</v>
      </c>
      <c r="V261" s="205" t="str">
        <f t="shared" si="55"/>
        <v>x</v>
      </c>
      <c r="W261" s="205" t="str">
        <f t="shared" si="55"/>
        <v/>
      </c>
      <c r="X261" s="205" t="str">
        <f t="shared" si="55"/>
        <v/>
      </c>
      <c r="Y261" s="205" t="str">
        <f t="shared" si="55"/>
        <v>gs_masonry_arch_ovhg_left</v>
      </c>
    </row>
    <row r="262" spans="1:25">
      <c r="A262" s="204">
        <f t="shared" si="56"/>
        <v>260</v>
      </c>
      <c r="B262" s="205" t="str">
        <f t="shared" si="54"/>
        <v>x</v>
      </c>
      <c r="C262" s="205" t="str">
        <f t="shared" si="54"/>
        <v/>
      </c>
      <c r="D262" s="205" t="str">
        <f t="shared" si="54"/>
        <v/>
      </c>
      <c r="E262" s="205" t="str">
        <f t="shared" si="54"/>
        <v/>
      </c>
      <c r="F262" s="205" t="str">
        <f t="shared" si="54"/>
        <v/>
      </c>
      <c r="G262" s="205" t="str">
        <f t="shared" si="54"/>
        <v/>
      </c>
      <c r="H262" s="205" t="str">
        <f t="shared" si="54"/>
        <v/>
      </c>
      <c r="I262" s="205" t="str">
        <f t="shared" si="54"/>
        <v/>
      </c>
      <c r="J262" s="205" t="str">
        <f t="shared" si="54"/>
        <v/>
      </c>
      <c r="K262" s="205" t="str">
        <f t="shared" si="54"/>
        <v/>
      </c>
      <c r="L262" s="205" t="str">
        <f t="shared" si="55"/>
        <v>info</v>
      </c>
      <c r="M262" s="205" t="str">
        <f t="shared" si="55"/>
        <v>x</v>
      </c>
      <c r="N262" s="205" t="str">
        <f t="shared" si="55"/>
        <v/>
      </c>
      <c r="O262" s="205" t="str">
        <f t="shared" si="55"/>
        <v>model</v>
      </c>
      <c r="P262" s="206" t="str">
        <f t="shared" si="55"/>
        <v>Length</v>
      </c>
      <c r="Q262" s="206" t="str">
        <f t="shared" si="55"/>
        <v>x</v>
      </c>
      <c r="R262" s="206" t="str">
        <f t="shared" si="55"/>
        <v>BS</v>
      </c>
      <c r="S262" s="206" t="str">
        <f t="shared" si="55"/>
        <v>all</v>
      </c>
      <c r="T262" s="205" t="str">
        <f t="shared" si="55"/>
        <v/>
      </c>
      <c r="U262" s="205" t="str">
        <f t="shared" si="55"/>
        <v>Sturz Überhang rechts</v>
      </c>
      <c r="V262" s="205" t="str">
        <f t="shared" si="55"/>
        <v>x</v>
      </c>
      <c r="W262" s="205" t="str">
        <f t="shared" si="55"/>
        <v/>
      </c>
      <c r="X262" s="205" t="str">
        <f t="shared" si="55"/>
        <v/>
      </c>
      <c r="Y262" s="205" t="str">
        <f t="shared" si="55"/>
        <v>gs_masonry_arch_ovhg_right</v>
      </c>
    </row>
    <row r="263" spans="1:25">
      <c r="A263" s="204">
        <f t="shared" si="56"/>
        <v>261</v>
      </c>
      <c r="B263" s="205" t="str">
        <f t="shared" ref="B263:K272" si="57">IF(ISNONTEXT(B$2),IF(B$2="","",IF(INDEX(IMPORT,$A263,B$2)=0,"",IFERROR(VLOOKUP(INDEX(IMPORT,$A263,B$2),ImportTranslation,2,0),INDEX(IMPORT,$A263,B$2)))),B$2)</f>
        <v>x</v>
      </c>
      <c r="C263" s="205" t="str">
        <f t="shared" si="57"/>
        <v/>
      </c>
      <c r="D263" s="205" t="str">
        <f t="shared" si="57"/>
        <v/>
      </c>
      <c r="E263" s="205" t="str">
        <f t="shared" si="57"/>
        <v/>
      </c>
      <c r="F263" s="205" t="str">
        <f t="shared" si="57"/>
        <v/>
      </c>
      <c r="G263" s="205" t="str">
        <f t="shared" si="57"/>
        <v/>
      </c>
      <c r="H263" s="205" t="str">
        <f t="shared" si="57"/>
        <v/>
      </c>
      <c r="I263" s="205" t="str">
        <f t="shared" si="57"/>
        <v/>
      </c>
      <c r="J263" s="205" t="str">
        <f t="shared" si="57"/>
        <v/>
      </c>
      <c r="K263" s="205" t="str">
        <f t="shared" si="57"/>
        <v/>
      </c>
      <c r="L263" s="205" t="str">
        <f t="shared" ref="L263:Y272" si="58">IF(ISNONTEXT(L$2),IF(L$2="","",IF(INDEX(IMPORT,$A263,L$2)=0,"",IFERROR(VLOOKUP(INDEX(IMPORT,$A263,L$2),ImportTranslation,2,0),INDEX(IMPORT,$A263,L$2)))),L$2)</f>
        <v>info</v>
      </c>
      <c r="M263" s="205" t="str">
        <f t="shared" si="58"/>
        <v>x</v>
      </c>
      <c r="N263" s="205" t="str">
        <f t="shared" si="58"/>
        <v/>
      </c>
      <c r="O263" s="205" t="str">
        <f t="shared" si="58"/>
        <v>model</v>
      </c>
      <c r="P263" s="206" t="str">
        <f t="shared" si="58"/>
        <v>Length</v>
      </c>
      <c r="Q263" s="206" t="str">
        <f t="shared" si="58"/>
        <v>x</v>
      </c>
      <c r="R263" s="206" t="str">
        <f t="shared" si="58"/>
        <v>BS</v>
      </c>
      <c r="S263" s="206" t="str">
        <f t="shared" si="58"/>
        <v>all</v>
      </c>
      <c r="T263" s="205">
        <f t="shared" si="58"/>
        <v>0.03</v>
      </c>
      <c r="U263" s="205" t="str">
        <f t="shared" si="58"/>
        <v>Sturz Bogenhöhe</v>
      </c>
      <c r="V263" s="205" t="str">
        <f t="shared" si="58"/>
        <v>x</v>
      </c>
      <c r="W263" s="205" t="str">
        <f t="shared" si="58"/>
        <v/>
      </c>
      <c r="X263" s="205" t="str">
        <f t="shared" si="58"/>
        <v/>
      </c>
      <c r="Y263" s="205" t="str">
        <f t="shared" si="58"/>
        <v>gs_masonry_arch_rise</v>
      </c>
    </row>
    <row r="264" spans="1:25">
      <c r="A264" s="204">
        <f t="shared" si="56"/>
        <v>262</v>
      </c>
      <c r="B264" s="205" t="str">
        <f t="shared" si="57"/>
        <v>x</v>
      </c>
      <c r="C264" s="205" t="str">
        <f t="shared" si="57"/>
        <v/>
      </c>
      <c r="D264" s="205" t="str">
        <f t="shared" si="57"/>
        <v/>
      </c>
      <c r="E264" s="205" t="str">
        <f t="shared" si="57"/>
        <v/>
      </c>
      <c r="F264" s="205" t="str">
        <f t="shared" si="57"/>
        <v/>
      </c>
      <c r="G264" s="205" t="str">
        <f t="shared" si="57"/>
        <v/>
      </c>
      <c r="H264" s="205" t="str">
        <f t="shared" si="57"/>
        <v/>
      </c>
      <c r="I264" s="205" t="str">
        <f t="shared" si="57"/>
        <v/>
      </c>
      <c r="J264" s="205" t="str">
        <f t="shared" si="57"/>
        <v/>
      </c>
      <c r="K264" s="205" t="str">
        <f t="shared" si="57"/>
        <v/>
      </c>
      <c r="L264" s="205" t="str">
        <f t="shared" si="58"/>
        <v>info</v>
      </c>
      <c r="M264" s="205" t="str">
        <f t="shared" si="58"/>
        <v>x</v>
      </c>
      <c r="N264" s="205" t="str">
        <f t="shared" si="58"/>
        <v/>
      </c>
      <c r="O264" s="205" t="str">
        <f t="shared" si="58"/>
        <v>model</v>
      </c>
      <c r="P264" s="206" t="str">
        <f t="shared" si="58"/>
        <v>Angle</v>
      </c>
      <c r="Q264" s="206" t="str">
        <f t="shared" si="58"/>
        <v>x</v>
      </c>
      <c r="R264" s="206" t="str">
        <f t="shared" si="58"/>
        <v>BS</v>
      </c>
      <c r="S264" s="206" t="str">
        <f t="shared" si="58"/>
        <v>all</v>
      </c>
      <c r="T264" s="205">
        <f t="shared" si="58"/>
        <v>75</v>
      </c>
      <c r="U264" s="205" t="str">
        <f t="shared" si="58"/>
        <v>Neigungswinkel</v>
      </c>
      <c r="V264" s="205" t="str">
        <f t="shared" si="58"/>
        <v>x</v>
      </c>
      <c r="W264" s="205" t="str">
        <f t="shared" si="58"/>
        <v/>
      </c>
      <c r="X264" s="205" t="str">
        <f t="shared" si="58"/>
        <v/>
      </c>
      <c r="Y264" s="205" t="str">
        <f t="shared" si="58"/>
        <v>gs_masonry_arch_skewback_angle</v>
      </c>
    </row>
    <row r="265" spans="1:25">
      <c r="A265" s="204">
        <f t="shared" si="56"/>
        <v>263</v>
      </c>
      <c r="B265" s="205" t="str">
        <f t="shared" si="57"/>
        <v>x</v>
      </c>
      <c r="C265" s="205" t="str">
        <f t="shared" si="57"/>
        <v/>
      </c>
      <c r="D265" s="205" t="str">
        <f t="shared" si="57"/>
        <v/>
      </c>
      <c r="E265" s="205" t="str">
        <f t="shared" si="57"/>
        <v/>
      </c>
      <c r="F265" s="205" t="str">
        <f t="shared" si="57"/>
        <v/>
      </c>
      <c r="G265" s="205" t="str">
        <f t="shared" si="57"/>
        <v/>
      </c>
      <c r="H265" s="205" t="str">
        <f t="shared" si="57"/>
        <v/>
      </c>
      <c r="I265" s="205" t="str">
        <f t="shared" si="57"/>
        <v/>
      </c>
      <c r="J265" s="205" t="str">
        <f t="shared" si="57"/>
        <v/>
      </c>
      <c r="K265" s="205" t="str">
        <f t="shared" si="57"/>
        <v/>
      </c>
      <c r="L265" s="205" t="str">
        <f t="shared" si="58"/>
        <v>info</v>
      </c>
      <c r="M265" s="205" t="str">
        <f t="shared" si="58"/>
        <v>x</v>
      </c>
      <c r="N265" s="205" t="str">
        <f t="shared" si="58"/>
        <v/>
      </c>
      <c r="O265" s="205" t="str">
        <f t="shared" si="58"/>
        <v>model</v>
      </c>
      <c r="P265" s="206" t="str">
        <f t="shared" si="58"/>
        <v>Length</v>
      </c>
      <c r="Q265" s="206" t="str">
        <f t="shared" si="58"/>
        <v>x</v>
      </c>
      <c r="R265" s="206" t="str">
        <f t="shared" si="58"/>
        <v>BS</v>
      </c>
      <c r="S265" s="206" t="str">
        <f t="shared" si="58"/>
        <v>all</v>
      </c>
      <c r="T265" s="205" t="str">
        <f t="shared" si="58"/>
        <v/>
      </c>
      <c r="U265" s="205" t="str">
        <f t="shared" si="58"/>
        <v>Projektion Sturz</v>
      </c>
      <c r="V265" s="205" t="str">
        <f t="shared" si="58"/>
        <v>x</v>
      </c>
      <c r="W265" s="205" t="str">
        <f t="shared" si="58"/>
        <v/>
      </c>
      <c r="X265" s="205" t="str">
        <f t="shared" si="58"/>
        <v/>
      </c>
      <c r="Y265" s="205" t="str">
        <f t="shared" si="58"/>
        <v>gs_masonry_arch_proj</v>
      </c>
    </row>
    <row r="266" spans="1:25">
      <c r="A266" s="204">
        <f t="shared" si="56"/>
        <v>264</v>
      </c>
      <c r="B266" s="205" t="str">
        <f t="shared" si="57"/>
        <v>x</v>
      </c>
      <c r="C266" s="205" t="str">
        <f t="shared" si="57"/>
        <v/>
      </c>
      <c r="D266" s="205" t="str">
        <f t="shared" si="57"/>
        <v/>
      </c>
      <c r="E266" s="205" t="str">
        <f t="shared" si="57"/>
        <v/>
      </c>
      <c r="F266" s="205" t="str">
        <f t="shared" si="57"/>
        <v/>
      </c>
      <c r="G266" s="205" t="str">
        <f t="shared" si="57"/>
        <v/>
      </c>
      <c r="H266" s="205" t="str">
        <f t="shared" si="57"/>
        <v/>
      </c>
      <c r="I266" s="205" t="str">
        <f t="shared" si="57"/>
        <v/>
      </c>
      <c r="J266" s="205" t="str">
        <f t="shared" si="57"/>
        <v/>
      </c>
      <c r="K266" s="205" t="str">
        <f t="shared" si="57"/>
        <v/>
      </c>
      <c r="L266" s="205" t="str">
        <f t="shared" si="58"/>
        <v>info</v>
      </c>
      <c r="M266" s="205" t="str">
        <f t="shared" si="58"/>
        <v>x</v>
      </c>
      <c r="N266" s="205" t="str">
        <f t="shared" si="58"/>
        <v/>
      </c>
      <c r="O266" s="205" t="str">
        <f t="shared" si="58"/>
        <v>model</v>
      </c>
      <c r="P266" s="206" t="str">
        <f t="shared" si="58"/>
        <v>Length</v>
      </c>
      <c r="Q266" s="206" t="str">
        <f t="shared" si="58"/>
        <v>x</v>
      </c>
      <c r="R266" s="206" t="str">
        <f t="shared" si="58"/>
        <v>BS</v>
      </c>
      <c r="S266" s="206" t="str">
        <f t="shared" si="58"/>
        <v>all</v>
      </c>
      <c r="T266" s="205">
        <f t="shared" si="58"/>
        <v>0.24</v>
      </c>
      <c r="U266" s="205" t="str">
        <f t="shared" si="58"/>
        <v>Höhe Sichtmauerwerk</v>
      </c>
      <c r="V266" s="205" t="str">
        <f t="shared" si="58"/>
        <v>x</v>
      </c>
      <c r="W266" s="205" t="str">
        <f t="shared" si="58"/>
        <v/>
      </c>
      <c r="X266" s="205" t="str">
        <f t="shared" si="58"/>
        <v/>
      </c>
      <c r="Y266" s="205" t="str">
        <f t="shared" si="58"/>
        <v>gs_masonry_arch_height</v>
      </c>
    </row>
    <row r="267" spans="1:25">
      <c r="A267" s="204">
        <f t="shared" si="56"/>
        <v>265</v>
      </c>
      <c r="B267" s="205" t="str">
        <f t="shared" si="57"/>
        <v>x</v>
      </c>
      <c r="C267" s="205" t="str">
        <f t="shared" si="57"/>
        <v/>
      </c>
      <c r="D267" s="205" t="str">
        <f t="shared" si="57"/>
        <v/>
      </c>
      <c r="E267" s="205" t="str">
        <f t="shared" si="57"/>
        <v/>
      </c>
      <c r="F267" s="205" t="str">
        <f t="shared" si="57"/>
        <v/>
      </c>
      <c r="G267" s="205" t="str">
        <f t="shared" si="57"/>
        <v/>
      </c>
      <c r="H267" s="205" t="str">
        <f t="shared" si="57"/>
        <v/>
      </c>
      <c r="I267" s="205" t="str">
        <f t="shared" si="57"/>
        <v/>
      </c>
      <c r="J267" s="205" t="str">
        <f t="shared" si="57"/>
        <v/>
      </c>
      <c r="K267" s="205" t="str">
        <f t="shared" si="57"/>
        <v/>
      </c>
      <c r="L267" s="205" t="str">
        <f t="shared" si="58"/>
        <v>info</v>
      </c>
      <c r="M267" s="205" t="str">
        <f t="shared" si="58"/>
        <v>x</v>
      </c>
      <c r="N267" s="205" t="str">
        <f t="shared" si="58"/>
        <v/>
      </c>
      <c r="O267" s="205" t="str">
        <f t="shared" si="58"/>
        <v>model</v>
      </c>
      <c r="P267" s="206" t="str">
        <f t="shared" si="58"/>
        <v>Length</v>
      </c>
      <c r="Q267" s="206" t="str">
        <f t="shared" si="58"/>
        <v>x</v>
      </c>
      <c r="R267" s="206" t="str">
        <f t="shared" si="58"/>
        <v>BS</v>
      </c>
      <c r="S267" s="206" t="str">
        <f t="shared" si="58"/>
        <v>all</v>
      </c>
      <c r="T267" s="205">
        <f t="shared" si="58"/>
        <v>0.115</v>
      </c>
      <c r="U267" s="205" t="str">
        <f t="shared" si="58"/>
        <v>Tiefe Sichtmauerwerk</v>
      </c>
      <c r="V267" s="205" t="str">
        <f t="shared" si="58"/>
        <v>x</v>
      </c>
      <c r="W267" s="205" t="str">
        <f t="shared" si="58"/>
        <v/>
      </c>
      <c r="X267" s="205" t="str">
        <f t="shared" si="58"/>
        <v/>
      </c>
      <c r="Y267" s="205" t="str">
        <f t="shared" si="58"/>
        <v>gs_masonry_arch_depth</v>
      </c>
    </row>
    <row r="268" spans="1:25">
      <c r="A268" s="204">
        <f t="shared" si="56"/>
        <v>266</v>
      </c>
      <c r="B268" s="205" t="str">
        <f t="shared" si="57"/>
        <v>x</v>
      </c>
      <c r="C268" s="205" t="str">
        <f t="shared" si="57"/>
        <v/>
      </c>
      <c r="D268" s="205" t="str">
        <f t="shared" si="57"/>
        <v/>
      </c>
      <c r="E268" s="205" t="str">
        <f t="shared" si="57"/>
        <v/>
      </c>
      <c r="F268" s="205" t="str">
        <f t="shared" si="57"/>
        <v/>
      </c>
      <c r="G268" s="205" t="str">
        <f t="shared" si="57"/>
        <v/>
      </c>
      <c r="H268" s="205" t="str">
        <f t="shared" si="57"/>
        <v/>
      </c>
      <c r="I268" s="205" t="str">
        <f t="shared" si="57"/>
        <v/>
      </c>
      <c r="J268" s="205" t="str">
        <f t="shared" si="57"/>
        <v/>
      </c>
      <c r="K268" s="205" t="str">
        <f t="shared" si="57"/>
        <v/>
      </c>
      <c r="L268" s="205" t="str">
        <f t="shared" si="58"/>
        <v>info</v>
      </c>
      <c r="M268" s="205" t="str">
        <f t="shared" si="58"/>
        <v>x</v>
      </c>
      <c r="N268" s="205" t="str">
        <f t="shared" si="58"/>
        <v/>
      </c>
      <c r="O268" s="205" t="str">
        <f t="shared" si="58"/>
        <v>model</v>
      </c>
      <c r="P268" s="206" t="str">
        <f t="shared" si="58"/>
        <v>Length</v>
      </c>
      <c r="Q268" s="206" t="str">
        <f t="shared" si="58"/>
        <v>x</v>
      </c>
      <c r="R268" s="206" t="str">
        <f t="shared" si="58"/>
        <v>BS</v>
      </c>
      <c r="S268" s="206" t="str">
        <f t="shared" si="58"/>
        <v>all</v>
      </c>
      <c r="T268" s="205" t="str">
        <f t="shared" si="58"/>
        <v/>
      </c>
      <c r="U268" s="205" t="str">
        <f t="shared" si="58"/>
        <v>Hintere Lochtiefe</v>
      </c>
      <c r="V268" s="205" t="str">
        <f t="shared" si="58"/>
        <v>x</v>
      </c>
      <c r="W268" s="205" t="str">
        <f t="shared" si="58"/>
        <v/>
      </c>
      <c r="X268" s="205" t="str">
        <f t="shared" si="58"/>
        <v/>
      </c>
      <c r="Y268" s="205" t="str">
        <f t="shared" si="58"/>
        <v>gs_masonry_arch_rearHoleDepth</v>
      </c>
    </row>
    <row r="269" spans="1:25">
      <c r="A269" s="204">
        <f t="shared" si="56"/>
        <v>267</v>
      </c>
      <c r="B269" s="205" t="str">
        <f t="shared" si="57"/>
        <v>x</v>
      </c>
      <c r="C269" s="205" t="str">
        <f t="shared" si="57"/>
        <v/>
      </c>
      <c r="D269" s="205" t="str">
        <f t="shared" si="57"/>
        <v/>
      </c>
      <c r="E269" s="205" t="str">
        <f t="shared" si="57"/>
        <v/>
      </c>
      <c r="F269" s="205" t="str">
        <f t="shared" si="57"/>
        <v/>
      </c>
      <c r="G269" s="205" t="str">
        <f t="shared" si="57"/>
        <v/>
      </c>
      <c r="H269" s="205" t="str">
        <f t="shared" si="57"/>
        <v/>
      </c>
      <c r="I269" s="205" t="str">
        <f t="shared" si="57"/>
        <v/>
      </c>
      <c r="J269" s="205" t="str">
        <f t="shared" si="57"/>
        <v/>
      </c>
      <c r="K269" s="205" t="str">
        <f t="shared" si="57"/>
        <v/>
      </c>
      <c r="L269" s="205" t="str">
        <f t="shared" si="58"/>
        <v>info</v>
      </c>
      <c r="M269" s="205" t="str">
        <f t="shared" si="58"/>
        <v>x</v>
      </c>
      <c r="N269" s="205" t="str">
        <f t="shared" si="58"/>
        <v/>
      </c>
      <c r="O269" s="205" t="str">
        <f t="shared" si="58"/>
        <v>model</v>
      </c>
      <c r="P269" s="206" t="str">
        <f t="shared" si="58"/>
        <v>Length</v>
      </c>
      <c r="Q269" s="206" t="str">
        <f t="shared" si="58"/>
        <v>x</v>
      </c>
      <c r="R269" s="206" t="str">
        <f t="shared" si="58"/>
        <v>BS</v>
      </c>
      <c r="S269" s="206" t="str">
        <f t="shared" si="58"/>
        <v>all</v>
      </c>
      <c r="T269" s="205">
        <f t="shared" si="58"/>
        <v>5.2000000000000005E-2</v>
      </c>
      <c r="U269" s="205" t="str">
        <f t="shared" si="58"/>
        <v>Steinbreite</v>
      </c>
      <c r="V269" s="205" t="str">
        <f t="shared" si="58"/>
        <v>x</v>
      </c>
      <c r="W269" s="205" t="str">
        <f t="shared" si="58"/>
        <v/>
      </c>
      <c r="X269" s="205" t="str">
        <f t="shared" si="58"/>
        <v/>
      </c>
      <c r="Y269" s="205" t="str">
        <f t="shared" si="58"/>
        <v>gs_masonry_arch_brick_thk</v>
      </c>
    </row>
    <row r="270" spans="1:25">
      <c r="A270" s="204">
        <f t="shared" si="56"/>
        <v>268</v>
      </c>
      <c r="B270" s="205" t="str">
        <f t="shared" si="57"/>
        <v>x</v>
      </c>
      <c r="C270" s="205" t="str">
        <f t="shared" si="57"/>
        <v/>
      </c>
      <c r="D270" s="205" t="str">
        <f t="shared" si="57"/>
        <v/>
      </c>
      <c r="E270" s="205" t="str">
        <f t="shared" si="57"/>
        <v/>
      </c>
      <c r="F270" s="205" t="str">
        <f t="shared" si="57"/>
        <v/>
      </c>
      <c r="G270" s="205" t="str">
        <f t="shared" si="57"/>
        <v/>
      </c>
      <c r="H270" s="205" t="str">
        <f t="shared" si="57"/>
        <v/>
      </c>
      <c r="I270" s="205" t="str">
        <f t="shared" si="57"/>
        <v/>
      </c>
      <c r="J270" s="205" t="str">
        <f t="shared" si="57"/>
        <v/>
      </c>
      <c r="K270" s="205" t="str">
        <f t="shared" si="57"/>
        <v/>
      </c>
      <c r="L270" s="205" t="str">
        <f t="shared" si="58"/>
        <v>info</v>
      </c>
      <c r="M270" s="205" t="str">
        <f t="shared" si="58"/>
        <v>x</v>
      </c>
      <c r="N270" s="205" t="str">
        <f t="shared" si="58"/>
        <v/>
      </c>
      <c r="O270" s="205" t="str">
        <f t="shared" si="58"/>
        <v>model</v>
      </c>
      <c r="P270" s="206" t="str">
        <f t="shared" si="58"/>
        <v>Length</v>
      </c>
      <c r="Q270" s="206" t="str">
        <f t="shared" si="58"/>
        <v>x</v>
      </c>
      <c r="R270" s="206" t="str">
        <f t="shared" si="58"/>
        <v>BS</v>
      </c>
      <c r="S270" s="206" t="str">
        <f t="shared" si="58"/>
        <v>all</v>
      </c>
      <c r="T270" s="205">
        <f t="shared" si="58"/>
        <v>0.01</v>
      </c>
      <c r="U270" s="205" t="str">
        <f t="shared" si="58"/>
        <v>Fugenbreite</v>
      </c>
      <c r="V270" s="205" t="str">
        <f t="shared" si="58"/>
        <v>x</v>
      </c>
      <c r="W270" s="205" t="str">
        <f t="shared" si="58"/>
        <v/>
      </c>
      <c r="X270" s="205" t="str">
        <f t="shared" si="58"/>
        <v/>
      </c>
      <c r="Y270" s="205" t="str">
        <f t="shared" si="58"/>
        <v>gs_masonry_arch_mort_thk</v>
      </c>
    </row>
    <row r="271" spans="1:25">
      <c r="A271" s="204">
        <f t="shared" si="56"/>
        <v>269</v>
      </c>
      <c r="B271" s="205" t="str">
        <f t="shared" si="57"/>
        <v>x</v>
      </c>
      <c r="C271" s="205" t="str">
        <f t="shared" si="57"/>
        <v/>
      </c>
      <c r="D271" s="205" t="str">
        <f t="shared" si="57"/>
        <v/>
      </c>
      <c r="E271" s="205" t="str">
        <f t="shared" si="57"/>
        <v/>
      </c>
      <c r="F271" s="205" t="str">
        <f t="shared" si="57"/>
        <v/>
      </c>
      <c r="G271" s="205" t="str">
        <f t="shared" si="57"/>
        <v/>
      </c>
      <c r="H271" s="205" t="str">
        <f t="shared" si="57"/>
        <v/>
      </c>
      <c r="I271" s="205" t="str">
        <f t="shared" si="57"/>
        <v/>
      </c>
      <c r="J271" s="205" t="str">
        <f t="shared" si="57"/>
        <v/>
      </c>
      <c r="K271" s="205" t="str">
        <f t="shared" si="57"/>
        <v/>
      </c>
      <c r="L271" s="205" t="str">
        <f t="shared" si="58"/>
        <v>info</v>
      </c>
      <c r="M271" s="205" t="str">
        <f t="shared" si="58"/>
        <v>x</v>
      </c>
      <c r="N271" s="205" t="str">
        <f t="shared" si="58"/>
        <v/>
      </c>
      <c r="O271" s="205" t="str">
        <f t="shared" si="58"/>
        <v>model</v>
      </c>
      <c r="P271" s="206" t="str">
        <f t="shared" si="58"/>
        <v>Length</v>
      </c>
      <c r="Q271" s="206" t="str">
        <f t="shared" si="58"/>
        <v>x</v>
      </c>
      <c r="R271" s="206" t="str">
        <f t="shared" si="58"/>
        <v>BS</v>
      </c>
      <c r="S271" s="206" t="str">
        <f t="shared" si="58"/>
        <v>all</v>
      </c>
      <c r="T271" s="205">
        <f t="shared" si="58"/>
        <v>0.1</v>
      </c>
      <c r="U271" s="205" t="str">
        <f t="shared" si="58"/>
        <v>Keilsteinbreite</v>
      </c>
      <c r="V271" s="205" t="str">
        <f t="shared" si="58"/>
        <v>x</v>
      </c>
      <c r="W271" s="205" t="str">
        <f t="shared" si="58"/>
        <v/>
      </c>
      <c r="X271" s="205" t="str">
        <f t="shared" si="58"/>
        <v/>
      </c>
      <c r="Y271" s="205" t="str">
        <f t="shared" si="58"/>
        <v>gs_masonry_arch_keystone_width</v>
      </c>
    </row>
    <row r="272" spans="1:25">
      <c r="A272" s="204">
        <f t="shared" si="56"/>
        <v>270</v>
      </c>
      <c r="B272" s="205" t="str">
        <f t="shared" si="57"/>
        <v>x</v>
      </c>
      <c r="C272" s="205" t="str">
        <f t="shared" si="57"/>
        <v/>
      </c>
      <c r="D272" s="205" t="str">
        <f t="shared" si="57"/>
        <v/>
      </c>
      <c r="E272" s="205" t="str">
        <f t="shared" si="57"/>
        <v/>
      </c>
      <c r="F272" s="205" t="str">
        <f t="shared" si="57"/>
        <v/>
      </c>
      <c r="G272" s="205" t="str">
        <f t="shared" si="57"/>
        <v/>
      </c>
      <c r="H272" s="205" t="str">
        <f t="shared" si="57"/>
        <v/>
      </c>
      <c r="I272" s="205" t="str">
        <f t="shared" si="57"/>
        <v/>
      </c>
      <c r="J272" s="205" t="str">
        <f t="shared" si="57"/>
        <v/>
      </c>
      <c r="K272" s="205" t="str">
        <f t="shared" si="57"/>
        <v/>
      </c>
      <c r="L272" s="205" t="str">
        <f t="shared" si="58"/>
        <v>info</v>
      </c>
      <c r="M272" s="205" t="str">
        <f t="shared" si="58"/>
        <v>x</v>
      </c>
      <c r="N272" s="205" t="str">
        <f t="shared" si="58"/>
        <v/>
      </c>
      <c r="O272" s="205" t="str">
        <f t="shared" si="58"/>
        <v>model</v>
      </c>
      <c r="P272" s="206" t="str">
        <f t="shared" si="58"/>
        <v>Length</v>
      </c>
      <c r="Q272" s="206" t="str">
        <f t="shared" si="58"/>
        <v>x</v>
      </c>
      <c r="R272" s="206" t="str">
        <f t="shared" si="58"/>
        <v>BS</v>
      </c>
      <c r="S272" s="206" t="str">
        <f t="shared" si="58"/>
        <v>all</v>
      </c>
      <c r="T272" s="205" t="str">
        <f t="shared" si="58"/>
        <v/>
      </c>
      <c r="U272" s="205" t="str">
        <f t="shared" si="58"/>
        <v>Überhang Keilstein</v>
      </c>
      <c r="V272" s="205" t="str">
        <f t="shared" si="58"/>
        <v>x</v>
      </c>
      <c r="W272" s="205" t="str">
        <f t="shared" si="58"/>
        <v/>
      </c>
      <c r="X272" s="205" t="str">
        <f t="shared" si="58"/>
        <v/>
      </c>
      <c r="Y272" s="205" t="str">
        <f t="shared" si="58"/>
        <v>gs_masonry_arch_keystone_osize</v>
      </c>
    </row>
    <row r="273" spans="1:25">
      <c r="A273" s="204">
        <f t="shared" si="56"/>
        <v>271</v>
      </c>
      <c r="B273" s="205" t="str">
        <f t="shared" ref="B273:K282" si="59">IF(ISNONTEXT(B$2),IF(B$2="","",IF(INDEX(IMPORT,$A273,B$2)=0,"",IFERROR(VLOOKUP(INDEX(IMPORT,$A273,B$2),ImportTranslation,2,0),INDEX(IMPORT,$A273,B$2)))),B$2)</f>
        <v>x</v>
      </c>
      <c r="C273" s="205" t="str">
        <f t="shared" si="59"/>
        <v/>
      </c>
      <c r="D273" s="205" t="str">
        <f t="shared" si="59"/>
        <v/>
      </c>
      <c r="E273" s="205" t="str">
        <f t="shared" si="59"/>
        <v/>
      </c>
      <c r="F273" s="205" t="str">
        <f t="shared" si="59"/>
        <v/>
      </c>
      <c r="G273" s="205" t="str">
        <f t="shared" si="59"/>
        <v/>
      </c>
      <c r="H273" s="205" t="str">
        <f t="shared" si="59"/>
        <v/>
      </c>
      <c r="I273" s="205" t="str">
        <f t="shared" si="59"/>
        <v/>
      </c>
      <c r="J273" s="205" t="str">
        <f t="shared" si="59"/>
        <v/>
      </c>
      <c r="K273" s="205" t="str">
        <f t="shared" si="59"/>
        <v/>
      </c>
      <c r="L273" s="205" t="str">
        <f t="shared" ref="L273:Y282" si="60">IF(ISNONTEXT(L$2),IF(L$2="","",IF(INDEX(IMPORT,$A273,L$2)=0,"",IFERROR(VLOOKUP(INDEX(IMPORT,$A273,L$2),ImportTranslation,2,0),INDEX(IMPORT,$A273,L$2)))),L$2)</f>
        <v>info</v>
      </c>
      <c r="M273" s="205" t="str">
        <f t="shared" si="60"/>
        <v>x</v>
      </c>
      <c r="N273" s="205" t="str">
        <f t="shared" si="60"/>
        <v/>
      </c>
      <c r="O273" s="205" t="str">
        <f t="shared" si="60"/>
        <v>model</v>
      </c>
      <c r="P273" s="206" t="str">
        <f t="shared" si="60"/>
        <v>Length</v>
      </c>
      <c r="Q273" s="206" t="str">
        <f t="shared" si="60"/>
        <v>x</v>
      </c>
      <c r="R273" s="206" t="str">
        <f t="shared" si="60"/>
        <v>BS</v>
      </c>
      <c r="S273" s="206" t="str">
        <f t="shared" si="60"/>
        <v>all</v>
      </c>
      <c r="T273" s="205">
        <f t="shared" si="60"/>
        <v>0.01</v>
      </c>
      <c r="U273" s="205" t="str">
        <f t="shared" si="60"/>
        <v>Projektion Keilstein</v>
      </c>
      <c r="V273" s="205" t="str">
        <f t="shared" si="60"/>
        <v>x</v>
      </c>
      <c r="W273" s="205" t="str">
        <f t="shared" si="60"/>
        <v/>
      </c>
      <c r="X273" s="205" t="str">
        <f t="shared" si="60"/>
        <v/>
      </c>
      <c r="Y273" s="205" t="str">
        <f t="shared" si="60"/>
        <v>gs_masonry_arch_keystone_proj</v>
      </c>
    </row>
    <row r="274" spans="1:25">
      <c r="A274" s="204">
        <f t="shared" si="56"/>
        <v>272</v>
      </c>
      <c r="B274" s="205" t="str">
        <f t="shared" si="59"/>
        <v>x</v>
      </c>
      <c r="C274" s="205" t="str">
        <f t="shared" si="59"/>
        <v/>
      </c>
      <c r="D274" s="205" t="str">
        <f t="shared" si="59"/>
        <v/>
      </c>
      <c r="E274" s="205" t="str">
        <f t="shared" si="59"/>
        <v/>
      </c>
      <c r="F274" s="205" t="str">
        <f t="shared" si="59"/>
        <v/>
      </c>
      <c r="G274" s="205" t="str">
        <f t="shared" si="59"/>
        <v/>
      </c>
      <c r="H274" s="205" t="str">
        <f t="shared" si="59"/>
        <v/>
      </c>
      <c r="I274" s="205" t="str">
        <f t="shared" si="59"/>
        <v/>
      </c>
      <c r="J274" s="205" t="str">
        <f t="shared" si="59"/>
        <v/>
      </c>
      <c r="K274" s="205" t="str">
        <f t="shared" si="59"/>
        <v/>
      </c>
      <c r="L274" s="205" t="str">
        <f t="shared" si="60"/>
        <v>info</v>
      </c>
      <c r="M274" s="205" t="str">
        <f t="shared" si="60"/>
        <v>x</v>
      </c>
      <c r="N274" s="205" t="str">
        <f t="shared" si="60"/>
        <v/>
      </c>
      <c r="O274" s="205" t="str">
        <f t="shared" si="60"/>
        <v>model</v>
      </c>
      <c r="P274" s="206" t="str">
        <f t="shared" si="60"/>
        <v>Boolean</v>
      </c>
      <c r="Q274" s="206" t="str">
        <f t="shared" si="60"/>
        <v>x</v>
      </c>
      <c r="R274" s="206" t="str">
        <f t="shared" si="60"/>
        <v>BS</v>
      </c>
      <c r="S274" s="206" t="str">
        <f t="shared" si="60"/>
        <v>all</v>
      </c>
      <c r="T274" s="205" t="str">
        <f t="shared" si="60"/>
        <v/>
      </c>
      <c r="U274" s="205" t="str">
        <f t="shared" si="60"/>
        <v>Eigenes Nischen-Oberflächenmaterial</v>
      </c>
      <c r="V274" s="205" t="str">
        <f t="shared" si="60"/>
        <v>x</v>
      </c>
      <c r="W274" s="205" t="str">
        <f t="shared" si="60"/>
        <v/>
      </c>
      <c r="X274" s="205" t="str">
        <f t="shared" si="60"/>
        <v/>
      </c>
      <c r="Y274" s="205" t="str">
        <f t="shared" si="60"/>
        <v>bCustomMatNicheTop</v>
      </c>
    </row>
    <row r="275" spans="1:25">
      <c r="A275" s="204">
        <f t="shared" si="56"/>
        <v>273</v>
      </c>
      <c r="B275" s="205" t="str">
        <f t="shared" si="59"/>
        <v>x</v>
      </c>
      <c r="C275" s="205" t="str">
        <f t="shared" si="59"/>
        <v/>
      </c>
      <c r="D275" s="205" t="str">
        <f t="shared" si="59"/>
        <v/>
      </c>
      <c r="E275" s="205" t="str">
        <f t="shared" si="59"/>
        <v/>
      </c>
      <c r="F275" s="205" t="str">
        <f t="shared" si="59"/>
        <v/>
      </c>
      <c r="G275" s="205" t="str">
        <f t="shared" si="59"/>
        <v/>
      </c>
      <c r="H275" s="205" t="str">
        <f t="shared" si="59"/>
        <v/>
      </c>
      <c r="I275" s="205" t="str">
        <f t="shared" si="59"/>
        <v/>
      </c>
      <c r="J275" s="205" t="str">
        <f t="shared" si="59"/>
        <v/>
      </c>
      <c r="K275" s="205" t="str">
        <f t="shared" si="59"/>
        <v/>
      </c>
      <c r="L275" s="205" t="str">
        <f t="shared" si="60"/>
        <v>info</v>
      </c>
      <c r="M275" s="205" t="str">
        <f t="shared" si="60"/>
        <v>x</v>
      </c>
      <c r="N275" s="205" t="str">
        <f t="shared" si="60"/>
        <v/>
      </c>
      <c r="O275" s="205" t="str">
        <f t="shared" si="60"/>
        <v>model</v>
      </c>
      <c r="P275" s="206" t="str">
        <f t="shared" si="60"/>
        <v>FillPattern</v>
      </c>
      <c r="Q275" s="206" t="str">
        <f t="shared" si="60"/>
        <v>x</v>
      </c>
      <c r="R275" s="206" t="str">
        <f t="shared" si="60"/>
        <v>BS</v>
      </c>
      <c r="S275" s="206" t="str">
        <f t="shared" si="60"/>
        <v>all</v>
      </c>
      <c r="T275" s="205">
        <f t="shared" si="60"/>
        <v>7</v>
      </c>
      <c r="U275" s="205" t="str">
        <f t="shared" si="60"/>
        <v>Schnittschraffur Bogen</v>
      </c>
      <c r="V275" s="205" t="str">
        <f t="shared" si="60"/>
        <v>x</v>
      </c>
      <c r="W275" s="205" t="str">
        <f t="shared" si="60"/>
        <v/>
      </c>
      <c r="X275" s="205" t="str">
        <f t="shared" si="60"/>
        <v/>
      </c>
      <c r="Y275" s="205" t="str">
        <f t="shared" si="60"/>
        <v>gs_masonry_arch_fill</v>
      </c>
    </row>
    <row r="276" spans="1:25">
      <c r="A276" s="204">
        <f t="shared" si="56"/>
        <v>274</v>
      </c>
      <c r="B276" s="205" t="str">
        <f t="shared" si="59"/>
        <v>x</v>
      </c>
      <c r="C276" s="205" t="str">
        <f t="shared" si="59"/>
        <v/>
      </c>
      <c r="D276" s="205" t="str">
        <f t="shared" si="59"/>
        <v/>
      </c>
      <c r="E276" s="205" t="str">
        <f t="shared" si="59"/>
        <v/>
      </c>
      <c r="F276" s="205" t="str">
        <f t="shared" si="59"/>
        <v/>
      </c>
      <c r="G276" s="205" t="str">
        <f t="shared" si="59"/>
        <v/>
      </c>
      <c r="H276" s="205" t="str">
        <f t="shared" si="59"/>
        <v/>
      </c>
      <c r="I276" s="205" t="str">
        <f t="shared" si="59"/>
        <v/>
      </c>
      <c r="J276" s="205" t="str">
        <f t="shared" si="59"/>
        <v/>
      </c>
      <c r="K276" s="205" t="str">
        <f t="shared" si="59"/>
        <v/>
      </c>
      <c r="L276" s="205" t="str">
        <f t="shared" si="60"/>
        <v>info</v>
      </c>
      <c r="M276" s="205" t="str">
        <f t="shared" si="60"/>
        <v>x</v>
      </c>
      <c r="N276" s="205" t="str">
        <f t="shared" si="60"/>
        <v/>
      </c>
      <c r="O276" s="205" t="str">
        <f t="shared" si="60"/>
        <v>model</v>
      </c>
      <c r="P276" s="206" t="str">
        <f t="shared" si="60"/>
        <v>PenColor</v>
      </c>
      <c r="Q276" s="206" t="str">
        <f t="shared" si="60"/>
        <v>x</v>
      </c>
      <c r="R276" s="206" t="str">
        <f t="shared" si="60"/>
        <v>BS</v>
      </c>
      <c r="S276" s="206" t="str">
        <f t="shared" si="60"/>
        <v>all</v>
      </c>
      <c r="T276" s="205">
        <f t="shared" si="60"/>
        <v>3</v>
      </c>
      <c r="U276" s="205" t="str">
        <f t="shared" si="60"/>
        <v>Bogen Schnitt Schraffurstift</v>
      </c>
      <c r="V276" s="205" t="str">
        <f t="shared" si="60"/>
        <v>x</v>
      </c>
      <c r="W276" s="205" t="str">
        <f t="shared" si="60"/>
        <v/>
      </c>
      <c r="X276" s="205" t="str">
        <f t="shared" si="60"/>
        <v/>
      </c>
      <c r="Y276" s="205" t="str">
        <f t="shared" si="60"/>
        <v>gs_masonry_arch_pen_fg</v>
      </c>
    </row>
    <row r="277" spans="1:25">
      <c r="A277" s="204">
        <f t="shared" si="56"/>
        <v>275</v>
      </c>
      <c r="B277" s="205" t="str">
        <f t="shared" si="59"/>
        <v>x</v>
      </c>
      <c r="C277" s="205" t="str">
        <f t="shared" si="59"/>
        <v/>
      </c>
      <c r="D277" s="205" t="str">
        <f t="shared" si="59"/>
        <v/>
      </c>
      <c r="E277" s="205" t="str">
        <f t="shared" si="59"/>
        <v/>
      </c>
      <c r="F277" s="205" t="str">
        <f t="shared" si="59"/>
        <v/>
      </c>
      <c r="G277" s="205" t="str">
        <f t="shared" si="59"/>
        <v/>
      </c>
      <c r="H277" s="205" t="str">
        <f t="shared" si="59"/>
        <v/>
      </c>
      <c r="I277" s="205" t="str">
        <f t="shared" si="59"/>
        <v/>
      </c>
      <c r="J277" s="205" t="str">
        <f t="shared" si="59"/>
        <v/>
      </c>
      <c r="K277" s="205" t="str">
        <f t="shared" si="59"/>
        <v/>
      </c>
      <c r="L277" s="205" t="str">
        <f t="shared" si="60"/>
        <v>info</v>
      </c>
      <c r="M277" s="205" t="str">
        <f t="shared" si="60"/>
        <v>x</v>
      </c>
      <c r="N277" s="205" t="str">
        <f t="shared" si="60"/>
        <v/>
      </c>
      <c r="O277" s="205" t="str">
        <f t="shared" si="60"/>
        <v>model</v>
      </c>
      <c r="P277" s="206" t="str">
        <f t="shared" si="60"/>
        <v>PenColor</v>
      </c>
      <c r="Q277" s="206" t="str">
        <f t="shared" si="60"/>
        <v>x</v>
      </c>
      <c r="R277" s="206" t="str">
        <f t="shared" si="60"/>
        <v>BS</v>
      </c>
      <c r="S277" s="206" t="str">
        <f t="shared" si="60"/>
        <v>all</v>
      </c>
      <c r="T277" s="205">
        <f t="shared" si="60"/>
        <v>91</v>
      </c>
      <c r="U277" s="205" t="str">
        <f t="shared" si="60"/>
        <v>Hintergrundstift Bogen Schwelle</v>
      </c>
      <c r="V277" s="205" t="str">
        <f t="shared" si="60"/>
        <v>x</v>
      </c>
      <c r="W277" s="205" t="str">
        <f t="shared" si="60"/>
        <v/>
      </c>
      <c r="X277" s="205" t="str">
        <f t="shared" si="60"/>
        <v/>
      </c>
      <c r="Y277" s="205" t="str">
        <f t="shared" si="60"/>
        <v>gs_masonry_arch_pen_bg</v>
      </c>
    </row>
    <row r="278" spans="1:25">
      <c r="A278" s="204">
        <f t="shared" si="56"/>
        <v>276</v>
      </c>
      <c r="B278" s="205" t="str">
        <f t="shared" si="59"/>
        <v>x</v>
      </c>
      <c r="C278" s="205" t="str">
        <f t="shared" si="59"/>
        <v/>
      </c>
      <c r="D278" s="205" t="str">
        <f t="shared" si="59"/>
        <v/>
      </c>
      <c r="E278" s="205" t="str">
        <f t="shared" si="59"/>
        <v/>
      </c>
      <c r="F278" s="205" t="str">
        <f t="shared" si="59"/>
        <v/>
      </c>
      <c r="G278" s="205" t="str">
        <f t="shared" si="59"/>
        <v/>
      </c>
      <c r="H278" s="205" t="str">
        <f t="shared" si="59"/>
        <v/>
      </c>
      <c r="I278" s="205" t="str">
        <f t="shared" si="59"/>
        <v/>
      </c>
      <c r="J278" s="205" t="str">
        <f t="shared" si="59"/>
        <v/>
      </c>
      <c r="K278" s="205" t="str">
        <f t="shared" si="59"/>
        <v/>
      </c>
      <c r="L278" s="205" t="str">
        <f t="shared" si="60"/>
        <v>info</v>
      </c>
      <c r="M278" s="205" t="str">
        <f t="shared" si="60"/>
        <v>x</v>
      </c>
      <c r="N278" s="205" t="str">
        <f t="shared" si="60"/>
        <v/>
      </c>
      <c r="O278" s="205" t="str">
        <f t="shared" si="60"/>
        <v>model</v>
      </c>
      <c r="P278" s="206" t="str">
        <f t="shared" si="60"/>
        <v>PenColor</v>
      </c>
      <c r="Q278" s="206" t="str">
        <f t="shared" si="60"/>
        <v>x</v>
      </c>
      <c r="R278" s="206" t="str">
        <f t="shared" si="60"/>
        <v>BS</v>
      </c>
      <c r="S278" s="206" t="str">
        <f t="shared" si="60"/>
        <v>all</v>
      </c>
      <c r="T278" s="205">
        <f t="shared" si="60"/>
        <v>10</v>
      </c>
      <c r="U278" s="205" t="str">
        <f t="shared" si="60"/>
        <v>Stift Ziegelsturz</v>
      </c>
      <c r="V278" s="205" t="str">
        <f t="shared" si="60"/>
        <v>x</v>
      </c>
      <c r="W278" s="205" t="str">
        <f t="shared" si="60"/>
        <v/>
      </c>
      <c r="X278" s="205" t="str">
        <f t="shared" si="60"/>
        <v/>
      </c>
      <c r="Y278" s="205" t="str">
        <f t="shared" si="60"/>
        <v>gs_masonry_arch_pen</v>
      </c>
    </row>
    <row r="279" spans="1:25">
      <c r="A279" s="204">
        <f t="shared" si="56"/>
        <v>277</v>
      </c>
      <c r="B279" s="205" t="str">
        <f t="shared" si="59"/>
        <v>x</v>
      </c>
      <c r="C279" s="205" t="str">
        <f t="shared" si="59"/>
        <v/>
      </c>
      <c r="D279" s="205" t="str">
        <f t="shared" si="59"/>
        <v/>
      </c>
      <c r="E279" s="205" t="str">
        <f t="shared" si="59"/>
        <v/>
      </c>
      <c r="F279" s="205" t="str">
        <f t="shared" si="59"/>
        <v/>
      </c>
      <c r="G279" s="205" t="str">
        <f t="shared" si="59"/>
        <v/>
      </c>
      <c r="H279" s="205" t="str">
        <f t="shared" si="59"/>
        <v/>
      </c>
      <c r="I279" s="205" t="str">
        <f t="shared" si="59"/>
        <v/>
      </c>
      <c r="J279" s="205" t="str">
        <f t="shared" si="59"/>
        <v/>
      </c>
      <c r="K279" s="205" t="str">
        <f t="shared" si="59"/>
        <v/>
      </c>
      <c r="L279" s="205" t="str">
        <f t="shared" si="60"/>
        <v>info</v>
      </c>
      <c r="M279" s="205" t="str">
        <f t="shared" si="60"/>
        <v>x</v>
      </c>
      <c r="N279" s="205" t="str">
        <f t="shared" si="60"/>
        <v/>
      </c>
      <c r="O279" s="205" t="str">
        <f t="shared" si="60"/>
        <v>model</v>
      </c>
      <c r="P279" s="206" t="str">
        <f t="shared" si="60"/>
        <v>Material</v>
      </c>
      <c r="Q279" s="206" t="str">
        <f t="shared" si="60"/>
        <v>x</v>
      </c>
      <c r="R279" s="206" t="str">
        <f t="shared" si="60"/>
        <v>BS</v>
      </c>
      <c r="S279" s="206" t="str">
        <f t="shared" si="60"/>
        <v>all</v>
      </c>
      <c r="T279" s="205">
        <f t="shared" si="60"/>
        <v>35</v>
      </c>
      <c r="U279" s="205" t="str">
        <f t="shared" si="60"/>
        <v>Mauerwerksbogen Stein Oberflächenmaterial</v>
      </c>
      <c r="V279" s="205" t="str">
        <f t="shared" si="60"/>
        <v>x</v>
      </c>
      <c r="W279" s="205" t="str">
        <f t="shared" si="60"/>
        <v/>
      </c>
      <c r="X279" s="205" t="str">
        <f t="shared" si="60"/>
        <v/>
      </c>
      <c r="Y279" s="205" t="str">
        <f t="shared" si="60"/>
        <v>gs_masonry_arch_brick_mat</v>
      </c>
    </row>
    <row r="280" spans="1:25">
      <c r="A280" s="204">
        <f t="shared" si="56"/>
        <v>278</v>
      </c>
      <c r="B280" s="205" t="str">
        <f t="shared" si="59"/>
        <v>x</v>
      </c>
      <c r="C280" s="205" t="str">
        <f t="shared" si="59"/>
        <v/>
      </c>
      <c r="D280" s="205" t="str">
        <f t="shared" si="59"/>
        <v/>
      </c>
      <c r="E280" s="205" t="str">
        <f t="shared" si="59"/>
        <v/>
      </c>
      <c r="F280" s="205" t="str">
        <f t="shared" si="59"/>
        <v/>
      </c>
      <c r="G280" s="205" t="str">
        <f t="shared" si="59"/>
        <v/>
      </c>
      <c r="H280" s="205" t="str">
        <f t="shared" si="59"/>
        <v/>
      </c>
      <c r="I280" s="205" t="str">
        <f t="shared" si="59"/>
        <v/>
      </c>
      <c r="J280" s="205" t="str">
        <f t="shared" si="59"/>
        <v/>
      </c>
      <c r="K280" s="205" t="str">
        <f t="shared" si="59"/>
        <v/>
      </c>
      <c r="L280" s="205" t="str">
        <f t="shared" si="60"/>
        <v>info</v>
      </c>
      <c r="M280" s="205" t="str">
        <f t="shared" si="60"/>
        <v>x</v>
      </c>
      <c r="N280" s="205" t="str">
        <f t="shared" si="60"/>
        <v/>
      </c>
      <c r="O280" s="205" t="str">
        <f t="shared" si="60"/>
        <v>model</v>
      </c>
      <c r="P280" s="206" t="str">
        <f t="shared" si="60"/>
        <v>Material</v>
      </c>
      <c r="Q280" s="206" t="str">
        <f t="shared" si="60"/>
        <v>x</v>
      </c>
      <c r="R280" s="206" t="str">
        <f t="shared" si="60"/>
        <v>BS</v>
      </c>
      <c r="S280" s="206" t="str">
        <f t="shared" si="60"/>
        <v>all</v>
      </c>
      <c r="T280" s="205">
        <f t="shared" si="60"/>
        <v>48</v>
      </c>
      <c r="U280" s="205" t="str">
        <f t="shared" si="60"/>
        <v>Mauerwerksbogen Mörtel Oberflächenmaterial</v>
      </c>
      <c r="V280" s="205" t="str">
        <f t="shared" si="60"/>
        <v>x</v>
      </c>
      <c r="W280" s="205" t="str">
        <f t="shared" si="60"/>
        <v/>
      </c>
      <c r="X280" s="205" t="str">
        <f t="shared" si="60"/>
        <v/>
      </c>
      <c r="Y280" s="205" t="str">
        <f t="shared" si="60"/>
        <v>gs_masonry_arch_mort_mat</v>
      </c>
    </row>
    <row r="281" spans="1:25">
      <c r="A281" s="204">
        <f t="shared" si="56"/>
        <v>279</v>
      </c>
      <c r="B281" s="205" t="str">
        <f t="shared" si="59"/>
        <v>x</v>
      </c>
      <c r="C281" s="205" t="str">
        <f t="shared" si="59"/>
        <v/>
      </c>
      <c r="D281" s="205" t="str">
        <f t="shared" si="59"/>
        <v/>
      </c>
      <c r="E281" s="205" t="str">
        <f t="shared" si="59"/>
        <v/>
      </c>
      <c r="F281" s="205" t="str">
        <f t="shared" si="59"/>
        <v/>
      </c>
      <c r="G281" s="205" t="str">
        <f t="shared" si="59"/>
        <v/>
      </c>
      <c r="H281" s="205" t="str">
        <f t="shared" si="59"/>
        <v/>
      </c>
      <c r="I281" s="205" t="str">
        <f t="shared" si="59"/>
        <v/>
      </c>
      <c r="J281" s="205" t="str">
        <f t="shared" si="59"/>
        <v/>
      </c>
      <c r="K281" s="205" t="str">
        <f t="shared" si="59"/>
        <v/>
      </c>
      <c r="L281" s="205" t="str">
        <f t="shared" si="60"/>
        <v>info</v>
      </c>
      <c r="M281" s="205" t="str">
        <f t="shared" si="60"/>
        <v>x</v>
      </c>
      <c r="N281" s="205" t="str">
        <f t="shared" si="60"/>
        <v/>
      </c>
      <c r="O281" s="205" t="str">
        <f t="shared" si="60"/>
        <v>model</v>
      </c>
      <c r="P281" s="206" t="str">
        <f t="shared" si="60"/>
        <v>Material</v>
      </c>
      <c r="Q281" s="206" t="str">
        <f t="shared" si="60"/>
        <v>x</v>
      </c>
      <c r="R281" s="206" t="str">
        <f t="shared" si="60"/>
        <v>BS</v>
      </c>
      <c r="S281" s="206" t="str">
        <f t="shared" si="60"/>
        <v>all</v>
      </c>
      <c r="T281" s="205">
        <f t="shared" si="60"/>
        <v>5</v>
      </c>
      <c r="U281" s="205" t="str">
        <f t="shared" si="60"/>
        <v>Mauerwerksbogen Schlusstein Oberflächenmaterial</v>
      </c>
      <c r="V281" s="205" t="str">
        <f t="shared" si="60"/>
        <v>x</v>
      </c>
      <c r="W281" s="205" t="str">
        <f t="shared" si="60"/>
        <v/>
      </c>
      <c r="X281" s="205" t="str">
        <f t="shared" si="60"/>
        <v/>
      </c>
      <c r="Y281" s="205" t="str">
        <f t="shared" si="60"/>
        <v>gs_masonry_arch_keystone_mat</v>
      </c>
    </row>
    <row r="282" spans="1:25">
      <c r="A282" s="204">
        <f t="shared" si="56"/>
        <v>280</v>
      </c>
      <c r="B282" s="205" t="str">
        <f t="shared" si="59"/>
        <v>x</v>
      </c>
      <c r="C282" s="205" t="str">
        <f t="shared" si="59"/>
        <v/>
      </c>
      <c r="D282" s="205" t="str">
        <f t="shared" si="59"/>
        <v/>
      </c>
      <c r="E282" s="205" t="str">
        <f t="shared" si="59"/>
        <v/>
      </c>
      <c r="F282" s="205" t="str">
        <f t="shared" si="59"/>
        <v/>
      </c>
      <c r="G282" s="205" t="str">
        <f t="shared" si="59"/>
        <v/>
      </c>
      <c r="H282" s="205" t="str">
        <f t="shared" si="59"/>
        <v/>
      </c>
      <c r="I282" s="205" t="str">
        <f t="shared" si="59"/>
        <v/>
      </c>
      <c r="J282" s="205" t="str">
        <f t="shared" si="59"/>
        <v/>
      </c>
      <c r="K282" s="205" t="str">
        <f t="shared" si="59"/>
        <v/>
      </c>
      <c r="L282" s="205" t="str">
        <f t="shared" si="60"/>
        <v>info</v>
      </c>
      <c r="M282" s="205" t="str">
        <f t="shared" si="60"/>
        <v>x</v>
      </c>
      <c r="N282" s="205" t="str">
        <f t="shared" si="60"/>
        <v/>
      </c>
      <c r="O282" s="205" t="str">
        <f t="shared" si="60"/>
        <v>model</v>
      </c>
      <c r="P282" s="206" t="str">
        <f t="shared" si="60"/>
        <v>Material</v>
      </c>
      <c r="Q282" s="206" t="str">
        <f t="shared" si="60"/>
        <v>x</v>
      </c>
      <c r="R282" s="206" t="str">
        <f t="shared" si="60"/>
        <v>BS</v>
      </c>
      <c r="S282" s="206" t="str">
        <f t="shared" si="60"/>
        <v>all</v>
      </c>
      <c r="T282" s="205">
        <f t="shared" si="60"/>
        <v>122</v>
      </c>
      <c r="U282" s="205" t="str">
        <f t="shared" si="60"/>
        <v>Nischen-Oberflächenmaterial</v>
      </c>
      <c r="V282" s="205" t="str">
        <f t="shared" si="60"/>
        <v>x</v>
      </c>
      <c r="W282" s="205" t="str">
        <f t="shared" si="60"/>
        <v/>
      </c>
      <c r="X282" s="205" t="str">
        <f t="shared" si="60"/>
        <v/>
      </c>
      <c r="Y282" s="205" t="str">
        <f t="shared" si="60"/>
        <v>matNicheTop</v>
      </c>
    </row>
    <row r="283" spans="1:25">
      <c r="A283" s="204">
        <f t="shared" si="56"/>
        <v>281</v>
      </c>
      <c r="B283" s="205" t="str">
        <f t="shared" ref="B283:K292" si="61">IF(ISNONTEXT(B$2),IF(B$2="","",IF(INDEX(IMPORT,$A283,B$2)=0,"",IFERROR(VLOOKUP(INDEX(IMPORT,$A283,B$2),ImportTranslation,2,0),INDEX(IMPORT,$A283,B$2)))),B$2)</f>
        <v>x</v>
      </c>
      <c r="C283" s="205" t="str">
        <f t="shared" si="61"/>
        <v/>
      </c>
      <c r="D283" s="205" t="str">
        <f t="shared" si="61"/>
        <v/>
      </c>
      <c r="E283" s="205" t="str">
        <f t="shared" si="61"/>
        <v/>
      </c>
      <c r="F283" s="205" t="str">
        <f t="shared" si="61"/>
        <v/>
      </c>
      <c r="G283" s="205" t="str">
        <f t="shared" si="61"/>
        <v/>
      </c>
      <c r="H283" s="205" t="str">
        <f t="shared" si="61"/>
        <v/>
      </c>
      <c r="I283" s="205" t="str">
        <f t="shared" si="61"/>
        <v/>
      </c>
      <c r="J283" s="205" t="str">
        <f t="shared" si="61"/>
        <v/>
      </c>
      <c r="K283" s="205" t="str">
        <f t="shared" si="61"/>
        <v/>
      </c>
      <c r="L283" s="205" t="str">
        <f t="shared" ref="L283:Y292" si="62">IF(ISNONTEXT(L$2),IF(L$2="","",IF(INDEX(IMPORT,$A283,L$2)=0,"",IFERROR(VLOOKUP(INDEX(IMPORT,$A283,L$2),ImportTranslation,2,0),INDEX(IMPORT,$A283,L$2)))),L$2)</f>
        <v>info</v>
      </c>
      <c r="M283" s="205" t="str">
        <f t="shared" si="62"/>
        <v/>
      </c>
      <c r="N283" s="205" t="str">
        <f t="shared" si="62"/>
        <v/>
      </c>
      <c r="O283" s="205" t="str">
        <f t="shared" si="62"/>
        <v>model</v>
      </c>
      <c r="P283" s="206" t="str">
        <f t="shared" si="62"/>
        <v>String</v>
      </c>
      <c r="Q283" s="206" t="str">
        <f t="shared" si="62"/>
        <v>x</v>
      </c>
      <c r="R283" s="206" t="str">
        <f t="shared" si="62"/>
        <v>BS</v>
      </c>
      <c r="S283" s="206" t="str">
        <f t="shared" si="62"/>
        <v>all</v>
      </c>
      <c r="T283" s="205" t="str">
        <f t="shared" si="62"/>
        <v>Keine Laibung - Ecke</v>
      </c>
      <c r="U283" s="205" t="str">
        <f t="shared" si="62"/>
        <v>Typ Anschlag</v>
      </c>
      <c r="V283" s="205" t="str">
        <f t="shared" si="62"/>
        <v/>
      </c>
      <c r="W283" s="205" t="str">
        <f t="shared" si="62"/>
        <v/>
      </c>
      <c r="X283" s="205" t="str">
        <f t="shared" si="62"/>
        <v/>
      </c>
      <c r="Y283" s="205" t="str">
        <f t="shared" si="62"/>
        <v>gs_reveal_type_new</v>
      </c>
    </row>
    <row r="284" spans="1:25">
      <c r="A284" s="204">
        <f t="shared" si="56"/>
        <v>282</v>
      </c>
      <c r="B284" s="205" t="str">
        <f t="shared" si="61"/>
        <v>x</v>
      </c>
      <c r="C284" s="205" t="str">
        <f t="shared" si="61"/>
        <v>x</v>
      </c>
      <c r="D284" s="205" t="str">
        <f t="shared" si="61"/>
        <v/>
      </c>
      <c r="E284" s="205" t="str">
        <f t="shared" si="61"/>
        <v/>
      </c>
      <c r="F284" s="205" t="str">
        <f t="shared" si="61"/>
        <v/>
      </c>
      <c r="G284" s="205" t="str">
        <f t="shared" si="61"/>
        <v/>
      </c>
      <c r="H284" s="205" t="str">
        <f t="shared" si="61"/>
        <v/>
      </c>
      <c r="I284" s="205" t="str">
        <f t="shared" si="61"/>
        <v/>
      </c>
      <c r="J284" s="205" t="str">
        <f t="shared" si="61"/>
        <v/>
      </c>
      <c r="K284" s="205" t="str">
        <f t="shared" si="61"/>
        <v/>
      </c>
      <c r="L284" s="205" t="str">
        <f t="shared" si="62"/>
        <v>info</v>
      </c>
      <c r="M284" s="205" t="str">
        <f t="shared" si="62"/>
        <v>x</v>
      </c>
      <c r="N284" s="205" t="str">
        <f t="shared" si="62"/>
        <v/>
      </c>
      <c r="O284" s="205" t="str">
        <f t="shared" si="62"/>
        <v>model</v>
      </c>
      <c r="P284" s="206" t="str">
        <f t="shared" si="62"/>
        <v>Integer</v>
      </c>
      <c r="Q284" s="206" t="str">
        <f t="shared" si="62"/>
        <v>x</v>
      </c>
      <c r="R284" s="206" t="str">
        <f t="shared" si="62"/>
        <v>BS</v>
      </c>
      <c r="S284" s="206" t="str">
        <f t="shared" si="62"/>
        <v>all</v>
      </c>
      <c r="T284" s="205">
        <f t="shared" si="62"/>
        <v>1</v>
      </c>
      <c r="U284" s="205" t="str">
        <f t="shared" si="62"/>
        <v>Typ Anschlag</v>
      </c>
      <c r="V284" s="205" t="str">
        <f t="shared" si="62"/>
        <v>x</v>
      </c>
      <c r="W284" s="205" t="str">
        <f t="shared" si="62"/>
        <v/>
      </c>
      <c r="X284" s="205" t="str">
        <f t="shared" si="62"/>
        <v/>
      </c>
      <c r="Y284" s="205" t="str">
        <f t="shared" si="62"/>
        <v>gs_reveal_type_int</v>
      </c>
    </row>
    <row r="285" spans="1:25">
      <c r="A285" s="204">
        <f t="shared" si="56"/>
        <v>283</v>
      </c>
      <c r="B285" s="205" t="str">
        <f t="shared" si="61"/>
        <v>x</v>
      </c>
      <c r="C285" s="205" t="str">
        <f t="shared" si="61"/>
        <v/>
      </c>
      <c r="D285" s="205" t="str">
        <f t="shared" si="61"/>
        <v/>
      </c>
      <c r="E285" s="205" t="str">
        <f t="shared" si="61"/>
        <v/>
      </c>
      <c r="F285" s="205" t="str">
        <f t="shared" si="61"/>
        <v/>
      </c>
      <c r="G285" s="205" t="str">
        <f t="shared" si="61"/>
        <v/>
      </c>
      <c r="H285" s="205" t="str">
        <f t="shared" si="61"/>
        <v/>
      </c>
      <c r="I285" s="205" t="str">
        <f t="shared" si="61"/>
        <v/>
      </c>
      <c r="J285" s="205" t="str">
        <f t="shared" si="61"/>
        <v/>
      </c>
      <c r="K285" s="205" t="str">
        <f t="shared" si="61"/>
        <v/>
      </c>
      <c r="L285" s="205" t="str">
        <f t="shared" si="62"/>
        <v>info</v>
      </c>
      <c r="M285" s="205" t="str">
        <f t="shared" si="62"/>
        <v>x</v>
      </c>
      <c r="N285" s="205" t="str">
        <f t="shared" si="62"/>
        <v/>
      </c>
      <c r="O285" s="205" t="str">
        <f t="shared" si="62"/>
        <v>model</v>
      </c>
      <c r="P285" s="206" t="str">
        <f t="shared" si="62"/>
        <v>String</v>
      </c>
      <c r="Q285" s="206" t="str">
        <f t="shared" si="62"/>
        <v>x</v>
      </c>
      <c r="R285" s="206" t="str">
        <f t="shared" si="62"/>
        <v>BS</v>
      </c>
      <c r="S285" s="206" t="str">
        <f t="shared" si="62"/>
        <v>all</v>
      </c>
      <c r="T285" s="205" t="str">
        <f t="shared" si="62"/>
        <v>ohne Anschlag</v>
      </c>
      <c r="U285" s="205" t="str">
        <f t="shared" si="62"/>
        <v>Untere Laibung Typ</v>
      </c>
      <c r="V285" s="205" t="str">
        <f t="shared" si="62"/>
        <v>x</v>
      </c>
      <c r="W285" s="205" t="str">
        <f t="shared" si="62"/>
        <v/>
      </c>
      <c r="X285" s="205" t="str">
        <f t="shared" si="62"/>
        <v/>
      </c>
      <c r="Y285" s="205" t="str">
        <f t="shared" si="62"/>
        <v>gs_reveal_type_bottom</v>
      </c>
    </row>
    <row r="286" spans="1:25">
      <c r="A286" s="204">
        <f t="shared" si="56"/>
        <v>284</v>
      </c>
      <c r="B286" s="205" t="str">
        <f t="shared" si="61"/>
        <v>x</v>
      </c>
      <c r="C286" s="205" t="str">
        <f t="shared" si="61"/>
        <v>x</v>
      </c>
      <c r="D286" s="205" t="str">
        <f t="shared" si="61"/>
        <v/>
      </c>
      <c r="E286" s="205" t="str">
        <f t="shared" si="61"/>
        <v/>
      </c>
      <c r="F286" s="205" t="str">
        <f t="shared" si="61"/>
        <v/>
      </c>
      <c r="G286" s="205" t="str">
        <f t="shared" si="61"/>
        <v/>
      </c>
      <c r="H286" s="205" t="str">
        <f t="shared" si="61"/>
        <v/>
      </c>
      <c r="I286" s="205" t="str">
        <f t="shared" si="61"/>
        <v/>
      </c>
      <c r="J286" s="205" t="str">
        <f t="shared" si="61"/>
        <v/>
      </c>
      <c r="K286" s="205" t="str">
        <f t="shared" si="61"/>
        <v/>
      </c>
      <c r="L286" s="205" t="str">
        <f t="shared" si="62"/>
        <v>info</v>
      </c>
      <c r="M286" s="205" t="str">
        <f t="shared" si="62"/>
        <v>x</v>
      </c>
      <c r="N286" s="205" t="str">
        <f t="shared" si="62"/>
        <v/>
      </c>
      <c r="O286" s="205" t="str">
        <f t="shared" si="62"/>
        <v>model</v>
      </c>
      <c r="P286" s="206" t="str">
        <f t="shared" si="62"/>
        <v>Integer</v>
      </c>
      <c r="Q286" s="206" t="str">
        <f t="shared" si="62"/>
        <v>x</v>
      </c>
      <c r="R286" s="206" t="str">
        <f t="shared" si="62"/>
        <v>BS</v>
      </c>
      <c r="S286" s="206" t="str">
        <f t="shared" si="62"/>
        <v>all</v>
      </c>
      <c r="T286" s="205">
        <f t="shared" si="62"/>
        <v>2</v>
      </c>
      <c r="U286" s="205" t="str">
        <f t="shared" si="62"/>
        <v>Untere Laibung Typ</v>
      </c>
      <c r="V286" s="205" t="str">
        <f t="shared" si="62"/>
        <v>x</v>
      </c>
      <c r="W286" s="205" t="str">
        <f t="shared" si="62"/>
        <v/>
      </c>
      <c r="X286" s="205" t="str">
        <f t="shared" si="62"/>
        <v/>
      </c>
      <c r="Y286" s="205" t="str">
        <f t="shared" si="62"/>
        <v>gs_reveal_type_bottom_int</v>
      </c>
    </row>
    <row r="287" spans="1:25">
      <c r="A287" s="204">
        <f t="shared" si="56"/>
        <v>285</v>
      </c>
      <c r="B287" s="205" t="str">
        <f t="shared" si="61"/>
        <v>x</v>
      </c>
      <c r="C287" s="205" t="str">
        <f t="shared" si="61"/>
        <v/>
      </c>
      <c r="D287" s="205" t="str">
        <f t="shared" si="61"/>
        <v/>
      </c>
      <c r="E287" s="205" t="str">
        <f t="shared" si="61"/>
        <v/>
      </c>
      <c r="F287" s="205" t="str">
        <f t="shared" si="61"/>
        <v/>
      </c>
      <c r="G287" s="205" t="str">
        <f t="shared" si="61"/>
        <v/>
      </c>
      <c r="H287" s="205" t="str">
        <f t="shared" si="61"/>
        <v/>
      </c>
      <c r="I287" s="205" t="str">
        <f t="shared" si="61"/>
        <v/>
      </c>
      <c r="J287" s="205" t="str">
        <f t="shared" si="61"/>
        <v/>
      </c>
      <c r="K287" s="205" t="str">
        <f t="shared" si="61"/>
        <v/>
      </c>
      <c r="L287" s="205" t="str">
        <f t="shared" si="62"/>
        <v>info</v>
      </c>
      <c r="M287" s="205" t="str">
        <f t="shared" si="62"/>
        <v>x</v>
      </c>
      <c r="N287" s="205" t="str">
        <f t="shared" si="62"/>
        <v/>
      </c>
      <c r="O287" s="205" t="str">
        <f t="shared" si="62"/>
        <v>model</v>
      </c>
      <c r="P287" s="206" t="str">
        <f t="shared" si="62"/>
        <v>Length</v>
      </c>
      <c r="Q287" s="206" t="str">
        <f t="shared" si="62"/>
        <v>x</v>
      </c>
      <c r="R287" s="206" t="str">
        <f t="shared" si="62"/>
        <v>BS</v>
      </c>
      <c r="S287" s="206" t="str">
        <f t="shared" si="62"/>
        <v>all</v>
      </c>
      <c r="T287" s="205" t="str">
        <f t="shared" si="62"/>
        <v/>
      </c>
      <c r="U287" s="205" t="str">
        <f t="shared" si="62"/>
        <v>Anschlagtiefe</v>
      </c>
      <c r="V287" s="205" t="str">
        <f t="shared" si="62"/>
        <v>x</v>
      </c>
      <c r="W287" s="205" t="str">
        <f t="shared" si="62"/>
        <v/>
      </c>
      <c r="X287" s="205" t="str">
        <f t="shared" si="62"/>
        <v/>
      </c>
      <c r="Y287" s="205" t="str">
        <f t="shared" si="62"/>
        <v>gs_wido_sill</v>
      </c>
    </row>
    <row r="288" spans="1:25">
      <c r="A288" s="204">
        <f t="shared" si="56"/>
        <v>286</v>
      </c>
      <c r="B288" s="205" t="str">
        <f t="shared" si="61"/>
        <v>x</v>
      </c>
      <c r="C288" s="205" t="str">
        <f t="shared" si="61"/>
        <v>x</v>
      </c>
      <c r="D288" s="205" t="str">
        <f t="shared" si="61"/>
        <v/>
      </c>
      <c r="E288" s="205" t="str">
        <f t="shared" si="61"/>
        <v/>
      </c>
      <c r="F288" s="205" t="str">
        <f t="shared" si="61"/>
        <v/>
      </c>
      <c r="G288" s="205" t="str">
        <f t="shared" si="61"/>
        <v/>
      </c>
      <c r="H288" s="205" t="str">
        <f t="shared" si="61"/>
        <v/>
      </c>
      <c r="I288" s="205" t="str">
        <f t="shared" si="61"/>
        <v/>
      </c>
      <c r="J288" s="205" t="str">
        <f t="shared" si="61"/>
        <v/>
      </c>
      <c r="K288" s="205" t="str">
        <f t="shared" si="61"/>
        <v/>
      </c>
      <c r="L288" s="205" t="str">
        <f t="shared" si="62"/>
        <v>info</v>
      </c>
      <c r="M288" s="205" t="str">
        <f t="shared" si="62"/>
        <v>x</v>
      </c>
      <c r="N288" s="205" t="str">
        <f t="shared" si="62"/>
        <v/>
      </c>
      <c r="O288" s="205" t="str">
        <f t="shared" si="62"/>
        <v>model</v>
      </c>
      <c r="P288" s="206" t="str">
        <f t="shared" si="62"/>
        <v>Length</v>
      </c>
      <c r="Q288" s="206" t="str">
        <f t="shared" si="62"/>
        <v>x</v>
      </c>
      <c r="R288" s="206" t="str">
        <f t="shared" si="62"/>
        <v>BS</v>
      </c>
      <c r="S288" s="206" t="str">
        <f t="shared" si="62"/>
        <v>all</v>
      </c>
      <c r="T288" s="205" t="str">
        <f t="shared" si="62"/>
        <v/>
      </c>
      <c r="U288" s="205" t="str">
        <f t="shared" si="62"/>
        <v>Anschlagtiefe</v>
      </c>
      <c r="V288" s="205" t="str">
        <f t="shared" si="62"/>
        <v>x</v>
      </c>
      <c r="W288" s="205" t="str">
        <f t="shared" si="62"/>
        <v/>
      </c>
      <c r="X288" s="205" t="str">
        <f t="shared" si="62"/>
        <v/>
      </c>
      <c r="Y288" s="205" t="str">
        <f t="shared" si="62"/>
        <v>AC_wido_sill</v>
      </c>
    </row>
    <row r="289" spans="1:25">
      <c r="A289" s="204">
        <f t="shared" si="56"/>
        <v>287</v>
      </c>
      <c r="B289" s="205" t="str">
        <f t="shared" si="61"/>
        <v>x</v>
      </c>
      <c r="C289" s="205" t="str">
        <f t="shared" si="61"/>
        <v/>
      </c>
      <c r="D289" s="205" t="str">
        <f t="shared" si="61"/>
        <v/>
      </c>
      <c r="E289" s="205" t="str">
        <f t="shared" si="61"/>
        <v/>
      </c>
      <c r="F289" s="205" t="str">
        <f t="shared" si="61"/>
        <v/>
      </c>
      <c r="G289" s="205" t="str">
        <f t="shared" si="61"/>
        <v/>
      </c>
      <c r="H289" s="205" t="str">
        <f t="shared" si="61"/>
        <v/>
      </c>
      <c r="I289" s="205" t="str">
        <f t="shared" si="61"/>
        <v/>
      </c>
      <c r="J289" s="205" t="str">
        <f t="shared" si="61"/>
        <v/>
      </c>
      <c r="K289" s="205" t="str">
        <f t="shared" si="61"/>
        <v/>
      </c>
      <c r="L289" s="205" t="str">
        <f t="shared" si="62"/>
        <v>info</v>
      </c>
      <c r="M289" s="205" t="str">
        <f t="shared" si="62"/>
        <v>x</v>
      </c>
      <c r="N289" s="205" t="str">
        <f t="shared" si="62"/>
        <v/>
      </c>
      <c r="O289" s="205" t="str">
        <f t="shared" si="62"/>
        <v>model</v>
      </c>
      <c r="P289" s="206" t="str">
        <f t="shared" si="62"/>
        <v>String</v>
      </c>
      <c r="Q289" s="206" t="str">
        <f t="shared" si="62"/>
        <v>x</v>
      </c>
      <c r="R289" s="206" t="str">
        <f t="shared" si="62"/>
        <v>BS</v>
      </c>
      <c r="S289" s="206" t="str">
        <f t="shared" si="62"/>
        <v>all</v>
      </c>
      <c r="T289" s="205" t="str">
        <f t="shared" si="62"/>
        <v>ohne Anschlag</v>
      </c>
      <c r="U289" s="205" t="str">
        <f t="shared" si="62"/>
        <v>Äußerer Laibungstyp</v>
      </c>
      <c r="V289" s="205" t="str">
        <f t="shared" si="62"/>
        <v>x</v>
      </c>
      <c r="W289" s="205" t="str">
        <f t="shared" si="62"/>
        <v/>
      </c>
      <c r="X289" s="205" t="str">
        <f t="shared" si="62"/>
        <v/>
      </c>
      <c r="Y289" s="205" t="str">
        <f t="shared" si="62"/>
        <v>gs_reveal_type</v>
      </c>
    </row>
    <row r="290" spans="1:25">
      <c r="A290" s="204">
        <f t="shared" si="56"/>
        <v>288</v>
      </c>
      <c r="B290" s="205" t="str">
        <f t="shared" si="61"/>
        <v>x</v>
      </c>
      <c r="C290" s="205" t="str">
        <f t="shared" si="61"/>
        <v>x</v>
      </c>
      <c r="D290" s="205" t="str">
        <f t="shared" si="61"/>
        <v/>
      </c>
      <c r="E290" s="205" t="str">
        <f t="shared" si="61"/>
        <v/>
      </c>
      <c r="F290" s="205" t="str">
        <f t="shared" si="61"/>
        <v/>
      </c>
      <c r="G290" s="205" t="str">
        <f t="shared" si="61"/>
        <v/>
      </c>
      <c r="H290" s="205" t="str">
        <f t="shared" si="61"/>
        <v/>
      </c>
      <c r="I290" s="205" t="str">
        <f t="shared" si="61"/>
        <v/>
      </c>
      <c r="J290" s="205" t="str">
        <f t="shared" si="61"/>
        <v/>
      </c>
      <c r="K290" s="205" t="str">
        <f t="shared" si="61"/>
        <v/>
      </c>
      <c r="L290" s="205" t="str">
        <f t="shared" si="62"/>
        <v>info</v>
      </c>
      <c r="M290" s="205" t="str">
        <f t="shared" si="62"/>
        <v>x</v>
      </c>
      <c r="N290" s="205" t="str">
        <f t="shared" si="62"/>
        <v/>
      </c>
      <c r="O290" s="205" t="str">
        <f t="shared" si="62"/>
        <v>model</v>
      </c>
      <c r="P290" s="206" t="str">
        <f t="shared" si="62"/>
        <v>Integer</v>
      </c>
      <c r="Q290" s="206" t="str">
        <f t="shared" si="62"/>
        <v>x</v>
      </c>
      <c r="R290" s="206" t="str">
        <f t="shared" si="62"/>
        <v>BS</v>
      </c>
      <c r="S290" s="206" t="str">
        <f t="shared" si="62"/>
        <v>all</v>
      </c>
      <c r="T290" s="205" t="str">
        <f t="shared" si="62"/>
        <v/>
      </c>
      <c r="U290" s="205" t="str">
        <f t="shared" si="62"/>
        <v>Typ Anschlag</v>
      </c>
      <c r="V290" s="205" t="str">
        <f t="shared" si="62"/>
        <v>x</v>
      </c>
      <c r="W290" s="205" t="str">
        <f t="shared" si="62"/>
        <v/>
      </c>
      <c r="X290" s="205" t="str">
        <f t="shared" si="62"/>
        <v/>
      </c>
      <c r="Y290" s="205" t="str">
        <f t="shared" si="62"/>
        <v>gs_reveal_doubleOuterTypeInt</v>
      </c>
    </row>
    <row r="291" spans="1:25">
      <c r="A291" s="204">
        <f t="shared" si="56"/>
        <v>289</v>
      </c>
      <c r="B291" s="205" t="str">
        <f t="shared" si="61"/>
        <v>x</v>
      </c>
      <c r="C291" s="205" t="str">
        <f t="shared" si="61"/>
        <v/>
      </c>
      <c r="D291" s="205" t="str">
        <f t="shared" si="61"/>
        <v/>
      </c>
      <c r="E291" s="205" t="str">
        <f t="shared" si="61"/>
        <v/>
      </c>
      <c r="F291" s="205" t="str">
        <f t="shared" si="61"/>
        <v/>
      </c>
      <c r="G291" s="205" t="str">
        <f t="shared" si="61"/>
        <v/>
      </c>
      <c r="H291" s="205" t="str">
        <f t="shared" si="61"/>
        <v/>
      </c>
      <c r="I291" s="205" t="str">
        <f t="shared" si="61"/>
        <v/>
      </c>
      <c r="J291" s="205" t="str">
        <f t="shared" si="61"/>
        <v/>
      </c>
      <c r="K291" s="205" t="str">
        <f t="shared" si="61"/>
        <v/>
      </c>
      <c r="L291" s="205" t="str">
        <f t="shared" si="62"/>
        <v>info</v>
      </c>
      <c r="M291" s="205" t="str">
        <f t="shared" si="62"/>
        <v>x</v>
      </c>
      <c r="N291" s="205" t="str">
        <f t="shared" si="62"/>
        <v/>
      </c>
      <c r="O291" s="205" t="str">
        <f t="shared" si="62"/>
        <v>model</v>
      </c>
      <c r="P291" s="206" t="str">
        <f t="shared" si="62"/>
        <v>String</v>
      </c>
      <c r="Q291" s="206" t="str">
        <f t="shared" si="62"/>
        <v>x</v>
      </c>
      <c r="R291" s="206" t="str">
        <f t="shared" si="62"/>
        <v>BS</v>
      </c>
      <c r="S291" s="206" t="str">
        <f t="shared" si="62"/>
        <v>all</v>
      </c>
      <c r="T291" s="205" t="str">
        <f t="shared" si="62"/>
        <v>ohne Anschlag</v>
      </c>
      <c r="U291" s="205" t="str">
        <f t="shared" si="62"/>
        <v>Laibungstyp Innen</v>
      </c>
      <c r="V291" s="205" t="str">
        <f t="shared" si="62"/>
        <v>x</v>
      </c>
      <c r="W291" s="205" t="str">
        <f t="shared" si="62"/>
        <v/>
      </c>
      <c r="X291" s="205" t="str">
        <f t="shared" si="62"/>
        <v/>
      </c>
      <c r="Y291" s="205" t="str">
        <f t="shared" si="62"/>
        <v>gs_reveal_double_innerType</v>
      </c>
    </row>
    <row r="292" spans="1:25">
      <c r="A292" s="204">
        <f t="shared" si="56"/>
        <v>290</v>
      </c>
      <c r="B292" s="205" t="str">
        <f t="shared" si="61"/>
        <v>x</v>
      </c>
      <c r="C292" s="205" t="str">
        <f t="shared" si="61"/>
        <v>x</v>
      </c>
      <c r="D292" s="205" t="str">
        <f t="shared" si="61"/>
        <v/>
      </c>
      <c r="E292" s="205" t="str">
        <f t="shared" si="61"/>
        <v/>
      </c>
      <c r="F292" s="205" t="str">
        <f t="shared" si="61"/>
        <v/>
      </c>
      <c r="G292" s="205" t="str">
        <f t="shared" si="61"/>
        <v/>
      </c>
      <c r="H292" s="205" t="str">
        <f t="shared" si="61"/>
        <v/>
      </c>
      <c r="I292" s="205" t="str">
        <f t="shared" si="61"/>
        <v/>
      </c>
      <c r="J292" s="205" t="str">
        <f t="shared" si="61"/>
        <v/>
      </c>
      <c r="K292" s="205" t="str">
        <f t="shared" si="61"/>
        <v/>
      </c>
      <c r="L292" s="205" t="str">
        <f t="shared" si="62"/>
        <v>info</v>
      </c>
      <c r="M292" s="205" t="str">
        <f t="shared" si="62"/>
        <v>x</v>
      </c>
      <c r="N292" s="205" t="str">
        <f t="shared" si="62"/>
        <v/>
      </c>
      <c r="O292" s="205" t="str">
        <f t="shared" si="62"/>
        <v>model</v>
      </c>
      <c r="P292" s="206" t="str">
        <f t="shared" si="62"/>
        <v>Integer</v>
      </c>
      <c r="Q292" s="206" t="str">
        <f t="shared" si="62"/>
        <v>x</v>
      </c>
      <c r="R292" s="206" t="str">
        <f t="shared" si="62"/>
        <v>BS</v>
      </c>
      <c r="S292" s="206" t="str">
        <f t="shared" si="62"/>
        <v>all</v>
      </c>
      <c r="T292" s="205" t="str">
        <f t="shared" si="62"/>
        <v/>
      </c>
      <c r="U292" s="205" t="str">
        <f t="shared" si="62"/>
        <v>Typ Anschlag</v>
      </c>
      <c r="V292" s="205" t="str">
        <f t="shared" si="62"/>
        <v>x</v>
      </c>
      <c r="W292" s="205" t="str">
        <f t="shared" si="62"/>
        <v/>
      </c>
      <c r="X292" s="205" t="str">
        <f t="shared" si="62"/>
        <v/>
      </c>
      <c r="Y292" s="205" t="str">
        <f t="shared" si="62"/>
        <v>gs_reveal_doubleInnerTypeInt</v>
      </c>
    </row>
    <row r="293" spans="1:25">
      <c r="A293" s="204">
        <f t="shared" si="56"/>
        <v>291</v>
      </c>
      <c r="B293" s="205" t="str">
        <f t="shared" ref="B293:K302" si="63">IF(ISNONTEXT(B$2),IF(B$2="","",IF(INDEX(IMPORT,$A293,B$2)=0,"",IFERROR(VLOOKUP(INDEX(IMPORT,$A293,B$2),ImportTranslation,2,0),INDEX(IMPORT,$A293,B$2)))),B$2)</f>
        <v>x</v>
      </c>
      <c r="C293" s="205" t="str">
        <f t="shared" si="63"/>
        <v/>
      </c>
      <c r="D293" s="205" t="str">
        <f t="shared" si="63"/>
        <v/>
      </c>
      <c r="E293" s="205" t="str">
        <f t="shared" si="63"/>
        <v/>
      </c>
      <c r="F293" s="205" t="str">
        <f t="shared" si="63"/>
        <v/>
      </c>
      <c r="G293" s="205" t="str">
        <f t="shared" si="63"/>
        <v/>
      </c>
      <c r="H293" s="205" t="str">
        <f t="shared" si="63"/>
        <v/>
      </c>
      <c r="I293" s="205" t="str">
        <f t="shared" si="63"/>
        <v/>
      </c>
      <c r="J293" s="205" t="str">
        <f t="shared" si="63"/>
        <v/>
      </c>
      <c r="K293" s="205" t="str">
        <f t="shared" si="63"/>
        <v/>
      </c>
      <c r="L293" s="205" t="str">
        <f t="shared" ref="L293:Y302" si="64">IF(ISNONTEXT(L$2),IF(L$2="","",IF(INDEX(IMPORT,$A293,L$2)=0,"",IFERROR(VLOOKUP(INDEX(IMPORT,$A293,L$2),ImportTranslation,2,0),INDEX(IMPORT,$A293,L$2)))),L$2)</f>
        <v>info</v>
      </c>
      <c r="M293" s="205" t="str">
        <f t="shared" si="64"/>
        <v>x</v>
      </c>
      <c r="N293" s="205" t="str">
        <f t="shared" si="64"/>
        <v/>
      </c>
      <c r="O293" s="205" t="str">
        <f t="shared" si="64"/>
        <v>model</v>
      </c>
      <c r="P293" s="206" t="str">
        <f t="shared" si="64"/>
        <v>Boolean</v>
      </c>
      <c r="Q293" s="206" t="str">
        <f t="shared" si="64"/>
        <v>x</v>
      </c>
      <c r="R293" s="206" t="str">
        <f t="shared" si="64"/>
        <v>BS</v>
      </c>
      <c r="S293" s="206" t="str">
        <f t="shared" si="64"/>
        <v>all</v>
      </c>
      <c r="T293" s="205">
        <f t="shared" si="64"/>
        <v>1</v>
      </c>
      <c r="U293" s="205" t="str">
        <f t="shared" si="64"/>
        <v>Anschlagtiefe und Laibungswinkel gleich</v>
      </c>
      <c r="V293" s="205" t="str">
        <f t="shared" si="64"/>
        <v>x</v>
      </c>
      <c r="W293" s="205" t="str">
        <f t="shared" si="64"/>
        <v/>
      </c>
      <c r="X293" s="205" t="str">
        <f t="shared" si="64"/>
        <v/>
      </c>
      <c r="Y293" s="205" t="str">
        <f t="shared" si="64"/>
        <v>gs_reveal_uniform</v>
      </c>
    </row>
    <row r="294" spans="1:25">
      <c r="A294" s="204">
        <f t="shared" si="56"/>
        <v>292</v>
      </c>
      <c r="B294" s="205" t="str">
        <f t="shared" si="63"/>
        <v>x</v>
      </c>
      <c r="C294" s="205" t="str">
        <f t="shared" si="63"/>
        <v/>
      </c>
      <c r="D294" s="205" t="str">
        <f t="shared" si="63"/>
        <v/>
      </c>
      <c r="E294" s="205" t="str">
        <f t="shared" si="63"/>
        <v/>
      </c>
      <c r="F294" s="205" t="str">
        <f t="shared" si="63"/>
        <v/>
      </c>
      <c r="G294" s="205" t="str">
        <f t="shared" si="63"/>
        <v/>
      </c>
      <c r="H294" s="205" t="str">
        <f t="shared" si="63"/>
        <v/>
      </c>
      <c r="I294" s="205" t="str">
        <f t="shared" si="63"/>
        <v/>
      </c>
      <c r="J294" s="205" t="str">
        <f t="shared" si="63"/>
        <v/>
      </c>
      <c r="K294" s="205" t="str">
        <f t="shared" si="63"/>
        <v/>
      </c>
      <c r="L294" s="205" t="str">
        <f t="shared" si="64"/>
        <v>info</v>
      </c>
      <c r="M294" s="205" t="str">
        <f t="shared" si="64"/>
        <v>x</v>
      </c>
      <c r="N294" s="205" t="str">
        <f t="shared" si="64"/>
        <v/>
      </c>
      <c r="O294" s="205" t="str">
        <f t="shared" si="64"/>
        <v>model</v>
      </c>
      <c r="P294" s="206" t="str">
        <f t="shared" si="64"/>
        <v>Length</v>
      </c>
      <c r="Q294" s="206" t="str">
        <f t="shared" si="64"/>
        <v>x</v>
      </c>
      <c r="R294" s="206" t="str">
        <f t="shared" si="64"/>
        <v>BS</v>
      </c>
      <c r="S294" s="206" t="str">
        <f t="shared" si="64"/>
        <v>all</v>
      </c>
      <c r="T294" s="205">
        <f t="shared" si="64"/>
        <v>0.05</v>
      </c>
      <c r="U294" s="205" t="str">
        <f t="shared" si="64"/>
        <v>Anschlagstiefe Seite 2</v>
      </c>
      <c r="V294" s="205" t="str">
        <f t="shared" si="64"/>
        <v>x</v>
      </c>
      <c r="W294" s="205" t="str">
        <f t="shared" si="64"/>
        <v/>
      </c>
      <c r="X294" s="205" t="str">
        <f t="shared" si="64"/>
        <v/>
      </c>
      <c r="Y294" s="205" t="str">
        <f t="shared" si="64"/>
        <v>gs_reveal_left</v>
      </c>
    </row>
    <row r="295" spans="1:25">
      <c r="A295" s="204">
        <f t="shared" si="56"/>
        <v>293</v>
      </c>
      <c r="B295" s="205" t="str">
        <f t="shared" si="63"/>
        <v>x</v>
      </c>
      <c r="C295" s="205" t="str">
        <f t="shared" si="63"/>
        <v/>
      </c>
      <c r="D295" s="205" t="str">
        <f t="shared" si="63"/>
        <v/>
      </c>
      <c r="E295" s="205" t="str">
        <f t="shared" si="63"/>
        <v/>
      </c>
      <c r="F295" s="205" t="str">
        <f t="shared" si="63"/>
        <v/>
      </c>
      <c r="G295" s="205" t="str">
        <f t="shared" si="63"/>
        <v/>
      </c>
      <c r="H295" s="205" t="str">
        <f t="shared" si="63"/>
        <v/>
      </c>
      <c r="I295" s="205" t="str">
        <f t="shared" si="63"/>
        <v/>
      </c>
      <c r="J295" s="205" t="str">
        <f t="shared" si="63"/>
        <v/>
      </c>
      <c r="K295" s="205" t="str">
        <f t="shared" si="63"/>
        <v/>
      </c>
      <c r="L295" s="205" t="str">
        <f t="shared" si="64"/>
        <v>info</v>
      </c>
      <c r="M295" s="205" t="str">
        <f t="shared" si="64"/>
        <v>x</v>
      </c>
      <c r="N295" s="205" t="str">
        <f t="shared" si="64"/>
        <v/>
      </c>
      <c r="O295" s="205" t="str">
        <f t="shared" si="64"/>
        <v>model</v>
      </c>
      <c r="P295" s="206" t="str">
        <f t="shared" si="64"/>
        <v>Length</v>
      </c>
      <c r="Q295" s="206" t="str">
        <f t="shared" si="64"/>
        <v>x</v>
      </c>
      <c r="R295" s="206" t="str">
        <f t="shared" si="64"/>
        <v>BS</v>
      </c>
      <c r="S295" s="206" t="str">
        <f t="shared" si="64"/>
        <v>all</v>
      </c>
      <c r="T295" s="205">
        <f t="shared" si="64"/>
        <v>0.05</v>
      </c>
      <c r="U295" s="205" t="str">
        <f t="shared" si="64"/>
        <v>Anschlagstiefe</v>
      </c>
      <c r="V295" s="205" t="str">
        <f t="shared" si="64"/>
        <v>x</v>
      </c>
      <c r="W295" s="205" t="str">
        <f t="shared" si="64"/>
        <v/>
      </c>
      <c r="X295" s="205" t="str">
        <f t="shared" si="64"/>
        <v/>
      </c>
      <c r="Y295" s="205" t="str">
        <f t="shared" si="64"/>
        <v>gs_reveal_right</v>
      </c>
    </row>
    <row r="296" spans="1:25">
      <c r="A296" s="204">
        <f t="shared" si="56"/>
        <v>294</v>
      </c>
      <c r="B296" s="205" t="str">
        <f t="shared" si="63"/>
        <v>x</v>
      </c>
      <c r="C296" s="205" t="str">
        <f t="shared" si="63"/>
        <v/>
      </c>
      <c r="D296" s="205" t="str">
        <f t="shared" si="63"/>
        <v/>
      </c>
      <c r="E296" s="205" t="str">
        <f t="shared" si="63"/>
        <v/>
      </c>
      <c r="F296" s="205" t="str">
        <f t="shared" si="63"/>
        <v/>
      </c>
      <c r="G296" s="205" t="str">
        <f t="shared" si="63"/>
        <v/>
      </c>
      <c r="H296" s="205" t="str">
        <f t="shared" si="63"/>
        <v/>
      </c>
      <c r="I296" s="205" t="str">
        <f t="shared" si="63"/>
        <v/>
      </c>
      <c r="J296" s="205" t="str">
        <f t="shared" si="63"/>
        <v/>
      </c>
      <c r="K296" s="205" t="str">
        <f t="shared" si="63"/>
        <v/>
      </c>
      <c r="L296" s="205" t="str">
        <f t="shared" si="64"/>
        <v>info</v>
      </c>
      <c r="M296" s="205" t="str">
        <f t="shared" si="64"/>
        <v>x</v>
      </c>
      <c r="N296" s="205" t="str">
        <f t="shared" si="64"/>
        <v/>
      </c>
      <c r="O296" s="205" t="str">
        <f t="shared" si="64"/>
        <v>model</v>
      </c>
      <c r="P296" s="206" t="str">
        <f t="shared" si="64"/>
        <v>Length</v>
      </c>
      <c r="Q296" s="206" t="str">
        <f t="shared" si="64"/>
        <v>x</v>
      </c>
      <c r="R296" s="206" t="str">
        <f t="shared" si="64"/>
        <v>BS</v>
      </c>
      <c r="S296" s="206" t="str">
        <f t="shared" si="64"/>
        <v>all</v>
      </c>
      <c r="T296" s="205">
        <f t="shared" si="64"/>
        <v>0.06</v>
      </c>
      <c r="U296" s="205" t="str">
        <f t="shared" si="64"/>
        <v>Innerer Anschlagstiefe Seite 2</v>
      </c>
      <c r="V296" s="205" t="str">
        <f t="shared" si="64"/>
        <v>x</v>
      </c>
      <c r="W296" s="205" t="str">
        <f t="shared" si="64"/>
        <v/>
      </c>
      <c r="X296" s="205" t="str">
        <f t="shared" si="64"/>
        <v/>
      </c>
      <c r="Y296" s="205" t="str">
        <f t="shared" si="64"/>
        <v>gs_reveal_splayed_innerLeft</v>
      </c>
    </row>
    <row r="297" spans="1:25">
      <c r="A297" s="204">
        <f t="shared" si="56"/>
        <v>295</v>
      </c>
      <c r="B297" s="205" t="str">
        <f t="shared" si="63"/>
        <v>x</v>
      </c>
      <c r="C297" s="205" t="str">
        <f t="shared" si="63"/>
        <v/>
      </c>
      <c r="D297" s="205" t="str">
        <f t="shared" si="63"/>
        <v/>
      </c>
      <c r="E297" s="205" t="str">
        <f t="shared" si="63"/>
        <v/>
      </c>
      <c r="F297" s="205" t="str">
        <f t="shared" si="63"/>
        <v/>
      </c>
      <c r="G297" s="205" t="str">
        <f t="shared" si="63"/>
        <v/>
      </c>
      <c r="H297" s="205" t="str">
        <f t="shared" si="63"/>
        <v/>
      </c>
      <c r="I297" s="205" t="str">
        <f t="shared" si="63"/>
        <v/>
      </c>
      <c r="J297" s="205" t="str">
        <f t="shared" si="63"/>
        <v/>
      </c>
      <c r="K297" s="205" t="str">
        <f t="shared" si="63"/>
        <v/>
      </c>
      <c r="L297" s="205" t="str">
        <f t="shared" si="64"/>
        <v>info</v>
      </c>
      <c r="M297" s="205" t="str">
        <f t="shared" si="64"/>
        <v>x</v>
      </c>
      <c r="N297" s="205" t="str">
        <f t="shared" si="64"/>
        <v/>
      </c>
      <c r="O297" s="205" t="str">
        <f t="shared" si="64"/>
        <v>model</v>
      </c>
      <c r="P297" s="206" t="str">
        <f t="shared" si="64"/>
        <v>Length</v>
      </c>
      <c r="Q297" s="206" t="str">
        <f t="shared" si="64"/>
        <v>x</v>
      </c>
      <c r="R297" s="206" t="str">
        <f t="shared" si="64"/>
        <v>BS</v>
      </c>
      <c r="S297" s="206" t="str">
        <f t="shared" si="64"/>
        <v>all</v>
      </c>
      <c r="T297" s="205">
        <f t="shared" si="64"/>
        <v>0.06</v>
      </c>
      <c r="U297" s="205" t="str">
        <f t="shared" si="64"/>
        <v>Innerer Anschlagstiefe</v>
      </c>
      <c r="V297" s="205" t="str">
        <f t="shared" si="64"/>
        <v>x</v>
      </c>
      <c r="W297" s="205" t="str">
        <f t="shared" si="64"/>
        <v/>
      </c>
      <c r="X297" s="205" t="str">
        <f t="shared" si="64"/>
        <v/>
      </c>
      <c r="Y297" s="205" t="str">
        <f t="shared" si="64"/>
        <v>gs_reveal_splayed_innerRight</v>
      </c>
    </row>
    <row r="298" spans="1:25">
      <c r="A298" s="204">
        <f t="shared" si="56"/>
        <v>296</v>
      </c>
      <c r="B298" s="205" t="str">
        <f t="shared" si="63"/>
        <v>x</v>
      </c>
      <c r="C298" s="205" t="str">
        <f t="shared" si="63"/>
        <v/>
      </c>
      <c r="D298" s="205" t="str">
        <f t="shared" si="63"/>
        <v/>
      </c>
      <c r="E298" s="205" t="str">
        <f t="shared" si="63"/>
        <v/>
      </c>
      <c r="F298" s="205" t="str">
        <f t="shared" si="63"/>
        <v/>
      </c>
      <c r="G298" s="205" t="str">
        <f t="shared" si="63"/>
        <v/>
      </c>
      <c r="H298" s="205" t="str">
        <f t="shared" si="63"/>
        <v/>
      </c>
      <c r="I298" s="205" t="str">
        <f t="shared" si="63"/>
        <v/>
      </c>
      <c r="J298" s="205" t="str">
        <f t="shared" si="63"/>
        <v/>
      </c>
      <c r="K298" s="205" t="str">
        <f t="shared" si="63"/>
        <v/>
      </c>
      <c r="L298" s="205" t="str">
        <f t="shared" si="64"/>
        <v>info</v>
      </c>
      <c r="M298" s="205" t="str">
        <f t="shared" si="64"/>
        <v>x</v>
      </c>
      <c r="N298" s="205" t="str">
        <f t="shared" si="64"/>
        <v/>
      </c>
      <c r="O298" s="205" t="str">
        <f t="shared" si="64"/>
        <v>model</v>
      </c>
      <c r="P298" s="206" t="str">
        <f t="shared" si="64"/>
        <v>Length</v>
      </c>
      <c r="Q298" s="206" t="str">
        <f t="shared" si="64"/>
        <v>x</v>
      </c>
      <c r="R298" s="206" t="str">
        <f t="shared" si="64"/>
        <v>BS</v>
      </c>
      <c r="S298" s="206" t="str">
        <f t="shared" si="64"/>
        <v>all</v>
      </c>
      <c r="T298" s="205">
        <f t="shared" si="64"/>
        <v>0.06</v>
      </c>
      <c r="U298" s="205" t="str">
        <f t="shared" si="64"/>
        <v>Innerer Anschlagstiefe Seite 2</v>
      </c>
      <c r="V298" s="205" t="str">
        <f t="shared" si="64"/>
        <v>x</v>
      </c>
      <c r="W298" s="205" t="str">
        <f t="shared" si="64"/>
        <v/>
      </c>
      <c r="X298" s="205" t="str">
        <f t="shared" si="64"/>
        <v/>
      </c>
      <c r="Y298" s="205" t="str">
        <f t="shared" si="64"/>
        <v>gs_reveal_double_innerLeft</v>
      </c>
    </row>
    <row r="299" spans="1:25">
      <c r="A299" s="204">
        <f t="shared" si="56"/>
        <v>297</v>
      </c>
      <c r="B299" s="205" t="str">
        <f t="shared" si="63"/>
        <v>x</v>
      </c>
      <c r="C299" s="205" t="str">
        <f t="shared" si="63"/>
        <v/>
      </c>
      <c r="D299" s="205" t="str">
        <f t="shared" si="63"/>
        <v/>
      </c>
      <c r="E299" s="205" t="str">
        <f t="shared" si="63"/>
        <v/>
      </c>
      <c r="F299" s="205" t="str">
        <f t="shared" si="63"/>
        <v/>
      </c>
      <c r="G299" s="205" t="str">
        <f t="shared" si="63"/>
        <v/>
      </c>
      <c r="H299" s="205" t="str">
        <f t="shared" si="63"/>
        <v/>
      </c>
      <c r="I299" s="205" t="str">
        <f t="shared" si="63"/>
        <v/>
      </c>
      <c r="J299" s="205" t="str">
        <f t="shared" si="63"/>
        <v/>
      </c>
      <c r="K299" s="205" t="str">
        <f t="shared" si="63"/>
        <v/>
      </c>
      <c r="L299" s="205" t="str">
        <f t="shared" si="64"/>
        <v>info</v>
      </c>
      <c r="M299" s="205" t="str">
        <f t="shared" si="64"/>
        <v>x</v>
      </c>
      <c r="N299" s="205" t="str">
        <f t="shared" si="64"/>
        <v/>
      </c>
      <c r="O299" s="205" t="str">
        <f t="shared" si="64"/>
        <v>model</v>
      </c>
      <c r="P299" s="206" t="str">
        <f t="shared" si="64"/>
        <v>Length</v>
      </c>
      <c r="Q299" s="206" t="str">
        <f t="shared" si="64"/>
        <v>x</v>
      </c>
      <c r="R299" s="206" t="str">
        <f t="shared" si="64"/>
        <v>BS</v>
      </c>
      <c r="S299" s="206" t="str">
        <f t="shared" si="64"/>
        <v>all</v>
      </c>
      <c r="T299" s="205">
        <f t="shared" si="64"/>
        <v>0.06</v>
      </c>
      <c r="U299" s="205" t="str">
        <f t="shared" si="64"/>
        <v>Innerer Anschlagstiefe</v>
      </c>
      <c r="V299" s="205" t="str">
        <f t="shared" si="64"/>
        <v>x</v>
      </c>
      <c r="W299" s="205" t="str">
        <f t="shared" si="64"/>
        <v/>
      </c>
      <c r="X299" s="205" t="str">
        <f t="shared" si="64"/>
        <v/>
      </c>
      <c r="Y299" s="205" t="str">
        <f t="shared" si="64"/>
        <v>gs_reveal_double_innerRight</v>
      </c>
    </row>
    <row r="300" spans="1:25">
      <c r="A300" s="204">
        <f t="shared" si="56"/>
        <v>298</v>
      </c>
      <c r="B300" s="205" t="str">
        <f t="shared" si="63"/>
        <v>x</v>
      </c>
      <c r="C300" s="205" t="str">
        <f t="shared" si="63"/>
        <v/>
      </c>
      <c r="D300" s="205" t="str">
        <f t="shared" si="63"/>
        <v/>
      </c>
      <c r="E300" s="205" t="str">
        <f t="shared" si="63"/>
        <v/>
      </c>
      <c r="F300" s="205" t="str">
        <f t="shared" si="63"/>
        <v/>
      </c>
      <c r="G300" s="205" t="str">
        <f t="shared" si="63"/>
        <v/>
      </c>
      <c r="H300" s="205" t="str">
        <f t="shared" si="63"/>
        <v/>
      </c>
      <c r="I300" s="205" t="str">
        <f t="shared" si="63"/>
        <v/>
      </c>
      <c r="J300" s="205" t="str">
        <f t="shared" si="63"/>
        <v/>
      </c>
      <c r="K300" s="205" t="str">
        <f t="shared" si="63"/>
        <v/>
      </c>
      <c r="L300" s="205" t="str">
        <f t="shared" si="64"/>
        <v>info</v>
      </c>
      <c r="M300" s="205" t="str">
        <f t="shared" si="64"/>
        <v>x</v>
      </c>
      <c r="N300" s="205" t="str">
        <f t="shared" si="64"/>
        <v/>
      </c>
      <c r="O300" s="205" t="str">
        <f t="shared" si="64"/>
        <v>model</v>
      </c>
      <c r="P300" s="206" t="str">
        <f t="shared" si="64"/>
        <v>Length</v>
      </c>
      <c r="Q300" s="206" t="str">
        <f t="shared" si="64"/>
        <v>x</v>
      </c>
      <c r="R300" s="206" t="str">
        <f t="shared" si="64"/>
        <v>BS</v>
      </c>
      <c r="S300" s="206" t="str">
        <f t="shared" si="64"/>
        <v>all</v>
      </c>
      <c r="T300" s="205">
        <f t="shared" si="64"/>
        <v>0.05</v>
      </c>
      <c r="U300" s="205" t="str">
        <f t="shared" si="64"/>
        <v>Tiefe des oberen Anschlags</v>
      </c>
      <c r="V300" s="205" t="str">
        <f t="shared" si="64"/>
        <v>x</v>
      </c>
      <c r="W300" s="205" t="str">
        <f t="shared" si="64"/>
        <v/>
      </c>
      <c r="X300" s="205" t="str">
        <f t="shared" si="64"/>
        <v/>
      </c>
      <c r="Y300" s="205" t="str">
        <f t="shared" si="64"/>
        <v>gs_reveal_top</v>
      </c>
    </row>
    <row r="301" spans="1:25">
      <c r="A301" s="204">
        <f t="shared" si="56"/>
        <v>299</v>
      </c>
      <c r="B301" s="205" t="str">
        <f t="shared" si="63"/>
        <v>x</v>
      </c>
      <c r="C301" s="205" t="str">
        <f t="shared" si="63"/>
        <v/>
      </c>
      <c r="D301" s="205" t="str">
        <f t="shared" si="63"/>
        <v/>
      </c>
      <c r="E301" s="205" t="str">
        <f t="shared" si="63"/>
        <v/>
      </c>
      <c r="F301" s="205" t="str">
        <f t="shared" si="63"/>
        <v/>
      </c>
      <c r="G301" s="205" t="str">
        <f t="shared" si="63"/>
        <v/>
      </c>
      <c r="H301" s="205" t="str">
        <f t="shared" si="63"/>
        <v/>
      </c>
      <c r="I301" s="205" t="str">
        <f t="shared" si="63"/>
        <v/>
      </c>
      <c r="J301" s="205" t="str">
        <f t="shared" si="63"/>
        <v/>
      </c>
      <c r="K301" s="205" t="str">
        <f t="shared" si="63"/>
        <v/>
      </c>
      <c r="L301" s="205" t="str">
        <f t="shared" si="64"/>
        <v>info</v>
      </c>
      <c r="M301" s="205" t="str">
        <f t="shared" si="64"/>
        <v>x</v>
      </c>
      <c r="N301" s="205" t="str">
        <f t="shared" si="64"/>
        <v/>
      </c>
      <c r="O301" s="205" t="str">
        <f t="shared" si="64"/>
        <v>model</v>
      </c>
      <c r="P301" s="206" t="str">
        <f t="shared" si="64"/>
        <v>Length</v>
      </c>
      <c r="Q301" s="206" t="str">
        <f t="shared" si="64"/>
        <v>x</v>
      </c>
      <c r="R301" s="206" t="str">
        <f t="shared" si="64"/>
        <v>BS</v>
      </c>
      <c r="S301" s="206" t="str">
        <f t="shared" si="64"/>
        <v>all</v>
      </c>
      <c r="T301" s="205">
        <f t="shared" si="64"/>
        <v>0.06</v>
      </c>
      <c r="U301" s="205" t="str">
        <f t="shared" si="64"/>
        <v>Tiefe des unteren Anschlags</v>
      </c>
      <c r="V301" s="205" t="str">
        <f t="shared" si="64"/>
        <v>x</v>
      </c>
      <c r="W301" s="205" t="str">
        <f t="shared" si="64"/>
        <v/>
      </c>
      <c r="X301" s="205" t="str">
        <f t="shared" si="64"/>
        <v/>
      </c>
      <c r="Y301" s="205" t="str">
        <f t="shared" si="64"/>
        <v>gs_reveal_bottom</v>
      </c>
    </row>
    <row r="302" spans="1:25">
      <c r="A302" s="204">
        <f t="shared" si="56"/>
        <v>300</v>
      </c>
      <c r="B302" s="205" t="str">
        <f t="shared" si="63"/>
        <v>x</v>
      </c>
      <c r="C302" s="205" t="str">
        <f t="shared" si="63"/>
        <v/>
      </c>
      <c r="D302" s="205" t="str">
        <f t="shared" si="63"/>
        <v/>
      </c>
      <c r="E302" s="205" t="str">
        <f t="shared" si="63"/>
        <v/>
      </c>
      <c r="F302" s="205" t="str">
        <f t="shared" si="63"/>
        <v/>
      </c>
      <c r="G302" s="205" t="str">
        <f t="shared" si="63"/>
        <v/>
      </c>
      <c r="H302" s="205" t="str">
        <f t="shared" si="63"/>
        <v/>
      </c>
      <c r="I302" s="205" t="str">
        <f t="shared" si="63"/>
        <v/>
      </c>
      <c r="J302" s="205" t="str">
        <f t="shared" si="63"/>
        <v/>
      </c>
      <c r="K302" s="205" t="str">
        <f t="shared" si="63"/>
        <v/>
      </c>
      <c r="L302" s="205" t="str">
        <f t="shared" si="64"/>
        <v>info</v>
      </c>
      <c r="M302" s="205" t="str">
        <f t="shared" si="64"/>
        <v>x</v>
      </c>
      <c r="N302" s="205" t="str">
        <f t="shared" si="64"/>
        <v/>
      </c>
      <c r="O302" s="205" t="str">
        <f t="shared" si="64"/>
        <v>model</v>
      </c>
      <c r="P302" s="206" t="str">
        <f t="shared" si="64"/>
        <v>Length</v>
      </c>
      <c r="Q302" s="206" t="str">
        <f t="shared" si="64"/>
        <v>x</v>
      </c>
      <c r="R302" s="206" t="str">
        <f t="shared" si="64"/>
        <v>BS</v>
      </c>
      <c r="S302" s="206" t="str">
        <f t="shared" si="64"/>
        <v>all</v>
      </c>
      <c r="T302" s="205">
        <f t="shared" si="64"/>
        <v>0.06</v>
      </c>
      <c r="U302" s="205" t="str">
        <f t="shared" si="64"/>
        <v>Tiefe Sturz Innen</v>
      </c>
      <c r="V302" s="205" t="str">
        <f t="shared" si="64"/>
        <v>x</v>
      </c>
      <c r="W302" s="205" t="str">
        <f t="shared" si="64"/>
        <v/>
      </c>
      <c r="X302" s="205" t="str">
        <f t="shared" si="64"/>
        <v/>
      </c>
      <c r="Y302" s="205" t="str">
        <f t="shared" si="64"/>
        <v>gs_reveal_splayed_innerTop</v>
      </c>
    </row>
    <row r="303" spans="1:25">
      <c r="A303" s="204">
        <f t="shared" si="56"/>
        <v>301</v>
      </c>
      <c r="B303" s="205" t="str">
        <f t="shared" ref="B303:K312" si="65">IF(ISNONTEXT(B$2),IF(B$2="","",IF(INDEX(IMPORT,$A303,B$2)=0,"",IFERROR(VLOOKUP(INDEX(IMPORT,$A303,B$2),ImportTranslation,2,0),INDEX(IMPORT,$A303,B$2)))),B$2)</f>
        <v>x</v>
      </c>
      <c r="C303" s="205" t="str">
        <f t="shared" si="65"/>
        <v/>
      </c>
      <c r="D303" s="205" t="str">
        <f t="shared" si="65"/>
        <v/>
      </c>
      <c r="E303" s="205" t="str">
        <f t="shared" si="65"/>
        <v/>
      </c>
      <c r="F303" s="205" t="str">
        <f t="shared" si="65"/>
        <v/>
      </c>
      <c r="G303" s="205" t="str">
        <f t="shared" si="65"/>
        <v/>
      </c>
      <c r="H303" s="205" t="str">
        <f t="shared" si="65"/>
        <v/>
      </c>
      <c r="I303" s="205" t="str">
        <f t="shared" si="65"/>
        <v/>
      </c>
      <c r="J303" s="205" t="str">
        <f t="shared" si="65"/>
        <v/>
      </c>
      <c r="K303" s="205" t="str">
        <f t="shared" si="65"/>
        <v/>
      </c>
      <c r="L303" s="205" t="str">
        <f t="shared" ref="L303:Y312" si="66">IF(ISNONTEXT(L$2),IF(L$2="","",IF(INDEX(IMPORT,$A303,L$2)=0,"",IFERROR(VLOOKUP(INDEX(IMPORT,$A303,L$2),ImportTranslation,2,0),INDEX(IMPORT,$A303,L$2)))),L$2)</f>
        <v>info</v>
      </c>
      <c r="M303" s="205" t="str">
        <f t="shared" si="66"/>
        <v>x</v>
      </c>
      <c r="N303" s="205" t="str">
        <f t="shared" si="66"/>
        <v/>
      </c>
      <c r="O303" s="205" t="str">
        <f t="shared" si="66"/>
        <v>model</v>
      </c>
      <c r="P303" s="206" t="str">
        <f t="shared" si="66"/>
        <v>Length</v>
      </c>
      <c r="Q303" s="206" t="str">
        <f t="shared" si="66"/>
        <v>x</v>
      </c>
      <c r="R303" s="206" t="str">
        <f t="shared" si="66"/>
        <v>BS</v>
      </c>
      <c r="S303" s="206" t="str">
        <f t="shared" si="66"/>
        <v>all</v>
      </c>
      <c r="T303" s="205" t="str">
        <f t="shared" si="66"/>
        <v/>
      </c>
      <c r="U303" s="205" t="str">
        <f t="shared" si="66"/>
        <v>Tiefe Laibung Innen</v>
      </c>
      <c r="V303" s="205" t="str">
        <f t="shared" si="66"/>
        <v>x</v>
      </c>
      <c r="W303" s="205" t="str">
        <f t="shared" si="66"/>
        <v/>
      </c>
      <c r="X303" s="205" t="str">
        <f t="shared" si="66"/>
        <v/>
      </c>
      <c r="Y303" s="205" t="str">
        <f t="shared" si="66"/>
        <v>gs_reveal_splayed_innerBottom</v>
      </c>
    </row>
    <row r="304" spans="1:25">
      <c r="A304" s="204">
        <f t="shared" si="56"/>
        <v>302</v>
      </c>
      <c r="B304" s="205" t="str">
        <f t="shared" si="65"/>
        <v>x</v>
      </c>
      <c r="C304" s="205" t="str">
        <f t="shared" si="65"/>
        <v/>
      </c>
      <c r="D304" s="205" t="str">
        <f t="shared" si="65"/>
        <v/>
      </c>
      <c r="E304" s="205" t="str">
        <f t="shared" si="65"/>
        <v/>
      </c>
      <c r="F304" s="205" t="str">
        <f t="shared" si="65"/>
        <v/>
      </c>
      <c r="G304" s="205" t="str">
        <f t="shared" si="65"/>
        <v/>
      </c>
      <c r="H304" s="205" t="str">
        <f t="shared" si="65"/>
        <v/>
      </c>
      <c r="I304" s="205" t="str">
        <f t="shared" si="65"/>
        <v/>
      </c>
      <c r="J304" s="205" t="str">
        <f t="shared" si="65"/>
        <v/>
      </c>
      <c r="K304" s="205" t="str">
        <f t="shared" si="65"/>
        <v/>
      </c>
      <c r="L304" s="205" t="str">
        <f t="shared" si="66"/>
        <v>info</v>
      </c>
      <c r="M304" s="205" t="str">
        <f t="shared" si="66"/>
        <v>x</v>
      </c>
      <c r="N304" s="205" t="str">
        <f t="shared" si="66"/>
        <v/>
      </c>
      <c r="O304" s="205" t="str">
        <f t="shared" si="66"/>
        <v>model</v>
      </c>
      <c r="P304" s="206" t="str">
        <f t="shared" si="66"/>
        <v>Length</v>
      </c>
      <c r="Q304" s="206" t="str">
        <f t="shared" si="66"/>
        <v>x</v>
      </c>
      <c r="R304" s="206" t="str">
        <f t="shared" si="66"/>
        <v>BS</v>
      </c>
      <c r="S304" s="206" t="str">
        <f t="shared" si="66"/>
        <v>all</v>
      </c>
      <c r="T304" s="205">
        <f t="shared" si="66"/>
        <v>0.06</v>
      </c>
      <c r="U304" s="205" t="str">
        <f t="shared" si="66"/>
        <v>Tiefe Sturz Innen</v>
      </c>
      <c r="V304" s="205" t="str">
        <f t="shared" si="66"/>
        <v>x</v>
      </c>
      <c r="W304" s="205" t="str">
        <f t="shared" si="66"/>
        <v/>
      </c>
      <c r="X304" s="205" t="str">
        <f t="shared" si="66"/>
        <v/>
      </c>
      <c r="Y304" s="205" t="str">
        <f t="shared" si="66"/>
        <v>gs_reveal_double_innerTop</v>
      </c>
    </row>
    <row r="305" spans="1:25">
      <c r="A305" s="204">
        <f t="shared" si="56"/>
        <v>303</v>
      </c>
      <c r="B305" s="205" t="str">
        <f t="shared" si="65"/>
        <v>x</v>
      </c>
      <c r="C305" s="205" t="str">
        <f t="shared" si="65"/>
        <v/>
      </c>
      <c r="D305" s="205" t="str">
        <f t="shared" si="65"/>
        <v/>
      </c>
      <c r="E305" s="205" t="str">
        <f t="shared" si="65"/>
        <v/>
      </c>
      <c r="F305" s="205" t="str">
        <f t="shared" si="65"/>
        <v/>
      </c>
      <c r="G305" s="205" t="str">
        <f t="shared" si="65"/>
        <v/>
      </c>
      <c r="H305" s="205" t="str">
        <f t="shared" si="65"/>
        <v/>
      </c>
      <c r="I305" s="205" t="str">
        <f t="shared" si="65"/>
        <v/>
      </c>
      <c r="J305" s="205" t="str">
        <f t="shared" si="65"/>
        <v/>
      </c>
      <c r="K305" s="205" t="str">
        <f t="shared" si="65"/>
        <v/>
      </c>
      <c r="L305" s="205" t="str">
        <f t="shared" si="66"/>
        <v>info</v>
      </c>
      <c r="M305" s="205" t="str">
        <f t="shared" si="66"/>
        <v>x</v>
      </c>
      <c r="N305" s="205" t="str">
        <f t="shared" si="66"/>
        <v/>
      </c>
      <c r="O305" s="205" t="str">
        <f t="shared" si="66"/>
        <v>model</v>
      </c>
      <c r="P305" s="206" t="str">
        <f t="shared" si="66"/>
        <v>Length</v>
      </c>
      <c r="Q305" s="206" t="str">
        <f t="shared" si="66"/>
        <v>x</v>
      </c>
      <c r="R305" s="206" t="str">
        <f t="shared" si="66"/>
        <v>BS</v>
      </c>
      <c r="S305" s="206" t="str">
        <f t="shared" si="66"/>
        <v>all</v>
      </c>
      <c r="T305" s="205" t="str">
        <f t="shared" si="66"/>
        <v/>
      </c>
      <c r="U305" s="205" t="str">
        <f t="shared" si="66"/>
        <v>Tiefe Laibung Innen</v>
      </c>
      <c r="V305" s="205" t="str">
        <f t="shared" si="66"/>
        <v>x</v>
      </c>
      <c r="W305" s="205" t="str">
        <f t="shared" si="66"/>
        <v/>
      </c>
      <c r="X305" s="205" t="str">
        <f t="shared" si="66"/>
        <v/>
      </c>
      <c r="Y305" s="205" t="str">
        <f t="shared" si="66"/>
        <v>gs_reveal_double_innerBottom</v>
      </c>
    </row>
    <row r="306" spans="1:25">
      <c r="A306" s="204">
        <f t="shared" si="56"/>
        <v>304</v>
      </c>
      <c r="B306" s="205" t="str">
        <f t="shared" si="65"/>
        <v>x</v>
      </c>
      <c r="C306" s="205" t="str">
        <f t="shared" si="65"/>
        <v/>
      </c>
      <c r="D306" s="205" t="str">
        <f t="shared" si="65"/>
        <v/>
      </c>
      <c r="E306" s="205" t="str">
        <f t="shared" si="65"/>
        <v/>
      </c>
      <c r="F306" s="205" t="str">
        <f t="shared" si="65"/>
        <v/>
      </c>
      <c r="G306" s="205" t="str">
        <f t="shared" si="65"/>
        <v/>
      </c>
      <c r="H306" s="205" t="str">
        <f t="shared" si="65"/>
        <v/>
      </c>
      <c r="I306" s="205" t="str">
        <f t="shared" si="65"/>
        <v/>
      </c>
      <c r="J306" s="205" t="str">
        <f t="shared" si="65"/>
        <v/>
      </c>
      <c r="K306" s="205" t="str">
        <f t="shared" si="65"/>
        <v/>
      </c>
      <c r="L306" s="205" t="str">
        <f t="shared" si="66"/>
        <v>info</v>
      </c>
      <c r="M306" s="205" t="str">
        <f t="shared" si="66"/>
        <v>x</v>
      </c>
      <c r="N306" s="205" t="str">
        <f t="shared" si="66"/>
        <v/>
      </c>
      <c r="O306" s="205" t="str">
        <f t="shared" si="66"/>
        <v>model</v>
      </c>
      <c r="P306" s="206" t="str">
        <f t="shared" si="66"/>
        <v>Length</v>
      </c>
      <c r="Q306" s="206" t="str">
        <f t="shared" si="66"/>
        <v>x</v>
      </c>
      <c r="R306" s="206" t="str">
        <f t="shared" si="66"/>
        <v>BS</v>
      </c>
      <c r="S306" s="206" t="str">
        <f t="shared" si="66"/>
        <v>all</v>
      </c>
      <c r="T306" s="205">
        <f t="shared" si="66"/>
        <v>0.05</v>
      </c>
      <c r="U306" s="205" t="str">
        <f t="shared" si="66"/>
        <v>Tiefe äußerer Anschlag</v>
      </c>
      <c r="V306" s="205" t="str">
        <f t="shared" si="66"/>
        <v>x</v>
      </c>
      <c r="W306" s="205" t="str">
        <f t="shared" si="66"/>
        <v/>
      </c>
      <c r="X306" s="205" t="str">
        <f t="shared" si="66"/>
        <v/>
      </c>
      <c r="Y306" s="205" t="str">
        <f t="shared" si="66"/>
        <v>gs_reveal_outer_jamb_depth</v>
      </c>
    </row>
    <row r="307" spans="1:25">
      <c r="A307" s="204">
        <f t="shared" si="56"/>
        <v>305</v>
      </c>
      <c r="B307" s="205" t="str">
        <f t="shared" si="65"/>
        <v>x</v>
      </c>
      <c r="C307" s="205" t="str">
        <f t="shared" si="65"/>
        <v/>
      </c>
      <c r="D307" s="205" t="str">
        <f t="shared" si="65"/>
        <v/>
      </c>
      <c r="E307" s="205" t="str">
        <f t="shared" si="65"/>
        <v/>
      </c>
      <c r="F307" s="205" t="str">
        <f t="shared" si="65"/>
        <v/>
      </c>
      <c r="G307" s="205" t="str">
        <f t="shared" si="65"/>
        <v/>
      </c>
      <c r="H307" s="205" t="str">
        <f t="shared" si="65"/>
        <v/>
      </c>
      <c r="I307" s="205" t="str">
        <f t="shared" si="65"/>
        <v/>
      </c>
      <c r="J307" s="205" t="str">
        <f t="shared" si="65"/>
        <v/>
      </c>
      <c r="K307" s="205" t="str">
        <f t="shared" si="65"/>
        <v/>
      </c>
      <c r="L307" s="205" t="str">
        <f t="shared" si="66"/>
        <v>info</v>
      </c>
      <c r="M307" s="205" t="str">
        <f t="shared" si="66"/>
        <v>x</v>
      </c>
      <c r="N307" s="205" t="str">
        <f t="shared" si="66"/>
        <v/>
      </c>
      <c r="O307" s="205" t="str">
        <f t="shared" si="66"/>
        <v>model</v>
      </c>
      <c r="P307" s="206" t="str">
        <f t="shared" si="66"/>
        <v>String</v>
      </c>
      <c r="Q307" s="206" t="str">
        <f t="shared" si="66"/>
        <v>x</v>
      </c>
      <c r="R307" s="206" t="str">
        <f t="shared" si="66"/>
        <v>BS</v>
      </c>
      <c r="S307" s="206" t="str">
        <f t="shared" si="66"/>
        <v>all</v>
      </c>
      <c r="T307" s="205" t="str">
        <f t="shared" si="66"/>
        <v>Winkel und Tiefe</v>
      </c>
      <c r="U307" s="205" t="str">
        <f t="shared" si="66"/>
        <v>Laibung bearbeiten von</v>
      </c>
      <c r="V307" s="205" t="str">
        <f t="shared" si="66"/>
        <v>x</v>
      </c>
      <c r="W307" s="205" t="str">
        <f t="shared" si="66"/>
        <v/>
      </c>
      <c r="X307" s="205" t="str">
        <f t="shared" si="66"/>
        <v/>
      </c>
      <c r="Y307" s="205" t="str">
        <f t="shared" si="66"/>
        <v>gs_reveal_angle_edit_by</v>
      </c>
    </row>
    <row r="308" spans="1:25">
      <c r="A308" s="204">
        <f t="shared" si="56"/>
        <v>306</v>
      </c>
      <c r="B308" s="205" t="str">
        <f t="shared" si="65"/>
        <v>x</v>
      </c>
      <c r="C308" s="205" t="str">
        <f t="shared" si="65"/>
        <v>x</v>
      </c>
      <c r="D308" s="205" t="str">
        <f t="shared" si="65"/>
        <v/>
      </c>
      <c r="E308" s="205" t="str">
        <f t="shared" si="65"/>
        <v/>
      </c>
      <c r="F308" s="205" t="str">
        <f t="shared" si="65"/>
        <v/>
      </c>
      <c r="G308" s="205" t="str">
        <f t="shared" si="65"/>
        <v/>
      </c>
      <c r="H308" s="205" t="str">
        <f t="shared" si="65"/>
        <v/>
      </c>
      <c r="I308" s="205" t="str">
        <f t="shared" si="65"/>
        <v/>
      </c>
      <c r="J308" s="205" t="str">
        <f t="shared" si="65"/>
        <v/>
      </c>
      <c r="K308" s="205" t="str">
        <f t="shared" si="65"/>
        <v/>
      </c>
      <c r="L308" s="205" t="str">
        <f t="shared" si="66"/>
        <v>info</v>
      </c>
      <c r="M308" s="205" t="str">
        <f t="shared" si="66"/>
        <v>x</v>
      </c>
      <c r="N308" s="205" t="str">
        <f t="shared" si="66"/>
        <v/>
      </c>
      <c r="O308" s="205" t="str">
        <f t="shared" si="66"/>
        <v>model</v>
      </c>
      <c r="P308" s="206" t="str">
        <f t="shared" si="66"/>
        <v>Integer</v>
      </c>
      <c r="Q308" s="206" t="str">
        <f t="shared" si="66"/>
        <v>x</v>
      </c>
      <c r="R308" s="206" t="str">
        <f t="shared" si="66"/>
        <v>BS</v>
      </c>
      <c r="S308" s="206" t="str">
        <f t="shared" si="66"/>
        <v>all</v>
      </c>
      <c r="T308" s="205">
        <f t="shared" si="66"/>
        <v>1</v>
      </c>
      <c r="U308" s="205" t="str">
        <f t="shared" si="66"/>
        <v>Laibung bearbeiten von</v>
      </c>
      <c r="V308" s="205" t="str">
        <f t="shared" si="66"/>
        <v>x</v>
      </c>
      <c r="W308" s="205" t="str">
        <f t="shared" si="66"/>
        <v/>
      </c>
      <c r="X308" s="205" t="str">
        <f t="shared" si="66"/>
        <v/>
      </c>
      <c r="Y308" s="205" t="str">
        <f t="shared" si="66"/>
        <v>gs_reveal_angle_edit_by_int</v>
      </c>
    </row>
    <row r="309" spans="1:25">
      <c r="A309" s="204">
        <f t="shared" si="56"/>
        <v>307</v>
      </c>
      <c r="B309" s="205" t="str">
        <f t="shared" si="65"/>
        <v>x</v>
      </c>
      <c r="C309" s="205" t="str">
        <f t="shared" si="65"/>
        <v/>
      </c>
      <c r="D309" s="205" t="str">
        <f t="shared" si="65"/>
        <v/>
      </c>
      <c r="E309" s="205" t="str">
        <f t="shared" si="65"/>
        <v/>
      </c>
      <c r="F309" s="205" t="str">
        <f t="shared" si="65"/>
        <v/>
      </c>
      <c r="G309" s="205" t="str">
        <f t="shared" si="65"/>
        <v/>
      </c>
      <c r="H309" s="205" t="str">
        <f t="shared" si="65"/>
        <v/>
      </c>
      <c r="I309" s="205" t="str">
        <f t="shared" si="65"/>
        <v/>
      </c>
      <c r="J309" s="205" t="str">
        <f t="shared" si="65"/>
        <v/>
      </c>
      <c r="K309" s="205" t="str">
        <f t="shared" si="65"/>
        <v/>
      </c>
      <c r="L309" s="205" t="str">
        <f t="shared" si="66"/>
        <v>info</v>
      </c>
      <c r="M309" s="205" t="str">
        <f t="shared" si="66"/>
        <v>x</v>
      </c>
      <c r="N309" s="205" t="str">
        <f t="shared" si="66"/>
        <v/>
      </c>
      <c r="O309" s="205" t="str">
        <f t="shared" si="66"/>
        <v>model</v>
      </c>
      <c r="P309" s="206" t="str">
        <f t="shared" si="66"/>
        <v>Angle</v>
      </c>
      <c r="Q309" s="206" t="str">
        <f t="shared" si="66"/>
        <v>x</v>
      </c>
      <c r="R309" s="206" t="str">
        <f t="shared" si="66"/>
        <v>BS</v>
      </c>
      <c r="S309" s="206" t="str">
        <f t="shared" si="66"/>
        <v>all</v>
      </c>
      <c r="T309" s="205">
        <f t="shared" si="66"/>
        <v>20</v>
      </c>
      <c r="U309" s="205" t="str">
        <f t="shared" si="66"/>
        <v>Winkel Seite 2</v>
      </c>
      <c r="V309" s="205" t="str">
        <f t="shared" si="66"/>
        <v>x</v>
      </c>
      <c r="W309" s="205" t="str">
        <f t="shared" si="66"/>
        <v/>
      </c>
      <c r="X309" s="205" t="str">
        <f t="shared" si="66"/>
        <v/>
      </c>
      <c r="Y309" s="205" t="str">
        <f t="shared" si="66"/>
        <v>gs_reveal_left_angle</v>
      </c>
    </row>
    <row r="310" spans="1:25">
      <c r="A310" s="204">
        <f t="shared" si="56"/>
        <v>308</v>
      </c>
      <c r="B310" s="205" t="str">
        <f t="shared" si="65"/>
        <v>x</v>
      </c>
      <c r="C310" s="205" t="str">
        <f t="shared" si="65"/>
        <v/>
      </c>
      <c r="D310" s="205" t="str">
        <f t="shared" si="65"/>
        <v/>
      </c>
      <c r="E310" s="205" t="str">
        <f t="shared" si="65"/>
        <v/>
      </c>
      <c r="F310" s="205" t="str">
        <f t="shared" si="65"/>
        <v/>
      </c>
      <c r="G310" s="205" t="str">
        <f t="shared" si="65"/>
        <v/>
      </c>
      <c r="H310" s="205" t="str">
        <f t="shared" si="65"/>
        <v/>
      </c>
      <c r="I310" s="205" t="str">
        <f t="shared" si="65"/>
        <v/>
      </c>
      <c r="J310" s="205" t="str">
        <f t="shared" si="65"/>
        <v/>
      </c>
      <c r="K310" s="205" t="str">
        <f t="shared" si="65"/>
        <v/>
      </c>
      <c r="L310" s="205" t="str">
        <f t="shared" si="66"/>
        <v>info</v>
      </c>
      <c r="M310" s="205" t="str">
        <f t="shared" si="66"/>
        <v>x</v>
      </c>
      <c r="N310" s="205" t="str">
        <f t="shared" si="66"/>
        <v/>
      </c>
      <c r="O310" s="205" t="str">
        <f t="shared" si="66"/>
        <v>model</v>
      </c>
      <c r="P310" s="206" t="str">
        <f t="shared" si="66"/>
        <v>Angle</v>
      </c>
      <c r="Q310" s="206" t="str">
        <f t="shared" si="66"/>
        <v>x</v>
      </c>
      <c r="R310" s="206" t="str">
        <f t="shared" si="66"/>
        <v>BS</v>
      </c>
      <c r="S310" s="206" t="str">
        <f t="shared" si="66"/>
        <v>all</v>
      </c>
      <c r="T310" s="205">
        <f t="shared" si="66"/>
        <v>20</v>
      </c>
      <c r="U310" s="205" t="str">
        <f t="shared" si="66"/>
        <v>Winkel Seite</v>
      </c>
      <c r="V310" s="205" t="str">
        <f t="shared" si="66"/>
        <v>x</v>
      </c>
      <c r="W310" s="205" t="str">
        <f t="shared" si="66"/>
        <v/>
      </c>
      <c r="X310" s="205" t="str">
        <f t="shared" si="66"/>
        <v/>
      </c>
      <c r="Y310" s="205" t="str">
        <f t="shared" si="66"/>
        <v>gs_reveal_right_angle</v>
      </c>
    </row>
    <row r="311" spans="1:25">
      <c r="A311" s="204">
        <f t="shared" si="56"/>
        <v>309</v>
      </c>
      <c r="B311" s="205" t="str">
        <f t="shared" si="65"/>
        <v>x</v>
      </c>
      <c r="C311" s="205" t="str">
        <f t="shared" si="65"/>
        <v/>
      </c>
      <c r="D311" s="205" t="str">
        <f t="shared" si="65"/>
        <v/>
      </c>
      <c r="E311" s="205" t="str">
        <f t="shared" si="65"/>
        <v/>
      </c>
      <c r="F311" s="205" t="str">
        <f t="shared" si="65"/>
        <v/>
      </c>
      <c r="G311" s="205" t="str">
        <f t="shared" si="65"/>
        <v/>
      </c>
      <c r="H311" s="205" t="str">
        <f t="shared" si="65"/>
        <v/>
      </c>
      <c r="I311" s="205" t="str">
        <f t="shared" si="65"/>
        <v/>
      </c>
      <c r="J311" s="205" t="str">
        <f t="shared" si="65"/>
        <v/>
      </c>
      <c r="K311" s="205" t="str">
        <f t="shared" si="65"/>
        <v/>
      </c>
      <c r="L311" s="205" t="str">
        <f t="shared" si="66"/>
        <v>info</v>
      </c>
      <c r="M311" s="205" t="str">
        <f t="shared" si="66"/>
        <v>x</v>
      </c>
      <c r="N311" s="205" t="str">
        <f t="shared" si="66"/>
        <v/>
      </c>
      <c r="O311" s="205" t="str">
        <f t="shared" si="66"/>
        <v>model</v>
      </c>
      <c r="P311" s="206" t="str">
        <f t="shared" si="66"/>
        <v>Angle</v>
      </c>
      <c r="Q311" s="206" t="str">
        <f t="shared" si="66"/>
        <v>x</v>
      </c>
      <c r="R311" s="206" t="str">
        <f t="shared" si="66"/>
        <v>BS</v>
      </c>
      <c r="S311" s="206" t="str">
        <f t="shared" si="66"/>
        <v>all</v>
      </c>
      <c r="T311" s="205">
        <f t="shared" si="66"/>
        <v>20</v>
      </c>
      <c r="U311" s="205" t="str">
        <f t="shared" si="66"/>
        <v>Winkel oben</v>
      </c>
      <c r="V311" s="205" t="str">
        <f t="shared" si="66"/>
        <v>x</v>
      </c>
      <c r="W311" s="205" t="str">
        <f t="shared" si="66"/>
        <v/>
      </c>
      <c r="X311" s="205" t="str">
        <f t="shared" si="66"/>
        <v/>
      </c>
      <c r="Y311" s="205" t="str">
        <f t="shared" si="66"/>
        <v>gs_reveal_top_angle</v>
      </c>
    </row>
    <row r="312" spans="1:25">
      <c r="A312" s="204">
        <f t="shared" si="56"/>
        <v>310</v>
      </c>
      <c r="B312" s="205" t="str">
        <f t="shared" si="65"/>
        <v>x</v>
      </c>
      <c r="C312" s="205" t="str">
        <f t="shared" si="65"/>
        <v/>
      </c>
      <c r="D312" s="205" t="str">
        <f t="shared" si="65"/>
        <v/>
      </c>
      <c r="E312" s="205" t="str">
        <f t="shared" si="65"/>
        <v/>
      </c>
      <c r="F312" s="205" t="str">
        <f t="shared" si="65"/>
        <v/>
      </c>
      <c r="G312" s="205" t="str">
        <f t="shared" si="65"/>
        <v/>
      </c>
      <c r="H312" s="205" t="str">
        <f t="shared" si="65"/>
        <v/>
      </c>
      <c r="I312" s="205" t="str">
        <f t="shared" si="65"/>
        <v/>
      </c>
      <c r="J312" s="205" t="str">
        <f t="shared" si="65"/>
        <v/>
      </c>
      <c r="K312" s="205" t="str">
        <f t="shared" si="65"/>
        <v/>
      </c>
      <c r="L312" s="205" t="str">
        <f t="shared" si="66"/>
        <v>info</v>
      </c>
      <c r="M312" s="205" t="str">
        <f t="shared" si="66"/>
        <v>x</v>
      </c>
      <c r="N312" s="205" t="str">
        <f t="shared" si="66"/>
        <v/>
      </c>
      <c r="O312" s="205" t="str">
        <f t="shared" si="66"/>
        <v>model</v>
      </c>
      <c r="P312" s="206" t="str">
        <f t="shared" si="66"/>
        <v>Angle</v>
      </c>
      <c r="Q312" s="206" t="str">
        <f t="shared" si="66"/>
        <v>x</v>
      </c>
      <c r="R312" s="206" t="str">
        <f t="shared" si="66"/>
        <v>BS</v>
      </c>
      <c r="S312" s="206" t="str">
        <f t="shared" si="66"/>
        <v>all</v>
      </c>
      <c r="T312" s="205" t="str">
        <f t="shared" si="66"/>
        <v/>
      </c>
      <c r="U312" s="205" t="str">
        <f t="shared" si="66"/>
        <v>Winkel unten</v>
      </c>
      <c r="V312" s="205" t="str">
        <f t="shared" si="66"/>
        <v>x</v>
      </c>
      <c r="W312" s="205" t="str">
        <f t="shared" si="66"/>
        <v/>
      </c>
      <c r="X312" s="205" t="str">
        <f t="shared" si="66"/>
        <v/>
      </c>
      <c r="Y312" s="205" t="str">
        <f t="shared" si="66"/>
        <v>gs_reveal_bottom_angle</v>
      </c>
    </row>
    <row r="313" spans="1:25">
      <c r="A313" s="204">
        <f t="shared" si="56"/>
        <v>311</v>
      </c>
      <c r="B313" s="205" t="str">
        <f t="shared" ref="B313:K322" si="67">IF(ISNONTEXT(B$2),IF(B$2="","",IF(INDEX(IMPORT,$A313,B$2)=0,"",IFERROR(VLOOKUP(INDEX(IMPORT,$A313,B$2),ImportTranslation,2,0),INDEX(IMPORT,$A313,B$2)))),B$2)</f>
        <v>x</v>
      </c>
      <c r="C313" s="205" t="str">
        <f t="shared" si="67"/>
        <v/>
      </c>
      <c r="D313" s="205" t="str">
        <f t="shared" si="67"/>
        <v/>
      </c>
      <c r="E313" s="205" t="str">
        <f t="shared" si="67"/>
        <v/>
      </c>
      <c r="F313" s="205" t="str">
        <f t="shared" si="67"/>
        <v/>
      </c>
      <c r="G313" s="205" t="str">
        <f t="shared" si="67"/>
        <v/>
      </c>
      <c r="H313" s="205" t="str">
        <f t="shared" si="67"/>
        <v/>
      </c>
      <c r="I313" s="205" t="str">
        <f t="shared" si="67"/>
        <v/>
      </c>
      <c r="J313" s="205" t="str">
        <f t="shared" si="67"/>
        <v/>
      </c>
      <c r="K313" s="205" t="str">
        <f t="shared" si="67"/>
        <v/>
      </c>
      <c r="L313" s="205" t="str">
        <f t="shared" ref="L313:Y322" si="68">IF(ISNONTEXT(L$2),IF(L$2="","",IF(INDEX(IMPORT,$A313,L$2)=0,"",IFERROR(VLOOKUP(INDEX(IMPORT,$A313,L$2),ImportTranslation,2,0),INDEX(IMPORT,$A313,L$2)))),L$2)</f>
        <v>info</v>
      </c>
      <c r="M313" s="205" t="str">
        <f t="shared" si="68"/>
        <v>x</v>
      </c>
      <c r="N313" s="205" t="str">
        <f t="shared" si="68"/>
        <v/>
      </c>
      <c r="O313" s="205" t="str">
        <f t="shared" si="68"/>
        <v>model</v>
      </c>
      <c r="P313" s="206" t="str">
        <f t="shared" si="68"/>
        <v>Length</v>
      </c>
      <c r="Q313" s="206" t="str">
        <f t="shared" si="68"/>
        <v>x</v>
      </c>
      <c r="R313" s="206" t="str">
        <f t="shared" si="68"/>
        <v>BS</v>
      </c>
      <c r="S313" s="206" t="str">
        <f t="shared" si="68"/>
        <v>all</v>
      </c>
      <c r="T313" s="205">
        <f t="shared" si="68"/>
        <v>-1</v>
      </c>
      <c r="U313" s="205" t="str">
        <f t="shared" si="68"/>
        <v>Seitenabschrägung Breite Seite 2</v>
      </c>
      <c r="V313" s="205" t="str">
        <f t="shared" si="68"/>
        <v>x</v>
      </c>
      <c r="W313" s="205" t="str">
        <f t="shared" si="68"/>
        <v/>
      </c>
      <c r="X313" s="205" t="str">
        <f t="shared" si="68"/>
        <v/>
      </c>
      <c r="Y313" s="205" t="str">
        <f t="shared" si="68"/>
        <v>gs_reveal_innerLeft_width</v>
      </c>
    </row>
    <row r="314" spans="1:25">
      <c r="A314" s="204">
        <f t="shared" si="56"/>
        <v>312</v>
      </c>
      <c r="B314" s="205" t="str">
        <f t="shared" si="67"/>
        <v>x</v>
      </c>
      <c r="C314" s="205" t="str">
        <f t="shared" si="67"/>
        <v/>
      </c>
      <c r="D314" s="205" t="str">
        <f t="shared" si="67"/>
        <v/>
      </c>
      <c r="E314" s="205" t="str">
        <f t="shared" si="67"/>
        <v/>
      </c>
      <c r="F314" s="205" t="str">
        <f t="shared" si="67"/>
        <v/>
      </c>
      <c r="G314" s="205" t="str">
        <f t="shared" si="67"/>
        <v/>
      </c>
      <c r="H314" s="205" t="str">
        <f t="shared" si="67"/>
        <v/>
      </c>
      <c r="I314" s="205" t="str">
        <f t="shared" si="67"/>
        <v/>
      </c>
      <c r="J314" s="205" t="str">
        <f t="shared" si="67"/>
        <v/>
      </c>
      <c r="K314" s="205" t="str">
        <f t="shared" si="67"/>
        <v/>
      </c>
      <c r="L314" s="205" t="str">
        <f t="shared" si="68"/>
        <v>info</v>
      </c>
      <c r="M314" s="205" t="str">
        <f t="shared" si="68"/>
        <v>x</v>
      </c>
      <c r="N314" s="205" t="str">
        <f t="shared" si="68"/>
        <v/>
      </c>
      <c r="O314" s="205" t="str">
        <f t="shared" si="68"/>
        <v>model</v>
      </c>
      <c r="P314" s="206" t="str">
        <f t="shared" si="68"/>
        <v>Length</v>
      </c>
      <c r="Q314" s="206" t="str">
        <f t="shared" si="68"/>
        <v>x</v>
      </c>
      <c r="R314" s="206" t="str">
        <f t="shared" si="68"/>
        <v>BS</v>
      </c>
      <c r="S314" s="206" t="str">
        <f t="shared" si="68"/>
        <v>all</v>
      </c>
      <c r="T314" s="205">
        <f t="shared" si="68"/>
        <v>-1</v>
      </c>
      <c r="U314" s="205" t="str">
        <f t="shared" si="68"/>
        <v>Seitenabschrägung Breite Seite</v>
      </c>
      <c r="V314" s="205" t="str">
        <f t="shared" si="68"/>
        <v>x</v>
      </c>
      <c r="W314" s="205" t="str">
        <f t="shared" si="68"/>
        <v/>
      </c>
      <c r="X314" s="205" t="str">
        <f t="shared" si="68"/>
        <v/>
      </c>
      <c r="Y314" s="205" t="str">
        <f t="shared" si="68"/>
        <v>gs_reveal_innerRight_width</v>
      </c>
    </row>
    <row r="315" spans="1:25">
      <c r="A315" s="204">
        <f t="shared" si="56"/>
        <v>313</v>
      </c>
      <c r="B315" s="205" t="str">
        <f t="shared" si="67"/>
        <v>x</v>
      </c>
      <c r="C315" s="205" t="str">
        <f t="shared" si="67"/>
        <v/>
      </c>
      <c r="D315" s="205" t="str">
        <f t="shared" si="67"/>
        <v/>
      </c>
      <c r="E315" s="205" t="str">
        <f t="shared" si="67"/>
        <v/>
      </c>
      <c r="F315" s="205" t="str">
        <f t="shared" si="67"/>
        <v/>
      </c>
      <c r="G315" s="205" t="str">
        <f t="shared" si="67"/>
        <v/>
      </c>
      <c r="H315" s="205" t="str">
        <f t="shared" si="67"/>
        <v/>
      </c>
      <c r="I315" s="205" t="str">
        <f t="shared" si="67"/>
        <v/>
      </c>
      <c r="J315" s="205" t="str">
        <f t="shared" si="67"/>
        <v/>
      </c>
      <c r="K315" s="205" t="str">
        <f t="shared" si="67"/>
        <v/>
      </c>
      <c r="L315" s="205" t="str">
        <f t="shared" si="68"/>
        <v>info</v>
      </c>
      <c r="M315" s="205" t="str">
        <f t="shared" si="68"/>
        <v>x</v>
      </c>
      <c r="N315" s="205" t="str">
        <f t="shared" si="68"/>
        <v/>
      </c>
      <c r="O315" s="205" t="str">
        <f t="shared" si="68"/>
        <v>model</v>
      </c>
      <c r="P315" s="206" t="str">
        <f t="shared" si="68"/>
        <v>Length</v>
      </c>
      <c r="Q315" s="206" t="str">
        <f t="shared" si="68"/>
        <v>x</v>
      </c>
      <c r="R315" s="206" t="str">
        <f t="shared" si="68"/>
        <v>BS</v>
      </c>
      <c r="S315" s="206" t="str">
        <f t="shared" si="68"/>
        <v>all</v>
      </c>
      <c r="T315" s="205">
        <f t="shared" si="68"/>
        <v>-1</v>
      </c>
      <c r="U315" s="205" t="str">
        <f t="shared" si="68"/>
        <v>Obere Seitenabschrägung Breite</v>
      </c>
      <c r="V315" s="205" t="str">
        <f t="shared" si="68"/>
        <v>x</v>
      </c>
      <c r="W315" s="205" t="str">
        <f t="shared" si="68"/>
        <v/>
      </c>
      <c r="X315" s="205" t="str">
        <f t="shared" si="68"/>
        <v/>
      </c>
      <c r="Y315" s="205" t="str">
        <f t="shared" si="68"/>
        <v>gs_reveal_innerTop_width</v>
      </c>
    </row>
    <row r="316" spans="1:25">
      <c r="A316" s="204">
        <f t="shared" si="56"/>
        <v>314</v>
      </c>
      <c r="B316" s="205" t="str">
        <f t="shared" si="67"/>
        <v>x</v>
      </c>
      <c r="C316" s="205" t="str">
        <f t="shared" si="67"/>
        <v/>
      </c>
      <c r="D316" s="205" t="str">
        <f t="shared" si="67"/>
        <v/>
      </c>
      <c r="E316" s="205" t="str">
        <f t="shared" si="67"/>
        <v/>
      </c>
      <c r="F316" s="205" t="str">
        <f t="shared" si="67"/>
        <v/>
      </c>
      <c r="G316" s="205" t="str">
        <f t="shared" si="67"/>
        <v/>
      </c>
      <c r="H316" s="205" t="str">
        <f t="shared" si="67"/>
        <v/>
      </c>
      <c r="I316" s="205" t="str">
        <f t="shared" si="67"/>
        <v/>
      </c>
      <c r="J316" s="205" t="str">
        <f t="shared" si="67"/>
        <v/>
      </c>
      <c r="K316" s="205" t="str">
        <f t="shared" si="67"/>
        <v/>
      </c>
      <c r="L316" s="205" t="str">
        <f t="shared" si="68"/>
        <v>info</v>
      </c>
      <c r="M316" s="205" t="str">
        <f t="shared" si="68"/>
        <v>x</v>
      </c>
      <c r="N316" s="205" t="str">
        <f t="shared" si="68"/>
        <v/>
      </c>
      <c r="O316" s="205" t="str">
        <f t="shared" si="68"/>
        <v>model</v>
      </c>
      <c r="P316" s="206" t="str">
        <f t="shared" si="68"/>
        <v>Length</v>
      </c>
      <c r="Q316" s="206" t="str">
        <f t="shared" si="68"/>
        <v>x</v>
      </c>
      <c r="R316" s="206" t="str">
        <f t="shared" si="68"/>
        <v>BS</v>
      </c>
      <c r="S316" s="206" t="str">
        <f t="shared" si="68"/>
        <v>all</v>
      </c>
      <c r="T316" s="205">
        <f t="shared" si="68"/>
        <v>-1</v>
      </c>
      <c r="U316" s="205" t="str">
        <f t="shared" si="68"/>
        <v>Untere Seitenabschrägung Breite</v>
      </c>
      <c r="V316" s="205" t="str">
        <f t="shared" si="68"/>
        <v>x</v>
      </c>
      <c r="W316" s="205" t="str">
        <f t="shared" si="68"/>
        <v/>
      </c>
      <c r="X316" s="205" t="str">
        <f t="shared" si="68"/>
        <v/>
      </c>
      <c r="Y316" s="205" t="str">
        <f t="shared" si="68"/>
        <v>gs_reveal_innerBottom_width</v>
      </c>
    </row>
    <row r="317" spans="1:25">
      <c r="A317" s="204">
        <f t="shared" si="56"/>
        <v>315</v>
      </c>
      <c r="B317" s="205" t="str">
        <f t="shared" si="67"/>
        <v>x</v>
      </c>
      <c r="C317" s="205" t="str">
        <f t="shared" si="67"/>
        <v/>
      </c>
      <c r="D317" s="205" t="str">
        <f t="shared" si="67"/>
        <v/>
      </c>
      <c r="E317" s="205" t="str">
        <f t="shared" si="67"/>
        <v/>
      </c>
      <c r="F317" s="205" t="str">
        <f t="shared" si="67"/>
        <v/>
      </c>
      <c r="G317" s="205" t="str">
        <f t="shared" si="67"/>
        <v/>
      </c>
      <c r="H317" s="205" t="str">
        <f t="shared" si="67"/>
        <v/>
      </c>
      <c r="I317" s="205" t="str">
        <f t="shared" si="67"/>
        <v/>
      </c>
      <c r="J317" s="205" t="str">
        <f t="shared" si="67"/>
        <v/>
      </c>
      <c r="K317" s="205" t="str">
        <f t="shared" si="67"/>
        <v/>
      </c>
      <c r="L317" s="205" t="str">
        <f t="shared" si="68"/>
        <v>info</v>
      </c>
      <c r="M317" s="205" t="str">
        <f t="shared" si="68"/>
        <v>x</v>
      </c>
      <c r="N317" s="205" t="str">
        <f t="shared" si="68"/>
        <v/>
      </c>
      <c r="O317" s="205" t="str">
        <f t="shared" si="68"/>
        <v>model</v>
      </c>
      <c r="P317" s="206" t="str">
        <f t="shared" si="68"/>
        <v>Angle</v>
      </c>
      <c r="Q317" s="206" t="str">
        <f t="shared" si="68"/>
        <v>x</v>
      </c>
      <c r="R317" s="206" t="str">
        <f t="shared" si="68"/>
        <v>BS</v>
      </c>
      <c r="S317" s="206" t="str">
        <f t="shared" si="68"/>
        <v>all</v>
      </c>
      <c r="T317" s="205">
        <f t="shared" si="68"/>
        <v>20</v>
      </c>
      <c r="U317" s="205" t="str">
        <f t="shared" si="68"/>
        <v>Außenwinkel Seite 2</v>
      </c>
      <c r="V317" s="205" t="str">
        <f t="shared" si="68"/>
        <v>x</v>
      </c>
      <c r="W317" s="205" t="str">
        <f t="shared" si="68"/>
        <v/>
      </c>
      <c r="X317" s="205" t="str">
        <f t="shared" si="68"/>
        <v/>
      </c>
      <c r="Y317" s="205" t="str">
        <f t="shared" si="68"/>
        <v>gs_reveal_outerLeft_angle</v>
      </c>
    </row>
    <row r="318" spans="1:25">
      <c r="A318" s="204">
        <f t="shared" si="56"/>
        <v>316</v>
      </c>
      <c r="B318" s="205" t="str">
        <f t="shared" si="67"/>
        <v>x</v>
      </c>
      <c r="C318" s="205" t="str">
        <f t="shared" si="67"/>
        <v/>
      </c>
      <c r="D318" s="205" t="str">
        <f t="shared" si="67"/>
        <v/>
      </c>
      <c r="E318" s="205" t="str">
        <f t="shared" si="67"/>
        <v/>
      </c>
      <c r="F318" s="205" t="str">
        <f t="shared" si="67"/>
        <v/>
      </c>
      <c r="G318" s="205" t="str">
        <f t="shared" si="67"/>
        <v/>
      </c>
      <c r="H318" s="205" t="str">
        <f t="shared" si="67"/>
        <v/>
      </c>
      <c r="I318" s="205" t="str">
        <f t="shared" si="67"/>
        <v/>
      </c>
      <c r="J318" s="205" t="str">
        <f t="shared" si="67"/>
        <v/>
      </c>
      <c r="K318" s="205" t="str">
        <f t="shared" si="67"/>
        <v/>
      </c>
      <c r="L318" s="205" t="str">
        <f t="shared" si="68"/>
        <v>info</v>
      </c>
      <c r="M318" s="205" t="str">
        <f t="shared" si="68"/>
        <v>x</v>
      </c>
      <c r="N318" s="205" t="str">
        <f t="shared" si="68"/>
        <v/>
      </c>
      <c r="O318" s="205" t="str">
        <f t="shared" si="68"/>
        <v>model</v>
      </c>
      <c r="P318" s="206" t="str">
        <f t="shared" si="68"/>
        <v>Angle</v>
      </c>
      <c r="Q318" s="206" t="str">
        <f t="shared" si="68"/>
        <v>x</v>
      </c>
      <c r="R318" s="206" t="str">
        <f t="shared" si="68"/>
        <v>BS</v>
      </c>
      <c r="S318" s="206" t="str">
        <f t="shared" si="68"/>
        <v>all</v>
      </c>
      <c r="T318" s="205">
        <f t="shared" si="68"/>
        <v>20</v>
      </c>
      <c r="U318" s="205" t="str">
        <f t="shared" si="68"/>
        <v>Außenwinkel Seite</v>
      </c>
      <c r="V318" s="205" t="str">
        <f t="shared" si="68"/>
        <v>x</v>
      </c>
      <c r="W318" s="205" t="str">
        <f t="shared" si="68"/>
        <v/>
      </c>
      <c r="X318" s="205" t="str">
        <f t="shared" si="68"/>
        <v/>
      </c>
      <c r="Y318" s="205" t="str">
        <f t="shared" si="68"/>
        <v>gs_reveal_outerRight_angle</v>
      </c>
    </row>
    <row r="319" spans="1:25">
      <c r="A319" s="204">
        <f t="shared" si="56"/>
        <v>317</v>
      </c>
      <c r="B319" s="205" t="str">
        <f t="shared" si="67"/>
        <v>x</v>
      </c>
      <c r="C319" s="205" t="str">
        <f t="shared" si="67"/>
        <v/>
      </c>
      <c r="D319" s="205" t="str">
        <f t="shared" si="67"/>
        <v/>
      </c>
      <c r="E319" s="205" t="str">
        <f t="shared" si="67"/>
        <v/>
      </c>
      <c r="F319" s="205" t="str">
        <f t="shared" si="67"/>
        <v/>
      </c>
      <c r="G319" s="205" t="str">
        <f t="shared" si="67"/>
        <v/>
      </c>
      <c r="H319" s="205" t="str">
        <f t="shared" si="67"/>
        <v/>
      </c>
      <c r="I319" s="205" t="str">
        <f t="shared" si="67"/>
        <v/>
      </c>
      <c r="J319" s="205" t="str">
        <f t="shared" si="67"/>
        <v/>
      </c>
      <c r="K319" s="205" t="str">
        <f t="shared" si="67"/>
        <v/>
      </c>
      <c r="L319" s="205" t="str">
        <f t="shared" si="68"/>
        <v>info</v>
      </c>
      <c r="M319" s="205" t="str">
        <f t="shared" si="68"/>
        <v>x</v>
      </c>
      <c r="N319" s="205" t="str">
        <f t="shared" si="68"/>
        <v/>
      </c>
      <c r="O319" s="205" t="str">
        <f t="shared" si="68"/>
        <v>model</v>
      </c>
      <c r="P319" s="206" t="str">
        <f t="shared" si="68"/>
        <v>Angle</v>
      </c>
      <c r="Q319" s="206" t="str">
        <f t="shared" si="68"/>
        <v>x</v>
      </c>
      <c r="R319" s="206" t="str">
        <f t="shared" si="68"/>
        <v>BS</v>
      </c>
      <c r="S319" s="206" t="str">
        <f t="shared" si="68"/>
        <v>all</v>
      </c>
      <c r="T319" s="205">
        <f t="shared" si="68"/>
        <v>20</v>
      </c>
      <c r="U319" s="205" t="str">
        <f t="shared" si="68"/>
        <v>Außenwinkel obere Seite</v>
      </c>
      <c r="V319" s="205" t="str">
        <f t="shared" si="68"/>
        <v>x</v>
      </c>
      <c r="W319" s="205" t="str">
        <f t="shared" si="68"/>
        <v/>
      </c>
      <c r="X319" s="205" t="str">
        <f t="shared" si="68"/>
        <v/>
      </c>
      <c r="Y319" s="205" t="str">
        <f t="shared" si="68"/>
        <v>gs_reveal_outerTop_angle</v>
      </c>
    </row>
    <row r="320" spans="1:25">
      <c r="A320" s="204">
        <f t="shared" si="56"/>
        <v>318</v>
      </c>
      <c r="B320" s="205" t="str">
        <f t="shared" si="67"/>
        <v>x</v>
      </c>
      <c r="C320" s="205" t="str">
        <f t="shared" si="67"/>
        <v/>
      </c>
      <c r="D320" s="205" t="str">
        <f t="shared" si="67"/>
        <v/>
      </c>
      <c r="E320" s="205" t="str">
        <f t="shared" si="67"/>
        <v/>
      </c>
      <c r="F320" s="205" t="str">
        <f t="shared" si="67"/>
        <v/>
      </c>
      <c r="G320" s="205" t="str">
        <f t="shared" si="67"/>
        <v/>
      </c>
      <c r="H320" s="205" t="str">
        <f t="shared" si="67"/>
        <v/>
      </c>
      <c r="I320" s="205" t="str">
        <f t="shared" si="67"/>
        <v/>
      </c>
      <c r="J320" s="205" t="str">
        <f t="shared" si="67"/>
        <v/>
      </c>
      <c r="K320" s="205" t="str">
        <f t="shared" si="67"/>
        <v/>
      </c>
      <c r="L320" s="205" t="str">
        <f t="shared" si="68"/>
        <v>info</v>
      </c>
      <c r="M320" s="205" t="str">
        <f t="shared" si="68"/>
        <v>x</v>
      </c>
      <c r="N320" s="205" t="str">
        <f t="shared" si="68"/>
        <v/>
      </c>
      <c r="O320" s="205" t="str">
        <f t="shared" si="68"/>
        <v>model</v>
      </c>
      <c r="P320" s="206" t="str">
        <f t="shared" si="68"/>
        <v>Angle</v>
      </c>
      <c r="Q320" s="206" t="str">
        <f t="shared" si="68"/>
        <v>x</v>
      </c>
      <c r="R320" s="206" t="str">
        <f t="shared" si="68"/>
        <v>BS</v>
      </c>
      <c r="S320" s="206" t="str">
        <f t="shared" si="68"/>
        <v>all</v>
      </c>
      <c r="T320" s="205" t="str">
        <f t="shared" si="68"/>
        <v/>
      </c>
      <c r="U320" s="205" t="str">
        <f t="shared" si="68"/>
        <v>Außenwinkel untere Seite</v>
      </c>
      <c r="V320" s="205" t="str">
        <f t="shared" si="68"/>
        <v>x</v>
      </c>
      <c r="W320" s="205" t="str">
        <f t="shared" si="68"/>
        <v/>
      </c>
      <c r="X320" s="205" t="str">
        <f t="shared" si="68"/>
        <v/>
      </c>
      <c r="Y320" s="205" t="str">
        <f t="shared" si="68"/>
        <v>gs_reveal_outerBottom_angle</v>
      </c>
    </row>
    <row r="321" spans="1:25">
      <c r="A321" s="204">
        <f t="shared" si="56"/>
        <v>319</v>
      </c>
      <c r="B321" s="205" t="str">
        <f t="shared" si="67"/>
        <v>x</v>
      </c>
      <c r="C321" s="205" t="str">
        <f t="shared" si="67"/>
        <v>x</v>
      </c>
      <c r="D321" s="205" t="str">
        <f t="shared" si="67"/>
        <v/>
      </c>
      <c r="E321" s="205" t="str">
        <f t="shared" si="67"/>
        <v/>
      </c>
      <c r="F321" s="205" t="str">
        <f t="shared" si="67"/>
        <v/>
      </c>
      <c r="G321" s="205" t="str">
        <f t="shared" si="67"/>
        <v/>
      </c>
      <c r="H321" s="205" t="str">
        <f t="shared" si="67"/>
        <v/>
      </c>
      <c r="I321" s="205" t="str">
        <f t="shared" si="67"/>
        <v/>
      </c>
      <c r="J321" s="205" t="str">
        <f t="shared" si="67"/>
        <v/>
      </c>
      <c r="K321" s="205" t="str">
        <f t="shared" si="67"/>
        <v>x</v>
      </c>
      <c r="L321" s="205" t="str">
        <f t="shared" si="68"/>
        <v>info</v>
      </c>
      <c r="M321" s="205" t="str">
        <f t="shared" si="68"/>
        <v>x</v>
      </c>
      <c r="N321" s="205" t="str">
        <f t="shared" si="68"/>
        <v/>
      </c>
      <c r="O321" s="205" t="str">
        <f t="shared" si="68"/>
        <v>model</v>
      </c>
      <c r="P321" s="206" t="str">
        <f t="shared" si="68"/>
        <v>Boolean</v>
      </c>
      <c r="Q321" s="206" t="str">
        <f t="shared" si="68"/>
        <v>x</v>
      </c>
      <c r="R321" s="206" t="str">
        <f t="shared" si="68"/>
        <v>BS</v>
      </c>
      <c r="S321" s="206" t="str">
        <f t="shared" si="68"/>
        <v>all</v>
      </c>
      <c r="T321" s="205" t="str">
        <f t="shared" si="68"/>
        <v/>
      </c>
      <c r="U321" s="205" t="str">
        <f t="shared" si="68"/>
        <v/>
      </c>
      <c r="V321" s="205" t="str">
        <f t="shared" si="68"/>
        <v>x</v>
      </c>
      <c r="W321" s="205" t="str">
        <f t="shared" si="68"/>
        <v/>
      </c>
      <c r="X321" s="205" t="str">
        <f t="shared" si="68"/>
        <v/>
      </c>
      <c r="Y321" s="205" t="str">
        <f t="shared" si="68"/>
        <v>gs_reveal_auto_changed_by_cc</v>
      </c>
    </row>
    <row r="322" spans="1:25">
      <c r="A322" s="204">
        <f t="shared" si="56"/>
        <v>320</v>
      </c>
      <c r="B322" s="205" t="str">
        <f t="shared" si="67"/>
        <v>x</v>
      </c>
      <c r="C322" s="205" t="str">
        <f t="shared" si="67"/>
        <v/>
      </c>
      <c r="D322" s="205" t="str">
        <f t="shared" si="67"/>
        <v/>
      </c>
      <c r="E322" s="205" t="str">
        <f t="shared" si="67"/>
        <v/>
      </c>
      <c r="F322" s="205" t="str">
        <f t="shared" si="67"/>
        <v/>
      </c>
      <c r="G322" s="205" t="str">
        <f t="shared" si="67"/>
        <v/>
      </c>
      <c r="H322" s="205" t="str">
        <f t="shared" si="67"/>
        <v/>
      </c>
      <c r="I322" s="205" t="str">
        <f t="shared" si="67"/>
        <v/>
      </c>
      <c r="J322" s="205" t="str">
        <f t="shared" si="67"/>
        <v/>
      </c>
      <c r="K322" s="205" t="str">
        <f t="shared" si="67"/>
        <v/>
      </c>
      <c r="L322" s="205" t="str">
        <f t="shared" si="68"/>
        <v>info</v>
      </c>
      <c r="M322" s="205" t="str">
        <f t="shared" si="68"/>
        <v>x</v>
      </c>
      <c r="N322" s="205" t="str">
        <f t="shared" si="68"/>
        <v/>
      </c>
      <c r="O322" s="205" t="str">
        <f t="shared" si="68"/>
        <v>model</v>
      </c>
      <c r="P322" s="206" t="str">
        <f t="shared" si="68"/>
        <v>Length</v>
      </c>
      <c r="Q322" s="206" t="str">
        <f t="shared" si="68"/>
        <v>x</v>
      </c>
      <c r="R322" s="206" t="str">
        <f t="shared" si="68"/>
        <v>BS</v>
      </c>
      <c r="S322" s="206" t="str">
        <f t="shared" si="68"/>
        <v>all</v>
      </c>
      <c r="T322" s="205">
        <f t="shared" si="68"/>
        <v>-1</v>
      </c>
      <c r="U322" s="205" t="str">
        <f t="shared" si="68"/>
        <v>Außenabschrägung Breite Seite 2</v>
      </c>
      <c r="V322" s="205" t="str">
        <f t="shared" si="68"/>
        <v>x</v>
      </c>
      <c r="W322" s="205" t="str">
        <f t="shared" si="68"/>
        <v/>
      </c>
      <c r="X322" s="205" t="str">
        <f t="shared" si="68"/>
        <v/>
      </c>
      <c r="Y322" s="205" t="str">
        <f t="shared" si="68"/>
        <v>gs_reveal_outerLeft_width</v>
      </c>
    </row>
    <row r="323" spans="1:25">
      <c r="A323" s="204">
        <f t="shared" ref="A323:A386" si="69">ROW()-ROW($A$2)</f>
        <v>321</v>
      </c>
      <c r="B323" s="205" t="str">
        <f t="shared" ref="B323:K332" si="70">IF(ISNONTEXT(B$2),IF(B$2="","",IF(INDEX(IMPORT,$A323,B$2)=0,"",IFERROR(VLOOKUP(INDEX(IMPORT,$A323,B$2),ImportTranslation,2,0),INDEX(IMPORT,$A323,B$2)))),B$2)</f>
        <v>x</v>
      </c>
      <c r="C323" s="205" t="str">
        <f t="shared" si="70"/>
        <v/>
      </c>
      <c r="D323" s="205" t="str">
        <f t="shared" si="70"/>
        <v/>
      </c>
      <c r="E323" s="205" t="str">
        <f t="shared" si="70"/>
        <v/>
      </c>
      <c r="F323" s="205" t="str">
        <f t="shared" si="70"/>
        <v/>
      </c>
      <c r="G323" s="205" t="str">
        <f t="shared" si="70"/>
        <v/>
      </c>
      <c r="H323" s="205" t="str">
        <f t="shared" si="70"/>
        <v/>
      </c>
      <c r="I323" s="205" t="str">
        <f t="shared" si="70"/>
        <v/>
      </c>
      <c r="J323" s="205" t="str">
        <f t="shared" si="70"/>
        <v/>
      </c>
      <c r="K323" s="205" t="str">
        <f t="shared" si="70"/>
        <v/>
      </c>
      <c r="L323" s="205" t="str">
        <f t="shared" ref="L323:Y332" si="71">IF(ISNONTEXT(L$2),IF(L$2="","",IF(INDEX(IMPORT,$A323,L$2)=0,"",IFERROR(VLOOKUP(INDEX(IMPORT,$A323,L$2),ImportTranslation,2,0),INDEX(IMPORT,$A323,L$2)))),L$2)</f>
        <v>info</v>
      </c>
      <c r="M323" s="205" t="str">
        <f t="shared" si="71"/>
        <v>x</v>
      </c>
      <c r="N323" s="205" t="str">
        <f t="shared" si="71"/>
        <v/>
      </c>
      <c r="O323" s="205" t="str">
        <f t="shared" si="71"/>
        <v>model</v>
      </c>
      <c r="P323" s="206" t="str">
        <f t="shared" si="71"/>
        <v>Length</v>
      </c>
      <c r="Q323" s="206" t="str">
        <f t="shared" si="71"/>
        <v>x</v>
      </c>
      <c r="R323" s="206" t="str">
        <f t="shared" si="71"/>
        <v>BS</v>
      </c>
      <c r="S323" s="206" t="str">
        <f t="shared" si="71"/>
        <v>all</v>
      </c>
      <c r="T323" s="205">
        <f t="shared" si="71"/>
        <v>-1</v>
      </c>
      <c r="U323" s="205" t="str">
        <f t="shared" si="71"/>
        <v>Außenabschrägung Breite Seite</v>
      </c>
      <c r="V323" s="205" t="str">
        <f t="shared" si="71"/>
        <v>x</v>
      </c>
      <c r="W323" s="205" t="str">
        <f t="shared" si="71"/>
        <v/>
      </c>
      <c r="X323" s="205" t="str">
        <f t="shared" si="71"/>
        <v/>
      </c>
      <c r="Y323" s="205" t="str">
        <f t="shared" si="71"/>
        <v>gs_reveal_outerRight_width</v>
      </c>
    </row>
    <row r="324" spans="1:25">
      <c r="A324" s="204">
        <f t="shared" si="69"/>
        <v>322</v>
      </c>
      <c r="B324" s="205" t="str">
        <f t="shared" si="70"/>
        <v>x</v>
      </c>
      <c r="C324" s="205" t="str">
        <f t="shared" si="70"/>
        <v/>
      </c>
      <c r="D324" s="205" t="str">
        <f t="shared" si="70"/>
        <v/>
      </c>
      <c r="E324" s="205" t="str">
        <f t="shared" si="70"/>
        <v/>
      </c>
      <c r="F324" s="205" t="str">
        <f t="shared" si="70"/>
        <v/>
      </c>
      <c r="G324" s="205" t="str">
        <f t="shared" si="70"/>
        <v/>
      </c>
      <c r="H324" s="205" t="str">
        <f t="shared" si="70"/>
        <v/>
      </c>
      <c r="I324" s="205" t="str">
        <f t="shared" si="70"/>
        <v/>
      </c>
      <c r="J324" s="205" t="str">
        <f t="shared" si="70"/>
        <v/>
      </c>
      <c r="K324" s="205" t="str">
        <f t="shared" si="70"/>
        <v/>
      </c>
      <c r="L324" s="205" t="str">
        <f t="shared" si="71"/>
        <v>info</v>
      </c>
      <c r="M324" s="205" t="str">
        <f t="shared" si="71"/>
        <v>x</v>
      </c>
      <c r="N324" s="205" t="str">
        <f t="shared" si="71"/>
        <v/>
      </c>
      <c r="O324" s="205" t="str">
        <f t="shared" si="71"/>
        <v>model</v>
      </c>
      <c r="P324" s="206" t="str">
        <f t="shared" si="71"/>
        <v>Length</v>
      </c>
      <c r="Q324" s="206" t="str">
        <f t="shared" si="71"/>
        <v>x</v>
      </c>
      <c r="R324" s="206" t="str">
        <f t="shared" si="71"/>
        <v>BS</v>
      </c>
      <c r="S324" s="206" t="str">
        <f t="shared" si="71"/>
        <v>all</v>
      </c>
      <c r="T324" s="205">
        <f t="shared" si="71"/>
        <v>-1</v>
      </c>
      <c r="U324" s="205" t="str">
        <f t="shared" si="71"/>
        <v>Äußere Abschrägung Breite an oberer Seite</v>
      </c>
      <c r="V324" s="205" t="str">
        <f t="shared" si="71"/>
        <v>x</v>
      </c>
      <c r="W324" s="205" t="str">
        <f t="shared" si="71"/>
        <v/>
      </c>
      <c r="X324" s="205" t="str">
        <f t="shared" si="71"/>
        <v/>
      </c>
      <c r="Y324" s="205" t="str">
        <f t="shared" si="71"/>
        <v>gs_reveal_outerTop_width</v>
      </c>
    </row>
    <row r="325" spans="1:25">
      <c r="A325" s="204">
        <f t="shared" si="69"/>
        <v>323</v>
      </c>
      <c r="B325" s="205" t="str">
        <f t="shared" si="70"/>
        <v>x</v>
      </c>
      <c r="C325" s="205" t="str">
        <f t="shared" si="70"/>
        <v/>
      </c>
      <c r="D325" s="205" t="str">
        <f t="shared" si="70"/>
        <v/>
      </c>
      <c r="E325" s="205" t="str">
        <f t="shared" si="70"/>
        <v/>
      </c>
      <c r="F325" s="205" t="str">
        <f t="shared" si="70"/>
        <v/>
      </c>
      <c r="G325" s="205" t="str">
        <f t="shared" si="70"/>
        <v/>
      </c>
      <c r="H325" s="205" t="str">
        <f t="shared" si="70"/>
        <v/>
      </c>
      <c r="I325" s="205" t="str">
        <f t="shared" si="70"/>
        <v/>
      </c>
      <c r="J325" s="205" t="str">
        <f t="shared" si="70"/>
        <v/>
      </c>
      <c r="K325" s="205" t="str">
        <f t="shared" si="70"/>
        <v/>
      </c>
      <c r="L325" s="205" t="str">
        <f t="shared" si="71"/>
        <v>info</v>
      </c>
      <c r="M325" s="205" t="str">
        <f t="shared" si="71"/>
        <v>x</v>
      </c>
      <c r="N325" s="205" t="str">
        <f t="shared" si="71"/>
        <v/>
      </c>
      <c r="O325" s="205" t="str">
        <f t="shared" si="71"/>
        <v>model</v>
      </c>
      <c r="P325" s="206" t="str">
        <f t="shared" si="71"/>
        <v>Length</v>
      </c>
      <c r="Q325" s="206" t="str">
        <f t="shared" si="71"/>
        <v>x</v>
      </c>
      <c r="R325" s="206" t="str">
        <f t="shared" si="71"/>
        <v>BS</v>
      </c>
      <c r="S325" s="206" t="str">
        <f t="shared" si="71"/>
        <v>all</v>
      </c>
      <c r="T325" s="205">
        <f t="shared" si="71"/>
        <v>-1</v>
      </c>
      <c r="U325" s="205" t="str">
        <f t="shared" si="71"/>
        <v>Breite äußere Abschrägung an Unterseite</v>
      </c>
      <c r="V325" s="205" t="str">
        <f t="shared" si="71"/>
        <v>x</v>
      </c>
      <c r="W325" s="205" t="str">
        <f t="shared" si="71"/>
        <v/>
      </c>
      <c r="X325" s="205" t="str">
        <f t="shared" si="71"/>
        <v/>
      </c>
      <c r="Y325" s="205" t="str">
        <f t="shared" si="71"/>
        <v>gs_reveal_outerBottom_width</v>
      </c>
    </row>
    <row r="326" spans="1:25">
      <c r="A326" s="204">
        <f t="shared" si="69"/>
        <v>324</v>
      </c>
      <c r="B326" s="205" t="str">
        <f t="shared" si="70"/>
        <v>x</v>
      </c>
      <c r="C326" s="205" t="str">
        <f t="shared" si="70"/>
        <v/>
      </c>
      <c r="D326" s="205" t="str">
        <f t="shared" si="70"/>
        <v/>
      </c>
      <c r="E326" s="205" t="str">
        <f t="shared" si="70"/>
        <v/>
      </c>
      <c r="F326" s="205" t="str">
        <f t="shared" si="70"/>
        <v/>
      </c>
      <c r="G326" s="205" t="str">
        <f t="shared" si="70"/>
        <v/>
      </c>
      <c r="H326" s="205" t="str">
        <f t="shared" si="70"/>
        <v/>
      </c>
      <c r="I326" s="205" t="str">
        <f t="shared" si="70"/>
        <v/>
      </c>
      <c r="J326" s="205" t="str">
        <f t="shared" si="70"/>
        <v/>
      </c>
      <c r="K326" s="205" t="str">
        <f t="shared" si="70"/>
        <v/>
      </c>
      <c r="L326" s="205" t="str">
        <f t="shared" si="71"/>
        <v>info</v>
      </c>
      <c r="M326" s="205" t="str">
        <f t="shared" si="71"/>
        <v/>
      </c>
      <c r="N326" s="205" t="str">
        <f t="shared" si="71"/>
        <v/>
      </c>
      <c r="O326" s="205" t="str">
        <f t="shared" si="71"/>
        <v>model</v>
      </c>
      <c r="P326" s="206" t="str">
        <f t="shared" si="71"/>
        <v>Title</v>
      </c>
      <c r="Q326" s="206" t="str">
        <f t="shared" si="71"/>
        <v>x</v>
      </c>
      <c r="R326" s="206" t="str">
        <f t="shared" si="71"/>
        <v>BS</v>
      </c>
      <c r="S326" s="206" t="str">
        <f t="shared" si="71"/>
        <v>all</v>
      </c>
      <c r="T326" s="205" t="str">
        <f t="shared" si="71"/>
        <v/>
      </c>
      <c r="U326" s="205" t="str">
        <f t="shared" si="71"/>
        <v>Wandputz einziehen</v>
      </c>
      <c r="V326" s="205" t="str">
        <f t="shared" si="71"/>
        <v/>
      </c>
      <c r="W326" s="205" t="str">
        <f t="shared" si="71"/>
        <v/>
      </c>
      <c r="X326" s="205" t="str">
        <f t="shared" si="71"/>
        <v/>
      </c>
      <c r="Y326" s="205" t="str">
        <f t="shared" si="71"/>
        <v>gs_turn_plaster</v>
      </c>
    </row>
    <row r="327" spans="1:25">
      <c r="A327" s="204">
        <f t="shared" si="69"/>
        <v>325</v>
      </c>
      <c r="B327" s="205" t="str">
        <f t="shared" si="70"/>
        <v>x</v>
      </c>
      <c r="C327" s="205" t="str">
        <f t="shared" si="70"/>
        <v/>
      </c>
      <c r="D327" s="205" t="str">
        <f t="shared" si="70"/>
        <v/>
      </c>
      <c r="E327" s="205" t="str">
        <f t="shared" si="70"/>
        <v/>
      </c>
      <c r="F327" s="205" t="str">
        <f t="shared" si="70"/>
        <v/>
      </c>
      <c r="G327" s="205" t="str">
        <f t="shared" si="70"/>
        <v/>
      </c>
      <c r="H327" s="205" t="str">
        <f t="shared" si="70"/>
        <v/>
      </c>
      <c r="I327" s="205" t="str">
        <f t="shared" si="70"/>
        <v/>
      </c>
      <c r="J327" s="205" t="str">
        <f t="shared" si="70"/>
        <v/>
      </c>
      <c r="K327" s="205" t="str">
        <f t="shared" si="70"/>
        <v/>
      </c>
      <c r="L327" s="205" t="str">
        <f t="shared" si="71"/>
        <v>info</v>
      </c>
      <c r="M327" s="205" t="str">
        <f t="shared" si="71"/>
        <v>x</v>
      </c>
      <c r="N327" s="205" t="str">
        <f t="shared" si="71"/>
        <v/>
      </c>
      <c r="O327" s="205" t="str">
        <f t="shared" si="71"/>
        <v>model</v>
      </c>
      <c r="P327" s="206" t="str">
        <f t="shared" si="71"/>
        <v>Boolean</v>
      </c>
      <c r="Q327" s="206" t="str">
        <f t="shared" si="71"/>
        <v>x</v>
      </c>
      <c r="R327" s="206" t="str">
        <f t="shared" si="71"/>
        <v>BS</v>
      </c>
      <c r="S327" s="206" t="str">
        <f t="shared" si="71"/>
        <v>all</v>
      </c>
      <c r="T327" s="205" t="str">
        <f t="shared" si="71"/>
        <v/>
      </c>
      <c r="U327" s="205" t="str">
        <f t="shared" si="71"/>
        <v>Wandbekleidung benutzen</v>
      </c>
      <c r="V327" s="205" t="str">
        <f t="shared" si="71"/>
        <v>x</v>
      </c>
      <c r="W327" s="205" t="str">
        <f t="shared" si="71"/>
        <v/>
      </c>
      <c r="X327" s="205" t="str">
        <f t="shared" si="71"/>
        <v/>
      </c>
      <c r="Y327" s="205" t="str">
        <f t="shared" si="71"/>
        <v>gs_useWallFinishSkin</v>
      </c>
    </row>
    <row r="328" spans="1:25">
      <c r="A328" s="204">
        <f t="shared" si="69"/>
        <v>326</v>
      </c>
      <c r="B328" s="205" t="str">
        <f t="shared" si="70"/>
        <v>x</v>
      </c>
      <c r="C328" s="205" t="str">
        <f t="shared" si="70"/>
        <v/>
      </c>
      <c r="D328" s="205" t="str">
        <f t="shared" si="70"/>
        <v/>
      </c>
      <c r="E328" s="205" t="str">
        <f t="shared" si="70"/>
        <v/>
      </c>
      <c r="F328" s="205" t="str">
        <f t="shared" si="70"/>
        <v/>
      </c>
      <c r="G328" s="205" t="str">
        <f t="shared" si="70"/>
        <v/>
      </c>
      <c r="H328" s="205" t="str">
        <f t="shared" si="70"/>
        <v/>
      </c>
      <c r="I328" s="205" t="str">
        <f t="shared" si="70"/>
        <v/>
      </c>
      <c r="J328" s="205" t="str">
        <f t="shared" si="70"/>
        <v/>
      </c>
      <c r="K328" s="205" t="str">
        <f t="shared" si="70"/>
        <v/>
      </c>
      <c r="L328" s="205" t="str">
        <f t="shared" si="71"/>
        <v>info</v>
      </c>
      <c r="M328" s="205" t="str">
        <f t="shared" si="71"/>
        <v>x</v>
      </c>
      <c r="N328" s="205" t="str">
        <f t="shared" si="71"/>
        <v/>
      </c>
      <c r="O328" s="205" t="str">
        <f t="shared" si="71"/>
        <v>model</v>
      </c>
      <c r="P328" s="206" t="str">
        <f t="shared" si="71"/>
        <v>Length</v>
      </c>
      <c r="Q328" s="206" t="str">
        <f t="shared" si="71"/>
        <v>x</v>
      </c>
      <c r="R328" s="206" t="str">
        <f t="shared" si="71"/>
        <v>BS</v>
      </c>
      <c r="S328" s="206" t="str">
        <f t="shared" si="71"/>
        <v>all</v>
      </c>
      <c r="T328" s="205">
        <f t="shared" si="71"/>
        <v>0.04</v>
      </c>
      <c r="U328" s="205" t="str">
        <f t="shared" si="71"/>
        <v>Max. Putzdicke</v>
      </c>
      <c r="V328" s="205" t="str">
        <f t="shared" si="71"/>
        <v>x</v>
      </c>
      <c r="W328" s="205" t="str">
        <f t="shared" si="71"/>
        <v/>
      </c>
      <c r="X328" s="205" t="str">
        <f t="shared" si="71"/>
        <v/>
      </c>
      <c r="Y328" s="205" t="str">
        <f t="shared" si="71"/>
        <v>gs_maxPlasterThk</v>
      </c>
    </row>
    <row r="329" spans="1:25">
      <c r="A329" s="204">
        <f t="shared" si="69"/>
        <v>327</v>
      </c>
      <c r="B329" s="205" t="str">
        <f t="shared" si="70"/>
        <v>x</v>
      </c>
      <c r="C329" s="205" t="str">
        <f t="shared" si="70"/>
        <v/>
      </c>
      <c r="D329" s="205" t="str">
        <f t="shared" si="70"/>
        <v/>
      </c>
      <c r="E329" s="205" t="str">
        <f t="shared" si="70"/>
        <v/>
      </c>
      <c r="F329" s="205" t="str">
        <f t="shared" si="70"/>
        <v/>
      </c>
      <c r="G329" s="205" t="str">
        <f t="shared" si="70"/>
        <v/>
      </c>
      <c r="H329" s="205" t="str">
        <f t="shared" si="70"/>
        <v/>
      </c>
      <c r="I329" s="205" t="str">
        <f t="shared" si="70"/>
        <v/>
      </c>
      <c r="J329" s="205" t="str">
        <f t="shared" si="70"/>
        <v/>
      </c>
      <c r="K329" s="205" t="str">
        <f t="shared" si="70"/>
        <v/>
      </c>
      <c r="L329" s="205" t="str">
        <f t="shared" si="71"/>
        <v>info</v>
      </c>
      <c r="M329" s="205" t="str">
        <f t="shared" si="71"/>
        <v>x</v>
      </c>
      <c r="N329" s="205" t="str">
        <f t="shared" si="71"/>
        <v/>
      </c>
      <c r="O329" s="205" t="str">
        <f t="shared" si="71"/>
        <v>model</v>
      </c>
      <c r="P329" s="206" t="str">
        <f t="shared" si="71"/>
        <v>Boolean</v>
      </c>
      <c r="Q329" s="206" t="str">
        <f t="shared" si="71"/>
        <v>x</v>
      </c>
      <c r="R329" s="206" t="str">
        <f t="shared" si="71"/>
        <v>BS</v>
      </c>
      <c r="S329" s="206" t="str">
        <f t="shared" si="71"/>
        <v>all</v>
      </c>
      <c r="T329" s="205">
        <f t="shared" si="71"/>
        <v>1</v>
      </c>
      <c r="U329" s="205" t="str">
        <f t="shared" si="71"/>
        <v>automatischer Schichteinzug Putz innen</v>
      </c>
      <c r="V329" s="205" t="str">
        <f t="shared" si="71"/>
        <v>x</v>
      </c>
      <c r="W329" s="205" t="str">
        <f t="shared" si="71"/>
        <v/>
      </c>
      <c r="X329" s="205" t="str">
        <f t="shared" si="71"/>
        <v/>
      </c>
      <c r="Y329" s="205" t="str">
        <f t="shared" si="71"/>
        <v>gs_bAutoTurnOut</v>
      </c>
    </row>
    <row r="330" spans="1:25">
      <c r="A330" s="204">
        <f t="shared" si="69"/>
        <v>328</v>
      </c>
      <c r="B330" s="205" t="str">
        <f t="shared" si="70"/>
        <v>x</v>
      </c>
      <c r="C330" s="205" t="str">
        <f t="shared" si="70"/>
        <v/>
      </c>
      <c r="D330" s="205" t="str">
        <f t="shared" si="70"/>
        <v/>
      </c>
      <c r="E330" s="205" t="str">
        <f t="shared" si="70"/>
        <v/>
      </c>
      <c r="F330" s="205" t="str">
        <f t="shared" si="70"/>
        <v/>
      </c>
      <c r="G330" s="205" t="str">
        <f t="shared" si="70"/>
        <v/>
      </c>
      <c r="H330" s="205" t="str">
        <f t="shared" si="70"/>
        <v/>
      </c>
      <c r="I330" s="205" t="str">
        <f t="shared" si="70"/>
        <v/>
      </c>
      <c r="J330" s="205" t="str">
        <f t="shared" si="70"/>
        <v/>
      </c>
      <c r="K330" s="205" t="str">
        <f t="shared" si="70"/>
        <v/>
      </c>
      <c r="L330" s="205" t="str">
        <f t="shared" si="71"/>
        <v>info</v>
      </c>
      <c r="M330" s="205" t="str">
        <f t="shared" si="71"/>
        <v>x</v>
      </c>
      <c r="N330" s="205" t="str">
        <f t="shared" si="71"/>
        <v/>
      </c>
      <c r="O330" s="205" t="str">
        <f t="shared" si="71"/>
        <v>model</v>
      </c>
      <c r="P330" s="206" t="str">
        <f t="shared" si="71"/>
        <v>Integer</v>
      </c>
      <c r="Q330" s="206" t="str">
        <f t="shared" si="71"/>
        <v>x</v>
      </c>
      <c r="R330" s="206" t="str">
        <f t="shared" si="71"/>
        <v>BS</v>
      </c>
      <c r="S330" s="206" t="str">
        <f t="shared" si="71"/>
        <v>all</v>
      </c>
      <c r="T330" s="205" t="str">
        <f t="shared" si="71"/>
        <v/>
      </c>
      <c r="U330" s="205" t="str">
        <f t="shared" si="71"/>
        <v>Putzschicht innen einziehen</v>
      </c>
      <c r="V330" s="205" t="str">
        <f t="shared" si="71"/>
        <v>x</v>
      </c>
      <c r="W330" s="205" t="str">
        <f t="shared" si="71"/>
        <v/>
      </c>
      <c r="X330" s="205" t="str">
        <f t="shared" si="71"/>
        <v/>
      </c>
      <c r="Y330" s="205" t="str">
        <f t="shared" si="71"/>
        <v>gs_bOverOut</v>
      </c>
    </row>
    <row r="331" spans="1:25">
      <c r="A331" s="204">
        <f t="shared" si="69"/>
        <v>329</v>
      </c>
      <c r="B331" s="205" t="str">
        <f t="shared" si="70"/>
        <v>x</v>
      </c>
      <c r="C331" s="205" t="str">
        <f t="shared" si="70"/>
        <v/>
      </c>
      <c r="D331" s="205" t="str">
        <f t="shared" si="70"/>
        <v/>
      </c>
      <c r="E331" s="205" t="str">
        <f t="shared" si="70"/>
        <v/>
      </c>
      <c r="F331" s="205" t="str">
        <f t="shared" si="70"/>
        <v/>
      </c>
      <c r="G331" s="205" t="str">
        <f t="shared" si="70"/>
        <v/>
      </c>
      <c r="H331" s="205" t="str">
        <f t="shared" si="70"/>
        <v/>
      </c>
      <c r="I331" s="205" t="str">
        <f t="shared" si="70"/>
        <v/>
      </c>
      <c r="J331" s="205" t="str">
        <f t="shared" si="70"/>
        <v/>
      </c>
      <c r="K331" s="205" t="str">
        <f t="shared" si="70"/>
        <v/>
      </c>
      <c r="L331" s="205" t="str">
        <f t="shared" si="71"/>
        <v>info</v>
      </c>
      <c r="M331" s="205" t="str">
        <f t="shared" si="71"/>
        <v>x</v>
      </c>
      <c r="N331" s="205" t="str">
        <f t="shared" si="71"/>
        <v/>
      </c>
      <c r="O331" s="205" t="str">
        <f t="shared" si="71"/>
        <v>model</v>
      </c>
      <c r="P331" s="206" t="str">
        <f t="shared" si="71"/>
        <v>Boolean</v>
      </c>
      <c r="Q331" s="206" t="str">
        <f t="shared" si="71"/>
        <v>x</v>
      </c>
      <c r="R331" s="206" t="str">
        <f t="shared" si="71"/>
        <v>BS</v>
      </c>
      <c r="S331" s="206" t="str">
        <f t="shared" si="71"/>
        <v>all</v>
      </c>
      <c r="T331" s="205">
        <f t="shared" si="71"/>
        <v>1</v>
      </c>
      <c r="U331" s="205" t="str">
        <f t="shared" si="71"/>
        <v>automatischer Schichteinzug Putz außen</v>
      </c>
      <c r="V331" s="205" t="str">
        <f t="shared" si="71"/>
        <v>x</v>
      </c>
      <c r="W331" s="205" t="str">
        <f t="shared" si="71"/>
        <v/>
      </c>
      <c r="X331" s="205" t="str">
        <f t="shared" si="71"/>
        <v/>
      </c>
      <c r="Y331" s="205" t="str">
        <f t="shared" si="71"/>
        <v>gs_bAutoTurnIn</v>
      </c>
    </row>
    <row r="332" spans="1:25">
      <c r="A332" s="204">
        <f t="shared" si="69"/>
        <v>330</v>
      </c>
      <c r="B332" s="205" t="str">
        <f t="shared" si="70"/>
        <v>x</v>
      </c>
      <c r="C332" s="205" t="str">
        <f t="shared" si="70"/>
        <v/>
      </c>
      <c r="D332" s="205" t="str">
        <f t="shared" si="70"/>
        <v/>
      </c>
      <c r="E332" s="205" t="str">
        <f t="shared" si="70"/>
        <v/>
      </c>
      <c r="F332" s="205" t="str">
        <f t="shared" si="70"/>
        <v/>
      </c>
      <c r="G332" s="205" t="str">
        <f t="shared" si="70"/>
        <v/>
      </c>
      <c r="H332" s="205" t="str">
        <f t="shared" si="70"/>
        <v/>
      </c>
      <c r="I332" s="205" t="str">
        <f t="shared" si="70"/>
        <v/>
      </c>
      <c r="J332" s="205" t="str">
        <f t="shared" si="70"/>
        <v/>
      </c>
      <c r="K332" s="205" t="str">
        <f t="shared" si="70"/>
        <v/>
      </c>
      <c r="L332" s="205" t="str">
        <f t="shared" si="71"/>
        <v>info</v>
      </c>
      <c r="M332" s="205" t="str">
        <f t="shared" si="71"/>
        <v>x</v>
      </c>
      <c r="N332" s="205" t="str">
        <f t="shared" si="71"/>
        <v/>
      </c>
      <c r="O332" s="205" t="str">
        <f t="shared" si="71"/>
        <v>model</v>
      </c>
      <c r="P332" s="206" t="str">
        <f t="shared" si="71"/>
        <v>Integer</v>
      </c>
      <c r="Q332" s="206" t="str">
        <f t="shared" si="71"/>
        <v>x</v>
      </c>
      <c r="R332" s="206" t="str">
        <f t="shared" si="71"/>
        <v>BS</v>
      </c>
      <c r="S332" s="206" t="str">
        <f t="shared" si="71"/>
        <v>all</v>
      </c>
      <c r="T332" s="205" t="str">
        <f t="shared" si="71"/>
        <v/>
      </c>
      <c r="U332" s="205" t="str">
        <f t="shared" si="71"/>
        <v>Putzschicht außen einziehen</v>
      </c>
      <c r="V332" s="205" t="str">
        <f t="shared" si="71"/>
        <v>x</v>
      </c>
      <c r="W332" s="205" t="str">
        <f t="shared" si="71"/>
        <v/>
      </c>
      <c r="X332" s="205" t="str">
        <f t="shared" si="71"/>
        <v/>
      </c>
      <c r="Y332" s="205" t="str">
        <f t="shared" si="71"/>
        <v>gs_bOverIn</v>
      </c>
    </row>
    <row r="333" spans="1:25">
      <c r="A333" s="204">
        <f t="shared" si="69"/>
        <v>331</v>
      </c>
      <c r="B333" s="205" t="str">
        <f t="shared" ref="B333:K342" si="72">IF(ISNONTEXT(B$2),IF(B$2="","",IF(INDEX(IMPORT,$A333,B$2)=0,"",IFERROR(VLOOKUP(INDEX(IMPORT,$A333,B$2),ImportTranslation,2,0),INDEX(IMPORT,$A333,B$2)))),B$2)</f>
        <v>x</v>
      </c>
      <c r="C333" s="205" t="str">
        <f t="shared" si="72"/>
        <v/>
      </c>
      <c r="D333" s="205" t="str">
        <f t="shared" si="72"/>
        <v/>
      </c>
      <c r="E333" s="205" t="str">
        <f t="shared" si="72"/>
        <v/>
      </c>
      <c r="F333" s="205" t="str">
        <f t="shared" si="72"/>
        <v/>
      </c>
      <c r="G333" s="205" t="str">
        <f t="shared" si="72"/>
        <v/>
      </c>
      <c r="H333" s="205" t="str">
        <f t="shared" si="72"/>
        <v/>
      </c>
      <c r="I333" s="205" t="str">
        <f t="shared" si="72"/>
        <v/>
      </c>
      <c r="J333" s="205" t="str">
        <f t="shared" si="72"/>
        <v/>
      </c>
      <c r="K333" s="205" t="str">
        <f t="shared" si="72"/>
        <v/>
      </c>
      <c r="L333" s="205" t="str">
        <f t="shared" ref="L333:Y342" si="73">IF(ISNONTEXT(L$2),IF(L$2="","",IF(INDEX(IMPORT,$A333,L$2)=0,"",IFERROR(VLOOKUP(INDEX(IMPORT,$A333,L$2),ImportTranslation,2,0),INDEX(IMPORT,$A333,L$2)))),L$2)</f>
        <v>info</v>
      </c>
      <c r="M333" s="205" t="str">
        <f t="shared" si="73"/>
        <v>x</v>
      </c>
      <c r="N333" s="205" t="str">
        <f t="shared" si="73"/>
        <v/>
      </c>
      <c r="O333" s="205" t="str">
        <f t="shared" si="73"/>
        <v>model</v>
      </c>
      <c r="P333" s="206" t="str">
        <f t="shared" si="73"/>
        <v>Boolean</v>
      </c>
      <c r="Q333" s="206" t="str">
        <f t="shared" si="73"/>
        <v>x</v>
      </c>
      <c r="R333" s="206" t="str">
        <f t="shared" si="73"/>
        <v>BS</v>
      </c>
      <c r="S333" s="206" t="str">
        <f t="shared" si="73"/>
        <v>all</v>
      </c>
      <c r="T333" s="205" t="str">
        <f t="shared" si="73"/>
        <v/>
      </c>
      <c r="U333" s="205" t="str">
        <f t="shared" si="73"/>
        <v>Bemaßungsfangpunkte in 2D</v>
      </c>
      <c r="V333" s="205" t="str">
        <f t="shared" si="73"/>
        <v>x</v>
      </c>
      <c r="W333" s="205" t="str">
        <f t="shared" si="73"/>
        <v/>
      </c>
      <c r="X333" s="205" t="str">
        <f t="shared" si="73"/>
        <v/>
      </c>
      <c r="Y333" s="205" t="str">
        <f t="shared" si="73"/>
        <v>gs_turn_plaster_dim_2D</v>
      </c>
    </row>
    <row r="334" spans="1:25">
      <c r="A334" s="204">
        <f t="shared" si="69"/>
        <v>332</v>
      </c>
      <c r="B334" s="205" t="str">
        <f t="shared" si="72"/>
        <v>x</v>
      </c>
      <c r="C334" s="205" t="str">
        <f t="shared" si="72"/>
        <v/>
      </c>
      <c r="D334" s="205" t="str">
        <f t="shared" si="72"/>
        <v/>
      </c>
      <c r="E334" s="205" t="str">
        <f t="shared" si="72"/>
        <v/>
      </c>
      <c r="F334" s="205" t="str">
        <f t="shared" si="72"/>
        <v/>
      </c>
      <c r="G334" s="205" t="str">
        <f t="shared" si="72"/>
        <v/>
      </c>
      <c r="H334" s="205" t="str">
        <f t="shared" si="72"/>
        <v/>
      </c>
      <c r="I334" s="205" t="str">
        <f t="shared" si="72"/>
        <v/>
      </c>
      <c r="J334" s="205" t="str">
        <f t="shared" si="72"/>
        <v/>
      </c>
      <c r="K334" s="205" t="str">
        <f t="shared" si="72"/>
        <v/>
      </c>
      <c r="L334" s="205" t="str">
        <f t="shared" si="73"/>
        <v>info</v>
      </c>
      <c r="M334" s="205" t="str">
        <f t="shared" si="73"/>
        <v>x</v>
      </c>
      <c r="N334" s="205" t="str">
        <f t="shared" si="73"/>
        <v/>
      </c>
      <c r="O334" s="205" t="str">
        <f t="shared" si="73"/>
        <v>model</v>
      </c>
      <c r="P334" s="206" t="str">
        <f t="shared" si="73"/>
        <v>Boolean</v>
      </c>
      <c r="Q334" s="206" t="str">
        <f t="shared" si="73"/>
        <v>x</v>
      </c>
      <c r="R334" s="206" t="str">
        <f t="shared" si="73"/>
        <v>BS</v>
      </c>
      <c r="S334" s="206" t="str">
        <f t="shared" si="73"/>
        <v>all</v>
      </c>
      <c r="T334" s="205" t="str">
        <f t="shared" si="73"/>
        <v/>
      </c>
      <c r="U334" s="205" t="str">
        <f t="shared" si="73"/>
        <v>in 3D zeigen</v>
      </c>
      <c r="V334" s="205" t="str">
        <f t="shared" si="73"/>
        <v>x</v>
      </c>
      <c r="W334" s="205" t="str">
        <f t="shared" si="73"/>
        <v/>
      </c>
      <c r="X334" s="205" t="str">
        <f t="shared" si="73"/>
        <v/>
      </c>
      <c r="Y334" s="205" t="str">
        <f t="shared" si="73"/>
        <v>gs_turn_plaster_show_3D</v>
      </c>
    </row>
    <row r="335" spans="1:25">
      <c r="A335" s="204">
        <f t="shared" si="69"/>
        <v>333</v>
      </c>
      <c r="B335" s="205" t="str">
        <f t="shared" si="72"/>
        <v>x</v>
      </c>
      <c r="C335" s="205" t="str">
        <f t="shared" si="72"/>
        <v/>
      </c>
      <c r="D335" s="205" t="str">
        <f t="shared" si="72"/>
        <v/>
      </c>
      <c r="E335" s="205" t="str">
        <f t="shared" si="72"/>
        <v/>
      </c>
      <c r="F335" s="205" t="str">
        <f t="shared" si="72"/>
        <v/>
      </c>
      <c r="G335" s="205" t="str">
        <f t="shared" si="72"/>
        <v/>
      </c>
      <c r="H335" s="205" t="str">
        <f t="shared" si="72"/>
        <v/>
      </c>
      <c r="I335" s="205" t="str">
        <f t="shared" si="72"/>
        <v/>
      </c>
      <c r="J335" s="205" t="str">
        <f t="shared" si="72"/>
        <v/>
      </c>
      <c r="K335" s="205" t="str">
        <f t="shared" si="72"/>
        <v/>
      </c>
      <c r="L335" s="205" t="str">
        <f t="shared" si="73"/>
        <v>info</v>
      </c>
      <c r="M335" s="205" t="str">
        <f t="shared" si="73"/>
        <v/>
      </c>
      <c r="N335" s="205" t="str">
        <f t="shared" si="73"/>
        <v/>
      </c>
      <c r="O335" s="205" t="str">
        <f t="shared" si="73"/>
        <v>model</v>
      </c>
      <c r="P335" s="206" t="str">
        <f t="shared" si="73"/>
        <v>String</v>
      </c>
      <c r="Q335" s="206" t="str">
        <f t="shared" si="73"/>
        <v>x</v>
      </c>
      <c r="R335" s="206" t="str">
        <f t="shared" si="73"/>
        <v>BS</v>
      </c>
      <c r="S335" s="206" t="str">
        <f t="shared" si="73"/>
        <v>all</v>
      </c>
      <c r="T335" s="205" t="str">
        <f t="shared" si="73"/>
        <v>Kein Schichteinzug</v>
      </c>
      <c r="U335" s="205" t="str">
        <f t="shared" si="73"/>
        <v>Schichteinzug</v>
      </c>
      <c r="V335" s="205" t="str">
        <f t="shared" si="73"/>
        <v/>
      </c>
      <c r="W335" s="205" t="str">
        <f t="shared" si="73"/>
        <v/>
      </c>
      <c r="X335" s="205" t="str">
        <f t="shared" si="73"/>
        <v/>
      </c>
      <c r="Y335" s="205" t="str">
        <f t="shared" si="73"/>
        <v>gs_closure_type</v>
      </c>
    </row>
    <row r="336" spans="1:25">
      <c r="A336" s="204">
        <f t="shared" si="69"/>
        <v>334</v>
      </c>
      <c r="B336" s="205" t="str">
        <f t="shared" si="72"/>
        <v>x</v>
      </c>
      <c r="C336" s="205" t="str">
        <f t="shared" si="72"/>
        <v>x</v>
      </c>
      <c r="D336" s="205" t="str">
        <f t="shared" si="72"/>
        <v/>
      </c>
      <c r="E336" s="205" t="str">
        <f t="shared" si="72"/>
        <v/>
      </c>
      <c r="F336" s="205" t="str">
        <f t="shared" si="72"/>
        <v/>
      </c>
      <c r="G336" s="205" t="str">
        <f t="shared" si="72"/>
        <v/>
      </c>
      <c r="H336" s="205" t="str">
        <f t="shared" si="72"/>
        <v/>
      </c>
      <c r="I336" s="205" t="str">
        <f t="shared" si="72"/>
        <v/>
      </c>
      <c r="J336" s="205" t="str">
        <f t="shared" si="72"/>
        <v/>
      </c>
      <c r="K336" s="205" t="str">
        <f t="shared" si="72"/>
        <v/>
      </c>
      <c r="L336" s="205" t="str">
        <f t="shared" si="73"/>
        <v>info</v>
      </c>
      <c r="M336" s="205" t="str">
        <f t="shared" si="73"/>
        <v>x</v>
      </c>
      <c r="N336" s="205" t="str">
        <f t="shared" si="73"/>
        <v/>
      </c>
      <c r="O336" s="205" t="str">
        <f t="shared" si="73"/>
        <v>model</v>
      </c>
      <c r="P336" s="206" t="str">
        <f t="shared" si="73"/>
        <v>Integer</v>
      </c>
      <c r="Q336" s="206" t="str">
        <f t="shared" si="73"/>
        <v>x</v>
      </c>
      <c r="R336" s="206" t="str">
        <f t="shared" si="73"/>
        <v>BS</v>
      </c>
      <c r="S336" s="206" t="str">
        <f t="shared" si="73"/>
        <v>all</v>
      </c>
      <c r="T336" s="205">
        <f t="shared" si="73"/>
        <v>1</v>
      </c>
      <c r="U336" s="205" t="str">
        <f t="shared" si="73"/>
        <v>Schichteinzug</v>
      </c>
      <c r="V336" s="205" t="str">
        <f t="shared" si="73"/>
        <v>x</v>
      </c>
      <c r="W336" s="205" t="str">
        <f t="shared" si="73"/>
        <v/>
      </c>
      <c r="X336" s="205" t="str">
        <f t="shared" si="73"/>
        <v/>
      </c>
      <c r="Y336" s="205" t="str">
        <f t="shared" si="73"/>
        <v>gs_closure_type_int</v>
      </c>
    </row>
    <row r="337" spans="1:25">
      <c r="A337" s="204">
        <f t="shared" si="69"/>
        <v>335</v>
      </c>
      <c r="B337" s="205" t="str">
        <f t="shared" si="72"/>
        <v>x</v>
      </c>
      <c r="C337" s="205" t="str">
        <f t="shared" si="72"/>
        <v/>
      </c>
      <c r="D337" s="205" t="str">
        <f t="shared" si="72"/>
        <v/>
      </c>
      <c r="E337" s="205" t="str">
        <f t="shared" si="72"/>
        <v/>
      </c>
      <c r="F337" s="205" t="str">
        <f t="shared" si="72"/>
        <v/>
      </c>
      <c r="G337" s="205" t="str">
        <f t="shared" si="72"/>
        <v/>
      </c>
      <c r="H337" s="205" t="str">
        <f t="shared" si="72"/>
        <v/>
      </c>
      <c r="I337" s="205" t="str">
        <f t="shared" si="72"/>
        <v/>
      </c>
      <c r="J337" s="205" t="str">
        <f t="shared" si="72"/>
        <v/>
      </c>
      <c r="K337" s="205" t="str">
        <f t="shared" si="72"/>
        <v/>
      </c>
      <c r="L337" s="205" t="str">
        <f t="shared" si="73"/>
        <v>info</v>
      </c>
      <c r="M337" s="205" t="str">
        <f t="shared" si="73"/>
        <v>x</v>
      </c>
      <c r="N337" s="205" t="str">
        <f t="shared" si="73"/>
        <v/>
      </c>
      <c r="O337" s="205" t="str">
        <f t="shared" si="73"/>
        <v>model</v>
      </c>
      <c r="P337" s="206" t="str">
        <f t="shared" si="73"/>
        <v>String</v>
      </c>
      <c r="Q337" s="206" t="str">
        <f t="shared" si="73"/>
        <v>x</v>
      </c>
      <c r="R337" s="206" t="str">
        <f t="shared" si="73"/>
        <v>BS</v>
      </c>
      <c r="S337" s="206" t="str">
        <f t="shared" si="73"/>
        <v>all</v>
      </c>
      <c r="T337" s="205" t="str">
        <f t="shared" si="73"/>
        <v>Beide</v>
      </c>
      <c r="U337" s="205" t="str">
        <f t="shared" si="73"/>
        <v>Schicht an Seite einziehen</v>
      </c>
      <c r="V337" s="205" t="str">
        <f t="shared" si="73"/>
        <v>x</v>
      </c>
      <c r="W337" s="205" t="str">
        <f t="shared" si="73"/>
        <v/>
      </c>
      <c r="X337" s="205" t="str">
        <f t="shared" si="73"/>
        <v/>
      </c>
      <c r="Y337" s="205" t="str">
        <f t="shared" si="73"/>
        <v>gs_cavity_side</v>
      </c>
    </row>
    <row r="338" spans="1:25">
      <c r="A338" s="204">
        <f t="shared" si="69"/>
        <v>336</v>
      </c>
      <c r="B338" s="205" t="str">
        <f t="shared" si="72"/>
        <v>x</v>
      </c>
      <c r="C338" s="205" t="str">
        <f t="shared" si="72"/>
        <v>x</v>
      </c>
      <c r="D338" s="205" t="str">
        <f t="shared" si="72"/>
        <v/>
      </c>
      <c r="E338" s="205" t="str">
        <f t="shared" si="72"/>
        <v/>
      </c>
      <c r="F338" s="205" t="str">
        <f t="shared" si="72"/>
        <v/>
      </c>
      <c r="G338" s="205" t="str">
        <f t="shared" si="72"/>
        <v/>
      </c>
      <c r="H338" s="205" t="str">
        <f t="shared" si="72"/>
        <v/>
      </c>
      <c r="I338" s="205" t="str">
        <f t="shared" si="72"/>
        <v/>
      </c>
      <c r="J338" s="205" t="str">
        <f t="shared" si="72"/>
        <v/>
      </c>
      <c r="K338" s="205" t="str">
        <f t="shared" si="72"/>
        <v/>
      </c>
      <c r="L338" s="205" t="str">
        <f t="shared" si="73"/>
        <v>info</v>
      </c>
      <c r="M338" s="205" t="str">
        <f t="shared" si="73"/>
        <v>x</v>
      </c>
      <c r="N338" s="205" t="str">
        <f t="shared" si="73"/>
        <v/>
      </c>
      <c r="O338" s="205" t="str">
        <f t="shared" si="73"/>
        <v>model</v>
      </c>
      <c r="P338" s="206" t="str">
        <f t="shared" si="73"/>
        <v>Integer</v>
      </c>
      <c r="Q338" s="206" t="str">
        <f t="shared" si="73"/>
        <v>x</v>
      </c>
      <c r="R338" s="206" t="str">
        <f t="shared" si="73"/>
        <v>BS</v>
      </c>
      <c r="S338" s="206" t="str">
        <f t="shared" si="73"/>
        <v>all</v>
      </c>
      <c r="T338" s="205">
        <f t="shared" si="73"/>
        <v>1</v>
      </c>
      <c r="U338" s="205" t="str">
        <f t="shared" si="73"/>
        <v>Schicht an Seite einziehen</v>
      </c>
      <c r="V338" s="205" t="str">
        <f t="shared" si="73"/>
        <v>x</v>
      </c>
      <c r="W338" s="205" t="str">
        <f t="shared" si="73"/>
        <v/>
      </c>
      <c r="X338" s="205" t="str">
        <f t="shared" si="73"/>
        <v/>
      </c>
      <c r="Y338" s="205" t="str">
        <f t="shared" si="73"/>
        <v>iCavityClosureSide</v>
      </c>
    </row>
    <row r="339" spans="1:25">
      <c r="A339" s="204">
        <f t="shared" si="69"/>
        <v>337</v>
      </c>
      <c r="B339" s="205" t="str">
        <f t="shared" si="72"/>
        <v>x</v>
      </c>
      <c r="C339" s="205" t="str">
        <f t="shared" si="72"/>
        <v/>
      </c>
      <c r="D339" s="205" t="str">
        <f t="shared" si="72"/>
        <v/>
      </c>
      <c r="E339" s="205" t="str">
        <f t="shared" si="72"/>
        <v/>
      </c>
      <c r="F339" s="205" t="str">
        <f t="shared" si="72"/>
        <v/>
      </c>
      <c r="G339" s="205" t="str">
        <f t="shared" si="72"/>
        <v/>
      </c>
      <c r="H339" s="205" t="str">
        <f t="shared" si="72"/>
        <v/>
      </c>
      <c r="I339" s="205" t="str">
        <f t="shared" si="72"/>
        <v/>
      </c>
      <c r="J339" s="205" t="str">
        <f t="shared" si="72"/>
        <v/>
      </c>
      <c r="K339" s="205" t="str">
        <f t="shared" si="72"/>
        <v/>
      </c>
      <c r="L339" s="205" t="str">
        <f t="shared" si="73"/>
        <v>info</v>
      </c>
      <c r="M339" s="205" t="str">
        <f t="shared" si="73"/>
        <v>x</v>
      </c>
      <c r="N339" s="205" t="str">
        <f t="shared" si="73"/>
        <v/>
      </c>
      <c r="O339" s="205" t="str">
        <f t="shared" si="73"/>
        <v>model</v>
      </c>
      <c r="P339" s="206" t="str">
        <f t="shared" si="73"/>
        <v>Integer</v>
      </c>
      <c r="Q339" s="206" t="str">
        <f t="shared" si="73"/>
        <v>x</v>
      </c>
      <c r="R339" s="206" t="str">
        <f t="shared" si="73"/>
        <v>BS</v>
      </c>
      <c r="S339" s="206" t="str">
        <f t="shared" si="73"/>
        <v>all</v>
      </c>
      <c r="T339" s="205">
        <f t="shared" si="73"/>
        <v>1</v>
      </c>
      <c r="U339" s="205" t="str">
        <f t="shared" si="73"/>
        <v>Einzuziehende Schichten</v>
      </c>
      <c r="V339" s="205" t="str">
        <f t="shared" si="73"/>
        <v>x</v>
      </c>
      <c r="W339" s="205" t="str">
        <f t="shared" si="73"/>
        <v/>
      </c>
      <c r="X339" s="205" t="str">
        <f t="shared" si="73"/>
        <v/>
      </c>
      <c r="Y339" s="205" t="str">
        <f t="shared" si="73"/>
        <v>gs_nTurn</v>
      </c>
    </row>
    <row r="340" spans="1:25">
      <c r="A340" s="204">
        <f t="shared" si="69"/>
        <v>338</v>
      </c>
      <c r="B340" s="205" t="str">
        <f t="shared" si="72"/>
        <v>x</v>
      </c>
      <c r="C340" s="205" t="str">
        <f t="shared" si="72"/>
        <v/>
      </c>
      <c r="D340" s="205" t="str">
        <f t="shared" si="72"/>
        <v/>
      </c>
      <c r="E340" s="205" t="str">
        <f t="shared" si="72"/>
        <v/>
      </c>
      <c r="F340" s="205" t="str">
        <f t="shared" si="72"/>
        <v/>
      </c>
      <c r="G340" s="205" t="str">
        <f t="shared" si="72"/>
        <v/>
      </c>
      <c r="H340" s="205" t="str">
        <f t="shared" si="72"/>
        <v/>
      </c>
      <c r="I340" s="205" t="str">
        <f t="shared" si="72"/>
        <v/>
      </c>
      <c r="J340" s="205" t="str">
        <f t="shared" si="72"/>
        <v/>
      </c>
      <c r="K340" s="205" t="str">
        <f t="shared" si="72"/>
        <v/>
      </c>
      <c r="L340" s="205" t="str">
        <f t="shared" si="73"/>
        <v>info</v>
      </c>
      <c r="M340" s="205" t="str">
        <f t="shared" si="73"/>
        <v>x</v>
      </c>
      <c r="N340" s="205" t="str">
        <f t="shared" si="73"/>
        <v/>
      </c>
      <c r="O340" s="205" t="str">
        <f t="shared" si="73"/>
        <v>model</v>
      </c>
      <c r="P340" s="206" t="str">
        <f t="shared" si="73"/>
        <v>String</v>
      </c>
      <c r="Q340" s="206" t="str">
        <f t="shared" si="73"/>
        <v>x</v>
      </c>
      <c r="R340" s="206" t="str">
        <f t="shared" si="73"/>
        <v>BS</v>
      </c>
      <c r="S340" s="206" t="str">
        <f t="shared" si="73"/>
        <v>all</v>
      </c>
      <c r="T340" s="205" t="str">
        <f t="shared" si="73"/>
        <v>Außenseite</v>
      </c>
      <c r="U340" s="205" t="str">
        <f t="shared" si="73"/>
        <v>Schichten von</v>
      </c>
      <c r="V340" s="205" t="str">
        <f t="shared" si="73"/>
        <v>x</v>
      </c>
      <c r="W340" s="205" t="str">
        <f t="shared" si="73"/>
        <v/>
      </c>
      <c r="X340" s="205" t="str">
        <f t="shared" si="73"/>
        <v/>
      </c>
      <c r="Y340" s="205" t="str">
        <f t="shared" si="73"/>
        <v>gs_nTurnDir</v>
      </c>
    </row>
    <row r="341" spans="1:25">
      <c r="A341" s="204">
        <f t="shared" si="69"/>
        <v>339</v>
      </c>
      <c r="B341" s="205" t="str">
        <f t="shared" si="72"/>
        <v>x</v>
      </c>
      <c r="C341" s="205" t="str">
        <f t="shared" si="72"/>
        <v>x</v>
      </c>
      <c r="D341" s="205" t="str">
        <f t="shared" si="72"/>
        <v/>
      </c>
      <c r="E341" s="205" t="str">
        <f t="shared" si="72"/>
        <v/>
      </c>
      <c r="F341" s="205" t="str">
        <f t="shared" si="72"/>
        <v/>
      </c>
      <c r="G341" s="205" t="str">
        <f t="shared" si="72"/>
        <v/>
      </c>
      <c r="H341" s="205" t="str">
        <f t="shared" si="72"/>
        <v/>
      </c>
      <c r="I341" s="205" t="str">
        <f t="shared" si="72"/>
        <v/>
      </c>
      <c r="J341" s="205" t="str">
        <f t="shared" si="72"/>
        <v/>
      </c>
      <c r="K341" s="205" t="str">
        <f t="shared" si="72"/>
        <v/>
      </c>
      <c r="L341" s="205" t="str">
        <f t="shared" si="73"/>
        <v>info</v>
      </c>
      <c r="M341" s="205" t="str">
        <f t="shared" si="73"/>
        <v>x</v>
      </c>
      <c r="N341" s="205" t="str">
        <f t="shared" si="73"/>
        <v/>
      </c>
      <c r="O341" s="205" t="str">
        <f t="shared" si="73"/>
        <v>model</v>
      </c>
      <c r="P341" s="206" t="str">
        <f t="shared" si="73"/>
        <v>Integer</v>
      </c>
      <c r="Q341" s="206" t="str">
        <f t="shared" si="73"/>
        <v>x</v>
      </c>
      <c r="R341" s="206" t="str">
        <f t="shared" si="73"/>
        <v>BS</v>
      </c>
      <c r="S341" s="206" t="str">
        <f t="shared" si="73"/>
        <v>all</v>
      </c>
      <c r="T341" s="205">
        <f t="shared" si="73"/>
        <v>1</v>
      </c>
      <c r="U341" s="205" t="str">
        <f t="shared" si="73"/>
        <v>Schichten von</v>
      </c>
      <c r="V341" s="205" t="str">
        <f t="shared" si="73"/>
        <v>x</v>
      </c>
      <c r="W341" s="205" t="str">
        <f t="shared" si="73"/>
        <v/>
      </c>
      <c r="X341" s="205" t="str">
        <f t="shared" si="73"/>
        <v/>
      </c>
      <c r="Y341" s="205" t="str">
        <f t="shared" si="73"/>
        <v>iCavityClosureTurnDir</v>
      </c>
    </row>
    <row r="342" spans="1:25">
      <c r="A342" s="204">
        <f t="shared" si="69"/>
        <v>340</v>
      </c>
      <c r="B342" s="205" t="str">
        <f t="shared" si="72"/>
        <v>x</v>
      </c>
      <c r="C342" s="205" t="str">
        <f t="shared" si="72"/>
        <v/>
      </c>
      <c r="D342" s="205" t="str">
        <f t="shared" si="72"/>
        <v/>
      </c>
      <c r="E342" s="205" t="str">
        <f t="shared" si="72"/>
        <v/>
      </c>
      <c r="F342" s="205" t="str">
        <f t="shared" si="72"/>
        <v/>
      </c>
      <c r="G342" s="205" t="str">
        <f t="shared" si="72"/>
        <v/>
      </c>
      <c r="H342" s="205" t="str">
        <f t="shared" si="72"/>
        <v/>
      </c>
      <c r="I342" s="205" t="str">
        <f t="shared" si="72"/>
        <v/>
      </c>
      <c r="J342" s="205" t="str">
        <f t="shared" si="72"/>
        <v/>
      </c>
      <c r="K342" s="205" t="str">
        <f t="shared" si="72"/>
        <v/>
      </c>
      <c r="L342" s="205" t="str">
        <f t="shared" si="73"/>
        <v>info</v>
      </c>
      <c r="M342" s="205" t="str">
        <f t="shared" si="73"/>
        <v>x</v>
      </c>
      <c r="N342" s="205" t="str">
        <f t="shared" si="73"/>
        <v/>
      </c>
      <c r="O342" s="205" t="str">
        <f t="shared" si="73"/>
        <v>model</v>
      </c>
      <c r="P342" s="206" t="str">
        <f t="shared" si="73"/>
        <v>Boolean</v>
      </c>
      <c r="Q342" s="206" t="str">
        <f t="shared" si="73"/>
        <v>x</v>
      </c>
      <c r="R342" s="206" t="str">
        <f t="shared" si="73"/>
        <v>BS</v>
      </c>
      <c r="S342" s="206" t="str">
        <f t="shared" si="73"/>
        <v>all</v>
      </c>
      <c r="T342" s="205">
        <f t="shared" si="73"/>
        <v>1</v>
      </c>
      <c r="U342" s="205" t="str">
        <f t="shared" si="73"/>
        <v>Schichteinzug auf Seite 2</v>
      </c>
      <c r="V342" s="205" t="str">
        <f t="shared" si="73"/>
        <v>x</v>
      </c>
      <c r="W342" s="205" t="str">
        <f t="shared" si="73"/>
        <v/>
      </c>
      <c r="X342" s="205" t="str">
        <f t="shared" si="73"/>
        <v/>
      </c>
      <c r="Y342" s="205" t="str">
        <f t="shared" si="73"/>
        <v>gs_cc_dutch_ShowLeft</v>
      </c>
    </row>
    <row r="343" spans="1:25">
      <c r="A343" s="204">
        <f t="shared" si="69"/>
        <v>341</v>
      </c>
      <c r="B343" s="205" t="str">
        <f t="shared" ref="B343:K352" si="74">IF(ISNONTEXT(B$2),IF(B$2="","",IF(INDEX(IMPORT,$A343,B$2)=0,"",IFERROR(VLOOKUP(INDEX(IMPORT,$A343,B$2),ImportTranslation,2,0),INDEX(IMPORT,$A343,B$2)))),B$2)</f>
        <v>x</v>
      </c>
      <c r="C343" s="205" t="str">
        <f t="shared" si="74"/>
        <v/>
      </c>
      <c r="D343" s="205" t="str">
        <f t="shared" si="74"/>
        <v/>
      </c>
      <c r="E343" s="205" t="str">
        <f t="shared" si="74"/>
        <v/>
      </c>
      <c r="F343" s="205" t="str">
        <f t="shared" si="74"/>
        <v/>
      </c>
      <c r="G343" s="205" t="str">
        <f t="shared" si="74"/>
        <v/>
      </c>
      <c r="H343" s="205" t="str">
        <f t="shared" si="74"/>
        <v/>
      </c>
      <c r="I343" s="205" t="str">
        <f t="shared" si="74"/>
        <v/>
      </c>
      <c r="J343" s="205" t="str">
        <f t="shared" si="74"/>
        <v/>
      </c>
      <c r="K343" s="205" t="str">
        <f t="shared" si="74"/>
        <v/>
      </c>
      <c r="L343" s="205" t="str">
        <f t="shared" ref="L343:Y352" si="75">IF(ISNONTEXT(L$2),IF(L$2="","",IF(INDEX(IMPORT,$A343,L$2)=0,"",IFERROR(VLOOKUP(INDEX(IMPORT,$A343,L$2),ImportTranslation,2,0),INDEX(IMPORT,$A343,L$2)))),L$2)</f>
        <v>info</v>
      </c>
      <c r="M343" s="205" t="str">
        <f t="shared" si="75"/>
        <v>x</v>
      </c>
      <c r="N343" s="205" t="str">
        <f t="shared" si="75"/>
        <v/>
      </c>
      <c r="O343" s="205" t="str">
        <f t="shared" si="75"/>
        <v>model</v>
      </c>
      <c r="P343" s="206" t="str">
        <f t="shared" si="75"/>
        <v>Boolean</v>
      </c>
      <c r="Q343" s="206" t="str">
        <f t="shared" si="75"/>
        <v>x</v>
      </c>
      <c r="R343" s="206" t="str">
        <f t="shared" si="75"/>
        <v>BS</v>
      </c>
      <c r="S343" s="206" t="str">
        <f t="shared" si="75"/>
        <v>all</v>
      </c>
      <c r="T343" s="205">
        <f t="shared" si="75"/>
        <v>1</v>
      </c>
      <c r="U343" s="205" t="str">
        <f t="shared" si="75"/>
        <v>Schichteinzug auf Seite 1</v>
      </c>
      <c r="V343" s="205" t="str">
        <f t="shared" si="75"/>
        <v>x</v>
      </c>
      <c r="W343" s="205" t="str">
        <f t="shared" si="75"/>
        <v/>
      </c>
      <c r="X343" s="205" t="str">
        <f t="shared" si="75"/>
        <v/>
      </c>
      <c r="Y343" s="205" t="str">
        <f t="shared" si="75"/>
        <v>gs_cc_dutch_ShowRight</v>
      </c>
    </row>
    <row r="344" spans="1:25">
      <c r="A344" s="204">
        <f t="shared" si="69"/>
        <v>342</v>
      </c>
      <c r="B344" s="205" t="str">
        <f t="shared" si="74"/>
        <v>x</v>
      </c>
      <c r="C344" s="205" t="str">
        <f t="shared" si="74"/>
        <v/>
      </c>
      <c r="D344" s="205" t="str">
        <f t="shared" si="74"/>
        <v/>
      </c>
      <c r="E344" s="205" t="str">
        <f t="shared" si="74"/>
        <v/>
      </c>
      <c r="F344" s="205" t="str">
        <f t="shared" si="74"/>
        <v/>
      </c>
      <c r="G344" s="205" t="str">
        <f t="shared" si="74"/>
        <v/>
      </c>
      <c r="H344" s="205" t="str">
        <f t="shared" si="74"/>
        <v/>
      </c>
      <c r="I344" s="205" t="str">
        <f t="shared" si="74"/>
        <v/>
      </c>
      <c r="J344" s="205" t="str">
        <f t="shared" si="74"/>
        <v/>
      </c>
      <c r="K344" s="205" t="str">
        <f t="shared" si="74"/>
        <v/>
      </c>
      <c r="L344" s="205" t="str">
        <f t="shared" si="75"/>
        <v>info</v>
      </c>
      <c r="M344" s="205" t="str">
        <f t="shared" si="75"/>
        <v>x</v>
      </c>
      <c r="N344" s="205" t="str">
        <f t="shared" si="75"/>
        <v/>
      </c>
      <c r="O344" s="205" t="str">
        <f t="shared" si="75"/>
        <v>model</v>
      </c>
      <c r="P344" s="206" t="str">
        <f t="shared" si="75"/>
        <v>Boolean</v>
      </c>
      <c r="Q344" s="206" t="str">
        <f t="shared" si="75"/>
        <v>x</v>
      </c>
      <c r="R344" s="206" t="str">
        <f t="shared" si="75"/>
        <v>BS</v>
      </c>
      <c r="S344" s="206" t="str">
        <f t="shared" si="75"/>
        <v>all</v>
      </c>
      <c r="T344" s="205" t="str">
        <f t="shared" si="75"/>
        <v/>
      </c>
      <c r="U344" s="205" t="str">
        <f t="shared" si="75"/>
        <v>Schichteinzug oben</v>
      </c>
      <c r="V344" s="205" t="str">
        <f t="shared" si="75"/>
        <v>x</v>
      </c>
      <c r="W344" s="205" t="str">
        <f t="shared" si="75"/>
        <v/>
      </c>
      <c r="X344" s="205" t="str">
        <f t="shared" si="75"/>
        <v/>
      </c>
      <c r="Y344" s="205" t="str">
        <f t="shared" si="75"/>
        <v>gs_cc_dutch_ShowTop</v>
      </c>
    </row>
    <row r="345" spans="1:25">
      <c r="A345" s="204">
        <f t="shared" si="69"/>
        <v>343</v>
      </c>
      <c r="B345" s="205" t="str">
        <f t="shared" si="74"/>
        <v>x</v>
      </c>
      <c r="C345" s="205" t="str">
        <f t="shared" si="74"/>
        <v/>
      </c>
      <c r="D345" s="205" t="str">
        <f t="shared" si="74"/>
        <v/>
      </c>
      <c r="E345" s="205" t="str">
        <f t="shared" si="74"/>
        <v/>
      </c>
      <c r="F345" s="205" t="str">
        <f t="shared" si="74"/>
        <v/>
      </c>
      <c r="G345" s="205" t="str">
        <f t="shared" si="74"/>
        <v/>
      </c>
      <c r="H345" s="205" t="str">
        <f t="shared" si="74"/>
        <v/>
      </c>
      <c r="I345" s="205" t="str">
        <f t="shared" si="74"/>
        <v/>
      </c>
      <c r="J345" s="205" t="str">
        <f t="shared" si="74"/>
        <v/>
      </c>
      <c r="K345" s="205" t="str">
        <f t="shared" si="74"/>
        <v/>
      </c>
      <c r="L345" s="205" t="str">
        <f t="shared" si="75"/>
        <v>info</v>
      </c>
      <c r="M345" s="205" t="str">
        <f t="shared" si="75"/>
        <v>x</v>
      </c>
      <c r="N345" s="205" t="str">
        <f t="shared" si="75"/>
        <v/>
      </c>
      <c r="O345" s="205" t="str">
        <f t="shared" si="75"/>
        <v>model</v>
      </c>
      <c r="P345" s="206" t="str">
        <f t="shared" si="75"/>
        <v>Boolean</v>
      </c>
      <c r="Q345" s="206" t="str">
        <f t="shared" si="75"/>
        <v>x</v>
      </c>
      <c r="R345" s="206" t="str">
        <f t="shared" si="75"/>
        <v>BS</v>
      </c>
      <c r="S345" s="206" t="str">
        <f t="shared" si="75"/>
        <v>all</v>
      </c>
      <c r="T345" s="205" t="str">
        <f t="shared" si="75"/>
        <v/>
      </c>
      <c r="U345" s="205" t="str">
        <f t="shared" si="75"/>
        <v>Schichteinzug unten</v>
      </c>
      <c r="V345" s="205" t="str">
        <f t="shared" si="75"/>
        <v>x</v>
      </c>
      <c r="W345" s="205" t="str">
        <f t="shared" si="75"/>
        <v/>
      </c>
      <c r="X345" s="205" t="str">
        <f t="shared" si="75"/>
        <v/>
      </c>
      <c r="Y345" s="205" t="str">
        <f t="shared" si="75"/>
        <v>gs_cc_dutch_ShowBottom</v>
      </c>
    </row>
    <row r="346" spans="1:25">
      <c r="A346" s="204">
        <f t="shared" si="69"/>
        <v>344</v>
      </c>
      <c r="B346" s="205" t="str">
        <f t="shared" si="74"/>
        <v>x</v>
      </c>
      <c r="C346" s="205" t="str">
        <f t="shared" si="74"/>
        <v/>
      </c>
      <c r="D346" s="205" t="str">
        <f t="shared" si="74"/>
        <v/>
      </c>
      <c r="E346" s="205" t="str">
        <f t="shared" si="74"/>
        <v/>
      </c>
      <c r="F346" s="205" t="str">
        <f t="shared" si="74"/>
        <v/>
      </c>
      <c r="G346" s="205" t="str">
        <f t="shared" si="74"/>
        <v/>
      </c>
      <c r="H346" s="205" t="str">
        <f t="shared" si="74"/>
        <v/>
      </c>
      <c r="I346" s="205" t="str">
        <f t="shared" si="74"/>
        <v/>
      </c>
      <c r="J346" s="205" t="str">
        <f t="shared" si="74"/>
        <v/>
      </c>
      <c r="K346" s="205" t="str">
        <f t="shared" si="74"/>
        <v/>
      </c>
      <c r="L346" s="205" t="str">
        <f t="shared" si="75"/>
        <v>info</v>
      </c>
      <c r="M346" s="205" t="str">
        <f t="shared" si="75"/>
        <v>x</v>
      </c>
      <c r="N346" s="205" t="str">
        <f t="shared" si="75"/>
        <v/>
      </c>
      <c r="O346" s="205" t="str">
        <f t="shared" si="75"/>
        <v>model</v>
      </c>
      <c r="P346" s="206" t="str">
        <f t="shared" si="75"/>
        <v>Integer</v>
      </c>
      <c r="Q346" s="206" t="str">
        <f t="shared" si="75"/>
        <v>x</v>
      </c>
      <c r="R346" s="206" t="str">
        <f t="shared" si="75"/>
        <v>BS</v>
      </c>
      <c r="S346" s="206" t="str">
        <f t="shared" si="75"/>
        <v>all</v>
      </c>
      <c r="T346" s="205">
        <f t="shared" si="75"/>
        <v>1</v>
      </c>
      <c r="U346" s="205" t="str">
        <f t="shared" si="75"/>
        <v>Schichteinzug zu Schicht</v>
      </c>
      <c r="V346" s="205" t="str">
        <f t="shared" si="75"/>
        <v>x</v>
      </c>
      <c r="W346" s="205" t="str">
        <f t="shared" si="75"/>
        <v/>
      </c>
      <c r="X346" s="205" t="str">
        <f t="shared" si="75"/>
        <v/>
      </c>
      <c r="Y346" s="205" t="str">
        <f t="shared" si="75"/>
        <v>gs_cc_dutch_ClosureToSkin</v>
      </c>
    </row>
    <row r="347" spans="1:25">
      <c r="A347" s="204">
        <f t="shared" si="69"/>
        <v>345</v>
      </c>
      <c r="B347" s="205" t="str">
        <f t="shared" si="74"/>
        <v>x</v>
      </c>
      <c r="C347" s="205" t="str">
        <f t="shared" si="74"/>
        <v/>
      </c>
      <c r="D347" s="205" t="str">
        <f t="shared" si="74"/>
        <v/>
      </c>
      <c r="E347" s="205" t="str">
        <f t="shared" si="74"/>
        <v/>
      </c>
      <c r="F347" s="205" t="str">
        <f t="shared" si="74"/>
        <v/>
      </c>
      <c r="G347" s="205" t="str">
        <f t="shared" si="74"/>
        <v/>
      </c>
      <c r="H347" s="205" t="str">
        <f t="shared" si="74"/>
        <v/>
      </c>
      <c r="I347" s="205" t="str">
        <f t="shared" si="74"/>
        <v/>
      </c>
      <c r="J347" s="205" t="str">
        <f t="shared" si="74"/>
        <v/>
      </c>
      <c r="K347" s="205" t="str">
        <f t="shared" si="74"/>
        <v/>
      </c>
      <c r="L347" s="205" t="str">
        <f t="shared" si="75"/>
        <v>info</v>
      </c>
      <c r="M347" s="205" t="str">
        <f t="shared" si="75"/>
        <v>x</v>
      </c>
      <c r="N347" s="205" t="str">
        <f t="shared" si="75"/>
        <v/>
      </c>
      <c r="O347" s="205" t="str">
        <f t="shared" si="75"/>
        <v>model</v>
      </c>
      <c r="P347" s="206" t="str">
        <f t="shared" si="75"/>
        <v>String</v>
      </c>
      <c r="Q347" s="206" t="str">
        <f t="shared" si="75"/>
        <v>x</v>
      </c>
      <c r="R347" s="206" t="str">
        <f t="shared" si="75"/>
        <v>BS</v>
      </c>
      <c r="S347" s="206" t="str">
        <f t="shared" si="75"/>
        <v>all</v>
      </c>
      <c r="T347" s="205" t="str">
        <f t="shared" si="75"/>
        <v/>
      </c>
      <c r="U347" s="205" t="str">
        <f t="shared" si="75"/>
        <v>Schichteinzug von Seite</v>
      </c>
      <c r="V347" s="205" t="str">
        <f t="shared" si="75"/>
        <v>x</v>
      </c>
      <c r="W347" s="205" t="str">
        <f t="shared" si="75"/>
        <v/>
      </c>
      <c r="X347" s="205" t="str">
        <f t="shared" si="75"/>
        <v/>
      </c>
      <c r="Y347" s="205" t="str">
        <f t="shared" si="75"/>
        <v>gs_cc_dutch_ClosureToSide_str</v>
      </c>
    </row>
    <row r="348" spans="1:25">
      <c r="A348" s="204">
        <f t="shared" si="69"/>
        <v>346</v>
      </c>
      <c r="B348" s="205" t="str">
        <f t="shared" si="74"/>
        <v>x</v>
      </c>
      <c r="C348" s="205" t="str">
        <f t="shared" si="74"/>
        <v/>
      </c>
      <c r="D348" s="205" t="str">
        <f t="shared" si="74"/>
        <v/>
      </c>
      <c r="E348" s="205" t="str">
        <f t="shared" si="74"/>
        <v/>
      </c>
      <c r="F348" s="205" t="str">
        <f t="shared" si="74"/>
        <v/>
      </c>
      <c r="G348" s="205" t="str">
        <f t="shared" si="74"/>
        <v/>
      </c>
      <c r="H348" s="205" t="str">
        <f t="shared" si="74"/>
        <v/>
      </c>
      <c r="I348" s="205" t="str">
        <f t="shared" si="74"/>
        <v/>
      </c>
      <c r="J348" s="205" t="str">
        <f t="shared" si="74"/>
        <v/>
      </c>
      <c r="K348" s="205" t="str">
        <f t="shared" si="74"/>
        <v/>
      </c>
      <c r="L348" s="205" t="str">
        <f t="shared" si="75"/>
        <v>info</v>
      </c>
      <c r="M348" s="205" t="str">
        <f t="shared" si="75"/>
        <v>x</v>
      </c>
      <c r="N348" s="205" t="str">
        <f t="shared" si="75"/>
        <v/>
      </c>
      <c r="O348" s="205" t="str">
        <f t="shared" si="75"/>
        <v>model</v>
      </c>
      <c r="P348" s="206" t="str">
        <f t="shared" si="75"/>
        <v>Integer</v>
      </c>
      <c r="Q348" s="206" t="str">
        <f t="shared" si="75"/>
        <v>x</v>
      </c>
      <c r="R348" s="206" t="str">
        <f t="shared" si="75"/>
        <v>BS</v>
      </c>
      <c r="S348" s="206" t="str">
        <f t="shared" si="75"/>
        <v>all</v>
      </c>
      <c r="T348" s="205">
        <f t="shared" si="75"/>
        <v>1</v>
      </c>
      <c r="U348" s="205" t="str">
        <f t="shared" si="75"/>
        <v>Schichteinzug von Seite</v>
      </c>
      <c r="V348" s="205" t="str">
        <f t="shared" si="75"/>
        <v>x</v>
      </c>
      <c r="W348" s="205" t="str">
        <f t="shared" si="75"/>
        <v/>
      </c>
      <c r="X348" s="205" t="str">
        <f t="shared" si="75"/>
        <v/>
      </c>
      <c r="Y348" s="205" t="str">
        <f t="shared" si="75"/>
        <v>gs_cc_dutch_ClosureToSide</v>
      </c>
    </row>
    <row r="349" spans="1:25">
      <c r="A349" s="204">
        <f t="shared" si="69"/>
        <v>347</v>
      </c>
      <c r="B349" s="205" t="str">
        <f t="shared" si="74"/>
        <v>x</v>
      </c>
      <c r="C349" s="205" t="str">
        <f t="shared" si="74"/>
        <v/>
      </c>
      <c r="D349" s="205" t="str">
        <f t="shared" si="74"/>
        <v/>
      </c>
      <c r="E349" s="205" t="str">
        <f t="shared" si="74"/>
        <v/>
      </c>
      <c r="F349" s="205" t="str">
        <f t="shared" si="74"/>
        <v/>
      </c>
      <c r="G349" s="205" t="str">
        <f t="shared" si="74"/>
        <v/>
      </c>
      <c r="H349" s="205" t="str">
        <f t="shared" si="74"/>
        <v/>
      </c>
      <c r="I349" s="205" t="str">
        <f t="shared" si="74"/>
        <v/>
      </c>
      <c r="J349" s="205" t="str">
        <f t="shared" si="74"/>
        <v/>
      </c>
      <c r="K349" s="205" t="str">
        <f t="shared" si="74"/>
        <v/>
      </c>
      <c r="L349" s="205" t="str">
        <f t="shared" si="75"/>
        <v>info</v>
      </c>
      <c r="M349" s="205" t="str">
        <f t="shared" si="75"/>
        <v>x</v>
      </c>
      <c r="N349" s="205" t="str">
        <f t="shared" si="75"/>
        <v/>
      </c>
      <c r="O349" s="205" t="str">
        <f t="shared" si="75"/>
        <v>model</v>
      </c>
      <c r="P349" s="206" t="str">
        <f t="shared" si="75"/>
        <v>Boolean</v>
      </c>
      <c r="Q349" s="206" t="str">
        <f t="shared" si="75"/>
        <v>x</v>
      </c>
      <c r="R349" s="206" t="str">
        <f t="shared" si="75"/>
        <v>BS</v>
      </c>
      <c r="S349" s="206" t="str">
        <f t="shared" si="75"/>
        <v>all</v>
      </c>
      <c r="T349" s="205" t="str">
        <f t="shared" si="75"/>
        <v/>
      </c>
      <c r="U349" s="205" t="str">
        <f t="shared" si="75"/>
        <v>Schicht einziehen zu Abschluss</v>
      </c>
      <c r="V349" s="205" t="str">
        <f t="shared" si="75"/>
        <v>x</v>
      </c>
      <c r="W349" s="205" t="str">
        <f t="shared" si="75"/>
        <v/>
      </c>
      <c r="X349" s="205" t="str">
        <f t="shared" si="75"/>
        <v/>
      </c>
      <c r="Y349" s="205" t="str">
        <f t="shared" si="75"/>
        <v>gs_cc_dutch_TurnToClosure</v>
      </c>
    </row>
    <row r="350" spans="1:25">
      <c r="A350" s="204">
        <f t="shared" si="69"/>
        <v>348</v>
      </c>
      <c r="B350" s="205" t="str">
        <f t="shared" si="74"/>
        <v>x</v>
      </c>
      <c r="C350" s="205" t="str">
        <f t="shared" si="74"/>
        <v/>
      </c>
      <c r="D350" s="205" t="str">
        <f t="shared" si="74"/>
        <v/>
      </c>
      <c r="E350" s="205" t="str">
        <f t="shared" si="74"/>
        <v/>
      </c>
      <c r="F350" s="205" t="str">
        <f t="shared" si="74"/>
        <v/>
      </c>
      <c r="G350" s="205" t="str">
        <f t="shared" si="74"/>
        <v/>
      </c>
      <c r="H350" s="205" t="str">
        <f t="shared" si="74"/>
        <v/>
      </c>
      <c r="I350" s="205" t="str">
        <f t="shared" si="74"/>
        <v/>
      </c>
      <c r="J350" s="205" t="str">
        <f t="shared" si="74"/>
        <v/>
      </c>
      <c r="K350" s="205" t="str">
        <f t="shared" si="74"/>
        <v/>
      </c>
      <c r="L350" s="205" t="str">
        <f t="shared" si="75"/>
        <v>info</v>
      </c>
      <c r="M350" s="205" t="str">
        <f t="shared" si="75"/>
        <v>x</v>
      </c>
      <c r="N350" s="205" t="str">
        <f t="shared" si="75"/>
        <v/>
      </c>
      <c r="O350" s="205" t="str">
        <f t="shared" si="75"/>
        <v>model</v>
      </c>
      <c r="P350" s="206" t="str">
        <f t="shared" si="75"/>
        <v>Length</v>
      </c>
      <c r="Q350" s="206" t="str">
        <f t="shared" si="75"/>
        <v>x</v>
      </c>
      <c r="R350" s="206" t="str">
        <f t="shared" si="75"/>
        <v>BS</v>
      </c>
      <c r="S350" s="206" t="str">
        <f t="shared" si="75"/>
        <v>all</v>
      </c>
      <c r="T350" s="205" t="str">
        <f t="shared" si="75"/>
        <v/>
      </c>
      <c r="U350" s="205" t="str">
        <f t="shared" si="75"/>
        <v>Abstand Schicht zu Abschluss</v>
      </c>
      <c r="V350" s="205" t="str">
        <f t="shared" si="75"/>
        <v>x</v>
      </c>
      <c r="W350" s="205" t="str">
        <f t="shared" si="75"/>
        <v/>
      </c>
      <c r="X350" s="205" t="str">
        <f t="shared" si="75"/>
        <v/>
      </c>
      <c r="Y350" s="205" t="str">
        <f t="shared" si="75"/>
        <v>gs_cc_dutch_TurnToClosureOffs</v>
      </c>
    </row>
    <row r="351" spans="1:25">
      <c r="A351" s="204">
        <f t="shared" si="69"/>
        <v>349</v>
      </c>
      <c r="B351" s="205" t="str">
        <f t="shared" si="74"/>
        <v>x</v>
      </c>
      <c r="C351" s="205" t="str">
        <f t="shared" si="74"/>
        <v/>
      </c>
      <c r="D351" s="205" t="str">
        <f t="shared" si="74"/>
        <v/>
      </c>
      <c r="E351" s="205" t="str">
        <f t="shared" si="74"/>
        <v/>
      </c>
      <c r="F351" s="205" t="str">
        <f t="shared" si="74"/>
        <v/>
      </c>
      <c r="G351" s="205" t="str">
        <f t="shared" si="74"/>
        <v/>
      </c>
      <c r="H351" s="205" t="str">
        <f t="shared" si="74"/>
        <v/>
      </c>
      <c r="I351" s="205" t="str">
        <f t="shared" si="74"/>
        <v/>
      </c>
      <c r="J351" s="205" t="str">
        <f t="shared" si="74"/>
        <v/>
      </c>
      <c r="K351" s="205" t="str">
        <f t="shared" si="74"/>
        <v/>
      </c>
      <c r="L351" s="205" t="str">
        <f t="shared" si="75"/>
        <v>info</v>
      </c>
      <c r="M351" s="205" t="str">
        <f t="shared" si="75"/>
        <v>x</v>
      </c>
      <c r="N351" s="205" t="str">
        <f t="shared" si="75"/>
        <v/>
      </c>
      <c r="O351" s="205" t="str">
        <f t="shared" si="75"/>
        <v>model</v>
      </c>
      <c r="P351" s="206" t="str">
        <f t="shared" si="75"/>
        <v>Length</v>
      </c>
      <c r="Q351" s="206" t="str">
        <f t="shared" si="75"/>
        <v>x</v>
      </c>
      <c r="R351" s="206" t="str">
        <f t="shared" si="75"/>
        <v>BS</v>
      </c>
      <c r="S351" s="206" t="str">
        <f t="shared" si="75"/>
        <v>all</v>
      </c>
      <c r="T351" s="205">
        <f t="shared" si="75"/>
        <v>3.7999999999999999E-2</v>
      </c>
      <c r="U351" s="205" t="str">
        <f t="shared" si="75"/>
        <v>Anschluss Breite</v>
      </c>
      <c r="V351" s="205" t="str">
        <f t="shared" si="75"/>
        <v>x</v>
      </c>
      <c r="W351" s="205" t="str">
        <f t="shared" si="75"/>
        <v/>
      </c>
      <c r="X351" s="205" t="str">
        <f t="shared" si="75"/>
        <v/>
      </c>
      <c r="Y351" s="205" t="str">
        <f t="shared" si="75"/>
        <v>gs_cc_dutch_widthJoint</v>
      </c>
    </row>
    <row r="352" spans="1:25">
      <c r="A352" s="204">
        <f t="shared" si="69"/>
        <v>350</v>
      </c>
      <c r="B352" s="205" t="str">
        <f t="shared" si="74"/>
        <v>x</v>
      </c>
      <c r="C352" s="205" t="str">
        <f t="shared" si="74"/>
        <v/>
      </c>
      <c r="D352" s="205" t="str">
        <f t="shared" si="74"/>
        <v/>
      </c>
      <c r="E352" s="205" t="str">
        <f t="shared" si="74"/>
        <v/>
      </c>
      <c r="F352" s="205" t="str">
        <f t="shared" si="74"/>
        <v/>
      </c>
      <c r="G352" s="205" t="str">
        <f t="shared" si="74"/>
        <v/>
      </c>
      <c r="H352" s="205" t="str">
        <f t="shared" si="74"/>
        <v/>
      </c>
      <c r="I352" s="205" t="str">
        <f t="shared" si="74"/>
        <v/>
      </c>
      <c r="J352" s="205" t="str">
        <f t="shared" si="74"/>
        <v/>
      </c>
      <c r="K352" s="205" t="str">
        <f t="shared" si="74"/>
        <v/>
      </c>
      <c r="L352" s="205" t="str">
        <f t="shared" si="75"/>
        <v>info</v>
      </c>
      <c r="M352" s="205" t="str">
        <f t="shared" si="75"/>
        <v>x</v>
      </c>
      <c r="N352" s="205" t="str">
        <f t="shared" si="75"/>
        <v/>
      </c>
      <c r="O352" s="205" t="str">
        <f t="shared" si="75"/>
        <v>model</v>
      </c>
      <c r="P352" s="206" t="str">
        <f t="shared" si="75"/>
        <v>Length</v>
      </c>
      <c r="Q352" s="206" t="str">
        <f t="shared" si="75"/>
        <v>x</v>
      </c>
      <c r="R352" s="206" t="str">
        <f t="shared" si="75"/>
        <v>BS</v>
      </c>
      <c r="S352" s="206" t="str">
        <f t="shared" si="75"/>
        <v>all</v>
      </c>
      <c r="T352" s="205">
        <f t="shared" si="75"/>
        <v>0.1</v>
      </c>
      <c r="U352" s="205" t="str">
        <f t="shared" si="75"/>
        <v>Anschluss Dicke</v>
      </c>
      <c r="V352" s="205" t="str">
        <f t="shared" si="75"/>
        <v>x</v>
      </c>
      <c r="W352" s="205" t="str">
        <f t="shared" si="75"/>
        <v/>
      </c>
      <c r="X352" s="205" t="str">
        <f t="shared" si="75"/>
        <v/>
      </c>
      <c r="Y352" s="205" t="str">
        <f t="shared" si="75"/>
        <v>gs_cc_dutch_thkJoint</v>
      </c>
    </row>
    <row r="353" spans="1:25">
      <c r="A353" s="204">
        <f t="shared" si="69"/>
        <v>351</v>
      </c>
      <c r="B353" s="205" t="str">
        <f t="shared" ref="B353:K362" si="76">IF(ISNONTEXT(B$2),IF(B$2="","",IF(INDEX(IMPORT,$A353,B$2)=0,"",IFERROR(VLOOKUP(INDEX(IMPORT,$A353,B$2),ImportTranslation,2,0),INDEX(IMPORT,$A353,B$2)))),B$2)</f>
        <v>x</v>
      </c>
      <c r="C353" s="205" t="str">
        <f t="shared" si="76"/>
        <v/>
      </c>
      <c r="D353" s="205" t="str">
        <f t="shared" si="76"/>
        <v/>
      </c>
      <c r="E353" s="205" t="str">
        <f t="shared" si="76"/>
        <v/>
      </c>
      <c r="F353" s="205" t="str">
        <f t="shared" si="76"/>
        <v/>
      </c>
      <c r="G353" s="205" t="str">
        <f t="shared" si="76"/>
        <v/>
      </c>
      <c r="H353" s="205" t="str">
        <f t="shared" si="76"/>
        <v/>
      </c>
      <c r="I353" s="205" t="str">
        <f t="shared" si="76"/>
        <v/>
      </c>
      <c r="J353" s="205" t="str">
        <f t="shared" si="76"/>
        <v/>
      </c>
      <c r="K353" s="205" t="str">
        <f t="shared" si="76"/>
        <v/>
      </c>
      <c r="L353" s="205" t="str">
        <f t="shared" ref="L353:Y362" si="77">IF(ISNONTEXT(L$2),IF(L$2="","",IF(INDEX(IMPORT,$A353,L$2)=0,"",IFERROR(VLOOKUP(INDEX(IMPORT,$A353,L$2),ImportTranslation,2,0),INDEX(IMPORT,$A353,L$2)))),L$2)</f>
        <v>info</v>
      </c>
      <c r="M353" s="205" t="str">
        <f t="shared" si="77"/>
        <v>x</v>
      </c>
      <c r="N353" s="205" t="str">
        <f t="shared" si="77"/>
        <v/>
      </c>
      <c r="O353" s="205" t="str">
        <f t="shared" si="77"/>
        <v>model</v>
      </c>
      <c r="P353" s="206" t="str">
        <f t="shared" si="77"/>
        <v>Boolean</v>
      </c>
      <c r="Q353" s="206" t="str">
        <f t="shared" si="77"/>
        <v>x</v>
      </c>
      <c r="R353" s="206" t="str">
        <f t="shared" si="77"/>
        <v>BS</v>
      </c>
      <c r="S353" s="206" t="str">
        <f t="shared" si="77"/>
        <v>all</v>
      </c>
      <c r="T353" s="205">
        <f t="shared" si="77"/>
        <v>1</v>
      </c>
      <c r="U353" s="205" t="str">
        <f t="shared" si="77"/>
        <v>Dichtungsband einfügen</v>
      </c>
      <c r="V353" s="205" t="str">
        <f t="shared" si="77"/>
        <v>x</v>
      </c>
      <c r="W353" s="205" t="str">
        <f t="shared" si="77"/>
        <v/>
      </c>
      <c r="X353" s="205" t="str">
        <f t="shared" si="77"/>
        <v/>
      </c>
      <c r="Y353" s="205" t="str">
        <f t="shared" si="77"/>
        <v>gs_bJoint</v>
      </c>
    </row>
    <row r="354" spans="1:25">
      <c r="A354" s="204">
        <f t="shared" si="69"/>
        <v>352</v>
      </c>
      <c r="B354" s="205" t="str">
        <f t="shared" si="76"/>
        <v>x</v>
      </c>
      <c r="C354" s="205" t="str">
        <f t="shared" si="76"/>
        <v/>
      </c>
      <c r="D354" s="205" t="str">
        <f t="shared" si="76"/>
        <v/>
      </c>
      <c r="E354" s="205" t="str">
        <f t="shared" si="76"/>
        <v/>
      </c>
      <c r="F354" s="205" t="str">
        <f t="shared" si="76"/>
        <v/>
      </c>
      <c r="G354" s="205" t="str">
        <f t="shared" si="76"/>
        <v/>
      </c>
      <c r="H354" s="205" t="str">
        <f t="shared" si="76"/>
        <v/>
      </c>
      <c r="I354" s="205" t="str">
        <f t="shared" si="76"/>
        <v/>
      </c>
      <c r="J354" s="205" t="str">
        <f t="shared" si="76"/>
        <v/>
      </c>
      <c r="K354" s="205" t="str">
        <f t="shared" si="76"/>
        <v/>
      </c>
      <c r="L354" s="205" t="str">
        <f t="shared" si="77"/>
        <v>info</v>
      </c>
      <c r="M354" s="205" t="str">
        <f t="shared" si="77"/>
        <v>x</v>
      </c>
      <c r="N354" s="205" t="str">
        <f t="shared" si="77"/>
        <v/>
      </c>
      <c r="O354" s="205" t="str">
        <f t="shared" si="77"/>
        <v>model</v>
      </c>
      <c r="P354" s="206" t="str">
        <f t="shared" si="77"/>
        <v>Boolean</v>
      </c>
      <c r="Q354" s="206" t="str">
        <f t="shared" si="77"/>
        <v>x</v>
      </c>
      <c r="R354" s="206" t="str">
        <f t="shared" si="77"/>
        <v>BS</v>
      </c>
      <c r="S354" s="206" t="str">
        <f t="shared" si="77"/>
        <v>all</v>
      </c>
      <c r="T354" s="205">
        <f t="shared" si="77"/>
        <v>1</v>
      </c>
      <c r="U354" s="205" t="str">
        <f t="shared" si="77"/>
        <v>Dichtungsband zeigen</v>
      </c>
      <c r="V354" s="205" t="str">
        <f t="shared" si="77"/>
        <v>x</v>
      </c>
      <c r="W354" s="205" t="str">
        <f t="shared" si="77"/>
        <v/>
      </c>
      <c r="X354" s="205" t="str">
        <f t="shared" si="77"/>
        <v/>
      </c>
      <c r="Y354" s="205" t="str">
        <f t="shared" si="77"/>
        <v>gs_showJoint</v>
      </c>
    </row>
    <row r="355" spans="1:25">
      <c r="A355" s="204">
        <f t="shared" si="69"/>
        <v>353</v>
      </c>
      <c r="B355" s="205" t="str">
        <f t="shared" si="76"/>
        <v>x</v>
      </c>
      <c r="C355" s="205" t="str">
        <f t="shared" si="76"/>
        <v/>
      </c>
      <c r="D355" s="205" t="str">
        <f t="shared" si="76"/>
        <v/>
      </c>
      <c r="E355" s="205" t="str">
        <f t="shared" si="76"/>
        <v/>
      </c>
      <c r="F355" s="205" t="str">
        <f t="shared" si="76"/>
        <v/>
      </c>
      <c r="G355" s="205" t="str">
        <f t="shared" si="76"/>
        <v/>
      </c>
      <c r="H355" s="205" t="str">
        <f t="shared" si="76"/>
        <v/>
      </c>
      <c r="I355" s="205" t="str">
        <f t="shared" si="76"/>
        <v/>
      </c>
      <c r="J355" s="205" t="str">
        <f t="shared" si="76"/>
        <v/>
      </c>
      <c r="K355" s="205" t="str">
        <f t="shared" si="76"/>
        <v/>
      </c>
      <c r="L355" s="205" t="str">
        <f t="shared" si="77"/>
        <v>info</v>
      </c>
      <c r="M355" s="205" t="str">
        <f t="shared" si="77"/>
        <v>x</v>
      </c>
      <c r="N355" s="205" t="str">
        <f t="shared" si="77"/>
        <v/>
      </c>
      <c r="O355" s="205" t="str">
        <f t="shared" si="77"/>
        <v>model</v>
      </c>
      <c r="P355" s="206" t="str">
        <f t="shared" si="77"/>
        <v>Length</v>
      </c>
      <c r="Q355" s="206" t="str">
        <f t="shared" si="77"/>
        <v>x</v>
      </c>
      <c r="R355" s="206" t="str">
        <f t="shared" si="77"/>
        <v>BS</v>
      </c>
      <c r="S355" s="206" t="str">
        <f t="shared" si="77"/>
        <v>all</v>
      </c>
      <c r="T355" s="205">
        <f t="shared" si="77"/>
        <v>2.5000000000000001E-2</v>
      </c>
      <c r="U355" s="205" t="str">
        <f t="shared" si="77"/>
        <v>Streifen-Dicke</v>
      </c>
      <c r="V355" s="205" t="str">
        <f t="shared" si="77"/>
        <v>x</v>
      </c>
      <c r="W355" s="205" t="str">
        <f t="shared" si="77"/>
        <v/>
      </c>
      <c r="X355" s="205" t="str">
        <f t="shared" si="77"/>
        <v/>
      </c>
      <c r="Y355" s="205" t="str">
        <f t="shared" si="77"/>
        <v>gs_thkJoint</v>
      </c>
    </row>
    <row r="356" spans="1:25">
      <c r="A356" s="204">
        <f t="shared" si="69"/>
        <v>354</v>
      </c>
      <c r="B356" s="205" t="str">
        <f t="shared" si="76"/>
        <v>x</v>
      </c>
      <c r="C356" s="205" t="str">
        <f t="shared" si="76"/>
        <v/>
      </c>
      <c r="D356" s="205" t="str">
        <f t="shared" si="76"/>
        <v/>
      </c>
      <c r="E356" s="205" t="str">
        <f t="shared" si="76"/>
        <v/>
      </c>
      <c r="F356" s="205" t="str">
        <f t="shared" si="76"/>
        <v/>
      </c>
      <c r="G356" s="205" t="str">
        <f t="shared" si="76"/>
        <v/>
      </c>
      <c r="H356" s="205" t="str">
        <f t="shared" si="76"/>
        <v/>
      </c>
      <c r="I356" s="205" t="str">
        <f t="shared" si="76"/>
        <v/>
      </c>
      <c r="J356" s="205" t="str">
        <f t="shared" si="76"/>
        <v/>
      </c>
      <c r="K356" s="205" t="str">
        <f t="shared" si="76"/>
        <v/>
      </c>
      <c r="L356" s="205" t="str">
        <f t="shared" si="77"/>
        <v>info</v>
      </c>
      <c r="M356" s="205" t="str">
        <f t="shared" si="77"/>
        <v>x</v>
      </c>
      <c r="N356" s="205" t="str">
        <f t="shared" si="77"/>
        <v/>
      </c>
      <c r="O356" s="205" t="str">
        <f t="shared" si="77"/>
        <v>model</v>
      </c>
      <c r="P356" s="206" t="str">
        <f t="shared" si="77"/>
        <v>PenColor</v>
      </c>
      <c r="Q356" s="206" t="str">
        <f t="shared" si="77"/>
        <v>x</v>
      </c>
      <c r="R356" s="206" t="str">
        <f t="shared" si="77"/>
        <v>BS</v>
      </c>
      <c r="S356" s="206" t="str">
        <f t="shared" si="77"/>
        <v>all</v>
      </c>
      <c r="T356" s="205">
        <f t="shared" si="77"/>
        <v>100</v>
      </c>
      <c r="U356" s="205" t="str">
        <f t="shared" si="77"/>
        <v>Kontur-Stift</v>
      </c>
      <c r="V356" s="205" t="str">
        <f t="shared" si="77"/>
        <v>x</v>
      </c>
      <c r="W356" s="205" t="str">
        <f t="shared" si="77"/>
        <v/>
      </c>
      <c r="X356" s="205" t="str">
        <f t="shared" si="77"/>
        <v/>
      </c>
      <c r="Y356" s="205" t="str">
        <f t="shared" si="77"/>
        <v>gs_penJoint</v>
      </c>
    </row>
    <row r="357" spans="1:25">
      <c r="A357" s="204">
        <f t="shared" si="69"/>
        <v>355</v>
      </c>
      <c r="B357" s="205" t="str">
        <f t="shared" si="76"/>
        <v>x</v>
      </c>
      <c r="C357" s="205" t="str">
        <f t="shared" si="76"/>
        <v/>
      </c>
      <c r="D357" s="205" t="str">
        <f t="shared" si="76"/>
        <v/>
      </c>
      <c r="E357" s="205" t="str">
        <f t="shared" si="76"/>
        <v/>
      </c>
      <c r="F357" s="205" t="str">
        <f t="shared" si="76"/>
        <v/>
      </c>
      <c r="G357" s="205" t="str">
        <f t="shared" si="76"/>
        <v/>
      </c>
      <c r="H357" s="205" t="str">
        <f t="shared" si="76"/>
        <v/>
      </c>
      <c r="I357" s="205" t="str">
        <f t="shared" si="76"/>
        <v/>
      </c>
      <c r="J357" s="205" t="str">
        <f t="shared" si="76"/>
        <v/>
      </c>
      <c r="K357" s="205" t="str">
        <f t="shared" si="76"/>
        <v/>
      </c>
      <c r="L357" s="205" t="str">
        <f t="shared" si="77"/>
        <v>info</v>
      </c>
      <c r="M357" s="205" t="str">
        <f t="shared" si="77"/>
        <v>x</v>
      </c>
      <c r="N357" s="205" t="str">
        <f t="shared" si="77"/>
        <v/>
      </c>
      <c r="O357" s="205" t="str">
        <f t="shared" si="77"/>
        <v>model</v>
      </c>
      <c r="P357" s="206" t="str">
        <f t="shared" si="77"/>
        <v>LineType</v>
      </c>
      <c r="Q357" s="206" t="str">
        <f t="shared" si="77"/>
        <v>x</v>
      </c>
      <c r="R357" s="206" t="str">
        <f t="shared" si="77"/>
        <v>BS</v>
      </c>
      <c r="S357" s="206" t="str">
        <f t="shared" si="77"/>
        <v>all</v>
      </c>
      <c r="T357" s="205">
        <f t="shared" si="77"/>
        <v>1</v>
      </c>
      <c r="U357" s="205" t="str">
        <f t="shared" si="77"/>
        <v>Kontur-Linientyp</v>
      </c>
      <c r="V357" s="205" t="str">
        <f t="shared" si="77"/>
        <v>x</v>
      </c>
      <c r="W357" s="205" t="str">
        <f t="shared" si="77"/>
        <v/>
      </c>
      <c r="X357" s="205" t="str">
        <f t="shared" si="77"/>
        <v/>
      </c>
      <c r="Y357" s="205" t="str">
        <f t="shared" si="77"/>
        <v>gs_ltJoint</v>
      </c>
    </row>
    <row r="358" spans="1:25">
      <c r="A358" s="204">
        <f t="shared" si="69"/>
        <v>356</v>
      </c>
      <c r="B358" s="205" t="str">
        <f t="shared" si="76"/>
        <v>x</v>
      </c>
      <c r="C358" s="205" t="str">
        <f t="shared" si="76"/>
        <v/>
      </c>
      <c r="D358" s="205" t="str">
        <f t="shared" si="76"/>
        <v/>
      </c>
      <c r="E358" s="205" t="str">
        <f t="shared" si="76"/>
        <v/>
      </c>
      <c r="F358" s="205" t="str">
        <f t="shared" si="76"/>
        <v/>
      </c>
      <c r="G358" s="205" t="str">
        <f t="shared" si="76"/>
        <v/>
      </c>
      <c r="H358" s="205" t="str">
        <f t="shared" si="76"/>
        <v/>
      </c>
      <c r="I358" s="205" t="str">
        <f t="shared" si="76"/>
        <v/>
      </c>
      <c r="J358" s="205" t="str">
        <f t="shared" si="76"/>
        <v/>
      </c>
      <c r="K358" s="205" t="str">
        <f t="shared" si="76"/>
        <v/>
      </c>
      <c r="L358" s="205" t="str">
        <f t="shared" si="77"/>
        <v>info</v>
      </c>
      <c r="M358" s="205" t="str">
        <f t="shared" si="77"/>
        <v>x</v>
      </c>
      <c r="N358" s="205" t="str">
        <f t="shared" si="77"/>
        <v/>
      </c>
      <c r="O358" s="205" t="str">
        <f t="shared" si="77"/>
        <v>model</v>
      </c>
      <c r="P358" s="206" t="str">
        <f t="shared" si="77"/>
        <v>FillPattern</v>
      </c>
      <c r="Q358" s="206" t="str">
        <f t="shared" si="77"/>
        <v>x</v>
      </c>
      <c r="R358" s="206" t="str">
        <f t="shared" si="77"/>
        <v>BS</v>
      </c>
      <c r="S358" s="206" t="str">
        <f t="shared" si="77"/>
        <v>all</v>
      </c>
      <c r="T358" s="205">
        <f t="shared" si="77"/>
        <v>65</v>
      </c>
      <c r="U358" s="205" t="str">
        <f t="shared" si="77"/>
        <v>Schraffur-Typ</v>
      </c>
      <c r="V358" s="205" t="str">
        <f t="shared" si="77"/>
        <v>x</v>
      </c>
      <c r="W358" s="205" t="str">
        <f t="shared" si="77"/>
        <v/>
      </c>
      <c r="X358" s="205" t="str">
        <f t="shared" si="77"/>
        <v/>
      </c>
      <c r="Y358" s="205" t="str">
        <f t="shared" si="77"/>
        <v>gs_fillJoint</v>
      </c>
    </row>
    <row r="359" spans="1:25">
      <c r="A359" s="204">
        <f t="shared" si="69"/>
        <v>357</v>
      </c>
      <c r="B359" s="205" t="str">
        <f t="shared" si="76"/>
        <v>x</v>
      </c>
      <c r="C359" s="205" t="str">
        <f t="shared" si="76"/>
        <v/>
      </c>
      <c r="D359" s="205" t="str">
        <f t="shared" si="76"/>
        <v/>
      </c>
      <c r="E359" s="205" t="str">
        <f t="shared" si="76"/>
        <v/>
      </c>
      <c r="F359" s="205" t="str">
        <f t="shared" si="76"/>
        <v/>
      </c>
      <c r="G359" s="205" t="str">
        <f t="shared" si="76"/>
        <v/>
      </c>
      <c r="H359" s="205" t="str">
        <f t="shared" si="76"/>
        <v/>
      </c>
      <c r="I359" s="205" t="str">
        <f t="shared" si="76"/>
        <v/>
      </c>
      <c r="J359" s="205" t="str">
        <f t="shared" si="76"/>
        <v/>
      </c>
      <c r="K359" s="205" t="str">
        <f t="shared" si="76"/>
        <v/>
      </c>
      <c r="L359" s="205" t="str">
        <f t="shared" si="77"/>
        <v>info</v>
      </c>
      <c r="M359" s="205" t="str">
        <f t="shared" si="77"/>
        <v>x</v>
      </c>
      <c r="N359" s="205" t="str">
        <f t="shared" si="77"/>
        <v/>
      </c>
      <c r="O359" s="205" t="str">
        <f t="shared" si="77"/>
        <v>model</v>
      </c>
      <c r="P359" s="206" t="str">
        <f t="shared" si="77"/>
        <v>PenColor</v>
      </c>
      <c r="Q359" s="206" t="str">
        <f t="shared" si="77"/>
        <v>x</v>
      </c>
      <c r="R359" s="206" t="str">
        <f t="shared" si="77"/>
        <v>BS</v>
      </c>
      <c r="S359" s="206" t="str">
        <f t="shared" si="77"/>
        <v>all</v>
      </c>
      <c r="T359" s="205">
        <f t="shared" si="77"/>
        <v>1</v>
      </c>
      <c r="U359" s="205" t="str">
        <f t="shared" si="77"/>
        <v>Schraffur-Stift</v>
      </c>
      <c r="V359" s="205" t="str">
        <f t="shared" si="77"/>
        <v>x</v>
      </c>
      <c r="W359" s="205" t="str">
        <f t="shared" si="77"/>
        <v/>
      </c>
      <c r="X359" s="205" t="str">
        <f t="shared" si="77"/>
        <v/>
      </c>
      <c r="Y359" s="205" t="str">
        <f t="shared" si="77"/>
        <v>gs_penJointFg</v>
      </c>
    </row>
    <row r="360" spans="1:25">
      <c r="A360" s="204">
        <f t="shared" si="69"/>
        <v>358</v>
      </c>
      <c r="B360" s="205" t="str">
        <f t="shared" si="76"/>
        <v>x</v>
      </c>
      <c r="C360" s="205" t="str">
        <f t="shared" si="76"/>
        <v/>
      </c>
      <c r="D360" s="205" t="str">
        <f t="shared" si="76"/>
        <v/>
      </c>
      <c r="E360" s="205" t="str">
        <f t="shared" si="76"/>
        <v/>
      </c>
      <c r="F360" s="205" t="str">
        <f t="shared" si="76"/>
        <v/>
      </c>
      <c r="G360" s="205" t="str">
        <f t="shared" si="76"/>
        <v/>
      </c>
      <c r="H360" s="205" t="str">
        <f t="shared" si="76"/>
        <v/>
      </c>
      <c r="I360" s="205" t="str">
        <f t="shared" si="76"/>
        <v/>
      </c>
      <c r="J360" s="205" t="str">
        <f t="shared" si="76"/>
        <v/>
      </c>
      <c r="K360" s="205" t="str">
        <f t="shared" si="76"/>
        <v/>
      </c>
      <c r="L360" s="205" t="str">
        <f t="shared" si="77"/>
        <v>info</v>
      </c>
      <c r="M360" s="205" t="str">
        <f t="shared" si="77"/>
        <v>x</v>
      </c>
      <c r="N360" s="205" t="str">
        <f t="shared" si="77"/>
        <v/>
      </c>
      <c r="O360" s="205" t="str">
        <f t="shared" si="77"/>
        <v>model</v>
      </c>
      <c r="P360" s="206" t="str">
        <f t="shared" si="77"/>
        <v>PenColor</v>
      </c>
      <c r="Q360" s="206" t="str">
        <f t="shared" si="77"/>
        <v>x</v>
      </c>
      <c r="R360" s="206" t="str">
        <f t="shared" si="77"/>
        <v>BS</v>
      </c>
      <c r="S360" s="206" t="str">
        <f t="shared" si="77"/>
        <v>all</v>
      </c>
      <c r="T360" s="205">
        <f t="shared" si="77"/>
        <v>93</v>
      </c>
      <c r="U360" s="205" t="str">
        <f t="shared" si="77"/>
        <v>Schraffurhintergrund-Stift</v>
      </c>
      <c r="V360" s="205" t="str">
        <f t="shared" si="77"/>
        <v>x</v>
      </c>
      <c r="W360" s="205" t="str">
        <f t="shared" si="77"/>
        <v/>
      </c>
      <c r="X360" s="205" t="str">
        <f t="shared" si="77"/>
        <v/>
      </c>
      <c r="Y360" s="205" t="str">
        <f t="shared" si="77"/>
        <v>gs_penJointBg</v>
      </c>
    </row>
    <row r="361" spans="1:25">
      <c r="A361" s="204">
        <f t="shared" si="69"/>
        <v>359</v>
      </c>
      <c r="B361" s="205" t="str">
        <f t="shared" si="76"/>
        <v>x</v>
      </c>
      <c r="C361" s="205" t="str">
        <f t="shared" si="76"/>
        <v/>
      </c>
      <c r="D361" s="205" t="str">
        <f t="shared" si="76"/>
        <v/>
      </c>
      <c r="E361" s="205" t="str">
        <f t="shared" si="76"/>
        <v/>
      </c>
      <c r="F361" s="205" t="str">
        <f t="shared" si="76"/>
        <v/>
      </c>
      <c r="G361" s="205" t="str">
        <f t="shared" si="76"/>
        <v/>
      </c>
      <c r="H361" s="205" t="str">
        <f t="shared" si="76"/>
        <v/>
      </c>
      <c r="I361" s="205" t="str">
        <f t="shared" si="76"/>
        <v/>
      </c>
      <c r="J361" s="205" t="str">
        <f t="shared" si="76"/>
        <v/>
      </c>
      <c r="K361" s="205" t="str">
        <f t="shared" si="76"/>
        <v/>
      </c>
      <c r="L361" s="205" t="str">
        <f t="shared" si="77"/>
        <v>info</v>
      </c>
      <c r="M361" s="205" t="str">
        <f t="shared" si="77"/>
        <v>x</v>
      </c>
      <c r="N361" s="205" t="str">
        <f t="shared" si="77"/>
        <v/>
      </c>
      <c r="O361" s="205" t="str">
        <f t="shared" si="77"/>
        <v>model</v>
      </c>
      <c r="P361" s="206" t="str">
        <f t="shared" si="77"/>
        <v>Boolean</v>
      </c>
      <c r="Q361" s="206" t="str">
        <f t="shared" si="77"/>
        <v>x</v>
      </c>
      <c r="R361" s="206" t="str">
        <f t="shared" si="77"/>
        <v>BS</v>
      </c>
      <c r="S361" s="206" t="str">
        <f t="shared" si="77"/>
        <v>all</v>
      </c>
      <c r="T361" s="205" t="str">
        <f t="shared" si="77"/>
        <v/>
      </c>
      <c r="U361" s="205" t="str">
        <f t="shared" si="77"/>
        <v>Eigenes Oberflächenmaterial</v>
      </c>
      <c r="V361" s="205" t="str">
        <f t="shared" si="77"/>
        <v>x</v>
      </c>
      <c r="W361" s="205" t="str">
        <f t="shared" si="77"/>
        <v/>
      </c>
      <c r="X361" s="205" t="str">
        <f t="shared" si="77"/>
        <v/>
      </c>
      <c r="Y361" s="205" t="str">
        <f t="shared" si="77"/>
        <v>gs_cc_dutch_matJointCustom</v>
      </c>
    </row>
    <row r="362" spans="1:25">
      <c r="A362" s="204">
        <f t="shared" si="69"/>
        <v>360</v>
      </c>
      <c r="B362" s="205" t="str">
        <f t="shared" si="76"/>
        <v/>
      </c>
      <c r="C362" s="205" t="str">
        <f t="shared" si="76"/>
        <v/>
      </c>
      <c r="D362" s="205" t="str">
        <f t="shared" si="76"/>
        <v/>
      </c>
      <c r="E362" s="205" t="str">
        <f t="shared" si="76"/>
        <v/>
      </c>
      <c r="F362" s="205" t="str">
        <f t="shared" si="76"/>
        <v/>
      </c>
      <c r="G362" s="205" t="str">
        <f t="shared" si="76"/>
        <v/>
      </c>
      <c r="H362" s="205" t="str">
        <f t="shared" si="76"/>
        <v/>
      </c>
      <c r="I362" s="205" t="str">
        <f t="shared" si="76"/>
        <v/>
      </c>
      <c r="J362" s="205" t="str">
        <f t="shared" si="76"/>
        <v/>
      </c>
      <c r="K362" s="205" t="str">
        <f t="shared" si="76"/>
        <v/>
      </c>
      <c r="L362" s="205" t="str">
        <f t="shared" si="77"/>
        <v>info</v>
      </c>
      <c r="M362" s="205" t="str">
        <f t="shared" si="77"/>
        <v>x</v>
      </c>
      <c r="N362" s="205" t="str">
        <f t="shared" si="77"/>
        <v/>
      </c>
      <c r="O362" s="205" t="str">
        <f t="shared" si="77"/>
        <v>model</v>
      </c>
      <c r="P362" s="206" t="str">
        <f t="shared" si="77"/>
        <v>Material</v>
      </c>
      <c r="Q362" s="206" t="str">
        <f t="shared" si="77"/>
        <v>x</v>
      </c>
      <c r="R362" s="206" t="str">
        <f t="shared" si="77"/>
        <v>BS</v>
      </c>
      <c r="S362" s="206" t="str">
        <f t="shared" si="77"/>
        <v>all</v>
      </c>
      <c r="T362" s="205">
        <f t="shared" si="77"/>
        <v>15</v>
      </c>
      <c r="U362" s="205" t="str">
        <f t="shared" si="77"/>
        <v>Oberflächenmaterial</v>
      </c>
      <c r="V362" s="205" t="str">
        <f t="shared" si="77"/>
        <v>x</v>
      </c>
      <c r="W362" s="205" t="str">
        <f t="shared" si="77"/>
        <v/>
      </c>
      <c r="X362" s="205" t="str">
        <f t="shared" si="77"/>
        <v/>
      </c>
      <c r="Y362" s="205" t="str">
        <f t="shared" si="77"/>
        <v>gs_cc_dutch_matJoint</v>
      </c>
    </row>
    <row r="363" spans="1:25">
      <c r="A363" s="204">
        <f t="shared" si="69"/>
        <v>361</v>
      </c>
      <c r="B363" s="205" t="str">
        <f t="shared" ref="B363:K372" si="78">IF(ISNONTEXT(B$2),IF(B$2="","",IF(INDEX(IMPORT,$A363,B$2)=0,"",IFERROR(VLOOKUP(INDEX(IMPORT,$A363,B$2),ImportTranslation,2,0),INDEX(IMPORT,$A363,B$2)))),B$2)</f>
        <v>x</v>
      </c>
      <c r="C363" s="205" t="str">
        <f t="shared" si="78"/>
        <v/>
      </c>
      <c r="D363" s="205" t="str">
        <f t="shared" si="78"/>
        <v/>
      </c>
      <c r="E363" s="205" t="str">
        <f t="shared" si="78"/>
        <v/>
      </c>
      <c r="F363" s="205" t="str">
        <f t="shared" si="78"/>
        <v/>
      </c>
      <c r="G363" s="205" t="str">
        <f t="shared" si="78"/>
        <v/>
      </c>
      <c r="H363" s="205" t="str">
        <f t="shared" si="78"/>
        <v/>
      </c>
      <c r="I363" s="205" t="str">
        <f t="shared" si="78"/>
        <v/>
      </c>
      <c r="J363" s="205" t="str">
        <f t="shared" si="78"/>
        <v/>
      </c>
      <c r="K363" s="205" t="str">
        <f t="shared" si="78"/>
        <v/>
      </c>
      <c r="L363" s="205" t="str">
        <f t="shared" ref="L363:Y372" si="79">IF(ISNONTEXT(L$2),IF(L$2="","",IF(INDEX(IMPORT,$A363,L$2)=0,"",IFERROR(VLOOKUP(INDEX(IMPORT,$A363,L$2),ImportTranslation,2,0),INDEX(IMPORT,$A363,L$2)))),L$2)</f>
        <v>info</v>
      </c>
      <c r="M363" s="205" t="str">
        <f t="shared" si="79"/>
        <v>x</v>
      </c>
      <c r="N363" s="205" t="str">
        <f t="shared" si="79"/>
        <v/>
      </c>
      <c r="O363" s="205" t="str">
        <f t="shared" si="79"/>
        <v>model</v>
      </c>
      <c r="P363" s="206" t="str">
        <f t="shared" si="79"/>
        <v>Length</v>
      </c>
      <c r="Q363" s="206" t="str">
        <f t="shared" si="79"/>
        <v>x</v>
      </c>
      <c r="R363" s="206" t="str">
        <f t="shared" si="79"/>
        <v>BS</v>
      </c>
      <c r="S363" s="206" t="str">
        <f t="shared" si="79"/>
        <v>all</v>
      </c>
      <c r="T363" s="205">
        <f t="shared" si="79"/>
        <v>7.4999999999999997E-2</v>
      </c>
      <c r="U363" s="205" t="str">
        <f t="shared" si="79"/>
        <v>Profil-Breite</v>
      </c>
      <c r="V363" s="205" t="str">
        <f t="shared" si="79"/>
        <v>x</v>
      </c>
      <c r="W363" s="205" t="str">
        <f t="shared" si="79"/>
        <v/>
      </c>
      <c r="X363" s="205" t="str">
        <f t="shared" si="79"/>
        <v/>
      </c>
      <c r="Y363" s="205" t="str">
        <f t="shared" si="79"/>
        <v>gs_widthPlug</v>
      </c>
    </row>
    <row r="364" spans="1:25">
      <c r="A364" s="204">
        <f t="shared" si="69"/>
        <v>362</v>
      </c>
      <c r="B364" s="205" t="str">
        <f t="shared" si="78"/>
        <v>x</v>
      </c>
      <c r="C364" s="205" t="str">
        <f t="shared" si="78"/>
        <v/>
      </c>
      <c r="D364" s="205" t="str">
        <f t="shared" si="78"/>
        <v/>
      </c>
      <c r="E364" s="205" t="str">
        <f t="shared" si="78"/>
        <v/>
      </c>
      <c r="F364" s="205" t="str">
        <f t="shared" si="78"/>
        <v/>
      </c>
      <c r="G364" s="205" t="str">
        <f t="shared" si="78"/>
        <v/>
      </c>
      <c r="H364" s="205" t="str">
        <f t="shared" si="78"/>
        <v/>
      </c>
      <c r="I364" s="205" t="str">
        <f t="shared" si="78"/>
        <v/>
      </c>
      <c r="J364" s="205" t="str">
        <f t="shared" si="78"/>
        <v/>
      </c>
      <c r="K364" s="205" t="str">
        <f t="shared" si="78"/>
        <v/>
      </c>
      <c r="L364" s="205" t="str">
        <f t="shared" si="79"/>
        <v>info</v>
      </c>
      <c r="M364" s="205" t="str">
        <f t="shared" si="79"/>
        <v>x</v>
      </c>
      <c r="N364" s="205" t="str">
        <f t="shared" si="79"/>
        <v/>
      </c>
      <c r="O364" s="205" t="str">
        <f t="shared" si="79"/>
        <v>model</v>
      </c>
      <c r="P364" s="206" t="str">
        <f t="shared" si="79"/>
        <v>PenColor</v>
      </c>
      <c r="Q364" s="206" t="str">
        <f t="shared" si="79"/>
        <v>x</v>
      </c>
      <c r="R364" s="206" t="str">
        <f t="shared" si="79"/>
        <v>BS</v>
      </c>
      <c r="S364" s="206" t="str">
        <f t="shared" si="79"/>
        <v>all</v>
      </c>
      <c r="T364" s="205">
        <f t="shared" si="79"/>
        <v>100</v>
      </c>
      <c r="U364" s="205" t="str">
        <f t="shared" si="79"/>
        <v>Kontur-Stift</v>
      </c>
      <c r="V364" s="205" t="str">
        <f t="shared" si="79"/>
        <v>x</v>
      </c>
      <c r="W364" s="205" t="str">
        <f t="shared" si="79"/>
        <v/>
      </c>
      <c r="X364" s="205" t="str">
        <f t="shared" si="79"/>
        <v/>
      </c>
      <c r="Y364" s="205" t="str">
        <f t="shared" si="79"/>
        <v>gs_penPlug</v>
      </c>
    </row>
    <row r="365" spans="1:25">
      <c r="A365" s="204">
        <f t="shared" si="69"/>
        <v>363</v>
      </c>
      <c r="B365" s="205" t="str">
        <f t="shared" si="78"/>
        <v>x</v>
      </c>
      <c r="C365" s="205" t="str">
        <f t="shared" si="78"/>
        <v/>
      </c>
      <c r="D365" s="205" t="str">
        <f t="shared" si="78"/>
        <v/>
      </c>
      <c r="E365" s="205" t="str">
        <f t="shared" si="78"/>
        <v/>
      </c>
      <c r="F365" s="205" t="str">
        <f t="shared" si="78"/>
        <v/>
      </c>
      <c r="G365" s="205" t="str">
        <f t="shared" si="78"/>
        <v/>
      </c>
      <c r="H365" s="205" t="str">
        <f t="shared" si="78"/>
        <v/>
      </c>
      <c r="I365" s="205" t="str">
        <f t="shared" si="78"/>
        <v/>
      </c>
      <c r="J365" s="205" t="str">
        <f t="shared" si="78"/>
        <v/>
      </c>
      <c r="K365" s="205" t="str">
        <f t="shared" si="78"/>
        <v/>
      </c>
      <c r="L365" s="205" t="str">
        <f t="shared" si="79"/>
        <v>info</v>
      </c>
      <c r="M365" s="205" t="str">
        <f t="shared" si="79"/>
        <v>x</v>
      </c>
      <c r="N365" s="205" t="str">
        <f t="shared" si="79"/>
        <v/>
      </c>
      <c r="O365" s="205" t="str">
        <f t="shared" si="79"/>
        <v>model</v>
      </c>
      <c r="P365" s="206" t="str">
        <f t="shared" si="79"/>
        <v>LineType</v>
      </c>
      <c r="Q365" s="206" t="str">
        <f t="shared" si="79"/>
        <v>x</v>
      </c>
      <c r="R365" s="206" t="str">
        <f t="shared" si="79"/>
        <v>BS</v>
      </c>
      <c r="S365" s="206" t="str">
        <f t="shared" si="79"/>
        <v>all</v>
      </c>
      <c r="T365" s="205">
        <f t="shared" si="79"/>
        <v>1</v>
      </c>
      <c r="U365" s="205" t="str">
        <f t="shared" si="79"/>
        <v>Kontur-Linientyp</v>
      </c>
      <c r="V365" s="205" t="str">
        <f t="shared" si="79"/>
        <v>x</v>
      </c>
      <c r="W365" s="205" t="str">
        <f t="shared" si="79"/>
        <v/>
      </c>
      <c r="X365" s="205" t="str">
        <f t="shared" si="79"/>
        <v/>
      </c>
      <c r="Y365" s="205" t="str">
        <f t="shared" si="79"/>
        <v>gs_ltPlug</v>
      </c>
    </row>
    <row r="366" spans="1:25">
      <c r="A366" s="204">
        <f t="shared" si="69"/>
        <v>364</v>
      </c>
      <c r="B366" s="205" t="str">
        <f t="shared" si="78"/>
        <v>x</v>
      </c>
      <c r="C366" s="205" t="str">
        <f t="shared" si="78"/>
        <v/>
      </c>
      <c r="D366" s="205" t="str">
        <f t="shared" si="78"/>
        <v/>
      </c>
      <c r="E366" s="205" t="str">
        <f t="shared" si="78"/>
        <v/>
      </c>
      <c r="F366" s="205" t="str">
        <f t="shared" si="78"/>
        <v/>
      </c>
      <c r="G366" s="205" t="str">
        <f t="shared" si="78"/>
        <v/>
      </c>
      <c r="H366" s="205" t="str">
        <f t="shared" si="78"/>
        <v/>
      </c>
      <c r="I366" s="205" t="str">
        <f t="shared" si="78"/>
        <v/>
      </c>
      <c r="J366" s="205" t="str">
        <f t="shared" si="78"/>
        <v/>
      </c>
      <c r="K366" s="205" t="str">
        <f t="shared" si="78"/>
        <v/>
      </c>
      <c r="L366" s="205" t="str">
        <f t="shared" si="79"/>
        <v>info</v>
      </c>
      <c r="M366" s="205" t="str">
        <f t="shared" si="79"/>
        <v>x</v>
      </c>
      <c r="N366" s="205" t="str">
        <f t="shared" si="79"/>
        <v/>
      </c>
      <c r="O366" s="205" t="str">
        <f t="shared" si="79"/>
        <v>model</v>
      </c>
      <c r="P366" s="206" t="str">
        <f t="shared" si="79"/>
        <v>FillPattern</v>
      </c>
      <c r="Q366" s="206" t="str">
        <f t="shared" si="79"/>
        <v>x</v>
      </c>
      <c r="R366" s="206" t="str">
        <f t="shared" si="79"/>
        <v>BS</v>
      </c>
      <c r="S366" s="206" t="str">
        <f t="shared" si="79"/>
        <v>all</v>
      </c>
      <c r="T366" s="205">
        <f t="shared" si="79"/>
        <v>65</v>
      </c>
      <c r="U366" s="205" t="str">
        <f t="shared" si="79"/>
        <v>Schraffur-Typ</v>
      </c>
      <c r="V366" s="205" t="str">
        <f t="shared" si="79"/>
        <v>x</v>
      </c>
      <c r="W366" s="205" t="str">
        <f t="shared" si="79"/>
        <v/>
      </c>
      <c r="X366" s="205" t="str">
        <f t="shared" si="79"/>
        <v/>
      </c>
      <c r="Y366" s="205" t="str">
        <f t="shared" si="79"/>
        <v>gs_fillPlug</v>
      </c>
    </row>
    <row r="367" spans="1:25">
      <c r="A367" s="204">
        <f t="shared" si="69"/>
        <v>365</v>
      </c>
      <c r="B367" s="205" t="str">
        <f t="shared" si="78"/>
        <v>x</v>
      </c>
      <c r="C367" s="205" t="str">
        <f t="shared" si="78"/>
        <v/>
      </c>
      <c r="D367" s="205" t="str">
        <f t="shared" si="78"/>
        <v/>
      </c>
      <c r="E367" s="205" t="str">
        <f t="shared" si="78"/>
        <v/>
      </c>
      <c r="F367" s="205" t="str">
        <f t="shared" si="78"/>
        <v/>
      </c>
      <c r="G367" s="205" t="str">
        <f t="shared" si="78"/>
        <v/>
      </c>
      <c r="H367" s="205" t="str">
        <f t="shared" si="78"/>
        <v/>
      </c>
      <c r="I367" s="205" t="str">
        <f t="shared" si="78"/>
        <v/>
      </c>
      <c r="J367" s="205" t="str">
        <f t="shared" si="78"/>
        <v/>
      </c>
      <c r="K367" s="205" t="str">
        <f t="shared" si="78"/>
        <v/>
      </c>
      <c r="L367" s="205" t="str">
        <f t="shared" si="79"/>
        <v>info</v>
      </c>
      <c r="M367" s="205" t="str">
        <f t="shared" si="79"/>
        <v>x</v>
      </c>
      <c r="N367" s="205" t="str">
        <f t="shared" si="79"/>
        <v/>
      </c>
      <c r="O367" s="205" t="str">
        <f t="shared" si="79"/>
        <v>model</v>
      </c>
      <c r="P367" s="206" t="str">
        <f t="shared" si="79"/>
        <v>PenColor</v>
      </c>
      <c r="Q367" s="206" t="str">
        <f t="shared" si="79"/>
        <v>x</v>
      </c>
      <c r="R367" s="206" t="str">
        <f t="shared" si="79"/>
        <v>BS</v>
      </c>
      <c r="S367" s="206" t="str">
        <f t="shared" si="79"/>
        <v>all</v>
      </c>
      <c r="T367" s="205">
        <f t="shared" si="79"/>
        <v>1</v>
      </c>
      <c r="U367" s="205" t="str">
        <f t="shared" si="79"/>
        <v>Schraffur-Stift</v>
      </c>
      <c r="V367" s="205" t="str">
        <f t="shared" si="79"/>
        <v>x</v>
      </c>
      <c r="W367" s="205" t="str">
        <f t="shared" si="79"/>
        <v/>
      </c>
      <c r="X367" s="205" t="str">
        <f t="shared" si="79"/>
        <v/>
      </c>
      <c r="Y367" s="205" t="str">
        <f t="shared" si="79"/>
        <v>gs_penPlugFg</v>
      </c>
    </row>
    <row r="368" spans="1:25">
      <c r="A368" s="204">
        <f t="shared" si="69"/>
        <v>366</v>
      </c>
      <c r="B368" s="205" t="str">
        <f t="shared" si="78"/>
        <v>x</v>
      </c>
      <c r="C368" s="205" t="str">
        <f t="shared" si="78"/>
        <v/>
      </c>
      <c r="D368" s="205" t="str">
        <f t="shared" si="78"/>
        <v/>
      </c>
      <c r="E368" s="205" t="str">
        <f t="shared" si="78"/>
        <v/>
      </c>
      <c r="F368" s="205" t="str">
        <f t="shared" si="78"/>
        <v/>
      </c>
      <c r="G368" s="205" t="str">
        <f t="shared" si="78"/>
        <v/>
      </c>
      <c r="H368" s="205" t="str">
        <f t="shared" si="78"/>
        <v/>
      </c>
      <c r="I368" s="205" t="str">
        <f t="shared" si="78"/>
        <v/>
      </c>
      <c r="J368" s="205" t="str">
        <f t="shared" si="78"/>
        <v/>
      </c>
      <c r="K368" s="205" t="str">
        <f t="shared" si="78"/>
        <v/>
      </c>
      <c r="L368" s="205" t="str">
        <f t="shared" si="79"/>
        <v>info</v>
      </c>
      <c r="M368" s="205" t="str">
        <f t="shared" si="79"/>
        <v>x</v>
      </c>
      <c r="N368" s="205" t="str">
        <f t="shared" si="79"/>
        <v/>
      </c>
      <c r="O368" s="205" t="str">
        <f t="shared" si="79"/>
        <v>model</v>
      </c>
      <c r="P368" s="206" t="str">
        <f t="shared" si="79"/>
        <v>PenColor</v>
      </c>
      <c r="Q368" s="206" t="str">
        <f t="shared" si="79"/>
        <v>x</v>
      </c>
      <c r="R368" s="206" t="str">
        <f t="shared" si="79"/>
        <v>BS</v>
      </c>
      <c r="S368" s="206" t="str">
        <f t="shared" si="79"/>
        <v>all</v>
      </c>
      <c r="T368" s="205">
        <f t="shared" si="79"/>
        <v>93</v>
      </c>
      <c r="U368" s="205" t="str">
        <f t="shared" si="79"/>
        <v>Schraffurhintergrund-Stift</v>
      </c>
      <c r="V368" s="205" t="str">
        <f t="shared" si="79"/>
        <v>x</v>
      </c>
      <c r="W368" s="205" t="str">
        <f t="shared" si="79"/>
        <v/>
      </c>
      <c r="X368" s="205" t="str">
        <f t="shared" si="79"/>
        <v/>
      </c>
      <c r="Y368" s="205" t="str">
        <f t="shared" si="79"/>
        <v>gs_penPlugBg</v>
      </c>
    </row>
    <row r="369" spans="1:25">
      <c r="A369" s="204">
        <f t="shared" si="69"/>
        <v>367</v>
      </c>
      <c r="B369" s="205" t="str">
        <f t="shared" si="78"/>
        <v>x</v>
      </c>
      <c r="C369" s="205" t="str">
        <f t="shared" si="78"/>
        <v>x</v>
      </c>
      <c r="D369" s="205" t="str">
        <f t="shared" si="78"/>
        <v/>
      </c>
      <c r="E369" s="205" t="str">
        <f t="shared" si="78"/>
        <v/>
      </c>
      <c r="F369" s="205" t="str">
        <f t="shared" si="78"/>
        <v/>
      </c>
      <c r="G369" s="205" t="str">
        <f t="shared" si="78"/>
        <v/>
      </c>
      <c r="H369" s="205" t="str">
        <f t="shared" si="78"/>
        <v/>
      </c>
      <c r="I369" s="205" t="str">
        <f t="shared" si="78"/>
        <v/>
      </c>
      <c r="J369" s="205" t="str">
        <f t="shared" si="78"/>
        <v/>
      </c>
      <c r="K369" s="205" t="str">
        <f t="shared" si="78"/>
        <v/>
      </c>
      <c r="L369" s="205" t="str">
        <f t="shared" si="79"/>
        <v>info</v>
      </c>
      <c r="M369" s="205" t="str">
        <f t="shared" si="79"/>
        <v>x</v>
      </c>
      <c r="N369" s="205" t="str">
        <f t="shared" si="79"/>
        <v/>
      </c>
      <c r="O369" s="205" t="str">
        <f t="shared" si="79"/>
        <v>model</v>
      </c>
      <c r="P369" s="206" t="str">
        <f t="shared" si="79"/>
        <v>Length</v>
      </c>
      <c r="Q369" s="206" t="str">
        <f t="shared" si="79"/>
        <v>x</v>
      </c>
      <c r="R369" s="206" t="str">
        <f t="shared" si="79"/>
        <v>BS</v>
      </c>
      <c r="S369" s="206" t="str">
        <f t="shared" si="79"/>
        <v>all</v>
      </c>
      <c r="T369" s="205" t="str">
        <f t="shared" si="79"/>
        <v>{array}</v>
      </c>
      <c r="U369" s="205" t="str">
        <f t="shared" si="79"/>
        <v>Schicht-Daten Links</v>
      </c>
      <c r="V369" s="205" t="str">
        <f t="shared" si="79"/>
        <v>x</v>
      </c>
      <c r="W369" s="205" t="str">
        <f t="shared" si="79"/>
        <v/>
      </c>
      <c r="X369" s="205" t="str">
        <f t="shared" si="79"/>
        <v/>
      </c>
      <c r="Y369" s="205" t="str">
        <f t="shared" si="79"/>
        <v>gs_custom_cc_array_left</v>
      </c>
    </row>
    <row r="370" spans="1:25">
      <c r="A370" s="204">
        <f t="shared" si="69"/>
        <v>368</v>
      </c>
      <c r="B370" s="205" t="str">
        <f t="shared" si="78"/>
        <v>x</v>
      </c>
      <c r="C370" s="205" t="str">
        <f t="shared" si="78"/>
        <v>x</v>
      </c>
      <c r="D370" s="205" t="str">
        <f t="shared" si="78"/>
        <v/>
      </c>
      <c r="E370" s="205" t="str">
        <f t="shared" si="78"/>
        <v/>
      </c>
      <c r="F370" s="205" t="str">
        <f t="shared" si="78"/>
        <v/>
      </c>
      <c r="G370" s="205" t="str">
        <f t="shared" si="78"/>
        <v/>
      </c>
      <c r="H370" s="205" t="str">
        <f t="shared" si="78"/>
        <v/>
      </c>
      <c r="I370" s="205" t="str">
        <f t="shared" si="78"/>
        <v/>
      </c>
      <c r="J370" s="205" t="str">
        <f t="shared" si="78"/>
        <v/>
      </c>
      <c r="K370" s="205" t="str">
        <f t="shared" si="78"/>
        <v/>
      </c>
      <c r="L370" s="205" t="str">
        <f t="shared" si="79"/>
        <v>info</v>
      </c>
      <c r="M370" s="205" t="str">
        <f t="shared" si="79"/>
        <v>x</v>
      </c>
      <c r="N370" s="205" t="str">
        <f t="shared" si="79"/>
        <v/>
      </c>
      <c r="O370" s="205" t="str">
        <f t="shared" si="79"/>
        <v>model</v>
      </c>
      <c r="P370" s="206" t="str">
        <f t="shared" si="79"/>
        <v>Length</v>
      </c>
      <c r="Q370" s="206" t="str">
        <f t="shared" si="79"/>
        <v>x</v>
      </c>
      <c r="R370" s="206" t="str">
        <f t="shared" si="79"/>
        <v>BS</v>
      </c>
      <c r="S370" s="206" t="str">
        <f t="shared" si="79"/>
        <v>all</v>
      </c>
      <c r="T370" s="205" t="str">
        <f t="shared" si="79"/>
        <v>{array}</v>
      </c>
      <c r="U370" s="205" t="str">
        <f t="shared" si="79"/>
        <v>Schicht-Daten Rechts</v>
      </c>
      <c r="V370" s="205" t="str">
        <f t="shared" si="79"/>
        <v>x</v>
      </c>
      <c r="W370" s="205" t="str">
        <f t="shared" si="79"/>
        <v/>
      </c>
      <c r="X370" s="205" t="str">
        <f t="shared" si="79"/>
        <v/>
      </c>
      <c r="Y370" s="205" t="str">
        <f t="shared" si="79"/>
        <v>gs_custom_cc_array_right</v>
      </c>
    </row>
    <row r="371" spans="1:25">
      <c r="A371" s="204">
        <f t="shared" si="69"/>
        <v>369</v>
      </c>
      <c r="B371" s="205" t="str">
        <f t="shared" si="78"/>
        <v>x</v>
      </c>
      <c r="C371" s="205" t="str">
        <f t="shared" si="78"/>
        <v/>
      </c>
      <c r="D371" s="205" t="str">
        <f t="shared" si="78"/>
        <v/>
      </c>
      <c r="E371" s="205" t="str">
        <f t="shared" si="78"/>
        <v/>
      </c>
      <c r="F371" s="205" t="str">
        <f t="shared" si="78"/>
        <v/>
      </c>
      <c r="G371" s="205" t="str">
        <f t="shared" si="78"/>
        <v/>
      </c>
      <c r="H371" s="205" t="str">
        <f t="shared" si="78"/>
        <v/>
      </c>
      <c r="I371" s="205" t="str">
        <f t="shared" si="78"/>
        <v/>
      </c>
      <c r="J371" s="205" t="str">
        <f t="shared" si="78"/>
        <v/>
      </c>
      <c r="K371" s="205" t="str">
        <f t="shared" si="78"/>
        <v/>
      </c>
      <c r="L371" s="205" t="str">
        <f t="shared" si="79"/>
        <v>info</v>
      </c>
      <c r="M371" s="205" t="str">
        <f t="shared" si="79"/>
        <v>x</v>
      </c>
      <c r="N371" s="205" t="str">
        <f t="shared" si="79"/>
        <v/>
      </c>
      <c r="O371" s="205" t="str">
        <f t="shared" si="79"/>
        <v>model</v>
      </c>
      <c r="P371" s="206" t="str">
        <f t="shared" si="79"/>
        <v>Integer</v>
      </c>
      <c r="Q371" s="206" t="str">
        <f t="shared" si="79"/>
        <v>x</v>
      </c>
      <c r="R371" s="206" t="str">
        <f t="shared" si="79"/>
        <v>BS</v>
      </c>
      <c r="S371" s="206" t="str">
        <f t="shared" si="79"/>
        <v>all</v>
      </c>
      <c r="T371" s="205">
        <f t="shared" si="79"/>
        <v>1</v>
      </c>
      <c r="U371" s="205" t="str">
        <f t="shared" si="79"/>
        <v>Editierte Anschlagseite</v>
      </c>
      <c r="V371" s="205" t="str">
        <f t="shared" si="79"/>
        <v>x</v>
      </c>
      <c r="W371" s="205" t="str">
        <f t="shared" si="79"/>
        <v/>
      </c>
      <c r="X371" s="205" t="str">
        <f t="shared" si="79"/>
        <v/>
      </c>
      <c r="Y371" s="205" t="str">
        <f t="shared" si="79"/>
        <v>iCustomCCEditJambSide</v>
      </c>
    </row>
    <row r="372" spans="1:25">
      <c r="A372" s="204">
        <f t="shared" si="69"/>
        <v>370</v>
      </c>
      <c r="B372" s="205" t="str">
        <f t="shared" si="78"/>
        <v>x</v>
      </c>
      <c r="C372" s="205" t="str">
        <f t="shared" si="78"/>
        <v/>
      </c>
      <c r="D372" s="205" t="str">
        <f t="shared" si="78"/>
        <v/>
      </c>
      <c r="E372" s="205" t="str">
        <f t="shared" si="78"/>
        <v/>
      </c>
      <c r="F372" s="205" t="str">
        <f t="shared" si="78"/>
        <v/>
      </c>
      <c r="G372" s="205" t="str">
        <f t="shared" si="78"/>
        <v/>
      </c>
      <c r="H372" s="205" t="str">
        <f t="shared" si="78"/>
        <v/>
      </c>
      <c r="I372" s="205" t="str">
        <f t="shared" si="78"/>
        <v/>
      </c>
      <c r="J372" s="205" t="str">
        <f t="shared" si="78"/>
        <v/>
      </c>
      <c r="K372" s="205" t="str">
        <f t="shared" si="78"/>
        <v/>
      </c>
      <c r="L372" s="205" t="str">
        <f t="shared" si="79"/>
        <v>info</v>
      </c>
      <c r="M372" s="205" t="str">
        <f t="shared" si="79"/>
        <v>x</v>
      </c>
      <c r="N372" s="205" t="str">
        <f t="shared" si="79"/>
        <v/>
      </c>
      <c r="O372" s="205" t="str">
        <f t="shared" si="79"/>
        <v>model</v>
      </c>
      <c r="P372" s="206" t="str">
        <f t="shared" si="79"/>
        <v>Integer</v>
      </c>
      <c r="Q372" s="206" t="str">
        <f t="shared" si="79"/>
        <v>x</v>
      </c>
      <c r="R372" s="206" t="str">
        <f t="shared" si="79"/>
        <v>BS</v>
      </c>
      <c r="S372" s="206" t="str">
        <f t="shared" si="79"/>
        <v>all</v>
      </c>
      <c r="T372" s="205">
        <f t="shared" si="79"/>
        <v>1</v>
      </c>
      <c r="U372" s="205" t="str">
        <f t="shared" si="79"/>
        <v>Editierte Wandseite</v>
      </c>
      <c r="V372" s="205" t="str">
        <f t="shared" si="79"/>
        <v>x</v>
      </c>
      <c r="W372" s="205" t="str">
        <f t="shared" si="79"/>
        <v/>
      </c>
      <c r="X372" s="205" t="str">
        <f t="shared" si="79"/>
        <v/>
      </c>
      <c r="Y372" s="205" t="str">
        <f t="shared" si="79"/>
        <v>iCustomCCEditWallSide</v>
      </c>
    </row>
    <row r="373" spans="1:25">
      <c r="A373" s="204">
        <f t="shared" si="69"/>
        <v>371</v>
      </c>
      <c r="B373" s="205" t="str">
        <f t="shared" ref="B373:K382" si="80">IF(ISNONTEXT(B$2),IF(B$2="","",IF(INDEX(IMPORT,$A373,B$2)=0,"",IFERROR(VLOOKUP(INDEX(IMPORT,$A373,B$2),ImportTranslation,2,0),INDEX(IMPORT,$A373,B$2)))),B$2)</f>
        <v>x</v>
      </c>
      <c r="C373" s="205" t="str">
        <f t="shared" si="80"/>
        <v/>
      </c>
      <c r="D373" s="205" t="str">
        <f t="shared" si="80"/>
        <v/>
      </c>
      <c r="E373" s="205" t="str">
        <f t="shared" si="80"/>
        <v/>
      </c>
      <c r="F373" s="205" t="str">
        <f t="shared" si="80"/>
        <v/>
      </c>
      <c r="G373" s="205" t="str">
        <f t="shared" si="80"/>
        <v/>
      </c>
      <c r="H373" s="205" t="str">
        <f t="shared" si="80"/>
        <v/>
      </c>
      <c r="I373" s="205" t="str">
        <f t="shared" si="80"/>
        <v/>
      </c>
      <c r="J373" s="205" t="str">
        <f t="shared" si="80"/>
        <v/>
      </c>
      <c r="K373" s="205" t="str">
        <f t="shared" si="80"/>
        <v/>
      </c>
      <c r="L373" s="205" t="str">
        <f t="shared" ref="L373:Y382" si="81">IF(ISNONTEXT(L$2),IF(L$2="","",IF(INDEX(IMPORT,$A373,L$2)=0,"",IFERROR(VLOOKUP(INDEX(IMPORT,$A373,L$2),ImportTranslation,2,0),INDEX(IMPORT,$A373,L$2)))),L$2)</f>
        <v>info</v>
      </c>
      <c r="M373" s="205" t="str">
        <f t="shared" si="81"/>
        <v>x</v>
      </c>
      <c r="N373" s="205" t="str">
        <f t="shared" si="81"/>
        <v/>
      </c>
      <c r="O373" s="205" t="str">
        <f t="shared" si="81"/>
        <v>model</v>
      </c>
      <c r="P373" s="206" t="str">
        <f t="shared" si="81"/>
        <v>Integer</v>
      </c>
      <c r="Q373" s="206" t="str">
        <f t="shared" si="81"/>
        <v>x</v>
      </c>
      <c r="R373" s="206" t="str">
        <f t="shared" si="81"/>
        <v>BS</v>
      </c>
      <c r="S373" s="206" t="str">
        <f t="shared" si="81"/>
        <v>all</v>
      </c>
      <c r="T373" s="205">
        <f t="shared" si="81"/>
        <v>1</v>
      </c>
      <c r="U373" s="205" t="str">
        <f t="shared" si="81"/>
        <v>Schicht Nummer</v>
      </c>
      <c r="V373" s="205" t="str">
        <f t="shared" si="81"/>
        <v>x</v>
      </c>
      <c r="W373" s="205" t="str">
        <f t="shared" si="81"/>
        <v/>
      </c>
      <c r="X373" s="205" t="str">
        <f t="shared" si="81"/>
        <v/>
      </c>
      <c r="Y373" s="205" t="str">
        <f t="shared" si="81"/>
        <v>iCustomCCEditSkin</v>
      </c>
    </row>
    <row r="374" spans="1:25">
      <c r="A374" s="204">
        <f t="shared" si="69"/>
        <v>372</v>
      </c>
      <c r="B374" s="205" t="str">
        <f t="shared" si="80"/>
        <v>x</v>
      </c>
      <c r="C374" s="205" t="str">
        <f t="shared" si="80"/>
        <v/>
      </c>
      <c r="D374" s="205" t="str">
        <f t="shared" si="80"/>
        <v/>
      </c>
      <c r="E374" s="205" t="str">
        <f t="shared" si="80"/>
        <v/>
      </c>
      <c r="F374" s="205" t="str">
        <f t="shared" si="80"/>
        <v/>
      </c>
      <c r="G374" s="205" t="str">
        <f t="shared" si="80"/>
        <v/>
      </c>
      <c r="H374" s="205" t="str">
        <f t="shared" si="80"/>
        <v/>
      </c>
      <c r="I374" s="205" t="str">
        <f t="shared" si="80"/>
        <v/>
      </c>
      <c r="J374" s="205" t="str">
        <f t="shared" si="80"/>
        <v/>
      </c>
      <c r="K374" s="205" t="str">
        <f t="shared" si="80"/>
        <v/>
      </c>
      <c r="L374" s="205" t="str">
        <f t="shared" si="81"/>
        <v>info</v>
      </c>
      <c r="M374" s="205" t="str">
        <f t="shared" si="81"/>
        <v>x</v>
      </c>
      <c r="N374" s="205" t="str">
        <f t="shared" si="81"/>
        <v/>
      </c>
      <c r="O374" s="205" t="str">
        <f t="shared" si="81"/>
        <v>model</v>
      </c>
      <c r="P374" s="206" t="str">
        <f t="shared" si="81"/>
        <v>Boolean</v>
      </c>
      <c r="Q374" s="206" t="str">
        <f t="shared" si="81"/>
        <v>x</v>
      </c>
      <c r="R374" s="206" t="str">
        <f t="shared" si="81"/>
        <v>BS</v>
      </c>
      <c r="S374" s="206" t="str">
        <f t="shared" si="81"/>
        <v>all</v>
      </c>
      <c r="T374" s="205" t="str">
        <f t="shared" si="81"/>
        <v/>
      </c>
      <c r="U374" s="205" t="str">
        <f t="shared" si="81"/>
        <v>Schicht einziehen</v>
      </c>
      <c r="V374" s="205" t="str">
        <f t="shared" si="81"/>
        <v>x</v>
      </c>
      <c r="W374" s="205" t="str">
        <f t="shared" si="81"/>
        <v/>
      </c>
      <c r="X374" s="205" t="str">
        <f t="shared" si="81"/>
        <v/>
      </c>
      <c r="Y374" s="205" t="str">
        <f t="shared" si="81"/>
        <v>gs_custom_cc_turn_in</v>
      </c>
    </row>
    <row r="375" spans="1:25">
      <c r="A375" s="204">
        <f t="shared" si="69"/>
        <v>373</v>
      </c>
      <c r="B375" s="205" t="str">
        <f t="shared" si="80"/>
        <v>x</v>
      </c>
      <c r="C375" s="205" t="str">
        <f t="shared" si="80"/>
        <v/>
      </c>
      <c r="D375" s="205" t="str">
        <f t="shared" si="80"/>
        <v/>
      </c>
      <c r="E375" s="205" t="str">
        <f t="shared" si="80"/>
        <v/>
      </c>
      <c r="F375" s="205" t="str">
        <f t="shared" si="80"/>
        <v/>
      </c>
      <c r="G375" s="205" t="str">
        <f t="shared" si="80"/>
        <v/>
      </c>
      <c r="H375" s="205" t="str">
        <f t="shared" si="80"/>
        <v/>
      </c>
      <c r="I375" s="205" t="str">
        <f t="shared" si="80"/>
        <v/>
      </c>
      <c r="J375" s="205" t="str">
        <f t="shared" si="80"/>
        <v/>
      </c>
      <c r="K375" s="205" t="str">
        <f t="shared" si="80"/>
        <v/>
      </c>
      <c r="L375" s="205" t="str">
        <f t="shared" si="81"/>
        <v>info</v>
      </c>
      <c r="M375" s="205" t="str">
        <f t="shared" si="81"/>
        <v>x</v>
      </c>
      <c r="N375" s="205" t="str">
        <f t="shared" si="81"/>
        <v/>
      </c>
      <c r="O375" s="205" t="str">
        <f t="shared" si="81"/>
        <v>model</v>
      </c>
      <c r="P375" s="206" t="str">
        <f t="shared" si="81"/>
        <v>Boolean</v>
      </c>
      <c r="Q375" s="206" t="str">
        <f t="shared" si="81"/>
        <v>x</v>
      </c>
      <c r="R375" s="206" t="str">
        <f t="shared" si="81"/>
        <v>BS</v>
      </c>
      <c r="S375" s="206" t="str">
        <f t="shared" si="81"/>
        <v>all</v>
      </c>
      <c r="T375" s="205" t="str">
        <f t="shared" si="81"/>
        <v/>
      </c>
      <c r="U375" s="205" t="str">
        <f t="shared" si="81"/>
        <v>Schicht als Putz ansehen</v>
      </c>
      <c r="V375" s="205" t="str">
        <f t="shared" si="81"/>
        <v>x</v>
      </c>
      <c r="W375" s="205" t="str">
        <f t="shared" si="81"/>
        <v/>
      </c>
      <c r="X375" s="205" t="str">
        <f t="shared" si="81"/>
        <v/>
      </c>
      <c r="Y375" s="205" t="str">
        <f t="shared" si="81"/>
        <v>gs_custom_cc_plaster</v>
      </c>
    </row>
    <row r="376" spans="1:25">
      <c r="A376" s="204">
        <f t="shared" si="69"/>
        <v>374</v>
      </c>
      <c r="B376" s="205" t="str">
        <f t="shared" si="80"/>
        <v>x</v>
      </c>
      <c r="C376" s="205" t="str">
        <f t="shared" si="80"/>
        <v/>
      </c>
      <c r="D376" s="205" t="str">
        <f t="shared" si="80"/>
        <v/>
      </c>
      <c r="E376" s="205" t="str">
        <f t="shared" si="80"/>
        <v/>
      </c>
      <c r="F376" s="205" t="str">
        <f t="shared" si="80"/>
        <v/>
      </c>
      <c r="G376" s="205" t="str">
        <f t="shared" si="80"/>
        <v/>
      </c>
      <c r="H376" s="205" t="str">
        <f t="shared" si="80"/>
        <v/>
      </c>
      <c r="I376" s="205" t="str">
        <f t="shared" si="80"/>
        <v/>
      </c>
      <c r="J376" s="205" t="str">
        <f t="shared" si="80"/>
        <v/>
      </c>
      <c r="K376" s="205" t="str">
        <f t="shared" si="80"/>
        <v/>
      </c>
      <c r="L376" s="205" t="str">
        <f t="shared" si="81"/>
        <v>info</v>
      </c>
      <c r="M376" s="205" t="str">
        <f t="shared" si="81"/>
        <v>x</v>
      </c>
      <c r="N376" s="205" t="str">
        <f t="shared" si="81"/>
        <v/>
      </c>
      <c r="O376" s="205" t="str">
        <f t="shared" si="81"/>
        <v>model</v>
      </c>
      <c r="P376" s="206" t="str">
        <f t="shared" si="81"/>
        <v>Integer</v>
      </c>
      <c r="Q376" s="206" t="str">
        <f t="shared" si="81"/>
        <v>x</v>
      </c>
      <c r="R376" s="206" t="str">
        <f t="shared" si="81"/>
        <v>BS</v>
      </c>
      <c r="S376" s="206" t="str">
        <f t="shared" si="81"/>
        <v>all</v>
      </c>
      <c r="T376" s="205">
        <f t="shared" si="81"/>
        <v>1</v>
      </c>
      <c r="U376" s="205" t="str">
        <f t="shared" si="81"/>
        <v>Einzugsdicke</v>
      </c>
      <c r="V376" s="205" t="str">
        <f t="shared" si="81"/>
        <v>x</v>
      </c>
      <c r="W376" s="205" t="str">
        <f t="shared" si="81"/>
        <v/>
      </c>
      <c r="X376" s="205" t="str">
        <f t="shared" si="81"/>
        <v/>
      </c>
      <c r="Y376" s="205" t="str">
        <f t="shared" si="81"/>
        <v>iCustomCCThicknessType</v>
      </c>
    </row>
    <row r="377" spans="1:25">
      <c r="A377" s="204">
        <f t="shared" si="69"/>
        <v>375</v>
      </c>
      <c r="B377" s="205" t="str">
        <f t="shared" si="80"/>
        <v>x</v>
      </c>
      <c r="C377" s="205" t="str">
        <f t="shared" si="80"/>
        <v/>
      </c>
      <c r="D377" s="205" t="str">
        <f t="shared" si="80"/>
        <v/>
      </c>
      <c r="E377" s="205" t="str">
        <f t="shared" si="80"/>
        <v/>
      </c>
      <c r="F377" s="205" t="str">
        <f t="shared" si="80"/>
        <v/>
      </c>
      <c r="G377" s="205" t="str">
        <f t="shared" si="80"/>
        <v/>
      </c>
      <c r="H377" s="205" t="str">
        <f t="shared" si="80"/>
        <v/>
      </c>
      <c r="I377" s="205" t="str">
        <f t="shared" si="80"/>
        <v/>
      </c>
      <c r="J377" s="205" t="str">
        <f t="shared" si="80"/>
        <v/>
      </c>
      <c r="K377" s="205" t="str">
        <f t="shared" si="80"/>
        <v/>
      </c>
      <c r="L377" s="205" t="str">
        <f t="shared" si="81"/>
        <v>info</v>
      </c>
      <c r="M377" s="205" t="str">
        <f t="shared" si="81"/>
        <v>x</v>
      </c>
      <c r="N377" s="205" t="str">
        <f t="shared" si="81"/>
        <v/>
      </c>
      <c r="O377" s="205" t="str">
        <f t="shared" si="81"/>
        <v>model</v>
      </c>
      <c r="P377" s="206" t="str">
        <f t="shared" si="81"/>
        <v>Length</v>
      </c>
      <c r="Q377" s="206" t="str">
        <f t="shared" si="81"/>
        <v>x</v>
      </c>
      <c r="R377" s="206" t="str">
        <f t="shared" si="81"/>
        <v>BS</v>
      </c>
      <c r="S377" s="206" t="str">
        <f t="shared" si="81"/>
        <v>all</v>
      </c>
      <c r="T377" s="205">
        <f t="shared" si="81"/>
        <v>1.4999999999999999E-2</v>
      </c>
      <c r="U377" s="205" t="str">
        <f t="shared" si="81"/>
        <v>Eigene Dicke</v>
      </c>
      <c r="V377" s="205" t="str">
        <f t="shared" si="81"/>
        <v>x</v>
      </c>
      <c r="W377" s="205" t="str">
        <f t="shared" si="81"/>
        <v/>
      </c>
      <c r="X377" s="205" t="str">
        <f t="shared" si="81"/>
        <v/>
      </c>
      <c r="Y377" s="205" t="str">
        <f t="shared" si="81"/>
        <v>gs_custom_cc_thickness</v>
      </c>
    </row>
    <row r="378" spans="1:25">
      <c r="A378" s="204">
        <f t="shared" si="69"/>
        <v>376</v>
      </c>
      <c r="B378" s="205" t="str">
        <f t="shared" si="80"/>
        <v>x</v>
      </c>
      <c r="C378" s="205" t="str">
        <f t="shared" si="80"/>
        <v/>
      </c>
      <c r="D378" s="205" t="str">
        <f t="shared" si="80"/>
        <v/>
      </c>
      <c r="E378" s="205" t="str">
        <f t="shared" si="80"/>
        <v/>
      </c>
      <c r="F378" s="205" t="str">
        <f t="shared" si="80"/>
        <v/>
      </c>
      <c r="G378" s="205" t="str">
        <f t="shared" si="80"/>
        <v/>
      </c>
      <c r="H378" s="205" t="str">
        <f t="shared" si="80"/>
        <v/>
      </c>
      <c r="I378" s="205" t="str">
        <f t="shared" si="80"/>
        <v/>
      </c>
      <c r="J378" s="205" t="str">
        <f t="shared" si="80"/>
        <v/>
      </c>
      <c r="K378" s="205" t="str">
        <f t="shared" si="80"/>
        <v/>
      </c>
      <c r="L378" s="205" t="str">
        <f t="shared" si="81"/>
        <v>info</v>
      </c>
      <c r="M378" s="205" t="str">
        <f t="shared" si="81"/>
        <v>x</v>
      </c>
      <c r="N378" s="205" t="str">
        <f t="shared" si="81"/>
        <v/>
      </c>
      <c r="O378" s="205" t="str">
        <f t="shared" si="81"/>
        <v>model</v>
      </c>
      <c r="P378" s="206" t="str">
        <f t="shared" si="81"/>
        <v>Integer</v>
      </c>
      <c r="Q378" s="206" t="str">
        <f t="shared" si="81"/>
        <v>x</v>
      </c>
      <c r="R378" s="206" t="str">
        <f t="shared" si="81"/>
        <v>BS</v>
      </c>
      <c r="S378" s="206" t="str">
        <f t="shared" si="81"/>
        <v>all</v>
      </c>
      <c r="T378" s="205">
        <f t="shared" si="81"/>
        <v>1</v>
      </c>
      <c r="U378" s="205" t="str">
        <f t="shared" si="81"/>
        <v>Ausrichtung Schraffur</v>
      </c>
      <c r="V378" s="205" t="str">
        <f t="shared" si="81"/>
        <v>x</v>
      </c>
      <c r="W378" s="205" t="str">
        <f t="shared" si="81"/>
        <v/>
      </c>
      <c r="X378" s="205" t="str">
        <f t="shared" si="81"/>
        <v/>
      </c>
      <c r="Y378" s="205" t="str">
        <f t="shared" si="81"/>
        <v>iCustomCCOrientation</v>
      </c>
    </row>
    <row r="379" spans="1:25">
      <c r="A379" s="204">
        <f t="shared" si="69"/>
        <v>377</v>
      </c>
      <c r="B379" s="205" t="str">
        <f t="shared" si="80"/>
        <v>x</v>
      </c>
      <c r="C379" s="205" t="str">
        <f t="shared" si="80"/>
        <v/>
      </c>
      <c r="D379" s="205" t="str">
        <f t="shared" si="80"/>
        <v/>
      </c>
      <c r="E379" s="205" t="str">
        <f t="shared" si="80"/>
        <v/>
      </c>
      <c r="F379" s="205" t="str">
        <f t="shared" si="80"/>
        <v/>
      </c>
      <c r="G379" s="205" t="str">
        <f t="shared" si="80"/>
        <v/>
      </c>
      <c r="H379" s="205" t="str">
        <f t="shared" si="80"/>
        <v/>
      </c>
      <c r="I379" s="205" t="str">
        <f t="shared" si="80"/>
        <v/>
      </c>
      <c r="J379" s="205" t="str">
        <f t="shared" si="80"/>
        <v/>
      </c>
      <c r="K379" s="205" t="str">
        <f t="shared" si="80"/>
        <v/>
      </c>
      <c r="L379" s="205" t="str">
        <f t="shared" si="81"/>
        <v>info</v>
      </c>
      <c r="M379" s="205" t="str">
        <f t="shared" si="81"/>
        <v>x</v>
      </c>
      <c r="N379" s="205" t="str">
        <f t="shared" si="81"/>
        <v/>
      </c>
      <c r="O379" s="205" t="str">
        <f t="shared" si="81"/>
        <v>model</v>
      </c>
      <c r="P379" s="206" t="str">
        <f t="shared" si="81"/>
        <v>Boolean</v>
      </c>
      <c r="Q379" s="206" t="str">
        <f t="shared" si="81"/>
        <v>x</v>
      </c>
      <c r="R379" s="206" t="str">
        <f t="shared" si="81"/>
        <v>BS</v>
      </c>
      <c r="S379" s="206" t="str">
        <f t="shared" si="81"/>
        <v>all</v>
      </c>
      <c r="T379" s="205" t="str">
        <f t="shared" si="81"/>
        <v/>
      </c>
      <c r="U379" s="205" t="str">
        <f t="shared" si="81"/>
        <v>Trennlinie am Einzug</v>
      </c>
      <c r="V379" s="205" t="str">
        <f t="shared" si="81"/>
        <v>x</v>
      </c>
      <c r="W379" s="205" t="str">
        <f t="shared" si="81"/>
        <v/>
      </c>
      <c r="X379" s="205" t="str">
        <f t="shared" si="81"/>
        <v/>
      </c>
      <c r="Y379" s="205" t="str">
        <f t="shared" si="81"/>
        <v>gs_custom_cc_separator</v>
      </c>
    </row>
    <row r="380" spans="1:25">
      <c r="A380" s="204">
        <f t="shared" si="69"/>
        <v>378</v>
      </c>
      <c r="B380" s="205" t="str">
        <f t="shared" si="80"/>
        <v>x</v>
      </c>
      <c r="C380" s="205" t="str">
        <f t="shared" si="80"/>
        <v/>
      </c>
      <c r="D380" s="205" t="str">
        <f t="shared" si="80"/>
        <v/>
      </c>
      <c r="E380" s="205" t="str">
        <f t="shared" si="80"/>
        <v/>
      </c>
      <c r="F380" s="205" t="str">
        <f t="shared" si="80"/>
        <v/>
      </c>
      <c r="G380" s="205" t="str">
        <f t="shared" si="80"/>
        <v/>
      </c>
      <c r="H380" s="205" t="str">
        <f t="shared" si="80"/>
        <v/>
      </c>
      <c r="I380" s="205" t="str">
        <f t="shared" si="80"/>
        <v/>
      </c>
      <c r="J380" s="205" t="str">
        <f t="shared" si="80"/>
        <v/>
      </c>
      <c r="K380" s="205" t="str">
        <f t="shared" si="80"/>
        <v/>
      </c>
      <c r="L380" s="205" t="str">
        <f t="shared" si="81"/>
        <v>info</v>
      </c>
      <c r="M380" s="205" t="str">
        <f t="shared" si="81"/>
        <v>x</v>
      </c>
      <c r="N380" s="205" t="str">
        <f t="shared" si="81"/>
        <v/>
      </c>
      <c r="O380" s="205" t="str">
        <f t="shared" si="81"/>
        <v>model</v>
      </c>
      <c r="P380" s="206" t="str">
        <f t="shared" si="81"/>
        <v>PenColor</v>
      </c>
      <c r="Q380" s="206" t="str">
        <f t="shared" si="81"/>
        <v>x</v>
      </c>
      <c r="R380" s="206" t="str">
        <f t="shared" si="81"/>
        <v>BS</v>
      </c>
      <c r="S380" s="206" t="str">
        <f t="shared" si="81"/>
        <v>all</v>
      </c>
      <c r="T380" s="205">
        <f t="shared" si="81"/>
        <v>1</v>
      </c>
      <c r="U380" s="205" t="str">
        <f t="shared" si="81"/>
        <v>Stift Trennlinie</v>
      </c>
      <c r="V380" s="205" t="str">
        <f t="shared" si="81"/>
        <v>x</v>
      </c>
      <c r="W380" s="205" t="str">
        <f t="shared" si="81"/>
        <v/>
      </c>
      <c r="X380" s="205" t="str">
        <f t="shared" si="81"/>
        <v/>
      </c>
      <c r="Y380" s="205" t="str">
        <f t="shared" si="81"/>
        <v>gs_custom_cc_separator_pen</v>
      </c>
    </row>
    <row r="381" spans="1:25">
      <c r="A381" s="204">
        <f t="shared" si="69"/>
        <v>379</v>
      </c>
      <c r="B381" s="205" t="str">
        <f t="shared" si="80"/>
        <v>x</v>
      </c>
      <c r="C381" s="205" t="str">
        <f t="shared" si="80"/>
        <v/>
      </c>
      <c r="D381" s="205" t="str">
        <f t="shared" si="80"/>
        <v/>
      </c>
      <c r="E381" s="205" t="str">
        <f t="shared" si="80"/>
        <v/>
      </c>
      <c r="F381" s="205" t="str">
        <f t="shared" si="80"/>
        <v/>
      </c>
      <c r="G381" s="205" t="str">
        <f t="shared" si="80"/>
        <v/>
      </c>
      <c r="H381" s="205" t="str">
        <f t="shared" si="80"/>
        <v/>
      </c>
      <c r="I381" s="205" t="str">
        <f t="shared" si="80"/>
        <v/>
      </c>
      <c r="J381" s="205" t="str">
        <f t="shared" si="80"/>
        <v/>
      </c>
      <c r="K381" s="205" t="str">
        <f t="shared" si="80"/>
        <v/>
      </c>
      <c r="L381" s="205" t="str">
        <f t="shared" si="81"/>
        <v>info</v>
      </c>
      <c r="M381" s="205" t="str">
        <f t="shared" si="81"/>
        <v>x</v>
      </c>
      <c r="N381" s="205" t="str">
        <f t="shared" si="81"/>
        <v/>
      </c>
      <c r="O381" s="205" t="str">
        <f t="shared" si="81"/>
        <v>model</v>
      </c>
      <c r="P381" s="206" t="str">
        <f t="shared" si="81"/>
        <v>Length</v>
      </c>
      <c r="Q381" s="206" t="str">
        <f t="shared" si="81"/>
        <v>x</v>
      </c>
      <c r="R381" s="206" t="str">
        <f t="shared" si="81"/>
        <v>BS</v>
      </c>
      <c r="S381" s="206" t="str">
        <f t="shared" si="81"/>
        <v>all</v>
      </c>
      <c r="T381" s="205" t="str">
        <f t="shared" si="81"/>
        <v/>
      </c>
      <c r="U381" s="205" t="str">
        <f t="shared" si="81"/>
        <v>Tiefe Schicht-Rahmen Überlappung</v>
      </c>
      <c r="V381" s="205" t="str">
        <f t="shared" si="81"/>
        <v>x</v>
      </c>
      <c r="W381" s="205" t="str">
        <f t="shared" si="81"/>
        <v/>
      </c>
      <c r="X381" s="205" t="str">
        <f t="shared" si="81"/>
        <v/>
      </c>
      <c r="Y381" s="205" t="str">
        <f t="shared" si="81"/>
        <v>gs_custom_cc_overhang</v>
      </c>
    </row>
    <row r="382" spans="1:25">
      <c r="A382" s="204">
        <f t="shared" si="69"/>
        <v>380</v>
      </c>
      <c r="B382" s="205" t="str">
        <f t="shared" si="80"/>
        <v>x</v>
      </c>
      <c r="C382" s="205" t="str">
        <f t="shared" si="80"/>
        <v>x</v>
      </c>
      <c r="D382" s="205" t="str">
        <f t="shared" si="80"/>
        <v/>
      </c>
      <c r="E382" s="205" t="str">
        <f t="shared" si="80"/>
        <v/>
      </c>
      <c r="F382" s="205" t="str">
        <f t="shared" si="80"/>
        <v/>
      </c>
      <c r="G382" s="205" t="str">
        <f t="shared" si="80"/>
        <v/>
      </c>
      <c r="H382" s="205" t="str">
        <f t="shared" si="80"/>
        <v/>
      </c>
      <c r="I382" s="205" t="str">
        <f t="shared" si="80"/>
        <v/>
      </c>
      <c r="J382" s="205" t="str">
        <f t="shared" si="80"/>
        <v/>
      </c>
      <c r="K382" s="205" t="str">
        <f t="shared" si="80"/>
        <v/>
      </c>
      <c r="L382" s="205" t="str">
        <f t="shared" si="81"/>
        <v>info</v>
      </c>
      <c r="M382" s="205" t="str">
        <f t="shared" si="81"/>
        <v>x</v>
      </c>
      <c r="N382" s="205" t="str">
        <f t="shared" si="81"/>
        <v/>
      </c>
      <c r="O382" s="205" t="str">
        <f t="shared" si="81"/>
        <v>model</v>
      </c>
      <c r="P382" s="206" t="str">
        <f t="shared" si="81"/>
        <v>Boolean</v>
      </c>
      <c r="Q382" s="206" t="str">
        <f t="shared" si="81"/>
        <v>x</v>
      </c>
      <c r="R382" s="206" t="str">
        <f t="shared" si="81"/>
        <v>BS</v>
      </c>
      <c r="S382" s="206" t="str">
        <f t="shared" si="81"/>
        <v>all</v>
      </c>
      <c r="T382" s="205" t="str">
        <f t="shared" si="81"/>
        <v/>
      </c>
      <c r="U382" s="205" t="str">
        <f t="shared" si="81"/>
        <v>Letzte ausgewählte Seite</v>
      </c>
      <c r="V382" s="205" t="str">
        <f t="shared" si="81"/>
        <v>x</v>
      </c>
      <c r="W382" s="205" t="str">
        <f t="shared" si="81"/>
        <v/>
      </c>
      <c r="X382" s="205" t="str">
        <f t="shared" si="81"/>
        <v/>
      </c>
      <c r="Y382" s="205" t="str">
        <f t="shared" si="81"/>
        <v>gs_custom_cc_last_sel_side</v>
      </c>
    </row>
    <row r="383" spans="1:25">
      <c r="A383" s="204">
        <f t="shared" si="69"/>
        <v>381</v>
      </c>
      <c r="B383" s="205" t="str">
        <f t="shared" ref="B383:K392" si="82">IF(ISNONTEXT(B$2),IF(B$2="","",IF(INDEX(IMPORT,$A383,B$2)=0,"",IFERROR(VLOOKUP(INDEX(IMPORT,$A383,B$2),ImportTranslation,2,0),INDEX(IMPORT,$A383,B$2)))),B$2)</f>
        <v>x</v>
      </c>
      <c r="C383" s="205" t="str">
        <f t="shared" si="82"/>
        <v>x</v>
      </c>
      <c r="D383" s="205" t="str">
        <f t="shared" si="82"/>
        <v/>
      </c>
      <c r="E383" s="205" t="str">
        <f t="shared" si="82"/>
        <v/>
      </c>
      <c r="F383" s="205" t="str">
        <f t="shared" si="82"/>
        <v/>
      </c>
      <c r="G383" s="205" t="str">
        <f t="shared" si="82"/>
        <v/>
      </c>
      <c r="H383" s="205" t="str">
        <f t="shared" si="82"/>
        <v/>
      </c>
      <c r="I383" s="205" t="str">
        <f t="shared" si="82"/>
        <v/>
      </c>
      <c r="J383" s="205" t="str">
        <f t="shared" si="82"/>
        <v/>
      </c>
      <c r="K383" s="205" t="str">
        <f t="shared" si="82"/>
        <v/>
      </c>
      <c r="L383" s="205" t="str">
        <f t="shared" ref="L383:Y392" si="83">IF(ISNONTEXT(L$2),IF(L$2="","",IF(INDEX(IMPORT,$A383,L$2)=0,"",IFERROR(VLOOKUP(INDEX(IMPORT,$A383,L$2),ImportTranslation,2,0),INDEX(IMPORT,$A383,L$2)))),L$2)</f>
        <v>info</v>
      </c>
      <c r="M383" s="205" t="str">
        <f t="shared" si="83"/>
        <v>x</v>
      </c>
      <c r="N383" s="205" t="str">
        <f t="shared" si="83"/>
        <v/>
      </c>
      <c r="O383" s="205" t="str">
        <f t="shared" si="83"/>
        <v>model</v>
      </c>
      <c r="P383" s="206" t="str">
        <f t="shared" si="83"/>
        <v>Boolean</v>
      </c>
      <c r="Q383" s="206" t="str">
        <f t="shared" si="83"/>
        <v>x</v>
      </c>
      <c r="R383" s="206" t="str">
        <f t="shared" si="83"/>
        <v>BS</v>
      </c>
      <c r="S383" s="206" t="str">
        <f t="shared" si="83"/>
        <v>all</v>
      </c>
      <c r="T383" s="205" t="str">
        <f t="shared" si="83"/>
        <v/>
      </c>
      <c r="U383" s="205" t="str">
        <f t="shared" si="83"/>
        <v>Abschlussart automatisch verändert</v>
      </c>
      <c r="V383" s="205" t="str">
        <f t="shared" si="83"/>
        <v>x</v>
      </c>
      <c r="W383" s="205" t="str">
        <f t="shared" si="83"/>
        <v/>
      </c>
      <c r="X383" s="205" t="str">
        <f t="shared" si="83"/>
        <v/>
      </c>
      <c r="Y383" s="205" t="str">
        <f t="shared" si="83"/>
        <v>gs_closure_auto_changed</v>
      </c>
    </row>
    <row r="384" spans="1:25">
      <c r="A384" s="204">
        <f t="shared" si="69"/>
        <v>382</v>
      </c>
      <c r="B384" s="205" t="str">
        <f t="shared" si="82"/>
        <v>x</v>
      </c>
      <c r="C384" s="205" t="str">
        <f t="shared" si="82"/>
        <v/>
      </c>
      <c r="D384" s="205" t="str">
        <f t="shared" si="82"/>
        <v/>
      </c>
      <c r="E384" s="205" t="str">
        <f t="shared" si="82"/>
        <v/>
      </c>
      <c r="F384" s="205" t="str">
        <f t="shared" si="82"/>
        <v/>
      </c>
      <c r="G384" s="205" t="str">
        <f t="shared" si="82"/>
        <v/>
      </c>
      <c r="H384" s="205" t="str">
        <f t="shared" si="82"/>
        <v/>
      </c>
      <c r="I384" s="205" t="str">
        <f t="shared" si="82"/>
        <v/>
      </c>
      <c r="J384" s="205" t="str">
        <f t="shared" si="82"/>
        <v/>
      </c>
      <c r="K384" s="205" t="str">
        <f t="shared" si="82"/>
        <v/>
      </c>
      <c r="L384" s="205" t="str">
        <f t="shared" si="83"/>
        <v>info</v>
      </c>
      <c r="M384" s="205" t="str">
        <f t="shared" si="83"/>
        <v/>
      </c>
      <c r="N384" s="205" t="str">
        <f t="shared" si="83"/>
        <v/>
      </c>
      <c r="O384" s="205" t="str">
        <f t="shared" si="83"/>
        <v>model</v>
      </c>
      <c r="P384" s="206" t="str">
        <f t="shared" si="83"/>
        <v>Title</v>
      </c>
      <c r="Q384" s="206" t="str">
        <f t="shared" si="83"/>
        <v>x</v>
      </c>
      <c r="R384" s="206" t="str">
        <f t="shared" si="83"/>
        <v>BS</v>
      </c>
      <c r="S384" s="206" t="str">
        <f t="shared" si="83"/>
        <v>all</v>
      </c>
      <c r="T384" s="205" t="str">
        <f t="shared" si="83"/>
        <v/>
      </c>
      <c r="U384" s="205" t="str">
        <f t="shared" si="83"/>
        <v>Reihung</v>
      </c>
      <c r="V384" s="205" t="str">
        <f t="shared" si="83"/>
        <v/>
      </c>
      <c r="W384" s="205" t="str">
        <f t="shared" si="83"/>
        <v/>
      </c>
      <c r="X384" s="205" t="str">
        <f t="shared" si="83"/>
        <v/>
      </c>
      <c r="Y384" s="205" t="str">
        <f t="shared" si="83"/>
        <v>gs_door_stack</v>
      </c>
    </row>
    <row r="385" spans="1:25">
      <c r="A385" s="204">
        <f t="shared" si="69"/>
        <v>383</v>
      </c>
      <c r="B385" s="205" t="str">
        <f t="shared" si="82"/>
        <v>x</v>
      </c>
      <c r="C385" s="205" t="str">
        <f t="shared" si="82"/>
        <v/>
      </c>
      <c r="D385" s="205" t="str">
        <f t="shared" si="82"/>
        <v/>
      </c>
      <c r="E385" s="205" t="str">
        <f t="shared" si="82"/>
        <v/>
      </c>
      <c r="F385" s="205" t="str">
        <f t="shared" si="82"/>
        <v/>
      </c>
      <c r="G385" s="205" t="str">
        <f t="shared" si="82"/>
        <v/>
      </c>
      <c r="H385" s="205" t="str">
        <f t="shared" si="82"/>
        <v/>
      </c>
      <c r="I385" s="205" t="str">
        <f t="shared" si="82"/>
        <v/>
      </c>
      <c r="J385" s="205" t="str">
        <f t="shared" si="82"/>
        <v/>
      </c>
      <c r="K385" s="205" t="str">
        <f t="shared" si="82"/>
        <v/>
      </c>
      <c r="L385" s="205" t="str">
        <f t="shared" si="83"/>
        <v>info</v>
      </c>
      <c r="M385" s="205" t="str">
        <f t="shared" si="83"/>
        <v>x</v>
      </c>
      <c r="N385" s="205" t="str">
        <f t="shared" si="83"/>
        <v/>
      </c>
      <c r="O385" s="205" t="str">
        <f t="shared" si="83"/>
        <v>model</v>
      </c>
      <c r="P385" s="206" t="str">
        <f t="shared" si="83"/>
        <v>Boolean</v>
      </c>
      <c r="Q385" s="206" t="str">
        <f t="shared" si="83"/>
        <v>x</v>
      </c>
      <c r="R385" s="206" t="str">
        <f t="shared" si="83"/>
        <v>BS</v>
      </c>
      <c r="S385" s="206" t="str">
        <f t="shared" si="83"/>
        <v>all</v>
      </c>
      <c r="T385" s="205" t="str">
        <f t="shared" si="83"/>
        <v/>
      </c>
      <c r="U385" s="205" t="str">
        <f t="shared" si="83"/>
        <v>Anschluss Links</v>
      </c>
      <c r="V385" s="205" t="str">
        <f t="shared" si="83"/>
        <v>x</v>
      </c>
      <c r="W385" s="205" t="str">
        <f t="shared" si="83"/>
        <v/>
      </c>
      <c r="X385" s="205" t="str">
        <f t="shared" si="83"/>
        <v/>
      </c>
      <c r="Y385" s="205" t="str">
        <f t="shared" si="83"/>
        <v>gs_stack_left</v>
      </c>
    </row>
    <row r="386" spans="1:25">
      <c r="A386" s="204">
        <f t="shared" si="69"/>
        <v>384</v>
      </c>
      <c r="B386" s="205" t="str">
        <f t="shared" si="82"/>
        <v>x</v>
      </c>
      <c r="C386" s="205" t="str">
        <f t="shared" si="82"/>
        <v/>
      </c>
      <c r="D386" s="205" t="str">
        <f t="shared" si="82"/>
        <v/>
      </c>
      <c r="E386" s="205" t="str">
        <f t="shared" si="82"/>
        <v/>
      </c>
      <c r="F386" s="205" t="str">
        <f t="shared" si="82"/>
        <v/>
      </c>
      <c r="G386" s="205" t="str">
        <f t="shared" si="82"/>
        <v/>
      </c>
      <c r="H386" s="205" t="str">
        <f t="shared" si="82"/>
        <v/>
      </c>
      <c r="I386" s="205" t="str">
        <f t="shared" si="82"/>
        <v/>
      </c>
      <c r="J386" s="205" t="str">
        <f t="shared" si="82"/>
        <v/>
      </c>
      <c r="K386" s="205" t="str">
        <f t="shared" si="82"/>
        <v/>
      </c>
      <c r="L386" s="205" t="str">
        <f t="shared" si="83"/>
        <v>info</v>
      </c>
      <c r="M386" s="205" t="str">
        <f t="shared" si="83"/>
        <v>x</v>
      </c>
      <c r="N386" s="205" t="str">
        <f t="shared" si="83"/>
        <v/>
      </c>
      <c r="O386" s="205" t="str">
        <f t="shared" si="83"/>
        <v>model</v>
      </c>
      <c r="P386" s="206" t="str">
        <f t="shared" si="83"/>
        <v>Boolean</v>
      </c>
      <c r="Q386" s="206" t="str">
        <f t="shared" si="83"/>
        <v>x</v>
      </c>
      <c r="R386" s="206" t="str">
        <f t="shared" si="83"/>
        <v>BS</v>
      </c>
      <c r="S386" s="206" t="str">
        <f t="shared" si="83"/>
        <v>all</v>
      </c>
      <c r="T386" s="205" t="str">
        <f t="shared" si="83"/>
        <v/>
      </c>
      <c r="U386" s="205" t="str">
        <f t="shared" si="83"/>
        <v>Anschluss Rechts</v>
      </c>
      <c r="V386" s="205" t="str">
        <f t="shared" si="83"/>
        <v>x</v>
      </c>
      <c r="W386" s="205" t="str">
        <f t="shared" si="83"/>
        <v/>
      </c>
      <c r="X386" s="205" t="str">
        <f t="shared" si="83"/>
        <v/>
      </c>
      <c r="Y386" s="205" t="str">
        <f t="shared" si="83"/>
        <v>gs_stack_right</v>
      </c>
    </row>
    <row r="387" spans="1:25">
      <c r="A387" s="204">
        <f t="shared" ref="A387:A450" si="84">ROW()-ROW($A$2)</f>
        <v>385</v>
      </c>
      <c r="B387" s="205" t="str">
        <f t="shared" si="82"/>
        <v>x</v>
      </c>
      <c r="C387" s="205" t="str">
        <f t="shared" si="82"/>
        <v/>
      </c>
      <c r="D387" s="205" t="str">
        <f t="shared" si="82"/>
        <v/>
      </c>
      <c r="E387" s="205" t="str">
        <f t="shared" si="82"/>
        <v/>
      </c>
      <c r="F387" s="205" t="str">
        <f t="shared" si="82"/>
        <v/>
      </c>
      <c r="G387" s="205" t="str">
        <f t="shared" si="82"/>
        <v/>
      </c>
      <c r="H387" s="205" t="str">
        <f t="shared" si="82"/>
        <v/>
      </c>
      <c r="I387" s="205" t="str">
        <f t="shared" si="82"/>
        <v/>
      </c>
      <c r="J387" s="205" t="str">
        <f t="shared" si="82"/>
        <v/>
      </c>
      <c r="K387" s="205" t="str">
        <f t="shared" si="82"/>
        <v/>
      </c>
      <c r="L387" s="205" t="str">
        <f t="shared" si="83"/>
        <v>info</v>
      </c>
      <c r="M387" s="205" t="str">
        <f t="shared" si="83"/>
        <v>x</v>
      </c>
      <c r="N387" s="205" t="str">
        <f t="shared" si="83"/>
        <v/>
      </c>
      <c r="O387" s="205" t="str">
        <f t="shared" si="83"/>
        <v>model</v>
      </c>
      <c r="P387" s="206" t="str">
        <f t="shared" si="83"/>
        <v>Boolean</v>
      </c>
      <c r="Q387" s="206" t="str">
        <f t="shared" si="83"/>
        <v>x</v>
      </c>
      <c r="R387" s="206" t="str">
        <f t="shared" si="83"/>
        <v>BS</v>
      </c>
      <c r="S387" s="206" t="str">
        <f t="shared" si="83"/>
        <v>all</v>
      </c>
      <c r="T387" s="205" t="str">
        <f t="shared" si="83"/>
        <v/>
      </c>
      <c r="U387" s="205" t="str">
        <f t="shared" si="83"/>
        <v>Anschluss Oben</v>
      </c>
      <c r="V387" s="205" t="str">
        <f t="shared" si="83"/>
        <v>x</v>
      </c>
      <c r="W387" s="205" t="str">
        <f t="shared" si="83"/>
        <v/>
      </c>
      <c r="X387" s="205" t="str">
        <f t="shared" si="83"/>
        <v/>
      </c>
      <c r="Y387" s="205" t="str">
        <f t="shared" si="83"/>
        <v>gs_stack_top</v>
      </c>
    </row>
    <row r="388" spans="1:25">
      <c r="A388" s="204">
        <f t="shared" si="84"/>
        <v>386</v>
      </c>
      <c r="B388" s="205" t="str">
        <f t="shared" si="82"/>
        <v>x</v>
      </c>
      <c r="C388" s="205" t="str">
        <f t="shared" si="82"/>
        <v/>
      </c>
      <c r="D388" s="205" t="str">
        <f t="shared" si="82"/>
        <v/>
      </c>
      <c r="E388" s="205" t="str">
        <f t="shared" si="82"/>
        <v/>
      </c>
      <c r="F388" s="205" t="str">
        <f t="shared" si="82"/>
        <v/>
      </c>
      <c r="G388" s="205" t="str">
        <f t="shared" si="82"/>
        <v/>
      </c>
      <c r="H388" s="205" t="str">
        <f t="shared" si="82"/>
        <v/>
      </c>
      <c r="I388" s="205" t="str">
        <f t="shared" si="82"/>
        <v/>
      </c>
      <c r="J388" s="205" t="str">
        <f t="shared" si="82"/>
        <v/>
      </c>
      <c r="K388" s="205" t="str">
        <f t="shared" si="82"/>
        <v/>
      </c>
      <c r="L388" s="205" t="str">
        <f t="shared" si="83"/>
        <v>info</v>
      </c>
      <c r="M388" s="205" t="str">
        <f t="shared" si="83"/>
        <v/>
      </c>
      <c r="N388" s="205" t="str">
        <f t="shared" si="83"/>
        <v/>
      </c>
      <c r="O388" s="205" t="str">
        <f t="shared" si="83"/>
        <v>model</v>
      </c>
      <c r="P388" s="206" t="str">
        <f t="shared" si="83"/>
        <v>Title</v>
      </c>
      <c r="Q388" s="206" t="str">
        <f t="shared" si="83"/>
        <v>x</v>
      </c>
      <c r="R388" s="206" t="str">
        <f t="shared" si="83"/>
        <v>BS</v>
      </c>
      <c r="S388" s="206" t="str">
        <f t="shared" si="83"/>
        <v>all</v>
      </c>
      <c r="T388" s="205" t="str">
        <f t="shared" si="83"/>
        <v/>
      </c>
      <c r="U388" s="205" t="str">
        <f t="shared" si="83"/>
        <v>Stifte</v>
      </c>
      <c r="V388" s="205" t="str">
        <f t="shared" si="83"/>
        <v/>
      </c>
      <c r="W388" s="205" t="str">
        <f t="shared" si="83"/>
        <v/>
      </c>
      <c r="X388" s="205" t="str">
        <f t="shared" si="83"/>
        <v/>
      </c>
      <c r="Y388" s="205" t="str">
        <f t="shared" si="83"/>
        <v>gs_pen_settings</v>
      </c>
    </row>
    <row r="389" spans="1:25">
      <c r="A389" s="204">
        <f t="shared" si="84"/>
        <v>387</v>
      </c>
      <c r="B389" s="205" t="str">
        <f t="shared" si="82"/>
        <v>x</v>
      </c>
      <c r="C389" s="205" t="str">
        <f t="shared" si="82"/>
        <v/>
      </c>
      <c r="D389" s="205" t="str">
        <f t="shared" si="82"/>
        <v/>
      </c>
      <c r="E389" s="205" t="str">
        <f t="shared" si="82"/>
        <v/>
      </c>
      <c r="F389" s="205" t="str">
        <f t="shared" si="82"/>
        <v/>
      </c>
      <c r="G389" s="205" t="str">
        <f t="shared" si="82"/>
        <v/>
      </c>
      <c r="H389" s="205" t="str">
        <f t="shared" si="82"/>
        <v/>
      </c>
      <c r="I389" s="205" t="str">
        <f t="shared" si="82"/>
        <v/>
      </c>
      <c r="J389" s="205" t="str">
        <f t="shared" si="82"/>
        <v/>
      </c>
      <c r="K389" s="205" t="str">
        <f t="shared" si="82"/>
        <v/>
      </c>
      <c r="L389" s="205" t="str">
        <f t="shared" si="83"/>
        <v>info</v>
      </c>
      <c r="M389" s="205" t="str">
        <f t="shared" si="83"/>
        <v>x</v>
      </c>
      <c r="N389" s="205" t="str">
        <f t="shared" si="83"/>
        <v/>
      </c>
      <c r="O389" s="205" t="str">
        <f t="shared" si="83"/>
        <v>model</v>
      </c>
      <c r="P389" s="206" t="str">
        <f t="shared" si="83"/>
        <v>PenColor</v>
      </c>
      <c r="Q389" s="206" t="str">
        <f t="shared" si="83"/>
        <v>x</v>
      </c>
      <c r="R389" s="206" t="str">
        <f t="shared" si="83"/>
        <v>BS</v>
      </c>
      <c r="S389" s="206" t="str">
        <f t="shared" si="83"/>
        <v>all</v>
      </c>
      <c r="T389" s="205">
        <f t="shared" si="83"/>
        <v>2</v>
      </c>
      <c r="U389" s="205" t="str">
        <f t="shared" si="83"/>
        <v>Rahmen-Aufsicht-Stift</v>
      </c>
      <c r="V389" s="205" t="str">
        <f t="shared" si="83"/>
        <v>x</v>
      </c>
      <c r="W389" s="205" t="str">
        <f t="shared" si="83"/>
        <v/>
      </c>
      <c r="X389" s="205" t="str">
        <f t="shared" si="83"/>
        <v/>
      </c>
      <c r="Y389" s="205" t="str">
        <f t="shared" si="83"/>
        <v>gs_pen_2D</v>
      </c>
    </row>
    <row r="390" spans="1:25">
      <c r="A390" s="204">
        <f t="shared" si="84"/>
        <v>388</v>
      </c>
      <c r="B390" s="205" t="str">
        <f t="shared" si="82"/>
        <v>x</v>
      </c>
      <c r="C390" s="205" t="str">
        <f t="shared" si="82"/>
        <v/>
      </c>
      <c r="D390" s="205" t="str">
        <f t="shared" si="82"/>
        <v/>
      </c>
      <c r="E390" s="205" t="str">
        <f t="shared" si="82"/>
        <v/>
      </c>
      <c r="F390" s="205" t="str">
        <f t="shared" si="82"/>
        <v/>
      </c>
      <c r="G390" s="205" t="str">
        <f t="shared" si="82"/>
        <v/>
      </c>
      <c r="H390" s="205" t="str">
        <f t="shared" si="82"/>
        <v/>
      </c>
      <c r="I390" s="205" t="str">
        <f t="shared" si="82"/>
        <v/>
      </c>
      <c r="J390" s="205" t="str">
        <f t="shared" si="82"/>
        <v/>
      </c>
      <c r="K390" s="205" t="str">
        <f t="shared" si="82"/>
        <v/>
      </c>
      <c r="L390" s="205" t="str">
        <f t="shared" si="83"/>
        <v>info</v>
      </c>
      <c r="M390" s="205" t="str">
        <f t="shared" si="83"/>
        <v>x</v>
      </c>
      <c r="N390" s="205" t="str">
        <f t="shared" si="83"/>
        <v/>
      </c>
      <c r="O390" s="205" t="str">
        <f t="shared" si="83"/>
        <v>model</v>
      </c>
      <c r="P390" s="206" t="str">
        <f t="shared" si="83"/>
        <v>PenColor</v>
      </c>
      <c r="Q390" s="206" t="str">
        <f t="shared" si="83"/>
        <v>x</v>
      </c>
      <c r="R390" s="206" t="str">
        <f t="shared" si="83"/>
        <v>BS</v>
      </c>
      <c r="S390" s="206" t="str">
        <f t="shared" si="83"/>
        <v>all</v>
      </c>
      <c r="T390" s="205">
        <f t="shared" si="83"/>
        <v>2</v>
      </c>
      <c r="U390" s="205" t="str">
        <f t="shared" si="83"/>
        <v>Rahmen-Stift</v>
      </c>
      <c r="V390" s="205" t="str">
        <f t="shared" si="83"/>
        <v>x</v>
      </c>
      <c r="W390" s="205" t="str">
        <f t="shared" si="83"/>
        <v/>
      </c>
      <c r="X390" s="205" t="str">
        <f t="shared" si="83"/>
        <v/>
      </c>
      <c r="Y390" s="205" t="str">
        <f t="shared" si="83"/>
        <v>gs_frame_pen</v>
      </c>
    </row>
    <row r="391" spans="1:25">
      <c r="A391" s="204">
        <f t="shared" si="84"/>
        <v>389</v>
      </c>
      <c r="B391" s="205" t="str">
        <f t="shared" si="82"/>
        <v/>
      </c>
      <c r="C391" s="205" t="str">
        <f t="shared" si="82"/>
        <v/>
      </c>
      <c r="D391" s="205" t="str">
        <f t="shared" si="82"/>
        <v/>
      </c>
      <c r="E391" s="205" t="str">
        <f t="shared" si="82"/>
        <v/>
      </c>
      <c r="F391" s="205" t="str">
        <f t="shared" si="82"/>
        <v/>
      </c>
      <c r="G391" s="205" t="str">
        <f t="shared" si="82"/>
        <v/>
      </c>
      <c r="H391" s="205" t="str">
        <f t="shared" si="82"/>
        <v/>
      </c>
      <c r="I391" s="205" t="str">
        <f t="shared" si="82"/>
        <v/>
      </c>
      <c r="J391" s="205" t="str">
        <f t="shared" si="82"/>
        <v/>
      </c>
      <c r="K391" s="205" t="str">
        <f t="shared" si="82"/>
        <v/>
      </c>
      <c r="L391" s="205" t="str">
        <f t="shared" si="83"/>
        <v>info</v>
      </c>
      <c r="M391" s="205" t="str">
        <f t="shared" si="83"/>
        <v>x</v>
      </c>
      <c r="N391" s="205" t="str">
        <f t="shared" si="83"/>
        <v/>
      </c>
      <c r="O391" s="205" t="str">
        <f t="shared" si="83"/>
        <v>model</v>
      </c>
      <c r="P391" s="206" t="str">
        <f t="shared" si="83"/>
        <v>FillPattern</v>
      </c>
      <c r="Q391" s="206" t="str">
        <f t="shared" si="83"/>
        <v>x</v>
      </c>
      <c r="R391" s="206" t="str">
        <f t="shared" si="83"/>
        <v>BS</v>
      </c>
      <c r="S391" s="206" t="str">
        <f t="shared" si="83"/>
        <v>all</v>
      </c>
      <c r="T391" s="205">
        <f t="shared" si="83"/>
        <v>65</v>
      </c>
      <c r="U391" s="205" t="str">
        <f t="shared" si="83"/>
        <v>Rahmen-Schnittschraffur-Typ</v>
      </c>
      <c r="V391" s="205" t="str">
        <f t="shared" si="83"/>
        <v>x</v>
      </c>
      <c r="W391" s="205" t="str">
        <f t="shared" si="83"/>
        <v/>
      </c>
      <c r="X391" s="205" t="str">
        <f t="shared" si="83"/>
        <v/>
      </c>
      <c r="Y391" s="205" t="str">
        <f t="shared" si="83"/>
        <v>gs_fillFr</v>
      </c>
    </row>
    <row r="392" spans="1:25">
      <c r="A392" s="204">
        <f t="shared" si="84"/>
        <v>390</v>
      </c>
      <c r="B392" s="205" t="str">
        <f t="shared" si="82"/>
        <v/>
      </c>
      <c r="C392" s="205" t="str">
        <f t="shared" si="82"/>
        <v/>
      </c>
      <c r="D392" s="205" t="str">
        <f t="shared" si="82"/>
        <v/>
      </c>
      <c r="E392" s="205" t="str">
        <f t="shared" si="82"/>
        <v/>
      </c>
      <c r="F392" s="205" t="str">
        <f t="shared" si="82"/>
        <v/>
      </c>
      <c r="G392" s="205" t="str">
        <f t="shared" si="82"/>
        <v/>
      </c>
      <c r="H392" s="205" t="str">
        <f t="shared" si="82"/>
        <v/>
      </c>
      <c r="I392" s="205" t="str">
        <f t="shared" si="82"/>
        <v/>
      </c>
      <c r="J392" s="205" t="str">
        <f t="shared" si="82"/>
        <v/>
      </c>
      <c r="K392" s="205" t="str">
        <f t="shared" si="82"/>
        <v/>
      </c>
      <c r="L392" s="205" t="str">
        <f t="shared" si="83"/>
        <v>info</v>
      </c>
      <c r="M392" s="205" t="str">
        <f t="shared" si="83"/>
        <v>x</v>
      </c>
      <c r="N392" s="205" t="str">
        <f t="shared" si="83"/>
        <v/>
      </c>
      <c r="O392" s="205" t="str">
        <f t="shared" si="83"/>
        <v>model</v>
      </c>
      <c r="P392" s="206" t="str">
        <f t="shared" si="83"/>
        <v>PenColor</v>
      </c>
      <c r="Q392" s="206" t="str">
        <f t="shared" si="83"/>
        <v>x</v>
      </c>
      <c r="R392" s="206" t="str">
        <f t="shared" si="83"/>
        <v>BS</v>
      </c>
      <c r="S392" s="206" t="str">
        <f t="shared" si="83"/>
        <v>all</v>
      </c>
      <c r="T392" s="205">
        <f t="shared" si="83"/>
        <v>19</v>
      </c>
      <c r="U392" s="205" t="str">
        <f t="shared" si="83"/>
        <v>Rahmen-Schnittschraffur-Stift</v>
      </c>
      <c r="V392" s="205" t="str">
        <f t="shared" si="83"/>
        <v>x</v>
      </c>
      <c r="W392" s="205" t="str">
        <f t="shared" si="83"/>
        <v/>
      </c>
      <c r="X392" s="205" t="str">
        <f t="shared" si="83"/>
        <v/>
      </c>
      <c r="Y392" s="205" t="str">
        <f t="shared" si="83"/>
        <v>gs_penFr_fg</v>
      </c>
    </row>
    <row r="393" spans="1:25">
      <c r="A393" s="204">
        <f t="shared" si="84"/>
        <v>391</v>
      </c>
      <c r="B393" s="205" t="str">
        <f t="shared" ref="B393:K402" si="85">IF(ISNONTEXT(B$2),IF(B$2="","",IF(INDEX(IMPORT,$A393,B$2)=0,"",IFERROR(VLOOKUP(INDEX(IMPORT,$A393,B$2),ImportTranslation,2,0),INDEX(IMPORT,$A393,B$2)))),B$2)</f>
        <v/>
      </c>
      <c r="C393" s="205" t="str">
        <f t="shared" si="85"/>
        <v/>
      </c>
      <c r="D393" s="205" t="str">
        <f t="shared" si="85"/>
        <v/>
      </c>
      <c r="E393" s="205" t="str">
        <f t="shared" si="85"/>
        <v/>
      </c>
      <c r="F393" s="205" t="str">
        <f t="shared" si="85"/>
        <v/>
      </c>
      <c r="G393" s="205" t="str">
        <f t="shared" si="85"/>
        <v/>
      </c>
      <c r="H393" s="205" t="str">
        <f t="shared" si="85"/>
        <v/>
      </c>
      <c r="I393" s="205" t="str">
        <f t="shared" si="85"/>
        <v/>
      </c>
      <c r="J393" s="205" t="str">
        <f t="shared" si="85"/>
        <v/>
      </c>
      <c r="K393" s="205" t="str">
        <f t="shared" si="85"/>
        <v/>
      </c>
      <c r="L393" s="205" t="str">
        <f t="shared" ref="L393:Y402" si="86">IF(ISNONTEXT(L$2),IF(L$2="","",IF(INDEX(IMPORT,$A393,L$2)=0,"",IFERROR(VLOOKUP(INDEX(IMPORT,$A393,L$2),ImportTranslation,2,0),INDEX(IMPORT,$A393,L$2)))),L$2)</f>
        <v>info</v>
      </c>
      <c r="M393" s="205" t="str">
        <f t="shared" si="86"/>
        <v>x</v>
      </c>
      <c r="N393" s="205" t="str">
        <f t="shared" si="86"/>
        <v/>
      </c>
      <c r="O393" s="205" t="str">
        <f t="shared" si="86"/>
        <v>model</v>
      </c>
      <c r="P393" s="206" t="str">
        <f t="shared" si="86"/>
        <v>PenColor</v>
      </c>
      <c r="Q393" s="206" t="str">
        <f t="shared" si="86"/>
        <v>x</v>
      </c>
      <c r="R393" s="206" t="str">
        <f t="shared" si="86"/>
        <v>BS</v>
      </c>
      <c r="S393" s="206" t="str">
        <f t="shared" si="86"/>
        <v>all</v>
      </c>
      <c r="T393" s="205">
        <f t="shared" si="86"/>
        <v>19</v>
      </c>
      <c r="U393" s="205" t="str">
        <f t="shared" si="86"/>
        <v>Rahmen-Schnittschraffurhintergrund-Stift</v>
      </c>
      <c r="V393" s="205" t="str">
        <f t="shared" si="86"/>
        <v>x</v>
      </c>
      <c r="W393" s="205" t="str">
        <f t="shared" si="86"/>
        <v/>
      </c>
      <c r="X393" s="205" t="str">
        <f t="shared" si="86"/>
        <v/>
      </c>
      <c r="Y393" s="205" t="str">
        <f t="shared" si="86"/>
        <v>gs_penFr_bg</v>
      </c>
    </row>
    <row r="394" spans="1:25">
      <c r="A394" s="204">
        <f t="shared" si="84"/>
        <v>392</v>
      </c>
      <c r="B394" s="205" t="str">
        <f t="shared" si="85"/>
        <v>x</v>
      </c>
      <c r="C394" s="205" t="str">
        <f t="shared" si="85"/>
        <v/>
      </c>
      <c r="D394" s="205" t="str">
        <f t="shared" si="85"/>
        <v/>
      </c>
      <c r="E394" s="205" t="str">
        <f t="shared" si="85"/>
        <v/>
      </c>
      <c r="F394" s="205" t="str">
        <f t="shared" si="85"/>
        <v/>
      </c>
      <c r="G394" s="205" t="str">
        <f t="shared" si="85"/>
        <v/>
      </c>
      <c r="H394" s="205" t="str">
        <f t="shared" si="85"/>
        <v/>
      </c>
      <c r="I394" s="205" t="str">
        <f t="shared" si="85"/>
        <v/>
      </c>
      <c r="J394" s="205" t="str">
        <f t="shared" si="85"/>
        <v/>
      </c>
      <c r="K394" s="205" t="str">
        <f t="shared" si="85"/>
        <v/>
      </c>
      <c r="L394" s="205" t="str">
        <f t="shared" si="86"/>
        <v>info</v>
      </c>
      <c r="M394" s="205" t="str">
        <f t="shared" si="86"/>
        <v>x</v>
      </c>
      <c r="N394" s="205" t="str">
        <f t="shared" si="86"/>
        <v/>
      </c>
      <c r="O394" s="205" t="str">
        <f t="shared" si="86"/>
        <v>model</v>
      </c>
      <c r="P394" s="206" t="str">
        <f t="shared" si="86"/>
        <v>PenColor</v>
      </c>
      <c r="Q394" s="206" t="str">
        <f t="shared" si="86"/>
        <v>x</v>
      </c>
      <c r="R394" s="206" t="str">
        <f t="shared" si="86"/>
        <v>BS</v>
      </c>
      <c r="S394" s="206" t="str">
        <f t="shared" si="86"/>
        <v>all</v>
      </c>
      <c r="T394" s="205">
        <f t="shared" si="86"/>
        <v>2</v>
      </c>
      <c r="U394" s="205" t="str">
        <f t="shared" si="86"/>
        <v>Türblatt-Stift</v>
      </c>
      <c r="V394" s="205" t="str">
        <f t="shared" si="86"/>
        <v>x</v>
      </c>
      <c r="W394" s="205" t="str">
        <f t="shared" si="86"/>
        <v/>
      </c>
      <c r="X394" s="205" t="str">
        <f t="shared" si="86"/>
        <v/>
      </c>
      <c r="Y394" s="205" t="str">
        <f t="shared" si="86"/>
        <v>gs_leaf_pen</v>
      </c>
    </row>
    <row r="395" spans="1:25">
      <c r="A395" s="204">
        <f t="shared" si="84"/>
        <v>393</v>
      </c>
      <c r="B395" s="205" t="str">
        <f t="shared" si="85"/>
        <v/>
      </c>
      <c r="C395" s="205" t="str">
        <f t="shared" si="85"/>
        <v/>
      </c>
      <c r="D395" s="205" t="str">
        <f t="shared" si="85"/>
        <v/>
      </c>
      <c r="E395" s="205" t="str">
        <f t="shared" si="85"/>
        <v/>
      </c>
      <c r="F395" s="205" t="str">
        <f t="shared" si="85"/>
        <v/>
      </c>
      <c r="G395" s="205" t="str">
        <f t="shared" si="85"/>
        <v/>
      </c>
      <c r="H395" s="205" t="str">
        <f t="shared" si="85"/>
        <v/>
      </c>
      <c r="I395" s="205" t="str">
        <f t="shared" si="85"/>
        <v/>
      </c>
      <c r="J395" s="205" t="str">
        <f t="shared" si="85"/>
        <v/>
      </c>
      <c r="K395" s="205" t="str">
        <f t="shared" si="85"/>
        <v/>
      </c>
      <c r="L395" s="205" t="str">
        <f t="shared" si="86"/>
        <v>info</v>
      </c>
      <c r="M395" s="205" t="str">
        <f t="shared" si="86"/>
        <v>x</v>
      </c>
      <c r="N395" s="205" t="str">
        <f t="shared" si="86"/>
        <v/>
      </c>
      <c r="O395" s="205" t="str">
        <f t="shared" si="86"/>
        <v>model</v>
      </c>
      <c r="P395" s="206" t="str">
        <f t="shared" si="86"/>
        <v>FillPattern</v>
      </c>
      <c r="Q395" s="206" t="str">
        <f t="shared" si="86"/>
        <v>x</v>
      </c>
      <c r="R395" s="206" t="str">
        <f t="shared" si="86"/>
        <v>BS</v>
      </c>
      <c r="S395" s="206" t="str">
        <f t="shared" si="86"/>
        <v>all</v>
      </c>
      <c r="T395" s="205">
        <f t="shared" si="86"/>
        <v>16</v>
      </c>
      <c r="U395" s="205" t="str">
        <f t="shared" si="86"/>
        <v>Schraffurtyp geschnitten Türblatt</v>
      </c>
      <c r="V395" s="205" t="str">
        <f t="shared" si="86"/>
        <v>x</v>
      </c>
      <c r="W395" s="205" t="str">
        <f t="shared" si="86"/>
        <v/>
      </c>
      <c r="X395" s="205" t="str">
        <f t="shared" si="86"/>
        <v/>
      </c>
      <c r="Y395" s="205" t="str">
        <f t="shared" si="86"/>
        <v>gs_fillLeaf</v>
      </c>
    </row>
    <row r="396" spans="1:25">
      <c r="A396" s="204">
        <f t="shared" si="84"/>
        <v>394</v>
      </c>
      <c r="B396" s="205" t="str">
        <f t="shared" si="85"/>
        <v/>
      </c>
      <c r="C396" s="205" t="str">
        <f t="shared" si="85"/>
        <v/>
      </c>
      <c r="D396" s="205" t="str">
        <f t="shared" si="85"/>
        <v/>
      </c>
      <c r="E396" s="205" t="str">
        <f t="shared" si="85"/>
        <v/>
      </c>
      <c r="F396" s="205" t="str">
        <f t="shared" si="85"/>
        <v/>
      </c>
      <c r="G396" s="205" t="str">
        <f t="shared" si="85"/>
        <v/>
      </c>
      <c r="H396" s="205" t="str">
        <f t="shared" si="85"/>
        <v/>
      </c>
      <c r="I396" s="205" t="str">
        <f t="shared" si="85"/>
        <v/>
      </c>
      <c r="J396" s="205" t="str">
        <f t="shared" si="85"/>
        <v/>
      </c>
      <c r="K396" s="205" t="str">
        <f t="shared" si="85"/>
        <v/>
      </c>
      <c r="L396" s="205" t="str">
        <f t="shared" si="86"/>
        <v>info</v>
      </c>
      <c r="M396" s="205" t="str">
        <f t="shared" si="86"/>
        <v>x</v>
      </c>
      <c r="N396" s="205" t="str">
        <f t="shared" si="86"/>
        <v/>
      </c>
      <c r="O396" s="205" t="str">
        <f t="shared" si="86"/>
        <v>model</v>
      </c>
      <c r="P396" s="206" t="str">
        <f t="shared" si="86"/>
        <v>PenColor</v>
      </c>
      <c r="Q396" s="206" t="str">
        <f t="shared" si="86"/>
        <v>x</v>
      </c>
      <c r="R396" s="206" t="str">
        <f t="shared" si="86"/>
        <v>BS</v>
      </c>
      <c r="S396" s="206" t="str">
        <f t="shared" si="86"/>
        <v>all</v>
      </c>
      <c r="T396" s="205">
        <f t="shared" si="86"/>
        <v>19</v>
      </c>
      <c r="U396" s="205" t="str">
        <f t="shared" si="86"/>
        <v>Schraffur-Stift geschnitten Türblatt</v>
      </c>
      <c r="V396" s="205" t="str">
        <f t="shared" si="86"/>
        <v>x</v>
      </c>
      <c r="W396" s="205" t="str">
        <f t="shared" si="86"/>
        <v/>
      </c>
      <c r="X396" s="205" t="str">
        <f t="shared" si="86"/>
        <v/>
      </c>
      <c r="Y396" s="205" t="str">
        <f t="shared" si="86"/>
        <v>gs_penLeaf_fg</v>
      </c>
    </row>
    <row r="397" spans="1:25">
      <c r="A397" s="204">
        <f t="shared" si="84"/>
        <v>395</v>
      </c>
      <c r="B397" s="205" t="str">
        <f t="shared" si="85"/>
        <v/>
      </c>
      <c r="C397" s="205" t="str">
        <f t="shared" si="85"/>
        <v/>
      </c>
      <c r="D397" s="205" t="str">
        <f t="shared" si="85"/>
        <v/>
      </c>
      <c r="E397" s="205" t="str">
        <f t="shared" si="85"/>
        <v/>
      </c>
      <c r="F397" s="205" t="str">
        <f t="shared" si="85"/>
        <v/>
      </c>
      <c r="G397" s="205" t="str">
        <f t="shared" si="85"/>
        <v/>
      </c>
      <c r="H397" s="205" t="str">
        <f t="shared" si="85"/>
        <v/>
      </c>
      <c r="I397" s="205" t="str">
        <f t="shared" si="85"/>
        <v/>
      </c>
      <c r="J397" s="205" t="str">
        <f t="shared" si="85"/>
        <v/>
      </c>
      <c r="K397" s="205" t="str">
        <f t="shared" si="85"/>
        <v/>
      </c>
      <c r="L397" s="205" t="str">
        <f t="shared" si="86"/>
        <v>info</v>
      </c>
      <c r="M397" s="205" t="str">
        <f t="shared" si="86"/>
        <v>x</v>
      </c>
      <c r="N397" s="205" t="str">
        <f t="shared" si="86"/>
        <v/>
      </c>
      <c r="O397" s="205" t="str">
        <f t="shared" si="86"/>
        <v>model</v>
      </c>
      <c r="P397" s="206" t="str">
        <f t="shared" si="86"/>
        <v>PenColor</v>
      </c>
      <c r="Q397" s="206" t="str">
        <f t="shared" si="86"/>
        <v>x</v>
      </c>
      <c r="R397" s="206" t="str">
        <f t="shared" si="86"/>
        <v>BS</v>
      </c>
      <c r="S397" s="206" t="str">
        <f t="shared" si="86"/>
        <v>all</v>
      </c>
      <c r="T397" s="205">
        <f t="shared" si="86"/>
        <v>19</v>
      </c>
      <c r="U397" s="205" t="str">
        <f t="shared" si="86"/>
        <v>Schraffurhintergrund-Stift geschnitten Türblatt</v>
      </c>
      <c r="V397" s="205" t="str">
        <f t="shared" si="86"/>
        <v>x</v>
      </c>
      <c r="W397" s="205" t="str">
        <f t="shared" si="86"/>
        <v/>
      </c>
      <c r="X397" s="205" t="str">
        <f t="shared" si="86"/>
        <v/>
      </c>
      <c r="Y397" s="205" t="str">
        <f t="shared" si="86"/>
        <v>gs_penLeaf_bg</v>
      </c>
    </row>
    <row r="398" spans="1:25">
      <c r="A398" s="204">
        <f t="shared" si="84"/>
        <v>396</v>
      </c>
      <c r="B398" s="205" t="str">
        <f t="shared" si="85"/>
        <v/>
      </c>
      <c r="C398" s="205" t="str">
        <f t="shared" si="85"/>
        <v/>
      </c>
      <c r="D398" s="205" t="str">
        <f t="shared" si="85"/>
        <v/>
      </c>
      <c r="E398" s="205" t="str">
        <f t="shared" si="85"/>
        <v/>
      </c>
      <c r="F398" s="205" t="str">
        <f t="shared" si="85"/>
        <v/>
      </c>
      <c r="G398" s="205" t="str">
        <f t="shared" si="85"/>
        <v/>
      </c>
      <c r="H398" s="205" t="str">
        <f t="shared" si="85"/>
        <v/>
      </c>
      <c r="I398" s="205" t="str">
        <f t="shared" si="85"/>
        <v/>
      </c>
      <c r="J398" s="205" t="str">
        <f t="shared" si="85"/>
        <v/>
      </c>
      <c r="K398" s="205" t="str">
        <f t="shared" si="85"/>
        <v/>
      </c>
      <c r="L398" s="205" t="str">
        <f t="shared" si="86"/>
        <v>info</v>
      </c>
      <c r="M398" s="205" t="str">
        <f t="shared" si="86"/>
        <v>x</v>
      </c>
      <c r="N398" s="205" t="str">
        <f t="shared" si="86"/>
        <v/>
      </c>
      <c r="O398" s="205" t="str">
        <f t="shared" si="86"/>
        <v>model</v>
      </c>
      <c r="P398" s="206" t="str">
        <f t="shared" si="86"/>
        <v>PenColor</v>
      </c>
      <c r="Q398" s="206" t="str">
        <f t="shared" si="86"/>
        <v>x</v>
      </c>
      <c r="R398" s="206" t="str">
        <f t="shared" si="86"/>
        <v>BS</v>
      </c>
      <c r="S398" s="206" t="str">
        <f t="shared" si="86"/>
        <v>all</v>
      </c>
      <c r="T398" s="205">
        <f t="shared" si="86"/>
        <v>2</v>
      </c>
      <c r="U398" s="205" t="str">
        <f t="shared" si="86"/>
        <v>Glas Linienstift Kontur</v>
      </c>
      <c r="V398" s="205" t="str">
        <f t="shared" si="86"/>
        <v>x</v>
      </c>
      <c r="W398" s="205" t="str">
        <f t="shared" si="86"/>
        <v/>
      </c>
      <c r="X398" s="205" t="str">
        <f t="shared" si="86"/>
        <v/>
      </c>
      <c r="Y398" s="205" t="str">
        <f t="shared" si="86"/>
        <v>gs_glass_pen</v>
      </c>
    </row>
    <row r="399" spans="1:25">
      <c r="A399" s="204">
        <f t="shared" si="84"/>
        <v>397</v>
      </c>
      <c r="B399" s="205" t="str">
        <f t="shared" si="85"/>
        <v/>
      </c>
      <c r="C399" s="205" t="str">
        <f t="shared" si="85"/>
        <v>x</v>
      </c>
      <c r="D399" s="205" t="str">
        <f t="shared" si="85"/>
        <v/>
      </c>
      <c r="E399" s="205" t="str">
        <f t="shared" si="85"/>
        <v/>
      </c>
      <c r="F399" s="205" t="str">
        <f t="shared" si="85"/>
        <v/>
      </c>
      <c r="G399" s="205" t="str">
        <f t="shared" si="85"/>
        <v/>
      </c>
      <c r="H399" s="205" t="str">
        <f t="shared" si="85"/>
        <v/>
      </c>
      <c r="I399" s="205" t="str">
        <f t="shared" si="85"/>
        <v/>
      </c>
      <c r="J399" s="205" t="str">
        <f t="shared" si="85"/>
        <v/>
      </c>
      <c r="K399" s="205" t="str">
        <f t="shared" si="85"/>
        <v/>
      </c>
      <c r="L399" s="205" t="str">
        <f t="shared" si="86"/>
        <v>info</v>
      </c>
      <c r="M399" s="205" t="str">
        <f t="shared" si="86"/>
        <v>x</v>
      </c>
      <c r="N399" s="205" t="str">
        <f t="shared" si="86"/>
        <v/>
      </c>
      <c r="O399" s="205" t="str">
        <f t="shared" si="86"/>
        <v>model</v>
      </c>
      <c r="P399" s="206" t="str">
        <f t="shared" si="86"/>
        <v>FillPattern</v>
      </c>
      <c r="Q399" s="206" t="str">
        <f t="shared" si="86"/>
        <v>x</v>
      </c>
      <c r="R399" s="206" t="str">
        <f t="shared" si="86"/>
        <v>BS</v>
      </c>
      <c r="S399" s="206" t="str">
        <f t="shared" si="86"/>
        <v>all</v>
      </c>
      <c r="T399" s="205">
        <f t="shared" si="86"/>
        <v>65</v>
      </c>
      <c r="U399" s="205" t="str">
        <f t="shared" si="86"/>
        <v>Schraffurtyp Glas</v>
      </c>
      <c r="V399" s="205" t="str">
        <f t="shared" si="86"/>
        <v>x</v>
      </c>
      <c r="W399" s="205" t="str">
        <f t="shared" si="86"/>
        <v/>
      </c>
      <c r="X399" s="205" t="str">
        <f t="shared" si="86"/>
        <v/>
      </c>
      <c r="Y399" s="205" t="str">
        <f t="shared" si="86"/>
        <v>gs_fillGlass</v>
      </c>
    </row>
    <row r="400" spans="1:25">
      <c r="A400" s="204">
        <f t="shared" si="84"/>
        <v>398</v>
      </c>
      <c r="B400" s="205" t="str">
        <f t="shared" si="85"/>
        <v/>
      </c>
      <c r="C400" s="205" t="str">
        <f t="shared" si="85"/>
        <v>x</v>
      </c>
      <c r="D400" s="205" t="str">
        <f t="shared" si="85"/>
        <v/>
      </c>
      <c r="E400" s="205" t="str">
        <f t="shared" si="85"/>
        <v/>
      </c>
      <c r="F400" s="205" t="str">
        <f t="shared" si="85"/>
        <v/>
      </c>
      <c r="G400" s="205" t="str">
        <f t="shared" si="85"/>
        <v/>
      </c>
      <c r="H400" s="205" t="str">
        <f t="shared" si="85"/>
        <v/>
      </c>
      <c r="I400" s="205" t="str">
        <f t="shared" si="85"/>
        <v/>
      </c>
      <c r="J400" s="205" t="str">
        <f t="shared" si="85"/>
        <v/>
      </c>
      <c r="K400" s="205" t="str">
        <f t="shared" si="85"/>
        <v/>
      </c>
      <c r="L400" s="205" t="str">
        <f t="shared" si="86"/>
        <v>info</v>
      </c>
      <c r="M400" s="205" t="str">
        <f t="shared" si="86"/>
        <v>x</v>
      </c>
      <c r="N400" s="205" t="str">
        <f t="shared" si="86"/>
        <v/>
      </c>
      <c r="O400" s="205" t="str">
        <f t="shared" si="86"/>
        <v>model</v>
      </c>
      <c r="P400" s="206" t="str">
        <f t="shared" si="86"/>
        <v>PenColor</v>
      </c>
      <c r="Q400" s="206" t="str">
        <f t="shared" si="86"/>
        <v>x</v>
      </c>
      <c r="R400" s="206" t="str">
        <f t="shared" si="86"/>
        <v>BS</v>
      </c>
      <c r="S400" s="206" t="str">
        <f t="shared" si="86"/>
        <v>all</v>
      </c>
      <c r="T400" s="205">
        <f t="shared" si="86"/>
        <v>19</v>
      </c>
      <c r="U400" s="205" t="str">
        <f t="shared" si="86"/>
        <v>Schraffurstift Glas</v>
      </c>
      <c r="V400" s="205" t="str">
        <f t="shared" si="86"/>
        <v>x</v>
      </c>
      <c r="W400" s="205" t="str">
        <f t="shared" si="86"/>
        <v/>
      </c>
      <c r="X400" s="205" t="str">
        <f t="shared" si="86"/>
        <v/>
      </c>
      <c r="Y400" s="205" t="str">
        <f t="shared" si="86"/>
        <v>gs_penGlass_fg</v>
      </c>
    </row>
    <row r="401" spans="1:25">
      <c r="A401" s="204">
        <f t="shared" si="84"/>
        <v>399</v>
      </c>
      <c r="B401" s="205" t="str">
        <f t="shared" si="85"/>
        <v/>
      </c>
      <c r="C401" s="205" t="str">
        <f t="shared" si="85"/>
        <v>x</v>
      </c>
      <c r="D401" s="205" t="str">
        <f t="shared" si="85"/>
        <v/>
      </c>
      <c r="E401" s="205" t="str">
        <f t="shared" si="85"/>
        <v/>
      </c>
      <c r="F401" s="205" t="str">
        <f t="shared" si="85"/>
        <v/>
      </c>
      <c r="G401" s="205" t="str">
        <f t="shared" si="85"/>
        <v/>
      </c>
      <c r="H401" s="205" t="str">
        <f t="shared" si="85"/>
        <v/>
      </c>
      <c r="I401" s="205" t="str">
        <f t="shared" si="85"/>
        <v/>
      </c>
      <c r="J401" s="205" t="str">
        <f t="shared" si="85"/>
        <v/>
      </c>
      <c r="K401" s="205" t="str">
        <f t="shared" si="85"/>
        <v/>
      </c>
      <c r="L401" s="205" t="str">
        <f t="shared" si="86"/>
        <v>info</v>
      </c>
      <c r="M401" s="205" t="str">
        <f t="shared" si="86"/>
        <v>x</v>
      </c>
      <c r="N401" s="205" t="str">
        <f t="shared" si="86"/>
        <v/>
      </c>
      <c r="O401" s="205" t="str">
        <f t="shared" si="86"/>
        <v>model</v>
      </c>
      <c r="P401" s="206" t="str">
        <f t="shared" si="86"/>
        <v>PenColor</v>
      </c>
      <c r="Q401" s="206" t="str">
        <f t="shared" si="86"/>
        <v>x</v>
      </c>
      <c r="R401" s="206" t="str">
        <f t="shared" si="86"/>
        <v>BS</v>
      </c>
      <c r="S401" s="206" t="str">
        <f t="shared" si="86"/>
        <v>all</v>
      </c>
      <c r="T401" s="205">
        <f t="shared" si="86"/>
        <v>19</v>
      </c>
      <c r="U401" s="205" t="str">
        <f t="shared" si="86"/>
        <v>Schraffurstift Hintergrund Glas</v>
      </c>
      <c r="V401" s="205" t="str">
        <f t="shared" si="86"/>
        <v>x</v>
      </c>
      <c r="W401" s="205" t="str">
        <f t="shared" si="86"/>
        <v/>
      </c>
      <c r="X401" s="205" t="str">
        <f t="shared" si="86"/>
        <v/>
      </c>
      <c r="Y401" s="205" t="str">
        <f t="shared" si="86"/>
        <v>gs_penGlass_bg</v>
      </c>
    </row>
    <row r="402" spans="1:25">
      <c r="A402" s="204">
        <f t="shared" si="84"/>
        <v>400</v>
      </c>
      <c r="B402" s="205" t="str">
        <f t="shared" si="85"/>
        <v/>
      </c>
      <c r="C402" s="205" t="str">
        <f t="shared" si="85"/>
        <v/>
      </c>
      <c r="D402" s="205" t="str">
        <f t="shared" si="85"/>
        <v/>
      </c>
      <c r="E402" s="205" t="str">
        <f t="shared" si="85"/>
        <v/>
      </c>
      <c r="F402" s="205" t="str">
        <f t="shared" si="85"/>
        <v/>
      </c>
      <c r="G402" s="205" t="str">
        <f t="shared" si="85"/>
        <v/>
      </c>
      <c r="H402" s="205" t="str">
        <f t="shared" si="85"/>
        <v/>
      </c>
      <c r="I402" s="205" t="str">
        <f t="shared" si="85"/>
        <v/>
      </c>
      <c r="J402" s="205" t="str">
        <f t="shared" si="85"/>
        <v/>
      </c>
      <c r="K402" s="205" t="str">
        <f t="shared" si="85"/>
        <v/>
      </c>
      <c r="L402" s="205" t="str">
        <f t="shared" si="86"/>
        <v>info</v>
      </c>
      <c r="M402" s="205" t="str">
        <f t="shared" si="86"/>
        <v>x</v>
      </c>
      <c r="N402" s="205" t="str">
        <f t="shared" si="86"/>
        <v/>
      </c>
      <c r="O402" s="205" t="str">
        <f t="shared" si="86"/>
        <v>model</v>
      </c>
      <c r="P402" s="206" t="str">
        <f t="shared" si="86"/>
        <v>PenColor</v>
      </c>
      <c r="Q402" s="206" t="str">
        <f t="shared" si="86"/>
        <v>x</v>
      </c>
      <c r="R402" s="206" t="str">
        <f t="shared" si="86"/>
        <v>BS</v>
      </c>
      <c r="S402" s="206" t="str">
        <f t="shared" si="86"/>
        <v>all</v>
      </c>
      <c r="T402" s="205">
        <f t="shared" si="86"/>
        <v>2</v>
      </c>
      <c r="U402" s="205" t="str">
        <f t="shared" si="86"/>
        <v>Linienstift Glas</v>
      </c>
      <c r="V402" s="205" t="str">
        <f t="shared" si="86"/>
        <v>x</v>
      </c>
      <c r="W402" s="205" t="str">
        <f t="shared" si="86"/>
        <v/>
      </c>
      <c r="X402" s="205" t="str">
        <f t="shared" si="86"/>
        <v/>
      </c>
      <c r="Y402" s="205" t="str">
        <f t="shared" si="86"/>
        <v>gs_glass_view_pen</v>
      </c>
    </row>
    <row r="403" spans="1:25">
      <c r="A403" s="204">
        <f t="shared" si="84"/>
        <v>401</v>
      </c>
      <c r="B403" s="205" t="str">
        <f t="shared" ref="B403:K412" si="87">IF(ISNONTEXT(B$2),IF(B$2="","",IF(INDEX(IMPORT,$A403,B$2)=0,"",IFERROR(VLOOKUP(INDEX(IMPORT,$A403,B$2),ImportTranslation,2,0),INDEX(IMPORT,$A403,B$2)))),B$2)</f>
        <v/>
      </c>
      <c r="C403" s="205" t="str">
        <f t="shared" si="87"/>
        <v/>
      </c>
      <c r="D403" s="205" t="str">
        <f t="shared" si="87"/>
        <v/>
      </c>
      <c r="E403" s="205" t="str">
        <f t="shared" si="87"/>
        <v/>
      </c>
      <c r="F403" s="205" t="str">
        <f t="shared" si="87"/>
        <v/>
      </c>
      <c r="G403" s="205" t="str">
        <f t="shared" si="87"/>
        <v/>
      </c>
      <c r="H403" s="205" t="str">
        <f t="shared" si="87"/>
        <v/>
      </c>
      <c r="I403" s="205" t="str">
        <f t="shared" si="87"/>
        <v/>
      </c>
      <c r="J403" s="205" t="str">
        <f t="shared" si="87"/>
        <v/>
      </c>
      <c r="K403" s="205" t="str">
        <f t="shared" si="87"/>
        <v/>
      </c>
      <c r="L403" s="205" t="str">
        <f t="shared" ref="L403:Y412" si="88">IF(ISNONTEXT(L$2),IF(L$2="","",IF(INDEX(IMPORT,$A403,L$2)=0,"",IFERROR(VLOOKUP(INDEX(IMPORT,$A403,L$2),ImportTranslation,2,0),INDEX(IMPORT,$A403,L$2)))),L$2)</f>
        <v>info</v>
      </c>
      <c r="M403" s="205" t="str">
        <f t="shared" si="88"/>
        <v>x</v>
      </c>
      <c r="N403" s="205" t="str">
        <f t="shared" si="88"/>
        <v/>
      </c>
      <c r="O403" s="205" t="str">
        <f t="shared" si="88"/>
        <v>model</v>
      </c>
      <c r="P403" s="206" t="str">
        <f t="shared" si="88"/>
        <v>FillPattern</v>
      </c>
      <c r="Q403" s="206" t="str">
        <f t="shared" si="88"/>
        <v>x</v>
      </c>
      <c r="R403" s="206" t="str">
        <f t="shared" si="88"/>
        <v>BS</v>
      </c>
      <c r="S403" s="206" t="str">
        <f t="shared" si="88"/>
        <v>all</v>
      </c>
      <c r="T403" s="205">
        <f t="shared" si="88"/>
        <v>65</v>
      </c>
      <c r="U403" s="205" t="str">
        <f t="shared" si="88"/>
        <v>Schraffur-Typ Rahmen</v>
      </c>
      <c r="V403" s="205" t="str">
        <f t="shared" si="88"/>
        <v>x</v>
      </c>
      <c r="W403" s="205" t="str">
        <f t="shared" si="88"/>
        <v/>
      </c>
      <c r="X403" s="205" t="str">
        <f t="shared" si="88"/>
        <v/>
      </c>
      <c r="Y403" s="205" t="str">
        <f t="shared" si="88"/>
        <v>gs_fillShCover</v>
      </c>
    </row>
    <row r="404" spans="1:25">
      <c r="A404" s="204">
        <f t="shared" si="84"/>
        <v>402</v>
      </c>
      <c r="B404" s="205" t="str">
        <f t="shared" si="87"/>
        <v/>
      </c>
      <c r="C404" s="205" t="str">
        <f t="shared" si="87"/>
        <v/>
      </c>
      <c r="D404" s="205" t="str">
        <f t="shared" si="87"/>
        <v/>
      </c>
      <c r="E404" s="205" t="str">
        <f t="shared" si="87"/>
        <v/>
      </c>
      <c r="F404" s="205" t="str">
        <f t="shared" si="87"/>
        <v/>
      </c>
      <c r="G404" s="205" t="str">
        <f t="shared" si="87"/>
        <v/>
      </c>
      <c r="H404" s="205" t="str">
        <f t="shared" si="87"/>
        <v/>
      </c>
      <c r="I404" s="205" t="str">
        <f t="shared" si="87"/>
        <v/>
      </c>
      <c r="J404" s="205" t="str">
        <f t="shared" si="87"/>
        <v/>
      </c>
      <c r="K404" s="205" t="str">
        <f t="shared" si="87"/>
        <v/>
      </c>
      <c r="L404" s="205" t="str">
        <f t="shared" si="88"/>
        <v>info</v>
      </c>
      <c r="M404" s="205" t="str">
        <f t="shared" si="88"/>
        <v>x</v>
      </c>
      <c r="N404" s="205" t="str">
        <f t="shared" si="88"/>
        <v/>
      </c>
      <c r="O404" s="205" t="str">
        <f t="shared" si="88"/>
        <v>model</v>
      </c>
      <c r="P404" s="206" t="str">
        <f t="shared" si="88"/>
        <v>PenColor</v>
      </c>
      <c r="Q404" s="206" t="str">
        <f t="shared" si="88"/>
        <v>x</v>
      </c>
      <c r="R404" s="206" t="str">
        <f t="shared" si="88"/>
        <v>BS</v>
      </c>
      <c r="S404" s="206" t="str">
        <f t="shared" si="88"/>
        <v>all</v>
      </c>
      <c r="T404" s="205">
        <f t="shared" si="88"/>
        <v>19</v>
      </c>
      <c r="U404" s="205" t="str">
        <f t="shared" si="88"/>
        <v>Schraffur-Stift Rahmen</v>
      </c>
      <c r="V404" s="205" t="str">
        <f t="shared" si="88"/>
        <v>x</v>
      </c>
      <c r="W404" s="205" t="str">
        <f t="shared" si="88"/>
        <v/>
      </c>
      <c r="X404" s="205" t="str">
        <f t="shared" si="88"/>
        <v/>
      </c>
      <c r="Y404" s="205" t="str">
        <f t="shared" si="88"/>
        <v>gs_penShCov_fg</v>
      </c>
    </row>
    <row r="405" spans="1:25">
      <c r="A405" s="204">
        <f t="shared" si="84"/>
        <v>403</v>
      </c>
      <c r="B405" s="205" t="str">
        <f t="shared" si="87"/>
        <v/>
      </c>
      <c r="C405" s="205" t="str">
        <f t="shared" si="87"/>
        <v/>
      </c>
      <c r="D405" s="205" t="str">
        <f t="shared" si="87"/>
        <v/>
      </c>
      <c r="E405" s="205" t="str">
        <f t="shared" si="87"/>
        <v/>
      </c>
      <c r="F405" s="205" t="str">
        <f t="shared" si="87"/>
        <v/>
      </c>
      <c r="G405" s="205" t="str">
        <f t="shared" si="87"/>
        <v/>
      </c>
      <c r="H405" s="205" t="str">
        <f t="shared" si="87"/>
        <v/>
      </c>
      <c r="I405" s="205" t="str">
        <f t="shared" si="87"/>
        <v/>
      </c>
      <c r="J405" s="205" t="str">
        <f t="shared" si="87"/>
        <v/>
      </c>
      <c r="K405" s="205" t="str">
        <f t="shared" si="87"/>
        <v/>
      </c>
      <c r="L405" s="205" t="str">
        <f t="shared" si="88"/>
        <v>info</v>
      </c>
      <c r="M405" s="205" t="str">
        <f t="shared" si="88"/>
        <v>x</v>
      </c>
      <c r="N405" s="205" t="str">
        <f t="shared" si="88"/>
        <v/>
      </c>
      <c r="O405" s="205" t="str">
        <f t="shared" si="88"/>
        <v>model</v>
      </c>
      <c r="P405" s="206" t="str">
        <f t="shared" si="88"/>
        <v>PenColor</v>
      </c>
      <c r="Q405" s="206" t="str">
        <f t="shared" si="88"/>
        <v>x</v>
      </c>
      <c r="R405" s="206" t="str">
        <f t="shared" si="88"/>
        <v>BS</v>
      </c>
      <c r="S405" s="206" t="str">
        <f t="shared" si="88"/>
        <v>all</v>
      </c>
      <c r="T405" s="205">
        <f t="shared" si="88"/>
        <v>19</v>
      </c>
      <c r="U405" s="205" t="str">
        <f t="shared" si="88"/>
        <v>Schraffurhintergrund-Stift Rahmen</v>
      </c>
      <c r="V405" s="205" t="str">
        <f t="shared" si="88"/>
        <v>x</v>
      </c>
      <c r="W405" s="205" t="str">
        <f t="shared" si="88"/>
        <v/>
      </c>
      <c r="X405" s="205" t="str">
        <f t="shared" si="88"/>
        <v/>
      </c>
      <c r="Y405" s="205" t="str">
        <f t="shared" si="88"/>
        <v>gs_penShCov_bg</v>
      </c>
    </row>
    <row r="406" spans="1:25">
      <c r="A406" s="204">
        <f t="shared" si="84"/>
        <v>404</v>
      </c>
      <c r="B406" s="205" t="str">
        <f t="shared" si="87"/>
        <v>x</v>
      </c>
      <c r="C406" s="205" t="str">
        <f t="shared" si="87"/>
        <v/>
      </c>
      <c r="D406" s="205" t="str">
        <f t="shared" si="87"/>
        <v/>
      </c>
      <c r="E406" s="205" t="str">
        <f t="shared" si="87"/>
        <v/>
      </c>
      <c r="F406" s="205" t="str">
        <f t="shared" si="87"/>
        <v/>
      </c>
      <c r="G406" s="205" t="str">
        <f t="shared" si="87"/>
        <v/>
      </c>
      <c r="H406" s="205" t="str">
        <f t="shared" si="87"/>
        <v/>
      </c>
      <c r="I406" s="205" t="str">
        <f t="shared" si="87"/>
        <v/>
      </c>
      <c r="J406" s="205" t="str">
        <f t="shared" si="87"/>
        <v/>
      </c>
      <c r="K406" s="205" t="str">
        <f t="shared" si="87"/>
        <v/>
      </c>
      <c r="L406" s="205" t="str">
        <f t="shared" si="88"/>
        <v>info</v>
      </c>
      <c r="M406" s="205" t="str">
        <f t="shared" si="88"/>
        <v/>
      </c>
      <c r="N406" s="205" t="str">
        <f t="shared" si="88"/>
        <v/>
      </c>
      <c r="O406" s="205" t="str">
        <f t="shared" si="88"/>
        <v>model</v>
      </c>
      <c r="P406" s="206" t="str">
        <f t="shared" si="88"/>
        <v>Title</v>
      </c>
      <c r="Q406" s="206" t="str">
        <f t="shared" si="88"/>
        <v>x</v>
      </c>
      <c r="R406" s="206" t="str">
        <f t="shared" si="88"/>
        <v>BS</v>
      </c>
      <c r="S406" s="206" t="str">
        <f t="shared" si="88"/>
        <v>all</v>
      </c>
      <c r="T406" s="205" t="str">
        <f t="shared" si="88"/>
        <v/>
      </c>
      <c r="U406" s="205" t="str">
        <f t="shared" si="88"/>
        <v>Öffnung</v>
      </c>
      <c r="V406" s="205" t="str">
        <f t="shared" si="88"/>
        <v/>
      </c>
      <c r="W406" s="205" t="str">
        <f t="shared" si="88"/>
        <v/>
      </c>
      <c r="X406" s="205" t="str">
        <f t="shared" si="88"/>
        <v/>
      </c>
      <c r="Y406" s="205" t="str">
        <f t="shared" si="88"/>
        <v>gs_door_offnung</v>
      </c>
    </row>
    <row r="407" spans="1:25">
      <c r="A407" s="204">
        <f t="shared" si="84"/>
        <v>405</v>
      </c>
      <c r="B407" s="205" t="str">
        <f t="shared" si="87"/>
        <v>x</v>
      </c>
      <c r="C407" s="205" t="str">
        <f t="shared" si="87"/>
        <v/>
      </c>
      <c r="D407" s="205" t="str">
        <f t="shared" si="87"/>
        <v/>
      </c>
      <c r="E407" s="205" t="str">
        <f t="shared" si="87"/>
        <v/>
      </c>
      <c r="F407" s="205" t="str">
        <f t="shared" si="87"/>
        <v/>
      </c>
      <c r="G407" s="205" t="str">
        <f t="shared" si="87"/>
        <v/>
      </c>
      <c r="H407" s="205" t="str">
        <f t="shared" si="87"/>
        <v/>
      </c>
      <c r="I407" s="205" t="str">
        <f t="shared" si="87"/>
        <v/>
      </c>
      <c r="J407" s="205" t="str">
        <f t="shared" si="87"/>
        <v/>
      </c>
      <c r="K407" s="205" t="str">
        <f t="shared" si="87"/>
        <v/>
      </c>
      <c r="L407" s="205" t="str">
        <f t="shared" si="88"/>
        <v>info</v>
      </c>
      <c r="M407" s="205" t="str">
        <f t="shared" si="88"/>
        <v>x</v>
      </c>
      <c r="N407" s="205" t="str">
        <f t="shared" si="88"/>
        <v/>
      </c>
      <c r="O407" s="205" t="str">
        <f t="shared" si="88"/>
        <v>model</v>
      </c>
      <c r="P407" s="206" t="str">
        <f t="shared" si="88"/>
        <v>Integer</v>
      </c>
      <c r="Q407" s="206" t="str">
        <f t="shared" si="88"/>
        <v>x</v>
      </c>
      <c r="R407" s="206" t="str">
        <f t="shared" si="88"/>
        <v>BS</v>
      </c>
      <c r="S407" s="206" t="str">
        <f t="shared" si="88"/>
        <v>all</v>
      </c>
      <c r="T407" s="205">
        <f t="shared" si="88"/>
        <v>2</v>
      </c>
      <c r="U407" s="205" t="str">
        <f t="shared" si="88"/>
        <v>Symbol ausrichten</v>
      </c>
      <c r="V407" s="205" t="str">
        <f t="shared" si="88"/>
        <v>x</v>
      </c>
      <c r="W407" s="205" t="str">
        <f t="shared" si="88"/>
        <v/>
      </c>
      <c r="X407" s="205" t="str">
        <f t="shared" si="88"/>
        <v/>
      </c>
      <c r="Y407" s="205" t="str">
        <f t="shared" si="88"/>
        <v>iDrawSimpleLeafTo</v>
      </c>
    </row>
    <row r="408" spans="1:25">
      <c r="A408" s="204">
        <f t="shared" si="84"/>
        <v>406</v>
      </c>
      <c r="B408" s="205" t="str">
        <f t="shared" si="87"/>
        <v>x</v>
      </c>
      <c r="C408" s="205" t="str">
        <f t="shared" si="87"/>
        <v/>
      </c>
      <c r="D408" s="205" t="str">
        <f t="shared" si="87"/>
        <v/>
      </c>
      <c r="E408" s="205" t="str">
        <f t="shared" si="87"/>
        <v/>
      </c>
      <c r="F408" s="205" t="str">
        <f t="shared" si="87"/>
        <v/>
      </c>
      <c r="G408" s="205" t="str">
        <f t="shared" si="87"/>
        <v/>
      </c>
      <c r="H408" s="205" t="str">
        <f t="shared" si="87"/>
        <v/>
      </c>
      <c r="I408" s="205" t="str">
        <f t="shared" si="87"/>
        <v/>
      </c>
      <c r="J408" s="205" t="str">
        <f t="shared" si="87"/>
        <v/>
      </c>
      <c r="K408" s="205" t="str">
        <f t="shared" si="87"/>
        <v/>
      </c>
      <c r="L408" s="205" t="str">
        <f t="shared" si="88"/>
        <v>info</v>
      </c>
      <c r="M408" s="205" t="str">
        <f t="shared" si="88"/>
        <v>x</v>
      </c>
      <c r="N408" s="205" t="str">
        <f t="shared" si="88"/>
        <v/>
      </c>
      <c r="O408" s="205" t="str">
        <f t="shared" si="88"/>
        <v>model</v>
      </c>
      <c r="P408" s="206" t="str">
        <f t="shared" si="88"/>
        <v>Angle</v>
      </c>
      <c r="Q408" s="206" t="str">
        <f t="shared" si="88"/>
        <v>x</v>
      </c>
      <c r="R408" s="206" t="str">
        <f t="shared" si="88"/>
        <v>BS</v>
      </c>
      <c r="S408" s="206" t="str">
        <f t="shared" si="88"/>
        <v>all</v>
      </c>
      <c r="T408" s="205">
        <f t="shared" si="88"/>
        <v>90</v>
      </c>
      <c r="U408" s="205" t="str">
        <f t="shared" si="88"/>
        <v>Öffnungswinkel für Durchgangsflügel in 2D</v>
      </c>
      <c r="V408" s="205" t="str">
        <f t="shared" si="88"/>
        <v>x</v>
      </c>
      <c r="W408" s="205" t="str">
        <f t="shared" si="88"/>
        <v/>
      </c>
      <c r="X408" s="205" t="str">
        <f t="shared" si="88"/>
        <v/>
      </c>
      <c r="Y408" s="205" t="str">
        <f t="shared" si="88"/>
        <v>gs_open_2D</v>
      </c>
    </row>
    <row r="409" spans="1:25">
      <c r="A409" s="204">
        <f t="shared" si="84"/>
        <v>407</v>
      </c>
      <c r="B409" s="205" t="str">
        <f t="shared" si="87"/>
        <v/>
      </c>
      <c r="C409" s="205" t="str">
        <f t="shared" si="87"/>
        <v/>
      </c>
      <c r="D409" s="205" t="str">
        <f t="shared" si="87"/>
        <v/>
      </c>
      <c r="E409" s="205" t="str">
        <f t="shared" si="87"/>
        <v/>
      </c>
      <c r="F409" s="205" t="str">
        <f t="shared" si="87"/>
        <v/>
      </c>
      <c r="G409" s="205" t="str">
        <f t="shared" si="87"/>
        <v/>
      </c>
      <c r="H409" s="205" t="str">
        <f t="shared" si="87"/>
        <v/>
      </c>
      <c r="I409" s="205" t="str">
        <f t="shared" si="87"/>
        <v/>
      </c>
      <c r="J409" s="205" t="str">
        <f t="shared" si="87"/>
        <v/>
      </c>
      <c r="K409" s="205" t="str">
        <f t="shared" si="87"/>
        <v/>
      </c>
      <c r="L409" s="205" t="str">
        <f t="shared" si="88"/>
        <v>info</v>
      </c>
      <c r="M409" s="205" t="str">
        <f t="shared" si="88"/>
        <v>x</v>
      </c>
      <c r="N409" s="205" t="str">
        <f t="shared" si="88"/>
        <v/>
      </c>
      <c r="O409" s="205" t="str">
        <f t="shared" si="88"/>
        <v>model</v>
      </c>
      <c r="P409" s="206" t="str">
        <f t="shared" si="88"/>
        <v>Angle</v>
      </c>
      <c r="Q409" s="206" t="str">
        <f t="shared" si="88"/>
        <v>x</v>
      </c>
      <c r="R409" s="206" t="str">
        <f t="shared" si="88"/>
        <v>BS</v>
      </c>
      <c r="S409" s="206" t="str">
        <f t="shared" si="88"/>
        <v>all</v>
      </c>
      <c r="T409" s="205">
        <f t="shared" si="88"/>
        <v>90</v>
      </c>
      <c r="U409" s="205" t="str">
        <f t="shared" si="88"/>
        <v>Öffnungswinkel für Standflügel in 2D</v>
      </c>
      <c r="V409" s="205" t="str">
        <f t="shared" si="88"/>
        <v>x</v>
      </c>
      <c r="W409" s="205" t="str">
        <f t="shared" si="88"/>
        <v/>
      </c>
      <c r="X409" s="205" t="str">
        <f t="shared" si="88"/>
        <v/>
      </c>
      <c r="Y409" s="205" t="str">
        <f t="shared" si="88"/>
        <v>gs_open_2D_s</v>
      </c>
    </row>
    <row r="410" spans="1:25">
      <c r="A410" s="204">
        <f t="shared" si="84"/>
        <v>408</v>
      </c>
      <c r="B410" s="205" t="str">
        <f t="shared" si="87"/>
        <v>x</v>
      </c>
      <c r="C410" s="205" t="str">
        <f t="shared" si="87"/>
        <v/>
      </c>
      <c r="D410" s="205" t="str">
        <f t="shared" si="87"/>
        <v/>
      </c>
      <c r="E410" s="205" t="str">
        <f t="shared" si="87"/>
        <v/>
      </c>
      <c r="F410" s="205" t="str">
        <f t="shared" si="87"/>
        <v/>
      </c>
      <c r="G410" s="205" t="str">
        <f t="shared" si="87"/>
        <v/>
      </c>
      <c r="H410" s="205" t="str">
        <f t="shared" si="87"/>
        <v/>
      </c>
      <c r="I410" s="205" t="str">
        <f t="shared" si="87"/>
        <v/>
      </c>
      <c r="J410" s="205" t="str">
        <f t="shared" si="87"/>
        <v/>
      </c>
      <c r="K410" s="205" t="str">
        <f t="shared" si="87"/>
        <v/>
      </c>
      <c r="L410" s="205" t="str">
        <f t="shared" si="88"/>
        <v>info</v>
      </c>
      <c r="M410" s="205" t="str">
        <f t="shared" si="88"/>
        <v>x</v>
      </c>
      <c r="N410" s="205" t="str">
        <f t="shared" si="88"/>
        <v/>
      </c>
      <c r="O410" s="205" t="str">
        <f t="shared" si="88"/>
        <v>model</v>
      </c>
      <c r="P410" s="206" t="str">
        <f t="shared" si="88"/>
        <v>Angle</v>
      </c>
      <c r="Q410" s="206" t="str">
        <f t="shared" si="88"/>
        <v>x</v>
      </c>
      <c r="R410" s="206" t="str">
        <f t="shared" si="88"/>
        <v>BS</v>
      </c>
      <c r="S410" s="206" t="str">
        <f t="shared" si="88"/>
        <v>all</v>
      </c>
      <c r="T410" s="205" t="str">
        <f t="shared" si="88"/>
        <v/>
      </c>
      <c r="U410" s="205" t="str">
        <f t="shared" si="88"/>
        <v>Öffnungswinkel für Durchgangsflügel in 3D</v>
      </c>
      <c r="V410" s="205" t="str">
        <f t="shared" si="88"/>
        <v>x</v>
      </c>
      <c r="W410" s="205" t="str">
        <f t="shared" si="88"/>
        <v/>
      </c>
      <c r="X410" s="205" t="str">
        <f t="shared" si="88"/>
        <v/>
      </c>
      <c r="Y410" s="205" t="str">
        <f t="shared" si="88"/>
        <v>gs_open_3D</v>
      </c>
    </row>
    <row r="411" spans="1:25">
      <c r="A411" s="204">
        <f t="shared" si="84"/>
        <v>409</v>
      </c>
      <c r="B411" s="205" t="str">
        <f t="shared" si="87"/>
        <v/>
      </c>
      <c r="C411" s="205" t="str">
        <f t="shared" si="87"/>
        <v/>
      </c>
      <c r="D411" s="205" t="str">
        <f t="shared" si="87"/>
        <v/>
      </c>
      <c r="E411" s="205" t="str">
        <f t="shared" si="87"/>
        <v/>
      </c>
      <c r="F411" s="205" t="str">
        <f t="shared" si="87"/>
        <v/>
      </c>
      <c r="G411" s="205" t="str">
        <f t="shared" si="87"/>
        <v/>
      </c>
      <c r="H411" s="205" t="str">
        <f t="shared" si="87"/>
        <v/>
      </c>
      <c r="I411" s="205" t="str">
        <f t="shared" si="87"/>
        <v/>
      </c>
      <c r="J411" s="205" t="str">
        <f t="shared" si="87"/>
        <v/>
      </c>
      <c r="K411" s="205" t="str">
        <f t="shared" si="87"/>
        <v/>
      </c>
      <c r="L411" s="205" t="str">
        <f t="shared" si="88"/>
        <v>info</v>
      </c>
      <c r="M411" s="205" t="str">
        <f t="shared" si="88"/>
        <v>x</v>
      </c>
      <c r="N411" s="205" t="str">
        <f t="shared" si="88"/>
        <v/>
      </c>
      <c r="O411" s="205" t="str">
        <f t="shared" si="88"/>
        <v>model</v>
      </c>
      <c r="P411" s="206" t="str">
        <f t="shared" si="88"/>
        <v>Angle</v>
      </c>
      <c r="Q411" s="206" t="str">
        <f t="shared" si="88"/>
        <v>x</v>
      </c>
      <c r="R411" s="206" t="str">
        <f t="shared" si="88"/>
        <v>BS</v>
      </c>
      <c r="S411" s="206" t="str">
        <f t="shared" si="88"/>
        <v>all</v>
      </c>
      <c r="T411" s="205" t="str">
        <f t="shared" si="88"/>
        <v/>
      </c>
      <c r="U411" s="205" t="str">
        <f t="shared" si="88"/>
        <v>Öffnungswinkel für Standflügel in 3D</v>
      </c>
      <c r="V411" s="205" t="str">
        <f t="shared" si="88"/>
        <v>x</v>
      </c>
      <c r="W411" s="205" t="str">
        <f t="shared" si="88"/>
        <v/>
      </c>
      <c r="X411" s="205" t="str">
        <f t="shared" si="88"/>
        <v/>
      </c>
      <c r="Y411" s="205" t="str">
        <f t="shared" si="88"/>
        <v>gs_open_3D_s</v>
      </c>
    </row>
    <row r="412" spans="1:25">
      <c r="A412" s="204">
        <f t="shared" si="84"/>
        <v>410</v>
      </c>
      <c r="B412" s="205" t="str">
        <f t="shared" si="87"/>
        <v/>
      </c>
      <c r="C412" s="205" t="str">
        <f t="shared" si="87"/>
        <v/>
      </c>
      <c r="D412" s="205" t="str">
        <f t="shared" si="87"/>
        <v/>
      </c>
      <c r="E412" s="205" t="str">
        <f t="shared" si="87"/>
        <v/>
      </c>
      <c r="F412" s="205" t="str">
        <f t="shared" si="87"/>
        <v/>
      </c>
      <c r="G412" s="205" t="str">
        <f t="shared" si="87"/>
        <v/>
      </c>
      <c r="H412" s="205" t="str">
        <f t="shared" si="87"/>
        <v/>
      </c>
      <c r="I412" s="205" t="str">
        <f t="shared" si="87"/>
        <v/>
      </c>
      <c r="J412" s="205" t="str">
        <f t="shared" si="87"/>
        <v/>
      </c>
      <c r="K412" s="205" t="str">
        <f t="shared" si="87"/>
        <v/>
      </c>
      <c r="L412" s="205" t="str">
        <f t="shared" si="88"/>
        <v>info</v>
      </c>
      <c r="M412" s="205" t="str">
        <f t="shared" si="88"/>
        <v>x</v>
      </c>
      <c r="N412" s="205" t="str">
        <f t="shared" si="88"/>
        <v/>
      </c>
      <c r="O412" s="205" t="str">
        <f t="shared" si="88"/>
        <v>model</v>
      </c>
      <c r="P412" s="206" t="str">
        <f t="shared" si="88"/>
        <v>Boolean</v>
      </c>
      <c r="Q412" s="206" t="str">
        <f t="shared" si="88"/>
        <v>x</v>
      </c>
      <c r="R412" s="206" t="str">
        <f t="shared" si="88"/>
        <v>BS</v>
      </c>
      <c r="S412" s="206" t="str">
        <f t="shared" si="88"/>
        <v>all</v>
      </c>
      <c r="T412" s="205">
        <f t="shared" si="88"/>
        <v>1</v>
      </c>
      <c r="U412" s="205" t="str">
        <f t="shared" si="88"/>
        <v>Gleicher Linientyp für Türblätter</v>
      </c>
      <c r="V412" s="205" t="str">
        <f t="shared" si="88"/>
        <v>x</v>
      </c>
      <c r="W412" s="205" t="str">
        <f t="shared" si="88"/>
        <v/>
      </c>
      <c r="X412" s="205" t="str">
        <f t="shared" si="88"/>
        <v/>
      </c>
      <c r="Y412" s="205" t="str">
        <f t="shared" si="88"/>
        <v>gs_bSameLineTypeForLeaves</v>
      </c>
    </row>
    <row r="413" spans="1:25">
      <c r="A413" s="204">
        <f t="shared" si="84"/>
        <v>411</v>
      </c>
      <c r="B413" s="205" t="str">
        <f t="shared" ref="B413:K422" si="89">IF(ISNONTEXT(B$2),IF(B$2="","",IF(INDEX(IMPORT,$A413,B$2)=0,"",IFERROR(VLOOKUP(INDEX(IMPORT,$A413,B$2),ImportTranslation,2,0),INDEX(IMPORT,$A413,B$2)))),B$2)</f>
        <v>x</v>
      </c>
      <c r="C413" s="205" t="str">
        <f t="shared" si="89"/>
        <v/>
      </c>
      <c r="D413" s="205" t="str">
        <f t="shared" si="89"/>
        <v/>
      </c>
      <c r="E413" s="205" t="str">
        <f t="shared" si="89"/>
        <v/>
      </c>
      <c r="F413" s="205" t="str">
        <f t="shared" si="89"/>
        <v/>
      </c>
      <c r="G413" s="205" t="str">
        <f t="shared" si="89"/>
        <v/>
      </c>
      <c r="H413" s="205" t="str">
        <f t="shared" si="89"/>
        <v/>
      </c>
      <c r="I413" s="205" t="str">
        <f t="shared" si="89"/>
        <v/>
      </c>
      <c r="J413" s="205" t="str">
        <f t="shared" si="89"/>
        <v/>
      </c>
      <c r="K413" s="205" t="str">
        <f t="shared" si="89"/>
        <v/>
      </c>
      <c r="L413" s="205" t="str">
        <f t="shared" ref="L413:Y422" si="90">IF(ISNONTEXT(L$2),IF(L$2="","",IF(INDEX(IMPORT,$A413,L$2)=0,"",IFERROR(VLOOKUP(INDEX(IMPORT,$A413,L$2),ImportTranslation,2,0),INDEX(IMPORT,$A413,L$2)))),L$2)</f>
        <v>info</v>
      </c>
      <c r="M413" s="205" t="str">
        <f t="shared" si="90"/>
        <v>x</v>
      </c>
      <c r="N413" s="205" t="str">
        <f t="shared" si="90"/>
        <v/>
      </c>
      <c r="O413" s="205" t="str">
        <f t="shared" si="90"/>
        <v>model</v>
      </c>
      <c r="P413" s="206" t="str">
        <f t="shared" si="90"/>
        <v>Boolean</v>
      </c>
      <c r="Q413" s="206" t="str">
        <f t="shared" si="90"/>
        <v>x</v>
      </c>
      <c r="R413" s="206" t="str">
        <f t="shared" si="90"/>
        <v>BS</v>
      </c>
      <c r="S413" s="206" t="str">
        <f t="shared" si="90"/>
        <v>all</v>
      </c>
      <c r="T413" s="205" t="str">
        <f t="shared" si="90"/>
        <v/>
      </c>
      <c r="U413" s="205" t="str">
        <f t="shared" si="90"/>
        <v>Modelldarstell. für symbolische 2D-Darstellung überschreiben</v>
      </c>
      <c r="V413" s="205" t="str">
        <f t="shared" si="90"/>
        <v>x</v>
      </c>
      <c r="W413" s="205" t="str">
        <f t="shared" si="90"/>
        <v/>
      </c>
      <c r="X413" s="205" t="str">
        <f t="shared" si="90"/>
        <v/>
      </c>
      <c r="Y413" s="205" t="str">
        <f t="shared" si="90"/>
        <v>bOverride_MVO_2D</v>
      </c>
    </row>
    <row r="414" spans="1:25">
      <c r="A414" s="204">
        <f t="shared" si="84"/>
        <v>412</v>
      </c>
      <c r="B414" s="205" t="str">
        <f t="shared" si="89"/>
        <v>x</v>
      </c>
      <c r="C414" s="205" t="str">
        <f t="shared" si="89"/>
        <v/>
      </c>
      <c r="D414" s="205" t="str">
        <f t="shared" si="89"/>
        <v/>
      </c>
      <c r="E414" s="205" t="str">
        <f t="shared" si="89"/>
        <v/>
      </c>
      <c r="F414" s="205" t="str">
        <f t="shared" si="89"/>
        <v/>
      </c>
      <c r="G414" s="205" t="str">
        <f t="shared" si="89"/>
        <v/>
      </c>
      <c r="H414" s="205" t="str">
        <f t="shared" si="89"/>
        <v/>
      </c>
      <c r="I414" s="205" t="str">
        <f t="shared" si="89"/>
        <v/>
      </c>
      <c r="J414" s="205" t="str">
        <f t="shared" si="89"/>
        <v/>
      </c>
      <c r="K414" s="205" t="str">
        <f t="shared" si="89"/>
        <v/>
      </c>
      <c r="L414" s="205" t="str">
        <f t="shared" si="90"/>
        <v>info</v>
      </c>
      <c r="M414" s="205" t="str">
        <f t="shared" si="90"/>
        <v>x</v>
      </c>
      <c r="N414" s="205" t="str">
        <f t="shared" si="90"/>
        <v/>
      </c>
      <c r="O414" s="205" t="str">
        <f t="shared" si="90"/>
        <v>model</v>
      </c>
      <c r="P414" s="206" t="str">
        <f t="shared" si="90"/>
        <v>Boolean</v>
      </c>
      <c r="Q414" s="206" t="str">
        <f t="shared" si="90"/>
        <v>x</v>
      </c>
      <c r="R414" s="206" t="str">
        <f t="shared" si="90"/>
        <v>BS</v>
      </c>
      <c r="S414" s="206" t="str">
        <f t="shared" si="90"/>
        <v>all</v>
      </c>
      <c r="T414" s="205">
        <f t="shared" si="90"/>
        <v>1</v>
      </c>
      <c r="U414" s="205" t="str">
        <f t="shared" si="90"/>
        <v>Öffnungslinien in 2D</v>
      </c>
      <c r="V414" s="205" t="str">
        <f t="shared" si="90"/>
        <v>x</v>
      </c>
      <c r="W414" s="205" t="str">
        <f t="shared" si="90"/>
        <v/>
      </c>
      <c r="X414" s="205" t="str">
        <f t="shared" si="90"/>
        <v/>
      </c>
      <c r="Y414" s="205" t="str">
        <f t="shared" si="90"/>
        <v>or_bOplines2D</v>
      </c>
    </row>
    <row r="415" spans="1:25">
      <c r="A415" s="204">
        <f t="shared" si="84"/>
        <v>413</v>
      </c>
      <c r="B415" s="205" t="str">
        <f t="shared" si="89"/>
        <v>x</v>
      </c>
      <c r="C415" s="205" t="str">
        <f t="shared" si="89"/>
        <v/>
      </c>
      <c r="D415" s="205" t="str">
        <f t="shared" si="89"/>
        <v/>
      </c>
      <c r="E415" s="205" t="str">
        <f t="shared" si="89"/>
        <v/>
      </c>
      <c r="F415" s="205" t="str">
        <f t="shared" si="89"/>
        <v/>
      </c>
      <c r="G415" s="205" t="str">
        <f t="shared" si="89"/>
        <v/>
      </c>
      <c r="H415" s="205" t="str">
        <f t="shared" si="89"/>
        <v/>
      </c>
      <c r="I415" s="205" t="str">
        <f t="shared" si="89"/>
        <v/>
      </c>
      <c r="J415" s="205" t="str">
        <f t="shared" si="89"/>
        <v/>
      </c>
      <c r="K415" s="205" t="str">
        <f t="shared" si="89"/>
        <v/>
      </c>
      <c r="L415" s="205" t="str">
        <f t="shared" si="90"/>
        <v>info</v>
      </c>
      <c r="M415" s="205" t="str">
        <f t="shared" si="90"/>
        <v>x</v>
      </c>
      <c r="N415" s="205" t="str">
        <f t="shared" si="90"/>
        <v/>
      </c>
      <c r="O415" s="205" t="str">
        <f t="shared" si="90"/>
        <v>model</v>
      </c>
      <c r="P415" s="206" t="str">
        <f t="shared" si="90"/>
        <v>LineType</v>
      </c>
      <c r="Q415" s="206" t="str">
        <f t="shared" si="90"/>
        <v>x</v>
      </c>
      <c r="R415" s="206" t="str">
        <f t="shared" si="90"/>
        <v>BS</v>
      </c>
      <c r="S415" s="206" t="str">
        <f t="shared" si="90"/>
        <v>all</v>
      </c>
      <c r="T415" s="205">
        <f t="shared" si="90"/>
        <v>1</v>
      </c>
      <c r="U415" s="205" t="str">
        <f t="shared" si="90"/>
        <v>Öffnungslinien-Typ</v>
      </c>
      <c r="V415" s="205" t="str">
        <f t="shared" si="90"/>
        <v>x</v>
      </c>
      <c r="W415" s="205" t="str">
        <f t="shared" si="90"/>
        <v/>
      </c>
      <c r="X415" s="205" t="str">
        <f t="shared" si="90"/>
        <v/>
      </c>
      <c r="Y415" s="205" t="str">
        <f t="shared" si="90"/>
        <v>or_swingLineType</v>
      </c>
    </row>
    <row r="416" spans="1:25">
      <c r="A416" s="204">
        <f t="shared" si="84"/>
        <v>414</v>
      </c>
      <c r="B416" s="205" t="str">
        <f t="shared" si="89"/>
        <v>x</v>
      </c>
      <c r="C416" s="205" t="str">
        <f t="shared" si="89"/>
        <v/>
      </c>
      <c r="D416" s="205" t="str">
        <f t="shared" si="89"/>
        <v/>
      </c>
      <c r="E416" s="205" t="str">
        <f t="shared" si="89"/>
        <v/>
      </c>
      <c r="F416" s="205" t="str">
        <f t="shared" si="89"/>
        <v/>
      </c>
      <c r="G416" s="205" t="str">
        <f t="shared" si="89"/>
        <v/>
      </c>
      <c r="H416" s="205" t="str">
        <f t="shared" si="89"/>
        <v/>
      </c>
      <c r="I416" s="205" t="str">
        <f t="shared" si="89"/>
        <v/>
      </c>
      <c r="J416" s="205" t="str">
        <f t="shared" si="89"/>
        <v/>
      </c>
      <c r="K416" s="205" t="str">
        <f t="shared" si="89"/>
        <v/>
      </c>
      <c r="L416" s="205" t="str">
        <f t="shared" si="90"/>
        <v>info</v>
      </c>
      <c r="M416" s="205" t="str">
        <f t="shared" si="90"/>
        <v>x</v>
      </c>
      <c r="N416" s="205" t="str">
        <f t="shared" si="90"/>
        <v/>
      </c>
      <c r="O416" s="205" t="str">
        <f t="shared" si="90"/>
        <v>model</v>
      </c>
      <c r="P416" s="206" t="str">
        <f t="shared" si="90"/>
        <v>LineType</v>
      </c>
      <c r="Q416" s="206" t="str">
        <f t="shared" si="90"/>
        <v>x</v>
      </c>
      <c r="R416" s="206" t="str">
        <f t="shared" si="90"/>
        <v>BS</v>
      </c>
      <c r="S416" s="206" t="str">
        <f t="shared" si="90"/>
        <v>all</v>
      </c>
      <c r="T416" s="205">
        <f t="shared" si="90"/>
        <v>4</v>
      </c>
      <c r="U416" s="205" t="str">
        <f t="shared" si="90"/>
        <v>Nebenöffnung Linientyp in 2D</v>
      </c>
      <c r="V416" s="205" t="str">
        <f t="shared" si="90"/>
        <v>x</v>
      </c>
      <c r="W416" s="205" t="str">
        <f t="shared" si="90"/>
        <v/>
      </c>
      <c r="X416" s="205" t="str">
        <f t="shared" si="90"/>
        <v/>
      </c>
      <c r="Y416" s="205" t="str">
        <f t="shared" si="90"/>
        <v>or_swingLineType2</v>
      </c>
    </row>
    <row r="417" spans="1:25">
      <c r="A417" s="204">
        <f t="shared" si="84"/>
        <v>415</v>
      </c>
      <c r="B417" s="205" t="str">
        <f t="shared" si="89"/>
        <v>x</v>
      </c>
      <c r="C417" s="205" t="str">
        <f t="shared" si="89"/>
        <v/>
      </c>
      <c r="D417" s="205" t="str">
        <f t="shared" si="89"/>
        <v/>
      </c>
      <c r="E417" s="205" t="str">
        <f t="shared" si="89"/>
        <v/>
      </c>
      <c r="F417" s="205" t="str">
        <f t="shared" si="89"/>
        <v/>
      </c>
      <c r="G417" s="205" t="str">
        <f t="shared" si="89"/>
        <v/>
      </c>
      <c r="H417" s="205" t="str">
        <f t="shared" si="89"/>
        <v/>
      </c>
      <c r="I417" s="205" t="str">
        <f t="shared" si="89"/>
        <v/>
      </c>
      <c r="J417" s="205" t="str">
        <f t="shared" si="89"/>
        <v/>
      </c>
      <c r="K417" s="205" t="str">
        <f t="shared" si="89"/>
        <v/>
      </c>
      <c r="L417" s="205" t="str">
        <f t="shared" si="90"/>
        <v>info</v>
      </c>
      <c r="M417" s="205" t="str">
        <f t="shared" si="90"/>
        <v>x</v>
      </c>
      <c r="N417" s="205" t="str">
        <f t="shared" si="90"/>
        <v/>
      </c>
      <c r="O417" s="205" t="str">
        <f t="shared" si="90"/>
        <v>model</v>
      </c>
      <c r="P417" s="206" t="str">
        <f t="shared" si="90"/>
        <v>String</v>
      </c>
      <c r="Q417" s="206" t="str">
        <f t="shared" si="90"/>
        <v>x</v>
      </c>
      <c r="R417" s="206" t="str">
        <f t="shared" si="90"/>
        <v>BS</v>
      </c>
      <c r="S417" s="206" t="str">
        <f t="shared" si="90"/>
        <v>all</v>
      </c>
      <c r="T417" s="205" t="str">
        <f t="shared" si="90"/>
        <v>Gebogen</v>
      </c>
      <c r="U417" s="205" t="str">
        <f t="shared" si="90"/>
        <v>Öffnungslinien-Form</v>
      </c>
      <c r="V417" s="205" t="str">
        <f t="shared" si="90"/>
        <v>x</v>
      </c>
      <c r="W417" s="205" t="str">
        <f t="shared" si="90"/>
        <v/>
      </c>
      <c r="X417" s="205" t="str">
        <f t="shared" si="90"/>
        <v/>
      </c>
      <c r="Y417" s="205" t="str">
        <f t="shared" si="90"/>
        <v>or_SwingType</v>
      </c>
    </row>
    <row r="418" spans="1:25">
      <c r="A418" s="204">
        <f t="shared" si="84"/>
        <v>416</v>
      </c>
      <c r="B418" s="205" t="str">
        <f t="shared" si="89"/>
        <v>x</v>
      </c>
      <c r="C418" s="205" t="str">
        <f t="shared" si="89"/>
        <v>x</v>
      </c>
      <c r="D418" s="205" t="str">
        <f t="shared" si="89"/>
        <v/>
      </c>
      <c r="E418" s="205" t="str">
        <f t="shared" si="89"/>
        <v/>
      </c>
      <c r="F418" s="205" t="str">
        <f t="shared" si="89"/>
        <v/>
      </c>
      <c r="G418" s="205" t="str">
        <f t="shared" si="89"/>
        <v/>
      </c>
      <c r="H418" s="205" t="str">
        <f t="shared" si="89"/>
        <v/>
      </c>
      <c r="I418" s="205" t="str">
        <f t="shared" si="89"/>
        <v/>
      </c>
      <c r="J418" s="205" t="str">
        <f t="shared" si="89"/>
        <v/>
      </c>
      <c r="K418" s="205" t="str">
        <f t="shared" si="89"/>
        <v/>
      </c>
      <c r="L418" s="205" t="str">
        <f t="shared" si="90"/>
        <v>info</v>
      </c>
      <c r="M418" s="205" t="str">
        <f t="shared" si="90"/>
        <v>x</v>
      </c>
      <c r="N418" s="205" t="str">
        <f t="shared" si="90"/>
        <v/>
      </c>
      <c r="O418" s="205" t="str">
        <f t="shared" si="90"/>
        <v>model</v>
      </c>
      <c r="P418" s="206" t="str">
        <f t="shared" si="90"/>
        <v>Integer</v>
      </c>
      <c r="Q418" s="206" t="str">
        <f t="shared" si="90"/>
        <v>x</v>
      </c>
      <c r="R418" s="206" t="str">
        <f t="shared" si="90"/>
        <v>BS</v>
      </c>
      <c r="S418" s="206" t="str">
        <f t="shared" si="90"/>
        <v>all</v>
      </c>
      <c r="T418" s="205">
        <f t="shared" si="90"/>
        <v>1</v>
      </c>
      <c r="U418" s="205" t="str">
        <f t="shared" si="90"/>
        <v>Öffnungslinien-Form</v>
      </c>
      <c r="V418" s="205" t="str">
        <f t="shared" si="90"/>
        <v>x</v>
      </c>
      <c r="W418" s="205" t="str">
        <f t="shared" si="90"/>
        <v/>
      </c>
      <c r="X418" s="205" t="str">
        <f t="shared" si="90"/>
        <v/>
      </c>
      <c r="Y418" s="205" t="str">
        <f t="shared" si="90"/>
        <v>or_iSwingType</v>
      </c>
    </row>
    <row r="419" spans="1:25">
      <c r="A419" s="204">
        <f t="shared" si="84"/>
        <v>417</v>
      </c>
      <c r="B419" s="205" t="str">
        <f t="shared" si="89"/>
        <v>x</v>
      </c>
      <c r="C419" s="205" t="str">
        <f t="shared" si="89"/>
        <v/>
      </c>
      <c r="D419" s="205" t="str">
        <f t="shared" si="89"/>
        <v/>
      </c>
      <c r="E419" s="205" t="str">
        <f t="shared" si="89"/>
        <v/>
      </c>
      <c r="F419" s="205" t="str">
        <f t="shared" si="89"/>
        <v/>
      </c>
      <c r="G419" s="205" t="str">
        <f t="shared" si="89"/>
        <v/>
      </c>
      <c r="H419" s="205" t="str">
        <f t="shared" si="89"/>
        <v/>
      </c>
      <c r="I419" s="205" t="str">
        <f t="shared" si="89"/>
        <v/>
      </c>
      <c r="J419" s="205" t="str">
        <f t="shared" si="89"/>
        <v/>
      </c>
      <c r="K419" s="205" t="str">
        <f t="shared" si="89"/>
        <v/>
      </c>
      <c r="L419" s="205" t="str">
        <f t="shared" si="90"/>
        <v>info</v>
      </c>
      <c r="M419" s="205" t="str">
        <f t="shared" si="90"/>
        <v>x</v>
      </c>
      <c r="N419" s="205" t="str">
        <f t="shared" si="90"/>
        <v/>
      </c>
      <c r="O419" s="205" t="str">
        <f t="shared" si="90"/>
        <v>model</v>
      </c>
      <c r="P419" s="206" t="str">
        <f t="shared" si="90"/>
        <v>String</v>
      </c>
      <c r="Q419" s="206" t="str">
        <f t="shared" si="90"/>
        <v>x</v>
      </c>
      <c r="R419" s="206" t="str">
        <f t="shared" si="90"/>
        <v>BS</v>
      </c>
      <c r="S419" s="206" t="str">
        <f t="shared" si="90"/>
        <v>all</v>
      </c>
      <c r="T419" s="205" t="str">
        <f t="shared" si="90"/>
        <v>Kein</v>
      </c>
      <c r="U419" s="205" t="str">
        <f t="shared" si="90"/>
        <v>Öffnungslinien-Form</v>
      </c>
      <c r="V419" s="205" t="str">
        <f t="shared" si="90"/>
        <v>x</v>
      </c>
      <c r="W419" s="205" t="str">
        <f t="shared" si="90"/>
        <v/>
      </c>
      <c r="X419" s="205" t="str">
        <f t="shared" si="90"/>
        <v/>
      </c>
      <c r="Y419" s="205" t="str">
        <f t="shared" si="90"/>
        <v>or_SlidingType</v>
      </c>
    </row>
    <row r="420" spans="1:25">
      <c r="A420" s="204">
        <f t="shared" si="84"/>
        <v>418</v>
      </c>
      <c r="B420" s="205" t="str">
        <f t="shared" si="89"/>
        <v>x</v>
      </c>
      <c r="C420" s="205" t="str">
        <f t="shared" si="89"/>
        <v>x</v>
      </c>
      <c r="D420" s="205" t="str">
        <f t="shared" si="89"/>
        <v/>
      </c>
      <c r="E420" s="205" t="str">
        <f t="shared" si="89"/>
        <v/>
      </c>
      <c r="F420" s="205" t="str">
        <f t="shared" si="89"/>
        <v/>
      </c>
      <c r="G420" s="205" t="str">
        <f t="shared" si="89"/>
        <v/>
      </c>
      <c r="H420" s="205" t="str">
        <f t="shared" si="89"/>
        <v/>
      </c>
      <c r="I420" s="205" t="str">
        <f t="shared" si="89"/>
        <v/>
      </c>
      <c r="J420" s="205" t="str">
        <f t="shared" si="89"/>
        <v/>
      </c>
      <c r="K420" s="205" t="str">
        <f t="shared" si="89"/>
        <v/>
      </c>
      <c r="L420" s="205" t="str">
        <f t="shared" si="90"/>
        <v>info</v>
      </c>
      <c r="M420" s="205" t="str">
        <f t="shared" si="90"/>
        <v>x</v>
      </c>
      <c r="N420" s="205" t="str">
        <f t="shared" si="90"/>
        <v/>
      </c>
      <c r="O420" s="205" t="str">
        <f t="shared" si="90"/>
        <v>model</v>
      </c>
      <c r="P420" s="206" t="str">
        <f t="shared" si="90"/>
        <v>Integer</v>
      </c>
      <c r="Q420" s="206" t="str">
        <f t="shared" si="90"/>
        <v>x</v>
      </c>
      <c r="R420" s="206" t="str">
        <f t="shared" si="90"/>
        <v>BS</v>
      </c>
      <c r="S420" s="206" t="str">
        <f t="shared" si="90"/>
        <v>all</v>
      </c>
      <c r="T420" s="205" t="str">
        <f t="shared" si="90"/>
        <v/>
      </c>
      <c r="U420" s="205" t="str">
        <f t="shared" si="90"/>
        <v>Öffnungslinien-Form</v>
      </c>
      <c r="V420" s="205" t="str">
        <f t="shared" si="90"/>
        <v>x</v>
      </c>
      <c r="W420" s="205" t="str">
        <f t="shared" si="90"/>
        <v/>
      </c>
      <c r="X420" s="205" t="str">
        <f t="shared" si="90"/>
        <v/>
      </c>
      <c r="Y420" s="205" t="str">
        <f t="shared" si="90"/>
        <v>or_iSlidingType</v>
      </c>
    </row>
    <row r="421" spans="1:25">
      <c r="A421" s="204">
        <f t="shared" si="84"/>
        <v>419</v>
      </c>
      <c r="B421" s="205" t="str">
        <f t="shared" si="89"/>
        <v>x</v>
      </c>
      <c r="C421" s="205" t="str">
        <f t="shared" si="89"/>
        <v/>
      </c>
      <c r="D421" s="205" t="str">
        <f t="shared" si="89"/>
        <v/>
      </c>
      <c r="E421" s="205" t="str">
        <f t="shared" si="89"/>
        <v/>
      </c>
      <c r="F421" s="205" t="str">
        <f t="shared" si="89"/>
        <v/>
      </c>
      <c r="G421" s="205" t="str">
        <f t="shared" si="89"/>
        <v/>
      </c>
      <c r="H421" s="205" t="str">
        <f t="shared" si="89"/>
        <v/>
      </c>
      <c r="I421" s="205" t="str">
        <f t="shared" si="89"/>
        <v/>
      </c>
      <c r="J421" s="205" t="str">
        <f t="shared" si="89"/>
        <v/>
      </c>
      <c r="K421" s="205" t="str">
        <f t="shared" si="89"/>
        <v/>
      </c>
      <c r="L421" s="205" t="str">
        <f t="shared" si="90"/>
        <v>info</v>
      </c>
      <c r="M421" s="205" t="str">
        <f t="shared" si="90"/>
        <v>x</v>
      </c>
      <c r="N421" s="205" t="str">
        <f t="shared" si="90"/>
        <v/>
      </c>
      <c r="O421" s="205" t="str">
        <f t="shared" si="90"/>
        <v>model</v>
      </c>
      <c r="P421" s="206" t="str">
        <f t="shared" si="90"/>
        <v>PenColor</v>
      </c>
      <c r="Q421" s="206" t="str">
        <f t="shared" si="90"/>
        <v>x</v>
      </c>
      <c r="R421" s="206" t="str">
        <f t="shared" si="90"/>
        <v>BS</v>
      </c>
      <c r="S421" s="206" t="str">
        <f t="shared" si="90"/>
        <v>all</v>
      </c>
      <c r="T421" s="205">
        <f t="shared" si="90"/>
        <v>1</v>
      </c>
      <c r="U421" s="205" t="str">
        <f t="shared" si="90"/>
        <v>2D &amp; 3D Öffnungslinien-Stift</v>
      </c>
      <c r="V421" s="205" t="str">
        <f t="shared" si="90"/>
        <v>x</v>
      </c>
      <c r="W421" s="205" t="str">
        <f t="shared" si="90"/>
        <v/>
      </c>
      <c r="X421" s="205" t="str">
        <f t="shared" si="90"/>
        <v/>
      </c>
      <c r="Y421" s="205" t="str">
        <f t="shared" si="90"/>
        <v>or_opLinePen</v>
      </c>
    </row>
    <row r="422" spans="1:25">
      <c r="A422" s="204">
        <f t="shared" si="84"/>
        <v>420</v>
      </c>
      <c r="B422" s="205" t="str">
        <f t="shared" si="89"/>
        <v>x</v>
      </c>
      <c r="C422" s="205" t="str">
        <f t="shared" si="89"/>
        <v>x</v>
      </c>
      <c r="D422" s="205" t="str">
        <f t="shared" si="89"/>
        <v/>
      </c>
      <c r="E422" s="205" t="str">
        <f t="shared" si="89"/>
        <v/>
      </c>
      <c r="F422" s="205" t="str">
        <f t="shared" si="89"/>
        <v/>
      </c>
      <c r="G422" s="205" t="str">
        <f t="shared" si="89"/>
        <v/>
      </c>
      <c r="H422" s="205" t="str">
        <f t="shared" si="89"/>
        <v/>
      </c>
      <c r="I422" s="205" t="str">
        <f t="shared" si="89"/>
        <v/>
      </c>
      <c r="J422" s="205" t="str">
        <f t="shared" si="89"/>
        <v/>
      </c>
      <c r="K422" s="205" t="str">
        <f t="shared" si="89"/>
        <v/>
      </c>
      <c r="L422" s="205" t="str">
        <f t="shared" si="90"/>
        <v>info</v>
      </c>
      <c r="M422" s="205" t="str">
        <f t="shared" si="90"/>
        <v>x</v>
      </c>
      <c r="N422" s="205" t="str">
        <f t="shared" si="90"/>
        <v/>
      </c>
      <c r="O422" s="205" t="str">
        <f t="shared" si="90"/>
        <v>model</v>
      </c>
      <c r="P422" s="206" t="str">
        <f t="shared" si="90"/>
        <v>Integer</v>
      </c>
      <c r="Q422" s="206" t="str">
        <f t="shared" si="90"/>
        <v>x</v>
      </c>
      <c r="R422" s="206" t="str">
        <f t="shared" si="90"/>
        <v>BS</v>
      </c>
      <c r="S422" s="206" t="str">
        <f t="shared" si="90"/>
        <v>all</v>
      </c>
      <c r="T422" s="205">
        <f t="shared" si="90"/>
        <v>1</v>
      </c>
      <c r="U422" s="205" t="str">
        <f t="shared" si="90"/>
        <v>2D &amp; 3D Öffnungslinien-Stift</v>
      </c>
      <c r="V422" s="205" t="str">
        <f t="shared" si="90"/>
        <v>x</v>
      </c>
      <c r="W422" s="205" t="str">
        <f t="shared" si="90"/>
        <v/>
      </c>
      <c r="X422" s="205" t="str">
        <f t="shared" si="90"/>
        <v/>
      </c>
      <c r="Y422" s="205" t="str">
        <f t="shared" si="90"/>
        <v>or_iOpLinePen</v>
      </c>
    </row>
    <row r="423" spans="1:25">
      <c r="A423" s="204">
        <f t="shared" si="84"/>
        <v>421</v>
      </c>
      <c r="B423" s="205" t="str">
        <f t="shared" ref="B423:K432" si="91">IF(ISNONTEXT(B$2),IF(B$2="","",IF(INDEX(IMPORT,$A423,B$2)=0,"",IFERROR(VLOOKUP(INDEX(IMPORT,$A423,B$2),ImportTranslation,2,0),INDEX(IMPORT,$A423,B$2)))),B$2)</f>
        <v>x</v>
      </c>
      <c r="C423" s="205" t="str">
        <f t="shared" si="91"/>
        <v/>
      </c>
      <c r="D423" s="205" t="str">
        <f t="shared" si="91"/>
        <v/>
      </c>
      <c r="E423" s="205" t="str">
        <f t="shared" si="91"/>
        <v/>
      </c>
      <c r="F423" s="205" t="str">
        <f t="shared" si="91"/>
        <v/>
      </c>
      <c r="G423" s="205" t="str">
        <f t="shared" si="91"/>
        <v/>
      </c>
      <c r="H423" s="205" t="str">
        <f t="shared" si="91"/>
        <v/>
      </c>
      <c r="I423" s="205" t="str">
        <f t="shared" si="91"/>
        <v/>
      </c>
      <c r="J423" s="205" t="str">
        <f t="shared" si="91"/>
        <v/>
      </c>
      <c r="K423" s="205" t="str">
        <f t="shared" si="91"/>
        <v/>
      </c>
      <c r="L423" s="205" t="str">
        <f t="shared" ref="L423:Y432" si="92">IF(ISNONTEXT(L$2),IF(L$2="","",IF(INDEX(IMPORT,$A423,L$2)=0,"",IFERROR(VLOOKUP(INDEX(IMPORT,$A423,L$2),ImportTranslation,2,0),INDEX(IMPORT,$A423,L$2)))),L$2)</f>
        <v>info</v>
      </c>
      <c r="M423" s="205" t="str">
        <f t="shared" si="92"/>
        <v>x</v>
      </c>
      <c r="N423" s="205" t="str">
        <f t="shared" si="92"/>
        <v/>
      </c>
      <c r="O423" s="205" t="str">
        <f t="shared" si="92"/>
        <v>model</v>
      </c>
      <c r="P423" s="206" t="str">
        <f t="shared" si="92"/>
        <v>Boolean</v>
      </c>
      <c r="Q423" s="206" t="str">
        <f t="shared" si="92"/>
        <v>x</v>
      </c>
      <c r="R423" s="206" t="str">
        <f t="shared" si="92"/>
        <v>BS</v>
      </c>
      <c r="S423" s="206" t="str">
        <f t="shared" si="92"/>
        <v>all</v>
      </c>
      <c r="T423" s="205" t="str">
        <f t="shared" si="92"/>
        <v/>
      </c>
      <c r="U423" s="205" t="str">
        <f t="shared" si="92"/>
        <v>Modelldarstell. für 3D-Darstellung überschreiben</v>
      </c>
      <c r="V423" s="205" t="str">
        <f t="shared" si="92"/>
        <v>x</v>
      </c>
      <c r="W423" s="205" t="str">
        <f t="shared" si="92"/>
        <v/>
      </c>
      <c r="X423" s="205" t="str">
        <f t="shared" si="92"/>
        <v/>
      </c>
      <c r="Y423" s="205" t="str">
        <f t="shared" si="92"/>
        <v>bOverride_MVO_3D</v>
      </c>
    </row>
    <row r="424" spans="1:25">
      <c r="A424" s="204">
        <f t="shared" si="84"/>
        <v>422</v>
      </c>
      <c r="B424" s="205" t="str">
        <f t="shared" si="91"/>
        <v>x</v>
      </c>
      <c r="C424" s="205" t="str">
        <f t="shared" si="91"/>
        <v/>
      </c>
      <c r="D424" s="205" t="str">
        <f t="shared" si="91"/>
        <v/>
      </c>
      <c r="E424" s="205" t="str">
        <f t="shared" si="91"/>
        <v/>
      </c>
      <c r="F424" s="205" t="str">
        <f t="shared" si="91"/>
        <v/>
      </c>
      <c r="G424" s="205" t="str">
        <f t="shared" si="91"/>
        <v/>
      </c>
      <c r="H424" s="205" t="str">
        <f t="shared" si="91"/>
        <v/>
      </c>
      <c r="I424" s="205" t="str">
        <f t="shared" si="91"/>
        <v/>
      </c>
      <c r="J424" s="205" t="str">
        <f t="shared" si="91"/>
        <v/>
      </c>
      <c r="K424" s="205" t="str">
        <f t="shared" si="91"/>
        <v/>
      </c>
      <c r="L424" s="205" t="str">
        <f t="shared" si="92"/>
        <v>info</v>
      </c>
      <c r="M424" s="205" t="str">
        <f t="shared" si="92"/>
        <v>x</v>
      </c>
      <c r="N424" s="205" t="str">
        <f t="shared" si="92"/>
        <v/>
      </c>
      <c r="O424" s="205" t="str">
        <f t="shared" si="92"/>
        <v>model</v>
      </c>
      <c r="P424" s="206" t="str">
        <f t="shared" si="92"/>
        <v>Boolean</v>
      </c>
      <c r="Q424" s="206" t="str">
        <f t="shared" si="92"/>
        <v>x</v>
      </c>
      <c r="R424" s="206" t="str">
        <f t="shared" si="92"/>
        <v>BS</v>
      </c>
      <c r="S424" s="206" t="str">
        <f t="shared" si="92"/>
        <v>all</v>
      </c>
      <c r="T424" s="205">
        <f t="shared" si="92"/>
        <v>1</v>
      </c>
      <c r="U424" s="205" t="str">
        <f t="shared" si="92"/>
        <v>Öffnungslinie zeigen</v>
      </c>
      <c r="V424" s="205" t="str">
        <f t="shared" si="92"/>
        <v>x</v>
      </c>
      <c r="W424" s="205" t="str">
        <f t="shared" si="92"/>
        <v/>
      </c>
      <c r="X424" s="205" t="str">
        <f t="shared" si="92"/>
        <v/>
      </c>
      <c r="Y424" s="205" t="str">
        <f t="shared" si="92"/>
        <v>or_bOplines3d</v>
      </c>
    </row>
    <row r="425" spans="1:25">
      <c r="A425" s="204">
        <f t="shared" si="84"/>
        <v>423</v>
      </c>
      <c r="B425" s="205" t="str">
        <f t="shared" si="91"/>
        <v>x</v>
      </c>
      <c r="C425" s="205" t="str">
        <f t="shared" si="91"/>
        <v/>
      </c>
      <c r="D425" s="205" t="str">
        <f t="shared" si="91"/>
        <v/>
      </c>
      <c r="E425" s="205" t="str">
        <f t="shared" si="91"/>
        <v/>
      </c>
      <c r="F425" s="205" t="str">
        <f t="shared" si="91"/>
        <v/>
      </c>
      <c r="G425" s="205" t="str">
        <f t="shared" si="91"/>
        <v/>
      </c>
      <c r="H425" s="205" t="str">
        <f t="shared" si="91"/>
        <v/>
      </c>
      <c r="I425" s="205" t="str">
        <f t="shared" si="91"/>
        <v/>
      </c>
      <c r="J425" s="205" t="str">
        <f t="shared" si="91"/>
        <v/>
      </c>
      <c r="K425" s="205" t="str">
        <f t="shared" si="91"/>
        <v/>
      </c>
      <c r="L425" s="205" t="str">
        <f t="shared" si="92"/>
        <v>info</v>
      </c>
      <c r="M425" s="205" t="str">
        <f t="shared" si="92"/>
        <v>x</v>
      </c>
      <c r="N425" s="205" t="str">
        <f t="shared" si="92"/>
        <v/>
      </c>
      <c r="O425" s="205" t="str">
        <f t="shared" si="92"/>
        <v>model</v>
      </c>
      <c r="P425" s="206" t="str">
        <f t="shared" si="92"/>
        <v>String</v>
      </c>
      <c r="Q425" s="206" t="str">
        <f t="shared" si="92"/>
        <v>x</v>
      </c>
      <c r="R425" s="206" t="str">
        <f t="shared" si="92"/>
        <v>BS</v>
      </c>
      <c r="S425" s="206" t="str">
        <f t="shared" si="92"/>
        <v>all</v>
      </c>
      <c r="T425" s="205" t="str">
        <f t="shared" si="92"/>
        <v>Vollinie</v>
      </c>
      <c r="U425" s="205" t="str">
        <f t="shared" si="92"/>
        <v>Linientyp Öffnungsseite</v>
      </c>
      <c r="V425" s="205" t="str">
        <f t="shared" si="92"/>
        <v>x</v>
      </c>
      <c r="W425" s="205" t="str">
        <f t="shared" si="92"/>
        <v/>
      </c>
      <c r="X425" s="205" t="str">
        <f t="shared" si="92"/>
        <v/>
      </c>
      <c r="Y425" s="205" t="str">
        <f t="shared" si="92"/>
        <v>or_opLineType3dIn</v>
      </c>
    </row>
    <row r="426" spans="1:25">
      <c r="A426" s="204">
        <f t="shared" si="84"/>
        <v>424</v>
      </c>
      <c r="B426" s="205" t="str">
        <f t="shared" si="91"/>
        <v>x</v>
      </c>
      <c r="C426" s="205" t="str">
        <f t="shared" si="91"/>
        <v>x</v>
      </c>
      <c r="D426" s="205" t="str">
        <f t="shared" si="91"/>
        <v/>
      </c>
      <c r="E426" s="205" t="str">
        <f t="shared" si="91"/>
        <v/>
      </c>
      <c r="F426" s="205" t="str">
        <f t="shared" si="91"/>
        <v/>
      </c>
      <c r="G426" s="205" t="str">
        <f t="shared" si="91"/>
        <v/>
      </c>
      <c r="H426" s="205" t="str">
        <f t="shared" si="91"/>
        <v/>
      </c>
      <c r="I426" s="205" t="str">
        <f t="shared" si="91"/>
        <v/>
      </c>
      <c r="J426" s="205" t="str">
        <f t="shared" si="91"/>
        <v/>
      </c>
      <c r="K426" s="205" t="str">
        <f t="shared" si="91"/>
        <v/>
      </c>
      <c r="L426" s="205" t="str">
        <f t="shared" si="92"/>
        <v>info</v>
      </c>
      <c r="M426" s="205" t="str">
        <f t="shared" si="92"/>
        <v>x</v>
      </c>
      <c r="N426" s="205" t="str">
        <f t="shared" si="92"/>
        <v/>
      </c>
      <c r="O426" s="205" t="str">
        <f t="shared" si="92"/>
        <v>model</v>
      </c>
      <c r="P426" s="206" t="str">
        <f t="shared" si="92"/>
        <v>Integer</v>
      </c>
      <c r="Q426" s="206" t="str">
        <f t="shared" si="92"/>
        <v>x</v>
      </c>
      <c r="R426" s="206" t="str">
        <f t="shared" si="92"/>
        <v>BS</v>
      </c>
      <c r="S426" s="206" t="str">
        <f t="shared" si="92"/>
        <v>all</v>
      </c>
      <c r="T426" s="205" t="str">
        <f t="shared" si="92"/>
        <v/>
      </c>
      <c r="U426" s="205" t="str">
        <f t="shared" si="92"/>
        <v>Linientyp Öffnungsseite</v>
      </c>
      <c r="V426" s="205" t="str">
        <f t="shared" si="92"/>
        <v>x</v>
      </c>
      <c r="W426" s="205" t="str">
        <f t="shared" si="92"/>
        <v/>
      </c>
      <c r="X426" s="205" t="str">
        <f t="shared" si="92"/>
        <v/>
      </c>
      <c r="Y426" s="205" t="str">
        <f t="shared" si="92"/>
        <v>or_iOpLineType3dIn</v>
      </c>
    </row>
    <row r="427" spans="1:25">
      <c r="A427" s="204">
        <f t="shared" si="84"/>
        <v>425</v>
      </c>
      <c r="B427" s="205" t="str">
        <f t="shared" si="91"/>
        <v>x</v>
      </c>
      <c r="C427" s="205" t="str">
        <f t="shared" si="91"/>
        <v/>
      </c>
      <c r="D427" s="205" t="str">
        <f t="shared" si="91"/>
        <v/>
      </c>
      <c r="E427" s="205" t="str">
        <f t="shared" si="91"/>
        <v/>
      </c>
      <c r="F427" s="205" t="str">
        <f t="shared" si="91"/>
        <v/>
      </c>
      <c r="G427" s="205" t="str">
        <f t="shared" si="91"/>
        <v/>
      </c>
      <c r="H427" s="205" t="str">
        <f t="shared" si="91"/>
        <v/>
      </c>
      <c r="I427" s="205" t="str">
        <f t="shared" si="91"/>
        <v/>
      </c>
      <c r="J427" s="205" t="str">
        <f t="shared" si="91"/>
        <v/>
      </c>
      <c r="K427" s="205" t="str">
        <f t="shared" si="91"/>
        <v/>
      </c>
      <c r="L427" s="205" t="str">
        <f t="shared" si="92"/>
        <v>info</v>
      </c>
      <c r="M427" s="205" t="str">
        <f t="shared" si="92"/>
        <v>x</v>
      </c>
      <c r="N427" s="205" t="str">
        <f t="shared" si="92"/>
        <v/>
      </c>
      <c r="O427" s="205" t="str">
        <f t="shared" si="92"/>
        <v>model</v>
      </c>
      <c r="P427" s="206" t="str">
        <f t="shared" si="92"/>
        <v>String</v>
      </c>
      <c r="Q427" s="206" t="str">
        <f t="shared" si="92"/>
        <v>x</v>
      </c>
      <c r="R427" s="206" t="str">
        <f t="shared" si="92"/>
        <v>BS</v>
      </c>
      <c r="S427" s="206" t="str">
        <f t="shared" si="92"/>
        <v>all</v>
      </c>
      <c r="T427" s="205" t="str">
        <f t="shared" si="92"/>
        <v>Strichlinie</v>
      </c>
      <c r="U427" s="205" t="str">
        <f t="shared" si="92"/>
        <v>Linientyp Gegenüberliegende Seite</v>
      </c>
      <c r="V427" s="205" t="str">
        <f t="shared" si="92"/>
        <v>x</v>
      </c>
      <c r="W427" s="205" t="str">
        <f t="shared" si="92"/>
        <v/>
      </c>
      <c r="X427" s="205" t="str">
        <f t="shared" si="92"/>
        <v/>
      </c>
      <c r="Y427" s="205" t="str">
        <f t="shared" si="92"/>
        <v>or_opLineType3dOut</v>
      </c>
    </row>
    <row r="428" spans="1:25">
      <c r="A428" s="204">
        <f t="shared" si="84"/>
        <v>426</v>
      </c>
      <c r="B428" s="205" t="str">
        <f t="shared" si="91"/>
        <v>x</v>
      </c>
      <c r="C428" s="205" t="str">
        <f t="shared" si="91"/>
        <v>x</v>
      </c>
      <c r="D428" s="205" t="str">
        <f t="shared" si="91"/>
        <v/>
      </c>
      <c r="E428" s="205" t="str">
        <f t="shared" si="91"/>
        <v/>
      </c>
      <c r="F428" s="205" t="str">
        <f t="shared" si="91"/>
        <v/>
      </c>
      <c r="G428" s="205" t="str">
        <f t="shared" si="91"/>
        <v/>
      </c>
      <c r="H428" s="205" t="str">
        <f t="shared" si="91"/>
        <v/>
      </c>
      <c r="I428" s="205" t="str">
        <f t="shared" si="91"/>
        <v/>
      </c>
      <c r="J428" s="205" t="str">
        <f t="shared" si="91"/>
        <v/>
      </c>
      <c r="K428" s="205" t="str">
        <f t="shared" si="91"/>
        <v/>
      </c>
      <c r="L428" s="205" t="str">
        <f t="shared" si="92"/>
        <v>info</v>
      </c>
      <c r="M428" s="205" t="str">
        <f t="shared" si="92"/>
        <v>x</v>
      </c>
      <c r="N428" s="205" t="str">
        <f t="shared" si="92"/>
        <v/>
      </c>
      <c r="O428" s="205" t="str">
        <f t="shared" si="92"/>
        <v>model</v>
      </c>
      <c r="P428" s="206" t="str">
        <f t="shared" si="92"/>
        <v>Integer</v>
      </c>
      <c r="Q428" s="206" t="str">
        <f t="shared" si="92"/>
        <v>x</v>
      </c>
      <c r="R428" s="206" t="str">
        <f t="shared" si="92"/>
        <v>BS</v>
      </c>
      <c r="S428" s="206" t="str">
        <f t="shared" si="92"/>
        <v>all</v>
      </c>
      <c r="T428" s="205">
        <f t="shared" si="92"/>
        <v>1</v>
      </c>
      <c r="U428" s="205" t="str">
        <f t="shared" si="92"/>
        <v>Linientyp Gegenüberliegende Seite</v>
      </c>
      <c r="V428" s="205" t="str">
        <f t="shared" si="92"/>
        <v>x</v>
      </c>
      <c r="W428" s="205" t="str">
        <f t="shared" si="92"/>
        <v/>
      </c>
      <c r="X428" s="205" t="str">
        <f t="shared" si="92"/>
        <v/>
      </c>
      <c r="Y428" s="205" t="str">
        <f t="shared" si="92"/>
        <v>or_iOpLineType3dOut</v>
      </c>
    </row>
    <row r="429" spans="1:25">
      <c r="A429" s="204">
        <f t="shared" si="84"/>
        <v>427</v>
      </c>
      <c r="B429" s="205" t="str">
        <f t="shared" si="91"/>
        <v>x</v>
      </c>
      <c r="C429" s="205" t="str">
        <f t="shared" si="91"/>
        <v/>
      </c>
      <c r="D429" s="205" t="str">
        <f t="shared" si="91"/>
        <v/>
      </c>
      <c r="E429" s="205" t="str">
        <f t="shared" si="91"/>
        <v/>
      </c>
      <c r="F429" s="205" t="str">
        <f t="shared" si="91"/>
        <v/>
      </c>
      <c r="G429" s="205" t="str">
        <f t="shared" si="91"/>
        <v/>
      </c>
      <c r="H429" s="205" t="str">
        <f t="shared" si="91"/>
        <v/>
      </c>
      <c r="I429" s="205" t="str">
        <f t="shared" si="91"/>
        <v/>
      </c>
      <c r="J429" s="205" t="str">
        <f t="shared" si="91"/>
        <v/>
      </c>
      <c r="K429" s="205" t="str">
        <f t="shared" si="91"/>
        <v/>
      </c>
      <c r="L429" s="205" t="str">
        <f t="shared" si="92"/>
        <v>info</v>
      </c>
      <c r="M429" s="205" t="str">
        <f t="shared" si="92"/>
        <v>x</v>
      </c>
      <c r="N429" s="205" t="str">
        <f t="shared" si="92"/>
        <v/>
      </c>
      <c r="O429" s="205" t="str">
        <f t="shared" si="92"/>
        <v>model</v>
      </c>
      <c r="P429" s="206" t="str">
        <f t="shared" si="92"/>
        <v>String</v>
      </c>
      <c r="Q429" s="206" t="str">
        <f t="shared" si="92"/>
        <v>x</v>
      </c>
      <c r="R429" s="206" t="str">
        <f t="shared" si="92"/>
        <v>BS</v>
      </c>
      <c r="S429" s="206" t="str">
        <f t="shared" si="92"/>
        <v>all</v>
      </c>
      <c r="T429" s="205" t="str">
        <f t="shared" si="92"/>
        <v>Strichlinie</v>
      </c>
      <c r="U429" s="205" t="str">
        <f t="shared" si="92"/>
        <v>Standflügel Linientyp in 3D</v>
      </c>
      <c r="V429" s="205" t="str">
        <f t="shared" si="92"/>
        <v>x</v>
      </c>
      <c r="W429" s="205" t="str">
        <f t="shared" si="92"/>
        <v/>
      </c>
      <c r="X429" s="205" t="str">
        <f t="shared" si="92"/>
        <v/>
      </c>
      <c r="Y429" s="205" t="str">
        <f t="shared" si="92"/>
        <v>or_opLineType3dSecondary</v>
      </c>
    </row>
    <row r="430" spans="1:25">
      <c r="A430" s="204">
        <f t="shared" si="84"/>
        <v>428</v>
      </c>
      <c r="B430" s="205" t="str">
        <f t="shared" si="91"/>
        <v>x</v>
      </c>
      <c r="C430" s="205" t="str">
        <f t="shared" si="91"/>
        <v>x</v>
      </c>
      <c r="D430" s="205" t="str">
        <f t="shared" si="91"/>
        <v/>
      </c>
      <c r="E430" s="205" t="str">
        <f t="shared" si="91"/>
        <v/>
      </c>
      <c r="F430" s="205" t="str">
        <f t="shared" si="91"/>
        <v/>
      </c>
      <c r="G430" s="205" t="str">
        <f t="shared" si="91"/>
        <v/>
      </c>
      <c r="H430" s="205" t="str">
        <f t="shared" si="91"/>
        <v/>
      </c>
      <c r="I430" s="205" t="str">
        <f t="shared" si="91"/>
        <v/>
      </c>
      <c r="J430" s="205" t="str">
        <f t="shared" si="91"/>
        <v/>
      </c>
      <c r="K430" s="205" t="str">
        <f t="shared" si="91"/>
        <v/>
      </c>
      <c r="L430" s="205" t="str">
        <f t="shared" si="92"/>
        <v>info</v>
      </c>
      <c r="M430" s="205" t="str">
        <f t="shared" si="92"/>
        <v>x</v>
      </c>
      <c r="N430" s="205" t="str">
        <f t="shared" si="92"/>
        <v/>
      </c>
      <c r="O430" s="205" t="str">
        <f t="shared" si="92"/>
        <v>model</v>
      </c>
      <c r="P430" s="206" t="str">
        <f t="shared" si="92"/>
        <v>Integer</v>
      </c>
      <c r="Q430" s="206" t="str">
        <f t="shared" si="92"/>
        <v>x</v>
      </c>
      <c r="R430" s="206" t="str">
        <f t="shared" si="92"/>
        <v>BS</v>
      </c>
      <c r="S430" s="206" t="str">
        <f t="shared" si="92"/>
        <v>all</v>
      </c>
      <c r="T430" s="205">
        <f t="shared" si="92"/>
        <v>1</v>
      </c>
      <c r="U430" s="205" t="str">
        <f t="shared" si="92"/>
        <v>Standflügel Linientyp</v>
      </c>
      <c r="V430" s="205" t="str">
        <f t="shared" si="92"/>
        <v>x</v>
      </c>
      <c r="W430" s="205" t="str">
        <f t="shared" si="92"/>
        <v/>
      </c>
      <c r="X430" s="205" t="str">
        <f t="shared" si="92"/>
        <v/>
      </c>
      <c r="Y430" s="205" t="str">
        <f t="shared" si="92"/>
        <v>or_iOpLineType3dSecondary</v>
      </c>
    </row>
    <row r="431" spans="1:25">
      <c r="A431" s="204">
        <f t="shared" si="84"/>
        <v>429</v>
      </c>
      <c r="B431" s="205" t="str">
        <f t="shared" si="91"/>
        <v>x</v>
      </c>
      <c r="C431" s="205" t="str">
        <f t="shared" si="91"/>
        <v/>
      </c>
      <c r="D431" s="205" t="str">
        <f t="shared" si="91"/>
        <v/>
      </c>
      <c r="E431" s="205" t="str">
        <f t="shared" si="91"/>
        <v/>
      </c>
      <c r="F431" s="205" t="str">
        <f t="shared" si="91"/>
        <v/>
      </c>
      <c r="G431" s="205" t="str">
        <f t="shared" si="91"/>
        <v/>
      </c>
      <c r="H431" s="205" t="str">
        <f t="shared" si="91"/>
        <v/>
      </c>
      <c r="I431" s="205" t="str">
        <f t="shared" si="91"/>
        <v/>
      </c>
      <c r="J431" s="205" t="str">
        <f t="shared" si="91"/>
        <v/>
      </c>
      <c r="K431" s="205" t="str">
        <f t="shared" si="91"/>
        <v/>
      </c>
      <c r="L431" s="205" t="str">
        <f t="shared" si="92"/>
        <v>info</v>
      </c>
      <c r="M431" s="205" t="str">
        <f t="shared" si="92"/>
        <v>x</v>
      </c>
      <c r="N431" s="205" t="str">
        <f t="shared" si="92"/>
        <v/>
      </c>
      <c r="O431" s="205" t="str">
        <f t="shared" si="92"/>
        <v>model</v>
      </c>
      <c r="P431" s="206" t="str">
        <f t="shared" si="92"/>
        <v>String</v>
      </c>
      <c r="Q431" s="206" t="str">
        <f t="shared" si="92"/>
        <v>x</v>
      </c>
      <c r="R431" s="206" t="str">
        <f t="shared" si="92"/>
        <v>BS</v>
      </c>
      <c r="S431" s="206" t="str">
        <f t="shared" si="92"/>
        <v>all</v>
      </c>
      <c r="T431" s="205" t="str">
        <f t="shared" si="92"/>
        <v>Griff</v>
      </c>
      <c r="U431" s="205" t="str">
        <f t="shared" si="92"/>
        <v>Linien-Ausrichtung</v>
      </c>
      <c r="V431" s="205" t="str">
        <f t="shared" si="92"/>
        <v>x</v>
      </c>
      <c r="W431" s="205" t="str">
        <f t="shared" si="92"/>
        <v/>
      </c>
      <c r="X431" s="205" t="str">
        <f t="shared" si="92"/>
        <v/>
      </c>
      <c r="Y431" s="205" t="str">
        <f t="shared" si="92"/>
        <v>or_oplineStyle</v>
      </c>
    </row>
    <row r="432" spans="1:25">
      <c r="A432" s="204">
        <f t="shared" si="84"/>
        <v>430</v>
      </c>
      <c r="B432" s="205" t="str">
        <f t="shared" si="91"/>
        <v>x</v>
      </c>
      <c r="C432" s="205" t="str">
        <f t="shared" si="91"/>
        <v>x</v>
      </c>
      <c r="D432" s="205" t="str">
        <f t="shared" si="91"/>
        <v/>
      </c>
      <c r="E432" s="205" t="str">
        <f t="shared" si="91"/>
        <v/>
      </c>
      <c r="F432" s="205" t="str">
        <f t="shared" si="91"/>
        <v/>
      </c>
      <c r="G432" s="205" t="str">
        <f t="shared" si="91"/>
        <v/>
      </c>
      <c r="H432" s="205" t="str">
        <f t="shared" si="91"/>
        <v/>
      </c>
      <c r="I432" s="205" t="str">
        <f t="shared" si="91"/>
        <v/>
      </c>
      <c r="J432" s="205" t="str">
        <f t="shared" si="91"/>
        <v/>
      </c>
      <c r="K432" s="205" t="str">
        <f t="shared" si="91"/>
        <v/>
      </c>
      <c r="L432" s="205" t="str">
        <f t="shared" si="92"/>
        <v>info</v>
      </c>
      <c r="M432" s="205" t="str">
        <f t="shared" si="92"/>
        <v>x</v>
      </c>
      <c r="N432" s="205" t="str">
        <f t="shared" si="92"/>
        <v/>
      </c>
      <c r="O432" s="205" t="str">
        <f t="shared" si="92"/>
        <v>model</v>
      </c>
      <c r="P432" s="206" t="str">
        <f t="shared" si="92"/>
        <v>Integer</v>
      </c>
      <c r="Q432" s="206" t="str">
        <f t="shared" si="92"/>
        <v>x</v>
      </c>
      <c r="R432" s="206" t="str">
        <f t="shared" si="92"/>
        <v>BS</v>
      </c>
      <c r="S432" s="206" t="str">
        <f t="shared" si="92"/>
        <v>all</v>
      </c>
      <c r="T432" s="205">
        <f t="shared" si="92"/>
        <v>1</v>
      </c>
      <c r="U432" s="205" t="str">
        <f t="shared" si="92"/>
        <v>Linien-Ausrichtung</v>
      </c>
      <c r="V432" s="205" t="str">
        <f t="shared" si="92"/>
        <v>x</v>
      </c>
      <c r="W432" s="205" t="str">
        <f t="shared" si="92"/>
        <v/>
      </c>
      <c r="X432" s="205" t="str">
        <f t="shared" si="92"/>
        <v/>
      </c>
      <c r="Y432" s="205" t="str">
        <f t="shared" si="92"/>
        <v>or_iOplineStyle</v>
      </c>
    </row>
    <row r="433" spans="1:25">
      <c r="A433" s="204">
        <f t="shared" si="84"/>
        <v>431</v>
      </c>
      <c r="B433" s="205" t="str">
        <f t="shared" ref="B433:K442" si="93">IF(ISNONTEXT(B$2),IF(B$2="","",IF(INDEX(IMPORT,$A433,B$2)=0,"",IFERROR(VLOOKUP(INDEX(IMPORT,$A433,B$2),ImportTranslation,2,0),INDEX(IMPORT,$A433,B$2)))),B$2)</f>
        <v>x</v>
      </c>
      <c r="C433" s="205" t="str">
        <f t="shared" si="93"/>
        <v/>
      </c>
      <c r="D433" s="205" t="str">
        <f t="shared" si="93"/>
        <v/>
      </c>
      <c r="E433" s="205" t="str">
        <f t="shared" si="93"/>
        <v/>
      </c>
      <c r="F433" s="205" t="str">
        <f t="shared" si="93"/>
        <v/>
      </c>
      <c r="G433" s="205" t="str">
        <f t="shared" si="93"/>
        <v/>
      </c>
      <c r="H433" s="205" t="str">
        <f t="shared" si="93"/>
        <v/>
      </c>
      <c r="I433" s="205" t="str">
        <f t="shared" si="93"/>
        <v/>
      </c>
      <c r="J433" s="205" t="str">
        <f t="shared" si="93"/>
        <v/>
      </c>
      <c r="K433" s="205" t="str">
        <f t="shared" si="93"/>
        <v/>
      </c>
      <c r="L433" s="205" t="str">
        <f t="shared" ref="L433:Y442" si="94">IF(ISNONTEXT(L$2),IF(L$2="","",IF(INDEX(IMPORT,$A433,L$2)=0,"",IFERROR(VLOOKUP(INDEX(IMPORT,$A433,L$2),ImportTranslation,2,0),INDEX(IMPORT,$A433,L$2)))),L$2)</f>
        <v>info</v>
      </c>
      <c r="M433" s="205" t="str">
        <f t="shared" si="94"/>
        <v/>
      </c>
      <c r="N433" s="205" t="str">
        <f t="shared" si="94"/>
        <v/>
      </c>
      <c r="O433" s="205" t="str">
        <f t="shared" si="94"/>
        <v>model</v>
      </c>
      <c r="P433" s="206" t="str">
        <f t="shared" si="94"/>
        <v>Title</v>
      </c>
      <c r="Q433" s="206" t="str">
        <f t="shared" si="94"/>
        <v>x</v>
      </c>
      <c r="R433" s="206" t="str">
        <f t="shared" si="94"/>
        <v>BS</v>
      </c>
      <c r="S433" s="206" t="str">
        <f t="shared" si="94"/>
        <v>all</v>
      </c>
      <c r="T433" s="205" t="str">
        <f t="shared" si="94"/>
        <v/>
      </c>
      <c r="U433" s="205" t="str">
        <f t="shared" si="94"/>
        <v>Detaillierungsgrad</v>
      </c>
      <c r="V433" s="205" t="str">
        <f t="shared" si="94"/>
        <v/>
      </c>
      <c r="W433" s="205" t="str">
        <f t="shared" si="94"/>
        <v/>
      </c>
      <c r="X433" s="205" t="str">
        <f t="shared" si="94"/>
        <v/>
      </c>
      <c r="Y433" s="205" t="str">
        <f t="shared" si="94"/>
        <v>gs_detail_level</v>
      </c>
    </row>
    <row r="434" spans="1:25">
      <c r="A434" s="204">
        <f t="shared" si="84"/>
        <v>432</v>
      </c>
      <c r="B434" s="205" t="str">
        <f t="shared" si="93"/>
        <v>x</v>
      </c>
      <c r="C434" s="205" t="str">
        <f t="shared" si="93"/>
        <v/>
      </c>
      <c r="D434" s="205" t="str">
        <f t="shared" si="93"/>
        <v/>
      </c>
      <c r="E434" s="205" t="str">
        <f t="shared" si="93"/>
        <v/>
      </c>
      <c r="F434" s="205" t="str">
        <f t="shared" si="93"/>
        <v/>
      </c>
      <c r="G434" s="205" t="str">
        <f t="shared" si="93"/>
        <v/>
      </c>
      <c r="H434" s="205" t="str">
        <f t="shared" si="93"/>
        <v/>
      </c>
      <c r="I434" s="205" t="str">
        <f t="shared" si="93"/>
        <v/>
      </c>
      <c r="J434" s="205" t="str">
        <f t="shared" si="93"/>
        <v/>
      </c>
      <c r="K434" s="205" t="str">
        <f t="shared" si="93"/>
        <v/>
      </c>
      <c r="L434" s="205" t="str">
        <f t="shared" si="94"/>
        <v>info</v>
      </c>
      <c r="M434" s="205" t="str">
        <f t="shared" si="94"/>
        <v>x</v>
      </c>
      <c r="N434" s="205" t="str">
        <f t="shared" si="94"/>
        <v/>
      </c>
      <c r="O434" s="205" t="str">
        <f t="shared" si="94"/>
        <v>model</v>
      </c>
      <c r="P434" s="206" t="str">
        <f t="shared" si="94"/>
        <v>Integer</v>
      </c>
      <c r="Q434" s="206" t="str">
        <f t="shared" si="94"/>
        <v>x</v>
      </c>
      <c r="R434" s="206" t="str">
        <f t="shared" si="94"/>
        <v>BS</v>
      </c>
      <c r="S434" s="206" t="str">
        <f t="shared" si="94"/>
        <v>all</v>
      </c>
      <c r="T434" s="205">
        <f t="shared" si="94"/>
        <v>1</v>
      </c>
      <c r="U434" s="205" t="str">
        <f t="shared" si="94"/>
        <v>Grundriss</v>
      </c>
      <c r="V434" s="205" t="str">
        <f t="shared" si="94"/>
        <v>x</v>
      </c>
      <c r="W434" s="205" t="str">
        <f t="shared" si="94"/>
        <v/>
      </c>
      <c r="X434" s="205" t="str">
        <f t="shared" si="94"/>
        <v/>
      </c>
      <c r="Y434" s="205" t="str">
        <f t="shared" si="94"/>
        <v>iDWDet2D</v>
      </c>
    </row>
    <row r="435" spans="1:25">
      <c r="A435" s="204">
        <f t="shared" si="84"/>
        <v>433</v>
      </c>
      <c r="B435" s="205" t="str">
        <f t="shared" si="93"/>
        <v>x</v>
      </c>
      <c r="C435" s="205" t="str">
        <f t="shared" si="93"/>
        <v/>
      </c>
      <c r="D435" s="205" t="str">
        <f t="shared" si="93"/>
        <v/>
      </c>
      <c r="E435" s="205" t="str">
        <f t="shared" si="93"/>
        <v/>
      </c>
      <c r="F435" s="205" t="str">
        <f t="shared" si="93"/>
        <v/>
      </c>
      <c r="G435" s="205" t="str">
        <f t="shared" si="93"/>
        <v/>
      </c>
      <c r="H435" s="205" t="str">
        <f t="shared" si="93"/>
        <v/>
      </c>
      <c r="I435" s="205" t="str">
        <f t="shared" si="93"/>
        <v/>
      </c>
      <c r="J435" s="205" t="str">
        <f t="shared" si="93"/>
        <v/>
      </c>
      <c r="K435" s="205" t="str">
        <f t="shared" si="93"/>
        <v/>
      </c>
      <c r="L435" s="205" t="str">
        <f t="shared" si="94"/>
        <v>info</v>
      </c>
      <c r="M435" s="205" t="str">
        <f t="shared" si="94"/>
        <v>x</v>
      </c>
      <c r="N435" s="205" t="str">
        <f t="shared" si="94"/>
        <v/>
      </c>
      <c r="O435" s="205" t="str">
        <f t="shared" si="94"/>
        <v>model</v>
      </c>
      <c r="P435" s="206" t="str">
        <f t="shared" si="94"/>
        <v>Integer</v>
      </c>
      <c r="Q435" s="206" t="str">
        <f t="shared" si="94"/>
        <v>x</v>
      </c>
      <c r="R435" s="206" t="str">
        <f t="shared" si="94"/>
        <v>BS</v>
      </c>
      <c r="S435" s="206" t="str">
        <f t="shared" si="94"/>
        <v>all</v>
      </c>
      <c r="T435" s="205">
        <f t="shared" si="94"/>
        <v>2</v>
      </c>
      <c r="U435" s="205" t="str">
        <f t="shared" si="94"/>
        <v>3D</v>
      </c>
      <c r="V435" s="205" t="str">
        <f t="shared" si="94"/>
        <v>x</v>
      </c>
      <c r="W435" s="205" t="str">
        <f t="shared" si="94"/>
        <v/>
      </c>
      <c r="X435" s="205" t="str">
        <f t="shared" si="94"/>
        <v/>
      </c>
      <c r="Y435" s="205" t="str">
        <f t="shared" si="94"/>
        <v>iDWDet3D</v>
      </c>
    </row>
    <row r="436" spans="1:25">
      <c r="A436" s="204">
        <f t="shared" si="84"/>
        <v>434</v>
      </c>
      <c r="B436" s="205" t="str">
        <f t="shared" si="93"/>
        <v>x</v>
      </c>
      <c r="C436" s="205" t="str">
        <f t="shared" si="93"/>
        <v/>
      </c>
      <c r="D436" s="205" t="str">
        <f t="shared" si="93"/>
        <v/>
      </c>
      <c r="E436" s="205" t="str">
        <f t="shared" si="93"/>
        <v/>
      </c>
      <c r="F436" s="205" t="str">
        <f t="shared" si="93"/>
        <v/>
      </c>
      <c r="G436" s="205" t="str">
        <f t="shared" si="93"/>
        <v/>
      </c>
      <c r="H436" s="205" t="str">
        <f t="shared" si="93"/>
        <v/>
      </c>
      <c r="I436" s="205" t="str">
        <f t="shared" si="93"/>
        <v/>
      </c>
      <c r="J436" s="205" t="str">
        <f t="shared" si="93"/>
        <v/>
      </c>
      <c r="K436" s="205" t="str">
        <f t="shared" si="93"/>
        <v/>
      </c>
      <c r="L436" s="205" t="str">
        <f t="shared" si="94"/>
        <v>info</v>
      </c>
      <c r="M436" s="205" t="str">
        <f t="shared" si="94"/>
        <v>x</v>
      </c>
      <c r="N436" s="205" t="str">
        <f t="shared" si="94"/>
        <v/>
      </c>
      <c r="O436" s="205" t="str">
        <f t="shared" si="94"/>
        <v>model</v>
      </c>
      <c r="P436" s="206" t="str">
        <f t="shared" si="94"/>
        <v>Integer</v>
      </c>
      <c r="Q436" s="206" t="str">
        <f t="shared" si="94"/>
        <v>x</v>
      </c>
      <c r="R436" s="206" t="str">
        <f t="shared" si="94"/>
        <v>BS</v>
      </c>
      <c r="S436" s="206" t="str">
        <f t="shared" si="94"/>
        <v>all</v>
      </c>
      <c r="T436" s="205">
        <f t="shared" si="94"/>
        <v>1</v>
      </c>
      <c r="U436" s="205" t="str">
        <f t="shared" si="94"/>
        <v>Schnitt / Ansicht</v>
      </c>
      <c r="V436" s="205" t="str">
        <f t="shared" si="94"/>
        <v>x</v>
      </c>
      <c r="W436" s="205" t="str">
        <f t="shared" si="94"/>
        <v/>
      </c>
      <c r="X436" s="205" t="str">
        <f t="shared" si="94"/>
        <v/>
      </c>
      <c r="Y436" s="205" t="str">
        <f t="shared" si="94"/>
        <v>iDWDetSE</v>
      </c>
    </row>
    <row r="437" spans="1:25">
      <c r="A437" s="204">
        <f t="shared" si="84"/>
        <v>435</v>
      </c>
      <c r="B437" s="205" t="str">
        <f t="shared" si="93"/>
        <v>x</v>
      </c>
      <c r="C437" s="205" t="str">
        <f t="shared" si="93"/>
        <v/>
      </c>
      <c r="D437" s="205" t="str">
        <f t="shared" si="93"/>
        <v/>
      </c>
      <c r="E437" s="205" t="str">
        <f t="shared" si="93"/>
        <v/>
      </c>
      <c r="F437" s="205" t="str">
        <f t="shared" si="93"/>
        <v/>
      </c>
      <c r="G437" s="205" t="str">
        <f t="shared" si="93"/>
        <v/>
      </c>
      <c r="H437" s="205" t="str">
        <f t="shared" si="93"/>
        <v/>
      </c>
      <c r="I437" s="205" t="str">
        <f t="shared" si="93"/>
        <v/>
      </c>
      <c r="J437" s="205" t="str">
        <f t="shared" si="93"/>
        <v/>
      </c>
      <c r="K437" s="205" t="str">
        <f t="shared" si="93"/>
        <v/>
      </c>
      <c r="L437" s="205" t="str">
        <f t="shared" si="94"/>
        <v>info</v>
      </c>
      <c r="M437" s="205" t="str">
        <f t="shared" si="94"/>
        <v>x</v>
      </c>
      <c r="N437" s="205" t="str">
        <f t="shared" si="94"/>
        <v/>
      </c>
      <c r="O437" s="205" t="str">
        <f t="shared" si="94"/>
        <v>model</v>
      </c>
      <c r="P437" s="206" t="str">
        <f t="shared" si="94"/>
        <v>Integer</v>
      </c>
      <c r="Q437" s="206" t="str">
        <f t="shared" si="94"/>
        <v>x</v>
      </c>
      <c r="R437" s="206" t="str">
        <f t="shared" si="94"/>
        <v>BS</v>
      </c>
      <c r="S437" s="206" t="str">
        <f t="shared" si="94"/>
        <v>all</v>
      </c>
      <c r="T437" s="205">
        <f t="shared" si="94"/>
        <v>1</v>
      </c>
      <c r="U437" s="205" t="str">
        <f t="shared" si="94"/>
        <v>Anschlag im Grundriss zeigen</v>
      </c>
      <c r="V437" s="205" t="str">
        <f t="shared" si="94"/>
        <v>x</v>
      </c>
      <c r="W437" s="205" t="str">
        <f t="shared" si="94"/>
        <v/>
      </c>
      <c r="X437" s="205" t="str">
        <f t="shared" si="94"/>
        <v/>
      </c>
      <c r="Y437" s="205" t="str">
        <f t="shared" si="94"/>
        <v>iRevealOnSymbol</v>
      </c>
    </row>
    <row r="438" spans="1:25">
      <c r="A438" s="204">
        <f t="shared" si="84"/>
        <v>436</v>
      </c>
      <c r="B438" s="205" t="str">
        <f t="shared" si="93"/>
        <v>x</v>
      </c>
      <c r="C438" s="205" t="str">
        <f t="shared" si="93"/>
        <v/>
      </c>
      <c r="D438" s="205" t="str">
        <f t="shared" si="93"/>
        <v/>
      </c>
      <c r="E438" s="205" t="str">
        <f t="shared" si="93"/>
        <v/>
      </c>
      <c r="F438" s="205" t="str">
        <f t="shared" si="93"/>
        <v/>
      </c>
      <c r="G438" s="205" t="str">
        <f t="shared" si="93"/>
        <v/>
      </c>
      <c r="H438" s="205" t="str">
        <f t="shared" si="93"/>
        <v/>
      </c>
      <c r="I438" s="205" t="str">
        <f t="shared" si="93"/>
        <v/>
      </c>
      <c r="J438" s="205" t="str">
        <f t="shared" si="93"/>
        <v/>
      </c>
      <c r="K438" s="205" t="str">
        <f t="shared" si="93"/>
        <v/>
      </c>
      <c r="L438" s="205" t="str">
        <f t="shared" si="94"/>
        <v>info</v>
      </c>
      <c r="M438" s="205" t="str">
        <f t="shared" si="94"/>
        <v/>
      </c>
      <c r="N438" s="205" t="str">
        <f t="shared" si="94"/>
        <v/>
      </c>
      <c r="O438" s="205" t="str">
        <f t="shared" si="94"/>
        <v>model</v>
      </c>
      <c r="P438" s="206" t="str">
        <f t="shared" si="94"/>
        <v>Boolean</v>
      </c>
      <c r="Q438" s="206" t="str">
        <f t="shared" si="94"/>
        <v>x</v>
      </c>
      <c r="R438" s="206" t="str">
        <f t="shared" si="94"/>
        <v>BS</v>
      </c>
      <c r="S438" s="206" t="str">
        <f t="shared" si="94"/>
        <v>all</v>
      </c>
      <c r="T438" s="205" t="str">
        <f t="shared" si="94"/>
        <v/>
      </c>
      <c r="U438" s="205" t="str">
        <f t="shared" si="94"/>
        <v>Schraffur Wandöffnung</v>
      </c>
      <c r="V438" s="205" t="str">
        <f t="shared" si="94"/>
        <v/>
      </c>
      <c r="W438" s="205" t="str">
        <f t="shared" si="94"/>
        <v/>
      </c>
      <c r="X438" s="205" t="str">
        <f t="shared" si="94"/>
        <v/>
      </c>
      <c r="Y438" s="205" t="str">
        <f t="shared" si="94"/>
        <v>gs_bFills_Wallhole</v>
      </c>
    </row>
    <row r="439" spans="1:25">
      <c r="A439" s="204">
        <f t="shared" si="84"/>
        <v>437</v>
      </c>
      <c r="B439" s="205" t="str">
        <f t="shared" si="93"/>
        <v>x</v>
      </c>
      <c r="C439" s="205" t="str">
        <f t="shared" si="93"/>
        <v/>
      </c>
      <c r="D439" s="205" t="str">
        <f t="shared" si="93"/>
        <v/>
      </c>
      <c r="E439" s="205" t="str">
        <f t="shared" si="93"/>
        <v/>
      </c>
      <c r="F439" s="205" t="str">
        <f t="shared" si="93"/>
        <v/>
      </c>
      <c r="G439" s="205" t="str">
        <f t="shared" si="93"/>
        <v/>
      </c>
      <c r="H439" s="205" t="str">
        <f t="shared" si="93"/>
        <v/>
      </c>
      <c r="I439" s="205" t="str">
        <f t="shared" si="93"/>
        <v/>
      </c>
      <c r="J439" s="205" t="str">
        <f t="shared" si="93"/>
        <v/>
      </c>
      <c r="K439" s="205" t="str">
        <f t="shared" si="93"/>
        <v/>
      </c>
      <c r="L439" s="205" t="str">
        <f t="shared" si="94"/>
        <v>info</v>
      </c>
      <c r="M439" s="205" t="str">
        <f t="shared" si="94"/>
        <v>x</v>
      </c>
      <c r="N439" s="205" t="str">
        <f t="shared" si="94"/>
        <v/>
      </c>
      <c r="O439" s="205" t="str">
        <f t="shared" si="94"/>
        <v>model</v>
      </c>
      <c r="P439" s="206" t="str">
        <f t="shared" si="94"/>
        <v>FillPattern</v>
      </c>
      <c r="Q439" s="206" t="str">
        <f t="shared" si="94"/>
        <v>x</v>
      </c>
      <c r="R439" s="206" t="str">
        <f t="shared" si="94"/>
        <v>BS</v>
      </c>
      <c r="S439" s="206" t="str">
        <f t="shared" si="94"/>
        <v>all</v>
      </c>
      <c r="T439" s="205">
        <f t="shared" si="94"/>
        <v>65</v>
      </c>
      <c r="U439" s="205" t="str">
        <f t="shared" si="94"/>
        <v>Schraffur-Typ</v>
      </c>
      <c r="V439" s="205" t="str">
        <f t="shared" si="94"/>
        <v>x</v>
      </c>
      <c r="W439" s="205" t="str">
        <f t="shared" si="94"/>
        <v/>
      </c>
      <c r="X439" s="205" t="str">
        <f t="shared" si="94"/>
        <v/>
      </c>
      <c r="Y439" s="205" t="str">
        <f t="shared" si="94"/>
        <v>gs_wallhole_fill</v>
      </c>
    </row>
    <row r="440" spans="1:25">
      <c r="A440" s="204">
        <f t="shared" si="84"/>
        <v>438</v>
      </c>
      <c r="B440" s="205" t="str">
        <f t="shared" si="93"/>
        <v>x</v>
      </c>
      <c r="C440" s="205" t="str">
        <f t="shared" si="93"/>
        <v/>
      </c>
      <c r="D440" s="205" t="str">
        <f t="shared" si="93"/>
        <v/>
      </c>
      <c r="E440" s="205" t="str">
        <f t="shared" si="93"/>
        <v/>
      </c>
      <c r="F440" s="205" t="str">
        <f t="shared" si="93"/>
        <v/>
      </c>
      <c r="G440" s="205" t="str">
        <f t="shared" si="93"/>
        <v/>
      </c>
      <c r="H440" s="205" t="str">
        <f t="shared" si="93"/>
        <v/>
      </c>
      <c r="I440" s="205" t="str">
        <f t="shared" si="93"/>
        <v/>
      </c>
      <c r="J440" s="205" t="str">
        <f t="shared" si="93"/>
        <v/>
      </c>
      <c r="K440" s="205" t="str">
        <f t="shared" si="93"/>
        <v/>
      </c>
      <c r="L440" s="205" t="str">
        <f t="shared" si="94"/>
        <v>info</v>
      </c>
      <c r="M440" s="205" t="str">
        <f t="shared" si="94"/>
        <v>x</v>
      </c>
      <c r="N440" s="205" t="str">
        <f t="shared" si="94"/>
        <v/>
      </c>
      <c r="O440" s="205" t="str">
        <f t="shared" si="94"/>
        <v>model</v>
      </c>
      <c r="P440" s="206" t="str">
        <f t="shared" si="94"/>
        <v>PenColor</v>
      </c>
      <c r="Q440" s="206" t="str">
        <f t="shared" si="94"/>
        <v>x</v>
      </c>
      <c r="R440" s="206" t="str">
        <f t="shared" si="94"/>
        <v>BS</v>
      </c>
      <c r="S440" s="206" t="str">
        <f t="shared" si="94"/>
        <v>all</v>
      </c>
      <c r="T440" s="205">
        <f t="shared" si="94"/>
        <v>1</v>
      </c>
      <c r="U440" s="205" t="str">
        <f t="shared" si="94"/>
        <v>Schraffur-Stift</v>
      </c>
      <c r="V440" s="205" t="str">
        <f t="shared" si="94"/>
        <v>x</v>
      </c>
      <c r="W440" s="205" t="str">
        <f t="shared" si="94"/>
        <v/>
      </c>
      <c r="X440" s="205" t="str">
        <f t="shared" si="94"/>
        <v/>
      </c>
      <c r="Y440" s="205" t="str">
        <f t="shared" si="94"/>
        <v>gs_wallhole_pen_fg</v>
      </c>
    </row>
    <row r="441" spans="1:25">
      <c r="A441" s="204">
        <f t="shared" si="84"/>
        <v>439</v>
      </c>
      <c r="B441" s="205" t="str">
        <f t="shared" si="93"/>
        <v>x</v>
      </c>
      <c r="C441" s="205" t="str">
        <f t="shared" si="93"/>
        <v/>
      </c>
      <c r="D441" s="205" t="str">
        <f t="shared" si="93"/>
        <v/>
      </c>
      <c r="E441" s="205" t="str">
        <f t="shared" si="93"/>
        <v/>
      </c>
      <c r="F441" s="205" t="str">
        <f t="shared" si="93"/>
        <v/>
      </c>
      <c r="G441" s="205" t="str">
        <f t="shared" si="93"/>
        <v/>
      </c>
      <c r="H441" s="205" t="str">
        <f t="shared" si="93"/>
        <v/>
      </c>
      <c r="I441" s="205" t="str">
        <f t="shared" si="93"/>
        <v/>
      </c>
      <c r="J441" s="205" t="str">
        <f t="shared" si="93"/>
        <v/>
      </c>
      <c r="K441" s="205" t="str">
        <f t="shared" si="93"/>
        <v/>
      </c>
      <c r="L441" s="205" t="str">
        <f t="shared" si="94"/>
        <v>info</v>
      </c>
      <c r="M441" s="205" t="str">
        <f t="shared" si="94"/>
        <v>x</v>
      </c>
      <c r="N441" s="205" t="str">
        <f t="shared" si="94"/>
        <v/>
      </c>
      <c r="O441" s="205" t="str">
        <f t="shared" si="94"/>
        <v>model</v>
      </c>
      <c r="P441" s="206" t="str">
        <f t="shared" si="94"/>
        <v>PenColor</v>
      </c>
      <c r="Q441" s="206" t="str">
        <f t="shared" si="94"/>
        <v>x</v>
      </c>
      <c r="R441" s="206" t="str">
        <f t="shared" si="94"/>
        <v>BS</v>
      </c>
      <c r="S441" s="206" t="str">
        <f t="shared" si="94"/>
        <v>all</v>
      </c>
      <c r="T441" s="205">
        <f t="shared" si="94"/>
        <v>91</v>
      </c>
      <c r="U441" s="205" t="str">
        <f t="shared" si="94"/>
        <v>Schraffurhintergrund-Stift</v>
      </c>
      <c r="V441" s="205" t="str">
        <f t="shared" si="94"/>
        <v>x</v>
      </c>
      <c r="W441" s="205" t="str">
        <f t="shared" si="94"/>
        <v/>
      </c>
      <c r="X441" s="205" t="str">
        <f t="shared" si="94"/>
        <v/>
      </c>
      <c r="Y441" s="205" t="str">
        <f t="shared" si="94"/>
        <v>gs_wallhole_pen_bg</v>
      </c>
    </row>
    <row r="442" spans="1:25">
      <c r="A442" s="204">
        <f t="shared" si="84"/>
        <v>440</v>
      </c>
      <c r="B442" s="205" t="str">
        <f t="shared" si="93"/>
        <v>x</v>
      </c>
      <c r="C442" s="205" t="str">
        <f t="shared" si="93"/>
        <v/>
      </c>
      <c r="D442" s="205" t="str">
        <f t="shared" si="93"/>
        <v/>
      </c>
      <c r="E442" s="205" t="str">
        <f t="shared" si="93"/>
        <v/>
      </c>
      <c r="F442" s="205" t="str">
        <f t="shared" si="93"/>
        <v/>
      </c>
      <c r="G442" s="205" t="str">
        <f t="shared" si="93"/>
        <v/>
      </c>
      <c r="H442" s="205" t="str">
        <f t="shared" si="93"/>
        <v/>
      </c>
      <c r="I442" s="205" t="str">
        <f t="shared" si="93"/>
        <v/>
      </c>
      <c r="J442" s="205" t="str">
        <f t="shared" si="93"/>
        <v/>
      </c>
      <c r="K442" s="205" t="str">
        <f t="shared" si="93"/>
        <v/>
      </c>
      <c r="L442" s="205" t="str">
        <f t="shared" si="94"/>
        <v>info</v>
      </c>
      <c r="M442" s="205" t="str">
        <f t="shared" si="94"/>
        <v/>
      </c>
      <c r="N442" s="205" t="str">
        <f t="shared" si="94"/>
        <v/>
      </c>
      <c r="O442" s="205" t="str">
        <f t="shared" si="94"/>
        <v>model</v>
      </c>
      <c r="P442" s="206" t="str">
        <f t="shared" si="94"/>
        <v>Boolean</v>
      </c>
      <c r="Q442" s="206" t="str">
        <f t="shared" si="94"/>
        <v>x</v>
      </c>
      <c r="R442" s="206" t="str">
        <f t="shared" si="94"/>
        <v>BS</v>
      </c>
      <c r="S442" s="206" t="str">
        <f t="shared" si="94"/>
        <v>all</v>
      </c>
      <c r="T442" s="205" t="str">
        <f t="shared" si="94"/>
        <v/>
      </c>
      <c r="U442" s="205" t="str">
        <f t="shared" si="94"/>
        <v>Türkoten</v>
      </c>
      <c r="V442" s="205" t="str">
        <f t="shared" si="94"/>
        <v/>
      </c>
      <c r="W442" s="205" t="str">
        <f t="shared" si="94"/>
        <v/>
      </c>
      <c r="X442" s="205" t="str">
        <f t="shared" si="94"/>
        <v/>
      </c>
      <c r="Y442" s="205" t="str">
        <f t="shared" si="94"/>
        <v>bEtikett</v>
      </c>
    </row>
    <row r="443" spans="1:25">
      <c r="A443" s="204">
        <f t="shared" si="84"/>
        <v>441</v>
      </c>
      <c r="B443" s="205" t="str">
        <f t="shared" ref="B443:K452" si="95">IF(ISNONTEXT(B$2),IF(B$2="","",IF(INDEX(IMPORT,$A443,B$2)=0,"",IFERROR(VLOOKUP(INDEX(IMPORT,$A443,B$2),ImportTranslation,2,0),INDEX(IMPORT,$A443,B$2)))),B$2)</f>
        <v>x</v>
      </c>
      <c r="C443" s="205" t="str">
        <f t="shared" si="95"/>
        <v/>
      </c>
      <c r="D443" s="205" t="str">
        <f t="shared" si="95"/>
        <v/>
      </c>
      <c r="E443" s="205" t="str">
        <f t="shared" si="95"/>
        <v/>
      </c>
      <c r="F443" s="205" t="str">
        <f t="shared" si="95"/>
        <v/>
      </c>
      <c r="G443" s="205" t="str">
        <f t="shared" si="95"/>
        <v/>
      </c>
      <c r="H443" s="205" t="str">
        <f t="shared" si="95"/>
        <v/>
      </c>
      <c r="I443" s="205" t="str">
        <f t="shared" si="95"/>
        <v/>
      </c>
      <c r="J443" s="205" t="str">
        <f t="shared" si="95"/>
        <v/>
      </c>
      <c r="K443" s="205" t="str">
        <f t="shared" si="95"/>
        <v/>
      </c>
      <c r="L443" s="205" t="str">
        <f t="shared" ref="L443:Y452" si="96">IF(ISNONTEXT(L$2),IF(L$2="","",IF(INDEX(IMPORT,$A443,L$2)=0,"",IFERROR(VLOOKUP(INDEX(IMPORT,$A443,L$2),ImportTranslation,2,0),INDEX(IMPORT,$A443,L$2)))),L$2)</f>
        <v>info</v>
      </c>
      <c r="M443" s="205" t="str">
        <f t="shared" si="96"/>
        <v>x</v>
      </c>
      <c r="N443" s="205" t="str">
        <f t="shared" si="96"/>
        <v/>
      </c>
      <c r="O443" s="205" t="str">
        <f t="shared" si="96"/>
        <v>model</v>
      </c>
      <c r="P443" s="206" t="str">
        <f t="shared" si="96"/>
        <v>String</v>
      </c>
      <c r="Q443" s="206" t="str">
        <f t="shared" si="96"/>
        <v>x</v>
      </c>
      <c r="R443" s="206" t="str">
        <f t="shared" si="96"/>
        <v>BS</v>
      </c>
      <c r="S443" s="206" t="str">
        <f t="shared" si="96"/>
        <v>all</v>
      </c>
      <c r="T443" s="205" t="str">
        <f t="shared" si="96"/>
        <v>Modelldarstellungs-Optionen</v>
      </c>
      <c r="U443" s="205" t="str">
        <f t="shared" si="96"/>
        <v>Sichtbarkeit Türbemaßung</v>
      </c>
      <c r="V443" s="205" t="str">
        <f t="shared" si="96"/>
        <v>x</v>
      </c>
      <c r="W443" s="205" t="str">
        <f t="shared" si="96"/>
        <v/>
      </c>
      <c r="X443" s="205" t="str">
        <f t="shared" si="96"/>
        <v/>
      </c>
      <c r="Y443" s="205" t="str">
        <f t="shared" si="96"/>
        <v>gs_etikett</v>
      </c>
    </row>
    <row r="444" spans="1:25">
      <c r="A444" s="204">
        <f t="shared" si="84"/>
        <v>442</v>
      </c>
      <c r="B444" s="205" t="str">
        <f t="shared" si="95"/>
        <v>x</v>
      </c>
      <c r="C444" s="205" t="str">
        <f t="shared" si="95"/>
        <v>x</v>
      </c>
      <c r="D444" s="205" t="str">
        <f t="shared" si="95"/>
        <v/>
      </c>
      <c r="E444" s="205" t="str">
        <f t="shared" si="95"/>
        <v/>
      </c>
      <c r="F444" s="205" t="str">
        <f t="shared" si="95"/>
        <v/>
      </c>
      <c r="G444" s="205" t="str">
        <f t="shared" si="95"/>
        <v/>
      </c>
      <c r="H444" s="205" t="str">
        <f t="shared" si="95"/>
        <v/>
      </c>
      <c r="I444" s="205" t="str">
        <f t="shared" si="95"/>
        <v/>
      </c>
      <c r="J444" s="205" t="str">
        <f t="shared" si="95"/>
        <v/>
      </c>
      <c r="K444" s="205" t="str">
        <f t="shared" si="95"/>
        <v/>
      </c>
      <c r="L444" s="205" t="str">
        <f t="shared" si="96"/>
        <v>info</v>
      </c>
      <c r="M444" s="205" t="str">
        <f t="shared" si="96"/>
        <v>x</v>
      </c>
      <c r="N444" s="205" t="str">
        <f t="shared" si="96"/>
        <v/>
      </c>
      <c r="O444" s="205" t="str">
        <f t="shared" si="96"/>
        <v>model</v>
      </c>
      <c r="P444" s="206" t="str">
        <f t="shared" si="96"/>
        <v>Integer</v>
      </c>
      <c r="Q444" s="206" t="str">
        <f t="shared" si="96"/>
        <v>x</v>
      </c>
      <c r="R444" s="206" t="str">
        <f t="shared" si="96"/>
        <v>BS</v>
      </c>
      <c r="S444" s="206" t="str">
        <f t="shared" si="96"/>
        <v>all</v>
      </c>
      <c r="T444" s="205">
        <f t="shared" si="96"/>
        <v>3</v>
      </c>
      <c r="U444" s="205" t="str">
        <f t="shared" si="96"/>
        <v>Sichtbarkeit Türbemaßung</v>
      </c>
      <c r="V444" s="205" t="str">
        <f t="shared" si="96"/>
        <v>x</v>
      </c>
      <c r="W444" s="205" t="str">
        <f t="shared" si="96"/>
        <v/>
      </c>
      <c r="X444" s="205" t="str">
        <f t="shared" si="96"/>
        <v/>
      </c>
      <c r="Y444" s="205" t="str">
        <f t="shared" si="96"/>
        <v>iEtikett</v>
      </c>
    </row>
    <row r="445" spans="1:25">
      <c r="A445" s="204">
        <f t="shared" si="84"/>
        <v>443</v>
      </c>
      <c r="B445" s="205" t="str">
        <f t="shared" si="95"/>
        <v>x</v>
      </c>
      <c r="C445" s="205" t="str">
        <f t="shared" si="95"/>
        <v/>
      </c>
      <c r="D445" s="205" t="str">
        <f t="shared" si="95"/>
        <v/>
      </c>
      <c r="E445" s="205" t="str">
        <f t="shared" si="95"/>
        <v/>
      </c>
      <c r="F445" s="205" t="str">
        <f t="shared" si="95"/>
        <v/>
      </c>
      <c r="G445" s="205" t="str">
        <f t="shared" si="95"/>
        <v/>
      </c>
      <c r="H445" s="205" t="str">
        <f t="shared" si="95"/>
        <v/>
      </c>
      <c r="I445" s="205" t="str">
        <f t="shared" si="95"/>
        <v/>
      </c>
      <c r="J445" s="205" t="str">
        <f t="shared" si="95"/>
        <v/>
      </c>
      <c r="K445" s="205" t="str">
        <f t="shared" si="95"/>
        <v/>
      </c>
      <c r="L445" s="205" t="str">
        <f t="shared" si="96"/>
        <v>info</v>
      </c>
      <c r="M445" s="205" t="str">
        <f t="shared" si="96"/>
        <v>x</v>
      </c>
      <c r="N445" s="205" t="str">
        <f t="shared" si="96"/>
        <v/>
      </c>
      <c r="O445" s="205" t="str">
        <f t="shared" si="96"/>
        <v>model</v>
      </c>
      <c r="P445" s="206" t="str">
        <f t="shared" si="96"/>
        <v>Integer</v>
      </c>
      <c r="Q445" s="206" t="str">
        <f t="shared" si="96"/>
        <v>x</v>
      </c>
      <c r="R445" s="206" t="str">
        <f t="shared" si="96"/>
        <v>BS</v>
      </c>
      <c r="S445" s="206" t="str">
        <f t="shared" si="96"/>
        <v>all</v>
      </c>
      <c r="T445" s="205">
        <f t="shared" si="96"/>
        <v>1</v>
      </c>
      <c r="U445" s="205" t="str">
        <f t="shared" si="96"/>
        <v>Öffnung roh</v>
      </c>
      <c r="V445" s="205" t="str">
        <f t="shared" si="96"/>
        <v>x</v>
      </c>
      <c r="W445" s="205" t="str">
        <f t="shared" si="96"/>
        <v/>
      </c>
      <c r="X445" s="205" t="str">
        <f t="shared" si="96"/>
        <v/>
      </c>
      <c r="Y445" s="205" t="str">
        <f t="shared" si="96"/>
        <v>iDWDimRawOpening</v>
      </c>
    </row>
    <row r="446" spans="1:25">
      <c r="A446" s="204">
        <f t="shared" si="84"/>
        <v>444</v>
      </c>
      <c r="B446" s="205" t="str">
        <f t="shared" si="95"/>
        <v>x</v>
      </c>
      <c r="C446" s="205" t="str">
        <f t="shared" si="95"/>
        <v/>
      </c>
      <c r="D446" s="205" t="str">
        <f t="shared" si="95"/>
        <v/>
      </c>
      <c r="E446" s="205" t="str">
        <f t="shared" si="95"/>
        <v/>
      </c>
      <c r="F446" s="205" t="str">
        <f t="shared" si="95"/>
        <v/>
      </c>
      <c r="G446" s="205" t="str">
        <f t="shared" si="95"/>
        <v/>
      </c>
      <c r="H446" s="205" t="str">
        <f t="shared" si="95"/>
        <v/>
      </c>
      <c r="I446" s="205" t="str">
        <f t="shared" si="95"/>
        <v/>
      </c>
      <c r="J446" s="205" t="str">
        <f t="shared" si="95"/>
        <v/>
      </c>
      <c r="K446" s="205" t="str">
        <f t="shared" si="95"/>
        <v/>
      </c>
      <c r="L446" s="205" t="str">
        <f t="shared" si="96"/>
        <v>info</v>
      </c>
      <c r="M446" s="205" t="str">
        <f t="shared" si="96"/>
        <v>x</v>
      </c>
      <c r="N446" s="205" t="str">
        <f t="shared" si="96"/>
        <v/>
      </c>
      <c r="O446" s="205" t="str">
        <f t="shared" si="96"/>
        <v>model</v>
      </c>
      <c r="P446" s="206" t="str">
        <f t="shared" si="96"/>
        <v>String</v>
      </c>
      <c r="Q446" s="206" t="str">
        <f t="shared" si="96"/>
        <v>x</v>
      </c>
      <c r="R446" s="206" t="str">
        <f t="shared" si="96"/>
        <v>BS</v>
      </c>
      <c r="S446" s="206" t="str">
        <f t="shared" si="96"/>
        <v>all</v>
      </c>
      <c r="T446" s="205" t="str">
        <f t="shared" si="96"/>
        <v>Öffnung roh</v>
      </c>
      <c r="U446" s="205" t="str">
        <f t="shared" si="96"/>
        <v>Text Öffnung roh</v>
      </c>
      <c r="V446" s="205" t="str">
        <f t="shared" si="96"/>
        <v>x</v>
      </c>
      <c r="W446" s="205" t="str">
        <f t="shared" si="96"/>
        <v/>
      </c>
      <c r="X446" s="205" t="str">
        <f t="shared" si="96"/>
        <v/>
      </c>
      <c r="Y446" s="205" t="str">
        <f t="shared" si="96"/>
        <v>gs_mtext</v>
      </c>
    </row>
    <row r="447" spans="1:25">
      <c r="A447" s="204">
        <f t="shared" si="84"/>
        <v>445</v>
      </c>
      <c r="B447" s="205" t="str">
        <f t="shared" si="95"/>
        <v>x</v>
      </c>
      <c r="C447" s="205" t="str">
        <f t="shared" si="95"/>
        <v/>
      </c>
      <c r="D447" s="205" t="str">
        <f t="shared" si="95"/>
        <v/>
      </c>
      <c r="E447" s="205" t="str">
        <f t="shared" si="95"/>
        <v/>
      </c>
      <c r="F447" s="205" t="str">
        <f t="shared" si="95"/>
        <v/>
      </c>
      <c r="G447" s="205" t="str">
        <f t="shared" si="95"/>
        <v/>
      </c>
      <c r="H447" s="205" t="str">
        <f t="shared" si="95"/>
        <v/>
      </c>
      <c r="I447" s="205" t="str">
        <f t="shared" si="95"/>
        <v/>
      </c>
      <c r="J447" s="205" t="str">
        <f t="shared" si="95"/>
        <v/>
      </c>
      <c r="K447" s="205" t="str">
        <f t="shared" si="95"/>
        <v/>
      </c>
      <c r="L447" s="205" t="str">
        <f t="shared" si="96"/>
        <v>info</v>
      </c>
      <c r="M447" s="205" t="str">
        <f t="shared" si="96"/>
        <v>x</v>
      </c>
      <c r="N447" s="205" t="str">
        <f t="shared" si="96"/>
        <v/>
      </c>
      <c r="O447" s="205" t="str">
        <f t="shared" si="96"/>
        <v>model</v>
      </c>
      <c r="P447" s="206" t="str">
        <f t="shared" si="96"/>
        <v>Length</v>
      </c>
      <c r="Q447" s="206" t="str">
        <f t="shared" si="96"/>
        <v>x</v>
      </c>
      <c r="R447" s="206" t="str">
        <f t="shared" si="96"/>
        <v>BS</v>
      </c>
      <c r="S447" s="206" t="str">
        <f t="shared" si="96"/>
        <v>all</v>
      </c>
      <c r="T447" s="205" t="str">
        <f t="shared" si="96"/>
        <v/>
      </c>
      <c r="U447" s="205" t="str">
        <f t="shared" si="96"/>
        <v>Eigene Kote Öffnung roh</v>
      </c>
      <c r="V447" s="205" t="str">
        <f t="shared" si="96"/>
        <v>x</v>
      </c>
      <c r="W447" s="205" t="str">
        <f t="shared" si="96"/>
        <v/>
      </c>
      <c r="X447" s="205" t="str">
        <f t="shared" si="96"/>
        <v/>
      </c>
      <c r="Y447" s="205" t="str">
        <f t="shared" si="96"/>
        <v>gs_me</v>
      </c>
    </row>
    <row r="448" spans="1:25">
      <c r="A448" s="204">
        <f t="shared" si="84"/>
        <v>446</v>
      </c>
      <c r="B448" s="205" t="str">
        <f t="shared" si="95"/>
        <v>x</v>
      </c>
      <c r="C448" s="205" t="str">
        <f t="shared" si="95"/>
        <v/>
      </c>
      <c r="D448" s="205" t="str">
        <f t="shared" si="95"/>
        <v/>
      </c>
      <c r="E448" s="205" t="str">
        <f t="shared" si="95"/>
        <v/>
      </c>
      <c r="F448" s="205" t="str">
        <f t="shared" si="95"/>
        <v/>
      </c>
      <c r="G448" s="205" t="str">
        <f t="shared" si="95"/>
        <v/>
      </c>
      <c r="H448" s="205" t="str">
        <f t="shared" si="95"/>
        <v/>
      </c>
      <c r="I448" s="205" t="str">
        <f t="shared" si="95"/>
        <v/>
      </c>
      <c r="J448" s="205" t="str">
        <f t="shared" si="95"/>
        <v/>
      </c>
      <c r="K448" s="205" t="str">
        <f t="shared" si="95"/>
        <v/>
      </c>
      <c r="L448" s="205" t="str">
        <f t="shared" si="96"/>
        <v>info</v>
      </c>
      <c r="M448" s="205" t="str">
        <f t="shared" si="96"/>
        <v>x</v>
      </c>
      <c r="N448" s="205" t="str">
        <f t="shared" si="96"/>
        <v/>
      </c>
      <c r="O448" s="205" t="str">
        <f t="shared" si="96"/>
        <v>model</v>
      </c>
      <c r="P448" s="206" t="str">
        <f t="shared" si="96"/>
        <v>Integer</v>
      </c>
      <c r="Q448" s="206" t="str">
        <f t="shared" si="96"/>
        <v>x</v>
      </c>
      <c r="R448" s="206" t="str">
        <f t="shared" si="96"/>
        <v>BS</v>
      </c>
      <c r="S448" s="206" t="str">
        <f t="shared" si="96"/>
        <v>all</v>
      </c>
      <c r="T448" s="205">
        <f t="shared" si="96"/>
        <v>1</v>
      </c>
      <c r="U448" s="205" t="str">
        <f t="shared" si="96"/>
        <v>Sturz fertig</v>
      </c>
      <c r="V448" s="205" t="str">
        <f t="shared" si="96"/>
        <v>x</v>
      </c>
      <c r="W448" s="205" t="str">
        <f t="shared" si="96"/>
        <v/>
      </c>
      <c r="X448" s="205" t="str">
        <f t="shared" si="96"/>
        <v/>
      </c>
      <c r="Y448" s="205" t="str">
        <f t="shared" si="96"/>
        <v>iDWDimFinishedLintel</v>
      </c>
    </row>
    <row r="449" spans="1:25">
      <c r="A449" s="204">
        <f t="shared" si="84"/>
        <v>447</v>
      </c>
      <c r="B449" s="205" t="str">
        <f t="shared" si="95"/>
        <v>x</v>
      </c>
      <c r="C449" s="205" t="str">
        <f t="shared" si="95"/>
        <v/>
      </c>
      <c r="D449" s="205" t="str">
        <f t="shared" si="95"/>
        <v/>
      </c>
      <c r="E449" s="205" t="str">
        <f t="shared" si="95"/>
        <v/>
      </c>
      <c r="F449" s="205" t="str">
        <f t="shared" si="95"/>
        <v/>
      </c>
      <c r="G449" s="205" t="str">
        <f t="shared" si="95"/>
        <v/>
      </c>
      <c r="H449" s="205" t="str">
        <f t="shared" si="95"/>
        <v/>
      </c>
      <c r="I449" s="205" t="str">
        <f t="shared" si="95"/>
        <v/>
      </c>
      <c r="J449" s="205" t="str">
        <f t="shared" si="95"/>
        <v/>
      </c>
      <c r="K449" s="205" t="str">
        <f t="shared" si="95"/>
        <v/>
      </c>
      <c r="L449" s="205" t="str">
        <f t="shared" si="96"/>
        <v>info</v>
      </c>
      <c r="M449" s="205" t="str">
        <f t="shared" si="96"/>
        <v>x</v>
      </c>
      <c r="N449" s="205" t="str">
        <f t="shared" si="96"/>
        <v/>
      </c>
      <c r="O449" s="205" t="str">
        <f t="shared" si="96"/>
        <v>model</v>
      </c>
      <c r="P449" s="206" t="str">
        <f t="shared" si="96"/>
        <v>String</v>
      </c>
      <c r="Q449" s="206" t="str">
        <f t="shared" si="96"/>
        <v>x</v>
      </c>
      <c r="R449" s="206" t="str">
        <f t="shared" si="96"/>
        <v>BS</v>
      </c>
      <c r="S449" s="206" t="str">
        <f t="shared" si="96"/>
        <v>all</v>
      </c>
      <c r="T449" s="205" t="str">
        <f t="shared" si="96"/>
        <v>Sturz fertig</v>
      </c>
      <c r="U449" s="205" t="str">
        <f t="shared" si="96"/>
        <v>Text Fertig Sturz</v>
      </c>
      <c r="V449" s="205" t="str">
        <f t="shared" si="96"/>
        <v>x</v>
      </c>
      <c r="W449" s="205" t="str">
        <f t="shared" si="96"/>
        <v/>
      </c>
      <c r="X449" s="205" t="str">
        <f t="shared" si="96"/>
        <v/>
      </c>
      <c r="Y449" s="205" t="str">
        <f t="shared" si="96"/>
        <v>gs_ntext</v>
      </c>
    </row>
    <row r="450" spans="1:25">
      <c r="A450" s="204">
        <f t="shared" si="84"/>
        <v>448</v>
      </c>
      <c r="B450" s="205" t="e">
        <f t="shared" si="95"/>
        <v>#REF!</v>
      </c>
      <c r="C450" s="205" t="e">
        <f t="shared" si="95"/>
        <v>#REF!</v>
      </c>
      <c r="D450" s="205" t="str">
        <f t="shared" si="95"/>
        <v/>
      </c>
      <c r="E450" s="205" t="str">
        <f t="shared" si="95"/>
        <v/>
      </c>
      <c r="F450" s="205" t="str">
        <f t="shared" si="95"/>
        <v/>
      </c>
      <c r="G450" s="205" t="str">
        <f t="shared" si="95"/>
        <v/>
      </c>
      <c r="H450" s="205" t="str">
        <f t="shared" si="95"/>
        <v/>
      </c>
      <c r="I450" s="205" t="str">
        <f t="shared" si="95"/>
        <v/>
      </c>
      <c r="J450" s="205" t="str">
        <f t="shared" si="95"/>
        <v/>
      </c>
      <c r="K450" s="205" t="e">
        <f t="shared" si="95"/>
        <v>#REF!</v>
      </c>
      <c r="L450" s="205" t="str">
        <f t="shared" si="96"/>
        <v>info</v>
      </c>
      <c r="M450" s="205" t="e">
        <f t="shared" si="96"/>
        <v>#REF!</v>
      </c>
      <c r="N450" s="205" t="str">
        <f t="shared" si="96"/>
        <v/>
      </c>
      <c r="O450" s="205" t="e">
        <f t="shared" si="96"/>
        <v>#REF!</v>
      </c>
      <c r="P450" s="206" t="e">
        <f t="shared" si="96"/>
        <v>#REF!</v>
      </c>
      <c r="Q450" s="206" t="str">
        <f t="shared" si="96"/>
        <v>x</v>
      </c>
      <c r="R450" s="206" t="str">
        <f t="shared" si="96"/>
        <v>BS</v>
      </c>
      <c r="S450" s="206" t="str">
        <f t="shared" si="96"/>
        <v>all</v>
      </c>
      <c r="T450" s="205" t="e">
        <f t="shared" si="96"/>
        <v>#REF!</v>
      </c>
      <c r="U450" s="205" t="e">
        <f t="shared" si="96"/>
        <v>#REF!</v>
      </c>
      <c r="V450" s="205" t="e">
        <f t="shared" si="96"/>
        <v>#REF!</v>
      </c>
      <c r="W450" s="205" t="str">
        <f t="shared" si="96"/>
        <v/>
      </c>
      <c r="X450" s="205" t="str">
        <f t="shared" si="96"/>
        <v/>
      </c>
      <c r="Y450" s="205" t="e">
        <f t="shared" si="96"/>
        <v>#REF!</v>
      </c>
    </row>
    <row r="451" spans="1:25">
      <c r="A451" s="204">
        <f>ROW()-ROW($A$2)</f>
        <v>449</v>
      </c>
      <c r="B451" s="205" t="e">
        <f t="shared" si="95"/>
        <v>#REF!</v>
      </c>
      <c r="C451" s="205" t="e">
        <f t="shared" si="95"/>
        <v>#REF!</v>
      </c>
      <c r="D451" s="205" t="str">
        <f t="shared" si="95"/>
        <v/>
      </c>
      <c r="E451" s="205" t="str">
        <f t="shared" si="95"/>
        <v/>
      </c>
      <c r="F451" s="205" t="str">
        <f t="shared" si="95"/>
        <v/>
      </c>
      <c r="G451" s="205" t="str">
        <f t="shared" si="95"/>
        <v/>
      </c>
      <c r="H451" s="205" t="str">
        <f t="shared" si="95"/>
        <v/>
      </c>
      <c r="I451" s="205" t="str">
        <f t="shared" si="95"/>
        <v/>
      </c>
      <c r="J451" s="205" t="str">
        <f t="shared" si="95"/>
        <v/>
      </c>
      <c r="K451" s="205" t="e">
        <f t="shared" si="95"/>
        <v>#REF!</v>
      </c>
      <c r="L451" s="205" t="str">
        <f t="shared" si="96"/>
        <v>info</v>
      </c>
      <c r="M451" s="205" t="e">
        <f t="shared" si="96"/>
        <v>#REF!</v>
      </c>
      <c r="N451" s="205" t="str">
        <f t="shared" si="96"/>
        <v/>
      </c>
      <c r="O451" s="205" t="e">
        <f t="shared" si="96"/>
        <v>#REF!</v>
      </c>
      <c r="P451" s="206" t="e">
        <f t="shared" si="96"/>
        <v>#REF!</v>
      </c>
      <c r="Q451" s="206" t="str">
        <f t="shared" si="96"/>
        <v>x</v>
      </c>
      <c r="R451" s="206" t="str">
        <f t="shared" si="96"/>
        <v>BS</v>
      </c>
      <c r="S451" s="206" t="str">
        <f t="shared" si="96"/>
        <v>all</v>
      </c>
      <c r="T451" s="205" t="e">
        <f t="shared" si="96"/>
        <v>#REF!</v>
      </c>
      <c r="U451" s="205" t="e">
        <f t="shared" si="96"/>
        <v>#REF!</v>
      </c>
      <c r="V451" s="205" t="e">
        <f t="shared" si="96"/>
        <v>#REF!</v>
      </c>
      <c r="W451" s="205" t="str">
        <f t="shared" si="96"/>
        <v/>
      </c>
      <c r="X451" s="205" t="str">
        <f t="shared" si="96"/>
        <v/>
      </c>
      <c r="Y451" s="205" t="e">
        <f t="shared" si="96"/>
        <v>#REF!</v>
      </c>
    </row>
    <row r="452" spans="1:25">
      <c r="A452" s="204">
        <f>ROW()-ROW($A$2)</f>
        <v>450</v>
      </c>
      <c r="B452" s="205" t="e">
        <f t="shared" si="95"/>
        <v>#REF!</v>
      </c>
      <c r="C452" s="205" t="e">
        <f t="shared" si="95"/>
        <v>#REF!</v>
      </c>
      <c r="D452" s="205" t="str">
        <f t="shared" si="95"/>
        <v/>
      </c>
      <c r="E452" s="205" t="str">
        <f t="shared" si="95"/>
        <v/>
      </c>
      <c r="F452" s="205" t="str">
        <f t="shared" si="95"/>
        <v/>
      </c>
      <c r="G452" s="205" t="str">
        <f t="shared" si="95"/>
        <v/>
      </c>
      <c r="H452" s="205" t="str">
        <f t="shared" si="95"/>
        <v/>
      </c>
      <c r="I452" s="205" t="str">
        <f t="shared" si="95"/>
        <v/>
      </c>
      <c r="J452" s="205" t="str">
        <f t="shared" si="95"/>
        <v/>
      </c>
      <c r="K452" s="205" t="e">
        <f t="shared" si="95"/>
        <v>#REF!</v>
      </c>
      <c r="L452" s="205" t="str">
        <f t="shared" si="96"/>
        <v>info</v>
      </c>
      <c r="M452" s="205" t="e">
        <f t="shared" si="96"/>
        <v>#REF!</v>
      </c>
      <c r="N452" s="205" t="str">
        <f t="shared" si="96"/>
        <v/>
      </c>
      <c r="O452" s="205" t="e">
        <f t="shared" si="96"/>
        <v>#REF!</v>
      </c>
      <c r="P452" s="206" t="e">
        <f t="shared" si="96"/>
        <v>#REF!</v>
      </c>
      <c r="Q452" s="206" t="str">
        <f t="shared" si="96"/>
        <v>x</v>
      </c>
      <c r="R452" s="206" t="str">
        <f t="shared" si="96"/>
        <v>BS</v>
      </c>
      <c r="S452" s="206" t="str">
        <f t="shared" si="96"/>
        <v>all</v>
      </c>
      <c r="T452" s="205" t="e">
        <f t="shared" si="96"/>
        <v>#REF!</v>
      </c>
      <c r="U452" s="205" t="e">
        <f t="shared" si="96"/>
        <v>#REF!</v>
      </c>
      <c r="V452" s="205" t="e">
        <f t="shared" si="96"/>
        <v>#REF!</v>
      </c>
      <c r="W452" s="205" t="str">
        <f t="shared" si="96"/>
        <v/>
      </c>
      <c r="X452" s="205" t="str">
        <f t="shared" si="96"/>
        <v/>
      </c>
      <c r="Y452" s="205" t="e">
        <f t="shared" si="96"/>
        <v>#REF!</v>
      </c>
    </row>
  </sheetData>
  <pageMargins left="0.7" right="0.7" top="0.78740157499999996" bottom="0.78740157499999996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Tabelle7"/>
  <dimension ref="A1:M854"/>
  <sheetViews>
    <sheetView workbookViewId="0">
      <selection activeCell="L2" sqref="L2"/>
    </sheetView>
  </sheetViews>
  <sheetFormatPr baseColWidth="10" defaultColWidth="11.5703125" defaultRowHeight="15"/>
  <cols>
    <col min="1" max="5" width="3.42578125" style="145" customWidth="1"/>
    <col min="6" max="6" width="14.140625" customWidth="1"/>
    <col min="7" max="7" width="10" customWidth="1"/>
    <col min="8" max="8" width="31" customWidth="1"/>
    <col min="9" max="9" width="51.5703125" customWidth="1"/>
    <col min="10" max="10" width="16.7109375" customWidth="1"/>
    <col min="11" max="11" width="3.42578125" customWidth="1"/>
    <col min="12" max="12" width="32" style="200" bestFit="1" customWidth="1"/>
    <col min="257" max="257" width="3.42578125" customWidth="1"/>
    <col min="258" max="258" width="7" customWidth="1"/>
    <col min="259" max="259" width="5" customWidth="1"/>
    <col min="260" max="260" width="5.42578125" customWidth="1"/>
    <col min="261" max="261" width="7" customWidth="1"/>
    <col min="262" max="262" width="14.140625" customWidth="1"/>
    <col min="263" max="263" width="10" customWidth="1"/>
    <col min="264" max="264" width="31" customWidth="1"/>
    <col min="265" max="265" width="32.140625" customWidth="1"/>
    <col min="266" max="266" width="33.140625" customWidth="1"/>
    <col min="513" max="513" width="3.42578125" customWidth="1"/>
    <col min="514" max="514" width="7" customWidth="1"/>
    <col min="515" max="515" width="5" customWidth="1"/>
    <col min="516" max="516" width="5.42578125" customWidth="1"/>
    <col min="517" max="517" width="7" customWidth="1"/>
    <col min="518" max="518" width="14.140625" customWidth="1"/>
    <col min="519" max="519" width="10" customWidth="1"/>
    <col min="520" max="520" width="31" customWidth="1"/>
    <col min="521" max="521" width="32.140625" customWidth="1"/>
    <col min="522" max="522" width="33.140625" customWidth="1"/>
    <col min="769" max="769" width="3.42578125" customWidth="1"/>
    <col min="770" max="770" width="7" customWidth="1"/>
    <col min="771" max="771" width="5" customWidth="1"/>
    <col min="772" max="772" width="5.42578125" customWidth="1"/>
    <col min="773" max="773" width="7" customWidth="1"/>
    <col min="774" max="774" width="14.140625" customWidth="1"/>
    <col min="775" max="775" width="10" customWidth="1"/>
    <col min="776" max="776" width="31" customWidth="1"/>
    <col min="777" max="777" width="32.140625" customWidth="1"/>
    <col min="778" max="778" width="33.140625" customWidth="1"/>
    <col min="1025" max="1025" width="3.42578125" customWidth="1"/>
    <col min="1026" max="1026" width="7" customWidth="1"/>
    <col min="1027" max="1027" width="5" customWidth="1"/>
    <col min="1028" max="1028" width="5.42578125" customWidth="1"/>
    <col min="1029" max="1029" width="7" customWidth="1"/>
    <col min="1030" max="1030" width="14.140625" customWidth="1"/>
    <col min="1031" max="1031" width="10" customWidth="1"/>
    <col min="1032" max="1032" width="31" customWidth="1"/>
    <col min="1033" max="1033" width="32.140625" customWidth="1"/>
    <col min="1034" max="1034" width="33.140625" customWidth="1"/>
    <col min="1281" max="1281" width="3.42578125" customWidth="1"/>
    <col min="1282" max="1282" width="7" customWidth="1"/>
    <col min="1283" max="1283" width="5" customWidth="1"/>
    <col min="1284" max="1284" width="5.42578125" customWidth="1"/>
    <col min="1285" max="1285" width="7" customWidth="1"/>
    <col min="1286" max="1286" width="14.140625" customWidth="1"/>
    <col min="1287" max="1287" width="10" customWidth="1"/>
    <col min="1288" max="1288" width="31" customWidth="1"/>
    <col min="1289" max="1289" width="32.140625" customWidth="1"/>
    <col min="1290" max="1290" width="33.140625" customWidth="1"/>
    <col min="1537" max="1537" width="3.42578125" customWidth="1"/>
    <col min="1538" max="1538" width="7" customWidth="1"/>
    <col min="1539" max="1539" width="5" customWidth="1"/>
    <col min="1540" max="1540" width="5.42578125" customWidth="1"/>
    <col min="1541" max="1541" width="7" customWidth="1"/>
    <col min="1542" max="1542" width="14.140625" customWidth="1"/>
    <col min="1543" max="1543" width="10" customWidth="1"/>
    <col min="1544" max="1544" width="31" customWidth="1"/>
    <col min="1545" max="1545" width="32.140625" customWidth="1"/>
    <col min="1546" max="1546" width="33.140625" customWidth="1"/>
    <col min="1793" max="1793" width="3.42578125" customWidth="1"/>
    <col min="1794" max="1794" width="7" customWidth="1"/>
    <col min="1795" max="1795" width="5" customWidth="1"/>
    <col min="1796" max="1796" width="5.42578125" customWidth="1"/>
    <col min="1797" max="1797" width="7" customWidth="1"/>
    <col min="1798" max="1798" width="14.140625" customWidth="1"/>
    <col min="1799" max="1799" width="10" customWidth="1"/>
    <col min="1800" max="1800" width="31" customWidth="1"/>
    <col min="1801" max="1801" width="32.140625" customWidth="1"/>
    <col min="1802" max="1802" width="33.140625" customWidth="1"/>
    <col min="2049" max="2049" width="3.42578125" customWidth="1"/>
    <col min="2050" max="2050" width="7" customWidth="1"/>
    <col min="2051" max="2051" width="5" customWidth="1"/>
    <col min="2052" max="2052" width="5.42578125" customWidth="1"/>
    <col min="2053" max="2053" width="7" customWidth="1"/>
    <col min="2054" max="2054" width="14.140625" customWidth="1"/>
    <col min="2055" max="2055" width="10" customWidth="1"/>
    <col min="2056" max="2056" width="31" customWidth="1"/>
    <col min="2057" max="2057" width="32.140625" customWidth="1"/>
    <col min="2058" max="2058" width="33.140625" customWidth="1"/>
    <col min="2305" max="2305" width="3.42578125" customWidth="1"/>
    <col min="2306" max="2306" width="7" customWidth="1"/>
    <col min="2307" max="2307" width="5" customWidth="1"/>
    <col min="2308" max="2308" width="5.42578125" customWidth="1"/>
    <col min="2309" max="2309" width="7" customWidth="1"/>
    <col min="2310" max="2310" width="14.140625" customWidth="1"/>
    <col min="2311" max="2311" width="10" customWidth="1"/>
    <col min="2312" max="2312" width="31" customWidth="1"/>
    <col min="2313" max="2313" width="32.140625" customWidth="1"/>
    <col min="2314" max="2314" width="33.140625" customWidth="1"/>
    <col min="2561" max="2561" width="3.42578125" customWidth="1"/>
    <col min="2562" max="2562" width="7" customWidth="1"/>
    <col min="2563" max="2563" width="5" customWidth="1"/>
    <col min="2564" max="2564" width="5.42578125" customWidth="1"/>
    <col min="2565" max="2565" width="7" customWidth="1"/>
    <col min="2566" max="2566" width="14.140625" customWidth="1"/>
    <col min="2567" max="2567" width="10" customWidth="1"/>
    <col min="2568" max="2568" width="31" customWidth="1"/>
    <col min="2569" max="2569" width="32.140625" customWidth="1"/>
    <col min="2570" max="2570" width="33.140625" customWidth="1"/>
    <col min="2817" max="2817" width="3.42578125" customWidth="1"/>
    <col min="2818" max="2818" width="7" customWidth="1"/>
    <col min="2819" max="2819" width="5" customWidth="1"/>
    <col min="2820" max="2820" width="5.42578125" customWidth="1"/>
    <col min="2821" max="2821" width="7" customWidth="1"/>
    <col min="2822" max="2822" width="14.140625" customWidth="1"/>
    <col min="2823" max="2823" width="10" customWidth="1"/>
    <col min="2824" max="2824" width="31" customWidth="1"/>
    <col min="2825" max="2825" width="32.140625" customWidth="1"/>
    <col min="2826" max="2826" width="33.140625" customWidth="1"/>
    <col min="3073" max="3073" width="3.42578125" customWidth="1"/>
    <col min="3074" max="3074" width="7" customWidth="1"/>
    <col min="3075" max="3075" width="5" customWidth="1"/>
    <col min="3076" max="3076" width="5.42578125" customWidth="1"/>
    <col min="3077" max="3077" width="7" customWidth="1"/>
    <col min="3078" max="3078" width="14.140625" customWidth="1"/>
    <col min="3079" max="3079" width="10" customWidth="1"/>
    <col min="3080" max="3080" width="31" customWidth="1"/>
    <col min="3081" max="3081" width="32.140625" customWidth="1"/>
    <col min="3082" max="3082" width="33.140625" customWidth="1"/>
    <col min="3329" max="3329" width="3.42578125" customWidth="1"/>
    <col min="3330" max="3330" width="7" customWidth="1"/>
    <col min="3331" max="3331" width="5" customWidth="1"/>
    <col min="3332" max="3332" width="5.42578125" customWidth="1"/>
    <col min="3333" max="3333" width="7" customWidth="1"/>
    <col min="3334" max="3334" width="14.140625" customWidth="1"/>
    <col min="3335" max="3335" width="10" customWidth="1"/>
    <col min="3336" max="3336" width="31" customWidth="1"/>
    <col min="3337" max="3337" width="32.140625" customWidth="1"/>
    <col min="3338" max="3338" width="33.140625" customWidth="1"/>
    <col min="3585" max="3585" width="3.42578125" customWidth="1"/>
    <col min="3586" max="3586" width="7" customWidth="1"/>
    <col min="3587" max="3587" width="5" customWidth="1"/>
    <col min="3588" max="3588" width="5.42578125" customWidth="1"/>
    <col min="3589" max="3589" width="7" customWidth="1"/>
    <col min="3590" max="3590" width="14.140625" customWidth="1"/>
    <col min="3591" max="3591" width="10" customWidth="1"/>
    <col min="3592" max="3592" width="31" customWidth="1"/>
    <col min="3593" max="3593" width="32.140625" customWidth="1"/>
    <col min="3594" max="3594" width="33.140625" customWidth="1"/>
    <col min="3841" max="3841" width="3.42578125" customWidth="1"/>
    <col min="3842" max="3842" width="7" customWidth="1"/>
    <col min="3843" max="3843" width="5" customWidth="1"/>
    <col min="3844" max="3844" width="5.42578125" customWidth="1"/>
    <col min="3845" max="3845" width="7" customWidth="1"/>
    <col min="3846" max="3846" width="14.140625" customWidth="1"/>
    <col min="3847" max="3847" width="10" customWidth="1"/>
    <col min="3848" max="3848" width="31" customWidth="1"/>
    <col min="3849" max="3849" width="32.140625" customWidth="1"/>
    <col min="3850" max="3850" width="33.140625" customWidth="1"/>
    <col min="4097" max="4097" width="3.42578125" customWidth="1"/>
    <col min="4098" max="4098" width="7" customWidth="1"/>
    <col min="4099" max="4099" width="5" customWidth="1"/>
    <col min="4100" max="4100" width="5.42578125" customWidth="1"/>
    <col min="4101" max="4101" width="7" customWidth="1"/>
    <col min="4102" max="4102" width="14.140625" customWidth="1"/>
    <col min="4103" max="4103" width="10" customWidth="1"/>
    <col min="4104" max="4104" width="31" customWidth="1"/>
    <col min="4105" max="4105" width="32.140625" customWidth="1"/>
    <col min="4106" max="4106" width="33.140625" customWidth="1"/>
    <col min="4353" max="4353" width="3.42578125" customWidth="1"/>
    <col min="4354" max="4354" width="7" customWidth="1"/>
    <col min="4355" max="4355" width="5" customWidth="1"/>
    <col min="4356" max="4356" width="5.42578125" customWidth="1"/>
    <col min="4357" max="4357" width="7" customWidth="1"/>
    <col min="4358" max="4358" width="14.140625" customWidth="1"/>
    <col min="4359" max="4359" width="10" customWidth="1"/>
    <col min="4360" max="4360" width="31" customWidth="1"/>
    <col min="4361" max="4361" width="32.140625" customWidth="1"/>
    <col min="4362" max="4362" width="33.140625" customWidth="1"/>
    <col min="4609" max="4609" width="3.42578125" customWidth="1"/>
    <col min="4610" max="4610" width="7" customWidth="1"/>
    <col min="4611" max="4611" width="5" customWidth="1"/>
    <col min="4612" max="4612" width="5.42578125" customWidth="1"/>
    <col min="4613" max="4613" width="7" customWidth="1"/>
    <col min="4614" max="4614" width="14.140625" customWidth="1"/>
    <col min="4615" max="4615" width="10" customWidth="1"/>
    <col min="4616" max="4616" width="31" customWidth="1"/>
    <col min="4617" max="4617" width="32.140625" customWidth="1"/>
    <col min="4618" max="4618" width="33.140625" customWidth="1"/>
    <col min="4865" max="4865" width="3.42578125" customWidth="1"/>
    <col min="4866" max="4866" width="7" customWidth="1"/>
    <col min="4867" max="4867" width="5" customWidth="1"/>
    <col min="4868" max="4868" width="5.42578125" customWidth="1"/>
    <col min="4869" max="4869" width="7" customWidth="1"/>
    <col min="4870" max="4870" width="14.140625" customWidth="1"/>
    <col min="4871" max="4871" width="10" customWidth="1"/>
    <col min="4872" max="4872" width="31" customWidth="1"/>
    <col min="4873" max="4873" width="32.140625" customWidth="1"/>
    <col min="4874" max="4874" width="33.140625" customWidth="1"/>
    <col min="5121" max="5121" width="3.42578125" customWidth="1"/>
    <col min="5122" max="5122" width="7" customWidth="1"/>
    <col min="5123" max="5123" width="5" customWidth="1"/>
    <col min="5124" max="5124" width="5.42578125" customWidth="1"/>
    <col min="5125" max="5125" width="7" customWidth="1"/>
    <col min="5126" max="5126" width="14.140625" customWidth="1"/>
    <col min="5127" max="5127" width="10" customWidth="1"/>
    <col min="5128" max="5128" width="31" customWidth="1"/>
    <col min="5129" max="5129" width="32.140625" customWidth="1"/>
    <col min="5130" max="5130" width="33.140625" customWidth="1"/>
    <col min="5377" max="5377" width="3.42578125" customWidth="1"/>
    <col min="5378" max="5378" width="7" customWidth="1"/>
    <col min="5379" max="5379" width="5" customWidth="1"/>
    <col min="5380" max="5380" width="5.42578125" customWidth="1"/>
    <col min="5381" max="5381" width="7" customWidth="1"/>
    <col min="5382" max="5382" width="14.140625" customWidth="1"/>
    <col min="5383" max="5383" width="10" customWidth="1"/>
    <col min="5384" max="5384" width="31" customWidth="1"/>
    <col min="5385" max="5385" width="32.140625" customWidth="1"/>
    <col min="5386" max="5386" width="33.140625" customWidth="1"/>
    <col min="5633" max="5633" width="3.42578125" customWidth="1"/>
    <col min="5634" max="5634" width="7" customWidth="1"/>
    <col min="5635" max="5635" width="5" customWidth="1"/>
    <col min="5636" max="5636" width="5.42578125" customWidth="1"/>
    <col min="5637" max="5637" width="7" customWidth="1"/>
    <col min="5638" max="5638" width="14.140625" customWidth="1"/>
    <col min="5639" max="5639" width="10" customWidth="1"/>
    <col min="5640" max="5640" width="31" customWidth="1"/>
    <col min="5641" max="5641" width="32.140625" customWidth="1"/>
    <col min="5642" max="5642" width="33.140625" customWidth="1"/>
    <col min="5889" max="5889" width="3.42578125" customWidth="1"/>
    <col min="5890" max="5890" width="7" customWidth="1"/>
    <col min="5891" max="5891" width="5" customWidth="1"/>
    <col min="5892" max="5892" width="5.42578125" customWidth="1"/>
    <col min="5893" max="5893" width="7" customWidth="1"/>
    <col min="5894" max="5894" width="14.140625" customWidth="1"/>
    <col min="5895" max="5895" width="10" customWidth="1"/>
    <col min="5896" max="5896" width="31" customWidth="1"/>
    <col min="5897" max="5897" width="32.140625" customWidth="1"/>
    <col min="5898" max="5898" width="33.140625" customWidth="1"/>
    <col min="6145" max="6145" width="3.42578125" customWidth="1"/>
    <col min="6146" max="6146" width="7" customWidth="1"/>
    <col min="6147" max="6147" width="5" customWidth="1"/>
    <col min="6148" max="6148" width="5.42578125" customWidth="1"/>
    <col min="6149" max="6149" width="7" customWidth="1"/>
    <col min="6150" max="6150" width="14.140625" customWidth="1"/>
    <col min="6151" max="6151" width="10" customWidth="1"/>
    <col min="6152" max="6152" width="31" customWidth="1"/>
    <col min="6153" max="6153" width="32.140625" customWidth="1"/>
    <col min="6154" max="6154" width="33.140625" customWidth="1"/>
    <col min="6401" max="6401" width="3.42578125" customWidth="1"/>
    <col min="6402" max="6402" width="7" customWidth="1"/>
    <col min="6403" max="6403" width="5" customWidth="1"/>
    <col min="6404" max="6404" width="5.42578125" customWidth="1"/>
    <col min="6405" max="6405" width="7" customWidth="1"/>
    <col min="6406" max="6406" width="14.140625" customWidth="1"/>
    <col min="6407" max="6407" width="10" customWidth="1"/>
    <col min="6408" max="6408" width="31" customWidth="1"/>
    <col min="6409" max="6409" width="32.140625" customWidth="1"/>
    <col min="6410" max="6410" width="33.140625" customWidth="1"/>
    <col min="6657" max="6657" width="3.42578125" customWidth="1"/>
    <col min="6658" max="6658" width="7" customWidth="1"/>
    <col min="6659" max="6659" width="5" customWidth="1"/>
    <col min="6660" max="6660" width="5.42578125" customWidth="1"/>
    <col min="6661" max="6661" width="7" customWidth="1"/>
    <col min="6662" max="6662" width="14.140625" customWidth="1"/>
    <col min="6663" max="6663" width="10" customWidth="1"/>
    <col min="6664" max="6664" width="31" customWidth="1"/>
    <col min="6665" max="6665" width="32.140625" customWidth="1"/>
    <col min="6666" max="6666" width="33.140625" customWidth="1"/>
    <col min="6913" max="6913" width="3.42578125" customWidth="1"/>
    <col min="6914" max="6914" width="7" customWidth="1"/>
    <col min="6915" max="6915" width="5" customWidth="1"/>
    <col min="6916" max="6916" width="5.42578125" customWidth="1"/>
    <col min="6917" max="6917" width="7" customWidth="1"/>
    <col min="6918" max="6918" width="14.140625" customWidth="1"/>
    <col min="6919" max="6919" width="10" customWidth="1"/>
    <col min="6920" max="6920" width="31" customWidth="1"/>
    <col min="6921" max="6921" width="32.140625" customWidth="1"/>
    <col min="6922" max="6922" width="33.140625" customWidth="1"/>
    <col min="7169" max="7169" width="3.42578125" customWidth="1"/>
    <col min="7170" max="7170" width="7" customWidth="1"/>
    <col min="7171" max="7171" width="5" customWidth="1"/>
    <col min="7172" max="7172" width="5.42578125" customWidth="1"/>
    <col min="7173" max="7173" width="7" customWidth="1"/>
    <col min="7174" max="7174" width="14.140625" customWidth="1"/>
    <col min="7175" max="7175" width="10" customWidth="1"/>
    <col min="7176" max="7176" width="31" customWidth="1"/>
    <col min="7177" max="7177" width="32.140625" customWidth="1"/>
    <col min="7178" max="7178" width="33.140625" customWidth="1"/>
    <col min="7425" max="7425" width="3.42578125" customWidth="1"/>
    <col min="7426" max="7426" width="7" customWidth="1"/>
    <col min="7427" max="7427" width="5" customWidth="1"/>
    <col min="7428" max="7428" width="5.42578125" customWidth="1"/>
    <col min="7429" max="7429" width="7" customWidth="1"/>
    <col min="7430" max="7430" width="14.140625" customWidth="1"/>
    <col min="7431" max="7431" width="10" customWidth="1"/>
    <col min="7432" max="7432" width="31" customWidth="1"/>
    <col min="7433" max="7433" width="32.140625" customWidth="1"/>
    <col min="7434" max="7434" width="33.140625" customWidth="1"/>
    <col min="7681" max="7681" width="3.42578125" customWidth="1"/>
    <col min="7682" max="7682" width="7" customWidth="1"/>
    <col min="7683" max="7683" width="5" customWidth="1"/>
    <col min="7684" max="7684" width="5.42578125" customWidth="1"/>
    <col min="7685" max="7685" width="7" customWidth="1"/>
    <col min="7686" max="7686" width="14.140625" customWidth="1"/>
    <col min="7687" max="7687" width="10" customWidth="1"/>
    <col min="7688" max="7688" width="31" customWidth="1"/>
    <col min="7689" max="7689" width="32.140625" customWidth="1"/>
    <col min="7690" max="7690" width="33.140625" customWidth="1"/>
    <col min="7937" max="7937" width="3.42578125" customWidth="1"/>
    <col min="7938" max="7938" width="7" customWidth="1"/>
    <col min="7939" max="7939" width="5" customWidth="1"/>
    <col min="7940" max="7940" width="5.42578125" customWidth="1"/>
    <col min="7941" max="7941" width="7" customWidth="1"/>
    <col min="7942" max="7942" width="14.140625" customWidth="1"/>
    <col min="7943" max="7943" width="10" customWidth="1"/>
    <col min="7944" max="7944" width="31" customWidth="1"/>
    <col min="7945" max="7945" width="32.140625" customWidth="1"/>
    <col min="7946" max="7946" width="33.140625" customWidth="1"/>
    <col min="8193" max="8193" width="3.42578125" customWidth="1"/>
    <col min="8194" max="8194" width="7" customWidth="1"/>
    <col min="8195" max="8195" width="5" customWidth="1"/>
    <col min="8196" max="8196" width="5.42578125" customWidth="1"/>
    <col min="8197" max="8197" width="7" customWidth="1"/>
    <col min="8198" max="8198" width="14.140625" customWidth="1"/>
    <col min="8199" max="8199" width="10" customWidth="1"/>
    <col min="8200" max="8200" width="31" customWidth="1"/>
    <col min="8201" max="8201" width="32.140625" customWidth="1"/>
    <col min="8202" max="8202" width="33.140625" customWidth="1"/>
    <col min="8449" max="8449" width="3.42578125" customWidth="1"/>
    <col min="8450" max="8450" width="7" customWidth="1"/>
    <col min="8451" max="8451" width="5" customWidth="1"/>
    <col min="8452" max="8452" width="5.42578125" customWidth="1"/>
    <col min="8453" max="8453" width="7" customWidth="1"/>
    <col min="8454" max="8454" width="14.140625" customWidth="1"/>
    <col min="8455" max="8455" width="10" customWidth="1"/>
    <col min="8456" max="8456" width="31" customWidth="1"/>
    <col min="8457" max="8457" width="32.140625" customWidth="1"/>
    <col min="8458" max="8458" width="33.140625" customWidth="1"/>
    <col min="8705" max="8705" width="3.42578125" customWidth="1"/>
    <col min="8706" max="8706" width="7" customWidth="1"/>
    <col min="8707" max="8707" width="5" customWidth="1"/>
    <col min="8708" max="8708" width="5.42578125" customWidth="1"/>
    <col min="8709" max="8709" width="7" customWidth="1"/>
    <col min="8710" max="8710" width="14.140625" customWidth="1"/>
    <col min="8711" max="8711" width="10" customWidth="1"/>
    <col min="8712" max="8712" width="31" customWidth="1"/>
    <col min="8713" max="8713" width="32.140625" customWidth="1"/>
    <col min="8714" max="8714" width="33.140625" customWidth="1"/>
    <col min="8961" max="8961" width="3.42578125" customWidth="1"/>
    <col min="8962" max="8962" width="7" customWidth="1"/>
    <col min="8963" max="8963" width="5" customWidth="1"/>
    <col min="8964" max="8964" width="5.42578125" customWidth="1"/>
    <col min="8965" max="8965" width="7" customWidth="1"/>
    <col min="8966" max="8966" width="14.140625" customWidth="1"/>
    <col min="8967" max="8967" width="10" customWidth="1"/>
    <col min="8968" max="8968" width="31" customWidth="1"/>
    <col min="8969" max="8969" width="32.140625" customWidth="1"/>
    <col min="8970" max="8970" width="33.140625" customWidth="1"/>
    <col min="9217" max="9217" width="3.42578125" customWidth="1"/>
    <col min="9218" max="9218" width="7" customWidth="1"/>
    <col min="9219" max="9219" width="5" customWidth="1"/>
    <col min="9220" max="9220" width="5.42578125" customWidth="1"/>
    <col min="9221" max="9221" width="7" customWidth="1"/>
    <col min="9222" max="9222" width="14.140625" customWidth="1"/>
    <col min="9223" max="9223" width="10" customWidth="1"/>
    <col min="9224" max="9224" width="31" customWidth="1"/>
    <col min="9225" max="9225" width="32.140625" customWidth="1"/>
    <col min="9226" max="9226" width="33.140625" customWidth="1"/>
    <col min="9473" max="9473" width="3.42578125" customWidth="1"/>
    <col min="9474" max="9474" width="7" customWidth="1"/>
    <col min="9475" max="9475" width="5" customWidth="1"/>
    <col min="9476" max="9476" width="5.42578125" customWidth="1"/>
    <col min="9477" max="9477" width="7" customWidth="1"/>
    <col min="9478" max="9478" width="14.140625" customWidth="1"/>
    <col min="9479" max="9479" width="10" customWidth="1"/>
    <col min="9480" max="9480" width="31" customWidth="1"/>
    <col min="9481" max="9481" width="32.140625" customWidth="1"/>
    <col min="9482" max="9482" width="33.140625" customWidth="1"/>
    <col min="9729" max="9729" width="3.42578125" customWidth="1"/>
    <col min="9730" max="9730" width="7" customWidth="1"/>
    <col min="9731" max="9731" width="5" customWidth="1"/>
    <col min="9732" max="9732" width="5.42578125" customWidth="1"/>
    <col min="9733" max="9733" width="7" customWidth="1"/>
    <col min="9734" max="9734" width="14.140625" customWidth="1"/>
    <col min="9735" max="9735" width="10" customWidth="1"/>
    <col min="9736" max="9736" width="31" customWidth="1"/>
    <col min="9737" max="9737" width="32.140625" customWidth="1"/>
    <col min="9738" max="9738" width="33.140625" customWidth="1"/>
    <col min="9985" max="9985" width="3.42578125" customWidth="1"/>
    <col min="9986" max="9986" width="7" customWidth="1"/>
    <col min="9987" max="9987" width="5" customWidth="1"/>
    <col min="9988" max="9988" width="5.42578125" customWidth="1"/>
    <col min="9989" max="9989" width="7" customWidth="1"/>
    <col min="9990" max="9990" width="14.140625" customWidth="1"/>
    <col min="9991" max="9991" width="10" customWidth="1"/>
    <col min="9992" max="9992" width="31" customWidth="1"/>
    <col min="9993" max="9993" width="32.140625" customWidth="1"/>
    <col min="9994" max="9994" width="33.140625" customWidth="1"/>
    <col min="10241" max="10241" width="3.42578125" customWidth="1"/>
    <col min="10242" max="10242" width="7" customWidth="1"/>
    <col min="10243" max="10243" width="5" customWidth="1"/>
    <col min="10244" max="10244" width="5.42578125" customWidth="1"/>
    <col min="10245" max="10245" width="7" customWidth="1"/>
    <col min="10246" max="10246" width="14.140625" customWidth="1"/>
    <col min="10247" max="10247" width="10" customWidth="1"/>
    <col min="10248" max="10248" width="31" customWidth="1"/>
    <col min="10249" max="10249" width="32.140625" customWidth="1"/>
    <col min="10250" max="10250" width="33.140625" customWidth="1"/>
    <col min="10497" max="10497" width="3.42578125" customWidth="1"/>
    <col min="10498" max="10498" width="7" customWidth="1"/>
    <col min="10499" max="10499" width="5" customWidth="1"/>
    <col min="10500" max="10500" width="5.42578125" customWidth="1"/>
    <col min="10501" max="10501" width="7" customWidth="1"/>
    <col min="10502" max="10502" width="14.140625" customWidth="1"/>
    <col min="10503" max="10503" width="10" customWidth="1"/>
    <col min="10504" max="10504" width="31" customWidth="1"/>
    <col min="10505" max="10505" width="32.140625" customWidth="1"/>
    <col min="10506" max="10506" width="33.140625" customWidth="1"/>
    <col min="10753" max="10753" width="3.42578125" customWidth="1"/>
    <col min="10754" max="10754" width="7" customWidth="1"/>
    <col min="10755" max="10755" width="5" customWidth="1"/>
    <col min="10756" max="10756" width="5.42578125" customWidth="1"/>
    <col min="10757" max="10757" width="7" customWidth="1"/>
    <col min="10758" max="10758" width="14.140625" customWidth="1"/>
    <col min="10759" max="10759" width="10" customWidth="1"/>
    <col min="10760" max="10760" width="31" customWidth="1"/>
    <col min="10761" max="10761" width="32.140625" customWidth="1"/>
    <col min="10762" max="10762" width="33.140625" customWidth="1"/>
    <col min="11009" max="11009" width="3.42578125" customWidth="1"/>
    <col min="11010" max="11010" width="7" customWidth="1"/>
    <col min="11011" max="11011" width="5" customWidth="1"/>
    <col min="11012" max="11012" width="5.42578125" customWidth="1"/>
    <col min="11013" max="11013" width="7" customWidth="1"/>
    <col min="11014" max="11014" width="14.140625" customWidth="1"/>
    <col min="11015" max="11015" width="10" customWidth="1"/>
    <col min="11016" max="11016" width="31" customWidth="1"/>
    <col min="11017" max="11017" width="32.140625" customWidth="1"/>
    <col min="11018" max="11018" width="33.140625" customWidth="1"/>
    <col min="11265" max="11265" width="3.42578125" customWidth="1"/>
    <col min="11266" max="11266" width="7" customWidth="1"/>
    <col min="11267" max="11267" width="5" customWidth="1"/>
    <col min="11268" max="11268" width="5.42578125" customWidth="1"/>
    <col min="11269" max="11269" width="7" customWidth="1"/>
    <col min="11270" max="11270" width="14.140625" customWidth="1"/>
    <col min="11271" max="11271" width="10" customWidth="1"/>
    <col min="11272" max="11272" width="31" customWidth="1"/>
    <col min="11273" max="11273" width="32.140625" customWidth="1"/>
    <col min="11274" max="11274" width="33.140625" customWidth="1"/>
    <col min="11521" max="11521" width="3.42578125" customWidth="1"/>
    <col min="11522" max="11522" width="7" customWidth="1"/>
    <col min="11523" max="11523" width="5" customWidth="1"/>
    <col min="11524" max="11524" width="5.42578125" customWidth="1"/>
    <col min="11525" max="11525" width="7" customWidth="1"/>
    <col min="11526" max="11526" width="14.140625" customWidth="1"/>
    <col min="11527" max="11527" width="10" customWidth="1"/>
    <col min="11528" max="11528" width="31" customWidth="1"/>
    <col min="11529" max="11529" width="32.140625" customWidth="1"/>
    <col min="11530" max="11530" width="33.140625" customWidth="1"/>
    <col min="11777" max="11777" width="3.42578125" customWidth="1"/>
    <col min="11778" max="11778" width="7" customWidth="1"/>
    <col min="11779" max="11779" width="5" customWidth="1"/>
    <col min="11780" max="11780" width="5.42578125" customWidth="1"/>
    <col min="11781" max="11781" width="7" customWidth="1"/>
    <col min="11782" max="11782" width="14.140625" customWidth="1"/>
    <col min="11783" max="11783" width="10" customWidth="1"/>
    <col min="11784" max="11784" width="31" customWidth="1"/>
    <col min="11785" max="11785" width="32.140625" customWidth="1"/>
    <col min="11786" max="11786" width="33.140625" customWidth="1"/>
    <col min="12033" max="12033" width="3.42578125" customWidth="1"/>
    <col min="12034" max="12034" width="7" customWidth="1"/>
    <col min="12035" max="12035" width="5" customWidth="1"/>
    <col min="12036" max="12036" width="5.42578125" customWidth="1"/>
    <col min="12037" max="12037" width="7" customWidth="1"/>
    <col min="12038" max="12038" width="14.140625" customWidth="1"/>
    <col min="12039" max="12039" width="10" customWidth="1"/>
    <col min="12040" max="12040" width="31" customWidth="1"/>
    <col min="12041" max="12041" width="32.140625" customWidth="1"/>
    <col min="12042" max="12042" width="33.140625" customWidth="1"/>
    <col min="12289" max="12289" width="3.42578125" customWidth="1"/>
    <col min="12290" max="12290" width="7" customWidth="1"/>
    <col min="12291" max="12291" width="5" customWidth="1"/>
    <col min="12292" max="12292" width="5.42578125" customWidth="1"/>
    <col min="12293" max="12293" width="7" customWidth="1"/>
    <col min="12294" max="12294" width="14.140625" customWidth="1"/>
    <col min="12295" max="12295" width="10" customWidth="1"/>
    <col min="12296" max="12296" width="31" customWidth="1"/>
    <col min="12297" max="12297" width="32.140625" customWidth="1"/>
    <col min="12298" max="12298" width="33.140625" customWidth="1"/>
    <col min="12545" max="12545" width="3.42578125" customWidth="1"/>
    <col min="12546" max="12546" width="7" customWidth="1"/>
    <col min="12547" max="12547" width="5" customWidth="1"/>
    <col min="12548" max="12548" width="5.42578125" customWidth="1"/>
    <col min="12549" max="12549" width="7" customWidth="1"/>
    <col min="12550" max="12550" width="14.140625" customWidth="1"/>
    <col min="12551" max="12551" width="10" customWidth="1"/>
    <col min="12552" max="12552" width="31" customWidth="1"/>
    <col min="12553" max="12553" width="32.140625" customWidth="1"/>
    <col min="12554" max="12554" width="33.140625" customWidth="1"/>
    <col min="12801" max="12801" width="3.42578125" customWidth="1"/>
    <col min="12802" max="12802" width="7" customWidth="1"/>
    <col min="12803" max="12803" width="5" customWidth="1"/>
    <col min="12804" max="12804" width="5.42578125" customWidth="1"/>
    <col min="12805" max="12805" width="7" customWidth="1"/>
    <col min="12806" max="12806" width="14.140625" customWidth="1"/>
    <col min="12807" max="12807" width="10" customWidth="1"/>
    <col min="12808" max="12808" width="31" customWidth="1"/>
    <col min="12809" max="12809" width="32.140625" customWidth="1"/>
    <col min="12810" max="12810" width="33.140625" customWidth="1"/>
    <col min="13057" max="13057" width="3.42578125" customWidth="1"/>
    <col min="13058" max="13058" width="7" customWidth="1"/>
    <col min="13059" max="13059" width="5" customWidth="1"/>
    <col min="13060" max="13060" width="5.42578125" customWidth="1"/>
    <col min="13061" max="13061" width="7" customWidth="1"/>
    <col min="13062" max="13062" width="14.140625" customWidth="1"/>
    <col min="13063" max="13063" width="10" customWidth="1"/>
    <col min="13064" max="13064" width="31" customWidth="1"/>
    <col min="13065" max="13065" width="32.140625" customWidth="1"/>
    <col min="13066" max="13066" width="33.140625" customWidth="1"/>
    <col min="13313" max="13313" width="3.42578125" customWidth="1"/>
    <col min="13314" max="13314" width="7" customWidth="1"/>
    <col min="13315" max="13315" width="5" customWidth="1"/>
    <col min="13316" max="13316" width="5.42578125" customWidth="1"/>
    <col min="13317" max="13317" width="7" customWidth="1"/>
    <col min="13318" max="13318" width="14.140625" customWidth="1"/>
    <col min="13319" max="13319" width="10" customWidth="1"/>
    <col min="13320" max="13320" width="31" customWidth="1"/>
    <col min="13321" max="13321" width="32.140625" customWidth="1"/>
    <col min="13322" max="13322" width="33.140625" customWidth="1"/>
    <col min="13569" max="13569" width="3.42578125" customWidth="1"/>
    <col min="13570" max="13570" width="7" customWidth="1"/>
    <col min="13571" max="13571" width="5" customWidth="1"/>
    <col min="13572" max="13572" width="5.42578125" customWidth="1"/>
    <col min="13573" max="13573" width="7" customWidth="1"/>
    <col min="13574" max="13574" width="14.140625" customWidth="1"/>
    <col min="13575" max="13575" width="10" customWidth="1"/>
    <col min="13576" max="13576" width="31" customWidth="1"/>
    <col min="13577" max="13577" width="32.140625" customWidth="1"/>
    <col min="13578" max="13578" width="33.140625" customWidth="1"/>
    <col min="13825" max="13825" width="3.42578125" customWidth="1"/>
    <col min="13826" max="13826" width="7" customWidth="1"/>
    <col min="13827" max="13827" width="5" customWidth="1"/>
    <col min="13828" max="13828" width="5.42578125" customWidth="1"/>
    <col min="13829" max="13829" width="7" customWidth="1"/>
    <col min="13830" max="13830" width="14.140625" customWidth="1"/>
    <col min="13831" max="13831" width="10" customWidth="1"/>
    <col min="13832" max="13832" width="31" customWidth="1"/>
    <col min="13833" max="13833" width="32.140625" customWidth="1"/>
    <col min="13834" max="13834" width="33.140625" customWidth="1"/>
    <col min="14081" max="14081" width="3.42578125" customWidth="1"/>
    <col min="14082" max="14082" width="7" customWidth="1"/>
    <col min="14083" max="14083" width="5" customWidth="1"/>
    <col min="14084" max="14084" width="5.42578125" customWidth="1"/>
    <col min="14085" max="14085" width="7" customWidth="1"/>
    <col min="14086" max="14086" width="14.140625" customWidth="1"/>
    <col min="14087" max="14087" width="10" customWidth="1"/>
    <col min="14088" max="14088" width="31" customWidth="1"/>
    <col min="14089" max="14089" width="32.140625" customWidth="1"/>
    <col min="14090" max="14090" width="33.140625" customWidth="1"/>
    <col min="14337" max="14337" width="3.42578125" customWidth="1"/>
    <col min="14338" max="14338" width="7" customWidth="1"/>
    <col min="14339" max="14339" width="5" customWidth="1"/>
    <col min="14340" max="14340" width="5.42578125" customWidth="1"/>
    <col min="14341" max="14341" width="7" customWidth="1"/>
    <col min="14342" max="14342" width="14.140625" customWidth="1"/>
    <col min="14343" max="14343" width="10" customWidth="1"/>
    <col min="14344" max="14344" width="31" customWidth="1"/>
    <col min="14345" max="14345" width="32.140625" customWidth="1"/>
    <col min="14346" max="14346" width="33.140625" customWidth="1"/>
    <col min="14593" max="14593" width="3.42578125" customWidth="1"/>
    <col min="14594" max="14594" width="7" customWidth="1"/>
    <col min="14595" max="14595" width="5" customWidth="1"/>
    <col min="14596" max="14596" width="5.42578125" customWidth="1"/>
    <col min="14597" max="14597" width="7" customWidth="1"/>
    <col min="14598" max="14598" width="14.140625" customWidth="1"/>
    <col min="14599" max="14599" width="10" customWidth="1"/>
    <col min="14600" max="14600" width="31" customWidth="1"/>
    <col min="14601" max="14601" width="32.140625" customWidth="1"/>
    <col min="14602" max="14602" width="33.140625" customWidth="1"/>
    <col min="14849" max="14849" width="3.42578125" customWidth="1"/>
    <col min="14850" max="14850" width="7" customWidth="1"/>
    <col min="14851" max="14851" width="5" customWidth="1"/>
    <col min="14852" max="14852" width="5.42578125" customWidth="1"/>
    <col min="14853" max="14853" width="7" customWidth="1"/>
    <col min="14854" max="14854" width="14.140625" customWidth="1"/>
    <col min="14855" max="14855" width="10" customWidth="1"/>
    <col min="14856" max="14856" width="31" customWidth="1"/>
    <col min="14857" max="14857" width="32.140625" customWidth="1"/>
    <col min="14858" max="14858" width="33.140625" customWidth="1"/>
    <col min="15105" max="15105" width="3.42578125" customWidth="1"/>
    <col min="15106" max="15106" width="7" customWidth="1"/>
    <col min="15107" max="15107" width="5" customWidth="1"/>
    <col min="15108" max="15108" width="5.42578125" customWidth="1"/>
    <col min="15109" max="15109" width="7" customWidth="1"/>
    <col min="15110" max="15110" width="14.140625" customWidth="1"/>
    <col min="15111" max="15111" width="10" customWidth="1"/>
    <col min="15112" max="15112" width="31" customWidth="1"/>
    <col min="15113" max="15113" width="32.140625" customWidth="1"/>
    <col min="15114" max="15114" width="33.140625" customWidth="1"/>
    <col min="15361" max="15361" width="3.42578125" customWidth="1"/>
    <col min="15362" max="15362" width="7" customWidth="1"/>
    <col min="15363" max="15363" width="5" customWidth="1"/>
    <col min="15364" max="15364" width="5.42578125" customWidth="1"/>
    <col min="15365" max="15365" width="7" customWidth="1"/>
    <col min="15366" max="15366" width="14.140625" customWidth="1"/>
    <col min="15367" max="15367" width="10" customWidth="1"/>
    <col min="15368" max="15368" width="31" customWidth="1"/>
    <col min="15369" max="15369" width="32.140625" customWidth="1"/>
    <col min="15370" max="15370" width="33.140625" customWidth="1"/>
    <col min="15617" max="15617" width="3.42578125" customWidth="1"/>
    <col min="15618" max="15618" width="7" customWidth="1"/>
    <col min="15619" max="15619" width="5" customWidth="1"/>
    <col min="15620" max="15620" width="5.42578125" customWidth="1"/>
    <col min="15621" max="15621" width="7" customWidth="1"/>
    <col min="15622" max="15622" width="14.140625" customWidth="1"/>
    <col min="15623" max="15623" width="10" customWidth="1"/>
    <col min="15624" max="15624" width="31" customWidth="1"/>
    <col min="15625" max="15625" width="32.140625" customWidth="1"/>
    <col min="15626" max="15626" width="33.140625" customWidth="1"/>
    <col min="15873" max="15873" width="3.42578125" customWidth="1"/>
    <col min="15874" max="15874" width="7" customWidth="1"/>
    <col min="15875" max="15875" width="5" customWidth="1"/>
    <col min="15876" max="15876" width="5.42578125" customWidth="1"/>
    <col min="15877" max="15877" width="7" customWidth="1"/>
    <col min="15878" max="15878" width="14.140625" customWidth="1"/>
    <col min="15879" max="15879" width="10" customWidth="1"/>
    <col min="15880" max="15880" width="31" customWidth="1"/>
    <col min="15881" max="15881" width="32.140625" customWidth="1"/>
    <col min="15882" max="15882" width="33.140625" customWidth="1"/>
    <col min="16129" max="16129" width="3.42578125" customWidth="1"/>
    <col min="16130" max="16130" width="7" customWidth="1"/>
    <col min="16131" max="16131" width="5" customWidth="1"/>
    <col min="16132" max="16132" width="5.42578125" customWidth="1"/>
    <col min="16133" max="16133" width="7" customWidth="1"/>
    <col min="16134" max="16134" width="14.140625" customWidth="1"/>
    <col min="16135" max="16135" width="10" customWidth="1"/>
    <col min="16136" max="16136" width="31" customWidth="1"/>
    <col min="16137" max="16137" width="32.140625" customWidth="1"/>
    <col min="16138" max="16138" width="33.140625" customWidth="1"/>
  </cols>
  <sheetData>
    <row r="1" spans="1:13" s="116" customFormat="1" ht="40.5">
      <c r="A1" s="198" t="s">
        <v>70</v>
      </c>
      <c r="B1" s="198" t="s">
        <v>71</v>
      </c>
      <c r="C1" s="198" t="s">
        <v>72</v>
      </c>
      <c r="D1" s="198" t="s">
        <v>73</v>
      </c>
      <c r="E1" s="198" t="s">
        <v>74</v>
      </c>
      <c r="F1" s="116" t="s">
        <v>13</v>
      </c>
      <c r="G1" s="116" t="s">
        <v>14</v>
      </c>
      <c r="H1" s="116" t="s">
        <v>3015</v>
      </c>
      <c r="I1" s="116" t="s">
        <v>3016</v>
      </c>
      <c r="J1" s="116" t="s">
        <v>3017</v>
      </c>
      <c r="L1" s="199" t="s">
        <v>3018</v>
      </c>
    </row>
    <row r="2" spans="1:13">
      <c r="A2" t="s">
        <v>9</v>
      </c>
      <c r="B2"/>
      <c r="C2"/>
      <c r="D2"/>
      <c r="E2"/>
      <c r="F2" t="s">
        <v>26</v>
      </c>
      <c r="G2" t="s">
        <v>29</v>
      </c>
      <c r="H2" t="s">
        <v>88</v>
      </c>
      <c r="I2" t="s">
        <v>94</v>
      </c>
      <c r="J2">
        <v>2.5099999999999998</v>
      </c>
      <c r="L2" s="200" t="str">
        <f>IFERROR(VLOOKUP($H2,PARAMETERS!$M$3:$M$1600,1,0),"---")</f>
        <v>A</v>
      </c>
      <c r="M2" s="200"/>
    </row>
    <row r="3" spans="1:13">
      <c r="A3" t="s">
        <v>9</v>
      </c>
      <c r="B3"/>
      <c r="C3"/>
      <c r="D3"/>
      <c r="E3"/>
      <c r="F3" t="s">
        <v>26</v>
      </c>
      <c r="G3" t="s">
        <v>29</v>
      </c>
      <c r="H3" t="s">
        <v>50</v>
      </c>
      <c r="I3" t="s">
        <v>95</v>
      </c>
      <c r="J3">
        <v>2.5099999999999998</v>
      </c>
      <c r="L3" s="200" t="str">
        <f>IFERROR(VLOOKUP($H3,PARAMETERS!$M$3:$M$1600,1,0),"---")</f>
        <v>B</v>
      </c>
    </row>
    <row r="4" spans="1:13">
      <c r="A4"/>
      <c r="B4"/>
      <c r="C4"/>
      <c r="D4"/>
      <c r="E4"/>
      <c r="F4" t="s">
        <v>49</v>
      </c>
      <c r="G4" t="s">
        <v>29</v>
      </c>
      <c r="H4" t="s">
        <v>892</v>
      </c>
      <c r="I4" t="s">
        <v>893</v>
      </c>
      <c r="J4">
        <v>1</v>
      </c>
      <c r="L4" s="200" t="str">
        <f>IFERROR(VLOOKUP($H4,PARAMETERS!$M$3:$M$1600,1,0),"---")</f>
        <v>symm</v>
      </c>
    </row>
    <row r="5" spans="1:13">
      <c r="A5"/>
      <c r="B5"/>
      <c r="C5"/>
      <c r="D5"/>
      <c r="E5"/>
      <c r="F5" t="s">
        <v>26</v>
      </c>
      <c r="G5" t="s">
        <v>29</v>
      </c>
      <c r="H5" t="s">
        <v>894</v>
      </c>
      <c r="I5" t="s">
        <v>895</v>
      </c>
      <c r="J5">
        <v>1</v>
      </c>
      <c r="L5" s="200" t="str">
        <f>IFERROR(VLOOKUP($H5,PARAMETERS!$M$3:$M$1600,1,0),"---")</f>
        <v>gs_SecondLeaf_w</v>
      </c>
    </row>
    <row r="6" spans="1:13">
      <c r="A6" t="s">
        <v>9</v>
      </c>
      <c r="B6" t="s">
        <v>9</v>
      </c>
      <c r="C6"/>
      <c r="D6"/>
      <c r="E6"/>
      <c r="F6" t="s">
        <v>26</v>
      </c>
      <c r="G6" t="s">
        <v>29</v>
      </c>
      <c r="H6" t="s">
        <v>92</v>
      </c>
      <c r="I6" t="s">
        <v>96</v>
      </c>
      <c r="J6">
        <v>1</v>
      </c>
      <c r="L6" s="200" t="str">
        <f>IFERROR(VLOOKUP($H6,PARAMETERS!$M$3:$M$1600,1,0),"---")</f>
        <v>ZZYZX</v>
      </c>
    </row>
    <row r="7" spans="1:13">
      <c r="A7" t="s">
        <v>9</v>
      </c>
      <c r="B7" t="s">
        <v>9</v>
      </c>
      <c r="C7"/>
      <c r="D7"/>
      <c r="E7"/>
      <c r="F7" t="s">
        <v>46</v>
      </c>
      <c r="G7" t="s">
        <v>29</v>
      </c>
      <c r="H7" t="s">
        <v>1604</v>
      </c>
      <c r="I7" t="s">
        <v>3019</v>
      </c>
      <c r="J7">
        <v>0</v>
      </c>
      <c r="L7" s="200" t="str">
        <f>IFERROR(VLOOKUP($H7,PARAMETERS!$M$3:$M$1600,1,0),"---")</f>
        <v>AC_WallContours</v>
      </c>
    </row>
    <row r="8" spans="1:13">
      <c r="A8" t="s">
        <v>9</v>
      </c>
      <c r="B8" t="s">
        <v>9</v>
      </c>
      <c r="C8"/>
      <c r="D8"/>
      <c r="E8"/>
      <c r="F8" t="s">
        <v>46</v>
      </c>
      <c r="G8" t="s">
        <v>29</v>
      </c>
      <c r="H8" t="s">
        <v>1606</v>
      </c>
      <c r="I8" t="s">
        <v>3020</v>
      </c>
      <c r="J8">
        <v>3</v>
      </c>
      <c r="L8" s="200" t="str">
        <f>IFERROR(VLOOKUP($H8,PARAMETERS!$M$3:$M$1600,1,0),"---")</f>
        <v>AC_Hole_Hotspot_Control</v>
      </c>
    </row>
    <row r="9" spans="1:13">
      <c r="A9" t="s">
        <v>9</v>
      </c>
      <c r="B9" t="s">
        <v>9</v>
      </c>
      <c r="C9"/>
      <c r="D9"/>
      <c r="E9"/>
      <c r="F9" t="s">
        <v>49</v>
      </c>
      <c r="G9" t="s">
        <v>29</v>
      </c>
      <c r="H9" t="s">
        <v>182</v>
      </c>
      <c r="I9" t="s">
        <v>1608</v>
      </c>
      <c r="J9">
        <v>1</v>
      </c>
      <c r="L9" s="200" t="str">
        <f>IFERROR(VLOOKUP($H9,PARAMETERS!$M$3:$M$1600,1,0),"---")</f>
        <v>AC_show2DHotspotsIn3D</v>
      </c>
    </row>
    <row r="10" spans="1:13">
      <c r="A10" t="s">
        <v>9</v>
      </c>
      <c r="B10" t="s">
        <v>9</v>
      </c>
      <c r="C10"/>
      <c r="D10"/>
      <c r="E10"/>
      <c r="F10" t="s">
        <v>26</v>
      </c>
      <c r="G10" t="s">
        <v>29</v>
      </c>
      <c r="H10" t="s">
        <v>183</v>
      </c>
      <c r="I10" t="s">
        <v>3021</v>
      </c>
      <c r="J10">
        <v>1</v>
      </c>
      <c r="L10" s="200" t="str">
        <f>IFERROR(VLOOKUP($H10,PARAMETERS!$M$3:$M$1600,1,0),"---")</f>
        <v>ac_bottomlevel</v>
      </c>
    </row>
    <row r="11" spans="1:13">
      <c r="A11" t="s">
        <v>9</v>
      </c>
      <c r="B11" t="s">
        <v>9</v>
      </c>
      <c r="C11"/>
      <c r="D11"/>
      <c r="E11"/>
      <c r="F11" t="s">
        <v>26</v>
      </c>
      <c r="G11" t="s">
        <v>29</v>
      </c>
      <c r="H11" t="s">
        <v>184</v>
      </c>
      <c r="I11" t="s">
        <v>3022</v>
      </c>
      <c r="J11">
        <v>0</v>
      </c>
      <c r="L11" s="200" t="str">
        <f>IFERROR(VLOOKUP($H11,PARAMETERS!$M$3:$M$1600,1,0),"---")</f>
        <v>ac_toplevel</v>
      </c>
    </row>
    <row r="12" spans="1:13">
      <c r="A12" t="s">
        <v>9</v>
      </c>
      <c r="B12" t="s">
        <v>9</v>
      </c>
      <c r="C12"/>
      <c r="D12"/>
      <c r="E12" t="s">
        <v>9</v>
      </c>
      <c r="F12" t="s">
        <v>26</v>
      </c>
      <c r="G12" t="s">
        <v>29</v>
      </c>
      <c r="H12" t="s">
        <v>1724</v>
      </c>
      <c r="I12" t="s">
        <v>1725</v>
      </c>
      <c r="J12">
        <v>0</v>
      </c>
      <c r="L12" s="200" t="str">
        <f>IFERROR(VLOOKUP($H12,PARAMETERS!$M$3:$M$1600,1,0),"---")</f>
        <v>AC_Sill_To_Curr_Story</v>
      </c>
    </row>
    <row r="13" spans="1:13">
      <c r="A13" t="s">
        <v>9</v>
      </c>
      <c r="B13" t="s">
        <v>9</v>
      </c>
      <c r="C13"/>
      <c r="D13"/>
      <c r="E13"/>
      <c r="F13" t="s">
        <v>46</v>
      </c>
      <c r="G13" t="s">
        <v>29</v>
      </c>
      <c r="H13" t="s">
        <v>1611</v>
      </c>
      <c r="I13" t="s">
        <v>3023</v>
      </c>
      <c r="J13">
        <v>3</v>
      </c>
      <c r="L13" s="200" t="str">
        <f>IFERROR(VLOOKUP($H13,PARAMETERS!$M$3:$M$1600,1,0),"---")</f>
        <v>AC_Hole_Display_Option</v>
      </c>
    </row>
    <row r="14" spans="1:13">
      <c r="A14" t="s">
        <v>9</v>
      </c>
      <c r="B14" t="s">
        <v>9</v>
      </c>
      <c r="C14"/>
      <c r="D14"/>
      <c r="E14"/>
      <c r="F14" t="s">
        <v>33</v>
      </c>
      <c r="G14" t="s">
        <v>29</v>
      </c>
      <c r="H14" t="s">
        <v>1613</v>
      </c>
      <c r="I14" t="s">
        <v>1614</v>
      </c>
      <c r="J14">
        <v>0</v>
      </c>
      <c r="L14" s="200" t="str">
        <f>IFERROR(VLOOKUP($H14,PARAMETERS!$M$3:$M$1600,1,0),"---")</f>
        <v>AC_Hole_Position_Angle</v>
      </c>
    </row>
    <row r="15" spans="1:13">
      <c r="A15" t="s">
        <v>9</v>
      </c>
      <c r="B15" t="s">
        <v>9</v>
      </c>
      <c r="C15"/>
      <c r="D15"/>
      <c r="E15"/>
      <c r="F15" t="s">
        <v>49</v>
      </c>
      <c r="G15" t="s">
        <v>29</v>
      </c>
      <c r="H15" t="s">
        <v>1615</v>
      </c>
      <c r="I15" t="s">
        <v>3024</v>
      </c>
      <c r="J15">
        <v>1</v>
      </c>
      <c r="L15" s="200" t="str">
        <f>IFERROR(VLOOKUP($H15,PARAMETERS!$M$3:$M$1600,1,0),"---")</f>
        <v>AC_HoleSideMaterial</v>
      </c>
    </row>
    <row r="16" spans="1:13">
      <c r="A16" t="s">
        <v>9</v>
      </c>
      <c r="B16" t="s">
        <v>9</v>
      </c>
      <c r="C16"/>
      <c r="D16"/>
      <c r="E16"/>
      <c r="F16" t="s">
        <v>49</v>
      </c>
      <c r="G16" t="s">
        <v>29</v>
      </c>
      <c r="H16" t="s">
        <v>1617</v>
      </c>
      <c r="I16" t="s">
        <v>1618</v>
      </c>
      <c r="J16">
        <v>0</v>
      </c>
      <c r="L16" s="200" t="str">
        <f>IFERROR(VLOOKUP($H16,PARAMETERS!$M$3:$M$1600,1,0),"---")</f>
        <v>AC_HoleMaterialCurved</v>
      </c>
    </row>
    <row r="17" spans="1:12">
      <c r="A17" t="s">
        <v>9</v>
      </c>
      <c r="B17" t="s">
        <v>9</v>
      </c>
      <c r="C17"/>
      <c r="D17"/>
      <c r="E17"/>
      <c r="F17" t="s">
        <v>46</v>
      </c>
      <c r="G17" t="s">
        <v>29</v>
      </c>
      <c r="H17" t="s">
        <v>1619</v>
      </c>
      <c r="I17" t="s">
        <v>1620</v>
      </c>
      <c r="J17">
        <v>1</v>
      </c>
      <c r="L17" s="200" t="str">
        <f>IFERROR(VLOOKUP($H17,PARAMETERS!$M$3:$M$1600,1,0),"---")</f>
        <v>AC_WallType</v>
      </c>
    </row>
    <row r="18" spans="1:12">
      <c r="A18" t="s">
        <v>9</v>
      </c>
      <c r="B18" t="s">
        <v>9</v>
      </c>
      <c r="C18"/>
      <c r="D18"/>
      <c r="E18"/>
      <c r="F18" t="s">
        <v>46</v>
      </c>
      <c r="G18" t="s">
        <v>29</v>
      </c>
      <c r="H18" t="s">
        <v>1622</v>
      </c>
      <c r="I18" t="s">
        <v>1623</v>
      </c>
      <c r="J18" t="s">
        <v>35</v>
      </c>
      <c r="L18" s="200" t="str">
        <f>IFERROR(VLOOKUP($H18,PARAMETERS!$M$3:$M$1600,1,0),"---")</f>
        <v>AC_WindowInWallContour</v>
      </c>
    </row>
    <row r="19" spans="1:12">
      <c r="A19" t="s">
        <v>9</v>
      </c>
      <c r="B19" t="s">
        <v>9</v>
      </c>
      <c r="C19"/>
      <c r="D19"/>
      <c r="E19"/>
      <c r="F19" t="s">
        <v>26</v>
      </c>
      <c r="G19" t="s">
        <v>29</v>
      </c>
      <c r="H19" t="s">
        <v>1624</v>
      </c>
      <c r="I19" t="s">
        <v>1625</v>
      </c>
      <c r="J19" t="s">
        <v>35</v>
      </c>
      <c r="L19" s="200" t="str">
        <f>IFERROR(VLOOKUP($H19,PARAMETERS!$M$3:$M$1600,1,0),"---")</f>
        <v>AC_WallContourPolygon</v>
      </c>
    </row>
    <row r="20" spans="1:12">
      <c r="A20" t="s">
        <v>9</v>
      </c>
      <c r="B20" t="s">
        <v>9</v>
      </c>
      <c r="C20"/>
      <c r="D20"/>
      <c r="E20"/>
      <c r="F20" t="s">
        <v>46</v>
      </c>
      <c r="G20" t="s">
        <v>29</v>
      </c>
      <c r="H20" t="s">
        <v>1626</v>
      </c>
      <c r="I20" t="s">
        <v>3025</v>
      </c>
      <c r="J20">
        <v>0</v>
      </c>
      <c r="L20" s="200" t="str">
        <f>IFERROR(VLOOKUP($H20,PARAMETERS!$M$3:$M$1600,1,0),"---")</f>
        <v>AC_Wall_Direction_Type</v>
      </c>
    </row>
    <row r="21" spans="1:12">
      <c r="A21" t="s">
        <v>9</v>
      </c>
      <c r="B21" t="s">
        <v>9</v>
      </c>
      <c r="C21"/>
      <c r="D21"/>
      <c r="E21" t="s">
        <v>9</v>
      </c>
      <c r="F21" t="s">
        <v>46</v>
      </c>
      <c r="G21" t="s">
        <v>29</v>
      </c>
      <c r="H21" t="s">
        <v>1628</v>
      </c>
      <c r="I21" t="s">
        <v>1629</v>
      </c>
      <c r="J21">
        <v>2</v>
      </c>
      <c r="L21" s="200" t="str">
        <f>IFERROR(VLOOKUP($H21,PARAMETERS!$M$3:$M$1600,1,0),"---")</f>
        <v>ac_revealAnchorPos</v>
      </c>
    </row>
    <row r="22" spans="1:12">
      <c r="A22" t="s">
        <v>9</v>
      </c>
      <c r="B22" t="s">
        <v>9</v>
      </c>
      <c r="C22"/>
      <c r="D22"/>
      <c r="E22" t="s">
        <v>9</v>
      </c>
      <c r="F22" t="s">
        <v>26</v>
      </c>
      <c r="G22" t="s">
        <v>29</v>
      </c>
      <c r="H22" t="s">
        <v>1632</v>
      </c>
      <c r="I22" t="s">
        <v>3026</v>
      </c>
      <c r="J22">
        <v>-0.255</v>
      </c>
      <c r="L22" s="200" t="str">
        <f>IFERROR(VLOOKUP($H22,PARAMETERS!$M$3:$M$1600,1,0),"---")</f>
        <v>ac_revealToWallCore</v>
      </c>
    </row>
    <row r="23" spans="1:12">
      <c r="A23" t="s">
        <v>9</v>
      </c>
      <c r="B23" t="s">
        <v>9</v>
      </c>
      <c r="C23"/>
      <c r="D23"/>
      <c r="E23"/>
      <c r="F23" t="s">
        <v>46</v>
      </c>
      <c r="G23" t="s">
        <v>29</v>
      </c>
      <c r="H23" t="s">
        <v>1634</v>
      </c>
      <c r="I23" t="s">
        <v>1635</v>
      </c>
      <c r="J23">
        <v>1</v>
      </c>
      <c r="L23" s="200" t="str">
        <f>IFERROR(VLOOKUP($H23,PARAMETERS!$M$3:$M$1600,1,0),"---")</f>
        <v>AC_Wall_CrossSection_Type</v>
      </c>
    </row>
    <row r="24" spans="1:12">
      <c r="A24" t="s">
        <v>9</v>
      </c>
      <c r="B24" t="s">
        <v>9</v>
      </c>
      <c r="C24"/>
      <c r="D24"/>
      <c r="E24"/>
      <c r="F24" t="s">
        <v>46</v>
      </c>
      <c r="G24" t="s">
        <v>29</v>
      </c>
      <c r="H24" t="s">
        <v>1636</v>
      </c>
      <c r="J24">
        <v>2</v>
      </c>
      <c r="L24" s="200" t="str">
        <f>IFERROR(VLOOKUP($H24,PARAMETERS!$M$3:$M$1600,1,0),"---")</f>
        <v>ac_wido_hide_options</v>
      </c>
    </row>
    <row r="25" spans="1:12">
      <c r="A25" t="s">
        <v>9</v>
      </c>
      <c r="B25" t="s">
        <v>9</v>
      </c>
      <c r="C25"/>
      <c r="D25"/>
      <c r="E25" t="s">
        <v>9</v>
      </c>
      <c r="F25" t="s">
        <v>46</v>
      </c>
      <c r="G25" t="s">
        <v>29</v>
      </c>
      <c r="H25" t="s">
        <v>1638</v>
      </c>
      <c r="I25" t="s">
        <v>3027</v>
      </c>
      <c r="J25">
        <v>0</v>
      </c>
      <c r="L25" s="200" t="str">
        <f>IFERROR(VLOOKUP($H25,PARAMETERS!$M$3:$M$1600,1,0),"---")</f>
        <v>ac_zone_on_reveal_side</v>
      </c>
    </row>
    <row r="26" spans="1:12">
      <c r="A26" t="s">
        <v>9</v>
      </c>
      <c r="B26" t="s">
        <v>9</v>
      </c>
      <c r="C26"/>
      <c r="D26"/>
      <c r="E26" t="s">
        <v>9</v>
      </c>
      <c r="F26" t="s">
        <v>46</v>
      </c>
      <c r="G26" t="s">
        <v>29</v>
      </c>
      <c r="H26" t="s">
        <v>1722</v>
      </c>
      <c r="I26" t="s">
        <v>3028</v>
      </c>
      <c r="J26">
        <v>3</v>
      </c>
      <c r="L26" s="200" t="str">
        <f>IFERROR(VLOOKUP($H26,PARAMETERS!$M$3:$M$1600,1,0),"---")</f>
        <v>pwi</v>
      </c>
    </row>
    <row r="27" spans="1:12">
      <c r="A27" t="s">
        <v>9</v>
      </c>
      <c r="B27"/>
      <c r="C27"/>
      <c r="D27"/>
      <c r="E27"/>
      <c r="F27" t="s">
        <v>59</v>
      </c>
      <c r="G27" t="s">
        <v>29</v>
      </c>
      <c r="H27" t="s">
        <v>522</v>
      </c>
      <c r="I27" t="s">
        <v>3029</v>
      </c>
      <c r="L27" s="200" t="str">
        <f>IFERROR(VLOOKUP($H27,PARAMETERS!$M$3:$M$1600,1,0),"---")</f>
        <v>gs_door_sizes</v>
      </c>
    </row>
    <row r="28" spans="1:12">
      <c r="A28" t="s">
        <v>9</v>
      </c>
      <c r="B28"/>
      <c r="C28"/>
      <c r="D28" t="s">
        <v>9</v>
      </c>
      <c r="E28"/>
      <c r="F28" t="s">
        <v>26</v>
      </c>
      <c r="G28" t="s">
        <v>29</v>
      </c>
      <c r="H28" t="s">
        <v>524</v>
      </c>
      <c r="I28" t="s">
        <v>525</v>
      </c>
      <c r="J28">
        <v>0</v>
      </c>
      <c r="L28" s="200" t="str">
        <f>IFERROR(VLOOKUP($H28,PARAMETERS!$M$3:$M$1600,1,0),"---")</f>
        <v>gs_tolerance_left</v>
      </c>
    </row>
    <row r="29" spans="1:12">
      <c r="A29" t="s">
        <v>9</v>
      </c>
      <c r="B29"/>
      <c r="C29"/>
      <c r="D29" t="s">
        <v>9</v>
      </c>
      <c r="E29"/>
      <c r="F29" t="s">
        <v>26</v>
      </c>
      <c r="G29" t="s">
        <v>29</v>
      </c>
      <c r="H29" t="s">
        <v>527</v>
      </c>
      <c r="I29" t="s">
        <v>528</v>
      </c>
      <c r="J29">
        <v>0</v>
      </c>
      <c r="L29" s="200" t="str">
        <f>IFERROR(VLOOKUP($H29,PARAMETERS!$M$3:$M$1600,1,0),"---")</f>
        <v>gs_tolerance_right</v>
      </c>
    </row>
    <row r="30" spans="1:12">
      <c r="A30" t="s">
        <v>9</v>
      </c>
      <c r="B30"/>
      <c r="C30"/>
      <c r="D30" t="s">
        <v>9</v>
      </c>
      <c r="E30"/>
      <c r="F30" t="s">
        <v>26</v>
      </c>
      <c r="G30" t="s">
        <v>29</v>
      </c>
      <c r="H30" t="s">
        <v>530</v>
      </c>
      <c r="I30" t="s">
        <v>531</v>
      </c>
      <c r="J30">
        <v>0</v>
      </c>
      <c r="L30" s="200" t="str">
        <f>IFERROR(VLOOKUP($H30,PARAMETERS!$M$3:$M$1600,1,0),"---")</f>
        <v>gs_tolerance_upper</v>
      </c>
    </row>
    <row r="31" spans="1:12">
      <c r="A31" t="s">
        <v>9</v>
      </c>
      <c r="B31" t="s">
        <v>9</v>
      </c>
      <c r="C31"/>
      <c r="D31" t="s">
        <v>9</v>
      </c>
      <c r="E31"/>
      <c r="F31" t="s">
        <v>26</v>
      </c>
      <c r="G31" t="s">
        <v>29</v>
      </c>
      <c r="H31" t="s">
        <v>533</v>
      </c>
      <c r="I31" t="s">
        <v>534</v>
      </c>
      <c r="J31">
        <v>0</v>
      </c>
      <c r="L31" s="200" t="str">
        <f>IFERROR(VLOOKUP($H31,PARAMETERS!$M$3:$M$1600,1,0),"---")</f>
        <v>gs_tolerance_lower</v>
      </c>
    </row>
    <row r="32" spans="1:12">
      <c r="A32" t="s">
        <v>9</v>
      </c>
      <c r="B32"/>
      <c r="C32"/>
      <c r="D32" t="s">
        <v>9</v>
      </c>
      <c r="E32"/>
      <c r="F32" t="s">
        <v>26</v>
      </c>
      <c r="G32" t="s">
        <v>29</v>
      </c>
      <c r="H32" t="s">
        <v>538</v>
      </c>
      <c r="I32" t="s">
        <v>539</v>
      </c>
      <c r="J32">
        <v>0</v>
      </c>
      <c r="L32" s="200" t="str">
        <f>IFERROR(VLOOKUP($H32,PARAMETERS!$M$3:$M$1600,1,0),"---")</f>
        <v>gs_baurichtmass_outer_left</v>
      </c>
    </row>
    <row r="33" spans="1:12">
      <c r="A33" t="s">
        <v>9</v>
      </c>
      <c r="B33"/>
      <c r="C33"/>
      <c r="D33" t="s">
        <v>9</v>
      </c>
      <c r="E33"/>
      <c r="F33" t="s">
        <v>26</v>
      </c>
      <c r="G33" t="s">
        <v>29</v>
      </c>
      <c r="H33" t="s">
        <v>540</v>
      </c>
      <c r="I33" t="s">
        <v>541</v>
      </c>
      <c r="J33">
        <v>0</v>
      </c>
      <c r="L33" s="200" t="str">
        <f>IFERROR(VLOOKUP($H33,PARAMETERS!$M$3:$M$1600,1,0),"---")</f>
        <v>gs_baurichtmass_inner_left</v>
      </c>
    </row>
    <row r="34" spans="1:12">
      <c r="A34" t="s">
        <v>9</v>
      </c>
      <c r="B34"/>
      <c r="C34"/>
      <c r="D34" t="s">
        <v>9</v>
      </c>
      <c r="E34"/>
      <c r="F34" t="s">
        <v>26</v>
      </c>
      <c r="G34" t="s">
        <v>29</v>
      </c>
      <c r="H34" t="s">
        <v>542</v>
      </c>
      <c r="I34" t="s">
        <v>543</v>
      </c>
      <c r="J34">
        <v>0</v>
      </c>
      <c r="L34" s="200" t="str">
        <f>IFERROR(VLOOKUP($H34,PARAMETERS!$M$3:$M$1600,1,0),"---")</f>
        <v>gs_baurichtmass_outer_right</v>
      </c>
    </row>
    <row r="35" spans="1:12">
      <c r="A35" t="s">
        <v>9</v>
      </c>
      <c r="B35"/>
      <c r="C35"/>
      <c r="D35" t="s">
        <v>9</v>
      </c>
      <c r="E35"/>
      <c r="F35" t="s">
        <v>26</v>
      </c>
      <c r="G35" t="s">
        <v>29</v>
      </c>
      <c r="H35" t="s">
        <v>544</v>
      </c>
      <c r="I35" t="s">
        <v>545</v>
      </c>
      <c r="J35">
        <v>0</v>
      </c>
      <c r="L35" s="200" t="str">
        <f>IFERROR(VLOOKUP($H35,PARAMETERS!$M$3:$M$1600,1,0),"---")</f>
        <v>gs_baurichtmass_inner_right</v>
      </c>
    </row>
    <row r="36" spans="1:12">
      <c r="A36" t="s">
        <v>9</v>
      </c>
      <c r="B36"/>
      <c r="C36"/>
      <c r="D36" t="s">
        <v>9</v>
      </c>
      <c r="E36"/>
      <c r="F36" t="s">
        <v>26</v>
      </c>
      <c r="G36" t="s">
        <v>29</v>
      </c>
      <c r="H36" t="s">
        <v>546</v>
      </c>
      <c r="I36" t="s">
        <v>547</v>
      </c>
      <c r="J36">
        <v>0</v>
      </c>
      <c r="L36" s="200" t="str">
        <f>IFERROR(VLOOKUP($H36,PARAMETERS!$M$3:$M$1600,1,0),"---")</f>
        <v>gs_baurichtmass_outer_upper</v>
      </c>
    </row>
    <row r="37" spans="1:12">
      <c r="A37" t="s">
        <v>9</v>
      </c>
      <c r="B37"/>
      <c r="C37"/>
      <c r="D37" t="s">
        <v>9</v>
      </c>
      <c r="E37"/>
      <c r="F37" t="s">
        <v>26</v>
      </c>
      <c r="G37" t="s">
        <v>29</v>
      </c>
      <c r="H37" t="s">
        <v>548</v>
      </c>
      <c r="I37" t="s">
        <v>549</v>
      </c>
      <c r="J37">
        <v>0</v>
      </c>
      <c r="L37" s="200" t="str">
        <f>IFERROR(VLOOKUP($H37,PARAMETERS!$M$3:$M$1600,1,0),"---")</f>
        <v>gs_baurichtmass_inner_upper</v>
      </c>
    </row>
    <row r="38" spans="1:12">
      <c r="A38" t="s">
        <v>9</v>
      </c>
      <c r="B38" t="s">
        <v>9</v>
      </c>
      <c r="C38"/>
      <c r="D38" t="s">
        <v>9</v>
      </c>
      <c r="E38"/>
      <c r="F38" t="s">
        <v>26</v>
      </c>
      <c r="G38" t="s">
        <v>29</v>
      </c>
      <c r="H38" t="s">
        <v>550</v>
      </c>
      <c r="I38" t="s">
        <v>551</v>
      </c>
      <c r="J38">
        <v>0</v>
      </c>
      <c r="L38" s="200" t="str">
        <f>IFERROR(VLOOKUP($H38,PARAMETERS!$M$3:$M$1600,1,0),"---")</f>
        <v>gs_baurichtmass_outer_lower</v>
      </c>
    </row>
    <row r="39" spans="1:12">
      <c r="A39" t="s">
        <v>9</v>
      </c>
      <c r="B39" t="s">
        <v>9</v>
      </c>
      <c r="C39"/>
      <c r="D39" t="s">
        <v>9</v>
      </c>
      <c r="E39"/>
      <c r="F39" t="s">
        <v>26</v>
      </c>
      <c r="G39" t="s">
        <v>29</v>
      </c>
      <c r="H39" t="s">
        <v>552</v>
      </c>
      <c r="I39" t="s">
        <v>553</v>
      </c>
      <c r="J39">
        <v>0</v>
      </c>
      <c r="L39" s="200" t="str">
        <f>IFERROR(VLOOKUP($H39,PARAMETERS!$M$3:$M$1600,1,0),"---")</f>
        <v>gs_baurichtmass_inner_lower</v>
      </c>
    </row>
    <row r="40" spans="1:12">
      <c r="A40" t="s">
        <v>9</v>
      </c>
      <c r="B40"/>
      <c r="C40"/>
      <c r="D40" t="s">
        <v>9</v>
      </c>
      <c r="E40"/>
      <c r="F40" t="s">
        <v>26</v>
      </c>
      <c r="G40" t="s">
        <v>29</v>
      </c>
      <c r="H40" t="s">
        <v>554</v>
      </c>
      <c r="I40" t="s">
        <v>555</v>
      </c>
      <c r="J40">
        <v>2.5099999999999998</v>
      </c>
      <c r="L40" s="200" t="str">
        <f>IFERROR(VLOOKUP($H40,PARAMETERS!$M$3:$M$1600,1,0),"---")</f>
        <v>ac_wallhole_width</v>
      </c>
    </row>
    <row r="41" spans="1:12">
      <c r="A41" t="s">
        <v>9</v>
      </c>
      <c r="B41"/>
      <c r="C41"/>
      <c r="D41" t="s">
        <v>9</v>
      </c>
      <c r="E41"/>
      <c r="F41" t="s">
        <v>26</v>
      </c>
      <c r="G41" t="s">
        <v>29</v>
      </c>
      <c r="H41" t="s">
        <v>558</v>
      </c>
      <c r="I41" t="s">
        <v>559</v>
      </c>
      <c r="J41">
        <v>2.5099999999999998</v>
      </c>
      <c r="L41" s="200" t="str">
        <f>IFERROR(VLOOKUP($H41,PARAMETERS!$M$3:$M$1600,1,0),"---")</f>
        <v>ac_wallhole_height</v>
      </c>
    </row>
    <row r="42" spans="1:12">
      <c r="A42" t="s">
        <v>9</v>
      </c>
      <c r="B42" t="s">
        <v>9</v>
      </c>
      <c r="C42"/>
      <c r="D42" t="s">
        <v>9</v>
      </c>
      <c r="E42" t="s">
        <v>9</v>
      </c>
      <c r="F42" t="s">
        <v>26</v>
      </c>
      <c r="G42" t="s">
        <v>29</v>
      </c>
      <c r="H42" t="s">
        <v>562</v>
      </c>
      <c r="I42" t="s">
        <v>559</v>
      </c>
      <c r="J42">
        <v>2.5099999999999998</v>
      </c>
      <c r="L42" s="200" t="str">
        <f>IFERROR(VLOOKUP($H42,PARAMETERS!$M$3:$M$1600,1,0),"---")</f>
        <v>ac_wallhole_height_original</v>
      </c>
    </row>
    <row r="43" spans="1:12">
      <c r="A43" t="s">
        <v>9</v>
      </c>
      <c r="B43"/>
      <c r="C43"/>
      <c r="D43" t="s">
        <v>9</v>
      </c>
      <c r="E43"/>
      <c r="F43" t="s">
        <v>26</v>
      </c>
      <c r="G43" t="s">
        <v>29</v>
      </c>
      <c r="H43" t="s">
        <v>563</v>
      </c>
      <c r="I43" t="s">
        <v>564</v>
      </c>
      <c r="J43">
        <v>2.5099999999999998</v>
      </c>
      <c r="L43" s="200" t="str">
        <f>IFERROR(VLOOKUP($H43,PARAMETERS!$M$3:$M$1600,1,0),"---")</f>
        <v>ac_reveal_width</v>
      </c>
    </row>
    <row r="44" spans="1:12">
      <c r="A44" t="s">
        <v>9</v>
      </c>
      <c r="B44"/>
      <c r="C44"/>
      <c r="D44" t="s">
        <v>9</v>
      </c>
      <c r="E44"/>
      <c r="F44" t="s">
        <v>26</v>
      </c>
      <c r="G44" t="s">
        <v>29</v>
      </c>
      <c r="H44" t="s">
        <v>565</v>
      </c>
      <c r="I44" t="s">
        <v>566</v>
      </c>
      <c r="J44">
        <v>2.5099999999999998</v>
      </c>
      <c r="L44" s="200" t="str">
        <f>IFERROR(VLOOKUP($H44,PARAMETERS!$M$3:$M$1600,1,0),"---")</f>
        <v>ac_reveal_height</v>
      </c>
    </row>
    <row r="45" spans="1:12">
      <c r="A45" t="s">
        <v>9</v>
      </c>
      <c r="B45" t="s">
        <v>9</v>
      </c>
      <c r="C45"/>
      <c r="D45" t="s">
        <v>9</v>
      </c>
      <c r="E45" t="s">
        <v>9</v>
      </c>
      <c r="F45" t="s">
        <v>26</v>
      </c>
      <c r="G45" t="s">
        <v>29</v>
      </c>
      <c r="H45" t="s">
        <v>567</v>
      </c>
      <c r="I45" t="s">
        <v>566</v>
      </c>
      <c r="J45">
        <v>2.5099999999999998</v>
      </c>
      <c r="L45" s="200" t="str">
        <f>IFERROR(VLOOKUP($H45,PARAMETERS!$M$3:$M$1600,1,0),"---")</f>
        <v>ac_reveal_height_original</v>
      </c>
    </row>
    <row r="46" spans="1:12">
      <c r="A46" t="s">
        <v>9</v>
      </c>
      <c r="B46"/>
      <c r="C46"/>
      <c r="D46" t="s">
        <v>9</v>
      </c>
      <c r="E46"/>
      <c r="F46" t="s">
        <v>26</v>
      </c>
      <c r="G46" t="s">
        <v>29</v>
      </c>
      <c r="H46" t="s">
        <v>568</v>
      </c>
      <c r="I46" t="s">
        <v>569</v>
      </c>
      <c r="J46">
        <v>2.5099999999999998</v>
      </c>
      <c r="L46" s="200" t="str">
        <f>IFERROR(VLOOKUP($H46,PARAMETERS!$M$3:$M$1600,1,0),"---")</f>
        <v>ac_unit_width</v>
      </c>
    </row>
    <row r="47" spans="1:12">
      <c r="A47" t="s">
        <v>9</v>
      </c>
      <c r="B47"/>
      <c r="C47"/>
      <c r="D47" t="s">
        <v>9</v>
      </c>
      <c r="E47"/>
      <c r="F47" t="s">
        <v>26</v>
      </c>
      <c r="G47" t="s">
        <v>29</v>
      </c>
      <c r="H47" t="s">
        <v>570</v>
      </c>
      <c r="I47" t="s">
        <v>571</v>
      </c>
      <c r="J47">
        <v>2.5099999999999998</v>
      </c>
      <c r="L47" s="200" t="str">
        <f>IFERROR(VLOOKUP($H47,PARAMETERS!$M$3:$M$1600,1,0),"---")</f>
        <v>ac_unit_height</v>
      </c>
    </row>
    <row r="48" spans="1:12">
      <c r="A48" t="s">
        <v>9</v>
      </c>
      <c r="B48"/>
      <c r="C48"/>
      <c r="D48" t="s">
        <v>9</v>
      </c>
      <c r="E48" t="s">
        <v>9</v>
      </c>
      <c r="F48" t="s">
        <v>26</v>
      </c>
      <c r="G48" t="s">
        <v>29</v>
      </c>
      <c r="H48" t="s">
        <v>572</v>
      </c>
      <c r="I48" t="s">
        <v>573</v>
      </c>
      <c r="J48">
        <v>2.5099999999999998</v>
      </c>
      <c r="L48" s="200" t="str">
        <f>IFERROR(VLOOKUP($H48,PARAMETERS!$M$3:$M$1600,1,0),"---")</f>
        <v>ac_baurichtmass_width</v>
      </c>
    </row>
    <row r="49" spans="1:12">
      <c r="A49" t="s">
        <v>9</v>
      </c>
      <c r="B49"/>
      <c r="C49"/>
      <c r="D49" t="s">
        <v>9</v>
      </c>
      <c r="E49" t="s">
        <v>9</v>
      </c>
      <c r="F49" t="s">
        <v>26</v>
      </c>
      <c r="G49" t="s">
        <v>29</v>
      </c>
      <c r="H49" t="s">
        <v>574</v>
      </c>
      <c r="I49" t="s">
        <v>575</v>
      </c>
      <c r="J49">
        <v>2.5099999999999998</v>
      </c>
      <c r="L49" s="200" t="str">
        <f>IFERROR(VLOOKUP($H49,PARAMETERS!$M$3:$M$1600,1,0),"---")</f>
        <v>ac_baurichtmass_height</v>
      </c>
    </row>
    <row r="50" spans="1:12">
      <c r="A50" t="s">
        <v>9</v>
      </c>
      <c r="B50"/>
      <c r="C50"/>
      <c r="D50" t="s">
        <v>9</v>
      </c>
      <c r="E50"/>
      <c r="F50" t="s">
        <v>26</v>
      </c>
      <c r="G50" t="s">
        <v>29</v>
      </c>
      <c r="H50" t="s">
        <v>576</v>
      </c>
      <c r="I50" t="s">
        <v>577</v>
      </c>
      <c r="J50">
        <v>1.3</v>
      </c>
      <c r="L50" s="200" t="str">
        <f>IFERROR(VLOOKUP($H50,PARAMETERS!$M$3:$M$1600,1,0),"---")</f>
        <v>ac_egress_width</v>
      </c>
    </row>
    <row r="51" spans="1:12">
      <c r="A51" t="s">
        <v>9</v>
      </c>
      <c r="B51"/>
      <c r="C51"/>
      <c r="D51" t="s">
        <v>9</v>
      </c>
      <c r="E51"/>
      <c r="F51" t="s">
        <v>26</v>
      </c>
      <c r="G51" t="s">
        <v>29</v>
      </c>
      <c r="H51" t="s">
        <v>579</v>
      </c>
      <c r="I51" t="s">
        <v>580</v>
      </c>
      <c r="J51">
        <v>2.0099999999999998</v>
      </c>
      <c r="L51" s="200" t="str">
        <f>IFERROR(VLOOKUP($H51,PARAMETERS!$M$3:$M$1600,1,0),"---")</f>
        <v>ac_egress_height</v>
      </c>
    </row>
    <row r="52" spans="1:12">
      <c r="A52" t="s">
        <v>9</v>
      </c>
      <c r="B52"/>
      <c r="C52"/>
      <c r="D52" t="s">
        <v>9</v>
      </c>
      <c r="E52"/>
      <c r="F52" t="s">
        <v>26</v>
      </c>
      <c r="G52" t="s">
        <v>29</v>
      </c>
      <c r="H52" t="s">
        <v>587</v>
      </c>
      <c r="I52" t="s">
        <v>589</v>
      </c>
      <c r="J52">
        <v>1.33</v>
      </c>
      <c r="L52" s="200" t="str">
        <f>IFERROR(VLOOKUP($H52,PARAMETERS!$M$3:$M$1600,1,0),"---")</f>
        <v>ac_leaf_width</v>
      </c>
    </row>
    <row r="53" spans="1:12">
      <c r="A53" t="s">
        <v>9</v>
      </c>
      <c r="B53"/>
      <c r="C53"/>
      <c r="D53" t="s">
        <v>9</v>
      </c>
      <c r="E53"/>
      <c r="F53" t="s">
        <v>26</v>
      </c>
      <c r="G53" t="s">
        <v>29</v>
      </c>
      <c r="H53" t="s">
        <v>591</v>
      </c>
      <c r="I53" t="s">
        <v>593</v>
      </c>
      <c r="J53">
        <v>2.02</v>
      </c>
      <c r="L53" s="200" t="str">
        <f>IFERROR(VLOOKUP($H53,PARAMETERS!$M$3:$M$1600,1,0),"---")</f>
        <v>ac_leaf_height</v>
      </c>
    </row>
    <row r="54" spans="1:12">
      <c r="A54" t="s">
        <v>9</v>
      </c>
      <c r="B54" t="s">
        <v>9</v>
      </c>
      <c r="C54"/>
      <c r="D54" t="s">
        <v>9</v>
      </c>
      <c r="E54"/>
      <c r="F54" t="s">
        <v>46</v>
      </c>
      <c r="G54" t="s">
        <v>29</v>
      </c>
      <c r="H54" t="s">
        <v>595</v>
      </c>
      <c r="I54" t="s">
        <v>596</v>
      </c>
      <c r="J54">
        <v>0</v>
      </c>
      <c r="L54" s="200" t="str">
        <f>IFERROR(VLOOKUP($H54,PARAMETERS!$M$3:$M$1600,1,0),"---")</f>
        <v>gs_nominal_size</v>
      </c>
    </row>
    <row r="55" spans="1:12">
      <c r="A55" t="s">
        <v>9</v>
      </c>
      <c r="B55"/>
      <c r="C55"/>
      <c r="D55" t="s">
        <v>9</v>
      </c>
      <c r="E55"/>
      <c r="F55" t="s">
        <v>49</v>
      </c>
      <c r="G55" t="s">
        <v>29</v>
      </c>
      <c r="H55" t="s">
        <v>597</v>
      </c>
      <c r="I55" t="s">
        <v>598</v>
      </c>
      <c r="J55">
        <v>0</v>
      </c>
      <c r="L55" s="200" t="str">
        <f>IFERROR(VLOOKUP($H55,PARAMETERS!$M$3:$M$1600,1,0),"---")</f>
        <v>gs_wallhole_nominal</v>
      </c>
    </row>
    <row r="56" spans="1:12">
      <c r="A56" t="s">
        <v>9</v>
      </c>
      <c r="B56"/>
      <c r="C56"/>
      <c r="D56" t="s">
        <v>9</v>
      </c>
      <c r="E56"/>
      <c r="F56" t="s">
        <v>49</v>
      </c>
      <c r="G56" t="s">
        <v>29</v>
      </c>
      <c r="H56" t="s">
        <v>599</v>
      </c>
      <c r="I56" t="s">
        <v>600</v>
      </c>
      <c r="J56">
        <v>1</v>
      </c>
      <c r="L56" s="200" t="str">
        <f>IFERROR(VLOOKUP($H56,PARAMETERS!$M$3:$M$1600,1,0),"---")</f>
        <v>gs_reveal_nominal</v>
      </c>
    </row>
    <row r="57" spans="1:12">
      <c r="A57" t="s">
        <v>9</v>
      </c>
      <c r="B57"/>
      <c r="C57"/>
      <c r="D57" t="s">
        <v>9</v>
      </c>
      <c r="E57"/>
      <c r="F57" t="s">
        <v>49</v>
      </c>
      <c r="G57" t="s">
        <v>29</v>
      </c>
      <c r="H57" t="s">
        <v>601</v>
      </c>
      <c r="I57" t="s">
        <v>602</v>
      </c>
      <c r="J57">
        <v>0</v>
      </c>
      <c r="L57" s="200" t="str">
        <f>IFERROR(VLOOKUP($H57,PARAMETERS!$M$3:$M$1600,1,0),"---")</f>
        <v>gs_unit_nominal</v>
      </c>
    </row>
    <row r="58" spans="1:12">
      <c r="A58" t="s">
        <v>9</v>
      </c>
      <c r="B58"/>
      <c r="C58"/>
      <c r="D58" t="s">
        <v>9</v>
      </c>
      <c r="E58"/>
      <c r="F58" t="s">
        <v>49</v>
      </c>
      <c r="G58" t="s">
        <v>29</v>
      </c>
      <c r="H58" t="s">
        <v>603</v>
      </c>
      <c r="I58" t="s">
        <v>604</v>
      </c>
      <c r="J58">
        <v>0</v>
      </c>
      <c r="L58" s="200" t="str">
        <f>IFERROR(VLOOKUP($H58,PARAMETERS!$M$3:$M$1600,1,0),"---")</f>
        <v>gs_baurichtmass_nominal</v>
      </c>
    </row>
    <row r="59" spans="1:12">
      <c r="A59" t="s">
        <v>9</v>
      </c>
      <c r="B59"/>
      <c r="C59"/>
      <c r="D59" t="s">
        <v>9</v>
      </c>
      <c r="E59"/>
      <c r="F59" t="s">
        <v>49</v>
      </c>
      <c r="G59" t="s">
        <v>29</v>
      </c>
      <c r="H59" t="s">
        <v>605</v>
      </c>
      <c r="I59" t="s">
        <v>606</v>
      </c>
      <c r="J59">
        <v>0</v>
      </c>
      <c r="L59" s="200" t="str">
        <f>IFERROR(VLOOKUP($H59,PARAMETERS!$M$3:$M$1600,1,0),"---")</f>
        <v>gs_egress_nominal</v>
      </c>
    </row>
    <row r="60" spans="1:12">
      <c r="A60" t="s">
        <v>9</v>
      </c>
      <c r="B60"/>
      <c r="C60"/>
      <c r="D60" t="s">
        <v>9</v>
      </c>
      <c r="E60"/>
      <c r="F60" t="s">
        <v>49</v>
      </c>
      <c r="G60" t="s">
        <v>29</v>
      </c>
      <c r="H60" t="s">
        <v>607</v>
      </c>
      <c r="I60" t="s">
        <v>608</v>
      </c>
      <c r="J60">
        <v>0</v>
      </c>
      <c r="L60" s="200" t="str">
        <f>IFERROR(VLOOKUP($H60,PARAMETERS!$M$3:$M$1600,1,0),"---")</f>
        <v>gs_leaf_nominal</v>
      </c>
    </row>
    <row r="61" spans="1:12">
      <c r="A61" t="s">
        <v>9</v>
      </c>
      <c r="B61"/>
      <c r="C61"/>
      <c r="D61" t="s">
        <v>9</v>
      </c>
      <c r="E61"/>
      <c r="F61" t="s">
        <v>49</v>
      </c>
      <c r="G61" t="s">
        <v>29</v>
      </c>
      <c r="H61" t="s">
        <v>609</v>
      </c>
      <c r="I61" t="s">
        <v>610</v>
      </c>
      <c r="J61">
        <v>1</v>
      </c>
      <c r="L61" s="200" t="str">
        <f>IFERROR(VLOOKUP($H61,PARAMETERS!$M$3:$M$1600,1,0),"---")</f>
        <v>gs_retain_nominal_sizes</v>
      </c>
    </row>
    <row r="62" spans="1:12">
      <c r="A62" t="s">
        <v>9</v>
      </c>
      <c r="B62"/>
      <c r="C62"/>
      <c r="D62"/>
      <c r="E62"/>
      <c r="F62" t="s">
        <v>59</v>
      </c>
      <c r="G62" t="s">
        <v>29</v>
      </c>
      <c r="H62" t="s">
        <v>874</v>
      </c>
      <c r="I62" t="s">
        <v>3030</v>
      </c>
      <c r="L62" s="200" t="str">
        <f>IFERROR(VLOOKUP($H62,PARAMETERS!$M$3:$M$1600,1,0),"---")</f>
        <v>gs_door_panel</v>
      </c>
    </row>
    <row r="63" spans="1:12">
      <c r="A63"/>
      <c r="B63"/>
      <c r="C63"/>
      <c r="D63" t="s">
        <v>9</v>
      </c>
      <c r="E63"/>
      <c r="F63" t="s">
        <v>49</v>
      </c>
      <c r="G63" t="s">
        <v>29</v>
      </c>
      <c r="H63" t="s">
        <v>885</v>
      </c>
      <c r="I63" t="s">
        <v>886</v>
      </c>
      <c r="J63">
        <v>0</v>
      </c>
      <c r="L63" s="200" t="str">
        <f>IFERROR(VLOOKUP($H63,PARAMETERS!$M$3:$M$1600,1,0),"---")</f>
        <v>bUniformPanels1</v>
      </c>
    </row>
    <row r="64" spans="1:12">
      <c r="A64"/>
      <c r="B64"/>
      <c r="C64"/>
      <c r="D64" t="s">
        <v>9</v>
      </c>
      <c r="E64"/>
      <c r="F64" t="s">
        <v>49</v>
      </c>
      <c r="G64" t="s">
        <v>29</v>
      </c>
      <c r="H64" t="s">
        <v>887</v>
      </c>
      <c r="I64" t="s">
        <v>888</v>
      </c>
      <c r="J64">
        <v>0</v>
      </c>
      <c r="L64" s="200" t="str">
        <f>IFERROR(VLOOKUP($H64,PARAMETERS!$M$3:$M$1600,1,0),"---")</f>
        <v>bUniformPanels2</v>
      </c>
    </row>
    <row r="65" spans="1:12">
      <c r="A65" t="s">
        <v>9</v>
      </c>
      <c r="B65"/>
      <c r="C65"/>
      <c r="D65" t="s">
        <v>9</v>
      </c>
      <c r="E65"/>
      <c r="F65" t="s">
        <v>46</v>
      </c>
      <c r="G65" t="s">
        <v>29</v>
      </c>
      <c r="H65" t="s">
        <v>889</v>
      </c>
      <c r="I65" t="s">
        <v>875</v>
      </c>
      <c r="J65">
        <v>1</v>
      </c>
      <c r="L65" s="200" t="str">
        <f>IFERROR(VLOOKUP($H65,PARAMETERS!$M$3:$M$1600,1,0),"---")</f>
        <v>iDoorPanelType</v>
      </c>
    </row>
    <row r="66" spans="1:12">
      <c r="A66"/>
      <c r="B66"/>
      <c r="C66"/>
      <c r="D66" t="s">
        <v>9</v>
      </c>
      <c r="E66"/>
      <c r="F66" t="s">
        <v>46</v>
      </c>
      <c r="G66" t="s">
        <v>29</v>
      </c>
      <c r="H66" t="s">
        <v>890</v>
      </c>
      <c r="I66" t="s">
        <v>891</v>
      </c>
      <c r="J66">
        <v>1</v>
      </c>
      <c r="L66" s="200" t="str">
        <f>IFERROR(VLOOKUP($H66,PARAMETERS!$M$3:$M$1600,1,0),"---")</f>
        <v>iDoorPanelType2</v>
      </c>
    </row>
    <row r="67" spans="1:12">
      <c r="A67" t="s">
        <v>9</v>
      </c>
      <c r="B67"/>
      <c r="C67"/>
      <c r="D67" t="s">
        <v>9</v>
      </c>
      <c r="E67"/>
      <c r="F67" t="s">
        <v>20</v>
      </c>
      <c r="G67" t="s">
        <v>29</v>
      </c>
      <c r="H67" t="s">
        <v>882</v>
      </c>
      <c r="I67" t="s">
        <v>2262</v>
      </c>
      <c r="L67" s="200" t="str">
        <f>IFERROR(VLOOKUP($H67,PARAMETERS!$M$3:$M$1600,1,0),"---")</f>
        <v>gs_cust_panel</v>
      </c>
    </row>
    <row r="68" spans="1:12">
      <c r="A68"/>
      <c r="B68"/>
      <c r="C68"/>
      <c r="D68" t="s">
        <v>9</v>
      </c>
      <c r="E68"/>
      <c r="F68" t="s">
        <v>20</v>
      </c>
      <c r="G68" t="s">
        <v>29</v>
      </c>
      <c r="H68" t="s">
        <v>884</v>
      </c>
      <c r="I68" t="s">
        <v>3031</v>
      </c>
      <c r="L68" s="200" t="str">
        <f>IFERROR(VLOOKUP($H68,PARAMETERS!$M$3:$M$1600,1,0),"---")</f>
        <v>gs_cust_panel2</v>
      </c>
    </row>
    <row r="69" spans="1:12">
      <c r="A69" t="s">
        <v>9</v>
      </c>
      <c r="B69"/>
      <c r="C69"/>
      <c r="D69" t="s">
        <v>9</v>
      </c>
      <c r="E69"/>
      <c r="F69" t="s">
        <v>26</v>
      </c>
      <c r="G69" t="s">
        <v>29</v>
      </c>
      <c r="H69" t="s">
        <v>922</v>
      </c>
      <c r="I69" t="s">
        <v>923</v>
      </c>
      <c r="J69">
        <v>5.0000000000000001E-3</v>
      </c>
      <c r="L69" s="200" t="str">
        <f>IFERROR(VLOOKUP($H69,PARAMETERS!$M$3:$M$1600,1,0),"---")</f>
        <v>gapHeightUnderPanel</v>
      </c>
    </row>
    <row r="70" spans="1:12">
      <c r="A70" t="s">
        <v>9</v>
      </c>
      <c r="B70"/>
      <c r="C70"/>
      <c r="D70" t="s">
        <v>9</v>
      </c>
      <c r="E70"/>
      <c r="F70" t="s">
        <v>26</v>
      </c>
      <c r="G70" t="s">
        <v>29</v>
      </c>
      <c r="H70" t="s">
        <v>896</v>
      </c>
      <c r="I70" t="s">
        <v>897</v>
      </c>
      <c r="J70">
        <v>0.04</v>
      </c>
      <c r="L70" s="200" t="str">
        <f>IFERROR(VLOOKUP($H70,PARAMETERS!$M$3:$M$1600,1,0),"---")</f>
        <v>gs_leaf_thk</v>
      </c>
    </row>
    <row r="71" spans="1:12">
      <c r="A71" t="s">
        <v>9</v>
      </c>
      <c r="B71"/>
      <c r="C71"/>
      <c r="D71" t="s">
        <v>9</v>
      </c>
      <c r="E71"/>
      <c r="F71" t="s">
        <v>26</v>
      </c>
      <c r="G71" t="s">
        <v>29</v>
      </c>
      <c r="H71" t="s">
        <v>804</v>
      </c>
      <c r="I71" t="s">
        <v>805</v>
      </c>
      <c r="J71">
        <v>1.4999999999999999E-2</v>
      </c>
      <c r="L71" s="200" t="str">
        <f>IFERROR(VLOOKUP($H71,PARAMETERS!$M$3:$M$1600,1,0),"---")</f>
        <v>gs_vb</v>
      </c>
    </row>
    <row r="72" spans="1:12">
      <c r="A72" t="s">
        <v>9</v>
      </c>
      <c r="B72"/>
      <c r="C72"/>
      <c r="D72" t="s">
        <v>9</v>
      </c>
      <c r="E72"/>
      <c r="F72" t="s">
        <v>26</v>
      </c>
      <c r="G72" t="s">
        <v>29</v>
      </c>
      <c r="H72" t="s">
        <v>807</v>
      </c>
      <c r="I72" t="s">
        <v>808</v>
      </c>
      <c r="J72">
        <v>0.02</v>
      </c>
      <c r="L72" s="200" t="str">
        <f>IFERROR(VLOOKUP($H72,PARAMETERS!$M$3:$M$1600,1,0),"---")</f>
        <v>gs_vt</v>
      </c>
    </row>
    <row r="73" spans="1:12">
      <c r="A73" t="s">
        <v>9</v>
      </c>
      <c r="B73"/>
      <c r="C73"/>
      <c r="D73" t="s">
        <v>9</v>
      </c>
      <c r="E73"/>
      <c r="F73" t="s">
        <v>26</v>
      </c>
      <c r="G73" t="s">
        <v>29</v>
      </c>
      <c r="H73" t="s">
        <v>932</v>
      </c>
      <c r="I73" t="s">
        <v>933</v>
      </c>
      <c r="J73">
        <v>0.02</v>
      </c>
      <c r="L73" s="200" t="str">
        <f>IFERROR(VLOOKUP($H73,PARAMETERS!$M$3:$M$1600,1,0),"---")</f>
        <v>thkDoorFilling</v>
      </c>
    </row>
    <row r="74" spans="1:12">
      <c r="A74"/>
      <c r="B74"/>
      <c r="C74"/>
      <c r="D74" t="s">
        <v>9</v>
      </c>
      <c r="E74"/>
      <c r="F74" t="s">
        <v>26</v>
      </c>
      <c r="G74" t="s">
        <v>29</v>
      </c>
      <c r="H74" t="s">
        <v>934</v>
      </c>
      <c r="I74" t="s">
        <v>935</v>
      </c>
      <c r="J74">
        <v>0.02</v>
      </c>
      <c r="L74" s="200" t="str">
        <f>IFERROR(VLOOKUP($H74,PARAMETERS!$M$3:$M$1600,1,0),"---")</f>
        <v>thkDoorFilling2</v>
      </c>
    </row>
    <row r="75" spans="1:12">
      <c r="A75" t="s">
        <v>9</v>
      </c>
      <c r="B75"/>
      <c r="C75"/>
      <c r="D75" t="s">
        <v>9</v>
      </c>
      <c r="E75"/>
      <c r="F75" t="s">
        <v>26</v>
      </c>
      <c r="G75" t="s">
        <v>29</v>
      </c>
      <c r="H75" t="s">
        <v>998</v>
      </c>
      <c r="I75" t="s">
        <v>999</v>
      </c>
      <c r="J75">
        <v>0.1</v>
      </c>
      <c r="L75" s="200" t="str">
        <f>IFERROR(VLOOKUP($H75,PARAMETERS!$M$3:$M$1600,1,0),"---")</f>
        <v>leafFrWidthLeft</v>
      </c>
    </row>
    <row r="76" spans="1:12">
      <c r="A76"/>
      <c r="B76"/>
      <c r="C76"/>
      <c r="D76" t="s">
        <v>9</v>
      </c>
      <c r="E76"/>
      <c r="F76" t="s">
        <v>26</v>
      </c>
      <c r="G76" t="s">
        <v>29</v>
      </c>
      <c r="H76" t="s">
        <v>1000</v>
      </c>
      <c r="I76" t="s">
        <v>1001</v>
      </c>
      <c r="J76">
        <v>0.1</v>
      </c>
      <c r="L76" s="200" t="str">
        <f>IFERROR(VLOOKUP($H76,PARAMETERS!$M$3:$M$1600,1,0),"---")</f>
        <v>leafFrWidthLeft2</v>
      </c>
    </row>
    <row r="77" spans="1:12">
      <c r="A77" t="s">
        <v>9</v>
      </c>
      <c r="B77"/>
      <c r="C77"/>
      <c r="D77" t="s">
        <v>9</v>
      </c>
      <c r="E77"/>
      <c r="F77" t="s">
        <v>26</v>
      </c>
      <c r="G77" t="s">
        <v>29</v>
      </c>
      <c r="H77" t="s">
        <v>1002</v>
      </c>
      <c r="I77" t="s">
        <v>1003</v>
      </c>
      <c r="J77">
        <v>0.1</v>
      </c>
      <c r="L77" s="200" t="str">
        <f>IFERROR(VLOOKUP($H77,PARAMETERS!$M$3:$M$1600,1,0),"---")</f>
        <v>leafFrWidthRight</v>
      </c>
    </row>
    <row r="78" spans="1:12">
      <c r="A78"/>
      <c r="B78"/>
      <c r="C78"/>
      <c r="D78" t="s">
        <v>9</v>
      </c>
      <c r="E78"/>
      <c r="F78" t="s">
        <v>26</v>
      </c>
      <c r="G78" t="s">
        <v>29</v>
      </c>
      <c r="H78" t="s">
        <v>1004</v>
      </c>
      <c r="I78" t="s">
        <v>1005</v>
      </c>
      <c r="J78">
        <v>0.1</v>
      </c>
      <c r="L78" s="200" t="str">
        <f>IFERROR(VLOOKUP($H78,PARAMETERS!$M$3:$M$1600,1,0),"---")</f>
        <v>leafFrWidthRight2</v>
      </c>
    </row>
    <row r="79" spans="1:12">
      <c r="A79" t="s">
        <v>9</v>
      </c>
      <c r="B79"/>
      <c r="C79"/>
      <c r="D79" t="s">
        <v>9</v>
      </c>
      <c r="E79"/>
      <c r="F79" t="s">
        <v>26</v>
      </c>
      <c r="G79" t="s">
        <v>29</v>
      </c>
      <c r="H79" t="s">
        <v>1006</v>
      </c>
      <c r="I79" t="s">
        <v>1007</v>
      </c>
      <c r="J79">
        <v>0.9</v>
      </c>
      <c r="L79" s="200" t="str">
        <f>IFERROR(VLOOKUP($H79,PARAMETERS!$M$3:$M$1600,1,0),"---")</f>
        <v>leafFrWidthBottom</v>
      </c>
    </row>
    <row r="80" spans="1:12">
      <c r="A80"/>
      <c r="B80"/>
      <c r="C80"/>
      <c r="D80" t="s">
        <v>9</v>
      </c>
      <c r="E80"/>
      <c r="F80" t="s">
        <v>26</v>
      </c>
      <c r="G80" t="s">
        <v>29</v>
      </c>
      <c r="H80" t="s">
        <v>1008</v>
      </c>
      <c r="I80" t="s">
        <v>1009</v>
      </c>
      <c r="J80">
        <v>0.9</v>
      </c>
      <c r="L80" s="200" t="str">
        <f>IFERROR(VLOOKUP($H80,PARAMETERS!$M$3:$M$1600,1,0),"---")</f>
        <v>leafFrWidthBottom2</v>
      </c>
    </row>
    <row r="81" spans="1:12">
      <c r="A81" t="s">
        <v>9</v>
      </c>
      <c r="B81"/>
      <c r="C81"/>
      <c r="D81" t="s">
        <v>9</v>
      </c>
      <c r="E81"/>
      <c r="F81" t="s">
        <v>26</v>
      </c>
      <c r="G81" t="s">
        <v>29</v>
      </c>
      <c r="H81" t="s">
        <v>1010</v>
      </c>
      <c r="I81" t="s">
        <v>1011</v>
      </c>
      <c r="J81">
        <v>0.1</v>
      </c>
      <c r="L81" s="200" t="str">
        <f>IFERROR(VLOOKUP($H81,PARAMETERS!$M$3:$M$1600,1,0),"---")</f>
        <v>leafFrWidthTop</v>
      </c>
    </row>
    <row r="82" spans="1:12">
      <c r="A82"/>
      <c r="B82"/>
      <c r="C82"/>
      <c r="D82" t="s">
        <v>9</v>
      </c>
      <c r="E82"/>
      <c r="F82" t="s">
        <v>26</v>
      </c>
      <c r="G82" t="s">
        <v>29</v>
      </c>
      <c r="H82" t="s">
        <v>1012</v>
      </c>
      <c r="I82" t="s">
        <v>1013</v>
      </c>
      <c r="J82">
        <v>0.1</v>
      </c>
      <c r="L82" s="200" t="str">
        <f>IFERROR(VLOOKUP($H82,PARAMETERS!$M$3:$M$1600,1,0),"---")</f>
        <v>leafFrWidthTop2</v>
      </c>
    </row>
    <row r="83" spans="1:12">
      <c r="A83" t="s">
        <v>9</v>
      </c>
      <c r="B83"/>
      <c r="C83"/>
      <c r="D83" t="s">
        <v>9</v>
      </c>
      <c r="E83"/>
      <c r="F83" t="s">
        <v>46</v>
      </c>
      <c r="G83" t="s">
        <v>29</v>
      </c>
      <c r="H83" t="s">
        <v>1014</v>
      </c>
      <c r="I83" t="s">
        <v>1015</v>
      </c>
      <c r="J83">
        <v>3</v>
      </c>
      <c r="L83" s="200" t="str">
        <f>IFERROR(VLOOKUP($H83,PARAMETERS!$M$3:$M$1600,1,0),"---")</f>
        <v>nMullHorizontal</v>
      </c>
    </row>
    <row r="84" spans="1:12">
      <c r="A84"/>
      <c r="B84"/>
      <c r="C84"/>
      <c r="D84" t="s">
        <v>9</v>
      </c>
      <c r="E84"/>
      <c r="F84" t="s">
        <v>46</v>
      </c>
      <c r="G84" t="s">
        <v>29</v>
      </c>
      <c r="H84" t="s">
        <v>1016</v>
      </c>
      <c r="I84" t="s">
        <v>1017</v>
      </c>
      <c r="J84">
        <v>3</v>
      </c>
      <c r="L84" s="200" t="str">
        <f>IFERROR(VLOOKUP($H84,PARAMETERS!$M$3:$M$1600,1,0),"---")</f>
        <v>nMullHorizontal2</v>
      </c>
    </row>
    <row r="85" spans="1:12">
      <c r="A85" t="s">
        <v>9</v>
      </c>
      <c r="B85"/>
      <c r="C85"/>
      <c r="D85" t="s">
        <v>9</v>
      </c>
      <c r="E85"/>
      <c r="F85" t="s">
        <v>46</v>
      </c>
      <c r="G85" t="s">
        <v>29</v>
      </c>
      <c r="H85" t="s">
        <v>1018</v>
      </c>
      <c r="I85" t="s">
        <v>1019</v>
      </c>
      <c r="J85">
        <v>2</v>
      </c>
      <c r="L85" s="200" t="str">
        <f>IFERROR(VLOOKUP($H85,PARAMETERS!$M$3:$M$1600,1,0),"---")</f>
        <v>nMullVertical</v>
      </c>
    </row>
    <row r="86" spans="1:12">
      <c r="A86"/>
      <c r="B86"/>
      <c r="C86"/>
      <c r="D86" t="s">
        <v>9</v>
      </c>
      <c r="E86"/>
      <c r="F86" t="s">
        <v>46</v>
      </c>
      <c r="G86" t="s">
        <v>29</v>
      </c>
      <c r="H86" t="s">
        <v>1020</v>
      </c>
      <c r="I86" t="s">
        <v>1021</v>
      </c>
      <c r="J86">
        <v>2</v>
      </c>
      <c r="L86" s="200" t="str">
        <f>IFERROR(VLOOKUP($H86,PARAMETERS!$M$3:$M$1600,1,0),"---")</f>
        <v>nMullVertical2</v>
      </c>
    </row>
    <row r="87" spans="1:12">
      <c r="A87" t="s">
        <v>9</v>
      </c>
      <c r="B87"/>
      <c r="C87"/>
      <c r="D87" t="s">
        <v>9</v>
      </c>
      <c r="E87"/>
      <c r="F87" t="s">
        <v>26</v>
      </c>
      <c r="G87" t="s">
        <v>29</v>
      </c>
      <c r="H87" t="s">
        <v>1022</v>
      </c>
      <c r="I87" t="s">
        <v>1023</v>
      </c>
      <c r="J87">
        <v>2.5000000000000001E-2</v>
      </c>
      <c r="L87" s="200" t="str">
        <f>IFERROR(VLOOKUP($H87,PARAMETERS!$M$3:$M$1600,1,0),"---")</f>
        <v>mullWidth</v>
      </c>
    </row>
    <row r="88" spans="1:12">
      <c r="A88"/>
      <c r="B88"/>
      <c r="C88"/>
      <c r="D88" t="s">
        <v>9</v>
      </c>
      <c r="E88"/>
      <c r="F88" t="s">
        <v>26</v>
      </c>
      <c r="G88" t="s">
        <v>29</v>
      </c>
      <c r="H88" t="s">
        <v>1024</v>
      </c>
      <c r="I88" t="s">
        <v>1025</v>
      </c>
      <c r="J88">
        <v>2.5000000000000001E-2</v>
      </c>
      <c r="L88" s="200" t="str">
        <f>IFERROR(VLOOKUP($H88,PARAMETERS!$M$3:$M$1600,1,0),"---")</f>
        <v>mullWidth2</v>
      </c>
    </row>
    <row r="89" spans="1:12">
      <c r="A89" t="s">
        <v>9</v>
      </c>
      <c r="B89"/>
      <c r="C89"/>
      <c r="D89" t="s">
        <v>9</v>
      </c>
      <c r="E89"/>
      <c r="F89" t="s">
        <v>26</v>
      </c>
      <c r="G89" t="s">
        <v>29</v>
      </c>
      <c r="H89" t="s">
        <v>1026</v>
      </c>
      <c r="I89" t="s">
        <v>1027</v>
      </c>
      <c r="J89">
        <v>2.5000000000000001E-2</v>
      </c>
      <c r="L89" s="200" t="str">
        <f>IFERROR(VLOOKUP($H89,PARAMETERS!$M$3:$M$1600,1,0),"---")</f>
        <v>mullThickness</v>
      </c>
    </row>
    <row r="90" spans="1:12">
      <c r="A90"/>
      <c r="B90"/>
      <c r="C90"/>
      <c r="D90" t="s">
        <v>9</v>
      </c>
      <c r="E90"/>
      <c r="F90" t="s">
        <v>26</v>
      </c>
      <c r="G90" t="s">
        <v>29</v>
      </c>
      <c r="H90" t="s">
        <v>1028</v>
      </c>
      <c r="I90" t="s">
        <v>1029</v>
      </c>
      <c r="J90">
        <v>2.5000000000000001E-2</v>
      </c>
      <c r="L90" s="200" t="str">
        <f>IFERROR(VLOOKUP($H90,PARAMETERS!$M$3:$M$1600,1,0),"---")</f>
        <v>mullThickness2</v>
      </c>
    </row>
    <row r="91" spans="1:12">
      <c r="A91" t="s">
        <v>9</v>
      </c>
      <c r="B91"/>
      <c r="C91"/>
      <c r="D91" t="s">
        <v>9</v>
      </c>
      <c r="E91"/>
      <c r="F91" t="s">
        <v>26</v>
      </c>
      <c r="G91" t="s">
        <v>29</v>
      </c>
      <c r="H91" t="s">
        <v>1030</v>
      </c>
      <c r="I91" t="s">
        <v>1031</v>
      </c>
      <c r="J91">
        <v>0.2</v>
      </c>
      <c r="L91" s="200" t="str">
        <f>IFERROR(VLOOKUP($H91,PARAMETERS!$M$3:$M$1600,1,0),"---")</f>
        <v>radDoorFilling</v>
      </c>
    </row>
    <row r="92" spans="1:12">
      <c r="A92"/>
      <c r="B92"/>
      <c r="C92"/>
      <c r="D92" t="s">
        <v>9</v>
      </c>
      <c r="E92"/>
      <c r="F92" t="s">
        <v>26</v>
      </c>
      <c r="G92" t="s">
        <v>29</v>
      </c>
      <c r="H92" t="s">
        <v>1032</v>
      </c>
      <c r="I92" t="s">
        <v>1033</v>
      </c>
      <c r="J92">
        <v>0.2</v>
      </c>
      <c r="L92" s="200" t="str">
        <f>IFERROR(VLOOKUP($H92,PARAMETERS!$M$3:$M$1600,1,0),"---")</f>
        <v>radDoorFilling2</v>
      </c>
    </row>
    <row r="93" spans="1:12">
      <c r="A93" t="s">
        <v>9</v>
      </c>
      <c r="B93"/>
      <c r="C93"/>
      <c r="D93" t="s">
        <v>9</v>
      </c>
      <c r="E93"/>
      <c r="F93" t="s">
        <v>26</v>
      </c>
      <c r="G93" t="s">
        <v>29</v>
      </c>
      <c r="H93" t="s">
        <v>1034</v>
      </c>
      <c r="I93" t="s">
        <v>1035</v>
      </c>
      <c r="J93">
        <v>0.35</v>
      </c>
      <c r="L93" s="200" t="str">
        <f>IFERROR(VLOOKUP($H93,PARAMETERS!$M$3:$M$1600,1,0),"---")</f>
        <v>centerOffsetLeft</v>
      </c>
    </row>
    <row r="94" spans="1:12">
      <c r="A94"/>
      <c r="B94"/>
      <c r="C94"/>
      <c r="D94" t="s">
        <v>9</v>
      </c>
      <c r="E94"/>
      <c r="F94" t="s">
        <v>26</v>
      </c>
      <c r="G94" t="s">
        <v>29</v>
      </c>
      <c r="H94" t="s">
        <v>1036</v>
      </c>
      <c r="I94" t="s">
        <v>1037</v>
      </c>
      <c r="J94">
        <v>0.35</v>
      </c>
      <c r="L94" s="200" t="str">
        <f>IFERROR(VLOOKUP($H94,PARAMETERS!$M$3:$M$1600,1,0),"---")</f>
        <v>centerOffsetLeft2</v>
      </c>
    </row>
    <row r="95" spans="1:12">
      <c r="A95" t="s">
        <v>9</v>
      </c>
      <c r="B95"/>
      <c r="C95"/>
      <c r="D95" t="s">
        <v>9</v>
      </c>
      <c r="E95"/>
      <c r="F95" t="s">
        <v>26</v>
      </c>
      <c r="G95" t="s">
        <v>29</v>
      </c>
      <c r="H95" t="s">
        <v>1038</v>
      </c>
      <c r="I95" t="s">
        <v>1039</v>
      </c>
      <c r="J95">
        <v>0.98</v>
      </c>
      <c r="L95" s="200" t="str">
        <f>IFERROR(VLOOKUP($H95,PARAMETERS!$M$3:$M$1600,1,0),"---")</f>
        <v>centerOffsetRight</v>
      </c>
    </row>
    <row r="96" spans="1:12">
      <c r="A96"/>
      <c r="B96"/>
      <c r="C96"/>
      <c r="D96" t="s">
        <v>9</v>
      </c>
      <c r="E96"/>
      <c r="F96" t="s">
        <v>26</v>
      </c>
      <c r="G96" t="s">
        <v>29</v>
      </c>
      <c r="H96" t="s">
        <v>1040</v>
      </c>
      <c r="I96" t="s">
        <v>1041</v>
      </c>
      <c r="J96">
        <v>0.98</v>
      </c>
      <c r="L96" s="200" t="str">
        <f>IFERROR(VLOOKUP($H96,PARAMETERS!$M$3:$M$1600,1,0),"---")</f>
        <v>centerOffsetRight2</v>
      </c>
    </row>
    <row r="97" spans="1:12">
      <c r="A97" t="s">
        <v>9</v>
      </c>
      <c r="B97"/>
      <c r="C97"/>
      <c r="D97" t="s">
        <v>9</v>
      </c>
      <c r="E97"/>
      <c r="F97" t="s">
        <v>26</v>
      </c>
      <c r="G97" t="s">
        <v>29</v>
      </c>
      <c r="H97" t="s">
        <v>1042</v>
      </c>
      <c r="I97" t="s">
        <v>1043</v>
      </c>
      <c r="J97">
        <v>1.4</v>
      </c>
      <c r="L97" s="200" t="str">
        <f>IFERROR(VLOOKUP($H97,PARAMETERS!$M$3:$M$1600,1,0),"---")</f>
        <v>centerOffsetBottom</v>
      </c>
    </row>
    <row r="98" spans="1:12">
      <c r="A98"/>
      <c r="B98"/>
      <c r="C98"/>
      <c r="D98" t="s">
        <v>9</v>
      </c>
      <c r="E98"/>
      <c r="F98" t="s">
        <v>26</v>
      </c>
      <c r="G98" t="s">
        <v>29</v>
      </c>
      <c r="H98" t="s">
        <v>1044</v>
      </c>
      <c r="I98" t="s">
        <v>1045</v>
      </c>
      <c r="J98">
        <v>1.4</v>
      </c>
      <c r="L98" s="200" t="str">
        <f>IFERROR(VLOOKUP($H98,PARAMETERS!$M$3:$M$1600,1,0),"---")</f>
        <v>centerOffsetBottom2</v>
      </c>
    </row>
    <row r="99" spans="1:12">
      <c r="A99" t="s">
        <v>9</v>
      </c>
      <c r="B99"/>
      <c r="C99"/>
      <c r="D99" t="s">
        <v>9</v>
      </c>
      <c r="E99"/>
      <c r="F99" t="s">
        <v>26</v>
      </c>
      <c r="G99" t="s">
        <v>29</v>
      </c>
      <c r="H99" t="s">
        <v>1046</v>
      </c>
      <c r="I99" t="s">
        <v>1047</v>
      </c>
      <c r="J99">
        <v>0.51500000000000001</v>
      </c>
      <c r="L99" s="200" t="str">
        <f>IFERROR(VLOOKUP($H99,PARAMETERS!$M$3:$M$1600,1,0),"---")</f>
        <v>centerOffsetTop</v>
      </c>
    </row>
    <row r="100" spans="1:12">
      <c r="A100"/>
      <c r="B100"/>
      <c r="C100"/>
      <c r="D100" t="s">
        <v>9</v>
      </c>
      <c r="E100"/>
      <c r="F100" t="s">
        <v>26</v>
      </c>
      <c r="G100" t="s">
        <v>29</v>
      </c>
      <c r="H100" t="s">
        <v>1048</v>
      </c>
      <c r="I100" t="s">
        <v>1049</v>
      </c>
      <c r="J100">
        <v>0.51500000000000001</v>
      </c>
      <c r="L100" s="200" t="str">
        <f>IFERROR(VLOOKUP($H100,PARAMETERS!$M$3:$M$1600,1,0),"---")</f>
        <v>centerOffsetTop2</v>
      </c>
    </row>
    <row r="101" spans="1:12">
      <c r="A101" t="s">
        <v>9</v>
      </c>
      <c r="B101"/>
      <c r="C101"/>
      <c r="D101"/>
      <c r="E101"/>
      <c r="F101" t="s">
        <v>59</v>
      </c>
      <c r="G101" t="s">
        <v>29</v>
      </c>
      <c r="H101" t="s">
        <v>1071</v>
      </c>
      <c r="I101" t="s">
        <v>3032</v>
      </c>
      <c r="L101" s="200" t="str">
        <f>IFERROR(VLOOKUP($H101,PARAMETERS!$M$3:$M$1600,1,0),"---")</f>
        <v>gs_door_handle</v>
      </c>
    </row>
    <row r="102" spans="1:12">
      <c r="A102" t="s">
        <v>9</v>
      </c>
      <c r="B102"/>
      <c r="C102"/>
      <c r="D102" t="s">
        <v>9</v>
      </c>
      <c r="E102"/>
      <c r="F102" t="s">
        <v>20</v>
      </c>
      <c r="G102" t="s">
        <v>29</v>
      </c>
      <c r="H102" t="s">
        <v>1076</v>
      </c>
      <c r="I102" t="s">
        <v>3033</v>
      </c>
      <c r="J102" t="s">
        <v>3034</v>
      </c>
      <c r="L102" s="200" t="str">
        <f>IFERROR(VLOOKUP($H102,PARAMETERS!$M$3:$M$1600,1,0),"---")</f>
        <v>gs_handle_type</v>
      </c>
    </row>
    <row r="103" spans="1:12">
      <c r="A103"/>
      <c r="B103" t="s">
        <v>9</v>
      </c>
      <c r="C103"/>
      <c r="D103" t="s">
        <v>9</v>
      </c>
      <c r="E103"/>
      <c r="F103" t="s">
        <v>46</v>
      </c>
      <c r="G103" t="s">
        <v>29</v>
      </c>
      <c r="H103" t="s">
        <v>1081</v>
      </c>
      <c r="I103" t="s">
        <v>3033</v>
      </c>
      <c r="J103">
        <v>10</v>
      </c>
      <c r="L103" s="200" t="str">
        <f>IFERROR(VLOOKUP($H103,PARAMETERS!$M$3:$M$1600,1,0),"---")</f>
        <v>gs_handle_type_m</v>
      </c>
    </row>
    <row r="104" spans="1:12">
      <c r="A104"/>
      <c r="B104"/>
      <c r="C104"/>
      <c r="D104" t="s">
        <v>9</v>
      </c>
      <c r="E104"/>
      <c r="F104" t="s">
        <v>46</v>
      </c>
      <c r="G104" t="s">
        <v>29</v>
      </c>
      <c r="H104" t="s">
        <v>1107</v>
      </c>
      <c r="I104" t="s">
        <v>3035</v>
      </c>
      <c r="J104">
        <v>0</v>
      </c>
      <c r="L104" s="200" t="str">
        <f>IFERROR(VLOOKUP($H104,PARAMETERS!$M$3:$M$1600,1,0),"---")</f>
        <v>gs_handle_type2_m</v>
      </c>
    </row>
    <row r="105" spans="1:12">
      <c r="A105"/>
      <c r="B105"/>
      <c r="C105"/>
      <c r="D105" t="s">
        <v>9</v>
      </c>
      <c r="E105"/>
      <c r="F105" t="s">
        <v>20</v>
      </c>
      <c r="G105" t="s">
        <v>29</v>
      </c>
      <c r="H105" t="s">
        <v>1088</v>
      </c>
      <c r="I105" t="s">
        <v>3036</v>
      </c>
      <c r="L105" s="200" t="str">
        <f>IFERROR(VLOOKUP($H105,PARAMETERS!$M$3:$M$1600,1,0),"---")</f>
        <v>gs_cust_handle</v>
      </c>
    </row>
    <row r="106" spans="1:12">
      <c r="A106"/>
      <c r="B106"/>
      <c r="C106"/>
      <c r="D106" t="s">
        <v>9</v>
      </c>
      <c r="E106"/>
      <c r="F106" t="s">
        <v>20</v>
      </c>
      <c r="G106" t="s">
        <v>29</v>
      </c>
      <c r="H106" t="s">
        <v>1113</v>
      </c>
      <c r="I106" t="s">
        <v>3037</v>
      </c>
      <c r="L106" s="200" t="str">
        <f>IFERROR(VLOOKUP($H106,PARAMETERS!$M$3:$M$1600,1,0),"---")</f>
        <v>gs_cust_handle2</v>
      </c>
    </row>
    <row r="107" spans="1:12">
      <c r="A107"/>
      <c r="B107"/>
      <c r="C107"/>
      <c r="D107" t="s">
        <v>9</v>
      </c>
      <c r="E107"/>
      <c r="F107" t="s">
        <v>26</v>
      </c>
      <c r="G107" t="s">
        <v>29</v>
      </c>
      <c r="H107" t="s">
        <v>1146</v>
      </c>
      <c r="I107" t="s">
        <v>3038</v>
      </c>
      <c r="J107">
        <v>1.05</v>
      </c>
      <c r="L107" s="200" t="str">
        <f>IFERROR(VLOOKUP($H107,PARAMETERS!$M$3:$M$1600,1,0),"---")</f>
        <v>gs_han_height</v>
      </c>
    </row>
    <row r="108" spans="1:12">
      <c r="A108"/>
      <c r="B108"/>
      <c r="C108"/>
      <c r="D108" t="s">
        <v>9</v>
      </c>
      <c r="E108"/>
      <c r="F108" t="s">
        <v>26</v>
      </c>
      <c r="G108" t="s">
        <v>29</v>
      </c>
      <c r="H108" t="s">
        <v>1150</v>
      </c>
      <c r="I108" t="s">
        <v>3039</v>
      </c>
      <c r="J108">
        <v>1.05</v>
      </c>
      <c r="L108" s="200" t="str">
        <f>IFERROR(VLOOKUP($H108,PARAMETERS!$M$3:$M$1600,1,0),"---")</f>
        <v>gs_han_height2</v>
      </c>
    </row>
    <row r="109" spans="1:12">
      <c r="A109"/>
      <c r="B109"/>
      <c r="C109"/>
      <c r="D109" t="s">
        <v>9</v>
      </c>
      <c r="E109"/>
      <c r="F109" t="s">
        <v>26</v>
      </c>
      <c r="G109" t="s">
        <v>29</v>
      </c>
      <c r="H109" t="s">
        <v>1245</v>
      </c>
      <c r="I109" t="s">
        <v>3040</v>
      </c>
      <c r="J109">
        <v>0.06</v>
      </c>
      <c r="L109" s="200" t="str">
        <f>IFERROR(VLOOKUP($H109,PARAMETERS!$M$3:$M$1600,1,0),"---")</f>
        <v>gs_han_pos</v>
      </c>
    </row>
    <row r="110" spans="1:12">
      <c r="A110"/>
      <c r="B110"/>
      <c r="C110"/>
      <c r="D110" t="s">
        <v>9</v>
      </c>
      <c r="E110"/>
      <c r="F110" t="s">
        <v>26</v>
      </c>
      <c r="G110" t="s">
        <v>29</v>
      </c>
      <c r="H110" t="s">
        <v>1251</v>
      </c>
      <c r="I110" t="s">
        <v>3041</v>
      </c>
      <c r="J110">
        <v>0.06</v>
      </c>
      <c r="L110" s="200" t="str">
        <f>IFERROR(VLOOKUP($H110,PARAMETERS!$M$3:$M$1600,1,0),"---")</f>
        <v>gs_han_pos2</v>
      </c>
    </row>
    <row r="111" spans="1:12">
      <c r="A111" t="s">
        <v>9</v>
      </c>
      <c r="B111"/>
      <c r="C111"/>
      <c r="D111"/>
      <c r="E111"/>
      <c r="F111" t="s">
        <v>59</v>
      </c>
      <c r="G111" t="s">
        <v>29</v>
      </c>
      <c r="H111" t="s">
        <v>3042</v>
      </c>
      <c r="I111" t="s">
        <v>457</v>
      </c>
      <c r="L111" s="200" t="str">
        <f>IFERROR(VLOOKUP($H111,PARAMETERS!$M$3:$M$1600,1,0),"---")</f>
        <v>---</v>
      </c>
    </row>
    <row r="112" spans="1:12">
      <c r="A112" t="s">
        <v>9</v>
      </c>
      <c r="B112"/>
      <c r="C112"/>
      <c r="D112" t="s">
        <v>9</v>
      </c>
      <c r="E112"/>
      <c r="F112" t="s">
        <v>49</v>
      </c>
      <c r="G112" t="s">
        <v>29</v>
      </c>
      <c r="H112" t="s">
        <v>456</v>
      </c>
      <c r="I112" t="s">
        <v>457</v>
      </c>
      <c r="J112">
        <v>1</v>
      </c>
      <c r="L112" s="200" t="str">
        <f>IFERROR(VLOOKUP($H112,PARAMETERS!$M$3:$M$1600,1,0),"---")</f>
        <v>gs_kamp</v>
      </c>
    </row>
    <row r="113" spans="1:12">
      <c r="A113" t="s">
        <v>9</v>
      </c>
      <c r="B113"/>
      <c r="C113"/>
      <c r="D113" t="s">
        <v>9</v>
      </c>
      <c r="E113"/>
      <c r="F113" t="s">
        <v>26</v>
      </c>
      <c r="G113" t="s">
        <v>29</v>
      </c>
      <c r="H113" t="s">
        <v>870</v>
      </c>
      <c r="I113" t="s">
        <v>865</v>
      </c>
      <c r="J113">
        <v>0.5</v>
      </c>
      <c r="L113" s="200" t="str">
        <f>IFERROR(VLOOKUP($H113,PARAMETERS!$M$3:$M$1600,1,0),"---")</f>
        <v>gs_am</v>
      </c>
    </row>
    <row r="114" spans="1:12">
      <c r="A114"/>
      <c r="B114"/>
      <c r="C114"/>
      <c r="D114"/>
      <c r="E114"/>
      <c r="F114" t="s">
        <v>59</v>
      </c>
      <c r="G114" t="s">
        <v>29</v>
      </c>
      <c r="H114" t="s">
        <v>3043</v>
      </c>
      <c r="I114" t="s">
        <v>835</v>
      </c>
      <c r="L114" s="200" t="str">
        <f>IFERROR(VLOOKUP($H114,PARAMETERS!$M$3:$M$1600,1,0),"---")</f>
        <v>---</v>
      </c>
    </row>
    <row r="115" spans="1:12">
      <c r="A115"/>
      <c r="B115"/>
      <c r="C115"/>
      <c r="D115" t="s">
        <v>9</v>
      </c>
      <c r="E115"/>
      <c r="F115" t="s">
        <v>49</v>
      </c>
      <c r="G115" t="s">
        <v>29</v>
      </c>
      <c r="H115" t="s">
        <v>836</v>
      </c>
      <c r="I115" t="s">
        <v>837</v>
      </c>
      <c r="J115">
        <v>0</v>
      </c>
      <c r="L115" s="200" t="str">
        <f>IFERROR(VLOOKUP($H115,PARAMETERS!$M$3:$M$1600,1,0),"---")</f>
        <v>bDiffSidelightWidth</v>
      </c>
    </row>
    <row r="116" spans="1:12">
      <c r="A116"/>
      <c r="B116"/>
      <c r="C116"/>
      <c r="D116" t="s">
        <v>9</v>
      </c>
      <c r="E116"/>
      <c r="F116" t="s">
        <v>26</v>
      </c>
      <c r="G116" t="s">
        <v>29</v>
      </c>
      <c r="H116" t="s">
        <v>3044</v>
      </c>
      <c r="I116" t="s">
        <v>3045</v>
      </c>
      <c r="J116">
        <v>0.505</v>
      </c>
      <c r="L116" s="200" t="str">
        <f>IFERROR(VLOOKUP($H116,PARAMETERS!$M$3:$M$1600,1,0),"---")</f>
        <v>---</v>
      </c>
    </row>
    <row r="117" spans="1:12">
      <c r="A117"/>
      <c r="B117"/>
      <c r="C117"/>
      <c r="D117" t="s">
        <v>9</v>
      </c>
      <c r="E117"/>
      <c r="F117" t="s">
        <v>26</v>
      </c>
      <c r="G117" t="s">
        <v>29</v>
      </c>
      <c r="H117" t="s">
        <v>3046</v>
      </c>
      <c r="I117" t="s">
        <v>3047</v>
      </c>
      <c r="J117">
        <v>0.5</v>
      </c>
      <c r="L117" s="200" t="str">
        <f>IFERROR(VLOOKUP($H117,PARAMETERS!$M$3:$M$1600,1,0),"---")</f>
        <v>---</v>
      </c>
    </row>
    <row r="118" spans="1:12">
      <c r="A118"/>
      <c r="B118"/>
      <c r="C118"/>
      <c r="D118" t="s">
        <v>9</v>
      </c>
      <c r="E118"/>
      <c r="F118" t="s">
        <v>49</v>
      </c>
      <c r="G118" t="s">
        <v>29</v>
      </c>
      <c r="H118" t="s">
        <v>843</v>
      </c>
      <c r="I118" t="s">
        <v>844</v>
      </c>
      <c r="J118">
        <v>1</v>
      </c>
      <c r="L118" s="200" t="str">
        <f>IFERROR(VLOOKUP($H118,PARAMETERS!$M$3:$M$1600,1,0),"---")</f>
        <v>bAutoSideLightSize</v>
      </c>
    </row>
    <row r="119" spans="1:12">
      <c r="A119"/>
      <c r="B119"/>
      <c r="C119"/>
      <c r="D119" t="s">
        <v>9</v>
      </c>
      <c r="E119"/>
      <c r="F119" t="s">
        <v>26</v>
      </c>
      <c r="G119" t="s">
        <v>29</v>
      </c>
      <c r="H119" t="s">
        <v>845</v>
      </c>
      <c r="I119" t="s">
        <v>846</v>
      </c>
      <c r="J119">
        <v>0.38500000000000001</v>
      </c>
      <c r="L119" s="200" t="str">
        <f>IFERROR(VLOOKUP($H119,PARAMETERS!$M$3:$M$1600,1,0),"---")</f>
        <v>---</v>
      </c>
    </row>
    <row r="120" spans="1:12">
      <c r="A120"/>
      <c r="B120"/>
      <c r="C120"/>
      <c r="D120" t="s">
        <v>9</v>
      </c>
      <c r="E120"/>
      <c r="F120" t="s">
        <v>26</v>
      </c>
      <c r="G120" t="s">
        <v>29</v>
      </c>
      <c r="H120" t="s">
        <v>847</v>
      </c>
      <c r="I120" t="s">
        <v>848</v>
      </c>
      <c r="J120">
        <v>0.39</v>
      </c>
      <c r="L120" s="200" t="str">
        <f>IFERROR(VLOOKUP($H120,PARAMETERS!$M$3:$M$1600,1,0),"---")</f>
        <v>glazingWidthRight</v>
      </c>
    </row>
    <row r="121" spans="1:12">
      <c r="A121"/>
      <c r="B121"/>
      <c r="C121"/>
      <c r="D121" t="s">
        <v>9</v>
      </c>
      <c r="E121"/>
      <c r="F121" t="s">
        <v>26</v>
      </c>
      <c r="G121" t="s">
        <v>29</v>
      </c>
      <c r="H121" t="s">
        <v>849</v>
      </c>
      <c r="I121" t="s">
        <v>850</v>
      </c>
      <c r="J121">
        <v>1.91</v>
      </c>
      <c r="L121" s="200" t="str">
        <f>IFERROR(VLOOKUP($H121,PARAMETERS!$M$3:$M$1600,1,0),"---")</f>
        <v>glazingHeight</v>
      </c>
    </row>
    <row r="122" spans="1:12">
      <c r="A122" t="s">
        <v>9</v>
      </c>
      <c r="B122"/>
      <c r="C122"/>
      <c r="D122"/>
      <c r="E122"/>
      <c r="F122" t="s">
        <v>59</v>
      </c>
      <c r="G122" t="s">
        <v>29</v>
      </c>
      <c r="H122" t="s">
        <v>755</v>
      </c>
      <c r="I122" t="s">
        <v>3048</v>
      </c>
      <c r="L122" s="200" t="str">
        <f>IFERROR(VLOOKUP($H122,PARAMETERS!$M$3:$M$1600,1,0),"---")</f>
        <v>gs_door_frame</v>
      </c>
    </row>
    <row r="123" spans="1:12">
      <c r="A123" t="s">
        <v>9</v>
      </c>
      <c r="B123"/>
      <c r="C123"/>
      <c r="D123" t="s">
        <v>9</v>
      </c>
      <c r="E123"/>
      <c r="F123" t="s">
        <v>20</v>
      </c>
      <c r="G123" t="s">
        <v>29</v>
      </c>
      <c r="H123" t="s">
        <v>759</v>
      </c>
      <c r="I123" t="s">
        <v>760</v>
      </c>
      <c r="J123" t="s">
        <v>185</v>
      </c>
      <c r="L123" s="200" t="str">
        <f>IFERROR(VLOOKUP($H123,PARAMETERS!$M$3:$M$1600,1,0),"---")</f>
        <v>gs_frame_type</v>
      </c>
    </row>
    <row r="124" spans="1:12">
      <c r="A124" t="s">
        <v>9</v>
      </c>
      <c r="B124" t="s">
        <v>9</v>
      </c>
      <c r="C124"/>
      <c r="D124" t="s">
        <v>9</v>
      </c>
      <c r="E124"/>
      <c r="F124" t="s">
        <v>46</v>
      </c>
      <c r="G124" t="s">
        <v>29</v>
      </c>
      <c r="H124" t="s">
        <v>763</v>
      </c>
      <c r="I124" t="s">
        <v>760</v>
      </c>
      <c r="J124">
        <v>1</v>
      </c>
      <c r="L124" s="200" t="str">
        <f>IFERROR(VLOOKUP($H124,PARAMETERS!$M$3:$M$1600,1,0),"---")</f>
        <v>iFrameType</v>
      </c>
    </row>
    <row r="125" spans="1:12">
      <c r="A125"/>
      <c r="B125"/>
      <c r="C125"/>
      <c r="D125" t="s">
        <v>9</v>
      </c>
      <c r="E125"/>
      <c r="F125" t="s">
        <v>49</v>
      </c>
      <c r="G125" t="s">
        <v>29</v>
      </c>
      <c r="H125" t="s">
        <v>768</v>
      </c>
      <c r="I125" t="s">
        <v>769</v>
      </c>
      <c r="J125">
        <v>0</v>
      </c>
      <c r="L125" s="200" t="str">
        <f>IFERROR(VLOOKUP($H125,PARAMETERS!$M$3:$M$1600,1,0),"---")</f>
        <v>gs_different_framewidth</v>
      </c>
    </row>
    <row r="126" spans="1:12">
      <c r="A126" t="s">
        <v>9</v>
      </c>
      <c r="B126"/>
      <c r="C126"/>
      <c r="D126" t="s">
        <v>9</v>
      </c>
      <c r="E126"/>
      <c r="F126" t="s">
        <v>26</v>
      </c>
      <c r="G126" t="s">
        <v>29</v>
      </c>
      <c r="H126" t="s">
        <v>770</v>
      </c>
      <c r="I126" t="s">
        <v>771</v>
      </c>
      <c r="J126">
        <v>0.1</v>
      </c>
      <c r="L126" s="200" t="str">
        <f>IFERROR(VLOOKUP($H126,PARAMETERS!$M$3:$M$1600,1,0),"---")</f>
        <v>gs_frame_width</v>
      </c>
    </row>
    <row r="127" spans="1:12">
      <c r="A127"/>
      <c r="B127"/>
      <c r="C127"/>
      <c r="D127" t="s">
        <v>9</v>
      </c>
      <c r="E127"/>
      <c r="F127" t="s">
        <v>26</v>
      </c>
      <c r="G127" t="s">
        <v>29</v>
      </c>
      <c r="H127" t="s">
        <v>772</v>
      </c>
      <c r="I127" t="s">
        <v>773</v>
      </c>
      <c r="J127">
        <v>0.1</v>
      </c>
      <c r="L127" s="200" t="str">
        <f>IFERROR(VLOOKUP($H127,PARAMETERS!$M$3:$M$1600,1,0),"---")</f>
        <v>gs_frame_width_right</v>
      </c>
    </row>
    <row r="128" spans="1:12">
      <c r="A128"/>
      <c r="B128"/>
      <c r="C128"/>
      <c r="D128" t="s">
        <v>9</v>
      </c>
      <c r="E128"/>
      <c r="F128" t="s">
        <v>26</v>
      </c>
      <c r="G128" t="s">
        <v>29</v>
      </c>
      <c r="H128" t="s">
        <v>774</v>
      </c>
      <c r="I128" t="s">
        <v>775</v>
      </c>
      <c r="J128">
        <v>0.1</v>
      </c>
      <c r="L128" s="200" t="str">
        <f>IFERROR(VLOOKUP($H128,PARAMETERS!$M$3:$M$1600,1,0),"---")</f>
        <v>gs_frame_width_left</v>
      </c>
    </row>
    <row r="129" spans="1:12">
      <c r="A129"/>
      <c r="B129"/>
      <c r="C129"/>
      <c r="D129" t="s">
        <v>9</v>
      </c>
      <c r="E129"/>
      <c r="F129" t="s">
        <v>26</v>
      </c>
      <c r="G129" t="s">
        <v>29</v>
      </c>
      <c r="H129" t="s">
        <v>776</v>
      </c>
      <c r="I129" t="s">
        <v>777</v>
      </c>
      <c r="J129">
        <v>0.1</v>
      </c>
      <c r="L129" s="200" t="str">
        <f>IFERROR(VLOOKUP($H129,PARAMETERS!$M$3:$M$1600,1,0),"---")</f>
        <v>gs_frame_width_right_2</v>
      </c>
    </row>
    <row r="130" spans="1:12">
      <c r="A130"/>
      <c r="B130"/>
      <c r="C130"/>
      <c r="D130" t="s">
        <v>9</v>
      </c>
      <c r="E130"/>
      <c r="F130" t="s">
        <v>26</v>
      </c>
      <c r="G130" t="s">
        <v>29</v>
      </c>
      <c r="H130" t="s">
        <v>778</v>
      </c>
      <c r="I130" t="s">
        <v>779</v>
      </c>
      <c r="J130">
        <v>0.1</v>
      </c>
      <c r="L130" s="200" t="str">
        <f>IFERROR(VLOOKUP($H130,PARAMETERS!$M$3:$M$1600,1,0),"---")</f>
        <v>gs_frame_width_left_2</v>
      </c>
    </row>
    <row r="131" spans="1:12">
      <c r="A131"/>
      <c r="B131"/>
      <c r="C131"/>
      <c r="D131" t="s">
        <v>9</v>
      </c>
      <c r="E131"/>
      <c r="F131" t="s">
        <v>26</v>
      </c>
      <c r="G131" t="s">
        <v>29</v>
      </c>
      <c r="H131" t="s">
        <v>780</v>
      </c>
      <c r="I131" t="s">
        <v>781</v>
      </c>
      <c r="J131">
        <v>0.1</v>
      </c>
      <c r="L131" s="200" t="str">
        <f>IFERROR(VLOOKUP($H131,PARAMETERS!$M$3:$M$1600,1,0),"---")</f>
        <v>gs_frame_width_upper</v>
      </c>
    </row>
    <row r="132" spans="1:12">
      <c r="A132"/>
      <c r="B132"/>
      <c r="C132"/>
      <c r="D132" t="s">
        <v>9</v>
      </c>
      <c r="E132"/>
      <c r="F132" t="s">
        <v>26</v>
      </c>
      <c r="G132" t="s">
        <v>29</v>
      </c>
      <c r="H132" t="s">
        <v>782</v>
      </c>
      <c r="I132" t="s">
        <v>783</v>
      </c>
      <c r="J132">
        <v>0.1</v>
      </c>
      <c r="L132" s="200" t="str">
        <f>IFERROR(VLOOKUP($H132,PARAMETERS!$M$3:$M$1600,1,0),"---")</f>
        <v>gs_frame_width_transom</v>
      </c>
    </row>
    <row r="133" spans="1:12">
      <c r="A133"/>
      <c r="B133"/>
      <c r="C133"/>
      <c r="D133" t="s">
        <v>9</v>
      </c>
      <c r="E133"/>
      <c r="F133" t="s">
        <v>26</v>
      </c>
      <c r="G133" t="s">
        <v>29</v>
      </c>
      <c r="H133" t="s">
        <v>855</v>
      </c>
      <c r="I133" t="s">
        <v>856</v>
      </c>
      <c r="J133">
        <v>0.1</v>
      </c>
      <c r="L133" s="200" t="str">
        <f>IFERROR(VLOOKUP($H133,PARAMETERS!$M$3:$M$1600,1,0),"---")</f>
        <v>gs_frame_width_transom_sl</v>
      </c>
    </row>
    <row r="134" spans="1:12">
      <c r="A134"/>
      <c r="B134"/>
      <c r="C134"/>
      <c r="D134" t="s">
        <v>9</v>
      </c>
      <c r="E134"/>
      <c r="F134" t="s">
        <v>26</v>
      </c>
      <c r="G134" t="s">
        <v>29</v>
      </c>
      <c r="H134" t="s">
        <v>857</v>
      </c>
      <c r="I134" t="s">
        <v>858</v>
      </c>
      <c r="J134">
        <v>0.1</v>
      </c>
      <c r="L134" s="200" t="str">
        <f>IFERROR(VLOOKUP($H134,PARAMETERS!$M$3:$M$1600,1,0),"---")</f>
        <v>gs_frame_width_upper_sl</v>
      </c>
    </row>
    <row r="135" spans="1:12">
      <c r="A135"/>
      <c r="B135"/>
      <c r="C135"/>
      <c r="D135" t="s">
        <v>9</v>
      </c>
      <c r="E135"/>
      <c r="F135" t="s">
        <v>26</v>
      </c>
      <c r="G135" t="s">
        <v>29</v>
      </c>
      <c r="H135" t="s">
        <v>784</v>
      </c>
      <c r="I135" t="s">
        <v>785</v>
      </c>
      <c r="J135">
        <v>0.1</v>
      </c>
      <c r="L135" s="200" t="str">
        <f>IFERROR(VLOOKUP($H135,PARAMETERS!$M$3:$M$1600,1,0),"---")</f>
        <v>gs_frame_width_bottom_sl</v>
      </c>
    </row>
    <row r="136" spans="1:12">
      <c r="A136" t="s">
        <v>9</v>
      </c>
      <c r="B136"/>
      <c r="C136"/>
      <c r="D136" t="s">
        <v>9</v>
      </c>
      <c r="E136"/>
      <c r="F136" t="s">
        <v>26</v>
      </c>
      <c r="G136" t="s">
        <v>29</v>
      </c>
      <c r="H136" t="s">
        <v>786</v>
      </c>
      <c r="I136" t="s">
        <v>787</v>
      </c>
      <c r="J136">
        <v>0.05</v>
      </c>
      <c r="L136" s="200" t="str">
        <f>IFERROR(VLOOKUP($H136,PARAMETERS!$M$3:$M$1600,1,0),"---")</f>
        <v>gs_frame_thk</v>
      </c>
    </row>
    <row r="137" spans="1:12">
      <c r="A137" t="s">
        <v>9</v>
      </c>
      <c r="B137"/>
      <c r="C137"/>
      <c r="D137" t="s">
        <v>9</v>
      </c>
      <c r="E137"/>
      <c r="F137" t="s">
        <v>49</v>
      </c>
      <c r="G137" t="s">
        <v>29</v>
      </c>
      <c r="H137" t="s">
        <v>813</v>
      </c>
      <c r="I137" t="s">
        <v>814</v>
      </c>
      <c r="J137">
        <v>1</v>
      </c>
      <c r="L137" s="200" t="str">
        <f>IFERROR(VLOOKUP($H137,PARAMETERS!$M$3:$M$1600,1,0),"---")</f>
        <v>gs_rev</v>
      </c>
    </row>
    <row r="138" spans="1:12">
      <c r="A138" t="s">
        <v>9</v>
      </c>
      <c r="B138"/>
      <c r="C138"/>
      <c r="D138" t="s">
        <v>9</v>
      </c>
      <c r="E138"/>
      <c r="F138" t="s">
        <v>26</v>
      </c>
      <c r="G138" t="s">
        <v>29</v>
      </c>
      <c r="H138" t="s">
        <v>815</v>
      </c>
      <c r="I138" t="s">
        <v>816</v>
      </c>
      <c r="J138">
        <v>0.05</v>
      </c>
      <c r="L138" s="200" t="str">
        <f>IFERROR(VLOOKUP($H138,PARAMETERS!$M$3:$M$1600,1,0),"---")</f>
        <v>gs_bl_thk</v>
      </c>
    </row>
    <row r="139" spans="1:12">
      <c r="A139" t="s">
        <v>9</v>
      </c>
      <c r="B139"/>
      <c r="C139"/>
      <c r="D139" t="s">
        <v>9</v>
      </c>
      <c r="E139"/>
      <c r="F139" t="s">
        <v>26</v>
      </c>
      <c r="G139" t="s">
        <v>29</v>
      </c>
      <c r="H139" t="s">
        <v>817</v>
      </c>
      <c r="I139" t="s">
        <v>818</v>
      </c>
      <c r="J139">
        <v>0.06</v>
      </c>
      <c r="L139" s="200" t="str">
        <f>IFERROR(VLOOKUP($H139,PARAMETERS!$M$3:$M$1600,1,0),"---")</f>
        <v>gs_bl_width</v>
      </c>
    </row>
    <row r="140" spans="1:12">
      <c r="A140" t="s">
        <v>9</v>
      </c>
      <c r="B140"/>
      <c r="C140"/>
      <c r="D140" t="s">
        <v>9</v>
      </c>
      <c r="E140"/>
      <c r="F140" t="s">
        <v>26</v>
      </c>
      <c r="G140" t="s">
        <v>29</v>
      </c>
      <c r="H140" t="s">
        <v>819</v>
      </c>
      <c r="I140" t="s">
        <v>820</v>
      </c>
      <c r="J140">
        <v>0.01</v>
      </c>
      <c r="L140" s="200" t="str">
        <f>IFERROR(VLOOKUP($H140,PARAMETERS!$M$3:$M$1600,1,0),"---")</f>
        <v>gs_fuge</v>
      </c>
    </row>
    <row r="141" spans="1:12">
      <c r="A141" t="s">
        <v>9</v>
      </c>
      <c r="B141"/>
      <c r="C141"/>
      <c r="D141" t="s">
        <v>9</v>
      </c>
      <c r="E141"/>
      <c r="F141" t="s">
        <v>26</v>
      </c>
      <c r="G141" t="s">
        <v>29</v>
      </c>
      <c r="H141" t="s">
        <v>821</v>
      </c>
      <c r="I141" t="s">
        <v>822</v>
      </c>
      <c r="J141">
        <v>0.01</v>
      </c>
      <c r="L141" s="200" t="str">
        <f>IFERROR(VLOOKUP($H141,PARAMETERS!$M$3:$M$1600,1,0),"---")</f>
        <v>gs_ub_st1</v>
      </c>
    </row>
    <row r="142" spans="1:12">
      <c r="A142" t="s">
        <v>9</v>
      </c>
      <c r="B142"/>
      <c r="C142"/>
      <c r="D142" t="s">
        <v>9</v>
      </c>
      <c r="E142"/>
      <c r="F142" t="s">
        <v>26</v>
      </c>
      <c r="G142" t="s">
        <v>29</v>
      </c>
      <c r="H142" t="s">
        <v>823</v>
      </c>
      <c r="I142" t="s">
        <v>824</v>
      </c>
      <c r="J142">
        <v>0.01</v>
      </c>
      <c r="L142" s="200" t="str">
        <f>IFERROR(VLOOKUP($H142,PARAMETERS!$M$3:$M$1600,1,0),"---")</f>
        <v>gs_ub_st2</v>
      </c>
    </row>
    <row r="143" spans="1:12">
      <c r="A143" t="s">
        <v>9</v>
      </c>
      <c r="B143"/>
      <c r="C143"/>
      <c r="D143"/>
      <c r="E143"/>
      <c r="F143" t="s">
        <v>59</v>
      </c>
      <c r="G143" t="s">
        <v>29</v>
      </c>
      <c r="H143" t="s">
        <v>213</v>
      </c>
      <c r="I143" t="s">
        <v>3049</v>
      </c>
      <c r="L143" s="200" t="str">
        <f>IFERROR(VLOOKUP($H143,PARAMETERS!$M$3:$M$1600,1,0),"---")</f>
        <v>gs_door_material</v>
      </c>
    </row>
    <row r="144" spans="1:12">
      <c r="A144" t="s">
        <v>9</v>
      </c>
      <c r="B144"/>
      <c r="C144"/>
      <c r="D144" t="s">
        <v>9</v>
      </c>
      <c r="E144"/>
      <c r="F144" t="s">
        <v>52</v>
      </c>
      <c r="G144" t="s">
        <v>29</v>
      </c>
      <c r="H144" t="s">
        <v>825</v>
      </c>
      <c r="I144" t="s">
        <v>826</v>
      </c>
      <c r="J144">
        <v>133</v>
      </c>
      <c r="L144" s="200" t="str">
        <f>IFERROR(VLOOKUP($H144,PARAMETERS!$M$3:$M$1600,1,0),"---")</f>
        <v>gs_frame_mat</v>
      </c>
    </row>
    <row r="145" spans="1:12">
      <c r="A145" t="s">
        <v>9</v>
      </c>
      <c r="B145"/>
      <c r="C145"/>
      <c r="D145" t="s">
        <v>9</v>
      </c>
      <c r="E145"/>
      <c r="F145" t="s">
        <v>52</v>
      </c>
      <c r="G145" t="s">
        <v>29</v>
      </c>
      <c r="H145" t="s">
        <v>1461</v>
      </c>
      <c r="I145" t="s">
        <v>1462</v>
      </c>
      <c r="J145">
        <v>133</v>
      </c>
      <c r="L145" s="200" t="str">
        <f>IFERROR(VLOOKUP($H145,PARAMETERS!$M$3:$M$1600,1,0),"---")</f>
        <v>gs_leaf_mat</v>
      </c>
    </row>
    <row r="146" spans="1:12">
      <c r="A146" t="s">
        <v>9</v>
      </c>
      <c r="B146"/>
      <c r="C146"/>
      <c r="D146" t="s">
        <v>9</v>
      </c>
      <c r="E146"/>
      <c r="F146" t="s">
        <v>52</v>
      </c>
      <c r="G146" t="s">
        <v>29</v>
      </c>
      <c r="H146" t="s">
        <v>1463</v>
      </c>
      <c r="I146" t="s">
        <v>1464</v>
      </c>
      <c r="J146">
        <v>24</v>
      </c>
      <c r="L146" s="200" t="str">
        <f>IFERROR(VLOOKUP($H146,PARAMETERS!$M$3:$M$1600,1,0),"---")</f>
        <v>gs_glass_mat</v>
      </c>
    </row>
    <row r="147" spans="1:12">
      <c r="A147" t="s">
        <v>9</v>
      </c>
      <c r="B147"/>
      <c r="C147"/>
      <c r="D147" t="s">
        <v>9</v>
      </c>
      <c r="E147"/>
      <c r="F147" t="s">
        <v>52</v>
      </c>
      <c r="G147" t="s">
        <v>29</v>
      </c>
      <c r="H147" t="s">
        <v>1465</v>
      </c>
      <c r="I147" t="s">
        <v>1466</v>
      </c>
      <c r="J147">
        <v>40</v>
      </c>
      <c r="L147" s="200" t="str">
        <f>IFERROR(VLOOKUP($H147,PARAMETERS!$M$3:$M$1600,1,0),"---")</f>
        <v>gs_metal_mat</v>
      </c>
    </row>
    <row r="148" spans="1:12">
      <c r="A148" t="s">
        <v>9</v>
      </c>
      <c r="B148"/>
      <c r="C148"/>
      <c r="D148" t="s">
        <v>9</v>
      </c>
      <c r="E148"/>
      <c r="F148" t="s">
        <v>52</v>
      </c>
      <c r="G148" t="s">
        <v>29</v>
      </c>
      <c r="H148" t="s">
        <v>936</v>
      </c>
      <c r="I148" t="s">
        <v>937</v>
      </c>
      <c r="J148">
        <v>54</v>
      </c>
      <c r="L148" s="200" t="str">
        <f>IFERROR(VLOOKUP($H148,PARAMETERS!$M$3:$M$1600,1,0),"---")</f>
        <v>gs_mat_h</v>
      </c>
    </row>
    <row r="149" spans="1:12">
      <c r="A149" t="s">
        <v>9</v>
      </c>
      <c r="B149"/>
      <c r="C149"/>
      <c r="D149" t="s">
        <v>9</v>
      </c>
      <c r="E149"/>
      <c r="F149" t="s">
        <v>52</v>
      </c>
      <c r="G149" t="s">
        <v>29</v>
      </c>
      <c r="H149" t="s">
        <v>1467</v>
      </c>
      <c r="I149" t="s">
        <v>1468</v>
      </c>
      <c r="J149">
        <v>133</v>
      </c>
      <c r="L149" s="200" t="str">
        <f>IFERROR(VLOOKUP($H149,PARAMETERS!$M$3:$M$1600,1,0),"---")</f>
        <v>gs_mat_spr</v>
      </c>
    </row>
    <row r="150" spans="1:12">
      <c r="A150" t="s">
        <v>9</v>
      </c>
      <c r="B150"/>
      <c r="C150"/>
      <c r="D150" t="s">
        <v>9</v>
      </c>
      <c r="E150"/>
      <c r="F150" t="s">
        <v>52</v>
      </c>
      <c r="G150" t="s">
        <v>29</v>
      </c>
      <c r="H150" t="s">
        <v>1156</v>
      </c>
      <c r="I150" t="s">
        <v>1157</v>
      </c>
      <c r="J150">
        <v>40</v>
      </c>
      <c r="L150" s="200" t="str">
        <f>IFERROR(VLOOKUP($H150,PARAMETERS!$M$3:$M$1600,1,0),"---")</f>
        <v>gs_handle_mat</v>
      </c>
    </row>
    <row r="151" spans="1:12">
      <c r="A151" t="s">
        <v>9</v>
      </c>
      <c r="B151"/>
      <c r="C151"/>
      <c r="D151" t="s">
        <v>9</v>
      </c>
      <c r="E151"/>
      <c r="F151" t="s">
        <v>52</v>
      </c>
      <c r="G151" t="s">
        <v>29</v>
      </c>
      <c r="H151" t="s">
        <v>1238</v>
      </c>
      <c r="I151" t="s">
        <v>1239</v>
      </c>
      <c r="J151">
        <v>40</v>
      </c>
      <c r="L151" s="200" t="str">
        <f>IFERROR(VLOOKUP($H151,PARAMETERS!$M$3:$M$1600,1,0),"---")</f>
        <v>gs_handle_ac_mat</v>
      </c>
    </row>
    <row r="152" spans="1:12">
      <c r="A152" t="s">
        <v>9</v>
      </c>
      <c r="B152"/>
      <c r="C152"/>
      <c r="D152" t="s">
        <v>9</v>
      </c>
      <c r="E152"/>
      <c r="F152" t="s">
        <v>52</v>
      </c>
      <c r="G152" t="s">
        <v>29</v>
      </c>
      <c r="H152" t="s">
        <v>657</v>
      </c>
      <c r="I152" t="s">
        <v>658</v>
      </c>
      <c r="J152">
        <v>15</v>
      </c>
      <c r="L152" s="200" t="str">
        <f>IFERROR(VLOOKUP($H152,PARAMETERS!$M$3:$M$1600,1,0),"---")</f>
        <v>matThreshold</v>
      </c>
    </row>
    <row r="153" spans="1:12">
      <c r="A153" t="s">
        <v>9</v>
      </c>
      <c r="B153"/>
      <c r="C153"/>
      <c r="D153" t="s">
        <v>9</v>
      </c>
      <c r="E153"/>
      <c r="F153" t="s">
        <v>52</v>
      </c>
      <c r="G153" t="s">
        <v>29</v>
      </c>
      <c r="H153" t="s">
        <v>659</v>
      </c>
      <c r="I153" t="s">
        <v>660</v>
      </c>
      <c r="J153">
        <v>45</v>
      </c>
      <c r="L153" s="200" t="str">
        <f>IFERROR(VLOOKUP($H153,PARAMETERS!$M$3:$M$1600,1,0),"---")</f>
        <v>matThresholdMet</v>
      </c>
    </row>
    <row r="154" spans="1:12">
      <c r="A154" t="s">
        <v>9</v>
      </c>
      <c r="B154"/>
      <c r="C154"/>
      <c r="D154" t="s">
        <v>9</v>
      </c>
      <c r="E154"/>
      <c r="F154" t="s">
        <v>52</v>
      </c>
      <c r="G154" t="s">
        <v>29</v>
      </c>
      <c r="H154" t="s">
        <v>661</v>
      </c>
      <c r="I154" t="s">
        <v>662</v>
      </c>
      <c r="J154">
        <v>15</v>
      </c>
      <c r="L154" s="200" t="str">
        <f>IFERROR(VLOOKUP($H154,PARAMETERS!$M$3:$M$1600,1,0),"---")</f>
        <v>matBlindThreshold</v>
      </c>
    </row>
    <row r="155" spans="1:12">
      <c r="A155"/>
      <c r="B155"/>
      <c r="C155"/>
      <c r="D155" t="s">
        <v>9</v>
      </c>
      <c r="E155"/>
      <c r="F155" t="s">
        <v>49</v>
      </c>
      <c r="G155" t="s">
        <v>29</v>
      </c>
      <c r="H155" t="s">
        <v>1469</v>
      </c>
      <c r="I155" t="s">
        <v>1470</v>
      </c>
      <c r="J155">
        <v>1</v>
      </c>
      <c r="L155" s="200" t="str">
        <f>IFERROR(VLOOKUP($H155,PARAMETERS!$M$3:$M$1600,1,0),"---")</f>
        <v>bLinkCasingSurfaces</v>
      </c>
    </row>
    <row r="156" spans="1:12">
      <c r="A156"/>
      <c r="B156" t="s">
        <v>9</v>
      </c>
      <c r="C156"/>
      <c r="D156" t="s">
        <v>9</v>
      </c>
      <c r="E156"/>
      <c r="F156" t="s">
        <v>46</v>
      </c>
      <c r="G156" t="s">
        <v>29</v>
      </c>
      <c r="H156" t="s">
        <v>1471</v>
      </c>
      <c r="J156" t="s">
        <v>35</v>
      </c>
      <c r="L156" s="200" t="str">
        <f>IFERROR(VLOOKUP($H156,PARAMETERS!$M$3:$M$1600,1,0),"---")</f>
        <v>stored_material</v>
      </c>
    </row>
    <row r="157" spans="1:12">
      <c r="A157" t="s">
        <v>9</v>
      </c>
      <c r="B157"/>
      <c r="C157"/>
      <c r="D157" t="s">
        <v>9</v>
      </c>
      <c r="E157"/>
      <c r="F157" t="s">
        <v>52</v>
      </c>
      <c r="G157" t="s">
        <v>29</v>
      </c>
      <c r="H157" t="s">
        <v>1472</v>
      </c>
      <c r="I157" t="s">
        <v>1473</v>
      </c>
      <c r="J157">
        <v>133</v>
      </c>
      <c r="L157" s="200" t="str">
        <f>IFERROR(VLOOKUP($H157,PARAMETERS!$M$3:$M$1600,1,0),"---")</f>
        <v>gs_trim_in_mat</v>
      </c>
    </row>
    <row r="158" spans="1:12">
      <c r="A158" t="s">
        <v>9</v>
      </c>
      <c r="B158"/>
      <c r="C158"/>
      <c r="D158" t="s">
        <v>9</v>
      </c>
      <c r="E158"/>
      <c r="F158" t="s">
        <v>52</v>
      </c>
      <c r="G158" t="s">
        <v>29</v>
      </c>
      <c r="H158" t="s">
        <v>1474</v>
      </c>
      <c r="I158" t="s">
        <v>1475</v>
      </c>
      <c r="J158">
        <v>133</v>
      </c>
      <c r="L158" s="200" t="str">
        <f>IFERROR(VLOOKUP($H158,PARAMETERS!$M$3:$M$1600,1,0),"---")</f>
        <v>gs_trim_out_mat</v>
      </c>
    </row>
    <row r="159" spans="1:12">
      <c r="A159" t="s">
        <v>9</v>
      </c>
      <c r="B159"/>
      <c r="C159" t="s">
        <v>9</v>
      </c>
      <c r="D159"/>
      <c r="E159"/>
      <c r="F159" t="s">
        <v>49</v>
      </c>
      <c r="G159" t="s">
        <v>29</v>
      </c>
      <c r="H159" t="s">
        <v>485</v>
      </c>
      <c r="I159" t="s">
        <v>486</v>
      </c>
      <c r="J159">
        <v>0</v>
      </c>
      <c r="L159" s="200" t="str">
        <f>IFERROR(VLOOKUP($H159,PARAMETERS!$M$3:$M$1600,1,0),"---")</f>
        <v>bThreshold</v>
      </c>
    </row>
    <row r="160" spans="1:12">
      <c r="A160" t="s">
        <v>9</v>
      </c>
      <c r="B160"/>
      <c r="C160"/>
      <c r="D160" t="s">
        <v>9</v>
      </c>
      <c r="E160"/>
      <c r="F160" t="s">
        <v>20</v>
      </c>
      <c r="G160" t="s">
        <v>29</v>
      </c>
      <c r="H160" t="s">
        <v>612</v>
      </c>
      <c r="I160" t="s">
        <v>613</v>
      </c>
      <c r="J160" t="s">
        <v>3050</v>
      </c>
      <c r="L160" s="200" t="str">
        <f>IFERROR(VLOOKUP($H160,PARAMETERS!$M$3:$M$1600,1,0),"---")</f>
        <v>thresholdType</v>
      </c>
    </row>
    <row r="161" spans="1:12">
      <c r="A161" t="s">
        <v>9</v>
      </c>
      <c r="B161" t="s">
        <v>9</v>
      </c>
      <c r="C161"/>
      <c r="D161" t="s">
        <v>9</v>
      </c>
      <c r="E161"/>
      <c r="F161" t="s">
        <v>46</v>
      </c>
      <c r="G161" t="s">
        <v>29</v>
      </c>
      <c r="H161" t="s">
        <v>615</v>
      </c>
      <c r="I161" t="s">
        <v>486</v>
      </c>
      <c r="J161">
        <v>1</v>
      </c>
      <c r="L161" s="200" t="str">
        <f>IFERROR(VLOOKUP($H161,PARAMETERS!$M$3:$M$1600,1,0),"---")</f>
        <v>iThresholdType</v>
      </c>
    </row>
    <row r="162" spans="1:12">
      <c r="A162" t="s">
        <v>9</v>
      </c>
      <c r="B162" t="s">
        <v>9</v>
      </c>
      <c r="C162"/>
      <c r="D162" t="s">
        <v>9</v>
      </c>
      <c r="E162"/>
      <c r="F162" t="s">
        <v>46</v>
      </c>
      <c r="G162" t="s">
        <v>29</v>
      </c>
      <c r="H162" t="s">
        <v>616</v>
      </c>
      <c r="I162" t="s">
        <v>617</v>
      </c>
      <c r="J162">
        <v>1</v>
      </c>
      <c r="L162" s="200" t="str">
        <f>IFERROR(VLOOKUP($H162,PARAMETERS!$M$3:$M$1600,1,0),"---")</f>
        <v>iNormalThresholdType</v>
      </c>
    </row>
    <row r="163" spans="1:12">
      <c r="A163" t="s">
        <v>9</v>
      </c>
      <c r="B163"/>
      <c r="C163"/>
      <c r="D163" t="s">
        <v>9</v>
      </c>
      <c r="E163"/>
      <c r="F163" t="s">
        <v>49</v>
      </c>
      <c r="G163" t="s">
        <v>29</v>
      </c>
      <c r="H163" t="s">
        <v>618</v>
      </c>
      <c r="I163" t="s">
        <v>619</v>
      </c>
      <c r="J163">
        <v>0</v>
      </c>
      <c r="L163" s="200" t="str">
        <f>IFERROR(VLOOKUP($H163,PARAMETERS!$M$3:$M$1600,1,0),"---")</f>
        <v>bBlindThreshold</v>
      </c>
    </row>
    <row r="164" spans="1:12">
      <c r="A164" t="s">
        <v>9</v>
      </c>
      <c r="B164"/>
      <c r="C164"/>
      <c r="D164" t="s">
        <v>9</v>
      </c>
      <c r="E164"/>
      <c r="F164" t="s">
        <v>26</v>
      </c>
      <c r="G164" t="s">
        <v>29</v>
      </c>
      <c r="H164" t="s">
        <v>620</v>
      </c>
      <c r="I164" t="s">
        <v>621</v>
      </c>
      <c r="J164">
        <v>0.02</v>
      </c>
      <c r="L164" s="200" t="str">
        <f>IFERROR(VLOOKUP($H164,PARAMETERS!$M$3:$M$1600,1,0),"---")</f>
        <v>thresholdHeight3D</v>
      </c>
    </row>
    <row r="165" spans="1:12">
      <c r="A165" t="s">
        <v>9</v>
      </c>
      <c r="B165"/>
      <c r="C165"/>
      <c r="D165" t="s">
        <v>9</v>
      </c>
      <c r="E165"/>
      <c r="F165" t="s">
        <v>26</v>
      </c>
      <c r="G165" t="s">
        <v>29</v>
      </c>
      <c r="H165" t="s">
        <v>623</v>
      </c>
      <c r="I165" t="s">
        <v>621</v>
      </c>
      <c r="J165">
        <v>0.02</v>
      </c>
      <c r="L165" s="200" t="str">
        <f>IFERROR(VLOOKUP($H165,PARAMETERS!$M$3:$M$1600,1,0),"---")</f>
        <v>thresholdHeight1</v>
      </c>
    </row>
    <row r="166" spans="1:12">
      <c r="A166" t="s">
        <v>9</v>
      </c>
      <c r="B166"/>
      <c r="C166"/>
      <c r="D166" t="s">
        <v>9</v>
      </c>
      <c r="E166"/>
      <c r="F166" t="s">
        <v>26</v>
      </c>
      <c r="G166" t="s">
        <v>29</v>
      </c>
      <c r="H166" t="s">
        <v>624</v>
      </c>
      <c r="I166" t="s">
        <v>625</v>
      </c>
      <c r="J166">
        <v>0.02</v>
      </c>
      <c r="L166" s="200" t="str">
        <f>IFERROR(VLOOKUP($H166,PARAMETERS!$M$3:$M$1600,1,0),"---")</f>
        <v>thresholdHeight2</v>
      </c>
    </row>
    <row r="167" spans="1:12">
      <c r="A167" t="s">
        <v>9</v>
      </c>
      <c r="B167"/>
      <c r="C167"/>
      <c r="D167" t="s">
        <v>9</v>
      </c>
      <c r="E167"/>
      <c r="F167" t="s">
        <v>26</v>
      </c>
      <c r="G167" t="s">
        <v>29</v>
      </c>
      <c r="H167" t="s">
        <v>626</v>
      </c>
      <c r="I167" t="s">
        <v>627</v>
      </c>
      <c r="J167">
        <v>0.02</v>
      </c>
      <c r="L167" s="200" t="str">
        <f>IFERROR(VLOOKUP($H167,PARAMETERS!$M$3:$M$1600,1,0),"---")</f>
        <v>thresholdHeight3</v>
      </c>
    </row>
    <row r="168" spans="1:12">
      <c r="A168" t="s">
        <v>9</v>
      </c>
      <c r="B168"/>
      <c r="C168"/>
      <c r="D168" t="s">
        <v>9</v>
      </c>
      <c r="E168"/>
      <c r="F168" t="s">
        <v>49</v>
      </c>
      <c r="G168" t="s">
        <v>29</v>
      </c>
      <c r="H168" t="s">
        <v>628</v>
      </c>
      <c r="I168" t="s">
        <v>629</v>
      </c>
      <c r="J168">
        <v>0</v>
      </c>
      <c r="L168" s="200" t="str">
        <f>IFERROR(VLOOKUP($H168,PARAMETERS!$M$3:$M$1600,1,0),"---")</f>
        <v>bShowThreshold2D</v>
      </c>
    </row>
    <row r="169" spans="1:12">
      <c r="A169" t="s">
        <v>9</v>
      </c>
      <c r="B169"/>
      <c r="C169"/>
      <c r="D169" t="s">
        <v>9</v>
      </c>
      <c r="E169"/>
      <c r="F169" t="s">
        <v>55</v>
      </c>
      <c r="G169" t="s">
        <v>29</v>
      </c>
      <c r="H169" t="s">
        <v>630</v>
      </c>
      <c r="I169" t="s">
        <v>631</v>
      </c>
      <c r="J169">
        <v>1</v>
      </c>
      <c r="L169" s="200" t="str">
        <f>IFERROR(VLOOKUP($H169,PARAMETERS!$M$3:$M$1600,1,0),"---")</f>
        <v>penThreshold</v>
      </c>
    </row>
    <row r="170" spans="1:12">
      <c r="A170" t="s">
        <v>9</v>
      </c>
      <c r="B170"/>
      <c r="C170"/>
      <c r="D170" t="s">
        <v>9</v>
      </c>
      <c r="E170"/>
      <c r="F170" t="s">
        <v>53</v>
      </c>
      <c r="G170" t="s">
        <v>29</v>
      </c>
      <c r="H170" t="s">
        <v>632</v>
      </c>
      <c r="I170" t="s">
        <v>633</v>
      </c>
      <c r="J170">
        <v>1</v>
      </c>
      <c r="L170" s="200" t="str">
        <f>IFERROR(VLOOKUP($H170,PARAMETERS!$M$3:$M$1600,1,0),"---")</f>
        <v>ltThreshold</v>
      </c>
    </row>
    <row r="171" spans="1:12">
      <c r="A171" t="s">
        <v>9</v>
      </c>
      <c r="B171"/>
      <c r="C171" t="s">
        <v>9</v>
      </c>
      <c r="D171"/>
      <c r="E171"/>
      <c r="F171" t="s">
        <v>20</v>
      </c>
      <c r="G171" t="s">
        <v>29</v>
      </c>
      <c r="H171" t="s">
        <v>634</v>
      </c>
      <c r="I171" t="s">
        <v>635</v>
      </c>
      <c r="J171" t="s">
        <v>636</v>
      </c>
      <c r="L171" s="200" t="str">
        <f>IFERROR(VLOOKUP($H171,PARAMETERS!$M$3:$M$1600,1,0),"---")</f>
        <v>holeUnderThreshold</v>
      </c>
    </row>
    <row r="172" spans="1:12">
      <c r="A172" t="s">
        <v>9</v>
      </c>
      <c r="B172" t="s">
        <v>9</v>
      </c>
      <c r="C172"/>
      <c r="D172" t="s">
        <v>9</v>
      </c>
      <c r="E172"/>
      <c r="F172" t="s">
        <v>46</v>
      </c>
      <c r="G172" t="s">
        <v>29</v>
      </c>
      <c r="H172" t="s">
        <v>637</v>
      </c>
      <c r="I172" t="s">
        <v>635</v>
      </c>
      <c r="J172">
        <v>1</v>
      </c>
      <c r="L172" s="200" t="str">
        <f>IFERROR(VLOOKUP($H172,PARAMETERS!$M$3:$M$1600,1,0),"---")</f>
        <v>iHoleUnderThreshold</v>
      </c>
    </row>
    <row r="173" spans="1:12">
      <c r="A173" t="s">
        <v>9</v>
      </c>
      <c r="B173"/>
      <c r="C173"/>
      <c r="D173" t="s">
        <v>9</v>
      </c>
      <c r="E173"/>
      <c r="F173" t="s">
        <v>26</v>
      </c>
      <c r="G173" t="s">
        <v>29</v>
      </c>
      <c r="H173" t="s">
        <v>638</v>
      </c>
      <c r="I173" t="s">
        <v>639</v>
      </c>
      <c r="J173">
        <v>0.05</v>
      </c>
      <c r="L173" s="200" t="str">
        <f>IFERROR(VLOOKUP($H173,PARAMETERS!$M$3:$M$1600,1,0),"---")</f>
        <v>thresholdBottomOversize</v>
      </c>
    </row>
    <row r="174" spans="1:12">
      <c r="A174" t="s">
        <v>9</v>
      </c>
      <c r="B174"/>
      <c r="C174" t="s">
        <v>9</v>
      </c>
      <c r="D174"/>
      <c r="E174"/>
      <c r="F174" t="s">
        <v>20</v>
      </c>
      <c r="G174" t="s">
        <v>29</v>
      </c>
      <c r="H174" t="s">
        <v>640</v>
      </c>
      <c r="I174" t="s">
        <v>641</v>
      </c>
      <c r="J174" t="s">
        <v>642</v>
      </c>
      <c r="L174" s="200" t="str">
        <f>IFERROR(VLOOKUP($H174,PARAMETERS!$M$3:$M$1600,1,0),"---")</f>
        <v>showSIASymbol</v>
      </c>
    </row>
    <row r="175" spans="1:12">
      <c r="A175" t="s">
        <v>9</v>
      </c>
      <c r="B175" t="s">
        <v>9</v>
      </c>
      <c r="C175"/>
      <c r="D175" t="s">
        <v>9</v>
      </c>
      <c r="E175"/>
      <c r="F175" t="s">
        <v>46</v>
      </c>
      <c r="G175" t="s">
        <v>29</v>
      </c>
      <c r="H175" t="s">
        <v>643</v>
      </c>
      <c r="I175" t="s">
        <v>641</v>
      </c>
      <c r="J175">
        <v>0</v>
      </c>
      <c r="L175" s="200" t="str">
        <f>IFERROR(VLOOKUP($H175,PARAMETERS!$M$3:$M$1600,1,0),"---")</f>
        <v>iShowSIASymbol</v>
      </c>
    </row>
    <row r="176" spans="1:12">
      <c r="A176" t="s">
        <v>9</v>
      </c>
      <c r="B176"/>
      <c r="C176"/>
      <c r="D176" t="s">
        <v>9</v>
      </c>
      <c r="E176"/>
      <c r="F176" t="s">
        <v>49</v>
      </c>
      <c r="G176" t="s">
        <v>29</v>
      </c>
      <c r="H176" t="s">
        <v>644</v>
      </c>
      <c r="I176" t="s">
        <v>645</v>
      </c>
      <c r="J176">
        <v>0</v>
      </c>
      <c r="L176" s="200" t="str">
        <f>IFERROR(VLOOKUP($H176,PARAMETERS!$M$3:$M$1600,1,0),"---")</f>
        <v>bEditableSIASymbol</v>
      </c>
    </row>
    <row r="177" spans="1:12">
      <c r="A177" t="s">
        <v>9</v>
      </c>
      <c r="B177"/>
      <c r="C177"/>
      <c r="D177" t="s">
        <v>9</v>
      </c>
      <c r="E177"/>
      <c r="F177" t="s">
        <v>26</v>
      </c>
      <c r="G177" t="s">
        <v>29</v>
      </c>
      <c r="H177" t="s">
        <v>646</v>
      </c>
      <c r="I177" t="s">
        <v>647</v>
      </c>
      <c r="J177">
        <v>0</v>
      </c>
      <c r="L177" s="200" t="str">
        <f>IFERROR(VLOOKUP($H177,PARAMETERS!$M$3:$M$1600,1,0),"---")</f>
        <v>thresholdPos1</v>
      </c>
    </row>
    <row r="178" spans="1:12">
      <c r="A178" t="s">
        <v>9</v>
      </c>
      <c r="B178"/>
      <c r="C178"/>
      <c r="D178" t="s">
        <v>9</v>
      </c>
      <c r="E178"/>
      <c r="F178" t="s">
        <v>26</v>
      </c>
      <c r="G178" t="s">
        <v>29</v>
      </c>
      <c r="H178" t="s">
        <v>648</v>
      </c>
      <c r="I178" t="s">
        <v>647</v>
      </c>
      <c r="J178">
        <v>0</v>
      </c>
      <c r="L178" s="200" t="str">
        <f>IFERROR(VLOOKUP($H178,PARAMETERS!$M$3:$M$1600,1,0),"---")</f>
        <v>thresholdPos2</v>
      </c>
    </row>
    <row r="179" spans="1:12">
      <c r="A179" t="s">
        <v>9</v>
      </c>
      <c r="B179"/>
      <c r="C179"/>
      <c r="D179" t="s">
        <v>9</v>
      </c>
      <c r="E179"/>
      <c r="F179" t="s">
        <v>26</v>
      </c>
      <c r="G179" t="s">
        <v>29</v>
      </c>
      <c r="H179" t="s">
        <v>649</v>
      </c>
      <c r="I179" t="s">
        <v>647</v>
      </c>
      <c r="J179">
        <v>0</v>
      </c>
      <c r="L179" s="200" t="str">
        <f>IFERROR(VLOOKUP($H179,PARAMETERS!$M$3:$M$1600,1,0),"---")</f>
        <v>thresholdPos3</v>
      </c>
    </row>
    <row r="180" spans="1:12">
      <c r="A180" t="s">
        <v>9</v>
      </c>
      <c r="B180"/>
      <c r="C180"/>
      <c r="D180" t="s">
        <v>9</v>
      </c>
      <c r="E180"/>
      <c r="F180" t="s">
        <v>20</v>
      </c>
      <c r="G180" t="s">
        <v>29</v>
      </c>
      <c r="H180" t="s">
        <v>650</v>
      </c>
      <c r="I180" t="s">
        <v>613</v>
      </c>
      <c r="J180" t="s">
        <v>651</v>
      </c>
      <c r="L180" s="200" t="str">
        <f>IFERROR(VLOOKUP($H180,PARAMETERS!$M$3:$M$1600,1,0),"---")</f>
        <v>SIASymbolType</v>
      </c>
    </row>
    <row r="181" spans="1:12">
      <c r="A181" t="s">
        <v>9</v>
      </c>
      <c r="B181" t="s">
        <v>9</v>
      </c>
      <c r="C181"/>
      <c r="D181" t="s">
        <v>9</v>
      </c>
      <c r="E181"/>
      <c r="F181" t="s">
        <v>46</v>
      </c>
      <c r="G181" t="s">
        <v>29</v>
      </c>
      <c r="H181" t="s">
        <v>652</v>
      </c>
      <c r="I181" t="s">
        <v>613</v>
      </c>
      <c r="J181">
        <v>1</v>
      </c>
      <c r="L181" s="200" t="str">
        <f>IFERROR(VLOOKUP($H181,PARAMETERS!$M$3:$M$1600,1,0),"---")</f>
        <v>iSIASymbolType</v>
      </c>
    </row>
    <row r="182" spans="1:12">
      <c r="A182" t="s">
        <v>9</v>
      </c>
      <c r="B182"/>
      <c r="C182"/>
      <c r="D182" t="s">
        <v>9</v>
      </c>
      <c r="E182"/>
      <c r="F182" t="s">
        <v>20</v>
      </c>
      <c r="G182" t="s">
        <v>29</v>
      </c>
      <c r="H182" t="s">
        <v>653</v>
      </c>
      <c r="I182" t="s">
        <v>654</v>
      </c>
      <c r="J182" t="s">
        <v>655</v>
      </c>
      <c r="L182" s="200" t="str">
        <f>IFERROR(VLOOKUP($H182,PARAMETERS!$M$3:$M$1600,1,0),"---")</f>
        <v>SIASymbolSide</v>
      </c>
    </row>
    <row r="183" spans="1:12">
      <c r="A183" t="s">
        <v>9</v>
      </c>
      <c r="B183" t="s">
        <v>9</v>
      </c>
      <c r="C183"/>
      <c r="D183" t="s">
        <v>9</v>
      </c>
      <c r="E183"/>
      <c r="F183" t="s">
        <v>46</v>
      </c>
      <c r="G183" t="s">
        <v>29</v>
      </c>
      <c r="H183" t="s">
        <v>656</v>
      </c>
      <c r="I183" t="s">
        <v>654</v>
      </c>
      <c r="J183">
        <v>1</v>
      </c>
      <c r="L183" s="200" t="str">
        <f>IFERROR(VLOOKUP($H183,PARAMETERS!$M$3:$M$1600,1,0),"---")</f>
        <v>iSIASymbolSide</v>
      </c>
    </row>
    <row r="184" spans="1:12">
      <c r="A184" t="s">
        <v>9</v>
      </c>
      <c r="B184"/>
      <c r="C184"/>
      <c r="D184" t="s">
        <v>9</v>
      </c>
      <c r="E184"/>
      <c r="F184" t="s">
        <v>55</v>
      </c>
      <c r="G184" t="s">
        <v>29</v>
      </c>
      <c r="H184" t="s">
        <v>2531</v>
      </c>
      <c r="I184" t="s">
        <v>2532</v>
      </c>
      <c r="J184">
        <v>1</v>
      </c>
      <c r="L184" s="200" t="str">
        <f>IFERROR(VLOOKUP($H184,PARAMETERS!$M$3:$M$1600,1,0),"---")</f>
        <v>penSIASymbolText</v>
      </c>
    </row>
    <row r="185" spans="1:12">
      <c r="A185" t="s">
        <v>9</v>
      </c>
      <c r="B185"/>
      <c r="C185"/>
      <c r="D185" t="s">
        <v>9</v>
      </c>
      <c r="E185"/>
      <c r="F185" t="s">
        <v>55</v>
      </c>
      <c r="G185" t="s">
        <v>29</v>
      </c>
      <c r="H185" t="s">
        <v>2533</v>
      </c>
      <c r="I185" t="s">
        <v>2534</v>
      </c>
      <c r="J185">
        <v>1</v>
      </c>
      <c r="L185" s="200" t="str">
        <f>IFERROR(VLOOKUP($H185,PARAMETERS!$M$3:$M$1600,1,0),"---")</f>
        <v>penSIASymbolLine</v>
      </c>
    </row>
    <row r="186" spans="1:12">
      <c r="A186" t="s">
        <v>9</v>
      </c>
      <c r="B186"/>
      <c r="C186"/>
      <c r="D186" t="s">
        <v>9</v>
      </c>
      <c r="E186"/>
      <c r="F186" t="s">
        <v>20</v>
      </c>
      <c r="G186" t="s">
        <v>29</v>
      </c>
      <c r="H186" t="s">
        <v>2535</v>
      </c>
      <c r="I186" t="s">
        <v>2536</v>
      </c>
      <c r="J186" t="s">
        <v>2537</v>
      </c>
      <c r="L186" s="200" t="str">
        <f>IFERROR(VLOOKUP($H186,PARAMETERS!$M$3:$M$1600,1,0),"---")</f>
        <v>SIASymbolFontStyle</v>
      </c>
    </row>
    <row r="187" spans="1:12">
      <c r="A187" t="s">
        <v>9</v>
      </c>
      <c r="B187"/>
      <c r="C187"/>
      <c r="D187" t="s">
        <v>9</v>
      </c>
      <c r="E187"/>
      <c r="F187" t="s">
        <v>38</v>
      </c>
      <c r="G187" t="s">
        <v>29</v>
      </c>
      <c r="H187" t="s">
        <v>2538</v>
      </c>
      <c r="I187" t="s">
        <v>2539</v>
      </c>
      <c r="J187">
        <v>1</v>
      </c>
      <c r="L187" s="200" t="str">
        <f>IFERROR(VLOOKUP($H187,PARAMETERS!$M$3:$M$1600,1,0),"---")</f>
        <v>SIASymbolFontSize</v>
      </c>
    </row>
    <row r="188" spans="1:12">
      <c r="A188" t="s">
        <v>9</v>
      </c>
      <c r="B188"/>
      <c r="C188" t="s">
        <v>9</v>
      </c>
      <c r="D188"/>
      <c r="E188"/>
      <c r="F188" t="s">
        <v>49</v>
      </c>
      <c r="G188" t="s">
        <v>29</v>
      </c>
      <c r="H188" t="s">
        <v>2540</v>
      </c>
      <c r="I188" t="s">
        <v>2541</v>
      </c>
      <c r="J188">
        <v>0</v>
      </c>
      <c r="L188" s="200" t="str">
        <f>IFERROR(VLOOKUP($H188,PARAMETERS!$M$3:$M$1600,1,0),"---")</f>
        <v>gs_trim_outside</v>
      </c>
    </row>
    <row r="189" spans="1:12">
      <c r="A189" t="s">
        <v>9</v>
      </c>
      <c r="B189" t="s">
        <v>9</v>
      </c>
      <c r="C189"/>
      <c r="D189" t="s">
        <v>9</v>
      </c>
      <c r="E189"/>
      <c r="F189" t="s">
        <v>20</v>
      </c>
      <c r="G189" t="s">
        <v>29</v>
      </c>
      <c r="H189" t="s">
        <v>2542</v>
      </c>
      <c r="I189" t="s">
        <v>2543</v>
      </c>
      <c r="J189" t="s">
        <v>2311</v>
      </c>
      <c r="L189" s="200" t="str">
        <f>IFERROR(VLOOKUP($H189,PARAMETERS!$M$3:$M$1600,1,0),"---")</f>
        <v>gs_trimtype_out</v>
      </c>
    </row>
    <row r="190" spans="1:12">
      <c r="A190" t="s">
        <v>9</v>
      </c>
      <c r="B190" t="s">
        <v>9</v>
      </c>
      <c r="C190"/>
      <c r="D190" t="s">
        <v>9</v>
      </c>
      <c r="E190"/>
      <c r="F190" t="s">
        <v>46</v>
      </c>
      <c r="G190" t="s">
        <v>29</v>
      </c>
      <c r="H190" t="s">
        <v>2544</v>
      </c>
      <c r="I190" t="s">
        <v>2543</v>
      </c>
      <c r="J190">
        <v>1</v>
      </c>
      <c r="L190" s="200" t="str">
        <f>IFERROR(VLOOKUP($H190,PARAMETERS!$M$3:$M$1600,1,0),"---")</f>
        <v>gs_trimtype_out_int</v>
      </c>
    </row>
    <row r="191" spans="1:12">
      <c r="A191" t="s">
        <v>9</v>
      </c>
      <c r="B191"/>
      <c r="C191"/>
      <c r="D191" t="s">
        <v>9</v>
      </c>
      <c r="E191"/>
      <c r="F191" t="s">
        <v>46</v>
      </c>
      <c r="G191" t="s">
        <v>29</v>
      </c>
      <c r="H191" t="s">
        <v>2545</v>
      </c>
      <c r="I191" t="s">
        <v>2546</v>
      </c>
      <c r="J191">
        <v>1</v>
      </c>
      <c r="L191" s="200" t="str">
        <f>IFERROR(VLOOKUP($H191,PARAMETERS!$M$3:$M$1600,1,0),"---")</f>
        <v>iCasingHeadTypeOut</v>
      </c>
    </row>
    <row r="192" spans="1:12">
      <c r="A192" t="s">
        <v>9</v>
      </c>
      <c r="B192"/>
      <c r="C192"/>
      <c r="D192" t="s">
        <v>9</v>
      </c>
      <c r="E192"/>
      <c r="F192" t="s">
        <v>49</v>
      </c>
      <c r="G192" t="s">
        <v>29</v>
      </c>
      <c r="H192" t="s">
        <v>2547</v>
      </c>
      <c r="I192" t="s">
        <v>2548</v>
      </c>
      <c r="J192">
        <v>1</v>
      </c>
      <c r="L192" s="200" t="str">
        <f>IFERROR(VLOOKUP($H192,PARAMETERS!$M$3:$M$1600,1,0),"---")</f>
        <v>bArchitraveCapital</v>
      </c>
    </row>
    <row r="193" spans="1:12">
      <c r="A193" t="s">
        <v>9</v>
      </c>
      <c r="B193"/>
      <c r="C193"/>
      <c r="D193" t="s">
        <v>9</v>
      </c>
      <c r="E193"/>
      <c r="F193" t="s">
        <v>46</v>
      </c>
      <c r="G193" t="s">
        <v>29</v>
      </c>
      <c r="H193" t="s">
        <v>2549</v>
      </c>
      <c r="I193" t="s">
        <v>2550</v>
      </c>
      <c r="J193">
        <v>1</v>
      </c>
      <c r="L193" s="200" t="str">
        <f>IFERROR(VLOOKUP($H193,PARAMETERS!$M$3:$M$1600,1,0),"---")</f>
        <v>iArchitraveCapitalType</v>
      </c>
    </row>
    <row r="194" spans="1:12">
      <c r="A194" t="s">
        <v>9</v>
      </c>
      <c r="B194"/>
      <c r="C194"/>
      <c r="D194" t="s">
        <v>9</v>
      </c>
      <c r="E194"/>
      <c r="F194" t="s">
        <v>26</v>
      </c>
      <c r="G194" t="s">
        <v>29</v>
      </c>
      <c r="H194" t="s">
        <v>2551</v>
      </c>
      <c r="I194" t="s">
        <v>2552</v>
      </c>
      <c r="J194">
        <v>0.02</v>
      </c>
      <c r="L194" s="200" t="str">
        <f>IFERROR(VLOOKUP($H194,PARAMETERS!$M$3:$M$1600,1,0),"---")</f>
        <v>architraveCapitalWidth</v>
      </c>
    </row>
    <row r="195" spans="1:12">
      <c r="A195" t="s">
        <v>9</v>
      </c>
      <c r="B195"/>
      <c r="C195"/>
      <c r="D195" t="s">
        <v>9</v>
      </c>
      <c r="E195"/>
      <c r="F195" t="s">
        <v>49</v>
      </c>
      <c r="G195" t="s">
        <v>29</v>
      </c>
      <c r="H195" t="s">
        <v>2553</v>
      </c>
      <c r="I195" t="s">
        <v>2554</v>
      </c>
      <c r="J195">
        <v>1</v>
      </c>
      <c r="L195" s="200" t="str">
        <f>IFERROR(VLOOKUP($H195,PARAMETERS!$M$3:$M$1600,1,0),"---")</f>
        <v>gs_trim_show_cover_out</v>
      </c>
    </row>
    <row r="196" spans="1:12">
      <c r="A196" t="s">
        <v>9</v>
      </c>
      <c r="B196"/>
      <c r="C196"/>
      <c r="D196" t="s">
        <v>9</v>
      </c>
      <c r="E196"/>
      <c r="F196" t="s">
        <v>49</v>
      </c>
      <c r="G196" t="s">
        <v>29</v>
      </c>
      <c r="H196" t="s">
        <v>2555</v>
      </c>
      <c r="I196" t="s">
        <v>2556</v>
      </c>
      <c r="J196">
        <v>1</v>
      </c>
      <c r="L196" s="200" t="str">
        <f>IFERROR(VLOOKUP($H196,PARAMETERS!$M$3:$M$1600,1,0),"---")</f>
        <v>gs_trim_outside_uniform</v>
      </c>
    </row>
    <row r="197" spans="1:12">
      <c r="A197" t="s">
        <v>9</v>
      </c>
      <c r="B197"/>
      <c r="C197"/>
      <c r="D197" t="s">
        <v>9</v>
      </c>
      <c r="E197"/>
      <c r="F197" t="s">
        <v>26</v>
      </c>
      <c r="G197" t="s">
        <v>29</v>
      </c>
      <c r="H197" t="s">
        <v>2557</v>
      </c>
      <c r="I197" t="s">
        <v>2558</v>
      </c>
      <c r="J197">
        <v>0.05</v>
      </c>
      <c r="L197" s="200" t="str">
        <f>IFERROR(VLOOKUP($H197,PARAMETERS!$M$3:$M$1600,1,0),"---")</f>
        <v>gs_tw_right_out</v>
      </c>
    </row>
    <row r="198" spans="1:12">
      <c r="A198" t="s">
        <v>9</v>
      </c>
      <c r="B198"/>
      <c r="C198"/>
      <c r="D198" t="s">
        <v>9</v>
      </c>
      <c r="E198"/>
      <c r="F198" t="s">
        <v>26</v>
      </c>
      <c r="G198" t="s">
        <v>29</v>
      </c>
      <c r="H198" t="s">
        <v>2559</v>
      </c>
      <c r="I198" t="s">
        <v>2560</v>
      </c>
      <c r="J198">
        <v>0.05</v>
      </c>
      <c r="L198" s="200" t="str">
        <f>IFERROR(VLOOKUP($H198,PARAMETERS!$M$3:$M$1600,1,0),"---")</f>
        <v>gs_tw_left_out</v>
      </c>
    </row>
    <row r="199" spans="1:12">
      <c r="A199" t="s">
        <v>9</v>
      </c>
      <c r="B199"/>
      <c r="C199"/>
      <c r="D199" t="s">
        <v>9</v>
      </c>
      <c r="E199"/>
      <c r="F199" t="s">
        <v>26</v>
      </c>
      <c r="G199" t="s">
        <v>29</v>
      </c>
      <c r="H199" t="s">
        <v>2561</v>
      </c>
      <c r="I199" t="s">
        <v>2118</v>
      </c>
      <c r="J199">
        <v>0.05</v>
      </c>
      <c r="L199" s="200" t="str">
        <f>IFERROR(VLOOKUP($H199,PARAMETERS!$M$3:$M$1600,1,0),"---")</f>
        <v>gs_tw_top_out</v>
      </c>
    </row>
    <row r="200" spans="1:12">
      <c r="A200" t="s">
        <v>9</v>
      </c>
      <c r="B200"/>
      <c r="C200"/>
      <c r="D200" t="s">
        <v>9</v>
      </c>
      <c r="E200"/>
      <c r="F200" t="s">
        <v>26</v>
      </c>
      <c r="G200" t="s">
        <v>29</v>
      </c>
      <c r="H200" t="s">
        <v>2562</v>
      </c>
      <c r="I200" t="s">
        <v>2563</v>
      </c>
      <c r="J200">
        <v>1.9E-2</v>
      </c>
      <c r="L200" s="200" t="str">
        <f>IFERROR(VLOOKUP($H200,PARAMETERS!$M$3:$M$1600,1,0),"---")</f>
        <v>gs_trim_thk_out</v>
      </c>
    </row>
    <row r="201" spans="1:12">
      <c r="A201" t="s">
        <v>9</v>
      </c>
      <c r="B201"/>
      <c r="C201"/>
      <c r="D201" t="s">
        <v>9</v>
      </c>
      <c r="E201"/>
      <c r="F201" t="s">
        <v>26</v>
      </c>
      <c r="G201" t="s">
        <v>29</v>
      </c>
      <c r="H201" t="s">
        <v>2564</v>
      </c>
      <c r="I201" t="s">
        <v>2565</v>
      </c>
      <c r="J201">
        <v>2.5000000000000001E-2</v>
      </c>
      <c r="L201" s="200" t="str">
        <f>IFERROR(VLOOKUP($H201,PARAMETERS!$M$3:$M$1600,1,0),"---")</f>
        <v>gs_trim_width_out</v>
      </c>
    </row>
    <row r="202" spans="1:12">
      <c r="A202" t="s">
        <v>9</v>
      </c>
      <c r="B202"/>
      <c r="C202"/>
      <c r="D202" t="s">
        <v>9</v>
      </c>
      <c r="E202"/>
      <c r="F202" t="s">
        <v>26</v>
      </c>
      <c r="G202" t="s">
        <v>29</v>
      </c>
      <c r="H202" t="s">
        <v>2566</v>
      </c>
      <c r="I202" t="s">
        <v>2567</v>
      </c>
      <c r="J202">
        <v>0</v>
      </c>
      <c r="L202" s="200" t="str">
        <f>IFERROR(VLOOKUP($H202,PARAMETERS!$M$3:$M$1600,1,0),"---")</f>
        <v>gs_trim_offs_out</v>
      </c>
    </row>
    <row r="203" spans="1:12">
      <c r="A203" t="s">
        <v>9</v>
      </c>
      <c r="B203"/>
      <c r="C203"/>
      <c r="D203" t="s">
        <v>9</v>
      </c>
      <c r="E203"/>
      <c r="F203" t="s">
        <v>26</v>
      </c>
      <c r="G203" t="s">
        <v>29</v>
      </c>
      <c r="H203" t="s">
        <v>2568</v>
      </c>
      <c r="I203" t="s">
        <v>2569</v>
      </c>
      <c r="J203">
        <v>0.05</v>
      </c>
      <c r="L203" s="200" t="str">
        <f>IFERROR(VLOOKUP($H203,PARAMETERS!$M$3:$M$1600,1,0),"---")</f>
        <v>gs_trim_jambext_nosing_out</v>
      </c>
    </row>
    <row r="204" spans="1:12">
      <c r="A204" t="s">
        <v>9</v>
      </c>
      <c r="B204"/>
      <c r="C204"/>
      <c r="D204" t="s">
        <v>9</v>
      </c>
      <c r="E204"/>
      <c r="F204" t="s">
        <v>26</v>
      </c>
      <c r="G204" t="s">
        <v>29</v>
      </c>
      <c r="H204" t="s">
        <v>2570</v>
      </c>
      <c r="I204" t="s">
        <v>2571</v>
      </c>
      <c r="J204">
        <v>0.1</v>
      </c>
      <c r="L204" s="200" t="str">
        <f>IFERROR(VLOOKUP($H204,PARAMETERS!$M$3:$M$1600,1,0),"---")</f>
        <v>gs_trimov_top_right_out</v>
      </c>
    </row>
    <row r="205" spans="1:12">
      <c r="A205" t="s">
        <v>9</v>
      </c>
      <c r="B205"/>
      <c r="C205"/>
      <c r="D205" t="s">
        <v>9</v>
      </c>
      <c r="E205"/>
      <c r="F205" t="s">
        <v>55</v>
      </c>
      <c r="G205" t="s">
        <v>29</v>
      </c>
      <c r="H205" t="s">
        <v>2572</v>
      </c>
      <c r="I205" t="s">
        <v>2573</v>
      </c>
      <c r="J205">
        <v>1</v>
      </c>
      <c r="L205" s="200" t="str">
        <f>IFERROR(VLOOKUP($H205,PARAMETERS!$M$3:$M$1600,1,0),"---")</f>
        <v>gs_trim_pen_cont</v>
      </c>
    </row>
    <row r="206" spans="1:12">
      <c r="A206" t="s">
        <v>9</v>
      </c>
      <c r="B206"/>
      <c r="C206"/>
      <c r="D206" t="s">
        <v>9</v>
      </c>
      <c r="E206"/>
      <c r="F206" t="s">
        <v>54</v>
      </c>
      <c r="G206" t="s">
        <v>29</v>
      </c>
      <c r="H206" t="s">
        <v>2574</v>
      </c>
      <c r="I206" t="s">
        <v>2575</v>
      </c>
      <c r="J206">
        <v>65</v>
      </c>
      <c r="L206" s="200" t="str">
        <f>IFERROR(VLOOKUP($H206,PARAMETERS!$M$3:$M$1600,1,0),"---")</f>
        <v>gs_trim_fill_out</v>
      </c>
    </row>
    <row r="207" spans="1:12">
      <c r="A207" t="s">
        <v>9</v>
      </c>
      <c r="B207"/>
      <c r="C207"/>
      <c r="D207" t="s">
        <v>9</v>
      </c>
      <c r="E207"/>
      <c r="F207" t="s">
        <v>55</v>
      </c>
      <c r="G207" t="s">
        <v>29</v>
      </c>
      <c r="H207" t="s">
        <v>2576</v>
      </c>
      <c r="I207" t="s">
        <v>2577</v>
      </c>
      <c r="J207">
        <v>19</v>
      </c>
      <c r="L207" s="200" t="str">
        <f>IFERROR(VLOOKUP($H207,PARAMETERS!$M$3:$M$1600,1,0),"---")</f>
        <v>gs_trim_pen_fg_out</v>
      </c>
    </row>
    <row r="208" spans="1:12">
      <c r="A208" t="s">
        <v>9</v>
      </c>
      <c r="B208"/>
      <c r="C208"/>
      <c r="D208" t="s">
        <v>9</v>
      </c>
      <c r="E208"/>
      <c r="F208" t="s">
        <v>55</v>
      </c>
      <c r="G208" t="s">
        <v>29</v>
      </c>
      <c r="H208" t="s">
        <v>2578</v>
      </c>
      <c r="I208" t="s">
        <v>2579</v>
      </c>
      <c r="J208">
        <v>19</v>
      </c>
      <c r="L208" s="200" t="str">
        <f>IFERROR(VLOOKUP($H208,PARAMETERS!$M$3:$M$1600,1,0),"---")</f>
        <v>gs_trim_pen_bg_out</v>
      </c>
    </row>
    <row r="209" spans="1:12">
      <c r="A209" t="s">
        <v>9</v>
      </c>
      <c r="B209"/>
      <c r="C209" t="s">
        <v>9</v>
      </c>
      <c r="D209"/>
      <c r="E209"/>
      <c r="F209" t="s">
        <v>49</v>
      </c>
      <c r="G209" t="s">
        <v>29</v>
      </c>
      <c r="H209" t="s">
        <v>2580</v>
      </c>
      <c r="I209" t="s">
        <v>2581</v>
      </c>
      <c r="J209">
        <v>0</v>
      </c>
      <c r="L209" s="200" t="str">
        <f>IFERROR(VLOOKUP($H209,PARAMETERS!$M$3:$M$1600,1,0),"---")</f>
        <v>gs_trim_inside</v>
      </c>
    </row>
    <row r="210" spans="1:12">
      <c r="A210" t="s">
        <v>9</v>
      </c>
      <c r="B210" t="s">
        <v>9</v>
      </c>
      <c r="C210"/>
      <c r="D210" t="s">
        <v>9</v>
      </c>
      <c r="E210"/>
      <c r="F210" t="s">
        <v>20</v>
      </c>
      <c r="G210" t="s">
        <v>29</v>
      </c>
      <c r="H210" t="s">
        <v>2582</v>
      </c>
      <c r="I210" t="s">
        <v>2583</v>
      </c>
      <c r="J210" t="s">
        <v>2311</v>
      </c>
      <c r="L210" s="200" t="str">
        <f>IFERROR(VLOOKUP($H210,PARAMETERS!$M$3:$M$1600,1,0),"---")</f>
        <v>gs_trimtype_in</v>
      </c>
    </row>
    <row r="211" spans="1:12">
      <c r="A211" t="s">
        <v>9</v>
      </c>
      <c r="B211" t="s">
        <v>9</v>
      </c>
      <c r="C211"/>
      <c r="D211" t="s">
        <v>9</v>
      </c>
      <c r="E211"/>
      <c r="F211" t="s">
        <v>46</v>
      </c>
      <c r="G211" t="s">
        <v>29</v>
      </c>
      <c r="H211" t="s">
        <v>2584</v>
      </c>
      <c r="I211" t="s">
        <v>2583</v>
      </c>
      <c r="J211">
        <v>1</v>
      </c>
      <c r="L211" s="200" t="str">
        <f>IFERROR(VLOOKUP($H211,PARAMETERS!$M$3:$M$1600,1,0),"---")</f>
        <v>gs_trimtype_in_int</v>
      </c>
    </row>
    <row r="212" spans="1:12">
      <c r="A212" t="s">
        <v>9</v>
      </c>
      <c r="B212"/>
      <c r="C212"/>
      <c r="D212" t="s">
        <v>9</v>
      </c>
      <c r="E212"/>
      <c r="F212" t="s">
        <v>49</v>
      </c>
      <c r="G212" t="s">
        <v>29</v>
      </c>
      <c r="H212" t="s">
        <v>2585</v>
      </c>
      <c r="I212" t="s">
        <v>2554</v>
      </c>
      <c r="J212">
        <v>1</v>
      </c>
      <c r="L212" s="200" t="str">
        <f>IFERROR(VLOOKUP($H212,PARAMETERS!$M$3:$M$1600,1,0),"---")</f>
        <v>gs_trim_show_cover_in</v>
      </c>
    </row>
    <row r="213" spans="1:12">
      <c r="A213" t="s">
        <v>9</v>
      </c>
      <c r="B213"/>
      <c r="C213"/>
      <c r="D213" t="s">
        <v>9</v>
      </c>
      <c r="E213"/>
      <c r="F213" t="s">
        <v>49</v>
      </c>
      <c r="G213" t="s">
        <v>29</v>
      </c>
      <c r="H213" t="s">
        <v>2586</v>
      </c>
      <c r="I213" t="s">
        <v>2556</v>
      </c>
      <c r="J213">
        <v>1</v>
      </c>
      <c r="L213" s="200" t="str">
        <f>IFERROR(VLOOKUP($H213,PARAMETERS!$M$3:$M$1600,1,0),"---")</f>
        <v>gs_trim_inside_uniform</v>
      </c>
    </row>
    <row r="214" spans="1:12">
      <c r="A214" t="s">
        <v>9</v>
      </c>
      <c r="B214"/>
      <c r="C214"/>
      <c r="D214" t="s">
        <v>9</v>
      </c>
      <c r="E214"/>
      <c r="F214" t="s">
        <v>26</v>
      </c>
      <c r="G214" t="s">
        <v>29</v>
      </c>
      <c r="H214" t="s">
        <v>2587</v>
      </c>
      <c r="I214" t="s">
        <v>2558</v>
      </c>
      <c r="J214">
        <v>0.05</v>
      </c>
      <c r="L214" s="200" t="str">
        <f>IFERROR(VLOOKUP($H214,PARAMETERS!$M$3:$M$1600,1,0),"---")</f>
        <v>gs_tw_right_in</v>
      </c>
    </row>
    <row r="215" spans="1:12">
      <c r="A215" t="s">
        <v>9</v>
      </c>
      <c r="B215"/>
      <c r="C215"/>
      <c r="D215" t="s">
        <v>9</v>
      </c>
      <c r="E215"/>
      <c r="F215" t="s">
        <v>26</v>
      </c>
      <c r="G215" t="s">
        <v>29</v>
      </c>
      <c r="H215" t="s">
        <v>2588</v>
      </c>
      <c r="I215" t="s">
        <v>2560</v>
      </c>
      <c r="J215">
        <v>0.05</v>
      </c>
      <c r="L215" s="200" t="str">
        <f>IFERROR(VLOOKUP($H215,PARAMETERS!$M$3:$M$1600,1,0),"---")</f>
        <v>gs_tw_left_in</v>
      </c>
    </row>
    <row r="216" spans="1:12">
      <c r="A216" t="s">
        <v>9</v>
      </c>
      <c r="B216"/>
      <c r="C216"/>
      <c r="D216" t="s">
        <v>9</v>
      </c>
      <c r="E216"/>
      <c r="F216" t="s">
        <v>26</v>
      </c>
      <c r="G216" t="s">
        <v>29</v>
      </c>
      <c r="H216" t="s">
        <v>2589</v>
      </c>
      <c r="I216" t="s">
        <v>2118</v>
      </c>
      <c r="J216">
        <v>0.05</v>
      </c>
      <c r="L216" s="200" t="str">
        <f>IFERROR(VLOOKUP($H216,PARAMETERS!$M$3:$M$1600,1,0),"---")</f>
        <v>gs_tw_top_in</v>
      </c>
    </row>
    <row r="217" spans="1:12">
      <c r="A217" t="s">
        <v>9</v>
      </c>
      <c r="B217"/>
      <c r="C217"/>
      <c r="D217" t="s">
        <v>9</v>
      </c>
      <c r="E217"/>
      <c r="F217" t="s">
        <v>26</v>
      </c>
      <c r="G217" t="s">
        <v>29</v>
      </c>
      <c r="H217" t="s">
        <v>2590</v>
      </c>
      <c r="I217" t="s">
        <v>2563</v>
      </c>
      <c r="J217">
        <v>1.9E-2</v>
      </c>
      <c r="L217" s="200" t="str">
        <f>IFERROR(VLOOKUP($H217,PARAMETERS!$M$3:$M$1600,1,0),"---")</f>
        <v>gs_trim_thk_in</v>
      </c>
    </row>
    <row r="218" spans="1:12">
      <c r="A218" t="s">
        <v>9</v>
      </c>
      <c r="B218"/>
      <c r="C218"/>
      <c r="D218" t="s">
        <v>9</v>
      </c>
      <c r="E218"/>
      <c r="F218" t="s">
        <v>26</v>
      </c>
      <c r="G218" t="s">
        <v>29</v>
      </c>
      <c r="H218" t="s">
        <v>2591</v>
      </c>
      <c r="I218" t="s">
        <v>2565</v>
      </c>
      <c r="J218">
        <v>2.5000000000000001E-2</v>
      </c>
      <c r="L218" s="200" t="str">
        <f>IFERROR(VLOOKUP($H218,PARAMETERS!$M$3:$M$1600,1,0),"---")</f>
        <v>gs_trim_width_in</v>
      </c>
    </row>
    <row r="219" spans="1:12">
      <c r="A219" t="s">
        <v>9</v>
      </c>
      <c r="B219"/>
      <c r="C219"/>
      <c r="D219" t="s">
        <v>9</v>
      </c>
      <c r="E219"/>
      <c r="F219" t="s">
        <v>26</v>
      </c>
      <c r="G219" t="s">
        <v>29</v>
      </c>
      <c r="H219" t="s">
        <v>2592</v>
      </c>
      <c r="I219" t="s">
        <v>2567</v>
      </c>
      <c r="J219">
        <v>0</v>
      </c>
      <c r="L219" s="200" t="str">
        <f>IFERROR(VLOOKUP($H219,PARAMETERS!$M$3:$M$1600,1,0),"---")</f>
        <v>gs_trim_offs_in</v>
      </c>
    </row>
    <row r="220" spans="1:12">
      <c r="A220" t="s">
        <v>9</v>
      </c>
      <c r="B220"/>
      <c r="C220"/>
      <c r="D220" t="s">
        <v>9</v>
      </c>
      <c r="E220"/>
      <c r="F220" t="s">
        <v>26</v>
      </c>
      <c r="G220" t="s">
        <v>29</v>
      </c>
      <c r="H220" t="s">
        <v>2593</v>
      </c>
      <c r="I220" t="s">
        <v>2569</v>
      </c>
      <c r="J220">
        <v>0.03</v>
      </c>
      <c r="L220" s="200" t="str">
        <f>IFERROR(VLOOKUP($H220,PARAMETERS!$M$3:$M$1600,1,0),"---")</f>
        <v>gs_trim_jambext_nosing_in</v>
      </c>
    </row>
    <row r="221" spans="1:12">
      <c r="A221" t="s">
        <v>9</v>
      </c>
      <c r="B221"/>
      <c r="C221"/>
      <c r="D221" t="s">
        <v>9</v>
      </c>
      <c r="E221"/>
      <c r="F221" t="s">
        <v>26</v>
      </c>
      <c r="G221" t="s">
        <v>29</v>
      </c>
      <c r="H221" t="s">
        <v>2594</v>
      </c>
      <c r="I221" t="s">
        <v>2571</v>
      </c>
      <c r="J221">
        <v>0.1</v>
      </c>
      <c r="L221" s="200" t="str">
        <f>IFERROR(VLOOKUP($H221,PARAMETERS!$M$3:$M$1600,1,0),"---")</f>
        <v>gs_trimov_top_right_in</v>
      </c>
    </row>
    <row r="222" spans="1:12">
      <c r="A222" t="s">
        <v>9</v>
      </c>
      <c r="B222"/>
      <c r="C222"/>
      <c r="D222" t="s">
        <v>9</v>
      </c>
      <c r="E222"/>
      <c r="F222" t="s">
        <v>54</v>
      </c>
      <c r="G222" t="s">
        <v>29</v>
      </c>
      <c r="H222" t="s">
        <v>2595</v>
      </c>
      <c r="I222" t="s">
        <v>2596</v>
      </c>
      <c r="J222">
        <v>65</v>
      </c>
      <c r="L222" s="200" t="str">
        <f>IFERROR(VLOOKUP($H222,PARAMETERS!$M$3:$M$1600,1,0),"---")</f>
        <v>gs_trim_fill_in</v>
      </c>
    </row>
    <row r="223" spans="1:12">
      <c r="A223" t="s">
        <v>9</v>
      </c>
      <c r="B223"/>
      <c r="C223"/>
      <c r="D223" t="s">
        <v>9</v>
      </c>
      <c r="E223"/>
      <c r="F223" t="s">
        <v>55</v>
      </c>
      <c r="G223" t="s">
        <v>29</v>
      </c>
      <c r="H223" t="s">
        <v>2597</v>
      </c>
      <c r="I223" t="s">
        <v>2598</v>
      </c>
      <c r="J223">
        <v>19</v>
      </c>
      <c r="L223" s="200" t="str">
        <f>IFERROR(VLOOKUP($H223,PARAMETERS!$M$3:$M$1600,1,0),"---")</f>
        <v>gs_trim_pen_fg_in</v>
      </c>
    </row>
    <row r="224" spans="1:12">
      <c r="A224" t="s">
        <v>9</v>
      </c>
      <c r="B224"/>
      <c r="C224"/>
      <c r="D224" t="s">
        <v>9</v>
      </c>
      <c r="E224"/>
      <c r="F224" t="s">
        <v>55</v>
      </c>
      <c r="G224" t="s">
        <v>29</v>
      </c>
      <c r="H224" t="s">
        <v>2599</v>
      </c>
      <c r="I224" t="s">
        <v>2600</v>
      </c>
      <c r="J224">
        <v>19</v>
      </c>
      <c r="L224" s="200" t="str">
        <f>IFERROR(VLOOKUP($H224,PARAMETERS!$M$3:$M$1600,1,0),"---")</f>
        <v>gs_trim_pen_bg_in</v>
      </c>
    </row>
    <row r="225" spans="1:12">
      <c r="A225" t="s">
        <v>9</v>
      </c>
      <c r="B225"/>
      <c r="C225" t="s">
        <v>9</v>
      </c>
      <c r="D225"/>
      <c r="E225"/>
      <c r="F225" t="s">
        <v>49</v>
      </c>
      <c r="G225" t="s">
        <v>29</v>
      </c>
      <c r="H225" t="s">
        <v>487</v>
      </c>
      <c r="I225" t="s">
        <v>3051</v>
      </c>
      <c r="J225">
        <v>0</v>
      </c>
      <c r="L225" s="200" t="str">
        <f>IFERROR(VLOOKUP($H225,PARAMETERS!$M$3:$M$1600,1,0),"---")</f>
        <v>gs_sill_outside</v>
      </c>
    </row>
    <row r="226" spans="1:12">
      <c r="A226" t="s">
        <v>9</v>
      </c>
      <c r="B226"/>
      <c r="C226"/>
      <c r="D226" t="s">
        <v>9</v>
      </c>
      <c r="E226"/>
      <c r="F226" t="s">
        <v>49</v>
      </c>
      <c r="G226" t="s">
        <v>29</v>
      </c>
      <c r="H226" t="s">
        <v>665</v>
      </c>
      <c r="I226" t="s">
        <v>666</v>
      </c>
      <c r="J226">
        <v>0</v>
      </c>
      <c r="L226" s="200" t="str">
        <f>IFERROR(VLOOKUP($H226,PARAMETERS!$M$3:$M$1600,1,0),"---")</f>
        <v>gs_sill_oversize</v>
      </c>
    </row>
    <row r="227" spans="1:12">
      <c r="A227" t="s">
        <v>9</v>
      </c>
      <c r="B227"/>
      <c r="C227"/>
      <c r="D227" t="s">
        <v>9</v>
      </c>
      <c r="E227"/>
      <c r="F227" t="s">
        <v>46</v>
      </c>
      <c r="G227" t="s">
        <v>29</v>
      </c>
      <c r="H227" t="s">
        <v>667</v>
      </c>
      <c r="I227" t="s">
        <v>668</v>
      </c>
      <c r="J227">
        <v>2</v>
      </c>
      <c r="L227" s="200" t="str">
        <f>IFERROR(VLOOKUP($H227,PARAMETERS!$M$3:$M$1600,1,0),"---")</f>
        <v>iSillType</v>
      </c>
    </row>
    <row r="228" spans="1:12">
      <c r="A228" t="s">
        <v>9</v>
      </c>
      <c r="B228"/>
      <c r="C228"/>
      <c r="D228" t="s">
        <v>9</v>
      </c>
      <c r="E228" t="s">
        <v>9</v>
      </c>
      <c r="F228" t="s">
        <v>26</v>
      </c>
      <c r="G228" t="s">
        <v>29</v>
      </c>
      <c r="H228" t="s">
        <v>669</v>
      </c>
      <c r="I228" t="s">
        <v>670</v>
      </c>
      <c r="J228">
        <v>0</v>
      </c>
      <c r="L228" s="200" t="str">
        <f>IFERROR(VLOOKUP($H228,PARAMETERS!$M$3:$M$1600,1,0),"---")</f>
        <v>gs_sill_width</v>
      </c>
    </row>
    <row r="229" spans="1:12">
      <c r="A229" t="s">
        <v>9</v>
      </c>
      <c r="B229"/>
      <c r="C229"/>
      <c r="D229" t="s">
        <v>9</v>
      </c>
      <c r="E229"/>
      <c r="F229" t="s">
        <v>26</v>
      </c>
      <c r="G229" t="s">
        <v>29</v>
      </c>
      <c r="H229" t="s">
        <v>671</v>
      </c>
      <c r="I229" t="s">
        <v>672</v>
      </c>
      <c r="J229">
        <v>0.01</v>
      </c>
      <c r="L229" s="200" t="str">
        <f>IFERROR(VLOOKUP($H229,PARAMETERS!$M$3:$M$1600,1,0),"---")</f>
        <v>gs_sill_topWidth</v>
      </c>
    </row>
    <row r="230" spans="1:12">
      <c r="A230" t="s">
        <v>9</v>
      </c>
      <c r="B230"/>
      <c r="C230"/>
      <c r="D230" t="s">
        <v>9</v>
      </c>
      <c r="E230"/>
      <c r="F230" t="s">
        <v>26</v>
      </c>
      <c r="G230" t="s">
        <v>29</v>
      </c>
      <c r="H230" t="s">
        <v>673</v>
      </c>
      <c r="I230" t="s">
        <v>674</v>
      </c>
      <c r="J230">
        <v>0.01</v>
      </c>
      <c r="L230" s="200" t="str">
        <f>IFERROR(VLOOKUP($H230,PARAMETERS!$M$3:$M$1600,1,0),"---")</f>
        <v>gs_sill_topHeight</v>
      </c>
    </row>
    <row r="231" spans="1:12">
      <c r="A231" t="s">
        <v>9</v>
      </c>
      <c r="B231"/>
      <c r="C231"/>
      <c r="D231" t="s">
        <v>9</v>
      </c>
      <c r="E231"/>
      <c r="F231" t="s">
        <v>26</v>
      </c>
      <c r="G231" t="s">
        <v>29</v>
      </c>
      <c r="H231" t="s">
        <v>675</v>
      </c>
      <c r="I231" t="s">
        <v>676</v>
      </c>
      <c r="J231">
        <v>2.5000000000000001E-2</v>
      </c>
      <c r="L231" s="200" t="str">
        <f>IFERROR(VLOOKUP($H231,PARAMETERS!$M$3:$M$1600,1,0),"---")</f>
        <v>gs_sill_thk</v>
      </c>
    </row>
    <row r="232" spans="1:12">
      <c r="A232" t="s">
        <v>9</v>
      </c>
      <c r="B232"/>
      <c r="C232"/>
      <c r="D232" t="s">
        <v>9</v>
      </c>
      <c r="E232"/>
      <c r="F232" t="s">
        <v>26</v>
      </c>
      <c r="G232" t="s">
        <v>29</v>
      </c>
      <c r="H232" t="s">
        <v>677</v>
      </c>
      <c r="I232" t="s">
        <v>678</v>
      </c>
      <c r="J232">
        <v>1.4999999999999999E-2</v>
      </c>
      <c r="L232" s="200" t="str">
        <f>IFERROR(VLOOKUP($H232,PARAMETERS!$M$3:$M$1600,1,0),"---")</f>
        <v>gs_sill_endthk</v>
      </c>
    </row>
    <row r="233" spans="1:12">
      <c r="A233" t="s">
        <v>9</v>
      </c>
      <c r="B233"/>
      <c r="C233"/>
      <c r="D233" t="s">
        <v>9</v>
      </c>
      <c r="E233"/>
      <c r="F233" t="s">
        <v>26</v>
      </c>
      <c r="G233" t="s">
        <v>29</v>
      </c>
      <c r="H233" t="s">
        <v>679</v>
      </c>
      <c r="I233" t="s">
        <v>680</v>
      </c>
      <c r="J233">
        <v>5.0000000000000001E-3</v>
      </c>
      <c r="L233" s="200" t="str">
        <f>IFERROR(VLOOKUP($H233,PARAMETERS!$M$3:$M$1600,1,0),"---")</f>
        <v>gs_sill_elev</v>
      </c>
    </row>
    <row r="234" spans="1:12">
      <c r="A234" t="s">
        <v>9</v>
      </c>
      <c r="B234"/>
      <c r="C234"/>
      <c r="D234" t="s">
        <v>9</v>
      </c>
      <c r="E234"/>
      <c r="F234" t="s">
        <v>26</v>
      </c>
      <c r="G234" t="s">
        <v>29</v>
      </c>
      <c r="H234" t="s">
        <v>681</v>
      </c>
      <c r="I234" t="s">
        <v>682</v>
      </c>
      <c r="J234">
        <v>0.02</v>
      </c>
      <c r="L234" s="200" t="str">
        <f>IFERROR(VLOOKUP($H234,PARAMETERS!$M$3:$M$1600,1,0),"---")</f>
        <v>gs_sill_dripnos</v>
      </c>
    </row>
    <row r="235" spans="1:12">
      <c r="A235" t="s">
        <v>9</v>
      </c>
      <c r="B235"/>
      <c r="C235"/>
      <c r="D235" t="s">
        <v>9</v>
      </c>
      <c r="E235"/>
      <c r="F235" t="s">
        <v>26</v>
      </c>
      <c r="G235" t="s">
        <v>29</v>
      </c>
      <c r="H235" t="s">
        <v>683</v>
      </c>
      <c r="I235" t="s">
        <v>684</v>
      </c>
      <c r="J235">
        <v>0.03</v>
      </c>
      <c r="L235" s="200" t="str">
        <f>IFERROR(VLOOKUP($H235,PARAMETERS!$M$3:$M$1600,1,0),"---")</f>
        <v>gs_sill_dripwidth</v>
      </c>
    </row>
    <row r="236" spans="1:12">
      <c r="A236" t="s">
        <v>9</v>
      </c>
      <c r="B236"/>
      <c r="C236"/>
      <c r="D236" t="s">
        <v>9</v>
      </c>
      <c r="E236"/>
      <c r="F236" t="s">
        <v>26</v>
      </c>
      <c r="G236" t="s">
        <v>29</v>
      </c>
      <c r="H236" t="s">
        <v>685</v>
      </c>
      <c r="I236" t="s">
        <v>686</v>
      </c>
      <c r="J236">
        <v>0.03</v>
      </c>
      <c r="L236" s="200" t="str">
        <f>IFERROR(VLOOKUP($H236,PARAMETERS!$M$3:$M$1600,1,0),"---")</f>
        <v>gs_sill_nosing</v>
      </c>
    </row>
    <row r="237" spans="1:12">
      <c r="A237" t="s">
        <v>9</v>
      </c>
      <c r="B237"/>
      <c r="C237"/>
      <c r="D237" t="s">
        <v>9</v>
      </c>
      <c r="E237"/>
      <c r="F237" t="s">
        <v>33</v>
      </c>
      <c r="G237" t="s">
        <v>29</v>
      </c>
      <c r="H237" t="s">
        <v>687</v>
      </c>
      <c r="I237" t="s">
        <v>688</v>
      </c>
      <c r="J237">
        <v>3</v>
      </c>
      <c r="L237" s="200" t="str">
        <f>IFERROR(VLOOKUP($H237,PARAMETERS!$M$3:$M$1600,1,0),"---")</f>
        <v>gs_sill_angle</v>
      </c>
    </row>
    <row r="238" spans="1:12">
      <c r="A238" t="s">
        <v>9</v>
      </c>
      <c r="B238"/>
      <c r="C238"/>
      <c r="D238" t="s">
        <v>9</v>
      </c>
      <c r="E238"/>
      <c r="F238" t="s">
        <v>26</v>
      </c>
      <c r="G238" t="s">
        <v>29</v>
      </c>
      <c r="H238" t="s">
        <v>689</v>
      </c>
      <c r="I238" t="s">
        <v>690</v>
      </c>
      <c r="J238">
        <v>0</v>
      </c>
      <c r="L238" s="200" t="str">
        <f>IFERROR(VLOOKUP($H238,PARAMETERS!$M$3:$M$1600,1,0),"---")</f>
        <v>gs_sill_ovhg_left</v>
      </c>
    </row>
    <row r="239" spans="1:12">
      <c r="A239" t="s">
        <v>9</v>
      </c>
      <c r="B239"/>
      <c r="C239"/>
      <c r="D239" t="s">
        <v>9</v>
      </c>
      <c r="E239"/>
      <c r="F239" t="s">
        <v>26</v>
      </c>
      <c r="G239" t="s">
        <v>29</v>
      </c>
      <c r="H239" t="s">
        <v>691</v>
      </c>
      <c r="I239" t="s">
        <v>692</v>
      </c>
      <c r="J239">
        <v>0</v>
      </c>
      <c r="L239" s="200" t="str">
        <f>IFERROR(VLOOKUP($H239,PARAMETERS!$M$3:$M$1600,1,0),"---")</f>
        <v>gs_sill_ovhg_right</v>
      </c>
    </row>
    <row r="240" spans="1:12">
      <c r="A240" t="s">
        <v>9</v>
      </c>
      <c r="B240"/>
      <c r="C240"/>
      <c r="D240" t="s">
        <v>9</v>
      </c>
      <c r="E240"/>
      <c r="F240" t="s">
        <v>26</v>
      </c>
      <c r="G240" t="s">
        <v>29</v>
      </c>
      <c r="H240" t="s">
        <v>693</v>
      </c>
      <c r="I240" t="s">
        <v>694</v>
      </c>
      <c r="J240">
        <v>0.02</v>
      </c>
      <c r="L240" s="200" t="str">
        <f>IFERROR(VLOOKUP($H240,PARAMETERS!$M$3:$M$1600,1,0),"---")</f>
        <v>gs_sill_slip_in</v>
      </c>
    </row>
    <row r="241" spans="1:12">
      <c r="A241" t="s">
        <v>9</v>
      </c>
      <c r="B241"/>
      <c r="C241"/>
      <c r="D241" t="s">
        <v>9</v>
      </c>
      <c r="E241"/>
      <c r="F241" t="s">
        <v>26</v>
      </c>
      <c r="G241" t="s">
        <v>29</v>
      </c>
      <c r="H241" t="s">
        <v>695</v>
      </c>
      <c r="I241" t="s">
        <v>696</v>
      </c>
      <c r="J241">
        <v>0</v>
      </c>
      <c r="L241" s="200" t="str">
        <f>IFERROR(VLOOKUP($H241,PARAMETERS!$M$3:$M$1600,1,0),"---")</f>
        <v>gs_sill_slip_wall</v>
      </c>
    </row>
    <row r="242" spans="1:12">
      <c r="A242" t="s">
        <v>9</v>
      </c>
      <c r="B242"/>
      <c r="C242"/>
      <c r="D242" t="s">
        <v>9</v>
      </c>
      <c r="E242"/>
      <c r="F242" t="s">
        <v>26</v>
      </c>
      <c r="G242" t="s">
        <v>29</v>
      </c>
      <c r="H242" t="s">
        <v>697</v>
      </c>
      <c r="I242" t="s">
        <v>698</v>
      </c>
      <c r="J242">
        <v>0</v>
      </c>
      <c r="L242" s="200" t="str">
        <f>IFERROR(VLOOKUP($H242,PARAMETERS!$M$3:$M$1600,1,0),"---")</f>
        <v>gs_sill_holeDepthBehind</v>
      </c>
    </row>
    <row r="243" spans="1:12">
      <c r="A243" t="s">
        <v>9</v>
      </c>
      <c r="B243"/>
      <c r="C243"/>
      <c r="D243" t="s">
        <v>9</v>
      </c>
      <c r="E243"/>
      <c r="F243" t="s">
        <v>49</v>
      </c>
      <c r="G243" t="s">
        <v>29</v>
      </c>
      <c r="H243" t="s">
        <v>699</v>
      </c>
      <c r="I243" t="s">
        <v>700</v>
      </c>
      <c r="J243">
        <v>1</v>
      </c>
      <c r="L243" s="200" t="str">
        <f>IFERROR(VLOOKUP($H243,PARAMETERS!$M$3:$M$1600,1,0),"---")</f>
        <v>gs_sill_curved</v>
      </c>
    </row>
    <row r="244" spans="1:12">
      <c r="A244" t="s">
        <v>9</v>
      </c>
      <c r="B244"/>
      <c r="C244"/>
      <c r="D244" t="s">
        <v>9</v>
      </c>
      <c r="E244"/>
      <c r="F244" t="s">
        <v>49</v>
      </c>
      <c r="G244" t="s">
        <v>29</v>
      </c>
      <c r="H244" t="s">
        <v>701</v>
      </c>
      <c r="I244" t="s">
        <v>702</v>
      </c>
      <c r="J244">
        <v>1</v>
      </c>
      <c r="L244" s="200" t="str">
        <f>IFERROR(VLOOKUP($H244,PARAMETERS!$M$3:$M$1600,1,0),"---")</f>
        <v>gs_sill_ins_below</v>
      </c>
    </row>
    <row r="245" spans="1:12">
      <c r="A245" t="s">
        <v>9</v>
      </c>
      <c r="B245"/>
      <c r="C245"/>
      <c r="D245" t="s">
        <v>9</v>
      </c>
      <c r="E245"/>
      <c r="F245" t="s">
        <v>49</v>
      </c>
      <c r="G245" t="s">
        <v>29</v>
      </c>
      <c r="H245" t="s">
        <v>703</v>
      </c>
      <c r="I245" t="s">
        <v>704</v>
      </c>
      <c r="J245">
        <v>0</v>
      </c>
      <c r="L245" s="200" t="str">
        <f>IFERROR(VLOOKUP($H245,PARAMETERS!$M$3:$M$1600,1,0),"---")</f>
        <v>gs_sill_ins_use_wall_skin</v>
      </c>
    </row>
    <row r="246" spans="1:12">
      <c r="A246" t="s">
        <v>9</v>
      </c>
      <c r="B246"/>
      <c r="C246"/>
      <c r="D246" t="s">
        <v>9</v>
      </c>
      <c r="E246"/>
      <c r="F246" t="s">
        <v>46</v>
      </c>
      <c r="G246" t="s">
        <v>29</v>
      </c>
      <c r="H246" t="s">
        <v>705</v>
      </c>
      <c r="I246" t="s">
        <v>706</v>
      </c>
      <c r="J246">
        <v>1</v>
      </c>
      <c r="L246" s="200" t="str">
        <f>IFERROR(VLOOKUP($H246,PARAMETERS!$M$3:$M$1600,1,0),"---")</f>
        <v>iBrickSilldetlevel</v>
      </c>
    </row>
    <row r="247" spans="1:12">
      <c r="A247" t="s">
        <v>9</v>
      </c>
      <c r="B247"/>
      <c r="C247"/>
      <c r="D247" t="s">
        <v>9</v>
      </c>
      <c r="E247"/>
      <c r="F247" t="s">
        <v>26</v>
      </c>
      <c r="G247" t="s">
        <v>29</v>
      </c>
      <c r="H247" t="s">
        <v>707</v>
      </c>
      <c r="I247" t="s">
        <v>708</v>
      </c>
      <c r="J247">
        <v>6.5000000000000002E-2</v>
      </c>
      <c r="L247" s="200" t="str">
        <f>IFERROR(VLOOKUP($H247,PARAMETERS!$M$3:$M$1600,1,0),"---")</f>
        <v>gs_brick_sill_br_thk</v>
      </c>
    </row>
    <row r="248" spans="1:12">
      <c r="A248" t="s">
        <v>9</v>
      </c>
      <c r="B248"/>
      <c r="C248"/>
      <c r="D248" t="s">
        <v>9</v>
      </c>
      <c r="E248"/>
      <c r="F248" t="s">
        <v>26</v>
      </c>
      <c r="G248" t="s">
        <v>29</v>
      </c>
      <c r="H248" t="s">
        <v>709</v>
      </c>
      <c r="I248" t="s">
        <v>536</v>
      </c>
      <c r="J248">
        <v>1.4999999999999999E-2</v>
      </c>
      <c r="L248" s="200" t="str">
        <f>IFERROR(VLOOKUP($H248,PARAMETERS!$M$3:$M$1600,1,0),"---")</f>
        <v>gs_brick_sill_mort_thk</v>
      </c>
    </row>
    <row r="249" spans="1:12">
      <c r="A249" t="s">
        <v>9</v>
      </c>
      <c r="B249"/>
      <c r="C249"/>
      <c r="D249" t="s">
        <v>9</v>
      </c>
      <c r="E249"/>
      <c r="F249" t="s">
        <v>55</v>
      </c>
      <c r="G249" t="s">
        <v>29</v>
      </c>
      <c r="H249" t="s">
        <v>710</v>
      </c>
      <c r="I249" t="s">
        <v>711</v>
      </c>
      <c r="J249">
        <v>1</v>
      </c>
      <c r="L249" s="200" t="str">
        <f>IFERROR(VLOOKUP($H249,PARAMETERS!$M$3:$M$1600,1,0),"---")</f>
        <v>gs_sill_pen_3D</v>
      </c>
    </row>
    <row r="250" spans="1:12">
      <c r="A250" t="s">
        <v>9</v>
      </c>
      <c r="B250"/>
      <c r="C250"/>
      <c r="D250" t="s">
        <v>9</v>
      </c>
      <c r="E250"/>
      <c r="F250" t="s">
        <v>55</v>
      </c>
      <c r="G250" t="s">
        <v>29</v>
      </c>
      <c r="H250" t="s">
        <v>712</v>
      </c>
      <c r="I250" t="s">
        <v>713</v>
      </c>
      <c r="J250">
        <v>1</v>
      </c>
      <c r="L250" s="200" t="str">
        <f>IFERROR(VLOOKUP($H250,PARAMETERS!$M$3:$M$1600,1,0),"---")</f>
        <v>gs_sill_pen_sectcont</v>
      </c>
    </row>
    <row r="251" spans="1:12">
      <c r="A251" t="s">
        <v>9</v>
      </c>
      <c r="B251"/>
      <c r="C251"/>
      <c r="D251" t="s">
        <v>9</v>
      </c>
      <c r="E251"/>
      <c r="F251" t="s">
        <v>54</v>
      </c>
      <c r="G251" t="s">
        <v>29</v>
      </c>
      <c r="H251" t="s">
        <v>714</v>
      </c>
      <c r="I251" t="s">
        <v>715</v>
      </c>
      <c r="J251">
        <v>65</v>
      </c>
      <c r="L251" s="200" t="str">
        <f>IFERROR(VLOOKUP($H251,PARAMETERS!$M$3:$M$1600,1,0),"---")</f>
        <v>gs_sill_fill</v>
      </c>
    </row>
    <row r="252" spans="1:12">
      <c r="A252" t="s">
        <v>9</v>
      </c>
      <c r="B252"/>
      <c r="C252"/>
      <c r="D252" t="s">
        <v>9</v>
      </c>
      <c r="E252"/>
      <c r="F252" t="s">
        <v>55</v>
      </c>
      <c r="G252" t="s">
        <v>29</v>
      </c>
      <c r="H252" t="s">
        <v>716</v>
      </c>
      <c r="I252" t="s">
        <v>717</v>
      </c>
      <c r="J252">
        <v>19</v>
      </c>
      <c r="L252" s="200" t="str">
        <f>IFERROR(VLOOKUP($H252,PARAMETERS!$M$3:$M$1600,1,0),"---")</f>
        <v>gs_sill_pen_fg</v>
      </c>
    </row>
    <row r="253" spans="1:12">
      <c r="A253" t="s">
        <v>9</v>
      </c>
      <c r="B253"/>
      <c r="C253"/>
      <c r="D253" t="s">
        <v>9</v>
      </c>
      <c r="E253"/>
      <c r="F253" t="s">
        <v>55</v>
      </c>
      <c r="G253" t="s">
        <v>29</v>
      </c>
      <c r="H253" t="s">
        <v>718</v>
      </c>
      <c r="I253" t="s">
        <v>719</v>
      </c>
      <c r="J253">
        <v>19</v>
      </c>
      <c r="L253" s="200" t="str">
        <f>IFERROR(VLOOKUP($H253,PARAMETERS!$M$3:$M$1600,1,0),"---")</f>
        <v>gs_sill_pen_bg</v>
      </c>
    </row>
    <row r="254" spans="1:12">
      <c r="A254" t="s">
        <v>9</v>
      </c>
      <c r="B254"/>
      <c r="C254"/>
      <c r="D254" t="s">
        <v>9</v>
      </c>
      <c r="E254"/>
      <c r="F254" t="s">
        <v>55</v>
      </c>
      <c r="G254" t="s">
        <v>29</v>
      </c>
      <c r="H254" t="s">
        <v>720</v>
      </c>
      <c r="I254" t="s">
        <v>721</v>
      </c>
      <c r="J254">
        <v>1</v>
      </c>
      <c r="L254" s="200" t="str">
        <f>IFERROR(VLOOKUP($H254,PARAMETERS!$M$3:$M$1600,1,0),"---")</f>
        <v>gs_sill_pen_ins_sectcont</v>
      </c>
    </row>
    <row r="255" spans="1:12">
      <c r="A255" t="s">
        <v>9</v>
      </c>
      <c r="B255"/>
      <c r="C255"/>
      <c r="D255" t="s">
        <v>9</v>
      </c>
      <c r="E255"/>
      <c r="F255" t="s">
        <v>54</v>
      </c>
      <c r="G255" t="s">
        <v>29</v>
      </c>
      <c r="H255" t="s">
        <v>722</v>
      </c>
      <c r="I255" t="s">
        <v>723</v>
      </c>
      <c r="J255">
        <v>17</v>
      </c>
      <c r="L255" s="200" t="str">
        <f>IFERROR(VLOOKUP($H255,PARAMETERS!$M$3:$M$1600,1,0),"---")</f>
        <v>gs_sill_fill_ins_fg</v>
      </c>
    </row>
    <row r="256" spans="1:12">
      <c r="A256" t="s">
        <v>9</v>
      </c>
      <c r="B256"/>
      <c r="C256"/>
      <c r="D256" t="s">
        <v>9</v>
      </c>
      <c r="E256"/>
      <c r="F256" t="s">
        <v>55</v>
      </c>
      <c r="G256" t="s">
        <v>29</v>
      </c>
      <c r="H256" t="s">
        <v>724</v>
      </c>
      <c r="I256" t="s">
        <v>725</v>
      </c>
      <c r="J256">
        <v>1</v>
      </c>
      <c r="L256" s="200" t="str">
        <f>IFERROR(VLOOKUP($H256,PARAMETERS!$M$3:$M$1600,1,0),"---")</f>
        <v>gs_sill_pen_ins_fg</v>
      </c>
    </row>
    <row r="257" spans="1:12">
      <c r="A257" t="s">
        <v>9</v>
      </c>
      <c r="B257"/>
      <c r="C257"/>
      <c r="D257" t="s">
        <v>9</v>
      </c>
      <c r="E257"/>
      <c r="F257" t="s">
        <v>55</v>
      </c>
      <c r="G257" t="s">
        <v>29</v>
      </c>
      <c r="H257" t="s">
        <v>726</v>
      </c>
      <c r="I257" t="s">
        <v>727</v>
      </c>
      <c r="J257">
        <v>19</v>
      </c>
      <c r="L257" s="200" t="str">
        <f>IFERROR(VLOOKUP($H257,PARAMETERS!$M$3:$M$1600,1,0),"---")</f>
        <v>gs_sill_pen_ins_bg</v>
      </c>
    </row>
    <row r="258" spans="1:12">
      <c r="A258" t="s">
        <v>9</v>
      </c>
      <c r="B258"/>
      <c r="C258"/>
      <c r="D258" t="s">
        <v>9</v>
      </c>
      <c r="E258"/>
      <c r="F258" t="s">
        <v>52</v>
      </c>
      <c r="G258" t="s">
        <v>29</v>
      </c>
      <c r="H258" t="s">
        <v>728</v>
      </c>
      <c r="I258" t="s">
        <v>729</v>
      </c>
      <c r="J258">
        <v>1</v>
      </c>
      <c r="L258" s="200" t="str">
        <f>IFERROR(VLOOKUP($H258,PARAMETERS!$M$3:$M$1600,1,0),"---")</f>
        <v>gs_sill_mat</v>
      </c>
    </row>
    <row r="259" spans="1:12">
      <c r="A259" t="s">
        <v>9</v>
      </c>
      <c r="B259"/>
      <c r="C259"/>
      <c r="D259" t="s">
        <v>9</v>
      </c>
      <c r="E259"/>
      <c r="F259" t="s">
        <v>52</v>
      </c>
      <c r="G259" t="s">
        <v>29</v>
      </c>
      <c r="H259" t="s">
        <v>730</v>
      </c>
      <c r="I259" t="s">
        <v>731</v>
      </c>
      <c r="J259">
        <v>2</v>
      </c>
      <c r="L259" s="200" t="str">
        <f>IFERROR(VLOOKUP($H259,PARAMETERS!$M$3:$M$1600,1,0),"---")</f>
        <v>gs_brick_sill_mort_mat</v>
      </c>
    </row>
    <row r="260" spans="1:12">
      <c r="A260" t="s">
        <v>9</v>
      </c>
      <c r="B260"/>
      <c r="C260" t="s">
        <v>9</v>
      </c>
      <c r="D260"/>
      <c r="E260"/>
      <c r="F260" t="s">
        <v>49</v>
      </c>
      <c r="G260" t="s">
        <v>29</v>
      </c>
      <c r="H260" t="s">
        <v>1746</v>
      </c>
      <c r="I260" t="s">
        <v>1747</v>
      </c>
      <c r="J260">
        <v>0</v>
      </c>
      <c r="L260" s="200" t="str">
        <f>IFERROR(VLOOKUP($H260,PARAMETERS!$M$3:$M$1600,1,0),"---")</f>
        <v>bMasonryArch</v>
      </c>
    </row>
    <row r="261" spans="1:12">
      <c r="A261" t="s">
        <v>9</v>
      </c>
      <c r="B261"/>
      <c r="C261"/>
      <c r="D261" t="s">
        <v>9</v>
      </c>
      <c r="E261"/>
      <c r="F261" t="s">
        <v>46</v>
      </c>
      <c r="G261" t="s">
        <v>29</v>
      </c>
      <c r="H261" t="s">
        <v>1748</v>
      </c>
      <c r="I261" t="s">
        <v>1747</v>
      </c>
      <c r="J261">
        <v>2</v>
      </c>
      <c r="L261" s="200" t="str">
        <f>IFERROR(VLOOKUP($H261,PARAMETERS!$M$3:$M$1600,1,0),"---")</f>
        <v>gs_masonry_arch_int</v>
      </c>
    </row>
    <row r="262" spans="1:12">
      <c r="A262" t="s">
        <v>9</v>
      </c>
      <c r="B262"/>
      <c r="C262"/>
      <c r="D262" t="s">
        <v>9</v>
      </c>
      <c r="E262"/>
      <c r="F262" t="s">
        <v>20</v>
      </c>
      <c r="G262" t="s">
        <v>29</v>
      </c>
      <c r="H262" t="s">
        <v>1750</v>
      </c>
      <c r="I262" t="s">
        <v>1751</v>
      </c>
      <c r="J262" t="s">
        <v>1752</v>
      </c>
      <c r="L262" s="200" t="str">
        <f>IFERROR(VLOOKUP($H262,PARAMETERS!$M$3:$M$1600,1,0),"---")</f>
        <v>gs_masonry_arch_structure</v>
      </c>
    </row>
    <row r="263" spans="1:12">
      <c r="A263" t="s">
        <v>9</v>
      </c>
      <c r="B263" t="s">
        <v>9</v>
      </c>
      <c r="C263"/>
      <c r="D263" t="s">
        <v>9</v>
      </c>
      <c r="E263"/>
      <c r="F263" t="s">
        <v>46</v>
      </c>
      <c r="G263" t="s">
        <v>29</v>
      </c>
      <c r="H263" t="s">
        <v>1754</v>
      </c>
      <c r="I263" t="s">
        <v>1751</v>
      </c>
      <c r="J263">
        <v>1</v>
      </c>
      <c r="L263" s="200" t="str">
        <f>IFERROR(VLOOKUP($H263,PARAMETERS!$M$3:$M$1600,1,0),"---")</f>
        <v>gs_masonry_arch_structure_int</v>
      </c>
    </row>
    <row r="264" spans="1:12">
      <c r="A264" t="s">
        <v>9</v>
      </c>
      <c r="B264"/>
      <c r="C264"/>
      <c r="D264" t="s">
        <v>9</v>
      </c>
      <c r="E264"/>
      <c r="F264" t="s">
        <v>49</v>
      </c>
      <c r="G264" t="s">
        <v>29</v>
      </c>
      <c r="H264" t="s">
        <v>1756</v>
      </c>
      <c r="I264" t="s">
        <v>1757</v>
      </c>
      <c r="J264">
        <v>1</v>
      </c>
      <c r="L264" s="200" t="str">
        <f>IFERROR(VLOOKUP($H264,PARAMETERS!$M$3:$M$1600,1,0),"---")</f>
        <v>gs_AutomaticArchHeight</v>
      </c>
    </row>
    <row r="265" spans="1:12">
      <c r="A265" t="s">
        <v>9</v>
      </c>
      <c r="B265"/>
      <c r="C265"/>
      <c r="D265" t="s">
        <v>9</v>
      </c>
      <c r="E265"/>
      <c r="F265" t="s">
        <v>26</v>
      </c>
      <c r="G265" t="s">
        <v>29</v>
      </c>
      <c r="H265" t="s">
        <v>1758</v>
      </c>
      <c r="I265" t="s">
        <v>1759</v>
      </c>
      <c r="J265">
        <v>0</v>
      </c>
      <c r="L265" s="200" t="str">
        <f>IFERROR(VLOOKUP($H265,PARAMETERS!$M$3:$M$1600,1,0),"---")</f>
        <v>gs_MasonryArch_height</v>
      </c>
    </row>
    <row r="266" spans="1:12">
      <c r="A266" t="s">
        <v>9</v>
      </c>
      <c r="B266"/>
      <c r="C266"/>
      <c r="D266" t="s">
        <v>9</v>
      </c>
      <c r="E266"/>
      <c r="F266" t="s">
        <v>49</v>
      </c>
      <c r="G266" t="s">
        <v>29</v>
      </c>
      <c r="H266" t="s">
        <v>1760</v>
      </c>
      <c r="I266" t="s">
        <v>1761</v>
      </c>
      <c r="J266">
        <v>1</v>
      </c>
      <c r="L266" s="200" t="str">
        <f>IFERROR(VLOOKUP($H266,PARAMETERS!$M$3:$M$1600,1,0),"---")</f>
        <v>gs_NicheBelowArch</v>
      </c>
    </row>
    <row r="267" spans="1:12">
      <c r="A267" t="s">
        <v>9</v>
      </c>
      <c r="B267"/>
      <c r="C267"/>
      <c r="D267" t="s">
        <v>9</v>
      </c>
      <c r="E267"/>
      <c r="F267" t="s">
        <v>26</v>
      </c>
      <c r="G267" t="s">
        <v>29</v>
      </c>
      <c r="H267" t="s">
        <v>1762</v>
      </c>
      <c r="I267" t="s">
        <v>1763</v>
      </c>
      <c r="J267">
        <v>0</v>
      </c>
      <c r="L267" s="200" t="str">
        <f>IFERROR(VLOOKUP($H267,PARAMETERS!$M$3:$M$1600,1,0),"---")</f>
        <v>gs_masonry_arch_ovhg_left</v>
      </c>
    </row>
    <row r="268" spans="1:12">
      <c r="A268" t="s">
        <v>9</v>
      </c>
      <c r="B268"/>
      <c r="C268"/>
      <c r="D268" t="s">
        <v>9</v>
      </c>
      <c r="E268"/>
      <c r="F268" t="s">
        <v>26</v>
      </c>
      <c r="G268" t="s">
        <v>29</v>
      </c>
      <c r="H268" t="s">
        <v>1764</v>
      </c>
      <c r="I268" t="s">
        <v>1765</v>
      </c>
      <c r="J268">
        <v>0</v>
      </c>
      <c r="L268" s="200" t="str">
        <f>IFERROR(VLOOKUP($H268,PARAMETERS!$M$3:$M$1600,1,0),"---")</f>
        <v>gs_masonry_arch_ovhg_right</v>
      </c>
    </row>
    <row r="269" spans="1:12">
      <c r="A269" t="s">
        <v>9</v>
      </c>
      <c r="B269"/>
      <c r="C269"/>
      <c r="D269" t="s">
        <v>9</v>
      </c>
      <c r="E269"/>
      <c r="F269" t="s">
        <v>26</v>
      </c>
      <c r="G269" t="s">
        <v>29</v>
      </c>
      <c r="H269" t="s">
        <v>1766</v>
      </c>
      <c r="I269" t="s">
        <v>1767</v>
      </c>
      <c r="J269">
        <v>0.03</v>
      </c>
      <c r="L269" s="200" t="str">
        <f>IFERROR(VLOOKUP($H269,PARAMETERS!$M$3:$M$1600,1,0),"---")</f>
        <v>gs_masonry_arch_rise</v>
      </c>
    </row>
    <row r="270" spans="1:12">
      <c r="A270" t="s">
        <v>9</v>
      </c>
      <c r="B270"/>
      <c r="C270"/>
      <c r="D270" t="s">
        <v>9</v>
      </c>
      <c r="E270"/>
      <c r="F270" t="s">
        <v>33</v>
      </c>
      <c r="G270" t="s">
        <v>29</v>
      </c>
      <c r="H270" t="s">
        <v>1768</v>
      </c>
      <c r="I270" t="s">
        <v>1769</v>
      </c>
      <c r="J270">
        <v>75</v>
      </c>
      <c r="L270" s="200" t="str">
        <f>IFERROR(VLOOKUP($H270,PARAMETERS!$M$3:$M$1600,1,0),"---")</f>
        <v>gs_masonry_arch_skewback_angle</v>
      </c>
    </row>
    <row r="271" spans="1:12">
      <c r="A271" t="s">
        <v>9</v>
      </c>
      <c r="B271"/>
      <c r="C271"/>
      <c r="D271" t="s">
        <v>9</v>
      </c>
      <c r="E271"/>
      <c r="F271" t="s">
        <v>26</v>
      </c>
      <c r="G271" t="s">
        <v>29</v>
      </c>
      <c r="H271" t="s">
        <v>1770</v>
      </c>
      <c r="I271" t="s">
        <v>3052</v>
      </c>
      <c r="J271">
        <v>0</v>
      </c>
      <c r="L271" s="200" t="str">
        <f>IFERROR(VLOOKUP($H271,PARAMETERS!$M$3:$M$1600,1,0),"---")</f>
        <v>gs_masonry_arch_proj</v>
      </c>
    </row>
    <row r="272" spans="1:12">
      <c r="A272" t="s">
        <v>9</v>
      </c>
      <c r="B272"/>
      <c r="C272"/>
      <c r="D272" t="s">
        <v>9</v>
      </c>
      <c r="E272"/>
      <c r="F272" t="s">
        <v>26</v>
      </c>
      <c r="G272" t="s">
        <v>29</v>
      </c>
      <c r="H272" t="s">
        <v>1772</v>
      </c>
      <c r="I272" t="s">
        <v>1773</v>
      </c>
      <c r="J272">
        <v>0.24</v>
      </c>
      <c r="L272" s="200" t="str">
        <f>IFERROR(VLOOKUP($H272,PARAMETERS!$M$3:$M$1600,1,0),"---")</f>
        <v>gs_masonry_arch_height</v>
      </c>
    </row>
    <row r="273" spans="1:12">
      <c r="A273" t="s">
        <v>9</v>
      </c>
      <c r="B273"/>
      <c r="C273"/>
      <c r="D273" t="s">
        <v>9</v>
      </c>
      <c r="E273"/>
      <c r="F273" t="s">
        <v>26</v>
      </c>
      <c r="G273" t="s">
        <v>29</v>
      </c>
      <c r="H273" t="s">
        <v>1774</v>
      </c>
      <c r="I273" t="s">
        <v>1775</v>
      </c>
      <c r="J273">
        <v>0.115</v>
      </c>
      <c r="L273" s="200" t="str">
        <f>IFERROR(VLOOKUP($H273,PARAMETERS!$M$3:$M$1600,1,0),"---")</f>
        <v>gs_masonry_arch_depth</v>
      </c>
    </row>
    <row r="274" spans="1:12">
      <c r="A274" t="s">
        <v>9</v>
      </c>
      <c r="B274"/>
      <c r="C274"/>
      <c r="D274" t="s">
        <v>9</v>
      </c>
      <c r="E274"/>
      <c r="F274" t="s">
        <v>26</v>
      </c>
      <c r="G274" t="s">
        <v>29</v>
      </c>
      <c r="H274" t="s">
        <v>1776</v>
      </c>
      <c r="I274" t="s">
        <v>698</v>
      </c>
      <c r="J274">
        <v>0</v>
      </c>
      <c r="L274" s="200" t="str">
        <f>IFERROR(VLOOKUP($H274,PARAMETERS!$M$3:$M$1600,1,0),"---")</f>
        <v>gs_masonry_arch_rearHoleDepth</v>
      </c>
    </row>
    <row r="275" spans="1:12">
      <c r="A275" t="s">
        <v>9</v>
      </c>
      <c r="B275"/>
      <c r="C275"/>
      <c r="D275" t="s">
        <v>9</v>
      </c>
      <c r="E275"/>
      <c r="F275" t="s">
        <v>26</v>
      </c>
      <c r="G275" t="s">
        <v>29</v>
      </c>
      <c r="H275" t="s">
        <v>1778</v>
      </c>
      <c r="I275" t="s">
        <v>708</v>
      </c>
      <c r="J275">
        <v>5.2000000000000005E-2</v>
      </c>
      <c r="L275" s="200" t="str">
        <f>IFERROR(VLOOKUP($H275,PARAMETERS!$M$3:$M$1600,1,0),"---")</f>
        <v>gs_masonry_arch_brick_thk</v>
      </c>
    </row>
    <row r="276" spans="1:12">
      <c r="A276" t="s">
        <v>9</v>
      </c>
      <c r="B276"/>
      <c r="C276"/>
      <c r="D276" t="s">
        <v>9</v>
      </c>
      <c r="E276"/>
      <c r="F276" t="s">
        <v>26</v>
      </c>
      <c r="G276" t="s">
        <v>29</v>
      </c>
      <c r="H276" t="s">
        <v>1779</v>
      </c>
      <c r="I276" t="s">
        <v>536</v>
      </c>
      <c r="J276">
        <v>0.01</v>
      </c>
      <c r="L276" s="200" t="str">
        <f>IFERROR(VLOOKUP($H276,PARAMETERS!$M$3:$M$1600,1,0),"---")</f>
        <v>gs_masonry_arch_mort_thk</v>
      </c>
    </row>
    <row r="277" spans="1:12">
      <c r="A277" t="s">
        <v>9</v>
      </c>
      <c r="B277"/>
      <c r="C277"/>
      <c r="D277" t="s">
        <v>9</v>
      </c>
      <c r="E277"/>
      <c r="F277" t="s">
        <v>26</v>
      </c>
      <c r="G277" t="s">
        <v>29</v>
      </c>
      <c r="H277" t="s">
        <v>1780</v>
      </c>
      <c r="I277" t="s">
        <v>3053</v>
      </c>
      <c r="J277">
        <v>0.1</v>
      </c>
      <c r="L277" s="200" t="str">
        <f>IFERROR(VLOOKUP($H277,PARAMETERS!$M$3:$M$1600,1,0),"---")</f>
        <v>gs_masonry_arch_keystone_width</v>
      </c>
    </row>
    <row r="278" spans="1:12">
      <c r="A278" t="s">
        <v>9</v>
      </c>
      <c r="B278"/>
      <c r="C278"/>
      <c r="D278" t="s">
        <v>9</v>
      </c>
      <c r="E278"/>
      <c r="F278" t="s">
        <v>26</v>
      </c>
      <c r="G278" t="s">
        <v>29</v>
      </c>
      <c r="H278" t="s">
        <v>1782</v>
      </c>
      <c r="I278" t="s">
        <v>3054</v>
      </c>
      <c r="J278">
        <v>0</v>
      </c>
      <c r="L278" s="200" t="str">
        <f>IFERROR(VLOOKUP($H278,PARAMETERS!$M$3:$M$1600,1,0),"---")</f>
        <v>gs_masonry_arch_keystone_osize</v>
      </c>
    </row>
    <row r="279" spans="1:12">
      <c r="A279" t="s">
        <v>9</v>
      </c>
      <c r="B279"/>
      <c r="C279"/>
      <c r="D279" t="s">
        <v>9</v>
      </c>
      <c r="E279"/>
      <c r="F279" t="s">
        <v>26</v>
      </c>
      <c r="G279" t="s">
        <v>29</v>
      </c>
      <c r="H279" t="s">
        <v>1784</v>
      </c>
      <c r="I279" t="s">
        <v>3055</v>
      </c>
      <c r="J279">
        <v>0.01</v>
      </c>
      <c r="L279" s="200" t="str">
        <f>IFERROR(VLOOKUP($H279,PARAMETERS!$M$3:$M$1600,1,0),"---")</f>
        <v>gs_masonry_arch_keystone_proj</v>
      </c>
    </row>
    <row r="280" spans="1:12">
      <c r="A280" t="s">
        <v>9</v>
      </c>
      <c r="B280"/>
      <c r="C280"/>
      <c r="D280" t="s">
        <v>9</v>
      </c>
      <c r="E280"/>
      <c r="F280" t="s">
        <v>49</v>
      </c>
      <c r="G280" t="s">
        <v>29</v>
      </c>
      <c r="H280" t="s">
        <v>1786</v>
      </c>
      <c r="I280" t="s">
        <v>1787</v>
      </c>
      <c r="J280">
        <v>0</v>
      </c>
      <c r="L280" s="200" t="str">
        <f>IFERROR(VLOOKUP($H280,PARAMETERS!$M$3:$M$1600,1,0),"---")</f>
        <v>bCustomMatNicheTop</v>
      </c>
    </row>
    <row r="281" spans="1:12">
      <c r="A281" t="s">
        <v>9</v>
      </c>
      <c r="B281"/>
      <c r="C281"/>
      <c r="D281" t="s">
        <v>9</v>
      </c>
      <c r="E281"/>
      <c r="F281" t="s">
        <v>54</v>
      </c>
      <c r="G281" t="s">
        <v>29</v>
      </c>
      <c r="H281" t="s">
        <v>1788</v>
      </c>
      <c r="I281" t="s">
        <v>1789</v>
      </c>
      <c r="J281">
        <v>7</v>
      </c>
      <c r="L281" s="200" t="str">
        <f>IFERROR(VLOOKUP($H281,PARAMETERS!$M$3:$M$1600,1,0),"---")</f>
        <v>gs_masonry_arch_fill</v>
      </c>
    </row>
    <row r="282" spans="1:12">
      <c r="A282" t="s">
        <v>9</v>
      </c>
      <c r="B282"/>
      <c r="C282"/>
      <c r="D282" t="s">
        <v>9</v>
      </c>
      <c r="E282"/>
      <c r="F282" t="s">
        <v>55</v>
      </c>
      <c r="G282" t="s">
        <v>29</v>
      </c>
      <c r="H282" t="s">
        <v>1790</v>
      </c>
      <c r="I282" t="s">
        <v>1791</v>
      </c>
      <c r="J282">
        <v>3</v>
      </c>
      <c r="L282" s="200" t="str">
        <f>IFERROR(VLOOKUP($H282,PARAMETERS!$M$3:$M$1600,1,0),"---")</f>
        <v>gs_masonry_arch_pen_fg</v>
      </c>
    </row>
    <row r="283" spans="1:12">
      <c r="A283" t="s">
        <v>9</v>
      </c>
      <c r="B283"/>
      <c r="C283"/>
      <c r="D283" t="s">
        <v>9</v>
      </c>
      <c r="E283"/>
      <c r="F283" t="s">
        <v>55</v>
      </c>
      <c r="G283" t="s">
        <v>29</v>
      </c>
      <c r="H283" t="s">
        <v>1792</v>
      </c>
      <c r="I283" t="s">
        <v>1793</v>
      </c>
      <c r="J283">
        <v>91</v>
      </c>
      <c r="L283" s="200" t="str">
        <f>IFERROR(VLOOKUP($H283,PARAMETERS!$M$3:$M$1600,1,0),"---")</f>
        <v>gs_masonry_arch_pen_bg</v>
      </c>
    </row>
    <row r="284" spans="1:12">
      <c r="A284" t="s">
        <v>9</v>
      </c>
      <c r="B284"/>
      <c r="C284"/>
      <c r="D284" t="s">
        <v>9</v>
      </c>
      <c r="E284"/>
      <c r="F284" t="s">
        <v>55</v>
      </c>
      <c r="G284" t="s">
        <v>29</v>
      </c>
      <c r="H284" t="s">
        <v>1794</v>
      </c>
      <c r="I284" t="s">
        <v>1795</v>
      </c>
      <c r="J284">
        <v>10</v>
      </c>
      <c r="L284" s="200" t="str">
        <f>IFERROR(VLOOKUP($H284,PARAMETERS!$M$3:$M$1600,1,0),"---")</f>
        <v>gs_masonry_arch_pen</v>
      </c>
    </row>
    <row r="285" spans="1:12">
      <c r="A285" t="s">
        <v>9</v>
      </c>
      <c r="B285"/>
      <c r="C285"/>
      <c r="D285" t="s">
        <v>9</v>
      </c>
      <c r="E285"/>
      <c r="F285" t="s">
        <v>52</v>
      </c>
      <c r="G285" t="s">
        <v>29</v>
      </c>
      <c r="H285" t="s">
        <v>1796</v>
      </c>
      <c r="I285" t="s">
        <v>1797</v>
      </c>
      <c r="J285">
        <v>35</v>
      </c>
      <c r="L285" s="200" t="str">
        <f>IFERROR(VLOOKUP($H285,PARAMETERS!$M$3:$M$1600,1,0),"---")</f>
        <v>gs_masonry_arch_brick_mat</v>
      </c>
    </row>
    <row r="286" spans="1:12">
      <c r="A286" t="s">
        <v>9</v>
      </c>
      <c r="B286"/>
      <c r="C286"/>
      <c r="D286" t="s">
        <v>9</v>
      </c>
      <c r="E286"/>
      <c r="F286" t="s">
        <v>52</v>
      </c>
      <c r="G286" t="s">
        <v>29</v>
      </c>
      <c r="H286" t="s">
        <v>1798</v>
      </c>
      <c r="I286" t="s">
        <v>1799</v>
      </c>
      <c r="J286">
        <v>48</v>
      </c>
      <c r="L286" s="200" t="str">
        <f>IFERROR(VLOOKUP($H286,PARAMETERS!$M$3:$M$1600,1,0),"---")</f>
        <v>gs_masonry_arch_mort_mat</v>
      </c>
    </row>
    <row r="287" spans="1:12">
      <c r="A287" t="s">
        <v>9</v>
      </c>
      <c r="B287"/>
      <c r="C287"/>
      <c r="D287" t="s">
        <v>9</v>
      </c>
      <c r="E287"/>
      <c r="F287" t="s">
        <v>52</v>
      </c>
      <c r="G287" t="s">
        <v>29</v>
      </c>
      <c r="H287" t="s">
        <v>1800</v>
      </c>
      <c r="I287" t="s">
        <v>1801</v>
      </c>
      <c r="J287">
        <v>5</v>
      </c>
      <c r="L287" s="200" t="str">
        <f>IFERROR(VLOOKUP($H287,PARAMETERS!$M$3:$M$1600,1,0),"---")</f>
        <v>gs_masonry_arch_keystone_mat</v>
      </c>
    </row>
    <row r="288" spans="1:12">
      <c r="A288" t="s">
        <v>9</v>
      </c>
      <c r="B288"/>
      <c r="C288"/>
      <c r="D288" t="s">
        <v>9</v>
      </c>
      <c r="E288"/>
      <c r="F288" t="s">
        <v>52</v>
      </c>
      <c r="G288" t="s">
        <v>29</v>
      </c>
      <c r="H288" t="s">
        <v>1802</v>
      </c>
      <c r="I288" t="s">
        <v>1803</v>
      </c>
      <c r="J288">
        <v>122</v>
      </c>
      <c r="L288" s="200" t="str">
        <f>IFERROR(VLOOKUP($H288,PARAMETERS!$M$3:$M$1600,1,0),"---")</f>
        <v>matNicheTop</v>
      </c>
    </row>
    <row r="289" spans="1:12">
      <c r="A289" t="s">
        <v>9</v>
      </c>
      <c r="B289"/>
      <c r="C289" t="s">
        <v>9</v>
      </c>
      <c r="D289"/>
      <c r="E289"/>
      <c r="F289" t="s">
        <v>20</v>
      </c>
      <c r="G289" t="s">
        <v>29</v>
      </c>
      <c r="H289" t="s">
        <v>1875</v>
      </c>
      <c r="I289" t="s">
        <v>1876</v>
      </c>
      <c r="J289" t="s">
        <v>3056</v>
      </c>
      <c r="L289" s="200" t="str">
        <f>IFERROR(VLOOKUP($H289,PARAMETERS!$M$3:$M$1600,1,0),"---")</f>
        <v>gs_reveal_type_new</v>
      </c>
    </row>
    <row r="290" spans="1:12">
      <c r="A290" t="s">
        <v>9</v>
      </c>
      <c r="B290" t="s">
        <v>9</v>
      </c>
      <c r="C290" t="s">
        <v>9</v>
      </c>
      <c r="D290" t="s">
        <v>9</v>
      </c>
      <c r="E290"/>
      <c r="F290" t="s">
        <v>46</v>
      </c>
      <c r="G290" t="s">
        <v>29</v>
      </c>
      <c r="H290" t="s">
        <v>1878</v>
      </c>
      <c r="I290" t="s">
        <v>1876</v>
      </c>
      <c r="J290">
        <v>1</v>
      </c>
      <c r="L290" s="200" t="str">
        <f>IFERROR(VLOOKUP($H290,PARAMETERS!$M$3:$M$1600,1,0),"---")</f>
        <v>gs_reveal_type_int</v>
      </c>
    </row>
    <row r="291" spans="1:12">
      <c r="A291" t="s">
        <v>9</v>
      </c>
      <c r="B291"/>
      <c r="C291"/>
      <c r="D291" t="s">
        <v>9</v>
      </c>
      <c r="E291"/>
      <c r="F291" t="s">
        <v>20</v>
      </c>
      <c r="G291" t="s">
        <v>29</v>
      </c>
      <c r="H291" t="s">
        <v>1879</v>
      </c>
      <c r="I291" t="s">
        <v>1880</v>
      </c>
      <c r="J291" t="s">
        <v>1881</v>
      </c>
      <c r="L291" s="200" t="str">
        <f>IFERROR(VLOOKUP($H291,PARAMETERS!$M$3:$M$1600,1,0),"---")</f>
        <v>gs_reveal_type_bottom</v>
      </c>
    </row>
    <row r="292" spans="1:12">
      <c r="A292" t="s">
        <v>9</v>
      </c>
      <c r="B292" t="s">
        <v>9</v>
      </c>
      <c r="C292"/>
      <c r="D292" t="s">
        <v>9</v>
      </c>
      <c r="E292"/>
      <c r="F292" t="s">
        <v>46</v>
      </c>
      <c r="G292" t="s">
        <v>29</v>
      </c>
      <c r="H292" t="s">
        <v>1882</v>
      </c>
      <c r="I292" t="s">
        <v>1880</v>
      </c>
      <c r="J292">
        <v>2</v>
      </c>
      <c r="L292" s="200" t="str">
        <f>IFERROR(VLOOKUP($H292,PARAMETERS!$M$3:$M$1600,1,0),"---")</f>
        <v>gs_reveal_type_bottom_int</v>
      </c>
    </row>
    <row r="293" spans="1:12">
      <c r="A293" t="s">
        <v>9</v>
      </c>
      <c r="B293"/>
      <c r="C293"/>
      <c r="D293" t="s">
        <v>9</v>
      </c>
      <c r="E293"/>
      <c r="F293" t="s">
        <v>26</v>
      </c>
      <c r="G293" t="s">
        <v>29</v>
      </c>
      <c r="H293" t="s">
        <v>1883</v>
      </c>
      <c r="I293" t="s">
        <v>1884</v>
      </c>
      <c r="J293">
        <v>0</v>
      </c>
      <c r="L293" s="200" t="str">
        <f>IFERROR(VLOOKUP($H293,PARAMETERS!$M$3:$M$1600,1,0),"---")</f>
        <v>gs_wido_sill</v>
      </c>
    </row>
    <row r="294" spans="1:12">
      <c r="A294" t="s">
        <v>9</v>
      </c>
      <c r="B294" t="s">
        <v>9</v>
      </c>
      <c r="C294"/>
      <c r="D294" t="s">
        <v>9</v>
      </c>
      <c r="E294"/>
      <c r="F294" t="s">
        <v>26</v>
      </c>
      <c r="G294" t="s">
        <v>29</v>
      </c>
      <c r="H294" t="s">
        <v>1885</v>
      </c>
      <c r="I294" t="s">
        <v>1884</v>
      </c>
      <c r="J294">
        <v>0</v>
      </c>
      <c r="L294" s="200" t="str">
        <f>IFERROR(VLOOKUP($H294,PARAMETERS!$M$3:$M$1600,1,0),"---")</f>
        <v>AC_wido_sill</v>
      </c>
    </row>
    <row r="295" spans="1:12">
      <c r="A295" t="s">
        <v>9</v>
      </c>
      <c r="B295"/>
      <c r="C295"/>
      <c r="D295" t="s">
        <v>9</v>
      </c>
      <c r="E295"/>
      <c r="F295" t="s">
        <v>20</v>
      </c>
      <c r="G295" t="s">
        <v>29</v>
      </c>
      <c r="H295" t="s">
        <v>1886</v>
      </c>
      <c r="I295" t="s">
        <v>1887</v>
      </c>
      <c r="J295" t="s">
        <v>1881</v>
      </c>
      <c r="L295" s="200" t="str">
        <f>IFERROR(VLOOKUP($H295,PARAMETERS!$M$3:$M$1600,1,0),"---")</f>
        <v>gs_reveal_type</v>
      </c>
    </row>
    <row r="296" spans="1:12">
      <c r="A296" t="s">
        <v>9</v>
      </c>
      <c r="B296" t="s">
        <v>9</v>
      </c>
      <c r="C296"/>
      <c r="D296" t="s">
        <v>9</v>
      </c>
      <c r="E296"/>
      <c r="F296" t="s">
        <v>46</v>
      </c>
      <c r="G296" t="s">
        <v>29</v>
      </c>
      <c r="H296" t="s">
        <v>1889</v>
      </c>
      <c r="I296" t="s">
        <v>1876</v>
      </c>
      <c r="J296">
        <v>0</v>
      </c>
      <c r="L296" s="200" t="str">
        <f>IFERROR(VLOOKUP($H296,PARAMETERS!$M$3:$M$1600,1,0),"---")</f>
        <v>gs_reveal_doubleOuterTypeInt</v>
      </c>
    </row>
    <row r="297" spans="1:12">
      <c r="A297" t="s">
        <v>9</v>
      </c>
      <c r="B297"/>
      <c r="C297"/>
      <c r="D297" t="s">
        <v>9</v>
      </c>
      <c r="E297"/>
      <c r="F297" t="s">
        <v>20</v>
      </c>
      <c r="G297" t="s">
        <v>29</v>
      </c>
      <c r="H297" t="s">
        <v>1890</v>
      </c>
      <c r="I297" t="s">
        <v>1891</v>
      </c>
      <c r="J297" t="s">
        <v>1881</v>
      </c>
      <c r="L297" s="200" t="str">
        <f>IFERROR(VLOOKUP($H297,PARAMETERS!$M$3:$M$1600,1,0),"---")</f>
        <v>gs_reveal_double_innerType</v>
      </c>
    </row>
    <row r="298" spans="1:12">
      <c r="A298" t="s">
        <v>9</v>
      </c>
      <c r="B298" t="s">
        <v>9</v>
      </c>
      <c r="C298"/>
      <c r="D298" t="s">
        <v>9</v>
      </c>
      <c r="E298"/>
      <c r="F298" t="s">
        <v>46</v>
      </c>
      <c r="G298" t="s">
        <v>29</v>
      </c>
      <c r="H298" t="s">
        <v>1892</v>
      </c>
      <c r="I298" t="s">
        <v>1876</v>
      </c>
      <c r="J298">
        <v>0</v>
      </c>
      <c r="L298" s="200" t="str">
        <f>IFERROR(VLOOKUP($H298,PARAMETERS!$M$3:$M$1600,1,0),"---")</f>
        <v>gs_reveal_doubleInnerTypeInt</v>
      </c>
    </row>
    <row r="299" spans="1:12">
      <c r="A299" t="s">
        <v>9</v>
      </c>
      <c r="B299"/>
      <c r="C299"/>
      <c r="D299" t="s">
        <v>9</v>
      </c>
      <c r="E299"/>
      <c r="F299" t="s">
        <v>49</v>
      </c>
      <c r="G299" t="s">
        <v>29</v>
      </c>
      <c r="H299" t="s">
        <v>1893</v>
      </c>
      <c r="I299" t="s">
        <v>1894</v>
      </c>
      <c r="J299">
        <v>1</v>
      </c>
      <c r="L299" s="200" t="str">
        <f>IFERROR(VLOOKUP($H299,PARAMETERS!$M$3:$M$1600,1,0),"---")</f>
        <v>gs_reveal_uniform</v>
      </c>
    </row>
    <row r="300" spans="1:12">
      <c r="A300" t="s">
        <v>9</v>
      </c>
      <c r="B300"/>
      <c r="C300"/>
      <c r="D300" t="s">
        <v>9</v>
      </c>
      <c r="E300"/>
      <c r="F300" t="s">
        <v>26</v>
      </c>
      <c r="G300" t="s">
        <v>29</v>
      </c>
      <c r="H300" t="s">
        <v>1895</v>
      </c>
      <c r="I300" t="s">
        <v>1896</v>
      </c>
      <c r="J300">
        <v>0.05</v>
      </c>
      <c r="L300" s="200" t="str">
        <f>IFERROR(VLOOKUP($H300,PARAMETERS!$M$3:$M$1600,1,0),"---")</f>
        <v>gs_reveal_left</v>
      </c>
    </row>
    <row r="301" spans="1:12">
      <c r="A301" t="s">
        <v>9</v>
      </c>
      <c r="B301"/>
      <c r="C301"/>
      <c r="D301" t="s">
        <v>9</v>
      </c>
      <c r="E301"/>
      <c r="F301" t="s">
        <v>26</v>
      </c>
      <c r="G301" t="s">
        <v>29</v>
      </c>
      <c r="H301" t="s">
        <v>1897</v>
      </c>
      <c r="I301" t="s">
        <v>1898</v>
      </c>
      <c r="J301">
        <v>0.05</v>
      </c>
      <c r="L301" s="200" t="str">
        <f>IFERROR(VLOOKUP($H301,PARAMETERS!$M$3:$M$1600,1,0),"---")</f>
        <v>gs_reveal_right</v>
      </c>
    </row>
    <row r="302" spans="1:12">
      <c r="A302" t="s">
        <v>9</v>
      </c>
      <c r="B302"/>
      <c r="C302"/>
      <c r="D302" t="s">
        <v>9</v>
      </c>
      <c r="E302"/>
      <c r="F302" t="s">
        <v>26</v>
      </c>
      <c r="G302" t="s">
        <v>29</v>
      </c>
      <c r="H302" t="s">
        <v>1899</v>
      </c>
      <c r="I302" t="s">
        <v>1900</v>
      </c>
      <c r="J302">
        <v>0.06</v>
      </c>
      <c r="L302" s="200" t="str">
        <f>IFERROR(VLOOKUP($H302,PARAMETERS!$M$3:$M$1600,1,0),"---")</f>
        <v>gs_reveal_splayed_innerLeft</v>
      </c>
    </row>
    <row r="303" spans="1:12">
      <c r="A303" t="s">
        <v>9</v>
      </c>
      <c r="B303"/>
      <c r="C303"/>
      <c r="D303" t="s">
        <v>9</v>
      </c>
      <c r="E303"/>
      <c r="F303" t="s">
        <v>26</v>
      </c>
      <c r="G303" t="s">
        <v>29</v>
      </c>
      <c r="H303" t="s">
        <v>1901</v>
      </c>
      <c r="I303" t="s">
        <v>1902</v>
      </c>
      <c r="J303">
        <v>0.06</v>
      </c>
      <c r="L303" s="200" t="str">
        <f>IFERROR(VLOOKUP($H303,PARAMETERS!$M$3:$M$1600,1,0),"---")</f>
        <v>gs_reveal_splayed_innerRight</v>
      </c>
    </row>
    <row r="304" spans="1:12">
      <c r="A304" t="s">
        <v>9</v>
      </c>
      <c r="B304"/>
      <c r="C304"/>
      <c r="D304" t="s">
        <v>9</v>
      </c>
      <c r="E304"/>
      <c r="F304" t="s">
        <v>26</v>
      </c>
      <c r="G304" t="s">
        <v>29</v>
      </c>
      <c r="H304" t="s">
        <v>1903</v>
      </c>
      <c r="I304" t="s">
        <v>1900</v>
      </c>
      <c r="J304">
        <v>0.06</v>
      </c>
      <c r="L304" s="200" t="str">
        <f>IFERROR(VLOOKUP($H304,PARAMETERS!$M$3:$M$1600,1,0),"---")</f>
        <v>gs_reveal_double_innerLeft</v>
      </c>
    </row>
    <row r="305" spans="1:12">
      <c r="A305" t="s">
        <v>9</v>
      </c>
      <c r="B305"/>
      <c r="C305"/>
      <c r="D305" t="s">
        <v>9</v>
      </c>
      <c r="E305"/>
      <c r="F305" t="s">
        <v>26</v>
      </c>
      <c r="G305" t="s">
        <v>29</v>
      </c>
      <c r="H305" t="s">
        <v>1904</v>
      </c>
      <c r="I305" t="s">
        <v>1902</v>
      </c>
      <c r="J305">
        <v>0.06</v>
      </c>
      <c r="L305" s="200" t="str">
        <f>IFERROR(VLOOKUP($H305,PARAMETERS!$M$3:$M$1600,1,0),"---")</f>
        <v>gs_reveal_double_innerRight</v>
      </c>
    </row>
    <row r="306" spans="1:12">
      <c r="A306" t="s">
        <v>9</v>
      </c>
      <c r="B306"/>
      <c r="C306"/>
      <c r="D306" t="s">
        <v>9</v>
      </c>
      <c r="E306"/>
      <c r="F306" t="s">
        <v>26</v>
      </c>
      <c r="G306" t="s">
        <v>29</v>
      </c>
      <c r="H306" t="s">
        <v>1905</v>
      </c>
      <c r="I306" t="s">
        <v>1906</v>
      </c>
      <c r="J306">
        <v>0.05</v>
      </c>
      <c r="L306" s="200" t="str">
        <f>IFERROR(VLOOKUP($H306,PARAMETERS!$M$3:$M$1600,1,0),"---")</f>
        <v>gs_reveal_top</v>
      </c>
    </row>
    <row r="307" spans="1:12">
      <c r="A307" t="s">
        <v>9</v>
      </c>
      <c r="B307"/>
      <c r="C307"/>
      <c r="D307" t="s">
        <v>9</v>
      </c>
      <c r="E307"/>
      <c r="F307" t="s">
        <v>26</v>
      </c>
      <c r="G307" t="s">
        <v>29</v>
      </c>
      <c r="H307" t="s">
        <v>1907</v>
      </c>
      <c r="I307" t="s">
        <v>1908</v>
      </c>
      <c r="J307">
        <v>0.06</v>
      </c>
      <c r="L307" s="200" t="str">
        <f>IFERROR(VLOOKUP($H307,PARAMETERS!$M$3:$M$1600,1,0),"---")</f>
        <v>gs_reveal_bottom</v>
      </c>
    </row>
    <row r="308" spans="1:12">
      <c r="A308" t="s">
        <v>9</v>
      </c>
      <c r="B308"/>
      <c r="C308"/>
      <c r="D308" t="s">
        <v>9</v>
      </c>
      <c r="E308"/>
      <c r="F308" t="s">
        <v>26</v>
      </c>
      <c r="G308" t="s">
        <v>29</v>
      </c>
      <c r="H308" t="s">
        <v>1909</v>
      </c>
      <c r="I308" t="s">
        <v>1910</v>
      </c>
      <c r="J308">
        <v>0.06</v>
      </c>
      <c r="L308" s="200" t="str">
        <f>IFERROR(VLOOKUP($H308,PARAMETERS!$M$3:$M$1600,1,0),"---")</f>
        <v>gs_reveal_splayed_innerTop</v>
      </c>
    </row>
    <row r="309" spans="1:12">
      <c r="A309" t="s">
        <v>9</v>
      </c>
      <c r="B309"/>
      <c r="C309"/>
      <c r="D309" t="s">
        <v>9</v>
      </c>
      <c r="E309"/>
      <c r="F309" t="s">
        <v>26</v>
      </c>
      <c r="G309" t="s">
        <v>29</v>
      </c>
      <c r="H309" t="s">
        <v>1911</v>
      </c>
      <c r="I309" t="s">
        <v>1912</v>
      </c>
      <c r="J309">
        <v>0</v>
      </c>
      <c r="L309" s="200" t="str">
        <f>IFERROR(VLOOKUP($H309,PARAMETERS!$M$3:$M$1600,1,0),"---")</f>
        <v>gs_reveal_splayed_innerBottom</v>
      </c>
    </row>
    <row r="310" spans="1:12">
      <c r="A310" t="s">
        <v>9</v>
      </c>
      <c r="B310"/>
      <c r="C310"/>
      <c r="D310" t="s">
        <v>9</v>
      </c>
      <c r="E310"/>
      <c r="F310" t="s">
        <v>26</v>
      </c>
      <c r="G310" t="s">
        <v>29</v>
      </c>
      <c r="H310" t="s">
        <v>1913</v>
      </c>
      <c r="I310" t="s">
        <v>1910</v>
      </c>
      <c r="J310">
        <v>0.06</v>
      </c>
      <c r="L310" s="200" t="str">
        <f>IFERROR(VLOOKUP($H310,PARAMETERS!$M$3:$M$1600,1,0),"---")</f>
        <v>gs_reveal_double_innerTop</v>
      </c>
    </row>
    <row r="311" spans="1:12">
      <c r="A311" t="s">
        <v>9</v>
      </c>
      <c r="B311"/>
      <c r="C311"/>
      <c r="D311" t="s">
        <v>9</v>
      </c>
      <c r="E311"/>
      <c r="F311" t="s">
        <v>26</v>
      </c>
      <c r="G311" t="s">
        <v>29</v>
      </c>
      <c r="H311" t="s">
        <v>1914</v>
      </c>
      <c r="I311" t="s">
        <v>1912</v>
      </c>
      <c r="J311">
        <v>0</v>
      </c>
      <c r="L311" s="200" t="str">
        <f>IFERROR(VLOOKUP($H311,PARAMETERS!$M$3:$M$1600,1,0),"---")</f>
        <v>gs_reveal_double_innerBottom</v>
      </c>
    </row>
    <row r="312" spans="1:12">
      <c r="A312" t="s">
        <v>9</v>
      </c>
      <c r="B312"/>
      <c r="C312"/>
      <c r="D312" t="s">
        <v>9</v>
      </c>
      <c r="E312"/>
      <c r="F312" t="s">
        <v>26</v>
      </c>
      <c r="G312" t="s">
        <v>29</v>
      </c>
      <c r="H312" t="s">
        <v>1915</v>
      </c>
      <c r="I312" t="s">
        <v>1916</v>
      </c>
      <c r="J312">
        <v>0.05</v>
      </c>
      <c r="L312" s="200" t="str">
        <f>IFERROR(VLOOKUP($H312,PARAMETERS!$M$3:$M$1600,1,0),"---")</f>
        <v>gs_reveal_outer_jamb_depth</v>
      </c>
    </row>
    <row r="313" spans="1:12">
      <c r="A313" t="s">
        <v>9</v>
      </c>
      <c r="B313"/>
      <c r="C313"/>
      <c r="D313" t="s">
        <v>9</v>
      </c>
      <c r="E313"/>
      <c r="F313" t="s">
        <v>20</v>
      </c>
      <c r="G313" t="s">
        <v>29</v>
      </c>
      <c r="H313" t="s">
        <v>1917</v>
      </c>
      <c r="I313" t="s">
        <v>1918</v>
      </c>
      <c r="J313" t="s">
        <v>1919</v>
      </c>
      <c r="L313" s="200" t="str">
        <f>IFERROR(VLOOKUP($H313,PARAMETERS!$M$3:$M$1600,1,0),"---")</f>
        <v>gs_reveal_angle_edit_by</v>
      </c>
    </row>
    <row r="314" spans="1:12">
      <c r="A314" t="s">
        <v>9</v>
      </c>
      <c r="B314" t="s">
        <v>9</v>
      </c>
      <c r="C314"/>
      <c r="D314" t="s">
        <v>9</v>
      </c>
      <c r="E314"/>
      <c r="F314" t="s">
        <v>46</v>
      </c>
      <c r="G314" t="s">
        <v>29</v>
      </c>
      <c r="H314" t="s">
        <v>1920</v>
      </c>
      <c r="I314" t="s">
        <v>1918</v>
      </c>
      <c r="J314">
        <v>1</v>
      </c>
      <c r="L314" s="200" t="str">
        <f>IFERROR(VLOOKUP($H314,PARAMETERS!$M$3:$M$1600,1,0),"---")</f>
        <v>gs_reveal_angle_edit_by_int</v>
      </c>
    </row>
    <row r="315" spans="1:12">
      <c r="A315" t="s">
        <v>9</v>
      </c>
      <c r="B315"/>
      <c r="C315"/>
      <c r="D315" t="s">
        <v>9</v>
      </c>
      <c r="E315"/>
      <c r="F315" t="s">
        <v>33</v>
      </c>
      <c r="G315" t="s">
        <v>29</v>
      </c>
      <c r="H315" t="s">
        <v>1921</v>
      </c>
      <c r="I315" t="s">
        <v>1922</v>
      </c>
      <c r="J315">
        <v>20</v>
      </c>
      <c r="L315" s="200" t="str">
        <f>IFERROR(VLOOKUP($H315,PARAMETERS!$M$3:$M$1600,1,0),"---")</f>
        <v>gs_reveal_left_angle</v>
      </c>
    </row>
    <row r="316" spans="1:12">
      <c r="A316" t="s">
        <v>9</v>
      </c>
      <c r="B316"/>
      <c r="C316"/>
      <c r="D316" t="s">
        <v>9</v>
      </c>
      <c r="E316"/>
      <c r="F316" t="s">
        <v>33</v>
      </c>
      <c r="G316" t="s">
        <v>29</v>
      </c>
      <c r="H316" t="s">
        <v>1923</v>
      </c>
      <c r="I316" t="s">
        <v>1924</v>
      </c>
      <c r="J316">
        <v>20</v>
      </c>
      <c r="L316" s="200" t="str">
        <f>IFERROR(VLOOKUP($H316,PARAMETERS!$M$3:$M$1600,1,0),"---")</f>
        <v>gs_reveal_right_angle</v>
      </c>
    </row>
    <row r="317" spans="1:12" s="112" customFormat="1">
      <c r="A317" t="s">
        <v>9</v>
      </c>
      <c r="B317"/>
      <c r="C317"/>
      <c r="D317" t="s">
        <v>9</v>
      </c>
      <c r="E317"/>
      <c r="F317" t="s">
        <v>33</v>
      </c>
      <c r="G317" t="s">
        <v>29</v>
      </c>
      <c r="H317" t="s">
        <v>1925</v>
      </c>
      <c r="I317" t="s">
        <v>1926</v>
      </c>
      <c r="J317">
        <v>20</v>
      </c>
      <c r="L317" s="201" t="str">
        <f>IFERROR(VLOOKUP($H317,PARAMETERS!$M$3:$M$1600,1,0),"---")</f>
        <v>gs_reveal_top_angle</v>
      </c>
    </row>
    <row r="318" spans="1:12">
      <c r="A318" t="s">
        <v>9</v>
      </c>
      <c r="B318"/>
      <c r="C318"/>
      <c r="D318" t="s">
        <v>9</v>
      </c>
      <c r="E318"/>
      <c r="F318" t="s">
        <v>33</v>
      </c>
      <c r="G318" t="s">
        <v>29</v>
      </c>
      <c r="H318" t="s">
        <v>1927</v>
      </c>
      <c r="I318" t="s">
        <v>1928</v>
      </c>
      <c r="J318">
        <v>0</v>
      </c>
      <c r="L318" s="200" t="str">
        <f>IFERROR(VLOOKUP($H318,PARAMETERS!$M$3:$M$1600,1,0),"---")</f>
        <v>gs_reveal_bottom_angle</v>
      </c>
    </row>
    <row r="319" spans="1:12">
      <c r="A319" t="s">
        <v>9</v>
      </c>
      <c r="B319"/>
      <c r="C319"/>
      <c r="D319" t="s">
        <v>9</v>
      </c>
      <c r="E319"/>
      <c r="F319" t="s">
        <v>26</v>
      </c>
      <c r="G319" t="s">
        <v>29</v>
      </c>
      <c r="H319" t="s">
        <v>1929</v>
      </c>
      <c r="I319" t="s">
        <v>1930</v>
      </c>
      <c r="J319">
        <v>-1</v>
      </c>
      <c r="L319" s="200" t="str">
        <f>IFERROR(VLOOKUP($H319,PARAMETERS!$M$3:$M$1600,1,0),"---")</f>
        <v>gs_reveal_innerLeft_width</v>
      </c>
    </row>
    <row r="320" spans="1:12">
      <c r="A320" t="s">
        <v>9</v>
      </c>
      <c r="B320"/>
      <c r="C320"/>
      <c r="D320" t="s">
        <v>9</v>
      </c>
      <c r="E320"/>
      <c r="F320" t="s">
        <v>26</v>
      </c>
      <c r="G320" t="s">
        <v>29</v>
      </c>
      <c r="H320" t="s">
        <v>1931</v>
      </c>
      <c r="I320" t="s">
        <v>1932</v>
      </c>
      <c r="J320">
        <v>-1</v>
      </c>
      <c r="L320" s="200" t="str">
        <f>IFERROR(VLOOKUP($H320,PARAMETERS!$M$3:$M$1600,1,0),"---")</f>
        <v>gs_reveal_innerRight_width</v>
      </c>
    </row>
    <row r="321" spans="1:12">
      <c r="A321" t="s">
        <v>9</v>
      </c>
      <c r="B321"/>
      <c r="C321"/>
      <c r="D321" t="s">
        <v>9</v>
      </c>
      <c r="E321"/>
      <c r="F321" t="s">
        <v>26</v>
      </c>
      <c r="G321" t="s">
        <v>29</v>
      </c>
      <c r="H321" t="s">
        <v>1933</v>
      </c>
      <c r="I321" t="s">
        <v>1934</v>
      </c>
      <c r="J321">
        <v>-1</v>
      </c>
      <c r="L321" s="200" t="str">
        <f>IFERROR(VLOOKUP($H321,PARAMETERS!$M$3:$M$1600,1,0),"---")</f>
        <v>gs_reveal_innerTop_width</v>
      </c>
    </row>
    <row r="322" spans="1:12">
      <c r="A322" t="s">
        <v>9</v>
      </c>
      <c r="B322"/>
      <c r="C322"/>
      <c r="D322" t="s">
        <v>9</v>
      </c>
      <c r="E322"/>
      <c r="F322" t="s">
        <v>26</v>
      </c>
      <c r="G322" t="s">
        <v>29</v>
      </c>
      <c r="H322" t="s">
        <v>1935</v>
      </c>
      <c r="I322" t="s">
        <v>1936</v>
      </c>
      <c r="J322">
        <v>-1</v>
      </c>
      <c r="L322" s="200" t="str">
        <f>IFERROR(VLOOKUP($H322,PARAMETERS!$M$3:$M$1600,1,0),"---")</f>
        <v>gs_reveal_innerBottom_width</v>
      </c>
    </row>
    <row r="323" spans="1:12">
      <c r="A323" t="s">
        <v>9</v>
      </c>
      <c r="B323"/>
      <c r="C323"/>
      <c r="D323" t="s">
        <v>9</v>
      </c>
      <c r="E323"/>
      <c r="F323" t="s">
        <v>33</v>
      </c>
      <c r="G323" t="s">
        <v>29</v>
      </c>
      <c r="H323" t="s">
        <v>1937</v>
      </c>
      <c r="I323" t="s">
        <v>1938</v>
      </c>
      <c r="J323">
        <v>20</v>
      </c>
      <c r="L323" s="200" t="str">
        <f>IFERROR(VLOOKUP($H323,PARAMETERS!$M$3:$M$1600,1,0),"---")</f>
        <v>gs_reveal_outerLeft_angle</v>
      </c>
    </row>
    <row r="324" spans="1:12">
      <c r="A324" t="s">
        <v>9</v>
      </c>
      <c r="B324"/>
      <c r="C324"/>
      <c r="D324" t="s">
        <v>9</v>
      </c>
      <c r="E324"/>
      <c r="F324" t="s">
        <v>33</v>
      </c>
      <c r="G324" t="s">
        <v>29</v>
      </c>
      <c r="H324" t="s">
        <v>1939</v>
      </c>
      <c r="I324" t="s">
        <v>1940</v>
      </c>
      <c r="J324">
        <v>20</v>
      </c>
      <c r="L324" s="200" t="str">
        <f>IFERROR(VLOOKUP($H324,PARAMETERS!$M$3:$M$1600,1,0),"---")</f>
        <v>gs_reveal_outerRight_angle</v>
      </c>
    </row>
    <row r="325" spans="1:12">
      <c r="A325" t="s">
        <v>9</v>
      </c>
      <c r="B325"/>
      <c r="C325"/>
      <c r="D325" t="s">
        <v>9</v>
      </c>
      <c r="E325"/>
      <c r="F325" t="s">
        <v>33</v>
      </c>
      <c r="G325" t="s">
        <v>29</v>
      </c>
      <c r="H325" t="s">
        <v>1941</v>
      </c>
      <c r="I325" t="s">
        <v>1942</v>
      </c>
      <c r="J325">
        <v>20</v>
      </c>
      <c r="L325" s="200" t="str">
        <f>IFERROR(VLOOKUP($H325,PARAMETERS!$M$3:$M$1600,1,0),"---")</f>
        <v>gs_reveal_outerTop_angle</v>
      </c>
    </row>
    <row r="326" spans="1:12">
      <c r="A326" t="s">
        <v>9</v>
      </c>
      <c r="B326"/>
      <c r="C326"/>
      <c r="D326" t="s">
        <v>9</v>
      </c>
      <c r="E326"/>
      <c r="F326" t="s">
        <v>33</v>
      </c>
      <c r="G326" t="s">
        <v>29</v>
      </c>
      <c r="H326" t="s">
        <v>1943</v>
      </c>
      <c r="I326" t="s">
        <v>1944</v>
      </c>
      <c r="J326">
        <v>0</v>
      </c>
      <c r="L326" s="200" t="str">
        <f>IFERROR(VLOOKUP($H326,PARAMETERS!$M$3:$M$1600,1,0),"---")</f>
        <v>gs_reveal_outerBottom_angle</v>
      </c>
    </row>
    <row r="327" spans="1:12">
      <c r="A327" t="s">
        <v>9</v>
      </c>
      <c r="B327" t="s">
        <v>9</v>
      </c>
      <c r="C327"/>
      <c r="D327" t="s">
        <v>9</v>
      </c>
      <c r="E327" t="s">
        <v>9</v>
      </c>
      <c r="F327" t="s">
        <v>49</v>
      </c>
      <c r="G327" t="s">
        <v>29</v>
      </c>
      <c r="H327" t="s">
        <v>1945</v>
      </c>
      <c r="J327">
        <v>0</v>
      </c>
      <c r="L327" s="200" t="str">
        <f>IFERROR(VLOOKUP($H327,PARAMETERS!$M$3:$M$1600,1,0),"---")</f>
        <v>gs_reveal_auto_changed_by_cc</v>
      </c>
    </row>
    <row r="328" spans="1:12">
      <c r="A328" t="s">
        <v>9</v>
      </c>
      <c r="B328"/>
      <c r="C328"/>
      <c r="D328" t="s">
        <v>9</v>
      </c>
      <c r="E328"/>
      <c r="F328" t="s">
        <v>26</v>
      </c>
      <c r="G328" t="s">
        <v>29</v>
      </c>
      <c r="H328" t="s">
        <v>1946</v>
      </c>
      <c r="I328" t="s">
        <v>1947</v>
      </c>
      <c r="J328">
        <v>-1</v>
      </c>
      <c r="L328" s="200" t="str">
        <f>IFERROR(VLOOKUP($H328,PARAMETERS!$M$3:$M$1600,1,0),"---")</f>
        <v>gs_reveal_outerLeft_width</v>
      </c>
    </row>
    <row r="329" spans="1:12">
      <c r="A329" t="s">
        <v>9</v>
      </c>
      <c r="B329"/>
      <c r="C329"/>
      <c r="D329" t="s">
        <v>9</v>
      </c>
      <c r="E329"/>
      <c r="F329" t="s">
        <v>26</v>
      </c>
      <c r="G329" t="s">
        <v>29</v>
      </c>
      <c r="H329" t="s">
        <v>1948</v>
      </c>
      <c r="I329" t="s">
        <v>1949</v>
      </c>
      <c r="J329">
        <v>-1</v>
      </c>
      <c r="L329" s="200" t="str">
        <f>IFERROR(VLOOKUP($H329,PARAMETERS!$M$3:$M$1600,1,0),"---")</f>
        <v>gs_reveal_outerRight_width</v>
      </c>
    </row>
    <row r="330" spans="1:12">
      <c r="A330" t="s">
        <v>9</v>
      </c>
      <c r="B330"/>
      <c r="C330"/>
      <c r="D330" t="s">
        <v>9</v>
      </c>
      <c r="E330"/>
      <c r="F330" t="s">
        <v>26</v>
      </c>
      <c r="G330" t="s">
        <v>29</v>
      </c>
      <c r="H330" t="s">
        <v>1950</v>
      </c>
      <c r="I330" t="s">
        <v>1951</v>
      </c>
      <c r="J330">
        <v>-1</v>
      </c>
      <c r="L330" s="200" t="str">
        <f>IFERROR(VLOOKUP($H330,PARAMETERS!$M$3:$M$1600,1,0),"---")</f>
        <v>gs_reveal_outerTop_width</v>
      </c>
    </row>
    <row r="331" spans="1:12">
      <c r="A331" t="s">
        <v>9</v>
      </c>
      <c r="B331"/>
      <c r="C331"/>
      <c r="D331" t="s">
        <v>9</v>
      </c>
      <c r="E331"/>
      <c r="F331" t="s">
        <v>26</v>
      </c>
      <c r="G331" t="s">
        <v>29</v>
      </c>
      <c r="H331" t="s">
        <v>1952</v>
      </c>
      <c r="I331" t="s">
        <v>1953</v>
      </c>
      <c r="J331">
        <v>-1</v>
      </c>
      <c r="L331" s="200" t="str">
        <f>IFERROR(VLOOKUP($H331,PARAMETERS!$M$3:$M$1600,1,0),"---")</f>
        <v>gs_reveal_outerBottom_width</v>
      </c>
    </row>
    <row r="332" spans="1:12">
      <c r="A332" t="s">
        <v>9</v>
      </c>
      <c r="B332"/>
      <c r="C332"/>
      <c r="D332"/>
      <c r="E332"/>
      <c r="F332" t="s">
        <v>59</v>
      </c>
      <c r="G332" t="s">
        <v>29</v>
      </c>
      <c r="H332" t="s">
        <v>1954</v>
      </c>
      <c r="I332" t="s">
        <v>3057</v>
      </c>
      <c r="L332" s="200" t="str">
        <f>IFERROR(VLOOKUP($H332,PARAMETERS!$M$3:$M$1600,1,0),"---")</f>
        <v>gs_turn_plaster</v>
      </c>
    </row>
    <row r="333" spans="1:12">
      <c r="A333" t="s">
        <v>9</v>
      </c>
      <c r="B333"/>
      <c r="C333"/>
      <c r="D333" t="s">
        <v>9</v>
      </c>
      <c r="E333"/>
      <c r="F333" t="s">
        <v>49</v>
      </c>
      <c r="G333" t="s">
        <v>29</v>
      </c>
      <c r="H333" t="s">
        <v>1956</v>
      </c>
      <c r="I333" t="s">
        <v>1957</v>
      </c>
      <c r="J333">
        <v>0</v>
      </c>
      <c r="L333" s="200" t="str">
        <f>IFERROR(VLOOKUP($H333,PARAMETERS!$M$3:$M$1600,1,0),"---")</f>
        <v>gs_useWallFinishSkin</v>
      </c>
    </row>
    <row r="334" spans="1:12">
      <c r="A334" t="s">
        <v>9</v>
      </c>
      <c r="B334"/>
      <c r="C334"/>
      <c r="D334" t="s">
        <v>9</v>
      </c>
      <c r="E334"/>
      <c r="F334" t="s">
        <v>26</v>
      </c>
      <c r="G334" t="s">
        <v>29</v>
      </c>
      <c r="H334" t="s">
        <v>1958</v>
      </c>
      <c r="I334" t="s">
        <v>1959</v>
      </c>
      <c r="J334">
        <v>0.04</v>
      </c>
      <c r="L334" s="200" t="str">
        <f>IFERROR(VLOOKUP($H334,PARAMETERS!$M$3:$M$1600,1,0),"---")</f>
        <v>gs_maxPlasterThk</v>
      </c>
    </row>
    <row r="335" spans="1:12">
      <c r="A335" t="s">
        <v>9</v>
      </c>
      <c r="B335"/>
      <c r="C335"/>
      <c r="D335" t="s">
        <v>9</v>
      </c>
      <c r="E335"/>
      <c r="F335" t="s">
        <v>49</v>
      </c>
      <c r="G335" t="s">
        <v>29</v>
      </c>
      <c r="H335" t="s">
        <v>1960</v>
      </c>
      <c r="I335" t="s">
        <v>1961</v>
      </c>
      <c r="J335">
        <v>1</v>
      </c>
      <c r="L335" s="200" t="str">
        <f>IFERROR(VLOOKUP($H335,PARAMETERS!$M$3:$M$1600,1,0),"---")</f>
        <v>gs_bAutoTurnOut</v>
      </c>
    </row>
    <row r="336" spans="1:12">
      <c r="A336" t="s">
        <v>9</v>
      </c>
      <c r="B336"/>
      <c r="C336"/>
      <c r="D336" t="s">
        <v>9</v>
      </c>
      <c r="E336"/>
      <c r="F336" t="s">
        <v>46</v>
      </c>
      <c r="G336" t="s">
        <v>29</v>
      </c>
      <c r="H336" t="s">
        <v>1962</v>
      </c>
      <c r="I336" t="s">
        <v>1963</v>
      </c>
      <c r="J336">
        <v>0</v>
      </c>
      <c r="L336" s="200" t="str">
        <f>IFERROR(VLOOKUP($H336,PARAMETERS!$M$3:$M$1600,1,0),"---")</f>
        <v>gs_bOverOut</v>
      </c>
    </row>
    <row r="337" spans="1:12">
      <c r="A337" t="s">
        <v>9</v>
      </c>
      <c r="B337"/>
      <c r="C337"/>
      <c r="D337" t="s">
        <v>9</v>
      </c>
      <c r="E337"/>
      <c r="F337" t="s">
        <v>49</v>
      </c>
      <c r="G337" t="s">
        <v>29</v>
      </c>
      <c r="H337" t="s">
        <v>1964</v>
      </c>
      <c r="I337" t="s">
        <v>1965</v>
      </c>
      <c r="J337">
        <v>1</v>
      </c>
      <c r="L337" s="200" t="str">
        <f>IFERROR(VLOOKUP($H337,PARAMETERS!$M$3:$M$1600,1,0),"---")</f>
        <v>gs_bAutoTurnIn</v>
      </c>
    </row>
    <row r="338" spans="1:12">
      <c r="A338" t="s">
        <v>9</v>
      </c>
      <c r="B338"/>
      <c r="C338"/>
      <c r="D338" t="s">
        <v>9</v>
      </c>
      <c r="E338"/>
      <c r="F338" t="s">
        <v>46</v>
      </c>
      <c r="G338" t="s">
        <v>29</v>
      </c>
      <c r="H338" t="s">
        <v>1966</v>
      </c>
      <c r="I338" t="s">
        <v>1967</v>
      </c>
      <c r="J338">
        <v>0</v>
      </c>
      <c r="L338" s="200" t="str">
        <f>IFERROR(VLOOKUP($H338,PARAMETERS!$M$3:$M$1600,1,0),"---")</f>
        <v>gs_bOverIn</v>
      </c>
    </row>
    <row r="339" spans="1:12">
      <c r="A339" t="s">
        <v>9</v>
      </c>
      <c r="B339"/>
      <c r="C339"/>
      <c r="D339" t="s">
        <v>9</v>
      </c>
      <c r="E339"/>
      <c r="F339" t="s">
        <v>49</v>
      </c>
      <c r="G339" t="s">
        <v>29</v>
      </c>
      <c r="H339" t="s">
        <v>1968</v>
      </c>
      <c r="I339" t="s">
        <v>1969</v>
      </c>
      <c r="J339">
        <v>0</v>
      </c>
      <c r="L339" s="200" t="str">
        <f>IFERROR(VLOOKUP($H339,PARAMETERS!$M$3:$M$1600,1,0),"---")</f>
        <v>gs_turn_plaster_dim_2D</v>
      </c>
    </row>
    <row r="340" spans="1:12">
      <c r="A340" t="s">
        <v>9</v>
      </c>
      <c r="B340"/>
      <c r="C340"/>
      <c r="D340" t="s">
        <v>9</v>
      </c>
      <c r="E340"/>
      <c r="F340" t="s">
        <v>49</v>
      </c>
      <c r="G340" t="s">
        <v>29</v>
      </c>
      <c r="H340" t="s">
        <v>1970</v>
      </c>
      <c r="I340" t="s">
        <v>1971</v>
      </c>
      <c r="J340">
        <v>0</v>
      </c>
      <c r="L340" s="200" t="str">
        <f>IFERROR(VLOOKUP($H340,PARAMETERS!$M$3:$M$1600,1,0),"---")</f>
        <v>gs_turn_plaster_show_3D</v>
      </c>
    </row>
    <row r="341" spans="1:12">
      <c r="A341" t="s">
        <v>9</v>
      </c>
      <c r="B341"/>
      <c r="C341" t="s">
        <v>9</v>
      </c>
      <c r="D341"/>
      <c r="E341"/>
      <c r="F341" t="s">
        <v>20</v>
      </c>
      <c r="G341" t="s">
        <v>29</v>
      </c>
      <c r="H341" t="s">
        <v>1972</v>
      </c>
      <c r="I341" t="s">
        <v>1955</v>
      </c>
      <c r="J341" t="s">
        <v>1973</v>
      </c>
      <c r="L341" s="200" t="str">
        <f>IFERROR(VLOOKUP($H341,PARAMETERS!$M$3:$M$1600,1,0),"---")</f>
        <v>gs_closure_type</v>
      </c>
    </row>
    <row r="342" spans="1:12">
      <c r="A342" t="s">
        <v>9</v>
      </c>
      <c r="B342" t="s">
        <v>9</v>
      </c>
      <c r="C342" t="s">
        <v>9</v>
      </c>
      <c r="D342" t="s">
        <v>9</v>
      </c>
      <c r="E342"/>
      <c r="F342" t="s">
        <v>46</v>
      </c>
      <c r="G342" t="s">
        <v>29</v>
      </c>
      <c r="H342" t="s">
        <v>1974</v>
      </c>
      <c r="I342" t="s">
        <v>1955</v>
      </c>
      <c r="J342">
        <v>1</v>
      </c>
      <c r="L342" s="200" t="str">
        <f>IFERROR(VLOOKUP($H342,PARAMETERS!$M$3:$M$1600,1,0),"---")</f>
        <v>gs_closure_type_int</v>
      </c>
    </row>
    <row r="343" spans="1:12">
      <c r="A343" t="s">
        <v>9</v>
      </c>
      <c r="B343"/>
      <c r="C343"/>
      <c r="D343" t="s">
        <v>9</v>
      </c>
      <c r="E343"/>
      <c r="F343" t="s">
        <v>20</v>
      </c>
      <c r="G343" t="s">
        <v>29</v>
      </c>
      <c r="H343" t="s">
        <v>1975</v>
      </c>
      <c r="I343" t="s">
        <v>1976</v>
      </c>
      <c r="J343" t="s">
        <v>1480</v>
      </c>
      <c r="L343" s="200" t="str">
        <f>IFERROR(VLOOKUP($H343,PARAMETERS!$M$3:$M$1600,1,0),"---")</f>
        <v>gs_cavity_side</v>
      </c>
    </row>
    <row r="344" spans="1:12">
      <c r="A344" t="s">
        <v>9</v>
      </c>
      <c r="B344" t="s">
        <v>9</v>
      </c>
      <c r="C344"/>
      <c r="D344" t="s">
        <v>9</v>
      </c>
      <c r="E344"/>
      <c r="F344" t="s">
        <v>46</v>
      </c>
      <c r="G344" t="s">
        <v>29</v>
      </c>
      <c r="H344" t="s">
        <v>1977</v>
      </c>
      <c r="I344" t="s">
        <v>1976</v>
      </c>
      <c r="J344">
        <v>1</v>
      </c>
      <c r="L344" s="200" t="str">
        <f>IFERROR(VLOOKUP($H344,PARAMETERS!$M$3:$M$1600,1,0),"---")</f>
        <v>iCavityClosureSide</v>
      </c>
    </row>
    <row r="345" spans="1:12">
      <c r="A345" t="s">
        <v>9</v>
      </c>
      <c r="B345"/>
      <c r="C345"/>
      <c r="D345" t="s">
        <v>9</v>
      </c>
      <c r="E345"/>
      <c r="F345" t="s">
        <v>46</v>
      </c>
      <c r="G345" t="s">
        <v>29</v>
      </c>
      <c r="H345" t="s">
        <v>1978</v>
      </c>
      <c r="I345" t="s">
        <v>1979</v>
      </c>
      <c r="J345">
        <v>1</v>
      </c>
      <c r="L345" s="200" t="str">
        <f>IFERROR(VLOOKUP($H345,PARAMETERS!$M$3:$M$1600,1,0),"---")</f>
        <v>gs_nTurn</v>
      </c>
    </row>
    <row r="346" spans="1:12">
      <c r="A346" t="s">
        <v>9</v>
      </c>
      <c r="B346"/>
      <c r="C346"/>
      <c r="D346" t="s">
        <v>9</v>
      </c>
      <c r="E346"/>
      <c r="F346" t="s">
        <v>20</v>
      </c>
      <c r="G346" t="s">
        <v>29</v>
      </c>
      <c r="H346" t="s">
        <v>1980</v>
      </c>
      <c r="I346" t="s">
        <v>1981</v>
      </c>
      <c r="J346" t="s">
        <v>1982</v>
      </c>
      <c r="L346" s="200" t="str">
        <f>IFERROR(VLOOKUP($H346,PARAMETERS!$M$3:$M$1600,1,0),"---")</f>
        <v>gs_nTurnDir</v>
      </c>
    </row>
    <row r="347" spans="1:12">
      <c r="A347" t="s">
        <v>9</v>
      </c>
      <c r="B347" t="s">
        <v>9</v>
      </c>
      <c r="C347"/>
      <c r="D347" t="s">
        <v>9</v>
      </c>
      <c r="E347"/>
      <c r="F347" t="s">
        <v>46</v>
      </c>
      <c r="G347" t="s">
        <v>29</v>
      </c>
      <c r="H347" t="s">
        <v>1983</v>
      </c>
      <c r="I347" t="s">
        <v>1981</v>
      </c>
      <c r="J347">
        <v>1</v>
      </c>
      <c r="L347" s="200" t="str">
        <f>IFERROR(VLOOKUP($H347,PARAMETERS!$M$3:$M$1600,1,0),"---")</f>
        <v>iCavityClosureTurnDir</v>
      </c>
    </row>
    <row r="348" spans="1:12">
      <c r="A348" t="s">
        <v>9</v>
      </c>
      <c r="B348"/>
      <c r="C348"/>
      <c r="D348" t="s">
        <v>9</v>
      </c>
      <c r="E348"/>
      <c r="F348" t="s">
        <v>49</v>
      </c>
      <c r="G348" t="s">
        <v>29</v>
      </c>
      <c r="H348" t="s">
        <v>1984</v>
      </c>
      <c r="I348" t="s">
        <v>1985</v>
      </c>
      <c r="J348">
        <v>1</v>
      </c>
      <c r="L348" s="200" t="str">
        <f>IFERROR(VLOOKUP($H348,PARAMETERS!$M$3:$M$1600,1,0),"---")</f>
        <v>gs_cc_dutch_ShowLeft</v>
      </c>
    </row>
    <row r="349" spans="1:12">
      <c r="A349" t="s">
        <v>9</v>
      </c>
      <c r="B349"/>
      <c r="C349"/>
      <c r="D349" t="s">
        <v>9</v>
      </c>
      <c r="E349"/>
      <c r="F349" t="s">
        <v>49</v>
      </c>
      <c r="G349" t="s">
        <v>29</v>
      </c>
      <c r="H349" t="s">
        <v>1986</v>
      </c>
      <c r="I349" t="s">
        <v>1987</v>
      </c>
      <c r="J349">
        <v>1</v>
      </c>
      <c r="L349" s="200" t="str">
        <f>IFERROR(VLOOKUP($H349,PARAMETERS!$M$3:$M$1600,1,0),"---")</f>
        <v>gs_cc_dutch_ShowRight</v>
      </c>
    </row>
    <row r="350" spans="1:12">
      <c r="A350" t="s">
        <v>9</v>
      </c>
      <c r="B350"/>
      <c r="C350"/>
      <c r="D350" t="s">
        <v>9</v>
      </c>
      <c r="E350"/>
      <c r="F350" t="s">
        <v>49</v>
      </c>
      <c r="G350" t="s">
        <v>29</v>
      </c>
      <c r="H350" t="s">
        <v>1988</v>
      </c>
      <c r="I350" t="s">
        <v>1989</v>
      </c>
      <c r="J350">
        <v>0</v>
      </c>
      <c r="L350" s="200" t="str">
        <f>IFERROR(VLOOKUP($H350,PARAMETERS!$M$3:$M$1600,1,0),"---")</f>
        <v>gs_cc_dutch_ShowTop</v>
      </c>
    </row>
    <row r="351" spans="1:12">
      <c r="A351" t="s">
        <v>9</v>
      </c>
      <c r="B351"/>
      <c r="C351"/>
      <c r="D351" t="s">
        <v>9</v>
      </c>
      <c r="E351"/>
      <c r="F351" t="s">
        <v>49</v>
      </c>
      <c r="G351" t="s">
        <v>29</v>
      </c>
      <c r="H351" t="s">
        <v>1990</v>
      </c>
      <c r="I351" t="s">
        <v>1991</v>
      </c>
      <c r="J351">
        <v>0</v>
      </c>
      <c r="L351" s="200" t="str">
        <f>IFERROR(VLOOKUP($H351,PARAMETERS!$M$3:$M$1600,1,0),"---")</f>
        <v>gs_cc_dutch_ShowBottom</v>
      </c>
    </row>
    <row r="352" spans="1:12">
      <c r="A352" t="s">
        <v>9</v>
      </c>
      <c r="B352"/>
      <c r="C352"/>
      <c r="D352" t="s">
        <v>9</v>
      </c>
      <c r="E352"/>
      <c r="F352" t="s">
        <v>46</v>
      </c>
      <c r="G352" t="s">
        <v>29</v>
      </c>
      <c r="H352" t="s">
        <v>1992</v>
      </c>
      <c r="I352" t="s">
        <v>1993</v>
      </c>
      <c r="J352">
        <v>1</v>
      </c>
      <c r="L352" s="200" t="str">
        <f>IFERROR(VLOOKUP($H352,PARAMETERS!$M$3:$M$1600,1,0),"---")</f>
        <v>gs_cc_dutch_ClosureToSkin</v>
      </c>
    </row>
    <row r="353" spans="1:12">
      <c r="A353" t="s">
        <v>9</v>
      </c>
      <c r="B353"/>
      <c r="C353"/>
      <c r="D353" t="s">
        <v>9</v>
      </c>
      <c r="E353"/>
      <c r="F353" t="s">
        <v>20</v>
      </c>
      <c r="G353" t="s">
        <v>29</v>
      </c>
      <c r="H353" t="s">
        <v>1994</v>
      </c>
      <c r="I353" t="s">
        <v>1995</v>
      </c>
      <c r="L353" s="200" t="str">
        <f>IFERROR(VLOOKUP($H353,PARAMETERS!$M$3:$M$1600,1,0),"---")</f>
        <v>gs_cc_dutch_ClosureToSide_str</v>
      </c>
    </row>
    <row r="354" spans="1:12">
      <c r="A354" t="s">
        <v>9</v>
      </c>
      <c r="B354"/>
      <c r="C354"/>
      <c r="D354" t="s">
        <v>9</v>
      </c>
      <c r="E354"/>
      <c r="F354" t="s">
        <v>46</v>
      </c>
      <c r="G354" t="s">
        <v>29</v>
      </c>
      <c r="H354" t="s">
        <v>1996</v>
      </c>
      <c r="I354" t="s">
        <v>1995</v>
      </c>
      <c r="J354">
        <v>1</v>
      </c>
      <c r="L354" s="200" t="str">
        <f>IFERROR(VLOOKUP($H354,PARAMETERS!$M$3:$M$1600,1,0),"---")</f>
        <v>gs_cc_dutch_ClosureToSide</v>
      </c>
    </row>
    <row r="355" spans="1:12">
      <c r="A355" t="s">
        <v>9</v>
      </c>
      <c r="B355"/>
      <c r="C355"/>
      <c r="D355" t="s">
        <v>9</v>
      </c>
      <c r="E355"/>
      <c r="F355" t="s">
        <v>49</v>
      </c>
      <c r="G355" t="s">
        <v>29</v>
      </c>
      <c r="H355" t="s">
        <v>1997</v>
      </c>
      <c r="I355" t="s">
        <v>1998</v>
      </c>
      <c r="J355">
        <v>0</v>
      </c>
      <c r="L355" s="200" t="str">
        <f>IFERROR(VLOOKUP($H355,PARAMETERS!$M$3:$M$1600,1,0),"---")</f>
        <v>gs_cc_dutch_TurnToClosure</v>
      </c>
    </row>
    <row r="356" spans="1:12">
      <c r="A356" t="s">
        <v>9</v>
      </c>
      <c r="B356"/>
      <c r="C356"/>
      <c r="D356" t="s">
        <v>9</v>
      </c>
      <c r="E356"/>
      <c r="F356" t="s">
        <v>26</v>
      </c>
      <c r="G356" t="s">
        <v>29</v>
      </c>
      <c r="H356" t="s">
        <v>1999</v>
      </c>
      <c r="I356" t="s">
        <v>2000</v>
      </c>
      <c r="J356">
        <v>0</v>
      </c>
      <c r="L356" s="200" t="str">
        <f>IFERROR(VLOOKUP($H356,PARAMETERS!$M$3:$M$1600,1,0),"---")</f>
        <v>gs_cc_dutch_TurnToClosureOffs</v>
      </c>
    </row>
    <row r="357" spans="1:12">
      <c r="A357" t="s">
        <v>9</v>
      </c>
      <c r="B357"/>
      <c r="C357"/>
      <c r="D357" t="s">
        <v>9</v>
      </c>
      <c r="E357"/>
      <c r="F357" t="s">
        <v>26</v>
      </c>
      <c r="G357" t="s">
        <v>29</v>
      </c>
      <c r="H357" t="s">
        <v>2001</v>
      </c>
      <c r="I357" t="s">
        <v>2002</v>
      </c>
      <c r="J357">
        <v>3.7999999999999999E-2</v>
      </c>
      <c r="L357" s="200" t="str">
        <f>IFERROR(VLOOKUP($H357,PARAMETERS!$M$3:$M$1600,1,0),"---")</f>
        <v>gs_cc_dutch_widthJoint</v>
      </c>
    </row>
    <row r="358" spans="1:12">
      <c r="A358" t="s">
        <v>9</v>
      </c>
      <c r="B358"/>
      <c r="C358"/>
      <c r="D358" t="s">
        <v>9</v>
      </c>
      <c r="E358"/>
      <c r="F358" t="s">
        <v>26</v>
      </c>
      <c r="G358" t="s">
        <v>29</v>
      </c>
      <c r="H358" t="s">
        <v>2003</v>
      </c>
      <c r="I358" t="s">
        <v>2004</v>
      </c>
      <c r="J358">
        <v>0.1</v>
      </c>
      <c r="L358" s="200" t="str">
        <f>IFERROR(VLOOKUP($H358,PARAMETERS!$M$3:$M$1600,1,0),"---")</f>
        <v>gs_cc_dutch_thkJoint</v>
      </c>
    </row>
    <row r="359" spans="1:12">
      <c r="A359" t="s">
        <v>9</v>
      </c>
      <c r="B359"/>
      <c r="C359" t="s">
        <v>9</v>
      </c>
      <c r="D359" t="s">
        <v>9</v>
      </c>
      <c r="E359"/>
      <c r="F359" t="s">
        <v>49</v>
      </c>
      <c r="G359" t="s">
        <v>29</v>
      </c>
      <c r="H359" t="s">
        <v>2005</v>
      </c>
      <c r="I359" t="s">
        <v>2006</v>
      </c>
      <c r="J359">
        <v>1</v>
      </c>
      <c r="L359" s="200" t="str">
        <f>IFERROR(VLOOKUP($H359,PARAMETERS!$M$3:$M$1600,1,0),"---")</f>
        <v>gs_bJoint</v>
      </c>
    </row>
    <row r="360" spans="1:12">
      <c r="A360" t="s">
        <v>9</v>
      </c>
      <c r="B360"/>
      <c r="C360"/>
      <c r="D360" t="s">
        <v>9</v>
      </c>
      <c r="E360"/>
      <c r="F360" t="s">
        <v>49</v>
      </c>
      <c r="G360" t="s">
        <v>29</v>
      </c>
      <c r="H360" t="s">
        <v>2007</v>
      </c>
      <c r="I360" t="s">
        <v>2008</v>
      </c>
      <c r="J360">
        <v>1</v>
      </c>
      <c r="L360" s="200" t="str">
        <f>IFERROR(VLOOKUP($H360,PARAMETERS!$M$3:$M$1600,1,0),"---")</f>
        <v>gs_showJoint</v>
      </c>
    </row>
    <row r="361" spans="1:12">
      <c r="A361" t="s">
        <v>9</v>
      </c>
      <c r="B361"/>
      <c r="C361"/>
      <c r="D361" t="s">
        <v>9</v>
      </c>
      <c r="E361"/>
      <c r="F361" t="s">
        <v>26</v>
      </c>
      <c r="G361" t="s">
        <v>29</v>
      </c>
      <c r="H361" t="s">
        <v>2009</v>
      </c>
      <c r="I361" t="s">
        <v>2010</v>
      </c>
      <c r="J361">
        <v>2.5000000000000001E-2</v>
      </c>
      <c r="L361" s="200" t="str">
        <f>IFERROR(VLOOKUP($H361,PARAMETERS!$M$3:$M$1600,1,0),"---")</f>
        <v>gs_thkJoint</v>
      </c>
    </row>
    <row r="362" spans="1:12">
      <c r="A362" t="s">
        <v>9</v>
      </c>
      <c r="B362"/>
      <c r="C362"/>
      <c r="D362" t="s">
        <v>9</v>
      </c>
      <c r="E362"/>
      <c r="F362" t="s">
        <v>55</v>
      </c>
      <c r="G362" t="s">
        <v>29</v>
      </c>
      <c r="H362" t="s">
        <v>2011</v>
      </c>
      <c r="I362" t="s">
        <v>2012</v>
      </c>
      <c r="J362">
        <v>100</v>
      </c>
      <c r="L362" s="200" t="str">
        <f>IFERROR(VLOOKUP($H362,PARAMETERS!$M$3:$M$1600,1,0),"---")</f>
        <v>gs_penJoint</v>
      </c>
    </row>
    <row r="363" spans="1:12">
      <c r="A363" t="s">
        <v>9</v>
      </c>
      <c r="B363"/>
      <c r="C363"/>
      <c r="D363" t="s">
        <v>9</v>
      </c>
      <c r="E363"/>
      <c r="F363" t="s">
        <v>53</v>
      </c>
      <c r="G363" t="s">
        <v>29</v>
      </c>
      <c r="H363" t="s">
        <v>2013</v>
      </c>
      <c r="I363" t="s">
        <v>2014</v>
      </c>
      <c r="J363">
        <v>1</v>
      </c>
      <c r="L363" s="200" t="str">
        <f>IFERROR(VLOOKUP($H363,PARAMETERS!$M$3:$M$1600,1,0),"---")</f>
        <v>gs_ltJoint</v>
      </c>
    </row>
    <row r="364" spans="1:12">
      <c r="A364" t="s">
        <v>9</v>
      </c>
      <c r="B364"/>
      <c r="C364"/>
      <c r="D364" t="s">
        <v>9</v>
      </c>
      <c r="E364"/>
      <c r="F364" t="s">
        <v>54</v>
      </c>
      <c r="G364" t="s">
        <v>29</v>
      </c>
      <c r="H364" t="s">
        <v>2015</v>
      </c>
      <c r="I364" t="s">
        <v>2016</v>
      </c>
      <c r="J364">
        <v>65</v>
      </c>
      <c r="L364" s="200" t="str">
        <f>IFERROR(VLOOKUP($H364,PARAMETERS!$M$3:$M$1600,1,0),"---")</f>
        <v>gs_fillJoint</v>
      </c>
    </row>
    <row r="365" spans="1:12">
      <c r="A365" t="s">
        <v>9</v>
      </c>
      <c r="B365"/>
      <c r="C365"/>
      <c r="D365" t="s">
        <v>9</v>
      </c>
      <c r="E365"/>
      <c r="F365" t="s">
        <v>55</v>
      </c>
      <c r="G365" t="s">
        <v>29</v>
      </c>
      <c r="H365" t="s">
        <v>2017</v>
      </c>
      <c r="I365" t="s">
        <v>2018</v>
      </c>
      <c r="J365">
        <v>1</v>
      </c>
      <c r="L365" s="200" t="str">
        <f>IFERROR(VLOOKUP($H365,PARAMETERS!$M$3:$M$1600,1,0),"---")</f>
        <v>gs_penJointFg</v>
      </c>
    </row>
    <row r="366" spans="1:12">
      <c r="A366" t="s">
        <v>9</v>
      </c>
      <c r="B366"/>
      <c r="C366"/>
      <c r="D366" t="s">
        <v>9</v>
      </c>
      <c r="E366"/>
      <c r="F366" t="s">
        <v>55</v>
      </c>
      <c r="G366" t="s">
        <v>29</v>
      </c>
      <c r="H366" t="s">
        <v>2019</v>
      </c>
      <c r="I366" t="s">
        <v>1869</v>
      </c>
      <c r="J366">
        <v>93</v>
      </c>
      <c r="L366" s="200" t="str">
        <f>IFERROR(VLOOKUP($H366,PARAMETERS!$M$3:$M$1600,1,0),"---")</f>
        <v>gs_penJointBg</v>
      </c>
    </row>
    <row r="367" spans="1:12">
      <c r="A367" t="s">
        <v>9</v>
      </c>
      <c r="B367"/>
      <c r="C367"/>
      <c r="D367" t="s">
        <v>9</v>
      </c>
      <c r="E367"/>
      <c r="F367" t="s">
        <v>49</v>
      </c>
      <c r="G367" t="s">
        <v>29</v>
      </c>
      <c r="H367" t="s">
        <v>2020</v>
      </c>
      <c r="I367" t="s">
        <v>2021</v>
      </c>
      <c r="J367">
        <v>0</v>
      </c>
      <c r="L367" s="200" t="str">
        <f>IFERROR(VLOOKUP($H367,PARAMETERS!$M$3:$M$1600,1,0),"---")</f>
        <v>gs_cc_dutch_matJointCustom</v>
      </c>
    </row>
    <row r="368" spans="1:12">
      <c r="A368"/>
      <c r="B368"/>
      <c r="C368"/>
      <c r="D368" t="s">
        <v>9</v>
      </c>
      <c r="E368"/>
      <c r="F368" t="s">
        <v>52</v>
      </c>
      <c r="G368" t="s">
        <v>29</v>
      </c>
      <c r="H368" t="s">
        <v>2022</v>
      </c>
      <c r="I368" t="s">
        <v>2023</v>
      </c>
      <c r="J368">
        <v>15</v>
      </c>
      <c r="L368" s="200" t="str">
        <f>IFERROR(VLOOKUP($H368,PARAMETERS!$M$3:$M$1600,1,0),"---")</f>
        <v>gs_cc_dutch_matJoint</v>
      </c>
    </row>
    <row r="369" spans="1:12">
      <c r="A369" t="s">
        <v>9</v>
      </c>
      <c r="B369"/>
      <c r="C369"/>
      <c r="D369" t="s">
        <v>9</v>
      </c>
      <c r="E369"/>
      <c r="F369" t="s">
        <v>26</v>
      </c>
      <c r="G369" t="s">
        <v>29</v>
      </c>
      <c r="H369" t="s">
        <v>2024</v>
      </c>
      <c r="I369" t="s">
        <v>2025</v>
      </c>
      <c r="J369">
        <v>7.4999999999999997E-2</v>
      </c>
      <c r="L369" s="200" t="str">
        <f>IFERROR(VLOOKUP($H369,PARAMETERS!$M$3:$M$1600,1,0),"---")</f>
        <v>gs_widthPlug</v>
      </c>
    </row>
    <row r="370" spans="1:12">
      <c r="A370" t="s">
        <v>9</v>
      </c>
      <c r="B370"/>
      <c r="C370"/>
      <c r="D370" t="s">
        <v>9</v>
      </c>
      <c r="E370"/>
      <c r="F370" t="s">
        <v>55</v>
      </c>
      <c r="G370" t="s">
        <v>29</v>
      </c>
      <c r="H370" t="s">
        <v>2026</v>
      </c>
      <c r="I370" t="s">
        <v>2012</v>
      </c>
      <c r="J370">
        <v>100</v>
      </c>
      <c r="L370" s="200" t="str">
        <f>IFERROR(VLOOKUP($H370,PARAMETERS!$M$3:$M$1600,1,0),"---")</f>
        <v>gs_penPlug</v>
      </c>
    </row>
    <row r="371" spans="1:12">
      <c r="A371" t="s">
        <v>9</v>
      </c>
      <c r="B371"/>
      <c r="C371"/>
      <c r="D371" t="s">
        <v>9</v>
      </c>
      <c r="E371"/>
      <c r="F371" t="s">
        <v>53</v>
      </c>
      <c r="G371" t="s">
        <v>29</v>
      </c>
      <c r="H371" t="s">
        <v>2027</v>
      </c>
      <c r="I371" t="s">
        <v>2014</v>
      </c>
      <c r="J371">
        <v>1</v>
      </c>
      <c r="L371" s="200" t="str">
        <f>IFERROR(VLOOKUP($H371,PARAMETERS!$M$3:$M$1600,1,0),"---")</f>
        <v>gs_ltPlug</v>
      </c>
    </row>
    <row r="372" spans="1:12">
      <c r="A372" t="s">
        <v>9</v>
      </c>
      <c r="B372"/>
      <c r="C372"/>
      <c r="D372" t="s">
        <v>9</v>
      </c>
      <c r="E372"/>
      <c r="F372" t="s">
        <v>54</v>
      </c>
      <c r="G372" t="s">
        <v>29</v>
      </c>
      <c r="H372" t="s">
        <v>2028</v>
      </c>
      <c r="I372" t="s">
        <v>2016</v>
      </c>
      <c r="J372">
        <v>65</v>
      </c>
      <c r="L372" s="200" t="str">
        <f>IFERROR(VLOOKUP($H372,PARAMETERS!$M$3:$M$1600,1,0),"---")</f>
        <v>gs_fillPlug</v>
      </c>
    </row>
    <row r="373" spans="1:12">
      <c r="A373" t="s">
        <v>9</v>
      </c>
      <c r="B373"/>
      <c r="C373"/>
      <c r="D373" t="s">
        <v>9</v>
      </c>
      <c r="E373"/>
      <c r="F373" t="s">
        <v>55</v>
      </c>
      <c r="G373" t="s">
        <v>29</v>
      </c>
      <c r="H373" t="s">
        <v>2029</v>
      </c>
      <c r="I373" t="s">
        <v>2018</v>
      </c>
      <c r="J373">
        <v>1</v>
      </c>
      <c r="L373" s="200" t="str">
        <f>IFERROR(VLOOKUP($H373,PARAMETERS!$M$3:$M$1600,1,0),"---")</f>
        <v>gs_penPlugFg</v>
      </c>
    </row>
    <row r="374" spans="1:12">
      <c r="A374" t="s">
        <v>9</v>
      </c>
      <c r="B374"/>
      <c r="C374"/>
      <c r="D374" t="s">
        <v>9</v>
      </c>
      <c r="E374"/>
      <c r="F374" t="s">
        <v>55</v>
      </c>
      <c r="G374" t="s">
        <v>29</v>
      </c>
      <c r="H374" t="s">
        <v>2030</v>
      </c>
      <c r="I374" t="s">
        <v>1869</v>
      </c>
      <c r="J374">
        <v>93</v>
      </c>
      <c r="L374" s="200" t="str">
        <f>IFERROR(VLOOKUP($H374,PARAMETERS!$M$3:$M$1600,1,0),"---")</f>
        <v>gs_penPlugBg</v>
      </c>
    </row>
    <row r="375" spans="1:12" s="112" customFormat="1">
      <c r="A375" t="s">
        <v>9</v>
      </c>
      <c r="B375" t="s">
        <v>9</v>
      </c>
      <c r="C375"/>
      <c r="D375" t="s">
        <v>9</v>
      </c>
      <c r="E375"/>
      <c r="F375" t="s">
        <v>26</v>
      </c>
      <c r="G375" t="s">
        <v>29</v>
      </c>
      <c r="H375" t="s">
        <v>2031</v>
      </c>
      <c r="I375" t="s">
        <v>2032</v>
      </c>
      <c r="J375" t="s">
        <v>35</v>
      </c>
      <c r="L375" s="201" t="str">
        <f>IFERROR(VLOOKUP($H375,PARAMETERS!$M$3:$M$1600,1,0),"---")</f>
        <v>gs_custom_cc_array_left</v>
      </c>
    </row>
    <row r="376" spans="1:12">
      <c r="A376" t="s">
        <v>9</v>
      </c>
      <c r="B376" t="s">
        <v>9</v>
      </c>
      <c r="C376"/>
      <c r="D376" t="s">
        <v>9</v>
      </c>
      <c r="E376"/>
      <c r="F376" t="s">
        <v>26</v>
      </c>
      <c r="G376" t="s">
        <v>29</v>
      </c>
      <c r="H376" t="s">
        <v>2033</v>
      </c>
      <c r="I376" t="s">
        <v>2034</v>
      </c>
      <c r="J376" t="s">
        <v>35</v>
      </c>
      <c r="L376" s="200" t="str">
        <f>IFERROR(VLOOKUP($H376,PARAMETERS!$M$3:$M$1600,1,0),"---")</f>
        <v>gs_custom_cc_array_right</v>
      </c>
    </row>
    <row r="377" spans="1:12">
      <c r="A377" t="s">
        <v>9</v>
      </c>
      <c r="B377"/>
      <c r="C377"/>
      <c r="D377" t="s">
        <v>9</v>
      </c>
      <c r="E377"/>
      <c r="F377" t="s">
        <v>46</v>
      </c>
      <c r="G377" t="s">
        <v>29</v>
      </c>
      <c r="H377" t="s">
        <v>2035</v>
      </c>
      <c r="I377" t="s">
        <v>2036</v>
      </c>
      <c r="J377">
        <v>1</v>
      </c>
      <c r="L377" s="200" t="str">
        <f>IFERROR(VLOOKUP($H377,PARAMETERS!$M$3:$M$1600,1,0),"---")</f>
        <v>iCustomCCEditJambSide</v>
      </c>
    </row>
    <row r="378" spans="1:12">
      <c r="A378" t="s">
        <v>9</v>
      </c>
      <c r="B378"/>
      <c r="C378"/>
      <c r="D378" t="s">
        <v>9</v>
      </c>
      <c r="E378"/>
      <c r="F378" t="s">
        <v>46</v>
      </c>
      <c r="G378" t="s">
        <v>29</v>
      </c>
      <c r="H378" t="s">
        <v>2037</v>
      </c>
      <c r="I378" t="s">
        <v>2038</v>
      </c>
      <c r="J378">
        <v>1</v>
      </c>
      <c r="L378" s="200" t="str">
        <f>IFERROR(VLOOKUP($H378,PARAMETERS!$M$3:$M$1600,1,0),"---")</f>
        <v>iCustomCCEditWallSide</v>
      </c>
    </row>
    <row r="379" spans="1:12">
      <c r="A379" t="s">
        <v>9</v>
      </c>
      <c r="B379"/>
      <c r="C379"/>
      <c r="D379" t="s">
        <v>9</v>
      </c>
      <c r="E379"/>
      <c r="F379" t="s">
        <v>46</v>
      </c>
      <c r="G379" t="s">
        <v>29</v>
      </c>
      <c r="H379" t="s">
        <v>2039</v>
      </c>
      <c r="I379" t="s">
        <v>2040</v>
      </c>
      <c r="J379">
        <v>1</v>
      </c>
      <c r="L379" s="200" t="str">
        <f>IFERROR(VLOOKUP($H379,PARAMETERS!$M$3:$M$1600,1,0),"---")</f>
        <v>iCustomCCEditSkin</v>
      </c>
    </row>
    <row r="380" spans="1:12">
      <c r="A380" t="s">
        <v>9</v>
      </c>
      <c r="B380"/>
      <c r="C380"/>
      <c r="D380" t="s">
        <v>9</v>
      </c>
      <c r="E380"/>
      <c r="F380" t="s">
        <v>49</v>
      </c>
      <c r="G380" t="s">
        <v>29</v>
      </c>
      <c r="H380" t="s">
        <v>2041</v>
      </c>
      <c r="I380" t="s">
        <v>2042</v>
      </c>
      <c r="J380">
        <v>0</v>
      </c>
      <c r="L380" s="200" t="str">
        <f>IFERROR(VLOOKUP($H380,PARAMETERS!$M$3:$M$1600,1,0),"---")</f>
        <v>gs_custom_cc_turn_in</v>
      </c>
    </row>
    <row r="381" spans="1:12">
      <c r="A381" t="s">
        <v>9</v>
      </c>
      <c r="B381"/>
      <c r="C381"/>
      <c r="D381" t="s">
        <v>9</v>
      </c>
      <c r="E381"/>
      <c r="F381" t="s">
        <v>49</v>
      </c>
      <c r="G381" t="s">
        <v>29</v>
      </c>
      <c r="H381" t="s">
        <v>2043</v>
      </c>
      <c r="I381" t="s">
        <v>2044</v>
      </c>
      <c r="J381">
        <v>0</v>
      </c>
      <c r="L381" s="200" t="str">
        <f>IFERROR(VLOOKUP($H381,PARAMETERS!$M$3:$M$1600,1,0),"---")</f>
        <v>gs_custom_cc_plaster</v>
      </c>
    </row>
    <row r="382" spans="1:12">
      <c r="A382" t="s">
        <v>9</v>
      </c>
      <c r="B382"/>
      <c r="C382"/>
      <c r="D382" t="s">
        <v>9</v>
      </c>
      <c r="E382"/>
      <c r="F382" t="s">
        <v>46</v>
      </c>
      <c r="G382" t="s">
        <v>29</v>
      </c>
      <c r="H382" t="s">
        <v>2045</v>
      </c>
      <c r="I382" t="s">
        <v>2046</v>
      </c>
      <c r="J382">
        <v>1</v>
      </c>
      <c r="L382" s="200" t="str">
        <f>IFERROR(VLOOKUP($H382,PARAMETERS!$M$3:$M$1600,1,0),"---")</f>
        <v>iCustomCCThicknessType</v>
      </c>
    </row>
    <row r="383" spans="1:12">
      <c r="A383" t="s">
        <v>9</v>
      </c>
      <c r="B383"/>
      <c r="C383"/>
      <c r="D383" t="s">
        <v>9</v>
      </c>
      <c r="E383"/>
      <c r="F383" t="s">
        <v>26</v>
      </c>
      <c r="G383" t="s">
        <v>29</v>
      </c>
      <c r="H383" t="s">
        <v>2047</v>
      </c>
      <c r="I383" t="s">
        <v>2048</v>
      </c>
      <c r="J383">
        <v>1.4999999999999999E-2</v>
      </c>
      <c r="L383" s="200" t="str">
        <f>IFERROR(VLOOKUP($H383,PARAMETERS!$M$3:$M$1600,1,0),"---")</f>
        <v>gs_custom_cc_thickness</v>
      </c>
    </row>
    <row r="384" spans="1:12">
      <c r="A384" t="s">
        <v>9</v>
      </c>
      <c r="B384"/>
      <c r="C384"/>
      <c r="D384" t="s">
        <v>9</v>
      </c>
      <c r="E384"/>
      <c r="F384" t="s">
        <v>46</v>
      </c>
      <c r="G384" t="s">
        <v>29</v>
      </c>
      <c r="H384" t="s">
        <v>2049</v>
      </c>
      <c r="I384" t="s">
        <v>2050</v>
      </c>
      <c r="J384">
        <v>1</v>
      </c>
      <c r="L384" s="200" t="str">
        <f>IFERROR(VLOOKUP($H384,PARAMETERS!$M$3:$M$1600,1,0),"---")</f>
        <v>iCustomCCOrientation</v>
      </c>
    </row>
    <row r="385" spans="1:12">
      <c r="A385" t="s">
        <v>9</v>
      </c>
      <c r="B385"/>
      <c r="C385"/>
      <c r="D385" t="s">
        <v>9</v>
      </c>
      <c r="E385"/>
      <c r="F385" t="s">
        <v>49</v>
      </c>
      <c r="G385" t="s">
        <v>29</v>
      </c>
      <c r="H385" t="s">
        <v>2051</v>
      </c>
      <c r="I385" t="s">
        <v>2052</v>
      </c>
      <c r="J385">
        <v>0</v>
      </c>
      <c r="L385" s="200" t="str">
        <f>IFERROR(VLOOKUP($H385,PARAMETERS!$M$3:$M$1600,1,0),"---")</f>
        <v>gs_custom_cc_separator</v>
      </c>
    </row>
    <row r="386" spans="1:12">
      <c r="A386" t="s">
        <v>9</v>
      </c>
      <c r="B386"/>
      <c r="C386"/>
      <c r="D386" t="s">
        <v>9</v>
      </c>
      <c r="E386"/>
      <c r="F386" t="s">
        <v>55</v>
      </c>
      <c r="G386" t="s">
        <v>29</v>
      </c>
      <c r="H386" t="s">
        <v>2053</v>
      </c>
      <c r="I386" t="s">
        <v>2054</v>
      </c>
      <c r="J386">
        <v>1</v>
      </c>
      <c r="L386" s="200" t="str">
        <f>IFERROR(VLOOKUP($H386,PARAMETERS!$M$3:$M$1600,1,0),"---")</f>
        <v>gs_custom_cc_separator_pen</v>
      </c>
    </row>
    <row r="387" spans="1:12">
      <c r="A387" t="s">
        <v>9</v>
      </c>
      <c r="B387"/>
      <c r="C387"/>
      <c r="D387" t="s">
        <v>9</v>
      </c>
      <c r="E387"/>
      <c r="F387" t="s">
        <v>26</v>
      </c>
      <c r="G387" t="s">
        <v>29</v>
      </c>
      <c r="H387" t="s">
        <v>2055</v>
      </c>
      <c r="I387" t="s">
        <v>2056</v>
      </c>
      <c r="J387">
        <v>0</v>
      </c>
      <c r="L387" s="200" t="str">
        <f>IFERROR(VLOOKUP($H387,PARAMETERS!$M$3:$M$1600,1,0),"---")</f>
        <v>gs_custom_cc_overhang</v>
      </c>
    </row>
    <row r="388" spans="1:12">
      <c r="A388" t="s">
        <v>9</v>
      </c>
      <c r="B388" t="s">
        <v>9</v>
      </c>
      <c r="C388"/>
      <c r="D388" t="s">
        <v>9</v>
      </c>
      <c r="E388"/>
      <c r="F388" t="s">
        <v>49</v>
      </c>
      <c r="G388" t="s">
        <v>29</v>
      </c>
      <c r="H388" t="s">
        <v>2057</v>
      </c>
      <c r="I388" t="s">
        <v>2058</v>
      </c>
      <c r="J388">
        <v>0</v>
      </c>
      <c r="L388" s="200" t="str">
        <f>IFERROR(VLOOKUP($H388,PARAMETERS!$M$3:$M$1600,1,0),"---")</f>
        <v>gs_custom_cc_last_sel_side</v>
      </c>
    </row>
    <row r="389" spans="1:12">
      <c r="A389" t="s">
        <v>9</v>
      </c>
      <c r="B389" t="s">
        <v>9</v>
      </c>
      <c r="C389"/>
      <c r="D389" t="s">
        <v>9</v>
      </c>
      <c r="E389"/>
      <c r="F389" t="s">
        <v>49</v>
      </c>
      <c r="G389" t="s">
        <v>29</v>
      </c>
      <c r="H389" t="s">
        <v>2059</v>
      </c>
      <c r="I389" t="s">
        <v>2060</v>
      </c>
      <c r="J389">
        <v>0</v>
      </c>
      <c r="L389" s="200" t="str">
        <f>IFERROR(VLOOKUP($H389,PARAMETERS!$M$3:$M$1600,1,0),"---")</f>
        <v>gs_closure_auto_changed</v>
      </c>
    </row>
    <row r="390" spans="1:12">
      <c r="A390" t="s">
        <v>9</v>
      </c>
      <c r="B390"/>
      <c r="C390"/>
      <c r="D390"/>
      <c r="E390"/>
      <c r="F390" t="s">
        <v>59</v>
      </c>
      <c r="G390" t="s">
        <v>29</v>
      </c>
      <c r="H390" t="s">
        <v>2061</v>
      </c>
      <c r="I390" t="s">
        <v>2062</v>
      </c>
      <c r="L390" s="200" t="str">
        <f>IFERROR(VLOOKUP($H390,PARAMETERS!$M$3:$M$1600,1,0),"---")</f>
        <v>gs_door_stack</v>
      </c>
    </row>
    <row r="391" spans="1:12">
      <c r="A391" t="s">
        <v>9</v>
      </c>
      <c r="B391"/>
      <c r="C391"/>
      <c r="D391" t="s">
        <v>9</v>
      </c>
      <c r="E391"/>
      <c r="F391" t="s">
        <v>49</v>
      </c>
      <c r="G391" t="s">
        <v>29</v>
      </c>
      <c r="H391" t="s">
        <v>2064</v>
      </c>
      <c r="I391" t="s">
        <v>2065</v>
      </c>
      <c r="J391">
        <v>0</v>
      </c>
      <c r="L391" s="200" t="str">
        <f>IFERROR(VLOOKUP($H391,PARAMETERS!$M$3:$M$1600,1,0),"---")</f>
        <v>gs_stack_left</v>
      </c>
    </row>
    <row r="392" spans="1:12">
      <c r="A392" t="s">
        <v>9</v>
      </c>
      <c r="B392"/>
      <c r="C392"/>
      <c r="D392" t="s">
        <v>9</v>
      </c>
      <c r="E392"/>
      <c r="F392" t="s">
        <v>49</v>
      </c>
      <c r="G392" t="s">
        <v>29</v>
      </c>
      <c r="H392" t="s">
        <v>2066</v>
      </c>
      <c r="I392" t="s">
        <v>2067</v>
      </c>
      <c r="J392">
        <v>0</v>
      </c>
      <c r="L392" s="200" t="str">
        <f>IFERROR(VLOOKUP($H392,PARAMETERS!$M$3:$M$1600,1,0),"---")</f>
        <v>gs_stack_right</v>
      </c>
    </row>
    <row r="393" spans="1:12">
      <c r="A393" t="s">
        <v>9</v>
      </c>
      <c r="B393"/>
      <c r="C393"/>
      <c r="D393" t="s">
        <v>9</v>
      </c>
      <c r="E393"/>
      <c r="F393" t="s">
        <v>49</v>
      </c>
      <c r="G393" t="s">
        <v>29</v>
      </c>
      <c r="H393" t="s">
        <v>2068</v>
      </c>
      <c r="I393" t="s">
        <v>2069</v>
      </c>
      <c r="J393">
        <v>0</v>
      </c>
      <c r="L393" s="200" t="str">
        <f>IFERROR(VLOOKUP($H393,PARAMETERS!$M$3:$M$1600,1,0),"---")</f>
        <v>gs_stack_top</v>
      </c>
    </row>
    <row r="394" spans="1:12">
      <c r="A394" t="s">
        <v>9</v>
      </c>
      <c r="B394"/>
      <c r="C394"/>
      <c r="D394"/>
      <c r="E394"/>
      <c r="F394" t="s">
        <v>59</v>
      </c>
      <c r="G394" t="s">
        <v>29</v>
      </c>
      <c r="H394" t="s">
        <v>205</v>
      </c>
      <c r="I394" t="s">
        <v>206</v>
      </c>
      <c r="L394" s="200" t="str">
        <f>IFERROR(VLOOKUP($H394,PARAMETERS!$M$3:$M$1600,1,0),"---")</f>
        <v>gs_pen_settings</v>
      </c>
    </row>
    <row r="395" spans="1:12">
      <c r="A395" t="s">
        <v>9</v>
      </c>
      <c r="B395"/>
      <c r="C395"/>
      <c r="D395" t="s">
        <v>9</v>
      </c>
      <c r="E395"/>
      <c r="F395" t="s">
        <v>55</v>
      </c>
      <c r="G395" t="s">
        <v>29</v>
      </c>
      <c r="H395" t="s">
        <v>2497</v>
      </c>
      <c r="I395" t="s">
        <v>2498</v>
      </c>
      <c r="J395">
        <v>2</v>
      </c>
      <c r="L395" s="200" t="str">
        <f>IFERROR(VLOOKUP($H395,PARAMETERS!$M$3:$M$1600,1,0),"---")</f>
        <v>gs_pen_2D</v>
      </c>
    </row>
    <row r="396" spans="1:12">
      <c r="A396" t="s">
        <v>9</v>
      </c>
      <c r="B396"/>
      <c r="C396"/>
      <c r="D396" t="s">
        <v>9</v>
      </c>
      <c r="E396"/>
      <c r="F396" t="s">
        <v>55</v>
      </c>
      <c r="G396" t="s">
        <v>29</v>
      </c>
      <c r="H396" t="s">
        <v>2499</v>
      </c>
      <c r="I396" t="s">
        <v>2500</v>
      </c>
      <c r="J396">
        <v>2</v>
      </c>
      <c r="L396" s="200" t="str">
        <f>IFERROR(VLOOKUP($H396,PARAMETERS!$M$3:$M$1600,1,0),"---")</f>
        <v>gs_frame_pen</v>
      </c>
    </row>
    <row r="397" spans="1:12">
      <c r="A397"/>
      <c r="B397"/>
      <c r="C397"/>
      <c r="D397" t="s">
        <v>9</v>
      </c>
      <c r="E397"/>
      <c r="F397" t="s">
        <v>54</v>
      </c>
      <c r="G397" t="s">
        <v>29</v>
      </c>
      <c r="H397" t="s">
        <v>2501</v>
      </c>
      <c r="I397" t="s">
        <v>2502</v>
      </c>
      <c r="J397">
        <v>65</v>
      </c>
      <c r="L397" s="200" t="str">
        <f>IFERROR(VLOOKUP($H397,PARAMETERS!$M$3:$M$1600,1,0),"---")</f>
        <v>gs_fillFr</v>
      </c>
    </row>
    <row r="398" spans="1:12">
      <c r="A398"/>
      <c r="B398"/>
      <c r="C398"/>
      <c r="D398" t="s">
        <v>9</v>
      </c>
      <c r="E398"/>
      <c r="F398" t="s">
        <v>55</v>
      </c>
      <c r="G398" t="s">
        <v>29</v>
      </c>
      <c r="H398" t="s">
        <v>2503</v>
      </c>
      <c r="I398" t="s">
        <v>2504</v>
      </c>
      <c r="J398">
        <v>19</v>
      </c>
      <c r="L398" s="200" t="str">
        <f>IFERROR(VLOOKUP($H398,PARAMETERS!$M$3:$M$1600,1,0),"---")</f>
        <v>gs_penFr_fg</v>
      </c>
    </row>
    <row r="399" spans="1:12">
      <c r="A399"/>
      <c r="B399"/>
      <c r="C399"/>
      <c r="D399" t="s">
        <v>9</v>
      </c>
      <c r="E399"/>
      <c r="F399" t="s">
        <v>55</v>
      </c>
      <c r="G399" t="s">
        <v>29</v>
      </c>
      <c r="H399" t="s">
        <v>2505</v>
      </c>
      <c r="I399" t="s">
        <v>2506</v>
      </c>
      <c r="J399">
        <v>19</v>
      </c>
      <c r="L399" s="200" t="str">
        <f>IFERROR(VLOOKUP($H399,PARAMETERS!$M$3:$M$1600,1,0),"---")</f>
        <v>gs_penFr_bg</v>
      </c>
    </row>
    <row r="400" spans="1:12">
      <c r="A400" t="s">
        <v>9</v>
      </c>
      <c r="B400"/>
      <c r="C400"/>
      <c r="D400" t="s">
        <v>9</v>
      </c>
      <c r="E400"/>
      <c r="F400" t="s">
        <v>55</v>
      </c>
      <c r="G400" t="s">
        <v>29</v>
      </c>
      <c r="H400" t="s">
        <v>2507</v>
      </c>
      <c r="I400" t="s">
        <v>2508</v>
      </c>
      <c r="J400">
        <v>2</v>
      </c>
      <c r="L400" s="200" t="str">
        <f>IFERROR(VLOOKUP($H400,PARAMETERS!$M$3:$M$1600,1,0),"---")</f>
        <v>gs_leaf_pen</v>
      </c>
    </row>
    <row r="401" spans="1:12">
      <c r="A401"/>
      <c r="B401"/>
      <c r="C401"/>
      <c r="D401" t="s">
        <v>9</v>
      </c>
      <c r="E401"/>
      <c r="F401" t="s">
        <v>54</v>
      </c>
      <c r="G401" t="s">
        <v>29</v>
      </c>
      <c r="H401" t="s">
        <v>2509</v>
      </c>
      <c r="I401" t="s">
        <v>2510</v>
      </c>
      <c r="J401">
        <v>16</v>
      </c>
      <c r="L401" s="200" t="str">
        <f>IFERROR(VLOOKUP($H401,PARAMETERS!$M$3:$M$1600,1,0),"---")</f>
        <v>gs_fillLeaf</v>
      </c>
    </row>
    <row r="402" spans="1:12">
      <c r="A402"/>
      <c r="B402"/>
      <c r="C402"/>
      <c r="D402" t="s">
        <v>9</v>
      </c>
      <c r="E402"/>
      <c r="F402" t="s">
        <v>55</v>
      </c>
      <c r="G402" t="s">
        <v>29</v>
      </c>
      <c r="H402" t="s">
        <v>2511</v>
      </c>
      <c r="I402" t="s">
        <v>2512</v>
      </c>
      <c r="J402">
        <v>19</v>
      </c>
      <c r="L402" s="200" t="str">
        <f>IFERROR(VLOOKUP($H402,PARAMETERS!$M$3:$M$1600,1,0),"---")</f>
        <v>gs_penLeaf_fg</v>
      </c>
    </row>
    <row r="403" spans="1:12">
      <c r="A403"/>
      <c r="B403"/>
      <c r="C403"/>
      <c r="D403" t="s">
        <v>9</v>
      </c>
      <c r="E403"/>
      <c r="F403" t="s">
        <v>55</v>
      </c>
      <c r="G403" t="s">
        <v>29</v>
      </c>
      <c r="H403" t="s">
        <v>2513</v>
      </c>
      <c r="I403" t="s">
        <v>2514</v>
      </c>
      <c r="J403">
        <v>19</v>
      </c>
      <c r="L403" s="200" t="str">
        <f>IFERROR(VLOOKUP($H403,PARAMETERS!$M$3:$M$1600,1,0),"---")</f>
        <v>gs_penLeaf_bg</v>
      </c>
    </row>
    <row r="404" spans="1:12">
      <c r="A404"/>
      <c r="B404"/>
      <c r="C404"/>
      <c r="D404" t="s">
        <v>9</v>
      </c>
      <c r="E404"/>
      <c r="F404" t="s">
        <v>55</v>
      </c>
      <c r="G404" t="s">
        <v>29</v>
      </c>
      <c r="H404" t="s">
        <v>2515</v>
      </c>
      <c r="I404" t="s">
        <v>2516</v>
      </c>
      <c r="J404">
        <v>2</v>
      </c>
      <c r="L404" s="200" t="str">
        <f>IFERROR(VLOOKUP($H404,PARAMETERS!$M$3:$M$1600,1,0),"---")</f>
        <v>gs_glass_pen</v>
      </c>
    </row>
    <row r="405" spans="1:12">
      <c r="A405"/>
      <c r="B405" t="s">
        <v>9</v>
      </c>
      <c r="C405"/>
      <c r="D405" t="s">
        <v>9</v>
      </c>
      <c r="E405"/>
      <c r="F405" t="s">
        <v>54</v>
      </c>
      <c r="G405" t="s">
        <v>29</v>
      </c>
      <c r="H405" t="s">
        <v>2517</v>
      </c>
      <c r="I405" t="s">
        <v>2518</v>
      </c>
      <c r="J405">
        <v>65</v>
      </c>
      <c r="L405" s="200" t="str">
        <f>IFERROR(VLOOKUP($H405,PARAMETERS!$M$3:$M$1600,1,0),"---")</f>
        <v>gs_fillGlass</v>
      </c>
    </row>
    <row r="406" spans="1:12">
      <c r="A406"/>
      <c r="B406" t="s">
        <v>9</v>
      </c>
      <c r="C406"/>
      <c r="D406" t="s">
        <v>9</v>
      </c>
      <c r="E406"/>
      <c r="F406" t="s">
        <v>55</v>
      </c>
      <c r="G406" t="s">
        <v>29</v>
      </c>
      <c r="H406" t="s">
        <v>2519</v>
      </c>
      <c r="I406" t="s">
        <v>2520</v>
      </c>
      <c r="J406">
        <v>19</v>
      </c>
      <c r="L406" s="200" t="str">
        <f>IFERROR(VLOOKUP($H406,PARAMETERS!$M$3:$M$1600,1,0),"---")</f>
        <v>gs_penGlass_fg</v>
      </c>
    </row>
    <row r="407" spans="1:12">
      <c r="A407"/>
      <c r="B407" t="s">
        <v>9</v>
      </c>
      <c r="C407"/>
      <c r="D407" t="s">
        <v>9</v>
      </c>
      <c r="E407"/>
      <c r="F407" t="s">
        <v>55</v>
      </c>
      <c r="G407" t="s">
        <v>29</v>
      </c>
      <c r="H407" t="s">
        <v>2521</v>
      </c>
      <c r="I407" t="s">
        <v>2522</v>
      </c>
      <c r="J407">
        <v>19</v>
      </c>
      <c r="L407" s="200" t="str">
        <f>IFERROR(VLOOKUP($H407,PARAMETERS!$M$3:$M$1600,1,0),"---")</f>
        <v>gs_penGlass_bg</v>
      </c>
    </row>
    <row r="408" spans="1:12">
      <c r="A408"/>
      <c r="B408"/>
      <c r="C408"/>
      <c r="D408" t="s">
        <v>9</v>
      </c>
      <c r="E408"/>
      <c r="F408" t="s">
        <v>55</v>
      </c>
      <c r="G408" t="s">
        <v>29</v>
      </c>
      <c r="H408" t="s">
        <v>2523</v>
      </c>
      <c r="I408" t="s">
        <v>2524</v>
      </c>
      <c r="J408">
        <v>2</v>
      </c>
      <c r="L408" s="200" t="str">
        <f>IFERROR(VLOOKUP($H408,PARAMETERS!$M$3:$M$1600,1,0),"---")</f>
        <v>gs_glass_view_pen</v>
      </c>
    </row>
    <row r="409" spans="1:12">
      <c r="A409"/>
      <c r="B409"/>
      <c r="C409"/>
      <c r="D409" t="s">
        <v>9</v>
      </c>
      <c r="E409"/>
      <c r="F409" t="s">
        <v>54</v>
      </c>
      <c r="G409" t="s">
        <v>29</v>
      </c>
      <c r="H409" t="s">
        <v>2525</v>
      </c>
      <c r="I409" t="s">
        <v>2526</v>
      </c>
      <c r="J409">
        <v>65</v>
      </c>
      <c r="L409" s="200" t="str">
        <f>IFERROR(VLOOKUP($H409,PARAMETERS!$M$3:$M$1600,1,0),"---")</f>
        <v>gs_fillShCover</v>
      </c>
    </row>
    <row r="410" spans="1:12">
      <c r="A410"/>
      <c r="B410"/>
      <c r="C410"/>
      <c r="D410" t="s">
        <v>9</v>
      </c>
      <c r="E410"/>
      <c r="F410" t="s">
        <v>55</v>
      </c>
      <c r="G410" t="s">
        <v>29</v>
      </c>
      <c r="H410" t="s">
        <v>2527</v>
      </c>
      <c r="I410" t="s">
        <v>2528</v>
      </c>
      <c r="J410">
        <v>19</v>
      </c>
      <c r="L410" s="200" t="str">
        <f>IFERROR(VLOOKUP($H410,PARAMETERS!$M$3:$M$1600,1,0),"---")</f>
        <v>gs_penShCov_fg</v>
      </c>
    </row>
    <row r="411" spans="1:12">
      <c r="A411"/>
      <c r="B411"/>
      <c r="C411"/>
      <c r="D411" t="s">
        <v>9</v>
      </c>
      <c r="E411"/>
      <c r="F411" t="s">
        <v>55</v>
      </c>
      <c r="G411" t="s">
        <v>29</v>
      </c>
      <c r="H411" t="s">
        <v>2601</v>
      </c>
      <c r="I411" t="s">
        <v>2602</v>
      </c>
      <c r="J411">
        <v>19</v>
      </c>
      <c r="L411" s="200" t="str">
        <f>IFERROR(VLOOKUP($H411,PARAMETERS!$M$3:$M$1600,1,0),"---")</f>
        <v>gs_penShCov_bg</v>
      </c>
    </row>
    <row r="412" spans="1:12">
      <c r="A412" t="s">
        <v>9</v>
      </c>
      <c r="B412"/>
      <c r="C412"/>
      <c r="D412"/>
      <c r="E412"/>
      <c r="F412" t="s">
        <v>59</v>
      </c>
      <c r="G412" t="s">
        <v>29</v>
      </c>
      <c r="H412" t="s">
        <v>2603</v>
      </c>
      <c r="I412" t="s">
        <v>2604</v>
      </c>
      <c r="L412" s="200" t="str">
        <f>IFERROR(VLOOKUP($H412,PARAMETERS!$M$3:$M$1600,1,0),"---")</f>
        <v>gs_door_offnung</v>
      </c>
    </row>
    <row r="413" spans="1:12">
      <c r="A413" t="s">
        <v>9</v>
      </c>
      <c r="B413"/>
      <c r="C413"/>
      <c r="D413" t="s">
        <v>9</v>
      </c>
      <c r="E413"/>
      <c r="F413" t="s">
        <v>46</v>
      </c>
      <c r="G413" t="s">
        <v>29</v>
      </c>
      <c r="H413" t="s">
        <v>2605</v>
      </c>
      <c r="I413" t="s">
        <v>2606</v>
      </c>
      <c r="J413">
        <v>2</v>
      </c>
      <c r="L413" s="200" t="str">
        <f>IFERROR(VLOOKUP($H413,PARAMETERS!$M$3:$M$1600,1,0),"---")</f>
        <v>iDrawSimpleLeafTo</v>
      </c>
    </row>
    <row r="414" spans="1:12">
      <c r="A414" t="s">
        <v>9</v>
      </c>
      <c r="B414"/>
      <c r="C414"/>
      <c r="D414" t="s">
        <v>9</v>
      </c>
      <c r="E414"/>
      <c r="F414" t="s">
        <v>33</v>
      </c>
      <c r="G414" t="s">
        <v>29</v>
      </c>
      <c r="H414" t="s">
        <v>2607</v>
      </c>
      <c r="I414" t="s">
        <v>2608</v>
      </c>
      <c r="J414">
        <v>90</v>
      </c>
      <c r="L414" s="200" t="str">
        <f>IFERROR(VLOOKUP($H414,PARAMETERS!$M$3:$M$1600,1,0),"---")</f>
        <v>gs_open_2D</v>
      </c>
    </row>
    <row r="415" spans="1:12">
      <c r="A415"/>
      <c r="B415"/>
      <c r="C415"/>
      <c r="D415" t="s">
        <v>9</v>
      </c>
      <c r="E415"/>
      <c r="F415" t="s">
        <v>33</v>
      </c>
      <c r="G415" t="s">
        <v>29</v>
      </c>
      <c r="H415" t="s">
        <v>2609</v>
      </c>
      <c r="I415" t="s">
        <v>2610</v>
      </c>
      <c r="J415">
        <v>90</v>
      </c>
      <c r="L415" s="200" t="str">
        <f>IFERROR(VLOOKUP($H415,PARAMETERS!$M$3:$M$1600,1,0),"---")</f>
        <v>gs_open_2D_s</v>
      </c>
    </row>
    <row r="416" spans="1:12">
      <c r="A416" t="s">
        <v>9</v>
      </c>
      <c r="B416"/>
      <c r="C416"/>
      <c r="D416" t="s">
        <v>9</v>
      </c>
      <c r="E416"/>
      <c r="F416" t="s">
        <v>33</v>
      </c>
      <c r="G416" t="s">
        <v>29</v>
      </c>
      <c r="H416" t="s">
        <v>2611</v>
      </c>
      <c r="I416" t="s">
        <v>2612</v>
      </c>
      <c r="J416">
        <v>0</v>
      </c>
      <c r="L416" s="200" t="str">
        <f>IFERROR(VLOOKUP($H416,PARAMETERS!$M$3:$M$1600,1,0),"---")</f>
        <v>gs_open_3D</v>
      </c>
    </row>
    <row r="417" spans="1:12">
      <c r="A417"/>
      <c r="B417"/>
      <c r="C417"/>
      <c r="D417" t="s">
        <v>9</v>
      </c>
      <c r="E417"/>
      <c r="F417" t="s">
        <v>33</v>
      </c>
      <c r="G417" t="s">
        <v>29</v>
      </c>
      <c r="H417" t="s">
        <v>2613</v>
      </c>
      <c r="I417" t="s">
        <v>2614</v>
      </c>
      <c r="J417">
        <v>0</v>
      </c>
      <c r="L417" s="200" t="str">
        <f>IFERROR(VLOOKUP($H417,PARAMETERS!$M$3:$M$1600,1,0),"---")</f>
        <v>gs_open_3D_s</v>
      </c>
    </row>
    <row r="418" spans="1:12">
      <c r="A418"/>
      <c r="B418"/>
      <c r="C418"/>
      <c r="D418" t="s">
        <v>9</v>
      </c>
      <c r="E418"/>
      <c r="F418" t="s">
        <v>49</v>
      </c>
      <c r="G418" t="s">
        <v>29</v>
      </c>
      <c r="H418" t="s">
        <v>2615</v>
      </c>
      <c r="I418" t="s">
        <v>2616</v>
      </c>
      <c r="J418">
        <v>1</v>
      </c>
      <c r="L418" s="200" t="str">
        <f>IFERROR(VLOOKUP($H418,PARAMETERS!$M$3:$M$1600,1,0),"---")</f>
        <v>gs_bSameLineTypeForLeaves</v>
      </c>
    </row>
    <row r="419" spans="1:12">
      <c r="A419" t="s">
        <v>9</v>
      </c>
      <c r="B419"/>
      <c r="C419" t="s">
        <v>9</v>
      </c>
      <c r="D419" t="s">
        <v>9</v>
      </c>
      <c r="E419"/>
      <c r="F419" t="s">
        <v>49</v>
      </c>
      <c r="G419" t="s">
        <v>29</v>
      </c>
      <c r="H419" t="s">
        <v>2617</v>
      </c>
      <c r="I419" t="s">
        <v>2618</v>
      </c>
      <c r="J419">
        <v>0</v>
      </c>
      <c r="L419" s="200" t="str">
        <f>IFERROR(VLOOKUP($H419,PARAMETERS!$M$3:$M$1600,1,0),"---")</f>
        <v>bOverride_MVO_2D</v>
      </c>
    </row>
    <row r="420" spans="1:12">
      <c r="A420" t="s">
        <v>9</v>
      </c>
      <c r="B420"/>
      <c r="C420"/>
      <c r="D420" t="s">
        <v>9</v>
      </c>
      <c r="E420"/>
      <c r="F420" t="s">
        <v>49</v>
      </c>
      <c r="G420" t="s">
        <v>29</v>
      </c>
      <c r="H420" t="s">
        <v>2619</v>
      </c>
      <c r="I420" t="s">
        <v>2620</v>
      </c>
      <c r="J420">
        <v>1</v>
      </c>
      <c r="L420" s="200" t="str">
        <f>IFERROR(VLOOKUP($H420,PARAMETERS!$M$3:$M$1600,1,0),"---")</f>
        <v>or_bOplines2D</v>
      </c>
    </row>
    <row r="421" spans="1:12">
      <c r="A421" t="s">
        <v>9</v>
      </c>
      <c r="B421"/>
      <c r="C421"/>
      <c r="D421" t="s">
        <v>9</v>
      </c>
      <c r="E421"/>
      <c r="F421" t="s">
        <v>53</v>
      </c>
      <c r="G421" t="s">
        <v>29</v>
      </c>
      <c r="H421" t="s">
        <v>2621</v>
      </c>
      <c r="I421" t="s">
        <v>2622</v>
      </c>
      <c r="J421">
        <v>1</v>
      </c>
      <c r="L421" s="200" t="str">
        <f>IFERROR(VLOOKUP($H421,PARAMETERS!$M$3:$M$1600,1,0),"---")</f>
        <v>or_swingLineType</v>
      </c>
    </row>
    <row r="422" spans="1:12">
      <c r="A422" t="s">
        <v>9</v>
      </c>
      <c r="B422"/>
      <c r="C422"/>
      <c r="D422" t="s">
        <v>9</v>
      </c>
      <c r="E422"/>
      <c r="F422" t="s">
        <v>53</v>
      </c>
      <c r="G422" t="s">
        <v>29</v>
      </c>
      <c r="H422" t="s">
        <v>2623</v>
      </c>
      <c r="I422" t="s">
        <v>2624</v>
      </c>
      <c r="J422">
        <v>4</v>
      </c>
      <c r="L422" s="200" t="str">
        <f>IFERROR(VLOOKUP($H422,PARAMETERS!$M$3:$M$1600,1,0),"---")</f>
        <v>or_swingLineType2</v>
      </c>
    </row>
    <row r="423" spans="1:12">
      <c r="A423" t="s">
        <v>9</v>
      </c>
      <c r="B423"/>
      <c r="C423"/>
      <c r="D423" t="s">
        <v>9</v>
      </c>
      <c r="E423"/>
      <c r="F423" t="s">
        <v>20</v>
      </c>
      <c r="G423" t="s">
        <v>29</v>
      </c>
      <c r="H423" t="s">
        <v>2625</v>
      </c>
      <c r="I423" t="s">
        <v>2626</v>
      </c>
      <c r="J423" t="s">
        <v>2627</v>
      </c>
      <c r="L423" s="200" t="str">
        <f>IFERROR(VLOOKUP($H423,PARAMETERS!$M$3:$M$1600,1,0),"---")</f>
        <v>or_SwingType</v>
      </c>
    </row>
    <row r="424" spans="1:12">
      <c r="A424" t="s">
        <v>9</v>
      </c>
      <c r="B424" t="s">
        <v>9</v>
      </c>
      <c r="C424"/>
      <c r="D424" t="s">
        <v>9</v>
      </c>
      <c r="E424"/>
      <c r="F424" t="s">
        <v>46</v>
      </c>
      <c r="G424" t="s">
        <v>29</v>
      </c>
      <c r="H424" t="s">
        <v>2628</v>
      </c>
      <c r="I424" t="s">
        <v>2626</v>
      </c>
      <c r="J424">
        <v>1</v>
      </c>
      <c r="L424" s="200" t="str">
        <f>IFERROR(VLOOKUP($H424,PARAMETERS!$M$3:$M$1600,1,0),"---")</f>
        <v>or_iSwingType</v>
      </c>
    </row>
    <row r="425" spans="1:12">
      <c r="A425" t="s">
        <v>9</v>
      </c>
      <c r="B425"/>
      <c r="C425"/>
      <c r="D425" t="s">
        <v>9</v>
      </c>
      <c r="E425"/>
      <c r="F425" t="s">
        <v>20</v>
      </c>
      <c r="G425" t="s">
        <v>29</v>
      </c>
      <c r="H425" t="s">
        <v>2629</v>
      </c>
      <c r="I425" t="s">
        <v>2626</v>
      </c>
      <c r="J425" t="s">
        <v>2630</v>
      </c>
      <c r="L425" s="200" t="str">
        <f>IFERROR(VLOOKUP($H425,PARAMETERS!$M$3:$M$1600,1,0),"---")</f>
        <v>or_SlidingType</v>
      </c>
    </row>
    <row r="426" spans="1:12">
      <c r="A426" t="s">
        <v>9</v>
      </c>
      <c r="B426" t="s">
        <v>9</v>
      </c>
      <c r="C426"/>
      <c r="D426" t="s">
        <v>9</v>
      </c>
      <c r="E426"/>
      <c r="F426" t="s">
        <v>46</v>
      </c>
      <c r="G426" t="s">
        <v>29</v>
      </c>
      <c r="H426" t="s">
        <v>2631</v>
      </c>
      <c r="I426" t="s">
        <v>2626</v>
      </c>
      <c r="J426">
        <v>0</v>
      </c>
      <c r="L426" s="200" t="str">
        <f>IFERROR(VLOOKUP($H426,PARAMETERS!$M$3:$M$1600,1,0),"---")</f>
        <v>or_iSlidingType</v>
      </c>
    </row>
    <row r="427" spans="1:12">
      <c r="A427" t="s">
        <v>9</v>
      </c>
      <c r="B427"/>
      <c r="C427"/>
      <c r="D427" t="s">
        <v>9</v>
      </c>
      <c r="E427"/>
      <c r="F427" t="s">
        <v>55</v>
      </c>
      <c r="G427" t="s">
        <v>29</v>
      </c>
      <c r="H427" t="s">
        <v>2632</v>
      </c>
      <c r="I427" t="s">
        <v>2633</v>
      </c>
      <c r="J427">
        <v>1</v>
      </c>
      <c r="L427" s="200" t="str">
        <f>IFERROR(VLOOKUP($H427,PARAMETERS!$M$3:$M$1600,1,0),"---")</f>
        <v>or_opLinePen</v>
      </c>
    </row>
    <row r="428" spans="1:12">
      <c r="A428" t="s">
        <v>9</v>
      </c>
      <c r="B428" t="s">
        <v>9</v>
      </c>
      <c r="C428"/>
      <c r="D428" t="s">
        <v>9</v>
      </c>
      <c r="E428"/>
      <c r="F428" t="s">
        <v>46</v>
      </c>
      <c r="G428" t="s">
        <v>29</v>
      </c>
      <c r="H428" t="s">
        <v>2634</v>
      </c>
      <c r="I428" t="s">
        <v>2633</v>
      </c>
      <c r="J428">
        <v>1</v>
      </c>
      <c r="L428" s="200" t="str">
        <f>IFERROR(VLOOKUP($H428,PARAMETERS!$M$3:$M$1600,1,0),"---")</f>
        <v>or_iOpLinePen</v>
      </c>
    </row>
    <row r="429" spans="1:12">
      <c r="A429" t="s">
        <v>9</v>
      </c>
      <c r="B429"/>
      <c r="C429" t="s">
        <v>9</v>
      </c>
      <c r="D429" t="s">
        <v>9</v>
      </c>
      <c r="E429"/>
      <c r="F429" t="s">
        <v>49</v>
      </c>
      <c r="G429" t="s">
        <v>29</v>
      </c>
      <c r="H429" t="s">
        <v>2635</v>
      </c>
      <c r="I429" t="s">
        <v>2636</v>
      </c>
      <c r="J429">
        <v>0</v>
      </c>
      <c r="L429" s="200" t="str">
        <f>IFERROR(VLOOKUP($H429,PARAMETERS!$M$3:$M$1600,1,0),"---")</f>
        <v>bOverride_MVO_3D</v>
      </c>
    </row>
    <row r="430" spans="1:12">
      <c r="A430" t="s">
        <v>9</v>
      </c>
      <c r="B430"/>
      <c r="C430"/>
      <c r="D430" t="s">
        <v>9</v>
      </c>
      <c r="E430"/>
      <c r="F430" t="s">
        <v>49</v>
      </c>
      <c r="G430" t="s">
        <v>29</v>
      </c>
      <c r="H430" t="s">
        <v>2637</v>
      </c>
      <c r="I430" t="s">
        <v>2638</v>
      </c>
      <c r="J430">
        <v>1</v>
      </c>
      <c r="L430" s="200" t="str">
        <f>IFERROR(VLOOKUP($H430,PARAMETERS!$M$3:$M$1600,1,0),"---")</f>
        <v>or_bOplines3d</v>
      </c>
    </row>
    <row r="431" spans="1:12">
      <c r="A431" t="s">
        <v>9</v>
      </c>
      <c r="B431"/>
      <c r="C431"/>
      <c r="D431" t="s">
        <v>9</v>
      </c>
      <c r="E431"/>
      <c r="F431" t="s">
        <v>20</v>
      </c>
      <c r="G431" t="s">
        <v>29</v>
      </c>
      <c r="H431" t="s">
        <v>2639</v>
      </c>
      <c r="I431" t="s">
        <v>2640</v>
      </c>
      <c r="J431" t="s">
        <v>2641</v>
      </c>
      <c r="L431" s="200" t="str">
        <f>IFERROR(VLOOKUP($H431,PARAMETERS!$M$3:$M$1600,1,0),"---")</f>
        <v>or_opLineType3dIn</v>
      </c>
    </row>
    <row r="432" spans="1:12">
      <c r="A432" t="s">
        <v>9</v>
      </c>
      <c r="B432" t="s">
        <v>9</v>
      </c>
      <c r="C432"/>
      <c r="D432" t="s">
        <v>9</v>
      </c>
      <c r="E432"/>
      <c r="F432" t="s">
        <v>46</v>
      </c>
      <c r="G432" t="s">
        <v>29</v>
      </c>
      <c r="H432" t="s">
        <v>2642</v>
      </c>
      <c r="I432" t="s">
        <v>2640</v>
      </c>
      <c r="J432">
        <v>0</v>
      </c>
      <c r="L432" s="200" t="str">
        <f>IFERROR(VLOOKUP($H432,PARAMETERS!$M$3:$M$1600,1,0),"---")</f>
        <v>or_iOpLineType3dIn</v>
      </c>
    </row>
    <row r="433" spans="1:12">
      <c r="A433" t="s">
        <v>9</v>
      </c>
      <c r="B433"/>
      <c r="C433"/>
      <c r="D433" t="s">
        <v>9</v>
      </c>
      <c r="E433"/>
      <c r="F433" t="s">
        <v>20</v>
      </c>
      <c r="G433" t="s">
        <v>29</v>
      </c>
      <c r="H433" t="s">
        <v>2643</v>
      </c>
      <c r="I433" t="s">
        <v>2644</v>
      </c>
      <c r="J433" t="s">
        <v>2645</v>
      </c>
      <c r="L433" s="200" t="str">
        <f>IFERROR(VLOOKUP($H433,PARAMETERS!$M$3:$M$1600,1,0),"---")</f>
        <v>or_opLineType3dOut</v>
      </c>
    </row>
    <row r="434" spans="1:12">
      <c r="A434" t="s">
        <v>9</v>
      </c>
      <c r="B434" t="s">
        <v>9</v>
      </c>
      <c r="C434"/>
      <c r="D434" t="s">
        <v>9</v>
      </c>
      <c r="E434"/>
      <c r="F434" t="s">
        <v>46</v>
      </c>
      <c r="G434" t="s">
        <v>29</v>
      </c>
      <c r="H434" t="s">
        <v>2646</v>
      </c>
      <c r="I434" t="s">
        <v>2644</v>
      </c>
      <c r="J434">
        <v>1</v>
      </c>
      <c r="L434" s="200" t="str">
        <f>IFERROR(VLOOKUP($H434,PARAMETERS!$M$3:$M$1600,1,0),"---")</f>
        <v>or_iOpLineType3dOut</v>
      </c>
    </row>
    <row r="435" spans="1:12">
      <c r="A435" t="s">
        <v>9</v>
      </c>
      <c r="B435"/>
      <c r="C435"/>
      <c r="D435" t="s">
        <v>9</v>
      </c>
      <c r="E435"/>
      <c r="F435" t="s">
        <v>20</v>
      </c>
      <c r="G435" t="s">
        <v>29</v>
      </c>
      <c r="H435" t="s">
        <v>2647</v>
      </c>
      <c r="I435" t="s">
        <v>2648</v>
      </c>
      <c r="J435" t="s">
        <v>2645</v>
      </c>
      <c r="L435" s="200" t="str">
        <f>IFERROR(VLOOKUP($H435,PARAMETERS!$M$3:$M$1600,1,0),"---")</f>
        <v>or_opLineType3dSecondary</v>
      </c>
    </row>
    <row r="436" spans="1:12">
      <c r="A436" t="s">
        <v>9</v>
      </c>
      <c r="B436" t="s">
        <v>9</v>
      </c>
      <c r="C436"/>
      <c r="D436" t="s">
        <v>9</v>
      </c>
      <c r="E436"/>
      <c r="F436" t="s">
        <v>46</v>
      </c>
      <c r="G436" t="s">
        <v>29</v>
      </c>
      <c r="H436" t="s">
        <v>2649</v>
      </c>
      <c r="I436" t="s">
        <v>2650</v>
      </c>
      <c r="J436">
        <v>1</v>
      </c>
      <c r="L436" s="200" t="str">
        <f>IFERROR(VLOOKUP($H436,PARAMETERS!$M$3:$M$1600,1,0),"---")</f>
        <v>or_iOpLineType3dSecondary</v>
      </c>
    </row>
    <row r="437" spans="1:12">
      <c r="A437" t="s">
        <v>9</v>
      </c>
      <c r="B437"/>
      <c r="C437"/>
      <c r="D437" t="s">
        <v>9</v>
      </c>
      <c r="E437"/>
      <c r="F437" t="s">
        <v>20</v>
      </c>
      <c r="G437" t="s">
        <v>29</v>
      </c>
      <c r="H437" t="s">
        <v>2651</v>
      </c>
      <c r="I437" t="s">
        <v>2652</v>
      </c>
      <c r="J437" t="s">
        <v>1157</v>
      </c>
      <c r="L437" s="200" t="str">
        <f>IFERROR(VLOOKUP($H437,PARAMETERS!$M$3:$M$1600,1,0),"---")</f>
        <v>or_oplineStyle</v>
      </c>
    </row>
    <row r="438" spans="1:12">
      <c r="A438" t="s">
        <v>9</v>
      </c>
      <c r="B438" t="s">
        <v>9</v>
      </c>
      <c r="C438"/>
      <c r="D438" t="s">
        <v>9</v>
      </c>
      <c r="E438"/>
      <c r="F438" t="s">
        <v>46</v>
      </c>
      <c r="G438" t="s">
        <v>29</v>
      </c>
      <c r="H438" t="s">
        <v>2653</v>
      </c>
      <c r="I438" t="s">
        <v>2652</v>
      </c>
      <c r="J438">
        <v>1</v>
      </c>
      <c r="L438" s="200" t="str">
        <f>IFERROR(VLOOKUP($H438,PARAMETERS!$M$3:$M$1600,1,0),"---")</f>
        <v>or_iOplineStyle</v>
      </c>
    </row>
    <row r="439" spans="1:12">
      <c r="A439" t="s">
        <v>9</v>
      </c>
      <c r="B439"/>
      <c r="C439"/>
      <c r="D439"/>
      <c r="E439"/>
      <c r="F439" t="s">
        <v>59</v>
      </c>
      <c r="G439" t="s">
        <v>29</v>
      </c>
      <c r="H439" t="s">
        <v>2654</v>
      </c>
      <c r="I439" t="s">
        <v>2655</v>
      </c>
      <c r="L439" s="200" t="str">
        <f>IFERROR(VLOOKUP($H439,PARAMETERS!$M$3:$M$1600,1,0),"---")</f>
        <v>gs_detail_level</v>
      </c>
    </row>
    <row r="440" spans="1:12">
      <c r="A440" t="s">
        <v>9</v>
      </c>
      <c r="B440"/>
      <c r="C440"/>
      <c r="D440" t="s">
        <v>9</v>
      </c>
      <c r="E440"/>
      <c r="F440" t="s">
        <v>46</v>
      </c>
      <c r="G440" t="s">
        <v>29</v>
      </c>
      <c r="H440" t="s">
        <v>2656</v>
      </c>
      <c r="I440" t="s">
        <v>2657</v>
      </c>
      <c r="J440">
        <v>1</v>
      </c>
      <c r="L440" s="200" t="str">
        <f>IFERROR(VLOOKUP($H440,PARAMETERS!$M$3:$M$1600,1,0),"---")</f>
        <v>iDWDet2D</v>
      </c>
    </row>
    <row r="441" spans="1:12">
      <c r="A441" t="s">
        <v>9</v>
      </c>
      <c r="B441"/>
      <c r="C441"/>
      <c r="D441" t="s">
        <v>9</v>
      </c>
      <c r="E441"/>
      <c r="F441" t="s">
        <v>46</v>
      </c>
      <c r="G441" t="s">
        <v>29</v>
      </c>
      <c r="H441" t="s">
        <v>2658</v>
      </c>
      <c r="I441" t="s">
        <v>2659</v>
      </c>
      <c r="J441">
        <v>2</v>
      </c>
      <c r="L441" s="200" t="str">
        <f>IFERROR(VLOOKUP($H441,PARAMETERS!$M$3:$M$1600,1,0),"---")</f>
        <v>iDWDet3D</v>
      </c>
    </row>
    <row r="442" spans="1:12">
      <c r="A442" t="s">
        <v>9</v>
      </c>
      <c r="B442"/>
      <c r="C442"/>
      <c r="D442" t="s">
        <v>9</v>
      </c>
      <c r="E442"/>
      <c r="F442" t="s">
        <v>46</v>
      </c>
      <c r="G442" t="s">
        <v>29</v>
      </c>
      <c r="H442" t="s">
        <v>2660</v>
      </c>
      <c r="I442" t="s">
        <v>2661</v>
      </c>
      <c r="J442">
        <v>1</v>
      </c>
      <c r="L442" s="200" t="str">
        <f>IFERROR(VLOOKUP($H442,PARAMETERS!$M$3:$M$1600,1,0),"---")</f>
        <v>iDWDetSE</v>
      </c>
    </row>
    <row r="443" spans="1:12">
      <c r="A443" t="s">
        <v>9</v>
      </c>
      <c r="B443"/>
      <c r="C443"/>
      <c r="D443" t="s">
        <v>9</v>
      </c>
      <c r="E443"/>
      <c r="F443" t="s">
        <v>46</v>
      </c>
      <c r="G443" t="s">
        <v>29</v>
      </c>
      <c r="H443" t="s">
        <v>2662</v>
      </c>
      <c r="I443" t="s">
        <v>2663</v>
      </c>
      <c r="J443">
        <v>1</v>
      </c>
      <c r="L443" s="200" t="str">
        <f>IFERROR(VLOOKUP($H443,PARAMETERS!$M$3:$M$1600,1,0),"---")</f>
        <v>iRevealOnSymbol</v>
      </c>
    </row>
    <row r="444" spans="1:12">
      <c r="A444" t="s">
        <v>9</v>
      </c>
      <c r="B444"/>
      <c r="C444" t="s">
        <v>9</v>
      </c>
      <c r="D444"/>
      <c r="E444"/>
      <c r="F444" t="s">
        <v>49</v>
      </c>
      <c r="G444" t="s">
        <v>29</v>
      </c>
      <c r="H444" t="s">
        <v>2664</v>
      </c>
      <c r="I444" t="s">
        <v>2665</v>
      </c>
      <c r="J444">
        <v>0</v>
      </c>
      <c r="L444" s="200" t="str">
        <f>IFERROR(VLOOKUP($H444,PARAMETERS!$M$3:$M$1600,1,0),"---")</f>
        <v>gs_bFills_Wallhole</v>
      </c>
    </row>
    <row r="445" spans="1:12">
      <c r="A445" t="s">
        <v>9</v>
      </c>
      <c r="B445"/>
      <c r="C445"/>
      <c r="D445" t="s">
        <v>9</v>
      </c>
      <c r="E445"/>
      <c r="F445" t="s">
        <v>54</v>
      </c>
      <c r="G445" t="s">
        <v>29</v>
      </c>
      <c r="H445" t="s">
        <v>2666</v>
      </c>
      <c r="I445" t="s">
        <v>2016</v>
      </c>
      <c r="J445">
        <v>65</v>
      </c>
      <c r="L445" s="200" t="str">
        <f>IFERROR(VLOOKUP($H445,PARAMETERS!$M$3:$M$1600,1,0),"---")</f>
        <v>gs_wallhole_fill</v>
      </c>
    </row>
    <row r="446" spans="1:12">
      <c r="A446" t="s">
        <v>9</v>
      </c>
      <c r="B446"/>
      <c r="C446"/>
      <c r="D446" t="s">
        <v>9</v>
      </c>
      <c r="E446"/>
      <c r="F446" t="s">
        <v>55</v>
      </c>
      <c r="G446" t="s">
        <v>29</v>
      </c>
      <c r="H446" t="s">
        <v>2667</v>
      </c>
      <c r="I446" t="s">
        <v>2018</v>
      </c>
      <c r="J446">
        <v>1</v>
      </c>
      <c r="L446" s="200" t="str">
        <f>IFERROR(VLOOKUP($H446,PARAMETERS!$M$3:$M$1600,1,0),"---")</f>
        <v>gs_wallhole_pen_fg</v>
      </c>
    </row>
    <row r="447" spans="1:12">
      <c r="A447" t="s">
        <v>9</v>
      </c>
      <c r="B447"/>
      <c r="C447"/>
      <c r="D447" t="s">
        <v>9</v>
      </c>
      <c r="E447"/>
      <c r="F447" t="s">
        <v>55</v>
      </c>
      <c r="G447" t="s">
        <v>29</v>
      </c>
      <c r="H447" t="s">
        <v>2668</v>
      </c>
      <c r="I447" t="s">
        <v>1869</v>
      </c>
      <c r="J447">
        <v>91</v>
      </c>
      <c r="L447" s="200" t="str">
        <f>IFERROR(VLOOKUP($H447,PARAMETERS!$M$3:$M$1600,1,0),"---")</f>
        <v>gs_wallhole_pen_bg</v>
      </c>
    </row>
    <row r="448" spans="1:12">
      <c r="A448" t="s">
        <v>9</v>
      </c>
      <c r="B448"/>
      <c r="C448" t="s">
        <v>9</v>
      </c>
      <c r="D448"/>
      <c r="E448"/>
      <c r="F448" t="s">
        <v>49</v>
      </c>
      <c r="G448" t="s">
        <v>29</v>
      </c>
      <c r="H448" t="s">
        <v>2669</v>
      </c>
      <c r="I448" t="s">
        <v>2670</v>
      </c>
      <c r="J448">
        <v>0</v>
      </c>
      <c r="L448" s="200" t="str">
        <f>IFERROR(VLOOKUP($H448,PARAMETERS!$M$3:$M$1600,1,0),"---")</f>
        <v>bEtikett</v>
      </c>
    </row>
    <row r="449" spans="1:12">
      <c r="A449" t="s">
        <v>9</v>
      </c>
      <c r="B449"/>
      <c r="C449"/>
      <c r="D449" t="s">
        <v>9</v>
      </c>
      <c r="E449"/>
      <c r="F449" t="s">
        <v>20</v>
      </c>
      <c r="G449" t="s">
        <v>29</v>
      </c>
      <c r="H449" t="s">
        <v>2671</v>
      </c>
      <c r="I449" t="s">
        <v>2672</v>
      </c>
      <c r="J449" t="s">
        <v>2673</v>
      </c>
      <c r="L449" s="200" t="str">
        <f>IFERROR(VLOOKUP($H449,PARAMETERS!$M$3:$M$1600,1,0),"---")</f>
        <v>gs_etikett</v>
      </c>
    </row>
    <row r="450" spans="1:12">
      <c r="A450" t="s">
        <v>9</v>
      </c>
      <c r="B450" t="s">
        <v>9</v>
      </c>
      <c r="C450"/>
      <c r="D450" t="s">
        <v>9</v>
      </c>
      <c r="E450"/>
      <c r="F450" t="s">
        <v>46</v>
      </c>
      <c r="G450" t="s">
        <v>29</v>
      </c>
      <c r="H450" t="s">
        <v>2674</v>
      </c>
      <c r="I450" t="s">
        <v>2672</v>
      </c>
      <c r="J450">
        <v>3</v>
      </c>
      <c r="L450" s="200" t="str">
        <f>IFERROR(VLOOKUP($H450,PARAMETERS!$M$3:$M$1600,1,0),"---")</f>
        <v>iEtikett</v>
      </c>
    </row>
    <row r="451" spans="1:12">
      <c r="A451" t="s">
        <v>9</v>
      </c>
      <c r="B451"/>
      <c r="C451"/>
      <c r="D451" t="s">
        <v>9</v>
      </c>
      <c r="E451"/>
      <c r="F451" t="s">
        <v>46</v>
      </c>
      <c r="G451" t="s">
        <v>29</v>
      </c>
      <c r="H451" t="s">
        <v>2675</v>
      </c>
      <c r="I451" t="s">
        <v>2676</v>
      </c>
      <c r="J451">
        <v>1</v>
      </c>
      <c r="L451" s="200" t="str">
        <f>IFERROR(VLOOKUP($H451,PARAMETERS!$M$3:$M$1600,1,0),"---")</f>
        <v>iDWDimRawOpening</v>
      </c>
    </row>
    <row r="452" spans="1:12">
      <c r="A452" t="s">
        <v>9</v>
      </c>
      <c r="B452"/>
      <c r="C452"/>
      <c r="D452" t="s">
        <v>9</v>
      </c>
      <c r="E452"/>
      <c r="F452" t="s">
        <v>20</v>
      </c>
      <c r="G452" t="s">
        <v>29</v>
      </c>
      <c r="H452" t="s">
        <v>2677</v>
      </c>
      <c r="I452" t="s">
        <v>2678</v>
      </c>
      <c r="J452" t="s">
        <v>2676</v>
      </c>
      <c r="L452" s="200" t="str">
        <f>IFERROR(VLOOKUP($H452,PARAMETERS!$M$3:$M$1600,1,0),"---")</f>
        <v>gs_mtext</v>
      </c>
    </row>
    <row r="453" spans="1:12">
      <c r="A453" t="s">
        <v>9</v>
      </c>
      <c r="B453"/>
      <c r="C453"/>
      <c r="D453" t="s">
        <v>9</v>
      </c>
      <c r="E453"/>
      <c r="F453" t="s">
        <v>26</v>
      </c>
      <c r="G453" t="s">
        <v>29</v>
      </c>
      <c r="H453" t="s">
        <v>2679</v>
      </c>
      <c r="I453" t="s">
        <v>2680</v>
      </c>
      <c r="J453">
        <v>0</v>
      </c>
      <c r="L453" s="200" t="str">
        <f>IFERROR(VLOOKUP($H453,PARAMETERS!$M$3:$M$1600,1,0),"---")</f>
        <v>gs_me</v>
      </c>
    </row>
    <row r="454" spans="1:12">
      <c r="A454" t="s">
        <v>9</v>
      </c>
      <c r="B454"/>
      <c r="C454"/>
      <c r="D454" t="s">
        <v>9</v>
      </c>
      <c r="E454"/>
      <c r="F454" t="s">
        <v>46</v>
      </c>
      <c r="G454" t="s">
        <v>29</v>
      </c>
      <c r="H454" t="s">
        <v>2681</v>
      </c>
      <c r="I454" t="s">
        <v>2682</v>
      </c>
      <c r="J454">
        <v>1</v>
      </c>
      <c r="L454" s="200" t="str">
        <f>IFERROR(VLOOKUP($H454,PARAMETERS!$M$3:$M$1600,1,0),"---")</f>
        <v>iDWDimFinishedLintel</v>
      </c>
    </row>
    <row r="455" spans="1:12">
      <c r="A455" t="s">
        <v>9</v>
      </c>
      <c r="B455"/>
      <c r="C455"/>
      <c r="D455" t="s">
        <v>9</v>
      </c>
      <c r="E455"/>
      <c r="F455" t="s">
        <v>20</v>
      </c>
      <c r="G455" t="s">
        <v>29</v>
      </c>
      <c r="H455" t="s">
        <v>2683</v>
      </c>
      <c r="I455" t="s">
        <v>2684</v>
      </c>
      <c r="J455" t="s">
        <v>2682</v>
      </c>
      <c r="L455" s="200" t="str">
        <f>IFERROR(VLOOKUP($H455,PARAMETERS!$M$3:$M$1600,1,0),"---")</f>
        <v>gs_ntext</v>
      </c>
    </row>
    <row r="456" spans="1:12">
      <c r="A456" t="s">
        <v>9</v>
      </c>
      <c r="B456"/>
      <c r="C456"/>
      <c r="D456" t="s">
        <v>9</v>
      </c>
      <c r="E456"/>
      <c r="F456" t="s">
        <v>26</v>
      </c>
      <c r="G456" t="s">
        <v>29</v>
      </c>
      <c r="H456" t="s">
        <v>2685</v>
      </c>
      <c r="I456" t="s">
        <v>2686</v>
      </c>
      <c r="J456">
        <v>0</v>
      </c>
      <c r="L456" s="200" t="str">
        <f>IFERROR(VLOOKUP($H456,PARAMETERS!$M$3:$M$1600,1,0),"---")</f>
        <v>gs_n</v>
      </c>
    </row>
    <row r="457" spans="1:12">
      <c r="A457" t="s">
        <v>9</v>
      </c>
      <c r="B457"/>
      <c r="C457"/>
      <c r="D457" t="s">
        <v>9</v>
      </c>
      <c r="E457"/>
      <c r="F457" t="s">
        <v>46</v>
      </c>
      <c r="G457" t="s">
        <v>29</v>
      </c>
      <c r="H457" t="s">
        <v>2687</v>
      </c>
      <c r="I457" t="s">
        <v>2688</v>
      </c>
      <c r="J457">
        <v>1</v>
      </c>
      <c r="L457" s="200" t="str">
        <f>IFERROR(VLOOKUP($H457,PARAMETERS!$M$3:$M$1600,1,0),"---")</f>
        <v>iDWDimFinishedParapet</v>
      </c>
    </row>
    <row r="458" spans="1:12">
      <c r="A458" t="s">
        <v>9</v>
      </c>
      <c r="B458"/>
      <c r="C458"/>
      <c r="D458" t="s">
        <v>9</v>
      </c>
      <c r="E458"/>
      <c r="F458" t="s">
        <v>20</v>
      </c>
      <c r="G458" t="s">
        <v>29</v>
      </c>
      <c r="H458" t="s">
        <v>2689</v>
      </c>
      <c r="I458" t="s">
        <v>2690</v>
      </c>
      <c r="J458" t="s">
        <v>2688</v>
      </c>
      <c r="L458" s="200" t="str">
        <f>IFERROR(VLOOKUP($H458,PARAMETERS!$M$3:$M$1600,1,0),"---")</f>
        <v>gs_qtext</v>
      </c>
    </row>
    <row r="459" spans="1:12">
      <c r="A459" t="s">
        <v>9</v>
      </c>
      <c r="B459"/>
      <c r="C459"/>
      <c r="D459" t="s">
        <v>9</v>
      </c>
      <c r="E459"/>
      <c r="F459" t="s">
        <v>26</v>
      </c>
      <c r="G459" t="s">
        <v>29</v>
      </c>
      <c r="H459" t="s">
        <v>2691</v>
      </c>
      <c r="I459" t="s">
        <v>2686</v>
      </c>
      <c r="J459">
        <v>0</v>
      </c>
      <c r="L459" s="200" t="str">
        <f>IFERROR(VLOOKUP($H459,PARAMETERS!$M$3:$M$1600,1,0),"---")</f>
        <v>gs_q</v>
      </c>
    </row>
    <row r="460" spans="1:12">
      <c r="A460" t="s">
        <v>9</v>
      </c>
      <c r="B460"/>
      <c r="C460"/>
      <c r="D460" t="s">
        <v>9</v>
      </c>
      <c r="E460"/>
      <c r="F460" t="s">
        <v>46</v>
      </c>
      <c r="G460" t="s">
        <v>29</v>
      </c>
      <c r="H460" t="s">
        <v>2692</v>
      </c>
      <c r="I460" t="s">
        <v>486</v>
      </c>
      <c r="J460">
        <v>1</v>
      </c>
      <c r="L460" s="200" t="str">
        <f>IFERROR(VLOOKUP($H460,PARAMETERS!$M$3:$M$1600,1,0),"---")</f>
        <v>iDWDimRawParapet</v>
      </c>
    </row>
    <row r="461" spans="1:12">
      <c r="A461" t="s">
        <v>9</v>
      </c>
      <c r="B461"/>
      <c r="C461"/>
      <c r="D461" t="s">
        <v>9</v>
      </c>
      <c r="E461"/>
      <c r="F461" t="s">
        <v>20</v>
      </c>
      <c r="G461" t="s">
        <v>29</v>
      </c>
      <c r="H461" t="s">
        <v>2693</v>
      </c>
      <c r="I461" t="s">
        <v>2694</v>
      </c>
      <c r="J461" t="s">
        <v>486</v>
      </c>
      <c r="L461" s="200" t="str">
        <f>IFERROR(VLOOKUP($H461,PARAMETERS!$M$3:$M$1600,1,0),"---")</f>
        <v>gs_ptext</v>
      </c>
    </row>
    <row r="462" spans="1:12">
      <c r="A462" t="s">
        <v>9</v>
      </c>
      <c r="B462"/>
      <c r="C462"/>
      <c r="D462" t="s">
        <v>9</v>
      </c>
      <c r="E462"/>
      <c r="F462" t="s">
        <v>26</v>
      </c>
      <c r="G462" t="s">
        <v>29</v>
      </c>
      <c r="H462" t="s">
        <v>2695</v>
      </c>
      <c r="I462" t="s">
        <v>2696</v>
      </c>
      <c r="J462">
        <v>0</v>
      </c>
      <c r="L462" s="200" t="str">
        <f>IFERROR(VLOOKUP($H462,PARAMETERS!$M$3:$M$1600,1,0),"---")</f>
        <v>gs_P</v>
      </c>
    </row>
    <row r="463" spans="1:12">
      <c r="A463" t="s">
        <v>9</v>
      </c>
      <c r="B463"/>
      <c r="C463"/>
      <c r="D463" t="s">
        <v>9</v>
      </c>
      <c r="E463"/>
      <c r="F463" t="s">
        <v>20</v>
      </c>
      <c r="G463" t="s">
        <v>29</v>
      </c>
      <c r="H463" t="s">
        <v>2697</v>
      </c>
      <c r="I463" t="s">
        <v>2698</v>
      </c>
      <c r="J463" t="s">
        <v>2699</v>
      </c>
      <c r="L463" s="200" t="str">
        <f>IFERROR(VLOOKUP($H463,PARAMETERS!$M$3:$M$1600,1,0),"---")</f>
        <v>gs_Etikett_scaleValues</v>
      </c>
    </row>
    <row r="464" spans="1:12">
      <c r="A464" t="s">
        <v>9</v>
      </c>
      <c r="B464" t="s">
        <v>9</v>
      </c>
      <c r="C464"/>
      <c r="D464" t="s">
        <v>9</v>
      </c>
      <c r="E464"/>
      <c r="F464" t="s">
        <v>46</v>
      </c>
      <c r="G464" t="s">
        <v>29</v>
      </c>
      <c r="H464" t="s">
        <v>2700</v>
      </c>
      <c r="I464" t="s">
        <v>2701</v>
      </c>
      <c r="J464">
        <v>2</v>
      </c>
      <c r="L464" s="200" t="str">
        <f>IFERROR(VLOOKUP($H464,PARAMETERS!$M$3:$M$1600,1,0),"---")</f>
        <v>gs_Etikett_scaleValues_m</v>
      </c>
    </row>
    <row r="465" spans="1:12">
      <c r="A465" t="s">
        <v>9</v>
      </c>
      <c r="B465"/>
      <c r="C465"/>
      <c r="D465" t="s">
        <v>9</v>
      </c>
      <c r="E465"/>
      <c r="F465" t="s">
        <v>20</v>
      </c>
      <c r="G465" t="s">
        <v>29</v>
      </c>
      <c r="H465" t="s">
        <v>2702</v>
      </c>
      <c r="I465" t="s">
        <v>2703</v>
      </c>
      <c r="J465" t="s">
        <v>2537</v>
      </c>
      <c r="L465" s="200" t="str">
        <f>IFERROR(VLOOKUP($H465,PARAMETERS!$M$3:$M$1600,1,0),"---")</f>
        <v>fontType</v>
      </c>
    </row>
    <row r="466" spans="1:12">
      <c r="A466" t="s">
        <v>9</v>
      </c>
      <c r="B466"/>
      <c r="C466"/>
      <c r="D466" t="s">
        <v>9</v>
      </c>
      <c r="E466"/>
      <c r="F466" t="s">
        <v>26</v>
      </c>
      <c r="G466" t="s">
        <v>29</v>
      </c>
      <c r="H466" t="s">
        <v>2704</v>
      </c>
      <c r="I466" t="s">
        <v>2705</v>
      </c>
      <c r="J466">
        <v>7.4999999999999997E-2</v>
      </c>
      <c r="L466" s="200" t="str">
        <f>IFERROR(VLOOKUP($H466,PARAMETERS!$M$3:$M$1600,1,0),"---")</f>
        <v>gs_lsize</v>
      </c>
    </row>
    <row r="467" spans="1:12">
      <c r="A467" t="s">
        <v>9</v>
      </c>
      <c r="B467"/>
      <c r="C467"/>
      <c r="D467" t="s">
        <v>9</v>
      </c>
      <c r="E467"/>
      <c r="F467" t="s">
        <v>38</v>
      </c>
      <c r="G467" t="s">
        <v>29</v>
      </c>
      <c r="H467" t="s">
        <v>2706</v>
      </c>
      <c r="I467" t="s">
        <v>2707</v>
      </c>
      <c r="J467">
        <v>1.5</v>
      </c>
      <c r="L467" s="200" t="str">
        <f>IFERROR(VLOOKUP($H467,PARAMETERS!$M$3:$M$1600,1,0),"---")</f>
        <v>gs_Etikett_fontSize_mm</v>
      </c>
    </row>
    <row r="468" spans="1:12">
      <c r="A468" t="s">
        <v>9</v>
      </c>
      <c r="B468"/>
      <c r="C468"/>
      <c r="D468" t="s">
        <v>9</v>
      </c>
      <c r="E468"/>
      <c r="F468" t="s">
        <v>55</v>
      </c>
      <c r="G468" t="s">
        <v>29</v>
      </c>
      <c r="H468" t="s">
        <v>2708</v>
      </c>
      <c r="I468" t="s">
        <v>2709</v>
      </c>
      <c r="J468">
        <v>1</v>
      </c>
      <c r="L468" s="200" t="str">
        <f>IFERROR(VLOOKUP($H468,PARAMETERS!$M$3:$M$1600,1,0),"---")</f>
        <v>gs_koten_pen</v>
      </c>
    </row>
    <row r="469" spans="1:12">
      <c r="A469" t="s">
        <v>9</v>
      </c>
      <c r="B469"/>
      <c r="C469"/>
      <c r="D469" t="s">
        <v>9</v>
      </c>
      <c r="E469"/>
      <c r="F469" t="s">
        <v>26</v>
      </c>
      <c r="G469" t="s">
        <v>29</v>
      </c>
      <c r="H469" t="s">
        <v>2710</v>
      </c>
      <c r="I469" t="s">
        <v>2711</v>
      </c>
      <c r="J469">
        <v>0</v>
      </c>
      <c r="L469" s="200" t="str">
        <f>IFERROR(VLOOKUP($H469,PARAMETERS!$M$3:$M$1600,1,0),"---")</f>
        <v>gs_etx</v>
      </c>
    </row>
    <row r="470" spans="1:12">
      <c r="A470"/>
      <c r="B470" t="s">
        <v>9</v>
      </c>
      <c r="C470"/>
      <c r="D470" t="s">
        <v>9</v>
      </c>
      <c r="E470"/>
      <c r="F470" t="s">
        <v>38</v>
      </c>
      <c r="G470" t="s">
        <v>29</v>
      </c>
      <c r="H470" t="s">
        <v>2712</v>
      </c>
      <c r="I470" t="s">
        <v>2713</v>
      </c>
      <c r="J470">
        <v>0</v>
      </c>
      <c r="L470" s="200" t="str">
        <f>IFERROR(VLOOKUP($H470,PARAMETERS!$M$3:$M$1600,1,0),"---")</f>
        <v>gs_Etikett_xTextPos_m</v>
      </c>
    </row>
    <row r="471" spans="1:12">
      <c r="A471" t="s">
        <v>9</v>
      </c>
      <c r="B471"/>
      <c r="C471"/>
      <c r="D471" t="s">
        <v>9</v>
      </c>
      <c r="E471"/>
      <c r="F471" t="s">
        <v>38</v>
      </c>
      <c r="G471" t="s">
        <v>29</v>
      </c>
      <c r="H471" t="s">
        <v>2714</v>
      </c>
      <c r="I471" t="s">
        <v>2715</v>
      </c>
      <c r="J471">
        <v>0</v>
      </c>
      <c r="L471" s="200" t="str">
        <f>IFERROR(VLOOKUP($H471,PARAMETERS!$M$3:$M$1600,1,0),"---")</f>
        <v>gs_Etikett_xTextPos_mm</v>
      </c>
    </row>
    <row r="472" spans="1:12">
      <c r="A472" t="s">
        <v>9</v>
      </c>
      <c r="B472"/>
      <c r="C472"/>
      <c r="D472" t="s">
        <v>9</v>
      </c>
      <c r="E472"/>
      <c r="F472" t="s">
        <v>26</v>
      </c>
      <c r="G472" t="s">
        <v>29</v>
      </c>
      <c r="H472" t="s">
        <v>2716</v>
      </c>
      <c r="I472" t="s">
        <v>2717</v>
      </c>
      <c r="J472">
        <v>0.4</v>
      </c>
      <c r="L472" s="200" t="str">
        <f>IFERROR(VLOOKUP($H472,PARAMETERS!$M$3:$M$1600,1,0),"---")</f>
        <v>gs_ety</v>
      </c>
    </row>
    <row r="473" spans="1:12">
      <c r="A473"/>
      <c r="B473" t="s">
        <v>9</v>
      </c>
      <c r="C473"/>
      <c r="D473" t="s">
        <v>9</v>
      </c>
      <c r="E473"/>
      <c r="F473" t="s">
        <v>38</v>
      </c>
      <c r="G473" t="s">
        <v>29</v>
      </c>
      <c r="H473" t="s">
        <v>2718</v>
      </c>
      <c r="I473" t="s">
        <v>2719</v>
      </c>
      <c r="J473">
        <v>0</v>
      </c>
      <c r="L473" s="200" t="str">
        <f>IFERROR(VLOOKUP($H473,PARAMETERS!$M$3:$M$1600,1,0),"---")</f>
        <v>gs_Etikett_yTextPos_m</v>
      </c>
    </row>
    <row r="474" spans="1:12">
      <c r="A474" t="s">
        <v>9</v>
      </c>
      <c r="B474"/>
      <c r="C474"/>
      <c r="D474" t="s">
        <v>9</v>
      </c>
      <c r="E474"/>
      <c r="F474" t="s">
        <v>38</v>
      </c>
      <c r="G474" t="s">
        <v>29</v>
      </c>
      <c r="H474" t="s">
        <v>2720</v>
      </c>
      <c r="I474" t="s">
        <v>2721</v>
      </c>
      <c r="J474">
        <v>2</v>
      </c>
      <c r="L474" s="200" t="str">
        <f>IFERROR(VLOOKUP($H474,PARAMETERS!$M$3:$M$1600,1,0),"---")</f>
        <v>gs_Etikett_yTextPos_mm</v>
      </c>
    </row>
    <row r="475" spans="1:12">
      <c r="A475" t="s">
        <v>9</v>
      </c>
      <c r="B475"/>
      <c r="C475"/>
      <c r="D475" t="s">
        <v>9</v>
      </c>
      <c r="E475"/>
      <c r="F475" t="s">
        <v>49</v>
      </c>
      <c r="G475" t="s">
        <v>29</v>
      </c>
      <c r="H475" t="s">
        <v>2722</v>
      </c>
      <c r="I475" t="s">
        <v>2723</v>
      </c>
      <c r="J475">
        <v>0</v>
      </c>
      <c r="L475" s="200" t="str">
        <f>IFERROR(VLOOKUP($H475,PARAMETERS!$M$3:$M$1600,1,0),"---")</f>
        <v>gs_autheight</v>
      </c>
    </row>
    <row r="476" spans="1:12">
      <c r="A476" t="s">
        <v>9</v>
      </c>
      <c r="B476"/>
      <c r="C476"/>
      <c r="D476" t="s">
        <v>9</v>
      </c>
      <c r="E476"/>
      <c r="F476" t="s">
        <v>26</v>
      </c>
      <c r="G476" t="s">
        <v>29</v>
      </c>
      <c r="H476" t="s">
        <v>2724</v>
      </c>
      <c r="I476" t="s">
        <v>2725</v>
      </c>
      <c r="J476">
        <v>0.05</v>
      </c>
      <c r="L476" s="200" t="str">
        <f>IFERROR(VLOOKUP($H476,PARAMETERS!$M$3:$M$1600,1,0),"---")</f>
        <v>gs_heightuser</v>
      </c>
    </row>
    <row r="477" spans="1:12">
      <c r="A477" t="s">
        <v>9</v>
      </c>
      <c r="B477"/>
      <c r="C477"/>
      <c r="D477" t="s">
        <v>9</v>
      </c>
      <c r="E477"/>
      <c r="F477" t="s">
        <v>38</v>
      </c>
      <c r="G477" t="s">
        <v>29</v>
      </c>
      <c r="H477" t="s">
        <v>2726</v>
      </c>
      <c r="I477" t="s">
        <v>2727</v>
      </c>
      <c r="J477">
        <v>1</v>
      </c>
      <c r="L477" s="200" t="str">
        <f>IFERROR(VLOOKUP($H477,PARAMETERS!$M$3:$M$1600,1,0),"---")</f>
        <v>gs_Etikett_lineSpace_mm</v>
      </c>
    </row>
    <row r="478" spans="1:12">
      <c r="A478" t="s">
        <v>9</v>
      </c>
      <c r="B478"/>
      <c r="C478"/>
      <c r="D478" t="s">
        <v>9</v>
      </c>
      <c r="E478"/>
      <c r="F478" t="s">
        <v>26</v>
      </c>
      <c r="G478" t="s">
        <v>29</v>
      </c>
      <c r="H478" t="s">
        <v>2728</v>
      </c>
      <c r="I478" t="s">
        <v>2729</v>
      </c>
      <c r="J478">
        <v>0</v>
      </c>
      <c r="L478" s="200" t="str">
        <f>IFERROR(VLOOKUP($H478,PARAMETERS!$M$3:$M$1600,1,0),"---")</f>
        <v>gs_festb</v>
      </c>
    </row>
    <row r="479" spans="1:12">
      <c r="A479"/>
      <c r="B479" t="s">
        <v>9</v>
      </c>
      <c r="C479"/>
      <c r="D479" t="s">
        <v>9</v>
      </c>
      <c r="E479"/>
      <c r="F479" t="s">
        <v>33</v>
      </c>
      <c r="G479" t="s">
        <v>29</v>
      </c>
      <c r="H479" t="s">
        <v>2730</v>
      </c>
      <c r="I479" t="s">
        <v>2731</v>
      </c>
      <c r="J479">
        <v>0</v>
      </c>
      <c r="L479" s="200" t="str">
        <f>IFERROR(VLOOKUP($H479,PARAMETERS!$M$3:$M$1600,1,0),"---")</f>
        <v>angleRotate</v>
      </c>
    </row>
    <row r="480" spans="1:12">
      <c r="A480" t="s">
        <v>9</v>
      </c>
      <c r="B480"/>
      <c r="C480" t="s">
        <v>9</v>
      </c>
      <c r="D480"/>
      <c r="E480"/>
      <c r="F480" t="s">
        <v>49</v>
      </c>
      <c r="G480" t="s">
        <v>29</v>
      </c>
      <c r="H480" t="s">
        <v>2732</v>
      </c>
      <c r="I480" t="s">
        <v>2733</v>
      </c>
      <c r="J480">
        <v>0</v>
      </c>
      <c r="L480" s="200" t="str">
        <f>IFERROR(VLOOKUP($H480,PARAMETERS!$M$3:$M$1600,1,0),"---")</f>
        <v>bIDTextDisplayMode</v>
      </c>
    </row>
    <row r="481" spans="1:12">
      <c r="A481" t="s">
        <v>9</v>
      </c>
      <c r="B481"/>
      <c r="C481"/>
      <c r="D481" t="s">
        <v>9</v>
      </c>
      <c r="E481"/>
      <c r="F481" t="s">
        <v>46</v>
      </c>
      <c r="G481" t="s">
        <v>29</v>
      </c>
      <c r="H481" t="s">
        <v>2734</v>
      </c>
      <c r="I481" t="s">
        <v>2735</v>
      </c>
      <c r="J481">
        <v>1</v>
      </c>
      <c r="L481" s="200" t="str">
        <f>IFERROR(VLOOKUP($H481,PARAMETERS!$M$3:$M$1600,1,0),"---")</f>
        <v>gs_IDText_displayMode_m</v>
      </c>
    </row>
    <row r="482" spans="1:12">
      <c r="A482" t="s">
        <v>9</v>
      </c>
      <c r="B482"/>
      <c r="C482"/>
      <c r="D482" t="s">
        <v>9</v>
      </c>
      <c r="E482"/>
      <c r="F482" t="s">
        <v>49</v>
      </c>
      <c r="G482" t="s">
        <v>29</v>
      </c>
      <c r="H482" t="s">
        <v>2736</v>
      </c>
      <c r="I482" t="s">
        <v>2737</v>
      </c>
      <c r="J482">
        <v>1</v>
      </c>
      <c r="L482" s="200" t="str">
        <f>IFERROR(VLOOKUP($H482,PARAMETERS!$M$3:$M$1600,1,0),"---")</f>
        <v>gs_IDText_bAutoIDNumber</v>
      </c>
    </row>
    <row r="483" spans="1:12">
      <c r="A483" t="s">
        <v>9</v>
      </c>
      <c r="B483"/>
      <c r="C483"/>
      <c r="D483" t="s">
        <v>9</v>
      </c>
      <c r="E483"/>
      <c r="F483" t="s">
        <v>20</v>
      </c>
      <c r="G483" t="s">
        <v>29</v>
      </c>
      <c r="H483" t="s">
        <v>2738</v>
      </c>
      <c r="I483" t="s">
        <v>2739</v>
      </c>
      <c r="J483" t="s">
        <v>2740</v>
      </c>
      <c r="L483" s="200" t="str">
        <f>IFERROR(VLOOKUP($H483,PARAMETERS!$M$3:$M$1600,1,0),"---")</f>
        <v>gs_IDText_stCustomText</v>
      </c>
    </row>
    <row r="484" spans="1:12">
      <c r="A484" t="s">
        <v>9</v>
      </c>
      <c r="B484"/>
      <c r="C484"/>
      <c r="D484" t="s">
        <v>9</v>
      </c>
      <c r="E484"/>
      <c r="F484" t="s">
        <v>49</v>
      </c>
      <c r="G484" t="s">
        <v>29</v>
      </c>
      <c r="H484" t="s">
        <v>2741</v>
      </c>
      <c r="I484" t="s">
        <v>2742</v>
      </c>
      <c r="J484">
        <v>1</v>
      </c>
      <c r="L484" s="200" t="str">
        <f>IFERROR(VLOOKUP($H484,PARAMETERS!$M$3:$M$1600,1,0),"---")</f>
        <v>gs_IDText_bFlipMarker</v>
      </c>
    </row>
    <row r="485" spans="1:12">
      <c r="A485" t="s">
        <v>9</v>
      </c>
      <c r="B485"/>
      <c r="C485"/>
      <c r="D485" t="s">
        <v>9</v>
      </c>
      <c r="E485"/>
      <c r="F485" t="s">
        <v>49</v>
      </c>
      <c r="G485" t="s">
        <v>29</v>
      </c>
      <c r="H485" t="s">
        <v>2743</v>
      </c>
      <c r="I485" t="s">
        <v>2744</v>
      </c>
      <c r="J485">
        <v>1</v>
      </c>
      <c r="L485" s="200" t="str">
        <f>IFERROR(VLOOKUP($H485,PARAMETERS!$M$3:$M$1600,1,0),"---")</f>
        <v>gs_IDText_bAdditionalValues</v>
      </c>
    </row>
    <row r="486" spans="1:12">
      <c r="A486" t="s">
        <v>9</v>
      </c>
      <c r="B486"/>
      <c r="C486"/>
      <c r="D486" t="s">
        <v>9</v>
      </c>
      <c r="E486"/>
      <c r="F486" t="s">
        <v>26</v>
      </c>
      <c r="G486" t="s">
        <v>29</v>
      </c>
      <c r="H486" t="s">
        <v>2745</v>
      </c>
      <c r="I486" t="s">
        <v>2746</v>
      </c>
      <c r="J486">
        <v>0</v>
      </c>
      <c r="L486" s="200" t="str">
        <f>IFERROR(VLOOKUP($H486,PARAMETERS!$M$3:$M$1600,1,0),"---")</f>
        <v>gs_IDText_xTextPos</v>
      </c>
    </row>
    <row r="487" spans="1:12">
      <c r="A487" t="s">
        <v>9</v>
      </c>
      <c r="B487"/>
      <c r="C487"/>
      <c r="D487" t="s">
        <v>9</v>
      </c>
      <c r="E487"/>
      <c r="F487" t="s">
        <v>26</v>
      </c>
      <c r="G487" t="s">
        <v>29</v>
      </c>
      <c r="H487" t="s">
        <v>2747</v>
      </c>
      <c r="I487" t="s">
        <v>2748</v>
      </c>
      <c r="J487">
        <v>0.4</v>
      </c>
      <c r="L487" s="200" t="str">
        <f>IFERROR(VLOOKUP($H487,PARAMETERS!$M$3:$M$1600,1,0),"---")</f>
        <v>gs_IDText_yTextPos</v>
      </c>
    </row>
    <row r="488" spans="1:12">
      <c r="A488" t="s">
        <v>9</v>
      </c>
      <c r="B488"/>
      <c r="C488"/>
      <c r="D488" t="s">
        <v>9</v>
      </c>
      <c r="E488"/>
      <c r="F488" t="s">
        <v>38</v>
      </c>
      <c r="G488" t="s">
        <v>29</v>
      </c>
      <c r="H488" t="s">
        <v>2749</v>
      </c>
      <c r="I488" t="s">
        <v>2750</v>
      </c>
      <c r="J488">
        <v>0</v>
      </c>
      <c r="L488" s="200" t="str">
        <f>IFERROR(VLOOKUP($H488,PARAMETERS!$M$3:$M$1600,1,0),"---")</f>
        <v>gs_IDText_xTextPos_mm</v>
      </c>
    </row>
    <row r="489" spans="1:12">
      <c r="A489" t="s">
        <v>9</v>
      </c>
      <c r="B489"/>
      <c r="C489"/>
      <c r="D489" t="s">
        <v>9</v>
      </c>
      <c r="E489"/>
      <c r="F489" t="s">
        <v>38</v>
      </c>
      <c r="G489" t="s">
        <v>29</v>
      </c>
      <c r="H489" t="s">
        <v>2751</v>
      </c>
      <c r="I489" t="s">
        <v>2752</v>
      </c>
      <c r="J489">
        <v>8</v>
      </c>
      <c r="L489" s="200" t="str">
        <f>IFERROR(VLOOKUP($H489,PARAMETERS!$M$3:$M$1600,1,0),"---")</f>
        <v>gs_IDText_yTextPos_mm</v>
      </c>
    </row>
    <row r="490" spans="1:12">
      <c r="A490" t="s">
        <v>9</v>
      </c>
      <c r="B490"/>
      <c r="C490"/>
      <c r="D490" t="s">
        <v>9</v>
      </c>
      <c r="E490"/>
      <c r="F490" t="s">
        <v>20</v>
      </c>
      <c r="G490" t="s">
        <v>29</v>
      </c>
      <c r="H490" t="s">
        <v>2753</v>
      </c>
      <c r="I490" t="s">
        <v>2698</v>
      </c>
      <c r="J490" t="s">
        <v>2699</v>
      </c>
      <c r="L490" s="200" t="str">
        <f>IFERROR(VLOOKUP($H490,PARAMETERS!$M$3:$M$1600,1,0),"---")</f>
        <v>gs_IDText_scaleValues</v>
      </c>
    </row>
    <row r="491" spans="1:12">
      <c r="A491" t="s">
        <v>9</v>
      </c>
      <c r="B491" t="s">
        <v>9</v>
      </c>
      <c r="C491"/>
      <c r="D491" t="s">
        <v>9</v>
      </c>
      <c r="E491"/>
      <c r="F491" t="s">
        <v>46</v>
      </c>
      <c r="G491" t="s">
        <v>29</v>
      </c>
      <c r="H491" t="s">
        <v>2754</v>
      </c>
      <c r="I491" t="s">
        <v>2701</v>
      </c>
      <c r="J491">
        <v>2</v>
      </c>
      <c r="L491" s="200" t="str">
        <f>IFERROR(VLOOKUP($H491,PARAMETERS!$M$3:$M$1600,1,0),"---")</f>
        <v>gs_IDText_scaleValues_m</v>
      </c>
    </row>
    <row r="492" spans="1:12">
      <c r="A492" t="s">
        <v>9</v>
      </c>
      <c r="B492"/>
      <c r="C492"/>
      <c r="D492" t="s">
        <v>9</v>
      </c>
      <c r="E492"/>
      <c r="F492" t="s">
        <v>38</v>
      </c>
      <c r="G492" t="s">
        <v>29</v>
      </c>
      <c r="H492" t="s">
        <v>2755</v>
      </c>
      <c r="I492" t="s">
        <v>2707</v>
      </c>
      <c r="J492">
        <v>2</v>
      </c>
      <c r="L492" s="200" t="str">
        <f>IFERROR(VLOOKUP($H492,PARAMETERS!$M$3:$M$1600,1,0),"---")</f>
        <v>gs_IDText_fontSize_mm</v>
      </c>
    </row>
    <row r="493" spans="1:12">
      <c r="A493" t="s">
        <v>9</v>
      </c>
      <c r="B493"/>
      <c r="C493"/>
      <c r="D493" t="s">
        <v>9</v>
      </c>
      <c r="E493"/>
      <c r="F493" t="s">
        <v>26</v>
      </c>
      <c r="G493" t="s">
        <v>29</v>
      </c>
      <c r="H493" t="s">
        <v>2756</v>
      </c>
      <c r="I493" t="s">
        <v>2705</v>
      </c>
      <c r="J493">
        <v>0.1</v>
      </c>
      <c r="L493" s="200" t="str">
        <f>IFERROR(VLOOKUP($H493,PARAMETERS!$M$3:$M$1600,1,0),"---")</f>
        <v>gs_IDText_fontSize_model</v>
      </c>
    </row>
    <row r="494" spans="1:12">
      <c r="A494" t="s">
        <v>9</v>
      </c>
      <c r="B494"/>
      <c r="C494"/>
      <c r="D494" t="s">
        <v>9</v>
      </c>
      <c r="E494"/>
      <c r="F494" t="s">
        <v>20</v>
      </c>
      <c r="G494" t="s">
        <v>29</v>
      </c>
      <c r="H494" t="s">
        <v>2757</v>
      </c>
      <c r="I494" t="s">
        <v>2703</v>
      </c>
      <c r="J494" t="s">
        <v>2537</v>
      </c>
      <c r="L494" s="200" t="str">
        <f>IFERROR(VLOOKUP($H494,PARAMETERS!$M$3:$M$1600,1,0),"---")</f>
        <v>gs_IDText_fontType</v>
      </c>
    </row>
    <row r="495" spans="1:12">
      <c r="A495" t="s">
        <v>9</v>
      </c>
      <c r="B495"/>
      <c r="C495"/>
      <c r="D495" t="s">
        <v>9</v>
      </c>
      <c r="E495"/>
      <c r="F495" t="s">
        <v>55</v>
      </c>
      <c r="G495" t="s">
        <v>29</v>
      </c>
      <c r="H495" t="s">
        <v>2758</v>
      </c>
      <c r="I495" t="s">
        <v>2759</v>
      </c>
      <c r="J495">
        <v>1</v>
      </c>
      <c r="L495" s="200" t="str">
        <f>IFERROR(VLOOKUP($H495,PARAMETERS!$M$3:$M$1600,1,0),"---")</f>
        <v>gs_IDText_fontPen</v>
      </c>
    </row>
    <row r="496" spans="1:12">
      <c r="A496" t="s">
        <v>9</v>
      </c>
      <c r="B496"/>
      <c r="C496" t="s">
        <v>9</v>
      </c>
      <c r="D496"/>
      <c r="E496"/>
      <c r="F496" t="s">
        <v>49</v>
      </c>
      <c r="G496" t="s">
        <v>29</v>
      </c>
      <c r="H496" t="s">
        <v>2760</v>
      </c>
      <c r="I496" t="s">
        <v>2761</v>
      </c>
      <c r="J496">
        <v>0</v>
      </c>
      <c r="L496" s="200" t="str">
        <f>IFERROR(VLOOKUP($H496,PARAMETERS!$M$3:$M$1600,1,0),"---")</f>
        <v>gs_head_symbol</v>
      </c>
    </row>
    <row r="497" spans="1:12">
      <c r="A497" t="s">
        <v>9</v>
      </c>
      <c r="B497"/>
      <c r="C497"/>
      <c r="D497" t="s">
        <v>9</v>
      </c>
      <c r="E497"/>
      <c r="F497" t="s">
        <v>53</v>
      </c>
      <c r="G497" t="s">
        <v>29</v>
      </c>
      <c r="H497" t="s">
        <v>2762</v>
      </c>
      <c r="I497" t="s">
        <v>2763</v>
      </c>
      <c r="J497">
        <v>21</v>
      </c>
      <c r="L497" s="200" t="str">
        <f>IFERROR(VLOOKUP($H497,PARAMETERS!$M$3:$M$1600,1,0),"---")</f>
        <v>gs_head_symbol_line</v>
      </c>
    </row>
    <row r="498" spans="1:12">
      <c r="A498" t="s">
        <v>9</v>
      </c>
      <c r="B498"/>
      <c r="C498"/>
      <c r="D498" t="s">
        <v>9</v>
      </c>
      <c r="E498"/>
      <c r="F498" t="s">
        <v>55</v>
      </c>
      <c r="G498" t="s">
        <v>29</v>
      </c>
      <c r="H498" t="s">
        <v>2764</v>
      </c>
      <c r="I498" t="s">
        <v>2765</v>
      </c>
      <c r="J498">
        <v>6</v>
      </c>
      <c r="L498" s="200" t="str">
        <f>IFERROR(VLOOKUP($H498,PARAMETERS!$M$3:$M$1600,1,0),"---")</f>
        <v>gs_head_symbol_pen</v>
      </c>
    </row>
    <row r="499" spans="1:12">
      <c r="A499" t="s">
        <v>9</v>
      </c>
      <c r="B499" t="s">
        <v>9</v>
      </c>
      <c r="C499"/>
      <c r="D499"/>
      <c r="E499"/>
      <c r="F499" t="s">
        <v>59</v>
      </c>
      <c r="G499" t="s">
        <v>29</v>
      </c>
      <c r="H499" t="s">
        <v>198</v>
      </c>
      <c r="I499" t="s">
        <v>199</v>
      </c>
      <c r="L499" s="200" t="str">
        <f>IFERROR(VLOOKUP($H499,PARAMETERS!$M$3:$M$1600,1,0),"---")</f>
        <v>gs_2D_representation</v>
      </c>
    </row>
    <row r="500" spans="1:12">
      <c r="A500" t="s">
        <v>9</v>
      </c>
      <c r="B500"/>
      <c r="C500"/>
      <c r="D500"/>
      <c r="E500"/>
      <c r="F500" t="s">
        <v>59</v>
      </c>
      <c r="G500" t="s">
        <v>29</v>
      </c>
      <c r="H500" t="s">
        <v>2766</v>
      </c>
      <c r="I500" t="s">
        <v>2767</v>
      </c>
      <c r="L500" s="200" t="str">
        <f>IFERROR(VLOOKUP($H500,PARAMETERS!$M$3:$M$1600,1,0),"---")</f>
        <v>gs_min_space</v>
      </c>
    </row>
    <row r="501" spans="1:12">
      <c r="A501" t="s">
        <v>9</v>
      </c>
      <c r="B501"/>
      <c r="C501"/>
      <c r="D501" t="s">
        <v>9</v>
      </c>
      <c r="E501"/>
      <c r="F501" t="s">
        <v>26</v>
      </c>
      <c r="G501" t="s">
        <v>29</v>
      </c>
      <c r="H501" t="s">
        <v>2769</v>
      </c>
      <c r="I501" t="s">
        <v>3058</v>
      </c>
      <c r="J501">
        <v>0.1</v>
      </c>
      <c r="L501" s="200" t="str">
        <f>IFERROR(VLOOKUP($H501,PARAMETERS!$M$3:$M$1600,1,0),"---")</f>
        <v>msOpeningSideWidth2</v>
      </c>
    </row>
    <row r="502" spans="1:12">
      <c r="A502" t="s">
        <v>9</v>
      </c>
      <c r="B502"/>
      <c r="C502"/>
      <c r="D502" t="s">
        <v>9</v>
      </c>
      <c r="E502"/>
      <c r="F502" t="s">
        <v>26</v>
      </c>
      <c r="G502" t="s">
        <v>29</v>
      </c>
      <c r="H502" t="s">
        <v>2768</v>
      </c>
      <c r="I502" t="s">
        <v>3059</v>
      </c>
      <c r="J502">
        <v>0.1</v>
      </c>
      <c r="L502" s="200" t="str">
        <f>IFERROR(VLOOKUP($H502,PARAMETERS!$M$3:$M$1600,1,0),"---")</f>
        <v>msOpeningSideWidth1</v>
      </c>
    </row>
    <row r="503" spans="1:12">
      <c r="A503" t="s">
        <v>9</v>
      </c>
      <c r="B503"/>
      <c r="C503"/>
      <c r="D503" t="s">
        <v>9</v>
      </c>
      <c r="E503"/>
      <c r="F503" t="s">
        <v>26</v>
      </c>
      <c r="G503" t="s">
        <v>29</v>
      </c>
      <c r="H503" t="s">
        <v>2770</v>
      </c>
      <c r="I503" t="s">
        <v>3060</v>
      </c>
      <c r="J503">
        <v>1.8</v>
      </c>
      <c r="L503" s="200" t="str">
        <f>IFERROR(VLOOKUP($H503,PARAMETERS!$M$3:$M$1600,1,0),"---")</f>
        <v>ms_openingSDepth</v>
      </c>
    </row>
    <row r="504" spans="1:12">
      <c r="A504" t="s">
        <v>9</v>
      </c>
      <c r="B504"/>
      <c r="C504"/>
      <c r="D504" t="s">
        <v>9</v>
      </c>
      <c r="E504"/>
      <c r="F504" t="s">
        <v>26</v>
      </c>
      <c r="G504" t="s">
        <v>29</v>
      </c>
      <c r="H504" t="s">
        <v>2773</v>
      </c>
      <c r="I504" t="s">
        <v>3061</v>
      </c>
      <c r="J504">
        <v>0.1</v>
      </c>
      <c r="L504" s="200" t="str">
        <f>IFERROR(VLOOKUP($H504,PARAMETERS!$M$3:$M$1600,1,0),"---")</f>
        <v>msOppositeSideWidth2</v>
      </c>
    </row>
    <row r="505" spans="1:12">
      <c r="A505" t="s">
        <v>9</v>
      </c>
      <c r="B505"/>
      <c r="C505"/>
      <c r="D505" t="s">
        <v>9</v>
      </c>
      <c r="E505"/>
      <c r="F505" t="s">
        <v>26</v>
      </c>
      <c r="G505" t="s">
        <v>29</v>
      </c>
      <c r="H505" t="s">
        <v>2772</v>
      </c>
      <c r="I505" t="s">
        <v>3062</v>
      </c>
      <c r="J505">
        <v>0.1</v>
      </c>
      <c r="L505" s="200" t="str">
        <f>IFERROR(VLOOKUP($H505,PARAMETERS!$M$3:$M$1600,1,0),"---")</f>
        <v>msOppositeSideWidth1</v>
      </c>
    </row>
    <row r="506" spans="1:12">
      <c r="A506" t="s">
        <v>9</v>
      </c>
      <c r="B506"/>
      <c r="C506"/>
      <c r="D506" t="s">
        <v>9</v>
      </c>
      <c r="E506"/>
      <c r="F506" t="s">
        <v>26</v>
      </c>
      <c r="G506" t="s">
        <v>29</v>
      </c>
      <c r="H506" t="s">
        <v>2774</v>
      </c>
      <c r="I506" t="s">
        <v>3063</v>
      </c>
      <c r="J506">
        <v>1.2</v>
      </c>
      <c r="L506" s="200" t="str">
        <f>IFERROR(VLOOKUP($H506,PARAMETERS!$M$3:$M$1600,1,0),"---")</f>
        <v>ms_oppositeSDepth</v>
      </c>
    </row>
    <row r="507" spans="1:12">
      <c r="A507"/>
      <c r="B507" t="s">
        <v>9</v>
      </c>
      <c r="C507"/>
      <c r="D507" t="s">
        <v>9</v>
      </c>
      <c r="E507"/>
      <c r="F507" t="s">
        <v>46</v>
      </c>
      <c r="G507" t="s">
        <v>29</v>
      </c>
      <c r="H507" t="s">
        <v>2776</v>
      </c>
      <c r="I507" t="s">
        <v>2777</v>
      </c>
      <c r="J507">
        <v>0</v>
      </c>
      <c r="L507" s="200" t="str">
        <f>IFERROR(VLOOKUP($H507,PARAMETERS!$M$3:$M$1600,1,0),"---")</f>
        <v>gs_leaf_optype_m</v>
      </c>
    </row>
    <row r="508" spans="1:12">
      <c r="A508" t="s">
        <v>9</v>
      </c>
      <c r="B508" t="s">
        <v>9</v>
      </c>
      <c r="C508"/>
      <c r="D508"/>
      <c r="E508"/>
      <c r="F508" t="s">
        <v>59</v>
      </c>
      <c r="G508" t="s">
        <v>29</v>
      </c>
      <c r="H508" t="s">
        <v>2779</v>
      </c>
      <c r="I508" t="s">
        <v>2780</v>
      </c>
      <c r="L508" s="200" t="str">
        <f>IFERROR(VLOOKUP($H508,PARAMETERS!$M$3:$M$1600,1,0),"---")</f>
        <v>gs_3D_representation</v>
      </c>
    </row>
    <row r="509" spans="1:12">
      <c r="A509" t="s">
        <v>9</v>
      </c>
      <c r="B509"/>
      <c r="C509"/>
      <c r="D509"/>
      <c r="E509"/>
      <c r="F509" t="s">
        <v>59</v>
      </c>
      <c r="G509" t="s">
        <v>29</v>
      </c>
      <c r="H509" t="s">
        <v>1476</v>
      </c>
      <c r="I509" t="s">
        <v>1477</v>
      </c>
      <c r="L509" s="200" t="str">
        <f>IFERROR(VLOOKUP($H509,PARAMETERS!$M$3:$M$1600,1,0),"---")</f>
        <v>gs_wall_contour_lines</v>
      </c>
    </row>
    <row r="510" spans="1:12">
      <c r="A510" t="s">
        <v>9</v>
      </c>
      <c r="B510"/>
      <c r="C510"/>
      <c r="D510" t="s">
        <v>9</v>
      </c>
      <c r="E510"/>
      <c r="F510" t="s">
        <v>20</v>
      </c>
      <c r="G510" t="s">
        <v>29</v>
      </c>
      <c r="H510" t="s">
        <v>1478</v>
      </c>
      <c r="I510" t="s">
        <v>1479</v>
      </c>
      <c r="J510" t="s">
        <v>1480</v>
      </c>
      <c r="L510" s="200" t="str">
        <f>IFERROR(VLOOKUP($H510,PARAMETERS!$M$3:$M$1600,1,0),"---")</f>
        <v>gs_wallcontour</v>
      </c>
    </row>
    <row r="511" spans="1:12">
      <c r="A511" t="s">
        <v>9</v>
      </c>
      <c r="B511" t="s">
        <v>9</v>
      </c>
      <c r="C511"/>
      <c r="D511" t="s">
        <v>9</v>
      </c>
      <c r="E511"/>
      <c r="F511" t="s">
        <v>46</v>
      </c>
      <c r="G511" t="s">
        <v>29</v>
      </c>
      <c r="H511" t="s">
        <v>1481</v>
      </c>
      <c r="I511" t="s">
        <v>1479</v>
      </c>
      <c r="J511">
        <v>1</v>
      </c>
      <c r="L511" s="200" t="str">
        <f>IFERROR(VLOOKUP($H511,PARAMETERS!$M$3:$M$1600,1,0),"---")</f>
        <v>gs_wallcontour_id</v>
      </c>
    </row>
    <row r="512" spans="1:12">
      <c r="A512" t="s">
        <v>9</v>
      </c>
      <c r="B512" t="s">
        <v>9</v>
      </c>
      <c r="C512"/>
      <c r="D512" t="s">
        <v>9</v>
      </c>
      <c r="E512"/>
      <c r="F512" t="s">
        <v>20</v>
      </c>
      <c r="G512" t="s">
        <v>29</v>
      </c>
      <c r="H512" t="s">
        <v>1482</v>
      </c>
      <c r="I512" t="s">
        <v>1483</v>
      </c>
      <c r="J512" t="s">
        <v>1484</v>
      </c>
      <c r="L512" s="200" t="str">
        <f>IFERROR(VLOOKUP($H512,PARAMETERS!$M$3:$M$1600,1,0),"---")</f>
        <v>gs_wcont_line</v>
      </c>
    </row>
    <row r="513" spans="1:12">
      <c r="A513" t="s">
        <v>9</v>
      </c>
      <c r="B513" t="s">
        <v>9</v>
      </c>
      <c r="C513"/>
      <c r="D513" t="s">
        <v>9</v>
      </c>
      <c r="E513"/>
      <c r="F513" t="s">
        <v>46</v>
      </c>
      <c r="G513" t="s">
        <v>29</v>
      </c>
      <c r="H513" t="s">
        <v>1485</v>
      </c>
      <c r="I513" t="s">
        <v>1483</v>
      </c>
      <c r="J513">
        <v>4</v>
      </c>
      <c r="L513" s="200" t="str">
        <f>IFERROR(VLOOKUP($H513,PARAMETERS!$M$3:$M$1600,1,0),"---")</f>
        <v>iWallContourLine</v>
      </c>
    </row>
    <row r="514" spans="1:12">
      <c r="A514" t="s">
        <v>9</v>
      </c>
      <c r="B514"/>
      <c r="C514"/>
      <c r="D514" t="s">
        <v>9</v>
      </c>
      <c r="E514"/>
      <c r="F514" t="s">
        <v>49</v>
      </c>
      <c r="G514" t="s">
        <v>29</v>
      </c>
      <c r="H514" t="s">
        <v>1486</v>
      </c>
      <c r="I514" t="s">
        <v>1487</v>
      </c>
      <c r="J514">
        <v>1</v>
      </c>
      <c r="L514" s="200" t="str">
        <f>IFERROR(VLOOKUP($H514,PARAMETERS!$M$3:$M$1600,1,0),"---")</f>
        <v>gs_wcont_line_automatic</v>
      </c>
    </row>
    <row r="515" spans="1:12">
      <c r="A515" t="s">
        <v>9</v>
      </c>
      <c r="B515"/>
      <c r="C515"/>
      <c r="D515" t="s">
        <v>9</v>
      </c>
      <c r="E515"/>
      <c r="F515" t="s">
        <v>49</v>
      </c>
      <c r="G515" t="s">
        <v>29</v>
      </c>
      <c r="H515" t="s">
        <v>1488</v>
      </c>
      <c r="I515" t="s">
        <v>1489</v>
      </c>
      <c r="J515">
        <v>1</v>
      </c>
      <c r="L515" s="200" t="str">
        <f>IFERROR(VLOOKUP($H515,PARAMETERS!$M$3:$M$1600,1,0),"---")</f>
        <v>gs_wcont_line_inside</v>
      </c>
    </row>
    <row r="516" spans="1:12">
      <c r="A516" t="s">
        <v>9</v>
      </c>
      <c r="B516"/>
      <c r="C516"/>
      <c r="D516" t="s">
        <v>9</v>
      </c>
      <c r="E516"/>
      <c r="F516" t="s">
        <v>49</v>
      </c>
      <c r="G516" t="s">
        <v>29</v>
      </c>
      <c r="H516" t="s">
        <v>1490</v>
      </c>
      <c r="I516" t="s">
        <v>1491</v>
      </c>
      <c r="J516">
        <v>1</v>
      </c>
      <c r="L516" s="200" t="str">
        <f>IFERROR(VLOOKUP($H516,PARAMETERS!$M$3:$M$1600,1,0),"---")</f>
        <v>gs_wcont_line_inside2</v>
      </c>
    </row>
    <row r="517" spans="1:12">
      <c r="A517" t="s">
        <v>9</v>
      </c>
      <c r="B517"/>
      <c r="C517"/>
      <c r="D517" t="s">
        <v>9</v>
      </c>
      <c r="E517"/>
      <c r="F517" t="s">
        <v>53</v>
      </c>
      <c r="G517" t="s">
        <v>29</v>
      </c>
      <c r="H517" t="s">
        <v>1492</v>
      </c>
      <c r="I517" t="s">
        <v>1493</v>
      </c>
      <c r="J517">
        <v>1</v>
      </c>
      <c r="L517" s="200" t="str">
        <f>IFERROR(VLOOKUP($H517,PARAMETERS!$M$3:$M$1600,1,0),"---")</f>
        <v>gs_wcont_line_in</v>
      </c>
    </row>
    <row r="518" spans="1:12">
      <c r="A518" t="s">
        <v>9</v>
      </c>
      <c r="B518"/>
      <c r="C518"/>
      <c r="D518" t="s">
        <v>9</v>
      </c>
      <c r="E518"/>
      <c r="F518" t="s">
        <v>53</v>
      </c>
      <c r="G518" t="s">
        <v>29</v>
      </c>
      <c r="H518" t="s">
        <v>1494</v>
      </c>
      <c r="I518" t="s">
        <v>1495</v>
      </c>
      <c r="J518">
        <v>1</v>
      </c>
      <c r="L518" s="200" t="str">
        <f>IFERROR(VLOOKUP($H518,PARAMETERS!$M$3:$M$1600,1,0),"---")</f>
        <v>gs_wcont_line_in2</v>
      </c>
    </row>
    <row r="519" spans="1:12">
      <c r="A519" t="s">
        <v>9</v>
      </c>
      <c r="B519"/>
      <c r="C519"/>
      <c r="D519" t="s">
        <v>9</v>
      </c>
      <c r="E519"/>
      <c r="F519" t="s">
        <v>49</v>
      </c>
      <c r="G519" t="s">
        <v>29</v>
      </c>
      <c r="H519" t="s">
        <v>1496</v>
      </c>
      <c r="I519" t="s">
        <v>1497</v>
      </c>
      <c r="J519">
        <v>1</v>
      </c>
      <c r="L519" s="200" t="str">
        <f>IFERROR(VLOOKUP($H519,PARAMETERS!$M$3:$M$1600,1,0),"---")</f>
        <v>gs_wcont_line_outside</v>
      </c>
    </row>
    <row r="520" spans="1:12">
      <c r="A520" t="s">
        <v>9</v>
      </c>
      <c r="B520"/>
      <c r="C520"/>
      <c r="D520" t="s">
        <v>9</v>
      </c>
      <c r="E520"/>
      <c r="F520" t="s">
        <v>49</v>
      </c>
      <c r="G520" t="s">
        <v>29</v>
      </c>
      <c r="H520" t="s">
        <v>1498</v>
      </c>
      <c r="I520" t="s">
        <v>1499</v>
      </c>
      <c r="J520">
        <v>1</v>
      </c>
      <c r="L520" s="200" t="str">
        <f>IFERROR(VLOOKUP($H520,PARAMETERS!$M$3:$M$1600,1,0),"---")</f>
        <v>gs_wcont_line_outside2</v>
      </c>
    </row>
    <row r="521" spans="1:12">
      <c r="A521" t="s">
        <v>9</v>
      </c>
      <c r="B521"/>
      <c r="C521"/>
      <c r="D521" t="s">
        <v>9</v>
      </c>
      <c r="E521"/>
      <c r="F521" t="s">
        <v>53</v>
      </c>
      <c r="G521" t="s">
        <v>29</v>
      </c>
      <c r="H521" t="s">
        <v>1500</v>
      </c>
      <c r="I521" t="s">
        <v>1501</v>
      </c>
      <c r="J521">
        <v>1</v>
      </c>
      <c r="L521" s="200" t="str">
        <f>IFERROR(VLOOKUP($H521,PARAMETERS!$M$3:$M$1600,1,0),"---")</f>
        <v>gs_wcont_line_out</v>
      </c>
    </row>
    <row r="522" spans="1:12">
      <c r="A522" t="s">
        <v>9</v>
      </c>
      <c r="B522"/>
      <c r="C522"/>
      <c r="D522" t="s">
        <v>9</v>
      </c>
      <c r="E522"/>
      <c r="F522" t="s">
        <v>53</v>
      </c>
      <c r="G522" t="s">
        <v>29</v>
      </c>
      <c r="H522" t="s">
        <v>1502</v>
      </c>
      <c r="I522" t="s">
        <v>1503</v>
      </c>
      <c r="J522">
        <v>1</v>
      </c>
      <c r="L522" s="200" t="str">
        <f>IFERROR(VLOOKUP($H522,PARAMETERS!$M$3:$M$1600,1,0),"---")</f>
        <v>gs_wcont_line_out2</v>
      </c>
    </row>
    <row r="523" spans="1:12">
      <c r="A523" t="s">
        <v>9</v>
      </c>
      <c r="B523"/>
      <c r="C523"/>
      <c r="D523" t="s">
        <v>9</v>
      </c>
      <c r="E523"/>
      <c r="F523" t="s">
        <v>55</v>
      </c>
      <c r="G523" t="s">
        <v>29</v>
      </c>
      <c r="H523" t="s">
        <v>1504</v>
      </c>
      <c r="I523" t="s">
        <v>1505</v>
      </c>
      <c r="J523">
        <v>1</v>
      </c>
      <c r="L523" s="200" t="str">
        <f>IFERROR(VLOOKUP($H523,PARAMETERS!$M$3:$M$1600,1,0),"---")</f>
        <v>gs_wcont_line_pen</v>
      </c>
    </row>
    <row r="524" spans="1:12">
      <c r="A524" t="s">
        <v>9</v>
      </c>
      <c r="B524"/>
      <c r="C524"/>
      <c r="D524" t="s">
        <v>9</v>
      </c>
      <c r="E524"/>
      <c r="F524" t="s">
        <v>55</v>
      </c>
      <c r="G524" t="s">
        <v>29</v>
      </c>
      <c r="H524" t="s">
        <v>1506</v>
      </c>
      <c r="I524" t="s">
        <v>1507</v>
      </c>
      <c r="J524">
        <v>1</v>
      </c>
      <c r="L524" s="200" t="str">
        <f>IFERROR(VLOOKUP($H524,PARAMETERS!$M$3:$M$1600,1,0),"---")</f>
        <v>gs_wcont_line_pen2</v>
      </c>
    </row>
    <row r="525" spans="1:12">
      <c r="A525" t="s">
        <v>9</v>
      </c>
      <c r="B525"/>
      <c r="C525"/>
      <c r="D525"/>
      <c r="E525"/>
      <c r="F525" t="s">
        <v>59</v>
      </c>
      <c r="G525" t="s">
        <v>29</v>
      </c>
      <c r="H525" t="s">
        <v>1508</v>
      </c>
      <c r="I525" t="s">
        <v>1509</v>
      </c>
      <c r="L525" s="200" t="str">
        <f>IFERROR(VLOOKUP($H525,PARAMETERS!$M$3:$M$1600,1,0),"---")</f>
        <v>gs_mounting_frame_gap</v>
      </c>
    </row>
    <row r="526" spans="1:12">
      <c r="A526" t="s">
        <v>9</v>
      </c>
      <c r="B526"/>
      <c r="C526"/>
      <c r="D526" t="s">
        <v>9</v>
      </c>
      <c r="E526"/>
      <c r="F526" t="s">
        <v>46</v>
      </c>
      <c r="G526" t="s">
        <v>29</v>
      </c>
      <c r="H526" t="s">
        <v>1510</v>
      </c>
      <c r="I526" t="s">
        <v>1511</v>
      </c>
      <c r="J526">
        <v>0</v>
      </c>
      <c r="L526" s="200" t="str">
        <f>IFERROR(VLOOKUP($H526,PARAMETERS!$M$3:$M$1600,1,0),"---")</f>
        <v>iBlindstockTypeLeft</v>
      </c>
    </row>
    <row r="527" spans="1:12">
      <c r="A527" t="s">
        <v>9</v>
      </c>
      <c r="B527"/>
      <c r="C527"/>
      <c r="D527" t="s">
        <v>9</v>
      </c>
      <c r="E527"/>
      <c r="F527" t="s">
        <v>46</v>
      </c>
      <c r="G527" t="s">
        <v>29</v>
      </c>
      <c r="H527" t="s">
        <v>1512</v>
      </c>
      <c r="I527" t="s">
        <v>1513</v>
      </c>
      <c r="J527">
        <v>0</v>
      </c>
      <c r="L527" s="200" t="str">
        <f>IFERROR(VLOOKUP($H527,PARAMETERS!$M$3:$M$1600,1,0),"---")</f>
        <v>iBlindstockTypeRight</v>
      </c>
    </row>
    <row r="528" spans="1:12">
      <c r="A528" t="s">
        <v>9</v>
      </c>
      <c r="B528"/>
      <c r="C528"/>
      <c r="D528" t="s">
        <v>9</v>
      </c>
      <c r="E528"/>
      <c r="F528" t="s">
        <v>49</v>
      </c>
      <c r="G528" t="s">
        <v>29</v>
      </c>
      <c r="H528" t="s">
        <v>1514</v>
      </c>
      <c r="I528" t="s">
        <v>1515</v>
      </c>
      <c r="J528">
        <v>1</v>
      </c>
      <c r="L528" s="200" t="str">
        <f>IFERROR(VLOOKUP($H528,PARAMETERS!$M$3:$M$1600,1,0),"---")</f>
        <v>gs_TolerNBF_automatic</v>
      </c>
    </row>
    <row r="529" spans="1:12">
      <c r="A529" t="s">
        <v>9</v>
      </c>
      <c r="B529"/>
      <c r="C529"/>
      <c r="D529" t="s">
        <v>9</v>
      </c>
      <c r="E529"/>
      <c r="F529" t="s">
        <v>26</v>
      </c>
      <c r="G529" t="s">
        <v>29</v>
      </c>
      <c r="H529" t="s">
        <v>1516</v>
      </c>
      <c r="I529" t="s">
        <v>1517</v>
      </c>
      <c r="J529">
        <v>0</v>
      </c>
      <c r="L529" s="200" t="str">
        <f>IFERROR(VLOOKUP($H529,PARAMETERS!$M$3:$M$1600,1,0),"---")</f>
        <v>gs_TolerNBF_dist_left</v>
      </c>
    </row>
    <row r="530" spans="1:12">
      <c r="A530" t="s">
        <v>9</v>
      </c>
      <c r="B530"/>
      <c r="C530"/>
      <c r="D530" t="s">
        <v>9</v>
      </c>
      <c r="E530"/>
      <c r="F530" t="s">
        <v>26</v>
      </c>
      <c r="G530" t="s">
        <v>29</v>
      </c>
      <c r="H530" t="s">
        <v>1518</v>
      </c>
      <c r="I530" t="s">
        <v>1519</v>
      </c>
      <c r="J530">
        <v>0</v>
      </c>
      <c r="L530" s="200" t="str">
        <f>IFERROR(VLOOKUP($H530,PARAMETERS!$M$3:$M$1600,1,0),"---")</f>
        <v>gs_TolerNBF_dist_right</v>
      </c>
    </row>
    <row r="531" spans="1:12">
      <c r="A531" t="s">
        <v>9</v>
      </c>
      <c r="B531"/>
      <c r="C531"/>
      <c r="D531" t="s">
        <v>9</v>
      </c>
      <c r="E531"/>
      <c r="F531" t="s">
        <v>26</v>
      </c>
      <c r="G531" t="s">
        <v>29</v>
      </c>
      <c r="H531" t="s">
        <v>1520</v>
      </c>
      <c r="I531" t="s">
        <v>1521</v>
      </c>
      <c r="J531">
        <v>0</v>
      </c>
      <c r="L531" s="200" t="str">
        <f>IFERROR(VLOOKUP($H531,PARAMETERS!$M$3:$M$1600,1,0),"---")</f>
        <v>gs_TolerNBF_width_left</v>
      </c>
    </row>
    <row r="532" spans="1:12">
      <c r="A532" t="s">
        <v>9</v>
      </c>
      <c r="B532"/>
      <c r="C532"/>
      <c r="D532" t="s">
        <v>9</v>
      </c>
      <c r="E532"/>
      <c r="F532" t="s">
        <v>26</v>
      </c>
      <c r="G532" t="s">
        <v>29</v>
      </c>
      <c r="H532" t="s">
        <v>1522</v>
      </c>
      <c r="I532" t="s">
        <v>1523</v>
      </c>
      <c r="J532">
        <v>0</v>
      </c>
      <c r="L532" s="200" t="str">
        <f>IFERROR(VLOOKUP($H532,PARAMETERS!$M$3:$M$1600,1,0),"---")</f>
        <v>gs_TolerNBF_width_right</v>
      </c>
    </row>
    <row r="533" spans="1:12">
      <c r="A533" t="s">
        <v>9</v>
      </c>
      <c r="B533"/>
      <c r="C533"/>
      <c r="D533" t="s">
        <v>9</v>
      </c>
      <c r="E533"/>
      <c r="F533" t="s">
        <v>26</v>
      </c>
      <c r="G533" t="s">
        <v>29</v>
      </c>
      <c r="H533" t="s">
        <v>1524</v>
      </c>
      <c r="I533" t="s">
        <v>1525</v>
      </c>
      <c r="J533">
        <v>0.01</v>
      </c>
      <c r="L533" s="200" t="str">
        <f>IFERROR(VLOOKUP($H533,PARAMETERS!$M$3:$M$1600,1,0),"---")</f>
        <v>gs_TolerNBF_depth_left</v>
      </c>
    </row>
    <row r="534" spans="1:12">
      <c r="A534" t="s">
        <v>9</v>
      </c>
      <c r="B534"/>
      <c r="C534"/>
      <c r="D534" t="s">
        <v>9</v>
      </c>
      <c r="E534"/>
      <c r="F534" t="s">
        <v>26</v>
      </c>
      <c r="G534" t="s">
        <v>29</v>
      </c>
      <c r="H534" t="s">
        <v>1526</v>
      </c>
      <c r="I534" t="s">
        <v>1527</v>
      </c>
      <c r="J534">
        <v>0.01</v>
      </c>
      <c r="L534" s="200" t="str">
        <f>IFERROR(VLOOKUP($H534,PARAMETERS!$M$3:$M$1600,1,0),"---")</f>
        <v>gs_TolerNBF_depth_right</v>
      </c>
    </row>
    <row r="535" spans="1:12">
      <c r="A535" t="s">
        <v>9</v>
      </c>
      <c r="B535"/>
      <c r="C535"/>
      <c r="D535" t="s">
        <v>9</v>
      </c>
      <c r="E535"/>
      <c r="F535" t="s">
        <v>55</v>
      </c>
      <c r="G535" t="s">
        <v>29</v>
      </c>
      <c r="H535" t="s">
        <v>1528</v>
      </c>
      <c r="I535" t="s">
        <v>1529</v>
      </c>
      <c r="J535">
        <v>1</v>
      </c>
      <c r="L535" s="200" t="str">
        <f>IFERROR(VLOOKUP($H535,PARAMETERS!$M$3:$M$1600,1,0),"---")</f>
        <v>gs_TolerBlin_contour_pen</v>
      </c>
    </row>
    <row r="536" spans="1:12">
      <c r="A536" t="s">
        <v>9</v>
      </c>
      <c r="B536"/>
      <c r="C536"/>
      <c r="D536" t="s">
        <v>9</v>
      </c>
      <c r="E536"/>
      <c r="F536" t="s">
        <v>53</v>
      </c>
      <c r="G536" t="s">
        <v>29</v>
      </c>
      <c r="H536" t="s">
        <v>1530</v>
      </c>
      <c r="I536" t="s">
        <v>1531</v>
      </c>
      <c r="J536">
        <v>1</v>
      </c>
      <c r="L536" s="200" t="str">
        <f>IFERROR(VLOOKUP($H536,PARAMETERS!$M$3:$M$1600,1,0),"---")</f>
        <v>gs_TolerBlin_contour_line_type</v>
      </c>
    </row>
    <row r="537" spans="1:12">
      <c r="A537" t="s">
        <v>9</v>
      </c>
      <c r="B537"/>
      <c r="C537"/>
      <c r="D537" t="s">
        <v>9</v>
      </c>
      <c r="E537"/>
      <c r="F537" t="s">
        <v>54</v>
      </c>
      <c r="G537" t="s">
        <v>29</v>
      </c>
      <c r="H537" t="s">
        <v>1532</v>
      </c>
      <c r="I537" t="s">
        <v>1533</v>
      </c>
      <c r="J537">
        <v>65</v>
      </c>
      <c r="L537" s="200" t="str">
        <f>IFERROR(VLOOKUP($H537,PARAMETERS!$M$3:$M$1600,1,0),"---")</f>
        <v>gs_TolerBlin_fill_type</v>
      </c>
    </row>
    <row r="538" spans="1:12">
      <c r="A538" t="s">
        <v>9</v>
      </c>
      <c r="B538"/>
      <c r="C538"/>
      <c r="D538" t="s">
        <v>9</v>
      </c>
      <c r="E538"/>
      <c r="F538" t="s">
        <v>55</v>
      </c>
      <c r="G538" t="s">
        <v>29</v>
      </c>
      <c r="H538" t="s">
        <v>1534</v>
      </c>
      <c r="I538" t="s">
        <v>1535</v>
      </c>
      <c r="J538">
        <v>2</v>
      </c>
      <c r="L538" s="200" t="str">
        <f>IFERROR(VLOOKUP($H538,PARAMETERS!$M$3:$M$1600,1,0),"---")</f>
        <v>gs_TolerBlin_fg_pen</v>
      </c>
    </row>
    <row r="539" spans="1:12">
      <c r="A539" t="s">
        <v>9</v>
      </c>
      <c r="B539"/>
      <c r="C539"/>
      <c r="D539" t="s">
        <v>9</v>
      </c>
      <c r="E539"/>
      <c r="F539" t="s">
        <v>55</v>
      </c>
      <c r="G539" t="s">
        <v>29</v>
      </c>
      <c r="H539" t="s">
        <v>1536</v>
      </c>
      <c r="I539" t="s">
        <v>1537</v>
      </c>
      <c r="J539">
        <v>19</v>
      </c>
      <c r="L539" s="200" t="str">
        <f>IFERROR(VLOOKUP($H539,PARAMETERS!$M$3:$M$1600,1,0),"---")</f>
        <v>gs_TolerBlin_bg_pen</v>
      </c>
    </row>
    <row r="540" spans="1:12">
      <c r="A540" t="s">
        <v>9</v>
      </c>
      <c r="B540"/>
      <c r="C540"/>
      <c r="D540" t="s">
        <v>9</v>
      </c>
      <c r="E540"/>
      <c r="F540" t="s">
        <v>55</v>
      </c>
      <c r="G540" t="s">
        <v>29</v>
      </c>
      <c r="H540" t="s">
        <v>1538</v>
      </c>
      <c r="I540" t="s">
        <v>1539</v>
      </c>
      <c r="J540">
        <v>1</v>
      </c>
      <c r="L540" s="200" t="str">
        <f>IFERROR(VLOOKUP($H540,PARAMETERS!$M$3:$M$1600,1,0),"---")</f>
        <v>gs_TolerFill_contour_pen</v>
      </c>
    </row>
    <row r="541" spans="1:12">
      <c r="A541"/>
      <c r="B541"/>
      <c r="C541"/>
      <c r="D541" t="s">
        <v>9</v>
      </c>
      <c r="E541"/>
      <c r="F541" t="s">
        <v>53</v>
      </c>
      <c r="G541" t="s">
        <v>29</v>
      </c>
      <c r="H541" t="s">
        <v>1540</v>
      </c>
      <c r="I541" t="s">
        <v>1541</v>
      </c>
      <c r="J541">
        <v>1</v>
      </c>
      <c r="L541" s="200" t="str">
        <f>IFERROR(VLOOKUP($H541,PARAMETERS!$M$3:$M$1600,1,0),"---")</f>
        <v>gs_TolerFill_contour_line_type</v>
      </c>
    </row>
    <row r="542" spans="1:12">
      <c r="A542"/>
      <c r="B542"/>
      <c r="C542"/>
      <c r="D542" t="s">
        <v>9</v>
      </c>
      <c r="E542"/>
      <c r="F542" t="s">
        <v>54</v>
      </c>
      <c r="G542" t="s">
        <v>29</v>
      </c>
      <c r="H542" t="s">
        <v>1542</v>
      </c>
      <c r="I542" t="s">
        <v>1543</v>
      </c>
      <c r="J542">
        <v>64</v>
      </c>
      <c r="L542" s="200" t="str">
        <f>IFERROR(VLOOKUP($H542,PARAMETERS!$M$3:$M$1600,1,0),"---")</f>
        <v>gs_TolerFill_fill_type</v>
      </c>
    </row>
    <row r="543" spans="1:12">
      <c r="A543" t="s">
        <v>9</v>
      </c>
      <c r="B543"/>
      <c r="C543"/>
      <c r="D543" t="s">
        <v>9</v>
      </c>
      <c r="E543"/>
      <c r="F543" t="s">
        <v>55</v>
      </c>
      <c r="G543" t="s">
        <v>29</v>
      </c>
      <c r="H543" t="s">
        <v>1544</v>
      </c>
      <c r="I543" t="s">
        <v>1539</v>
      </c>
      <c r="J543">
        <v>2</v>
      </c>
      <c r="L543" s="200" t="str">
        <f>IFERROR(VLOOKUP($H543,PARAMETERS!$M$3:$M$1600,1,0),"---")</f>
        <v>gs_TolerFill_fg_pen</v>
      </c>
    </row>
    <row r="544" spans="1:12">
      <c r="A544"/>
      <c r="B544"/>
      <c r="C544"/>
      <c r="D544" t="s">
        <v>9</v>
      </c>
      <c r="E544"/>
      <c r="F544" t="s">
        <v>55</v>
      </c>
      <c r="G544" t="s">
        <v>29</v>
      </c>
      <c r="H544" t="s">
        <v>1545</v>
      </c>
      <c r="I544" t="s">
        <v>1546</v>
      </c>
      <c r="J544">
        <v>19</v>
      </c>
      <c r="L544" s="200" t="str">
        <f>IFERROR(VLOOKUP($H544,PARAMETERS!$M$3:$M$1600,1,0),"---")</f>
        <v>gs_TolerFill_bg_pen</v>
      </c>
    </row>
    <row r="545" spans="1:12">
      <c r="A545" t="s">
        <v>9</v>
      </c>
      <c r="B545" t="s">
        <v>9</v>
      </c>
      <c r="C545"/>
      <c r="D545"/>
      <c r="E545"/>
      <c r="F545" t="s">
        <v>59</v>
      </c>
      <c r="G545" t="s">
        <v>29</v>
      </c>
      <c r="H545" t="s">
        <v>3000</v>
      </c>
      <c r="I545" t="s">
        <v>3064</v>
      </c>
      <c r="L545" s="200" t="str">
        <f>IFERROR(VLOOKUP($H545,PARAMETERS!$M$3:$M$1600,1,0),"---")</f>
        <v>ac_details</v>
      </c>
    </row>
    <row r="546" spans="1:12">
      <c r="A546" t="s">
        <v>9</v>
      </c>
      <c r="B546" t="s">
        <v>9</v>
      </c>
      <c r="C546"/>
      <c r="D546" t="s">
        <v>9</v>
      </c>
      <c r="E546"/>
      <c r="F546" t="s">
        <v>26</v>
      </c>
      <c r="G546" t="s">
        <v>29</v>
      </c>
      <c r="H546" t="s">
        <v>3003</v>
      </c>
      <c r="I546" t="s">
        <v>3065</v>
      </c>
      <c r="J546">
        <v>0</v>
      </c>
      <c r="L546" s="200" t="str">
        <f>IFERROR(VLOOKUP($H546,PARAMETERS!$M$3:$M$1600,1,0),"---")</f>
        <v>ac_left_oversize</v>
      </c>
    </row>
    <row r="547" spans="1:12">
      <c r="A547" t="s">
        <v>9</v>
      </c>
      <c r="B547" t="s">
        <v>9</v>
      </c>
      <c r="C547"/>
      <c r="D547" t="s">
        <v>9</v>
      </c>
      <c r="E547"/>
      <c r="F547" t="s">
        <v>26</v>
      </c>
      <c r="G547" t="s">
        <v>29</v>
      </c>
      <c r="H547" t="s">
        <v>3005</v>
      </c>
      <c r="I547" t="s">
        <v>3066</v>
      </c>
      <c r="J547">
        <v>0</v>
      </c>
      <c r="L547" s="200" t="str">
        <f>IFERROR(VLOOKUP($H547,PARAMETERS!$M$3:$M$1600,1,0),"---")</f>
        <v>ac_right_oversize</v>
      </c>
    </row>
    <row r="548" spans="1:12">
      <c r="A548" t="s">
        <v>9</v>
      </c>
      <c r="B548" t="s">
        <v>9</v>
      </c>
      <c r="C548"/>
      <c r="D548" t="s">
        <v>9</v>
      </c>
      <c r="E548"/>
      <c r="F548" t="s">
        <v>26</v>
      </c>
      <c r="G548" t="s">
        <v>29</v>
      </c>
      <c r="H548" t="s">
        <v>3007</v>
      </c>
      <c r="I548" t="s">
        <v>3067</v>
      </c>
      <c r="J548">
        <v>0</v>
      </c>
      <c r="L548" s="200" t="str">
        <f>IFERROR(VLOOKUP($H548,PARAMETERS!$M$3:$M$1600,1,0),"---")</f>
        <v>ac_upper_oversize</v>
      </c>
    </row>
    <row r="549" spans="1:12">
      <c r="A549" t="s">
        <v>9</v>
      </c>
      <c r="B549" t="s">
        <v>9</v>
      </c>
      <c r="C549"/>
      <c r="D549" t="s">
        <v>9</v>
      </c>
      <c r="E549"/>
      <c r="F549" t="s">
        <v>26</v>
      </c>
      <c r="G549" t="s">
        <v>29</v>
      </c>
      <c r="H549" t="s">
        <v>3009</v>
      </c>
      <c r="I549" t="s">
        <v>3068</v>
      </c>
      <c r="J549">
        <v>0</v>
      </c>
      <c r="L549" s="200" t="str">
        <f>IFERROR(VLOOKUP($H549,PARAMETERS!$M$3:$M$1600,1,0),"---")</f>
        <v>ac_lower_oversize</v>
      </c>
    </row>
    <row r="550" spans="1:12">
      <c r="A550" t="s">
        <v>9</v>
      </c>
      <c r="B550" t="s">
        <v>9</v>
      </c>
      <c r="C550"/>
      <c r="D550" t="s">
        <v>9</v>
      </c>
      <c r="E550"/>
      <c r="F550" t="s">
        <v>49</v>
      </c>
      <c r="G550" t="s">
        <v>29</v>
      </c>
      <c r="H550" t="s">
        <v>269</v>
      </c>
      <c r="I550" t="s">
        <v>3069</v>
      </c>
      <c r="J550">
        <v>1</v>
      </c>
      <c r="L550" s="200" t="str">
        <f>IFERROR(VLOOKUP($H550,PARAMETERS!$M$3:$M$1600,1,0),"---")</f>
        <v>gs_full_edit</v>
      </c>
    </row>
    <row r="551" spans="1:12">
      <c r="A551" t="s">
        <v>9</v>
      </c>
      <c r="B551"/>
      <c r="C551"/>
      <c r="D551" t="s">
        <v>9</v>
      </c>
      <c r="E551" t="s">
        <v>9</v>
      </c>
      <c r="F551" t="s">
        <v>20</v>
      </c>
      <c r="G551" t="s">
        <v>29</v>
      </c>
      <c r="H551" t="s">
        <v>2985</v>
      </c>
      <c r="I551" t="s">
        <v>2986</v>
      </c>
      <c r="J551" t="s">
        <v>2987</v>
      </c>
      <c r="L551" s="200" t="str">
        <f>IFERROR(VLOOKUP($H551,PARAMETERS!$M$3:$M$1600,1,0),"---")</f>
        <v>ifc_optypestr</v>
      </c>
    </row>
    <row r="552" spans="1:12">
      <c r="A552" t="s">
        <v>9</v>
      </c>
      <c r="B552" t="s">
        <v>9</v>
      </c>
      <c r="C552"/>
      <c r="D552" t="s">
        <v>9</v>
      </c>
      <c r="E552" t="s">
        <v>9</v>
      </c>
      <c r="F552" t="s">
        <v>46</v>
      </c>
      <c r="G552" t="s">
        <v>29</v>
      </c>
      <c r="H552" t="s">
        <v>2988</v>
      </c>
      <c r="I552" t="s">
        <v>2986</v>
      </c>
      <c r="J552">
        <v>2</v>
      </c>
      <c r="L552" s="200" t="str">
        <f>IFERROR(VLOOKUP($H552,PARAMETERS!$M$3:$M$1600,1,0),"---")</f>
        <v>ifc_optype</v>
      </c>
    </row>
    <row r="553" spans="1:12">
      <c r="A553" t="s">
        <v>9</v>
      </c>
      <c r="B553" t="s">
        <v>9</v>
      </c>
      <c r="C553"/>
      <c r="D553" t="s">
        <v>9</v>
      </c>
      <c r="E553" t="s">
        <v>9</v>
      </c>
      <c r="F553" t="s">
        <v>26</v>
      </c>
      <c r="G553" t="s">
        <v>29</v>
      </c>
      <c r="H553" t="s">
        <v>2989</v>
      </c>
      <c r="J553">
        <v>0</v>
      </c>
      <c r="L553" s="200" t="str">
        <f>IFERROR(VLOOKUP($H553,PARAMETERS!$M$3:$M$1600,1,0),"---")</f>
        <v>ifc_LiningDepth</v>
      </c>
    </row>
    <row r="554" spans="1:12">
      <c r="A554" t="s">
        <v>9</v>
      </c>
      <c r="B554" t="s">
        <v>9</v>
      </c>
      <c r="C554"/>
      <c r="D554" t="s">
        <v>9</v>
      </c>
      <c r="E554" t="s">
        <v>9</v>
      </c>
      <c r="F554" t="s">
        <v>26</v>
      </c>
      <c r="G554" t="s">
        <v>29</v>
      </c>
      <c r="H554" t="s">
        <v>2990</v>
      </c>
      <c r="J554">
        <v>0</v>
      </c>
      <c r="L554" s="200" t="str">
        <f>IFERROR(VLOOKUP($H554,PARAMETERS!$M$3:$M$1600,1,0),"---")</f>
        <v>ifc_LiningThickness</v>
      </c>
    </row>
    <row r="555" spans="1:12">
      <c r="A555" t="s">
        <v>9</v>
      </c>
      <c r="B555" t="s">
        <v>9</v>
      </c>
      <c r="C555"/>
      <c r="D555" t="s">
        <v>9</v>
      </c>
      <c r="E555" t="s">
        <v>9</v>
      </c>
      <c r="F555" t="s">
        <v>26</v>
      </c>
      <c r="G555" t="s">
        <v>29</v>
      </c>
      <c r="H555" t="s">
        <v>2991</v>
      </c>
      <c r="J555">
        <v>0</v>
      </c>
      <c r="L555" s="200" t="str">
        <f>IFERROR(VLOOKUP($H555,PARAMETERS!$M$3:$M$1600,1,0),"---")</f>
        <v>ifc_LiningOffset</v>
      </c>
    </row>
    <row r="556" spans="1:12">
      <c r="A556" t="s">
        <v>9</v>
      </c>
      <c r="B556" t="s">
        <v>9</v>
      </c>
      <c r="C556"/>
      <c r="D556" t="s">
        <v>9</v>
      </c>
      <c r="E556" t="s">
        <v>9</v>
      </c>
      <c r="F556" t="s">
        <v>26</v>
      </c>
      <c r="G556" t="s">
        <v>29</v>
      </c>
      <c r="H556" t="s">
        <v>2992</v>
      </c>
      <c r="J556">
        <v>0</v>
      </c>
      <c r="L556" s="200" t="str">
        <f>IFERROR(VLOOKUP($H556,PARAMETERS!$M$3:$M$1600,1,0),"---")</f>
        <v>ifc_CasingDepth</v>
      </c>
    </row>
    <row r="557" spans="1:12">
      <c r="A557" t="s">
        <v>9</v>
      </c>
      <c r="B557" t="s">
        <v>9</v>
      </c>
      <c r="C557"/>
      <c r="D557" t="s">
        <v>9</v>
      </c>
      <c r="E557" t="s">
        <v>9</v>
      </c>
      <c r="F557" t="s">
        <v>26</v>
      </c>
      <c r="G557" t="s">
        <v>29</v>
      </c>
      <c r="H557" t="s">
        <v>2993</v>
      </c>
      <c r="J557">
        <v>0</v>
      </c>
      <c r="L557" s="200" t="str">
        <f>IFERROR(VLOOKUP($H557,PARAMETERS!$M$3:$M$1600,1,0),"---")</f>
        <v>ifc_CasingThickness</v>
      </c>
    </row>
    <row r="558" spans="1:12">
      <c r="A558" t="s">
        <v>9</v>
      </c>
      <c r="B558" t="s">
        <v>9</v>
      </c>
      <c r="C558"/>
      <c r="D558" t="s">
        <v>9</v>
      </c>
      <c r="E558" t="s">
        <v>9</v>
      </c>
      <c r="F558" t="s">
        <v>26</v>
      </c>
      <c r="G558" t="s">
        <v>29</v>
      </c>
      <c r="H558" t="s">
        <v>2994</v>
      </c>
      <c r="J558">
        <v>0</v>
      </c>
      <c r="L558" s="200" t="str">
        <f>IFERROR(VLOOKUP($H558,PARAMETERS!$M$3:$M$1600,1,0),"---")</f>
        <v>ifc_ThresholdDepth</v>
      </c>
    </row>
    <row r="559" spans="1:12">
      <c r="A559" t="s">
        <v>9</v>
      </c>
      <c r="B559" t="s">
        <v>9</v>
      </c>
      <c r="C559"/>
      <c r="D559" t="s">
        <v>9</v>
      </c>
      <c r="E559" t="s">
        <v>9</v>
      </c>
      <c r="F559" t="s">
        <v>26</v>
      </c>
      <c r="G559" t="s">
        <v>29</v>
      </c>
      <c r="H559" t="s">
        <v>2995</v>
      </c>
      <c r="J559">
        <v>0</v>
      </c>
      <c r="L559" s="200" t="str">
        <f>IFERROR(VLOOKUP($H559,PARAMETERS!$M$3:$M$1600,1,0),"---")</f>
        <v>ifc_ThresholdThickness</v>
      </c>
    </row>
    <row r="560" spans="1:12">
      <c r="A560" t="s">
        <v>9</v>
      </c>
      <c r="B560" t="s">
        <v>9</v>
      </c>
      <c r="C560"/>
      <c r="D560" t="s">
        <v>9</v>
      </c>
      <c r="E560" t="s">
        <v>9</v>
      </c>
      <c r="F560" t="s">
        <v>26</v>
      </c>
      <c r="G560" t="s">
        <v>29</v>
      </c>
      <c r="H560" t="s">
        <v>2996</v>
      </c>
      <c r="J560">
        <v>0</v>
      </c>
      <c r="L560" s="200" t="str">
        <f>IFERROR(VLOOKUP($H560,PARAMETERS!$M$3:$M$1600,1,0),"---")</f>
        <v>ifc_ThresholdOffset</v>
      </c>
    </row>
    <row r="561" spans="1:12">
      <c r="A561" t="s">
        <v>9</v>
      </c>
      <c r="B561" t="s">
        <v>9</v>
      </c>
      <c r="C561"/>
      <c r="D561" t="s">
        <v>9</v>
      </c>
      <c r="E561" t="s">
        <v>9</v>
      </c>
      <c r="F561" t="s">
        <v>26</v>
      </c>
      <c r="G561" t="s">
        <v>29</v>
      </c>
      <c r="H561" t="s">
        <v>2997</v>
      </c>
      <c r="J561">
        <v>0</v>
      </c>
      <c r="L561" s="200" t="str">
        <f>IFERROR(VLOOKUP($H561,PARAMETERS!$M$3:$M$1600,1,0),"---")</f>
        <v>ifc_TransomOffset</v>
      </c>
    </row>
    <row r="562" spans="1:12">
      <c r="A562" t="s">
        <v>9</v>
      </c>
      <c r="B562" t="s">
        <v>9</v>
      </c>
      <c r="C562"/>
      <c r="D562" t="s">
        <v>9</v>
      </c>
      <c r="E562" t="s">
        <v>9</v>
      </c>
      <c r="F562" t="s">
        <v>26</v>
      </c>
      <c r="G562" t="s">
        <v>29</v>
      </c>
      <c r="H562" t="s">
        <v>2998</v>
      </c>
      <c r="J562">
        <v>0</v>
      </c>
      <c r="L562" s="200" t="str">
        <f>IFERROR(VLOOKUP($H562,PARAMETERS!$M$3:$M$1600,1,0),"---")</f>
        <v>ifc_TransomThickness</v>
      </c>
    </row>
    <row r="563" spans="1:12">
      <c r="A563" t="s">
        <v>9</v>
      </c>
      <c r="B563" t="s">
        <v>9</v>
      </c>
      <c r="C563"/>
      <c r="D563" t="s">
        <v>9</v>
      </c>
      <c r="E563" t="s">
        <v>9</v>
      </c>
      <c r="F563" t="s">
        <v>26</v>
      </c>
      <c r="G563" t="s">
        <v>29</v>
      </c>
      <c r="H563" t="s">
        <v>2999</v>
      </c>
      <c r="J563" t="s">
        <v>35</v>
      </c>
      <c r="L563" s="200" t="str">
        <f>IFERROR(VLOOKUP($H563,PARAMETERS!$M$3:$M$1600,1,0),"---")</f>
        <v>ifc_DoorPanel</v>
      </c>
    </row>
    <row r="564" spans="1:12">
      <c r="A564" t="s">
        <v>9</v>
      </c>
      <c r="B564" t="s">
        <v>9</v>
      </c>
      <c r="C564"/>
      <c r="D564"/>
      <c r="E564"/>
      <c r="F564" t="s">
        <v>46</v>
      </c>
      <c r="G564" t="s">
        <v>29</v>
      </c>
      <c r="H564" t="s">
        <v>257</v>
      </c>
      <c r="J564">
        <v>10</v>
      </c>
      <c r="L564" s="200" t="str">
        <f>IFERROR(VLOOKUP($H564,PARAMETERS!$M$3:$M$1600,1,0),"---")</f>
        <v>gs_ui_current_page</v>
      </c>
    </row>
    <row r="565" spans="1:12">
      <c r="A565" t="s">
        <v>9</v>
      </c>
      <c r="B565" t="s">
        <v>9</v>
      </c>
      <c r="C565"/>
      <c r="D565"/>
      <c r="E565"/>
      <c r="F565" t="s">
        <v>46</v>
      </c>
      <c r="G565" t="s">
        <v>29</v>
      </c>
      <c r="H565" t="s">
        <v>259</v>
      </c>
      <c r="J565">
        <v>1</v>
      </c>
      <c r="L565" s="200" t="str">
        <f>IFERROR(VLOOKUP($H565,PARAMETERS!$M$3:$M$1600,1,0),"---")</f>
        <v>gs_ui_sub_tabpage</v>
      </c>
    </row>
    <row r="566" spans="1:12">
      <c r="A566" t="s">
        <v>9</v>
      </c>
      <c r="B566" t="s">
        <v>9</v>
      </c>
      <c r="C566"/>
      <c r="D566"/>
      <c r="E566" t="s">
        <v>9</v>
      </c>
      <c r="F566" t="s">
        <v>46</v>
      </c>
      <c r="G566" t="s">
        <v>29</v>
      </c>
      <c r="H566" t="s">
        <v>261</v>
      </c>
      <c r="J566">
        <v>1</v>
      </c>
      <c r="L566" s="200" t="str">
        <f>IFERROR(VLOOKUP($H566,PARAMETERS!$M$3:$M$1600,1,0),"---")</f>
        <v>gs_ui_sub_tabpage_closure</v>
      </c>
    </row>
    <row r="567" spans="1:12">
      <c r="A567" t="s">
        <v>9</v>
      </c>
      <c r="B567" t="s">
        <v>9</v>
      </c>
      <c r="C567"/>
      <c r="D567"/>
      <c r="E567"/>
      <c r="F567" t="s">
        <v>20</v>
      </c>
      <c r="G567" t="s">
        <v>29</v>
      </c>
      <c r="H567" t="s">
        <v>265</v>
      </c>
      <c r="L567" s="200" t="str">
        <f>IFERROR(VLOOKUP($H567,PARAMETERS!$M$3:$M$1600,1,0),"---")</f>
        <v>gs_GLOB_MODPAR_NAME</v>
      </c>
    </row>
    <row r="568" spans="1:12">
      <c r="A568" t="s">
        <v>9</v>
      </c>
      <c r="B568" t="s">
        <v>9</v>
      </c>
      <c r="C568" t="s">
        <v>9</v>
      </c>
      <c r="D568"/>
      <c r="E568"/>
      <c r="F568" t="s">
        <v>49</v>
      </c>
      <c r="G568" t="s">
        <v>29</v>
      </c>
      <c r="H568" t="s">
        <v>462</v>
      </c>
      <c r="I568" t="s">
        <v>463</v>
      </c>
      <c r="J568">
        <v>0</v>
      </c>
      <c r="L568" s="200" t="str">
        <f>IFERROR(VLOOKUP($H568,PARAMETERS!$M$3:$M$1600,1,0),"---")</f>
        <v>gs_sidelight_left</v>
      </c>
    </row>
    <row r="569" spans="1:12">
      <c r="A569" t="s">
        <v>9</v>
      </c>
      <c r="B569" t="s">
        <v>9</v>
      </c>
      <c r="C569"/>
      <c r="D569" t="s">
        <v>9</v>
      </c>
      <c r="E569"/>
      <c r="F569" t="s">
        <v>26</v>
      </c>
      <c r="G569" t="s">
        <v>29</v>
      </c>
      <c r="H569" t="s">
        <v>838</v>
      </c>
      <c r="I569" t="s">
        <v>3070</v>
      </c>
      <c r="J569">
        <v>0</v>
      </c>
      <c r="L569" s="200" t="str">
        <f>IFERROR(VLOOKUP($H569,PARAMETERS!$M$3:$M$1600,1,0),"---")</f>
        <v>gs_sidelight_width_left</v>
      </c>
    </row>
    <row r="570" spans="1:12">
      <c r="A570" t="s">
        <v>9</v>
      </c>
      <c r="B570" t="s">
        <v>9</v>
      </c>
      <c r="C570" t="s">
        <v>9</v>
      </c>
      <c r="D570"/>
      <c r="E570"/>
      <c r="F570" t="s">
        <v>49</v>
      </c>
      <c r="G570" t="s">
        <v>29</v>
      </c>
      <c r="H570" t="s">
        <v>465</v>
      </c>
      <c r="I570" t="s">
        <v>466</v>
      </c>
      <c r="J570">
        <v>0</v>
      </c>
      <c r="L570" s="200" t="str">
        <f>IFERROR(VLOOKUP($H570,PARAMETERS!$M$3:$M$1600,1,0),"---")</f>
        <v>gs_sidelight_right</v>
      </c>
    </row>
    <row r="571" spans="1:12" s="112" customFormat="1">
      <c r="A571" t="s">
        <v>9</v>
      </c>
      <c r="B571" t="s">
        <v>9</v>
      </c>
      <c r="C571"/>
      <c r="D571" t="s">
        <v>9</v>
      </c>
      <c r="E571"/>
      <c r="F571" t="s">
        <v>26</v>
      </c>
      <c r="G571" t="s">
        <v>29</v>
      </c>
      <c r="H571" t="s">
        <v>840</v>
      </c>
      <c r="I571" t="s">
        <v>3070</v>
      </c>
      <c r="J571">
        <v>0</v>
      </c>
      <c r="L571" s="201" t="str">
        <f>IFERROR(VLOOKUP($H571,PARAMETERS!$M$3:$M$1600,1,0),"---")</f>
        <v>gs_sidelight_width_right</v>
      </c>
    </row>
    <row r="572" spans="1:12">
      <c r="A572" t="s">
        <v>9</v>
      </c>
      <c r="B572" t="s">
        <v>9</v>
      </c>
      <c r="C572" t="s">
        <v>9</v>
      </c>
      <c r="D572"/>
      <c r="E572"/>
      <c r="F572" t="s">
        <v>49</v>
      </c>
      <c r="G572" t="s">
        <v>29</v>
      </c>
      <c r="H572" t="s">
        <v>862</v>
      </c>
      <c r="I572" t="s">
        <v>457</v>
      </c>
      <c r="J572">
        <v>0</v>
      </c>
      <c r="L572" s="200" t="str">
        <f>IFERROR(VLOOKUP($H572,PARAMETERS!$M$3:$M$1600,1,0),"---")</f>
        <v>gs_door_transom</v>
      </c>
    </row>
    <row r="573" spans="1:12">
      <c r="A573"/>
      <c r="B573" t="s">
        <v>9</v>
      </c>
      <c r="C573"/>
      <c r="D573" t="s">
        <v>9</v>
      </c>
      <c r="E573"/>
      <c r="F573" t="s">
        <v>26</v>
      </c>
      <c r="G573" t="s">
        <v>29</v>
      </c>
      <c r="H573" t="s">
        <v>864</v>
      </c>
      <c r="I573" t="s">
        <v>871</v>
      </c>
      <c r="J573">
        <v>0</v>
      </c>
      <c r="L573" s="200" t="str">
        <f>IFERROR(VLOOKUP($H573,PARAMETERS!$M$3:$M$1600,1,0),"---")</f>
        <v>gs_transom_height</v>
      </c>
    </row>
    <row r="574" spans="1:12">
      <c r="A574" t="s">
        <v>9</v>
      </c>
      <c r="B574" t="s">
        <v>9</v>
      </c>
      <c r="C574"/>
      <c r="D574"/>
      <c r="E574" t="s">
        <v>9</v>
      </c>
      <c r="F574" t="s">
        <v>46</v>
      </c>
      <c r="G574" t="s">
        <v>29</v>
      </c>
      <c r="H574" t="s">
        <v>267</v>
      </c>
      <c r="I574" t="s">
        <v>3071</v>
      </c>
      <c r="J574">
        <v>2</v>
      </c>
      <c r="L574" s="200" t="str">
        <f>IFERROR(VLOOKUP($H574,PARAMETERS!$M$3:$M$1600,1,0),"---")</f>
        <v>iUIPictIndex</v>
      </c>
    </row>
    <row r="575" spans="1:12">
      <c r="A575"/>
      <c r="B575" t="s">
        <v>9</v>
      </c>
      <c r="C575"/>
      <c r="D575"/>
      <c r="E575"/>
      <c r="F575" t="s">
        <v>20</v>
      </c>
      <c r="G575" t="s">
        <v>29</v>
      </c>
      <c r="H575" t="s">
        <v>252</v>
      </c>
      <c r="J575" t="s">
        <v>254</v>
      </c>
      <c r="L575" s="200" t="str">
        <f>IFERROR(VLOOKUP($H575,PARAMETERS!$M$3:$M$1600,1,0),"---")</f>
        <v>LibraryLangCode</v>
      </c>
    </row>
    <row r="576" spans="1:12">
      <c r="A576" t="s">
        <v>9</v>
      </c>
      <c r="B576"/>
      <c r="C576"/>
      <c r="D576"/>
      <c r="E576"/>
      <c r="F576" t="s">
        <v>59</v>
      </c>
      <c r="G576" t="s">
        <v>29</v>
      </c>
      <c r="H576" t="s">
        <v>2851</v>
      </c>
      <c r="I576" t="s">
        <v>3072</v>
      </c>
      <c r="L576" s="200" t="str">
        <f>IFERROR(VLOOKUP($H576,PARAMETERS!$M$3:$M$1600,1,0),"---")</f>
        <v>gs_list</v>
      </c>
    </row>
    <row r="577" spans="1:12">
      <c r="A577" t="s">
        <v>9</v>
      </c>
      <c r="B577"/>
      <c r="C577"/>
      <c r="D577" t="s">
        <v>9</v>
      </c>
      <c r="E577"/>
      <c r="F577" t="s">
        <v>49</v>
      </c>
      <c r="G577" t="s">
        <v>29</v>
      </c>
      <c r="H577" t="s">
        <v>1589</v>
      </c>
      <c r="I577" t="s">
        <v>1590</v>
      </c>
      <c r="J577">
        <v>1</v>
      </c>
      <c r="L577" s="200" t="str">
        <f>IFERROR(VLOOKUP($H577,PARAMETERS!$M$3:$M$1600,1,0),"---")</f>
        <v>gs_bOpeningToZone</v>
      </c>
    </row>
    <row r="578" spans="1:12">
      <c r="A578" t="s">
        <v>9</v>
      </c>
      <c r="B578"/>
      <c r="C578"/>
      <c r="D578" t="s">
        <v>9</v>
      </c>
      <c r="E578"/>
      <c r="F578" t="s">
        <v>38</v>
      </c>
      <c r="G578" t="s">
        <v>29</v>
      </c>
      <c r="H578" t="s">
        <v>2815</v>
      </c>
      <c r="I578" t="s">
        <v>2816</v>
      </c>
      <c r="J578">
        <v>0</v>
      </c>
      <c r="L578" s="200" t="str">
        <f>IFERROR(VLOOKUP($H578,PARAMETERS!$M$3:$M$1600,1,0),"---")</f>
        <v>gs_list_cost</v>
      </c>
    </row>
    <row r="579" spans="1:12">
      <c r="A579" t="s">
        <v>9</v>
      </c>
      <c r="B579"/>
      <c r="C579"/>
      <c r="D579" t="s">
        <v>9</v>
      </c>
      <c r="E579"/>
      <c r="F579" t="s">
        <v>20</v>
      </c>
      <c r="G579" t="s">
        <v>29</v>
      </c>
      <c r="H579" t="s">
        <v>2837</v>
      </c>
      <c r="I579" t="s">
        <v>1160</v>
      </c>
      <c r="L579" s="200" t="str">
        <f>IFERROR(VLOOKUP($H579,PARAMETERS!$M$3:$M$1600,1,0),"---")</f>
        <v>gs_list_manufacturer</v>
      </c>
    </row>
    <row r="580" spans="1:12">
      <c r="A580" t="s">
        <v>9</v>
      </c>
      <c r="B580"/>
      <c r="C580"/>
      <c r="D580" t="s">
        <v>9</v>
      </c>
      <c r="E580"/>
      <c r="F580" t="s">
        <v>20</v>
      </c>
      <c r="G580" t="s">
        <v>29</v>
      </c>
      <c r="H580" t="s">
        <v>2840</v>
      </c>
      <c r="I580" t="s">
        <v>2841</v>
      </c>
      <c r="L580" s="200" t="str">
        <f>IFERROR(VLOOKUP($H580,PARAMETERS!$M$3:$M$1600,1,0),"---")</f>
        <v>gs_list_note</v>
      </c>
    </row>
    <row r="581" spans="1:12">
      <c r="A581" t="s">
        <v>9</v>
      </c>
      <c r="B581"/>
      <c r="C581"/>
      <c r="D581" t="s">
        <v>9</v>
      </c>
      <c r="E581"/>
      <c r="F581" t="s">
        <v>20</v>
      </c>
      <c r="G581" t="s">
        <v>29</v>
      </c>
      <c r="H581" t="s">
        <v>1574</v>
      </c>
      <c r="I581" t="s">
        <v>3073</v>
      </c>
      <c r="L581" s="200" t="str">
        <f>IFERROR(VLOOKUP($H581,PARAMETERS!$M$3:$M$1600,1,0),"---")</f>
        <v>gs_list_location</v>
      </c>
    </row>
    <row r="582" spans="1:12">
      <c r="A582" t="s">
        <v>9</v>
      </c>
      <c r="B582"/>
      <c r="C582"/>
      <c r="D582" t="s">
        <v>9</v>
      </c>
      <c r="E582"/>
      <c r="F582" t="s">
        <v>20</v>
      </c>
      <c r="G582" t="s">
        <v>29</v>
      </c>
      <c r="H582" t="s">
        <v>2377</v>
      </c>
      <c r="I582" t="s">
        <v>2378</v>
      </c>
      <c r="L582" s="200" t="str">
        <f>IFERROR(VLOOKUP($H582,PARAMETERS!$M$3:$M$1600,1,0),"---")</f>
        <v>gs_list_accessories</v>
      </c>
    </row>
    <row r="583" spans="1:12">
      <c r="A583" t="s">
        <v>9</v>
      </c>
      <c r="B583"/>
      <c r="C583"/>
      <c r="D583" t="s">
        <v>9</v>
      </c>
      <c r="E583"/>
      <c r="F583" t="s">
        <v>20</v>
      </c>
      <c r="G583" t="s">
        <v>29</v>
      </c>
      <c r="H583" t="s">
        <v>2854</v>
      </c>
      <c r="I583" t="s">
        <v>2487</v>
      </c>
      <c r="L583" s="200" t="str">
        <f>IFERROR(VLOOKUP($H583,PARAMETERS!$M$3:$M$1600,1,0),"---")</f>
        <v>gs_list_glazing</v>
      </c>
    </row>
    <row r="584" spans="1:12">
      <c r="A584" t="s">
        <v>9</v>
      </c>
      <c r="B584"/>
      <c r="C584"/>
      <c r="D584" t="s">
        <v>9</v>
      </c>
      <c r="E584"/>
      <c r="F584" t="s">
        <v>20</v>
      </c>
      <c r="G584" t="s">
        <v>29</v>
      </c>
      <c r="H584" t="s">
        <v>2796</v>
      </c>
      <c r="I584" t="s">
        <v>2797</v>
      </c>
      <c r="L584" s="200" t="str">
        <f>IFERROR(VLOOKUP($H584,PARAMETERS!$M$3:$M$1600,1,0),"---")</f>
        <v>gs_list_headdet</v>
      </c>
    </row>
    <row r="585" spans="1:12">
      <c r="A585" t="s">
        <v>9</v>
      </c>
      <c r="B585"/>
      <c r="C585"/>
      <c r="D585" t="s">
        <v>9</v>
      </c>
      <c r="E585"/>
      <c r="F585" t="s">
        <v>20</v>
      </c>
      <c r="G585" t="s">
        <v>29</v>
      </c>
      <c r="H585" t="s">
        <v>2798</v>
      </c>
      <c r="I585" t="s">
        <v>2799</v>
      </c>
      <c r="L585" s="200" t="str">
        <f>IFERROR(VLOOKUP($H585,PARAMETERS!$M$3:$M$1600,1,0),"---")</f>
        <v>gs_list_jambdet</v>
      </c>
    </row>
    <row r="586" spans="1:12">
      <c r="A586" t="s">
        <v>9</v>
      </c>
      <c r="B586"/>
      <c r="C586"/>
      <c r="D586" t="s">
        <v>9</v>
      </c>
      <c r="E586"/>
      <c r="F586" t="s">
        <v>20</v>
      </c>
      <c r="G586" t="s">
        <v>29</v>
      </c>
      <c r="H586" t="s">
        <v>2800</v>
      </c>
      <c r="I586" t="s">
        <v>2801</v>
      </c>
      <c r="L586" s="200" t="str">
        <f>IFERROR(VLOOKUP($H586,PARAMETERS!$M$3:$M$1600,1,0),"---")</f>
        <v>gs_list_silldet</v>
      </c>
    </row>
    <row r="587" spans="1:12">
      <c r="A587" t="s">
        <v>9</v>
      </c>
      <c r="B587"/>
      <c r="C587"/>
      <c r="D587" t="s">
        <v>9</v>
      </c>
      <c r="E587"/>
      <c r="F587" t="s">
        <v>20</v>
      </c>
      <c r="G587" t="s">
        <v>29</v>
      </c>
      <c r="H587" t="s">
        <v>2855</v>
      </c>
      <c r="I587" t="s">
        <v>2856</v>
      </c>
      <c r="L587" s="200" t="str">
        <f>IFERROR(VLOOKUP($H587,PARAMETERS!$M$3:$M$1600,1,0),"---")</f>
        <v>gs_list_hwsetno</v>
      </c>
    </row>
    <row r="588" spans="1:12">
      <c r="A588" t="s">
        <v>9</v>
      </c>
      <c r="B588"/>
      <c r="C588"/>
      <c r="D588" t="s">
        <v>9</v>
      </c>
      <c r="E588"/>
      <c r="F588" t="s">
        <v>20</v>
      </c>
      <c r="G588" t="s">
        <v>29</v>
      </c>
      <c r="H588" t="s">
        <v>2857</v>
      </c>
      <c r="I588" t="s">
        <v>2858</v>
      </c>
      <c r="L588" s="200" t="str">
        <f>IFERROR(VLOOKUP($H588,PARAMETERS!$M$3:$M$1600,1,0),"---")</f>
        <v>gs_list_hwkeyside</v>
      </c>
    </row>
    <row r="589" spans="1:12">
      <c r="A589" t="s">
        <v>9</v>
      </c>
      <c r="B589"/>
      <c r="C589"/>
      <c r="D589" t="s">
        <v>9</v>
      </c>
      <c r="E589"/>
      <c r="F589" t="s">
        <v>20</v>
      </c>
      <c r="G589" t="s">
        <v>29</v>
      </c>
      <c r="H589" t="s">
        <v>2859</v>
      </c>
      <c r="I589" t="s">
        <v>2860</v>
      </c>
      <c r="L589" s="200" t="str">
        <f>IFERROR(VLOOKUP($H589,PARAMETERS!$M$3:$M$1600,1,0),"---")</f>
        <v>gs_list_optype</v>
      </c>
    </row>
    <row r="590" spans="1:12">
      <c r="A590" t="s">
        <v>9</v>
      </c>
      <c r="B590"/>
      <c r="C590"/>
      <c r="D590" t="s">
        <v>9</v>
      </c>
      <c r="E590"/>
      <c r="F590" t="s">
        <v>20</v>
      </c>
      <c r="G590" t="s">
        <v>29</v>
      </c>
      <c r="H590" t="s">
        <v>2861</v>
      </c>
      <c r="I590" t="s">
        <v>2862</v>
      </c>
      <c r="L590" s="200" t="str">
        <f>IFERROR(VLOOKUP($H590,PARAMETERS!$M$3:$M$1600,1,0),"---")</f>
        <v>gs_list_finish</v>
      </c>
    </row>
    <row r="591" spans="1:12">
      <c r="A591" t="s">
        <v>9</v>
      </c>
      <c r="B591"/>
      <c r="C591"/>
      <c r="D591" t="s">
        <v>9</v>
      </c>
      <c r="E591"/>
      <c r="F591" t="s">
        <v>20</v>
      </c>
      <c r="G591" t="s">
        <v>29</v>
      </c>
      <c r="H591" t="s">
        <v>2863</v>
      </c>
      <c r="I591" t="s">
        <v>2864</v>
      </c>
      <c r="L591" s="200" t="str">
        <f>IFERROR(VLOOKUP($H591,PARAMETERS!$M$3:$M$1600,1,0),"---")</f>
        <v>gs_list_elevation</v>
      </c>
    </row>
    <row r="592" spans="1:12">
      <c r="A592" t="s">
        <v>9</v>
      </c>
      <c r="B592"/>
      <c r="C592"/>
      <c r="D592" t="s">
        <v>9</v>
      </c>
      <c r="E592"/>
      <c r="F592" t="s">
        <v>20</v>
      </c>
      <c r="G592" t="s">
        <v>29</v>
      </c>
      <c r="H592" t="s">
        <v>2865</v>
      </c>
      <c r="I592" t="s">
        <v>2866</v>
      </c>
      <c r="L592" s="200" t="str">
        <f>IFERROR(VLOOKUP($H592,PARAMETERS!$M$3:$M$1600,1,0),"---")</f>
        <v>gs_list_hings</v>
      </c>
    </row>
    <row r="593" spans="1:12">
      <c r="A593" t="s">
        <v>9</v>
      </c>
      <c r="B593"/>
      <c r="C593"/>
      <c r="D593" t="s">
        <v>9</v>
      </c>
      <c r="E593"/>
      <c r="F593" t="s">
        <v>20</v>
      </c>
      <c r="G593" t="s">
        <v>29</v>
      </c>
      <c r="H593" t="s">
        <v>2867</v>
      </c>
      <c r="I593" t="s">
        <v>2868</v>
      </c>
      <c r="L593" s="200" t="str">
        <f>IFERROR(VLOOKUP($H593,PARAMETERS!$M$3:$M$1600,1,0),"---")</f>
        <v>gs_list_lockset</v>
      </c>
    </row>
    <row r="594" spans="1:12">
      <c r="A594" t="s">
        <v>9</v>
      </c>
      <c r="B594"/>
      <c r="C594"/>
      <c r="D594" t="s">
        <v>9</v>
      </c>
      <c r="E594"/>
      <c r="F594" t="s">
        <v>38</v>
      </c>
      <c r="G594" t="s">
        <v>29</v>
      </c>
      <c r="H594" t="s">
        <v>2818</v>
      </c>
      <c r="I594" t="s">
        <v>2819</v>
      </c>
      <c r="J594">
        <v>0</v>
      </c>
      <c r="L594" s="200" t="str">
        <f>IFERROR(VLOOKUP($H594,PARAMETERS!$M$3:$M$1600,1,0),"---")</f>
        <v>gs_list_glassarea</v>
      </c>
    </row>
    <row r="595" spans="1:12">
      <c r="A595" t="s">
        <v>9</v>
      </c>
      <c r="B595"/>
      <c r="C595"/>
      <c r="D595" t="s">
        <v>9</v>
      </c>
      <c r="E595"/>
      <c r="F595" t="s">
        <v>38</v>
      </c>
      <c r="G595" t="s">
        <v>29</v>
      </c>
      <c r="H595" t="s">
        <v>2820</v>
      </c>
      <c r="I595" t="s">
        <v>2821</v>
      </c>
      <c r="J595">
        <v>0</v>
      </c>
      <c r="L595" s="200" t="str">
        <f>IFERROR(VLOOKUP($H595,PARAMETERS!$M$3:$M$1600,1,0),"---")</f>
        <v>gs_list_glassperimeter</v>
      </c>
    </row>
    <row r="596" spans="1:12">
      <c r="A596" t="s">
        <v>9</v>
      </c>
      <c r="B596"/>
      <c r="C596"/>
      <c r="D596" t="s">
        <v>9</v>
      </c>
      <c r="E596"/>
      <c r="F596" t="s">
        <v>20</v>
      </c>
      <c r="G596" t="s">
        <v>29</v>
      </c>
      <c r="H596" t="s">
        <v>2879</v>
      </c>
      <c r="I596" t="s">
        <v>2880</v>
      </c>
      <c r="L596" s="200" t="str">
        <f>IFERROR(VLOOKUP($H596,PARAMETERS!$M$3:$M$1600,1,0),"---")</f>
        <v>gs_list_heattransfer</v>
      </c>
    </row>
    <row r="597" spans="1:12">
      <c r="A597" t="s">
        <v>9</v>
      </c>
      <c r="B597"/>
      <c r="C597"/>
      <c r="D597" t="s">
        <v>9</v>
      </c>
      <c r="E597"/>
      <c r="F597" t="s">
        <v>20</v>
      </c>
      <c r="G597" t="s">
        <v>29</v>
      </c>
      <c r="H597" t="s">
        <v>2877</v>
      </c>
      <c r="I597" t="s">
        <v>97</v>
      </c>
      <c r="L597" s="200" t="str">
        <f>IFERROR(VLOOKUP($H597,PARAMETERS!$M$3:$M$1600,1,0),"---")</f>
        <v>gs_list_firerating</v>
      </c>
    </row>
    <row r="598" spans="1:12">
      <c r="A598" t="s">
        <v>9</v>
      </c>
      <c r="B598"/>
      <c r="C598"/>
      <c r="D598" t="s">
        <v>9</v>
      </c>
      <c r="E598"/>
      <c r="F598" t="s">
        <v>49</v>
      </c>
      <c r="G598" t="s">
        <v>29</v>
      </c>
      <c r="H598" t="s">
        <v>2869</v>
      </c>
      <c r="I598" t="s">
        <v>1841</v>
      </c>
      <c r="J598">
        <v>0</v>
      </c>
      <c r="L598" s="200" t="str">
        <f>IFERROR(VLOOKUP($H598,PARAMETERS!$M$3:$M$1600,1,0),"---")</f>
        <v>gs_list_bInsulation</v>
      </c>
    </row>
    <row r="599" spans="1:12">
      <c r="A599" t="s">
        <v>9</v>
      </c>
      <c r="B599"/>
      <c r="C599"/>
      <c r="D599" t="s">
        <v>9</v>
      </c>
      <c r="E599"/>
      <c r="F599" t="s">
        <v>49</v>
      </c>
      <c r="G599" t="s">
        <v>29</v>
      </c>
      <c r="H599" t="s">
        <v>2870</v>
      </c>
      <c r="I599" t="s">
        <v>355</v>
      </c>
      <c r="J599">
        <v>0</v>
      </c>
      <c r="L599" s="200" t="str">
        <f>IFERROR(VLOOKUP($H599,PARAMETERS!$M$3:$M$1600,1,0),"---")</f>
        <v>gs_list_FR_bSelfClosing</v>
      </c>
    </row>
    <row r="600" spans="1:12">
      <c r="A600"/>
      <c r="B600"/>
      <c r="C600"/>
      <c r="D600" t="s">
        <v>9</v>
      </c>
      <c r="E600"/>
      <c r="F600" t="s">
        <v>49</v>
      </c>
      <c r="G600" t="s">
        <v>29</v>
      </c>
      <c r="H600" t="s">
        <v>2871</v>
      </c>
      <c r="I600" t="s">
        <v>2872</v>
      </c>
      <c r="J600">
        <v>0</v>
      </c>
      <c r="L600" s="200" t="str">
        <f>IFERROR(VLOOKUP($H600,PARAMETERS!$M$3:$M$1600,1,0),"---")</f>
        <v>gs_list_bSmokeProtection</v>
      </c>
    </row>
    <row r="601" spans="1:12">
      <c r="A601" t="s">
        <v>9</v>
      </c>
      <c r="B601"/>
      <c r="C601"/>
      <c r="D601" t="s">
        <v>9</v>
      </c>
      <c r="E601"/>
      <c r="F601" t="s">
        <v>20</v>
      </c>
      <c r="G601" t="s">
        <v>29</v>
      </c>
      <c r="H601" t="s">
        <v>2873</v>
      </c>
      <c r="I601" t="s">
        <v>2874</v>
      </c>
      <c r="J601">
        <v>200</v>
      </c>
      <c r="L601" s="200" t="str">
        <f>IFERROR(VLOOKUP($H601,PARAMETERS!$M$3:$M$1600,1,0),"---")</f>
        <v>gs_list_SmokeTestTemp</v>
      </c>
    </row>
    <row r="602" spans="1:12">
      <c r="A602" t="s">
        <v>9</v>
      </c>
      <c r="B602"/>
      <c r="C602"/>
      <c r="D602" t="s">
        <v>9</v>
      </c>
      <c r="E602"/>
      <c r="F602" t="s">
        <v>20</v>
      </c>
      <c r="G602" t="s">
        <v>29</v>
      </c>
      <c r="H602" t="s">
        <v>2875</v>
      </c>
      <c r="I602" t="s">
        <v>2876</v>
      </c>
      <c r="J602">
        <v>2</v>
      </c>
      <c r="L602" s="200" t="str">
        <f>IFERROR(VLOOKUP($H602,PARAMETERS!$M$3:$M$1600,1,0),"---")</f>
        <v>gs_list_FR_indexSelfClosing</v>
      </c>
    </row>
    <row r="603" spans="1:12">
      <c r="A603" t="s">
        <v>9</v>
      </c>
      <c r="B603"/>
      <c r="C603"/>
      <c r="D603" t="s">
        <v>9</v>
      </c>
      <c r="E603"/>
      <c r="F603" t="s">
        <v>20</v>
      </c>
      <c r="G603" t="s">
        <v>29</v>
      </c>
      <c r="H603" t="s">
        <v>2881</v>
      </c>
      <c r="I603" t="s">
        <v>2882</v>
      </c>
      <c r="L603" s="200" t="str">
        <f>IFERROR(VLOOKUP($H603,PARAMETERS!$M$3:$M$1600,1,0),"---")</f>
        <v>gs_list_FR_expression</v>
      </c>
    </row>
    <row r="604" spans="1:12">
      <c r="A604" t="s">
        <v>9</v>
      </c>
      <c r="B604"/>
      <c r="C604"/>
      <c r="D604" t="s">
        <v>9</v>
      </c>
      <c r="E604"/>
      <c r="F604" t="s">
        <v>20</v>
      </c>
      <c r="G604" t="s">
        <v>29</v>
      </c>
      <c r="H604" t="s">
        <v>2878</v>
      </c>
      <c r="I604" t="s">
        <v>305</v>
      </c>
      <c r="L604" s="200" t="str">
        <f>IFERROR(VLOOKUP($H604,PARAMETERS!$M$3:$M$1600,1,0),"---")</f>
        <v>gs_list_acousticrating</v>
      </c>
    </row>
    <row r="605" spans="1:12">
      <c r="A605" t="s">
        <v>9</v>
      </c>
      <c r="B605"/>
      <c r="C605"/>
      <c r="D605" t="s">
        <v>9</v>
      </c>
      <c r="E605"/>
      <c r="F605" t="s">
        <v>20</v>
      </c>
      <c r="G605" t="s">
        <v>29</v>
      </c>
      <c r="H605" t="s">
        <v>2824</v>
      </c>
      <c r="I605" t="s">
        <v>193</v>
      </c>
      <c r="J605" t="s">
        <v>2825</v>
      </c>
      <c r="L605" s="200" t="str">
        <f>IFERROR(VLOOKUP($H605,PARAMETERS!$M$3:$M$1600,1,0),"---")</f>
        <v>FM_Type</v>
      </c>
    </row>
    <row r="606" spans="1:12">
      <c r="A606" t="s">
        <v>9</v>
      </c>
      <c r="B606" t="s">
        <v>9</v>
      </c>
      <c r="C606"/>
      <c r="D606" t="s">
        <v>9</v>
      </c>
      <c r="E606"/>
      <c r="F606" t="s">
        <v>46</v>
      </c>
      <c r="G606" t="s">
        <v>29</v>
      </c>
      <c r="H606" t="s">
        <v>2826</v>
      </c>
      <c r="I606" t="s">
        <v>193</v>
      </c>
      <c r="J606">
        <v>999</v>
      </c>
      <c r="L606" s="200" t="str">
        <f>IFERROR(VLOOKUP($H606,PARAMETERS!$M$3:$M$1600,1,0),"---")</f>
        <v>iFMType</v>
      </c>
    </row>
    <row r="607" spans="1:12">
      <c r="A607" t="s">
        <v>9</v>
      </c>
      <c r="B607"/>
      <c r="C607"/>
      <c r="D607" t="s">
        <v>9</v>
      </c>
      <c r="E607"/>
      <c r="F607" t="s">
        <v>20</v>
      </c>
      <c r="G607" t="s">
        <v>29</v>
      </c>
      <c r="H607" t="s">
        <v>2827</v>
      </c>
      <c r="I607" t="s">
        <v>2828</v>
      </c>
      <c r="L607" s="200" t="str">
        <f>IFERROR(VLOOKUP($H607,PARAMETERS!$M$3:$M$1600,1,0),"---")</f>
        <v>FM_InventoryNumber</v>
      </c>
    </row>
    <row r="608" spans="1:12">
      <c r="A608" t="s">
        <v>9</v>
      </c>
      <c r="B608"/>
      <c r="C608"/>
      <c r="D608" t="s">
        <v>9</v>
      </c>
      <c r="E608"/>
      <c r="F608" t="s">
        <v>20</v>
      </c>
      <c r="G608" t="s">
        <v>29</v>
      </c>
      <c r="H608" t="s">
        <v>2829</v>
      </c>
      <c r="I608" t="s">
        <v>2830</v>
      </c>
      <c r="L608" s="200" t="str">
        <f>IFERROR(VLOOKUP($H608,PARAMETERS!$M$3:$M$1600,1,0),"---")</f>
        <v>FM_SerialNumber</v>
      </c>
    </row>
    <row r="609" spans="1:12">
      <c r="A609" t="s">
        <v>9</v>
      </c>
      <c r="B609"/>
      <c r="C609"/>
      <c r="D609" t="s">
        <v>9</v>
      </c>
      <c r="E609"/>
      <c r="F609" t="s">
        <v>20</v>
      </c>
      <c r="G609" t="s">
        <v>29</v>
      </c>
      <c r="H609" t="s">
        <v>2838</v>
      </c>
      <c r="I609" t="s">
        <v>2839</v>
      </c>
      <c r="L609" s="200" t="str">
        <f>IFERROR(VLOOKUP($H609,PARAMETERS!$M$3:$M$1600,1,0),"---")</f>
        <v>FM_ProductionYear</v>
      </c>
    </row>
    <row r="610" spans="1:12">
      <c r="A610"/>
      <c r="B610"/>
      <c r="C610"/>
      <c r="D610" t="s">
        <v>9</v>
      </c>
      <c r="E610"/>
      <c r="F610" t="s">
        <v>38</v>
      </c>
      <c r="G610" t="s">
        <v>29</v>
      </c>
      <c r="H610" t="s">
        <v>2844</v>
      </c>
      <c r="I610" t="s">
        <v>2845</v>
      </c>
      <c r="J610">
        <v>0</v>
      </c>
      <c r="L610" s="200" t="str">
        <f>IFERROR(VLOOKUP($H610,PARAMETERS!$M$3:$M$1600,1,0),"---")</f>
        <v>FM_ObjectWeight</v>
      </c>
    </row>
    <row r="611" spans="1:12">
      <c r="A611" t="s">
        <v>9</v>
      </c>
      <c r="B611"/>
      <c r="C611"/>
      <c r="D611" t="s">
        <v>9</v>
      </c>
      <c r="E611"/>
      <c r="F611" t="s">
        <v>20</v>
      </c>
      <c r="G611" t="s">
        <v>29</v>
      </c>
      <c r="H611" t="s">
        <v>2846</v>
      </c>
      <c r="I611" t="s">
        <v>2847</v>
      </c>
      <c r="J611" t="s">
        <v>2848</v>
      </c>
      <c r="L611" s="200" t="str">
        <f>IFERROR(VLOOKUP($H611,PARAMETERS!$M$3:$M$1600,1,0),"---")</f>
        <v>FM_ObjectWeightUnit</v>
      </c>
    </row>
    <row r="612" spans="1:12">
      <c r="A612"/>
      <c r="B612"/>
      <c r="C612"/>
      <c r="D612" t="s">
        <v>9</v>
      </c>
      <c r="E612"/>
      <c r="F612" t="s">
        <v>46</v>
      </c>
      <c r="G612" t="s">
        <v>29</v>
      </c>
      <c r="H612" t="s">
        <v>474</v>
      </c>
      <c r="I612" t="s">
        <v>475</v>
      </c>
      <c r="J612">
        <v>0</v>
      </c>
      <c r="L612" s="200" t="str">
        <f>IFERROR(VLOOKUP($H612,PARAMETERS!$M$3:$M$1600,1,0),"---")</f>
        <v>gs_list_orientationDef_m</v>
      </c>
    </row>
    <row r="613" spans="1:12">
      <c r="A613" t="s">
        <v>9</v>
      </c>
      <c r="B613"/>
      <c r="C613"/>
      <c r="D613" t="s">
        <v>9</v>
      </c>
      <c r="E613" t="s">
        <v>9</v>
      </c>
      <c r="F613" t="s">
        <v>20</v>
      </c>
      <c r="G613" t="s">
        <v>29</v>
      </c>
      <c r="H613" t="s">
        <v>476</v>
      </c>
      <c r="I613" t="s">
        <v>3074</v>
      </c>
      <c r="J613" t="s">
        <v>478</v>
      </c>
      <c r="L613" s="200" t="str">
        <f>IFERROR(VLOOKUP($H613,PARAMETERS!$M$3:$M$1600,1,0),"---")</f>
        <v>ac_OpeningSide</v>
      </c>
    </row>
    <row r="614" spans="1:12">
      <c r="A614" t="s">
        <v>9</v>
      </c>
      <c r="B614"/>
      <c r="C614"/>
      <c r="D614" t="s">
        <v>9</v>
      </c>
      <c r="E614"/>
      <c r="F614" t="s">
        <v>20</v>
      </c>
      <c r="G614" t="s">
        <v>29</v>
      </c>
      <c r="H614" t="s">
        <v>2883</v>
      </c>
      <c r="I614" t="s">
        <v>2884</v>
      </c>
      <c r="L614" s="200" t="str">
        <f>IFERROR(VLOOKUP($H614,PARAMETERS!$M$3:$M$1600,1,0),"---")</f>
        <v>gs_list_doorposition</v>
      </c>
    </row>
    <row r="615" spans="1:12">
      <c r="A615" t="s">
        <v>9</v>
      </c>
      <c r="B615"/>
      <c r="C615"/>
      <c r="D615" t="s">
        <v>9</v>
      </c>
      <c r="E615"/>
      <c r="F615" t="s">
        <v>20</v>
      </c>
      <c r="G615" t="s">
        <v>29</v>
      </c>
      <c r="H615" t="s">
        <v>2885</v>
      </c>
      <c r="I615" t="s">
        <v>2886</v>
      </c>
      <c r="L615" s="200" t="str">
        <f>IFERROR(VLOOKUP($H615,PARAMETERS!$M$3:$M$1600,1,0),"---")</f>
        <v>gs_list_framestyle</v>
      </c>
    </row>
    <row r="616" spans="1:12">
      <c r="A616" t="s">
        <v>9</v>
      </c>
      <c r="B616"/>
      <c r="C616"/>
      <c r="D616" t="s">
        <v>9</v>
      </c>
      <c r="E616"/>
      <c r="F616" t="s">
        <v>20</v>
      </c>
      <c r="G616" t="s">
        <v>29</v>
      </c>
      <c r="H616" t="s">
        <v>2887</v>
      </c>
      <c r="I616" t="s">
        <v>613</v>
      </c>
      <c r="L616" s="200" t="str">
        <f>IFERROR(VLOOKUP($H616,PARAMETERS!$M$3:$M$1600,1,0),"---")</f>
        <v>gs_list_thresholdtype</v>
      </c>
    </row>
    <row r="617" spans="1:12">
      <c r="A617" t="s">
        <v>9</v>
      </c>
      <c r="B617"/>
      <c r="C617"/>
      <c r="D617" t="s">
        <v>9</v>
      </c>
      <c r="E617"/>
      <c r="F617" t="s">
        <v>20</v>
      </c>
      <c r="G617" t="s">
        <v>29</v>
      </c>
      <c r="H617" t="s">
        <v>2888</v>
      </c>
      <c r="I617" t="s">
        <v>2889</v>
      </c>
      <c r="L617" s="200" t="str">
        <f>IFERROR(VLOOKUP($H617,PARAMETERS!$M$3:$M$1600,1,0),"---")</f>
        <v>gs_list_leaf</v>
      </c>
    </row>
    <row r="618" spans="1:12">
      <c r="A618" t="s">
        <v>9</v>
      </c>
      <c r="B618"/>
      <c r="C618"/>
      <c r="D618" t="s">
        <v>9</v>
      </c>
      <c r="E618"/>
      <c r="F618" t="s">
        <v>20</v>
      </c>
      <c r="G618" t="s">
        <v>29</v>
      </c>
      <c r="H618" t="s">
        <v>2890</v>
      </c>
      <c r="I618" t="s">
        <v>2891</v>
      </c>
      <c r="L618" s="200" t="str">
        <f>IFERROR(VLOOKUP($H618,PARAMETERS!$M$3:$M$1600,1,0),"---")</f>
        <v>gs_list_slot</v>
      </c>
    </row>
    <row r="619" spans="1:12">
      <c r="A619" t="s">
        <v>9</v>
      </c>
      <c r="B619"/>
      <c r="C619"/>
      <c r="D619" t="s">
        <v>9</v>
      </c>
      <c r="E619"/>
      <c r="F619" t="s">
        <v>20</v>
      </c>
      <c r="G619" t="s">
        <v>29</v>
      </c>
      <c r="H619" t="s">
        <v>2394</v>
      </c>
      <c r="I619" t="s">
        <v>2395</v>
      </c>
      <c r="L619" s="200" t="str">
        <f>IFERROR(VLOOKUP($H619,PARAMETERS!$M$3:$M$1600,1,0),"---")</f>
        <v>gs_list_nameplate</v>
      </c>
    </row>
    <row r="620" spans="1:12">
      <c r="A620" t="s">
        <v>9</v>
      </c>
      <c r="B620"/>
      <c r="C620"/>
      <c r="D620" t="s">
        <v>9</v>
      </c>
      <c r="E620"/>
      <c r="F620" t="s">
        <v>20</v>
      </c>
      <c r="G620" t="s">
        <v>29</v>
      </c>
      <c r="H620" t="s">
        <v>2892</v>
      </c>
      <c r="I620" t="s">
        <v>2893</v>
      </c>
      <c r="L620" s="200" t="str">
        <f>IFERROR(VLOOKUP($H620,PARAMETERS!$M$3:$M$1600,1,0),"---")</f>
        <v>gs_list_sealing</v>
      </c>
    </row>
    <row r="621" spans="1:12">
      <c r="A621" t="s">
        <v>9</v>
      </c>
      <c r="B621"/>
      <c r="C621"/>
      <c r="D621" t="s">
        <v>9</v>
      </c>
      <c r="E621"/>
      <c r="F621" t="s">
        <v>20</v>
      </c>
      <c r="G621" t="s">
        <v>29</v>
      </c>
      <c r="H621" t="s">
        <v>444</v>
      </c>
      <c r="I621" t="s">
        <v>445</v>
      </c>
      <c r="L621" s="200" t="str">
        <f>IFERROR(VLOOKUP($H621,PARAMETERS!$M$3:$M$1600,1,0),"---")</f>
        <v>gs_list_doortype</v>
      </c>
    </row>
    <row r="622" spans="1:12">
      <c r="A622" t="s">
        <v>9</v>
      </c>
      <c r="B622"/>
      <c r="C622"/>
      <c r="D622" t="s">
        <v>9</v>
      </c>
      <c r="E622"/>
      <c r="F622" t="s">
        <v>20</v>
      </c>
      <c r="G622" t="s">
        <v>29</v>
      </c>
      <c r="H622" t="s">
        <v>2894</v>
      </c>
      <c r="I622" t="s">
        <v>2895</v>
      </c>
      <c r="L622" s="200" t="str">
        <f>IFERROR(VLOOKUP($H622,PARAMETERS!$M$3:$M$1600,1,0),"---")</f>
        <v>gs_list_insertinto</v>
      </c>
    </row>
    <row r="623" spans="1:12">
      <c r="A623" t="s">
        <v>9</v>
      </c>
      <c r="B623"/>
      <c r="C623"/>
      <c r="D623" t="s">
        <v>9</v>
      </c>
      <c r="E623"/>
      <c r="F623" t="s">
        <v>20</v>
      </c>
      <c r="G623" t="s">
        <v>29</v>
      </c>
      <c r="H623" t="s">
        <v>1578</v>
      </c>
      <c r="I623" t="s">
        <v>1579</v>
      </c>
      <c r="L623" s="200" t="str">
        <f>IFERROR(VLOOKUP($H623,PARAMETERS!$M$3:$M$1600,1,0),"---")</f>
        <v>gs_list_structure</v>
      </c>
    </row>
    <row r="624" spans="1:12">
      <c r="A624" t="s">
        <v>9</v>
      </c>
      <c r="B624"/>
      <c r="C624"/>
      <c r="D624" t="s">
        <v>9</v>
      </c>
      <c r="E624"/>
      <c r="F624" t="s">
        <v>20</v>
      </c>
      <c r="G624" t="s">
        <v>29</v>
      </c>
      <c r="H624" t="s">
        <v>2896</v>
      </c>
      <c r="I624" t="s">
        <v>2897</v>
      </c>
      <c r="L624" s="200" t="str">
        <f>IFERROR(VLOOKUP($H624,PARAMETERS!$M$3:$M$1600,1,0),"---")</f>
        <v>gs_list_handlemanufacturer</v>
      </c>
    </row>
    <row r="625" spans="1:12">
      <c r="A625" t="s">
        <v>9</v>
      </c>
      <c r="B625"/>
      <c r="C625"/>
      <c r="D625" t="s">
        <v>9</v>
      </c>
      <c r="E625"/>
      <c r="F625" t="s">
        <v>20</v>
      </c>
      <c r="G625" t="s">
        <v>29</v>
      </c>
      <c r="H625" t="s">
        <v>2898</v>
      </c>
      <c r="I625" t="s">
        <v>2899</v>
      </c>
      <c r="L625" s="200" t="str">
        <f>IFERROR(VLOOKUP($H625,PARAMETERS!$M$3:$M$1600,1,0),"---")</f>
        <v>gs_list_handletype</v>
      </c>
    </row>
    <row r="626" spans="1:12">
      <c r="A626" t="s">
        <v>9</v>
      </c>
      <c r="B626"/>
      <c r="C626"/>
      <c r="D626" t="s">
        <v>9</v>
      </c>
      <c r="E626"/>
      <c r="F626" t="s">
        <v>20</v>
      </c>
      <c r="G626" t="s">
        <v>29</v>
      </c>
      <c r="H626" t="s">
        <v>2902</v>
      </c>
      <c r="I626" t="s">
        <v>2955</v>
      </c>
      <c r="L626" s="200" t="str">
        <f>IFERROR(VLOOKUP($H626,PARAMETERS!$M$3:$M$1600,1,0),"---")</f>
        <v>gs_list_escaperoute</v>
      </c>
    </row>
    <row r="627" spans="1:12">
      <c r="A627" t="s">
        <v>9</v>
      </c>
      <c r="B627"/>
      <c r="C627"/>
      <c r="D627" t="s">
        <v>9</v>
      </c>
      <c r="E627"/>
      <c r="F627" t="s">
        <v>20</v>
      </c>
      <c r="G627" t="s">
        <v>29</v>
      </c>
      <c r="H627" t="s">
        <v>2900</v>
      </c>
      <c r="I627" t="s">
        <v>2901</v>
      </c>
      <c r="L627" s="200" t="str">
        <f>IFERROR(VLOOKUP($H627,PARAMETERS!$M$3:$M$1600,1,0),"---")</f>
        <v>gs_list_lockcontrol</v>
      </c>
    </row>
    <row r="628" spans="1:12">
      <c r="A628" t="s">
        <v>9</v>
      </c>
      <c r="B628"/>
      <c r="C628"/>
      <c r="D628" t="s">
        <v>9</v>
      </c>
      <c r="E628"/>
      <c r="F628" t="s">
        <v>20</v>
      </c>
      <c r="G628" t="s">
        <v>29</v>
      </c>
      <c r="H628" t="s">
        <v>2903</v>
      </c>
      <c r="I628" t="s">
        <v>2904</v>
      </c>
      <c r="L628" s="200" t="str">
        <f>IFERROR(VLOOKUP($H628,PARAMETERS!$M$3:$M$1600,1,0),"---")</f>
        <v>gs_list_escaperoutemonitoring</v>
      </c>
    </row>
    <row r="629" spans="1:12">
      <c r="A629" t="s">
        <v>9</v>
      </c>
      <c r="B629"/>
      <c r="C629"/>
      <c r="D629" t="s">
        <v>9</v>
      </c>
      <c r="E629"/>
      <c r="F629" t="s">
        <v>20</v>
      </c>
      <c r="G629" t="s">
        <v>29</v>
      </c>
      <c r="H629" t="s">
        <v>2905</v>
      </c>
      <c r="I629" t="s">
        <v>2906</v>
      </c>
      <c r="L629" s="200" t="str">
        <f>IFERROR(VLOOKUP($H629,PARAMETERS!$M$3:$M$1600,1,0),"---")</f>
        <v>gs_list_doorcloser</v>
      </c>
    </row>
    <row r="630" spans="1:12">
      <c r="A630" t="s">
        <v>9</v>
      </c>
      <c r="B630"/>
      <c r="C630"/>
      <c r="D630" t="s">
        <v>9</v>
      </c>
      <c r="E630"/>
      <c r="F630" t="s">
        <v>20</v>
      </c>
      <c r="G630" t="s">
        <v>29</v>
      </c>
      <c r="H630" t="s">
        <v>2907</v>
      </c>
      <c r="I630" t="s">
        <v>2908</v>
      </c>
      <c r="L630" s="200" t="str">
        <f>IFERROR(VLOOKUP($H630,PARAMETERS!$M$3:$M$1600,1,0),"---")</f>
        <v>gs_list_doorcloser_sr</v>
      </c>
    </row>
    <row r="631" spans="1:12">
      <c r="A631" t="s">
        <v>9</v>
      </c>
      <c r="B631"/>
      <c r="C631"/>
      <c r="D631" t="s">
        <v>9</v>
      </c>
      <c r="E631"/>
      <c r="F631" t="s">
        <v>20</v>
      </c>
      <c r="G631" t="s">
        <v>29</v>
      </c>
      <c r="H631" t="s">
        <v>2909</v>
      </c>
      <c r="I631" t="s">
        <v>2910</v>
      </c>
      <c r="L631" s="200" t="str">
        <f>IFERROR(VLOOKUP($H631,PARAMETERS!$M$3:$M$1600,1,0),"---")</f>
        <v>gs_list_elekrtomecha_lock</v>
      </c>
    </row>
    <row r="632" spans="1:12">
      <c r="A632" t="s">
        <v>9</v>
      </c>
      <c r="B632"/>
      <c r="C632"/>
      <c r="D632" t="s">
        <v>9</v>
      </c>
      <c r="E632"/>
      <c r="F632" t="s">
        <v>20</v>
      </c>
      <c r="G632" t="s">
        <v>29</v>
      </c>
      <c r="H632" t="s">
        <v>2911</v>
      </c>
      <c r="I632" t="s">
        <v>2912</v>
      </c>
      <c r="L632" s="200" t="str">
        <f>IFERROR(VLOOKUP($H632,PARAMETERS!$M$3:$M$1600,1,0),"---")</f>
        <v>gs_list_dooropener_feedback</v>
      </c>
    </row>
    <row r="633" spans="1:12">
      <c r="A633" t="s">
        <v>9</v>
      </c>
      <c r="B633"/>
      <c r="C633"/>
      <c r="D633" t="s">
        <v>9</v>
      </c>
      <c r="E633"/>
      <c r="F633" t="s">
        <v>20</v>
      </c>
      <c r="G633" t="s">
        <v>29</v>
      </c>
      <c r="H633" t="s">
        <v>2913</v>
      </c>
      <c r="I633" t="s">
        <v>2914</v>
      </c>
      <c r="L633" s="200" t="str">
        <f>IFERROR(VLOOKUP($H633,PARAMETERS!$M$3:$M$1600,1,0),"---")</f>
        <v>gs_list_motoroperation</v>
      </c>
    </row>
    <row r="634" spans="1:12">
      <c r="A634" t="s">
        <v>9</v>
      </c>
      <c r="B634"/>
      <c r="C634"/>
      <c r="D634" t="s">
        <v>9</v>
      </c>
      <c r="E634"/>
      <c r="F634" t="s">
        <v>20</v>
      </c>
      <c r="G634" t="s">
        <v>29</v>
      </c>
      <c r="H634" t="s">
        <v>3075</v>
      </c>
      <c r="I634" t="s">
        <v>3076</v>
      </c>
      <c r="L634" s="200" t="str">
        <f>IFERROR(VLOOKUP($H634,PARAMETERS!$M$3:$M$1600,1,0),"---")</f>
        <v>---</v>
      </c>
    </row>
    <row r="635" spans="1:12">
      <c r="A635"/>
      <c r="B635"/>
      <c r="C635"/>
      <c r="D635"/>
      <c r="E635"/>
      <c r="F635" t="s">
        <v>59</v>
      </c>
      <c r="G635" t="s">
        <v>29</v>
      </c>
      <c r="H635" t="s">
        <v>2915</v>
      </c>
      <c r="I635" t="s">
        <v>3077</v>
      </c>
      <c r="L635" s="200" t="str">
        <f>IFERROR(VLOOKUP($H635,PARAMETERS!$M$3:$M$1600,1,0),"---")</f>
        <v>gs_onorm_Title</v>
      </c>
    </row>
    <row r="636" spans="1:12">
      <c r="A636" t="s">
        <v>9</v>
      </c>
      <c r="B636"/>
      <c r="C636"/>
      <c r="D636" t="s">
        <v>9</v>
      </c>
      <c r="E636"/>
      <c r="F636" t="s">
        <v>20</v>
      </c>
      <c r="G636" t="s">
        <v>29</v>
      </c>
      <c r="H636" t="s">
        <v>2917</v>
      </c>
      <c r="I636" t="s">
        <v>2918</v>
      </c>
      <c r="J636" t="s">
        <v>577</v>
      </c>
      <c r="L636" s="200" t="str">
        <f>IFERROR(VLOOKUP($H636,PARAMETERS!$M$3:$M$1600,1,0),"---")</f>
        <v>gs_onorm_width_auto</v>
      </c>
    </row>
    <row r="637" spans="1:12">
      <c r="A637" t="s">
        <v>9</v>
      </c>
      <c r="B637"/>
      <c r="C637"/>
      <c r="D637" t="s">
        <v>9</v>
      </c>
      <c r="E637" t="s">
        <v>9</v>
      </c>
      <c r="F637" t="s">
        <v>20</v>
      </c>
      <c r="G637" t="s">
        <v>29</v>
      </c>
      <c r="H637" t="s">
        <v>2919</v>
      </c>
      <c r="I637" t="s">
        <v>145</v>
      </c>
      <c r="J637">
        <v>130</v>
      </c>
      <c r="L637" s="200" t="str">
        <f>IFERROR(VLOOKUP($H637,PARAMETERS!$M$3:$M$1600,1,0),"---")</f>
        <v>gs_onorm_width</v>
      </c>
    </row>
    <row r="638" spans="1:12">
      <c r="A638" t="s">
        <v>9</v>
      </c>
      <c r="B638"/>
      <c r="C638"/>
      <c r="D638" t="s">
        <v>9</v>
      </c>
      <c r="E638"/>
      <c r="F638" t="s">
        <v>20</v>
      </c>
      <c r="G638" t="s">
        <v>29</v>
      </c>
      <c r="H638" t="s">
        <v>2920</v>
      </c>
      <c r="I638" t="s">
        <v>2921</v>
      </c>
      <c r="J638" t="s">
        <v>580</v>
      </c>
      <c r="L638" s="200" t="str">
        <f>IFERROR(VLOOKUP($H638,PARAMETERS!$M$3:$M$1600,1,0),"---")</f>
        <v>gs_onorm_height_auto</v>
      </c>
    </row>
    <row r="639" spans="1:12">
      <c r="A639" t="s">
        <v>9</v>
      </c>
      <c r="B639"/>
      <c r="C639"/>
      <c r="D639" t="s">
        <v>9</v>
      </c>
      <c r="E639"/>
      <c r="F639" t="s">
        <v>20</v>
      </c>
      <c r="G639" t="s">
        <v>29</v>
      </c>
      <c r="H639" t="s">
        <v>2922</v>
      </c>
      <c r="I639" t="s">
        <v>192</v>
      </c>
      <c r="J639">
        <v>201</v>
      </c>
      <c r="L639" s="200" t="str">
        <f>IFERROR(VLOOKUP($H639,PARAMETERS!$M$3:$M$1600,1,0),"---")</f>
        <v>gs_onorm_height</v>
      </c>
    </row>
    <row r="640" spans="1:12">
      <c r="A640" t="s">
        <v>9</v>
      </c>
      <c r="B640"/>
      <c r="C640"/>
      <c r="D640" t="s">
        <v>9</v>
      </c>
      <c r="E640"/>
      <c r="F640" t="s">
        <v>20</v>
      </c>
      <c r="G640" t="s">
        <v>29</v>
      </c>
      <c r="H640" t="s">
        <v>2923</v>
      </c>
      <c r="I640" t="s">
        <v>97</v>
      </c>
      <c r="L640" s="200" t="str">
        <f>IFERROR(VLOOKUP($H640,PARAMETERS!$M$3:$M$1600,1,0),"---")</f>
        <v>gs_onorm_firerating</v>
      </c>
    </row>
    <row r="641" spans="1:12">
      <c r="A641" t="s">
        <v>9</v>
      </c>
      <c r="B641"/>
      <c r="C641"/>
      <c r="D641" t="s">
        <v>9</v>
      </c>
      <c r="E641"/>
      <c r="F641" t="s">
        <v>20</v>
      </c>
      <c r="G641" t="s">
        <v>29</v>
      </c>
      <c r="H641" t="s">
        <v>2924</v>
      </c>
      <c r="I641" t="s">
        <v>2925</v>
      </c>
      <c r="L641" s="200" t="str">
        <f>IFERROR(VLOOKUP($H641,PARAMETERS!$M$3:$M$1600,1,0),"---")</f>
        <v>gs_transom_firerating</v>
      </c>
    </row>
    <row r="642" spans="1:12">
      <c r="A642" t="s">
        <v>9</v>
      </c>
      <c r="B642"/>
      <c r="C642"/>
      <c r="D642" t="s">
        <v>9</v>
      </c>
      <c r="E642"/>
      <c r="F642" t="s">
        <v>20</v>
      </c>
      <c r="G642" t="s">
        <v>29</v>
      </c>
      <c r="H642" t="s">
        <v>2926</v>
      </c>
      <c r="I642" t="s">
        <v>2927</v>
      </c>
      <c r="L642" s="200" t="str">
        <f>IFERROR(VLOOKUP($H642,PARAMETERS!$M$3:$M$1600,1,0),"---")</f>
        <v>gs_onorm_doornum</v>
      </c>
    </row>
    <row r="643" spans="1:12">
      <c r="A643" t="s">
        <v>9</v>
      </c>
      <c r="B643"/>
      <c r="C643"/>
      <c r="D643" t="s">
        <v>9</v>
      </c>
      <c r="E643"/>
      <c r="F643" t="s">
        <v>20</v>
      </c>
      <c r="G643" t="s">
        <v>29</v>
      </c>
      <c r="H643" t="s">
        <v>2928</v>
      </c>
      <c r="I643" t="s">
        <v>2929</v>
      </c>
      <c r="L643" s="200" t="str">
        <f>IFERROR(VLOOKUP($H643,PARAMETERS!$M$3:$M$1600,1,0),"---")</f>
        <v>gs_onorm_locking</v>
      </c>
    </row>
    <row r="644" spans="1:12">
      <c r="A644" t="s">
        <v>9</v>
      </c>
      <c r="B644"/>
      <c r="C644"/>
      <c r="D644" t="s">
        <v>9</v>
      </c>
      <c r="E644"/>
      <c r="F644" t="s">
        <v>20</v>
      </c>
      <c r="G644" t="s">
        <v>29</v>
      </c>
      <c r="H644" t="s">
        <v>2930</v>
      </c>
      <c r="I644" t="s">
        <v>2931</v>
      </c>
      <c r="L644" s="200" t="str">
        <f>IFERROR(VLOOKUP($H644,PARAMETERS!$M$3:$M$1600,1,0),"---")</f>
        <v>gs_onorm_mat1</v>
      </c>
    </row>
    <row r="645" spans="1:12">
      <c r="A645" t="s">
        <v>9</v>
      </c>
      <c r="B645"/>
      <c r="C645"/>
      <c r="D645" t="s">
        <v>9</v>
      </c>
      <c r="E645"/>
      <c r="F645" t="s">
        <v>20</v>
      </c>
      <c r="G645" t="s">
        <v>29</v>
      </c>
      <c r="H645" t="s">
        <v>2932</v>
      </c>
      <c r="I645" t="s">
        <v>2933</v>
      </c>
      <c r="L645" s="200" t="str">
        <f>IFERROR(VLOOKUP($H645,PARAMETERS!$M$3:$M$1600,1,0),"---")</f>
        <v>gs_onorm_mat2</v>
      </c>
    </row>
    <row r="646" spans="1:12">
      <c r="A646" t="s">
        <v>9</v>
      </c>
      <c r="B646"/>
      <c r="C646"/>
      <c r="D646" t="s">
        <v>9</v>
      </c>
      <c r="E646"/>
      <c r="F646" t="s">
        <v>20</v>
      </c>
      <c r="G646" t="s">
        <v>29</v>
      </c>
      <c r="H646" t="s">
        <v>2934</v>
      </c>
      <c r="I646" t="s">
        <v>2935</v>
      </c>
      <c r="L646" s="200" t="str">
        <f>IFERROR(VLOOKUP($H646,PARAMETERS!$M$3:$M$1600,1,0),"---")</f>
        <v>gs_onorm_col1</v>
      </c>
    </row>
    <row r="647" spans="1:12">
      <c r="A647" t="s">
        <v>9</v>
      </c>
      <c r="B647"/>
      <c r="C647"/>
      <c r="D647" t="s">
        <v>9</v>
      </c>
      <c r="E647"/>
      <c r="F647" t="s">
        <v>20</v>
      </c>
      <c r="G647" t="s">
        <v>29</v>
      </c>
      <c r="H647" t="s">
        <v>2936</v>
      </c>
      <c r="I647" t="s">
        <v>2937</v>
      </c>
      <c r="L647" s="200" t="str">
        <f>IFERROR(VLOOKUP($H647,PARAMETERS!$M$3:$M$1600,1,0),"---")</f>
        <v>gs_onorm_col2</v>
      </c>
    </row>
    <row r="648" spans="1:12">
      <c r="A648" t="s">
        <v>9</v>
      </c>
      <c r="B648"/>
      <c r="C648"/>
      <c r="D648" t="s">
        <v>9</v>
      </c>
      <c r="E648"/>
      <c r="F648" t="s">
        <v>20</v>
      </c>
      <c r="G648" t="s">
        <v>29</v>
      </c>
      <c r="H648" t="s">
        <v>2938</v>
      </c>
      <c r="I648" t="s">
        <v>2939</v>
      </c>
      <c r="L648" s="200" t="str">
        <f>IFERROR(VLOOKUP($H648,PARAMETERS!$M$3:$M$1600,1,0),"---")</f>
        <v>gs_onorm_surface</v>
      </c>
    </row>
    <row r="649" spans="1:12">
      <c r="A649" t="s">
        <v>9</v>
      </c>
      <c r="B649"/>
      <c r="C649"/>
      <c r="D649" t="s">
        <v>9</v>
      </c>
      <c r="E649"/>
      <c r="F649" t="s">
        <v>20</v>
      </c>
      <c r="G649" t="s">
        <v>29</v>
      </c>
      <c r="H649" t="s">
        <v>2940</v>
      </c>
      <c r="I649" t="s">
        <v>1873</v>
      </c>
      <c r="L649" s="200" t="str">
        <f>IFERROR(VLOOKUP($H649,PARAMETERS!$M$3:$M$1600,1,0),"---")</f>
        <v>gs_onorm_reveal</v>
      </c>
    </row>
    <row r="650" spans="1:12">
      <c r="A650" t="s">
        <v>9</v>
      </c>
      <c r="B650"/>
      <c r="C650"/>
      <c r="D650" t="s">
        <v>9</v>
      </c>
      <c r="E650"/>
      <c r="F650" t="s">
        <v>20</v>
      </c>
      <c r="G650" t="s">
        <v>29</v>
      </c>
      <c r="H650" t="s">
        <v>2941</v>
      </c>
      <c r="I650" t="s">
        <v>758</v>
      </c>
      <c r="L650" s="200" t="str">
        <f>IFERROR(VLOOKUP($H650,PARAMETERS!$M$3:$M$1600,1,0),"---")</f>
        <v>gs_onorm_frame</v>
      </c>
    </row>
    <row r="651" spans="1:12">
      <c r="A651" t="s">
        <v>9</v>
      </c>
      <c r="B651"/>
      <c r="C651"/>
      <c r="D651" t="s">
        <v>9</v>
      </c>
      <c r="E651"/>
      <c r="F651" t="s">
        <v>20</v>
      </c>
      <c r="G651" t="s">
        <v>29</v>
      </c>
      <c r="H651" t="s">
        <v>2942</v>
      </c>
      <c r="I651" t="s">
        <v>1160</v>
      </c>
      <c r="L651" s="200" t="str">
        <f>IFERROR(VLOOKUP($H651,PARAMETERS!$M$3:$M$1600,1,0),"---")</f>
        <v>gs_onorm_manufacturer</v>
      </c>
    </row>
    <row r="652" spans="1:12">
      <c r="A652" t="s">
        <v>9</v>
      </c>
      <c r="B652"/>
      <c r="C652"/>
      <c r="D652" t="s">
        <v>9</v>
      </c>
      <c r="E652"/>
      <c r="F652" t="s">
        <v>20</v>
      </c>
      <c r="G652" t="s">
        <v>29</v>
      </c>
      <c r="H652" t="s">
        <v>2943</v>
      </c>
      <c r="I652" t="s">
        <v>2944</v>
      </c>
      <c r="J652" t="s">
        <v>3078</v>
      </c>
      <c r="L652" s="200" t="str">
        <f>IFERROR(VLOOKUP($H652,PARAMETERS!$M$3:$M$1600,1,0),"---")</f>
        <v>gs_onorm_id</v>
      </c>
    </row>
    <row r="653" spans="1:12">
      <c r="A653" t="s">
        <v>9</v>
      </c>
      <c r="B653"/>
      <c r="C653"/>
      <c r="D653" t="s">
        <v>9</v>
      </c>
      <c r="E653"/>
      <c r="F653" t="s">
        <v>20</v>
      </c>
      <c r="G653" t="s">
        <v>29</v>
      </c>
      <c r="H653" t="s">
        <v>2946</v>
      </c>
      <c r="I653" t="s">
        <v>2947</v>
      </c>
      <c r="L653" s="200" t="str">
        <f>IFERROR(VLOOKUP($H653,PARAMETERS!$M$3:$M$1600,1,0),"---")</f>
        <v>gs_onorm_doortype</v>
      </c>
    </row>
    <row r="654" spans="1:12">
      <c r="A654" t="s">
        <v>9</v>
      </c>
      <c r="B654"/>
      <c r="C654"/>
      <c r="D654" t="s">
        <v>9</v>
      </c>
      <c r="E654"/>
      <c r="F654" t="s">
        <v>20</v>
      </c>
      <c r="G654" t="s">
        <v>29</v>
      </c>
      <c r="H654" t="s">
        <v>2948</v>
      </c>
      <c r="I654" t="s">
        <v>2949</v>
      </c>
      <c r="L654" s="200" t="str">
        <f>IFERROR(VLOOKUP($H654,PARAMETERS!$M$3:$M$1600,1,0),"---")</f>
        <v>gs_onorm_sashnumber</v>
      </c>
    </row>
    <row r="655" spans="1:12">
      <c r="A655" t="s">
        <v>9</v>
      </c>
      <c r="B655"/>
      <c r="C655"/>
      <c r="D655" t="s">
        <v>9</v>
      </c>
      <c r="E655"/>
      <c r="F655" t="s">
        <v>20</v>
      </c>
      <c r="G655" t="s">
        <v>29</v>
      </c>
      <c r="H655" t="s">
        <v>2950</v>
      </c>
      <c r="I655" t="s">
        <v>2951</v>
      </c>
      <c r="L655" s="200" t="str">
        <f>IFERROR(VLOOKUP($H655,PARAMETERS!$M$3:$M$1600,1,0),"---")</f>
        <v>gs_onorm_construction</v>
      </c>
    </row>
    <row r="656" spans="1:12">
      <c r="A656" t="s">
        <v>9</v>
      </c>
      <c r="B656"/>
      <c r="C656"/>
      <c r="D656" t="s">
        <v>9</v>
      </c>
      <c r="E656"/>
      <c r="F656" t="s">
        <v>20</v>
      </c>
      <c r="G656" t="s">
        <v>29</v>
      </c>
      <c r="H656" t="s">
        <v>2952</v>
      </c>
      <c r="I656" t="s">
        <v>2953</v>
      </c>
      <c r="L656" s="200" t="str">
        <f>IFERROR(VLOOKUP($H656,PARAMETERS!$M$3:$M$1600,1,0),"---")</f>
        <v>gs_onorm_glassarea</v>
      </c>
    </row>
    <row r="657" spans="1:12">
      <c r="A657" t="s">
        <v>9</v>
      </c>
      <c r="B657"/>
      <c r="C657"/>
      <c r="D657" t="s">
        <v>9</v>
      </c>
      <c r="E657"/>
      <c r="F657" t="s">
        <v>20</v>
      </c>
      <c r="G657" t="s">
        <v>29</v>
      </c>
      <c r="H657" t="s">
        <v>2954</v>
      </c>
      <c r="I657" t="s">
        <v>2955</v>
      </c>
      <c r="L657" s="200" t="str">
        <f>IFERROR(VLOOKUP($H657,PARAMETERS!$M$3:$M$1600,1,0),"---")</f>
        <v>gs_onorm_escape</v>
      </c>
    </row>
    <row r="658" spans="1:12">
      <c r="A658" t="s">
        <v>9</v>
      </c>
      <c r="B658"/>
      <c r="C658"/>
      <c r="D658" t="s">
        <v>9</v>
      </c>
      <c r="E658"/>
      <c r="F658" t="s">
        <v>20</v>
      </c>
      <c r="G658" t="s">
        <v>29</v>
      </c>
      <c r="H658" t="s">
        <v>2956</v>
      </c>
      <c r="I658" t="s">
        <v>2957</v>
      </c>
      <c r="L658" s="200" t="str">
        <f>IFERROR(VLOOKUP($H658,PARAMETERS!$M$3:$M$1600,1,0),"---")</f>
        <v>gs_onorm_aks</v>
      </c>
    </row>
    <row r="659" spans="1:12">
      <c r="A659" t="s">
        <v>9</v>
      </c>
      <c r="B659"/>
      <c r="C659"/>
      <c r="D659" t="s">
        <v>9</v>
      </c>
      <c r="E659"/>
      <c r="F659" t="s">
        <v>20</v>
      </c>
      <c r="G659" t="s">
        <v>29</v>
      </c>
      <c r="H659" t="s">
        <v>2958</v>
      </c>
      <c r="I659" t="s">
        <v>98</v>
      </c>
      <c r="L659" s="200" t="str">
        <f>IFERROR(VLOOKUP($H659,PARAMETERS!$M$3:$M$1600,1,0),"---")</f>
        <v>gs_onorm_product</v>
      </c>
    </row>
    <row r="660" spans="1:12">
      <c r="A660" t="s">
        <v>9</v>
      </c>
      <c r="B660"/>
      <c r="C660"/>
      <c r="D660" t="s">
        <v>9</v>
      </c>
      <c r="E660"/>
      <c r="F660" t="s">
        <v>20</v>
      </c>
      <c r="G660" t="s">
        <v>29</v>
      </c>
      <c r="H660" t="s">
        <v>2959</v>
      </c>
      <c r="I660" t="s">
        <v>2960</v>
      </c>
      <c r="L660" s="200" t="str">
        <f>IFERROR(VLOOKUP($H660,PARAMETERS!$M$3:$M$1600,1,0),"---")</f>
        <v>gs_onorm_leistungbuch</v>
      </c>
    </row>
    <row r="661" spans="1:12">
      <c r="A661" t="s">
        <v>9</v>
      </c>
      <c r="B661"/>
      <c r="C661"/>
      <c r="D661" t="s">
        <v>9</v>
      </c>
      <c r="E661"/>
      <c r="F661" t="s">
        <v>20</v>
      </c>
      <c r="G661" t="s">
        <v>29</v>
      </c>
      <c r="H661" t="s">
        <v>2961</v>
      </c>
      <c r="I661" t="s">
        <v>2962</v>
      </c>
      <c r="L661" s="200" t="str">
        <f>IFERROR(VLOOKUP($H661,PARAMETERS!$M$3:$M$1600,1,0),"---")</f>
        <v>gs_onorm_description</v>
      </c>
    </row>
    <row r="662" spans="1:12">
      <c r="A662" t="s">
        <v>9</v>
      </c>
      <c r="B662"/>
      <c r="C662"/>
      <c r="D662" t="s">
        <v>9</v>
      </c>
      <c r="E662"/>
      <c r="F662" t="s">
        <v>20</v>
      </c>
      <c r="G662" t="s">
        <v>29</v>
      </c>
      <c r="H662" t="s">
        <v>2963</v>
      </c>
      <c r="I662" t="s">
        <v>2964</v>
      </c>
      <c r="L662" s="200" t="str">
        <f>IFERROR(VLOOKUP($H662,PARAMETERS!$M$3:$M$1600,1,0),"---")</f>
        <v>gs_onorm_customtext1</v>
      </c>
    </row>
    <row r="663" spans="1:12">
      <c r="A663" t="s">
        <v>9</v>
      </c>
      <c r="B663"/>
      <c r="C663"/>
      <c r="D663" t="s">
        <v>9</v>
      </c>
      <c r="E663"/>
      <c r="F663" t="s">
        <v>20</v>
      </c>
      <c r="G663" t="s">
        <v>29</v>
      </c>
      <c r="H663" t="s">
        <v>2965</v>
      </c>
      <c r="I663" t="s">
        <v>2966</v>
      </c>
      <c r="L663" s="200" t="str">
        <f>IFERROR(VLOOKUP($H663,PARAMETERS!$M$3:$M$1600,1,0),"---")</f>
        <v>gs_onorm_customtext2</v>
      </c>
    </row>
    <row r="664" spans="1:12">
      <c r="A664" t="s">
        <v>9</v>
      </c>
      <c r="B664"/>
      <c r="C664"/>
      <c r="D664" t="s">
        <v>9</v>
      </c>
      <c r="E664"/>
      <c r="F664" t="s">
        <v>20</v>
      </c>
      <c r="G664" t="s">
        <v>29</v>
      </c>
      <c r="H664" t="s">
        <v>2967</v>
      </c>
      <c r="I664" t="s">
        <v>2968</v>
      </c>
      <c r="L664" s="200" t="str">
        <f>IFERROR(VLOOKUP($H664,PARAMETERS!$M$3:$M$1600,1,0),"---")</f>
        <v>gs_onorm_acousticrating</v>
      </c>
    </row>
    <row r="665" spans="1:12">
      <c r="A665" t="s">
        <v>9</v>
      </c>
      <c r="B665"/>
      <c r="C665"/>
      <c r="D665" t="s">
        <v>9</v>
      </c>
      <c r="E665"/>
      <c r="F665" t="s">
        <v>20</v>
      </c>
      <c r="G665" t="s">
        <v>29</v>
      </c>
      <c r="H665" t="s">
        <v>2969</v>
      </c>
      <c r="I665" t="s">
        <v>2880</v>
      </c>
      <c r="L665" s="200" t="str">
        <f>IFERROR(VLOOKUP($H665,PARAMETERS!$M$3:$M$1600,1,0),"---")</f>
        <v>gs_onorm_heattransfer</v>
      </c>
    </row>
    <row r="666" spans="1:12">
      <c r="A666" t="s">
        <v>9</v>
      </c>
      <c r="B666"/>
      <c r="C666"/>
      <c r="D666" t="s">
        <v>9</v>
      </c>
      <c r="E666"/>
      <c r="F666" t="s">
        <v>20</v>
      </c>
      <c r="G666" t="s">
        <v>29</v>
      </c>
      <c r="H666" t="s">
        <v>2970</v>
      </c>
      <c r="I666" t="s">
        <v>2971</v>
      </c>
      <c r="L666" s="200" t="str">
        <f>IFERROR(VLOOKUP($H666,PARAMETERS!$M$3:$M$1600,1,0),"---")</f>
        <v>gs_onorm_admission</v>
      </c>
    </row>
    <row r="667" spans="1:12">
      <c r="A667" t="s">
        <v>9</v>
      </c>
      <c r="B667"/>
      <c r="C667"/>
      <c r="D667" t="s">
        <v>9</v>
      </c>
      <c r="E667"/>
      <c r="F667" t="s">
        <v>20</v>
      </c>
      <c r="G667" t="s">
        <v>29</v>
      </c>
      <c r="H667" t="s">
        <v>2972</v>
      </c>
      <c r="I667" t="s">
        <v>2973</v>
      </c>
      <c r="L667" s="200" t="str">
        <f>IFERROR(VLOOKUP($H667,PARAMETERS!$M$3:$M$1600,1,0),"---")</f>
        <v>gs_onorm_modification</v>
      </c>
    </row>
    <row r="668" spans="1:12">
      <c r="A668" t="s">
        <v>9</v>
      </c>
      <c r="B668"/>
      <c r="C668"/>
      <c r="D668" t="s">
        <v>9</v>
      </c>
      <c r="E668"/>
      <c r="F668" t="s">
        <v>20</v>
      </c>
      <c r="G668" t="s">
        <v>29</v>
      </c>
      <c r="H668" t="s">
        <v>2974</v>
      </c>
      <c r="I668" t="s">
        <v>2975</v>
      </c>
      <c r="J668" t="s">
        <v>2976</v>
      </c>
      <c r="L668" s="200" t="str">
        <f>IFERROR(VLOOKUP($H668,PARAMETERS!$M$3:$M$1600,1,0),"---")</f>
        <v>gs_onorm_zoneinside_auto</v>
      </c>
    </row>
    <row r="669" spans="1:12">
      <c r="A669" t="s">
        <v>9</v>
      </c>
      <c r="B669"/>
      <c r="C669"/>
      <c r="D669" t="s">
        <v>9</v>
      </c>
      <c r="E669"/>
      <c r="F669" t="s">
        <v>20</v>
      </c>
      <c r="G669" t="s">
        <v>29</v>
      </c>
      <c r="H669" t="s">
        <v>2977</v>
      </c>
      <c r="I669" t="s">
        <v>2978</v>
      </c>
      <c r="L669" s="200" t="str">
        <f>IFERROR(VLOOKUP($H669,PARAMETERS!$M$3:$M$1600,1,0),"---")</f>
        <v>gs_onorm_zoneinside</v>
      </c>
    </row>
    <row r="670" spans="1:12">
      <c r="A670" t="s">
        <v>9</v>
      </c>
      <c r="B670"/>
      <c r="C670"/>
      <c r="D670" t="s">
        <v>9</v>
      </c>
      <c r="E670"/>
      <c r="F670" t="s">
        <v>20</v>
      </c>
      <c r="G670" t="s">
        <v>29</v>
      </c>
      <c r="H670" t="s">
        <v>2979</v>
      </c>
      <c r="I670" t="s">
        <v>2980</v>
      </c>
      <c r="J670" t="s">
        <v>2976</v>
      </c>
      <c r="L670" s="200" t="str">
        <f>IFERROR(VLOOKUP($H670,PARAMETERS!$M$3:$M$1600,1,0),"---")</f>
        <v>gs_onorm_zoneoutside_auto</v>
      </c>
    </row>
    <row r="671" spans="1:12">
      <c r="A671"/>
      <c r="B671"/>
      <c r="C671"/>
      <c r="D671" t="s">
        <v>9</v>
      </c>
      <c r="E671"/>
      <c r="F671" t="s">
        <v>20</v>
      </c>
      <c r="G671" t="s">
        <v>29</v>
      </c>
      <c r="H671" t="s">
        <v>2981</v>
      </c>
      <c r="I671" t="s">
        <v>2982</v>
      </c>
      <c r="L671" s="200" t="str">
        <f>IFERROR(VLOOKUP($H671,PARAMETERS!$M$3:$M$1600,1,0),"---")</f>
        <v>gs_onorm_zoneoutside</v>
      </c>
    </row>
    <row r="672" spans="1:12">
      <c r="L672" s="200" t="str">
        <f>IFERROR(VLOOKUP($H672,PARAMETERS!$M$3:$M$1600,1,0),"---")</f>
        <v>---</v>
      </c>
    </row>
    <row r="673" spans="12:12">
      <c r="L673" s="200" t="str">
        <f>IFERROR(VLOOKUP($H673,PARAMETERS!$M$3:$M$1600,1,0),"---")</f>
        <v>---</v>
      </c>
    </row>
    <row r="674" spans="12:12">
      <c r="L674" s="200" t="str">
        <f>IFERROR(VLOOKUP($H674,PARAMETERS!$M$3:$M$1600,1,0),"---")</f>
        <v>---</v>
      </c>
    </row>
    <row r="675" spans="12:12">
      <c r="L675" s="200" t="str">
        <f>IFERROR(VLOOKUP($H675,PARAMETERS!$M$3:$M$1600,1,0),"---")</f>
        <v>---</v>
      </c>
    </row>
    <row r="676" spans="12:12">
      <c r="L676" s="200" t="str">
        <f>IFERROR(VLOOKUP($H676,PARAMETERS!$M$3:$M$1600,1,0),"---")</f>
        <v>---</v>
      </c>
    </row>
    <row r="677" spans="12:12">
      <c r="L677" s="200" t="str">
        <f>IFERROR(VLOOKUP($H677,PARAMETERS!$M$3:$M$1600,1,0),"---")</f>
        <v>---</v>
      </c>
    </row>
    <row r="678" spans="12:12">
      <c r="L678" s="200" t="str">
        <f>IFERROR(VLOOKUP($H678,PARAMETERS!$M$3:$M$1600,1,0),"---")</f>
        <v>---</v>
      </c>
    </row>
    <row r="679" spans="12:12">
      <c r="L679" s="200" t="str">
        <f>IFERROR(VLOOKUP($H679,PARAMETERS!$M$3:$M$1600,1,0),"---")</f>
        <v>---</v>
      </c>
    </row>
    <row r="680" spans="12:12">
      <c r="L680" s="200" t="str">
        <f>IFERROR(VLOOKUP($H680,PARAMETERS!$M$3:$M$1600,1,0),"---")</f>
        <v>---</v>
      </c>
    </row>
    <row r="681" spans="12:12">
      <c r="L681" s="200" t="str">
        <f>IFERROR(VLOOKUP($H681,PARAMETERS!$M$3:$M$1600,1,0),"---")</f>
        <v>---</v>
      </c>
    </row>
    <row r="682" spans="12:12">
      <c r="L682" s="200" t="str">
        <f>IFERROR(VLOOKUP($H682,PARAMETERS!$M$3:$M$1600,1,0),"---")</f>
        <v>---</v>
      </c>
    </row>
    <row r="683" spans="12:12">
      <c r="L683" s="200" t="str">
        <f>IFERROR(VLOOKUP($H683,PARAMETERS!$M$3:$M$1600,1,0),"---")</f>
        <v>---</v>
      </c>
    </row>
    <row r="684" spans="12:12">
      <c r="L684" s="200" t="str">
        <f>IFERROR(VLOOKUP($H684,PARAMETERS!$M$3:$M$1600,1,0),"---")</f>
        <v>---</v>
      </c>
    </row>
    <row r="685" spans="12:12">
      <c r="L685" s="200" t="str">
        <f>IFERROR(VLOOKUP($H685,PARAMETERS!$M$3:$M$1600,1,0),"---")</f>
        <v>---</v>
      </c>
    </row>
    <row r="686" spans="12:12">
      <c r="L686" s="200" t="str">
        <f>IFERROR(VLOOKUP($H686,PARAMETERS!$M$3:$M$1600,1,0),"---")</f>
        <v>---</v>
      </c>
    </row>
    <row r="687" spans="12:12">
      <c r="L687" s="200" t="str">
        <f>IFERROR(VLOOKUP($H687,PARAMETERS!$M$3:$M$1600,1,0),"---")</f>
        <v>---</v>
      </c>
    </row>
    <row r="688" spans="12:12">
      <c r="L688" s="200" t="str">
        <f>IFERROR(VLOOKUP($H688,PARAMETERS!$M$3:$M$1600,1,0),"---")</f>
        <v>---</v>
      </c>
    </row>
    <row r="689" spans="12:12">
      <c r="L689" s="200" t="str">
        <f>IFERROR(VLOOKUP($H689,PARAMETERS!$M$3:$M$1600,1,0),"---")</f>
        <v>---</v>
      </c>
    </row>
    <row r="690" spans="12:12">
      <c r="L690" s="200" t="str">
        <f>IFERROR(VLOOKUP($H690,PARAMETERS!$M$3:$M$1600,1,0),"---")</f>
        <v>---</v>
      </c>
    </row>
    <row r="691" spans="12:12">
      <c r="L691" s="200" t="str">
        <f>IFERROR(VLOOKUP($H691,PARAMETERS!$M$3:$M$1600,1,0),"---")</f>
        <v>---</v>
      </c>
    </row>
    <row r="692" spans="12:12">
      <c r="L692" s="200" t="str">
        <f>IFERROR(VLOOKUP($H692,PARAMETERS!$M$3:$M$1600,1,0),"---")</f>
        <v>---</v>
      </c>
    </row>
    <row r="693" spans="12:12">
      <c r="L693" s="200" t="str">
        <f>IFERROR(VLOOKUP($H693,PARAMETERS!$M$3:$M$1600,1,0),"---")</f>
        <v>---</v>
      </c>
    </row>
    <row r="694" spans="12:12">
      <c r="L694" s="200" t="str">
        <f>IFERROR(VLOOKUP($H694,PARAMETERS!$M$3:$M$1600,1,0),"---")</f>
        <v>---</v>
      </c>
    </row>
    <row r="695" spans="12:12">
      <c r="L695" s="200" t="str">
        <f>IFERROR(VLOOKUP($H695,PARAMETERS!$M$3:$M$1600,1,0),"---")</f>
        <v>---</v>
      </c>
    </row>
    <row r="696" spans="12:12">
      <c r="L696" s="200" t="str">
        <f>IFERROR(VLOOKUP($H696,PARAMETERS!$M$3:$M$1600,1,0),"---")</f>
        <v>---</v>
      </c>
    </row>
    <row r="697" spans="12:12">
      <c r="L697" s="200" t="str">
        <f>IFERROR(VLOOKUP($H697,PARAMETERS!$M$3:$M$1600,1,0),"---")</f>
        <v>---</v>
      </c>
    </row>
    <row r="698" spans="12:12">
      <c r="L698" s="200" t="str">
        <f>IFERROR(VLOOKUP($H698,PARAMETERS!$M$3:$M$1600,1,0),"---")</f>
        <v>---</v>
      </c>
    </row>
    <row r="699" spans="12:12">
      <c r="L699" s="200" t="str">
        <f>IFERROR(VLOOKUP($H699,PARAMETERS!$M$3:$M$1600,1,0),"---")</f>
        <v>---</v>
      </c>
    </row>
    <row r="700" spans="12:12">
      <c r="L700" s="200" t="str">
        <f>IFERROR(VLOOKUP($H700,PARAMETERS!$M$3:$M$1600,1,0),"---")</f>
        <v>---</v>
      </c>
    </row>
    <row r="701" spans="12:12">
      <c r="L701" s="200" t="str">
        <f>IFERROR(VLOOKUP($H701,PARAMETERS!$M$3:$M$1600,1,0),"---")</f>
        <v>---</v>
      </c>
    </row>
    <row r="702" spans="12:12">
      <c r="L702" s="200" t="str">
        <f>IFERROR(VLOOKUP($H702,PARAMETERS!$M$3:$M$1600,1,0),"---")</f>
        <v>---</v>
      </c>
    </row>
    <row r="703" spans="12:12">
      <c r="L703" s="200" t="str">
        <f>IFERROR(VLOOKUP($H703,PARAMETERS!$M$3:$M$1600,1,0),"---")</f>
        <v>---</v>
      </c>
    </row>
    <row r="704" spans="12:12">
      <c r="L704" s="200" t="str">
        <f>IFERROR(VLOOKUP($H704,PARAMETERS!$M$3:$M$1600,1,0),"---")</f>
        <v>---</v>
      </c>
    </row>
    <row r="705" spans="12:12">
      <c r="L705" s="200" t="str">
        <f>IFERROR(VLOOKUP($H705,PARAMETERS!$M$3:$M$1600,1,0),"---")</f>
        <v>---</v>
      </c>
    </row>
    <row r="706" spans="12:12">
      <c r="L706" s="200" t="str">
        <f>IFERROR(VLOOKUP($H706,PARAMETERS!$M$3:$M$1600,1,0),"---")</f>
        <v>---</v>
      </c>
    </row>
    <row r="707" spans="12:12">
      <c r="L707" s="200" t="str">
        <f>IFERROR(VLOOKUP($H707,PARAMETERS!$M$3:$M$1600,1,0),"---")</f>
        <v>---</v>
      </c>
    </row>
    <row r="708" spans="12:12">
      <c r="L708" s="200" t="str">
        <f>IFERROR(VLOOKUP($H708,PARAMETERS!$M$3:$M$1600,1,0),"---")</f>
        <v>---</v>
      </c>
    </row>
    <row r="709" spans="12:12">
      <c r="L709" s="200" t="str">
        <f>IFERROR(VLOOKUP($H709,PARAMETERS!$M$3:$M$1600,1,0),"---")</f>
        <v>---</v>
      </c>
    </row>
    <row r="710" spans="12:12">
      <c r="L710" s="200" t="str">
        <f>IFERROR(VLOOKUP($H710,PARAMETERS!$M$3:$M$1600,1,0),"---")</f>
        <v>---</v>
      </c>
    </row>
    <row r="711" spans="12:12">
      <c r="L711" s="200" t="str">
        <f>IFERROR(VLOOKUP($H711,PARAMETERS!$M$3:$M$1600,1,0),"---")</f>
        <v>---</v>
      </c>
    </row>
    <row r="712" spans="12:12">
      <c r="L712" s="200" t="str">
        <f>IFERROR(VLOOKUP($H712,PARAMETERS!$M$3:$M$1600,1,0),"---")</f>
        <v>---</v>
      </c>
    </row>
    <row r="713" spans="12:12">
      <c r="L713" s="200" t="str">
        <f>IFERROR(VLOOKUP($H713,PARAMETERS!$M$3:$M$1600,1,0),"---")</f>
        <v>---</v>
      </c>
    </row>
    <row r="714" spans="12:12">
      <c r="L714" s="200" t="str">
        <f>IFERROR(VLOOKUP($H714,PARAMETERS!$M$3:$M$1600,1,0),"---")</f>
        <v>---</v>
      </c>
    </row>
    <row r="715" spans="12:12">
      <c r="L715" s="200" t="str">
        <f>IFERROR(VLOOKUP($H715,PARAMETERS!$M$3:$M$1600,1,0),"---")</f>
        <v>---</v>
      </c>
    </row>
    <row r="716" spans="12:12">
      <c r="L716" s="200" t="str">
        <f>IFERROR(VLOOKUP($H716,PARAMETERS!$M$3:$M$1600,1,0),"---")</f>
        <v>---</v>
      </c>
    </row>
    <row r="717" spans="12:12">
      <c r="L717" s="200" t="str">
        <f>IFERROR(VLOOKUP($H717,PARAMETERS!$M$3:$M$1600,1,0),"---")</f>
        <v>---</v>
      </c>
    </row>
    <row r="718" spans="12:12">
      <c r="L718" s="200" t="str">
        <f>IFERROR(VLOOKUP($H718,PARAMETERS!$M$3:$M$1600,1,0),"---")</f>
        <v>---</v>
      </c>
    </row>
    <row r="719" spans="12:12">
      <c r="L719" s="200" t="str">
        <f>IFERROR(VLOOKUP($H719,PARAMETERS!$M$3:$M$1600,1,0),"---")</f>
        <v>---</v>
      </c>
    </row>
    <row r="720" spans="12:12">
      <c r="L720" s="200" t="str">
        <f>IFERROR(VLOOKUP($H720,PARAMETERS!$M$3:$M$1600,1,0),"---")</f>
        <v>---</v>
      </c>
    </row>
    <row r="721" spans="12:12">
      <c r="L721" s="200" t="str">
        <f>IFERROR(VLOOKUP($H721,PARAMETERS!$M$3:$M$1600,1,0),"---")</f>
        <v>---</v>
      </c>
    </row>
    <row r="722" spans="12:12">
      <c r="L722" s="200" t="str">
        <f>IFERROR(VLOOKUP($H722,PARAMETERS!$M$3:$M$1600,1,0),"---")</f>
        <v>---</v>
      </c>
    </row>
    <row r="723" spans="12:12">
      <c r="L723" s="200" t="str">
        <f>IFERROR(VLOOKUP($H723,PARAMETERS!$M$3:$M$1600,1,0),"---")</f>
        <v>---</v>
      </c>
    </row>
    <row r="724" spans="12:12">
      <c r="L724" s="200" t="str">
        <f>IFERROR(VLOOKUP($H724,PARAMETERS!$M$3:$M$1600,1,0),"---")</f>
        <v>---</v>
      </c>
    </row>
    <row r="725" spans="12:12">
      <c r="L725" s="200" t="str">
        <f>IFERROR(VLOOKUP($H725,PARAMETERS!$M$3:$M$1600,1,0),"---")</f>
        <v>---</v>
      </c>
    </row>
    <row r="726" spans="12:12">
      <c r="L726" s="200" t="str">
        <f>IFERROR(VLOOKUP($H726,PARAMETERS!$M$3:$M$1600,1,0),"---")</f>
        <v>---</v>
      </c>
    </row>
    <row r="727" spans="12:12">
      <c r="L727" s="200" t="str">
        <f>IFERROR(VLOOKUP($H727,PARAMETERS!$M$3:$M$1600,1,0),"---")</f>
        <v>---</v>
      </c>
    </row>
    <row r="728" spans="12:12">
      <c r="L728" s="200" t="str">
        <f>IFERROR(VLOOKUP($H728,PARAMETERS!$M$3:$M$1600,1,0),"---")</f>
        <v>---</v>
      </c>
    </row>
    <row r="729" spans="12:12">
      <c r="L729" s="200" t="str">
        <f>IFERROR(VLOOKUP($H729,PARAMETERS!$M$3:$M$1600,1,0),"---")</f>
        <v>---</v>
      </c>
    </row>
    <row r="730" spans="12:12">
      <c r="L730" s="200" t="str">
        <f>IFERROR(VLOOKUP($H730,PARAMETERS!$M$3:$M$1600,1,0),"---")</f>
        <v>---</v>
      </c>
    </row>
    <row r="731" spans="12:12">
      <c r="L731" s="200" t="str">
        <f>IFERROR(VLOOKUP($H731,PARAMETERS!$M$3:$M$1600,1,0),"---")</f>
        <v>---</v>
      </c>
    </row>
    <row r="732" spans="12:12">
      <c r="L732" s="200" t="str">
        <f>IFERROR(VLOOKUP($H732,PARAMETERS!$M$3:$M$1600,1,0),"---")</f>
        <v>---</v>
      </c>
    </row>
    <row r="733" spans="12:12">
      <c r="L733" s="200" t="str">
        <f>IFERROR(VLOOKUP($H733,PARAMETERS!$M$3:$M$1600,1,0),"---")</f>
        <v>---</v>
      </c>
    </row>
    <row r="734" spans="12:12">
      <c r="L734" s="200" t="str">
        <f>IFERROR(VLOOKUP($H734,PARAMETERS!$M$3:$M$1600,1,0),"---")</f>
        <v>---</v>
      </c>
    </row>
    <row r="735" spans="12:12">
      <c r="L735" s="200" t="str">
        <f>IFERROR(VLOOKUP($H735,PARAMETERS!$M$3:$M$1600,1,0),"---")</f>
        <v>---</v>
      </c>
    </row>
    <row r="736" spans="12:12">
      <c r="L736" s="200" t="str">
        <f>IFERROR(VLOOKUP($H736,PARAMETERS!$M$3:$M$1600,1,0),"---")</f>
        <v>---</v>
      </c>
    </row>
    <row r="737" spans="12:12">
      <c r="L737" s="200" t="str">
        <f>IFERROR(VLOOKUP($H737,PARAMETERS!$M$3:$M$1600,1,0),"---")</f>
        <v>---</v>
      </c>
    </row>
    <row r="738" spans="12:12">
      <c r="L738" s="200" t="str">
        <f>IFERROR(VLOOKUP($H738,PARAMETERS!$M$3:$M$1600,1,0),"---")</f>
        <v>---</v>
      </c>
    </row>
    <row r="739" spans="12:12">
      <c r="L739" s="200" t="str">
        <f>IFERROR(VLOOKUP($H739,PARAMETERS!$M$3:$M$1600,1,0),"---")</f>
        <v>---</v>
      </c>
    </row>
    <row r="740" spans="12:12">
      <c r="L740" s="200" t="str">
        <f>IFERROR(VLOOKUP($H740,PARAMETERS!$M$3:$M$1600,1,0),"---")</f>
        <v>---</v>
      </c>
    </row>
    <row r="741" spans="12:12">
      <c r="L741" s="200" t="str">
        <f>IFERROR(VLOOKUP($H741,PARAMETERS!$M$3:$M$1600,1,0),"---")</f>
        <v>---</v>
      </c>
    </row>
    <row r="742" spans="12:12">
      <c r="L742" s="200" t="str">
        <f>IFERROR(VLOOKUP($H742,PARAMETERS!$M$3:$M$1600,1,0),"---")</f>
        <v>---</v>
      </c>
    </row>
    <row r="743" spans="12:12">
      <c r="L743" s="200" t="str">
        <f>IFERROR(VLOOKUP($H743,PARAMETERS!$M$3:$M$1600,1,0),"---")</f>
        <v>---</v>
      </c>
    </row>
    <row r="744" spans="12:12">
      <c r="L744" s="200" t="str">
        <f>IFERROR(VLOOKUP($H744,PARAMETERS!$M$3:$M$1600,1,0),"---")</f>
        <v>---</v>
      </c>
    </row>
    <row r="745" spans="12:12">
      <c r="L745" s="200" t="str">
        <f>IFERROR(VLOOKUP($H745,PARAMETERS!$M$3:$M$1600,1,0),"---")</f>
        <v>---</v>
      </c>
    </row>
    <row r="746" spans="12:12">
      <c r="L746" s="200" t="str">
        <f>IFERROR(VLOOKUP($H746,PARAMETERS!$M$3:$M$1600,1,0),"---")</f>
        <v>---</v>
      </c>
    </row>
    <row r="747" spans="12:12">
      <c r="L747" s="200" t="str">
        <f>IFERROR(VLOOKUP($H747,PARAMETERS!$M$3:$M$1600,1,0),"---")</f>
        <v>---</v>
      </c>
    </row>
    <row r="748" spans="12:12">
      <c r="L748" s="200" t="str">
        <f>IFERROR(VLOOKUP($H748,PARAMETERS!$M$3:$M$1600,1,0),"---")</f>
        <v>---</v>
      </c>
    </row>
    <row r="749" spans="12:12">
      <c r="L749" s="200" t="str">
        <f>IFERROR(VLOOKUP($H749,PARAMETERS!$M$3:$M$1600,1,0),"---")</f>
        <v>---</v>
      </c>
    </row>
    <row r="750" spans="12:12">
      <c r="L750" s="200" t="str">
        <f>IFERROR(VLOOKUP($H750,PARAMETERS!$M$3:$M$1600,1,0),"---")</f>
        <v>---</v>
      </c>
    </row>
    <row r="751" spans="12:12">
      <c r="L751" s="200" t="str">
        <f>IFERROR(VLOOKUP($H751,PARAMETERS!$M$3:$M$1600,1,0),"---")</f>
        <v>---</v>
      </c>
    </row>
    <row r="752" spans="12:12">
      <c r="L752" s="200" t="str">
        <f>IFERROR(VLOOKUP($H752,PARAMETERS!$M$3:$M$1600,1,0),"---")</f>
        <v>---</v>
      </c>
    </row>
    <row r="753" spans="12:12">
      <c r="L753" s="200" t="str">
        <f>IFERROR(VLOOKUP($H753,PARAMETERS!$M$3:$M$1600,1,0),"---")</f>
        <v>---</v>
      </c>
    </row>
    <row r="754" spans="12:12">
      <c r="L754" s="200" t="str">
        <f>IFERROR(VLOOKUP($H754,PARAMETERS!$M$3:$M$1600,1,0),"---")</f>
        <v>---</v>
      </c>
    </row>
    <row r="755" spans="12:12">
      <c r="L755" s="200" t="str">
        <f>IFERROR(VLOOKUP($H755,PARAMETERS!$M$3:$M$1600,1,0),"---")</f>
        <v>---</v>
      </c>
    </row>
    <row r="756" spans="12:12">
      <c r="L756" s="200" t="str">
        <f>IFERROR(VLOOKUP($H756,PARAMETERS!$M$3:$M$1600,1,0),"---")</f>
        <v>---</v>
      </c>
    </row>
    <row r="757" spans="12:12">
      <c r="L757" s="200" t="str">
        <f>IFERROR(VLOOKUP($H757,PARAMETERS!$M$3:$M$1600,1,0),"---")</f>
        <v>---</v>
      </c>
    </row>
    <row r="758" spans="12:12">
      <c r="L758" s="200" t="str">
        <f>IFERROR(VLOOKUP($H758,PARAMETERS!$M$3:$M$1600,1,0),"---")</f>
        <v>---</v>
      </c>
    </row>
    <row r="759" spans="12:12">
      <c r="L759" s="200" t="str">
        <f>IFERROR(VLOOKUP($H759,PARAMETERS!$M$3:$M$1600,1,0),"---")</f>
        <v>---</v>
      </c>
    </row>
    <row r="760" spans="12:12">
      <c r="L760" s="200" t="str">
        <f>IFERROR(VLOOKUP($H760,PARAMETERS!$M$3:$M$1600,1,0),"---")</f>
        <v>---</v>
      </c>
    </row>
    <row r="761" spans="12:12">
      <c r="L761" s="200" t="str">
        <f>IFERROR(VLOOKUP($H761,PARAMETERS!$M$3:$M$1600,1,0),"---")</f>
        <v>---</v>
      </c>
    </row>
    <row r="762" spans="12:12">
      <c r="L762" s="200" t="str">
        <f>IFERROR(VLOOKUP($H762,PARAMETERS!$M$3:$M$1600,1,0),"---")</f>
        <v>---</v>
      </c>
    </row>
    <row r="763" spans="12:12">
      <c r="L763" s="200" t="str">
        <f>IFERROR(VLOOKUP($H763,PARAMETERS!$M$3:$M$1600,1,0),"---")</f>
        <v>---</v>
      </c>
    </row>
    <row r="764" spans="12:12">
      <c r="L764" s="200" t="str">
        <f>IFERROR(VLOOKUP($H764,PARAMETERS!$M$3:$M$1600,1,0),"---")</f>
        <v>---</v>
      </c>
    </row>
    <row r="765" spans="12:12">
      <c r="L765" s="200" t="str">
        <f>IFERROR(VLOOKUP($H765,PARAMETERS!$M$3:$M$1600,1,0),"---")</f>
        <v>---</v>
      </c>
    </row>
    <row r="766" spans="12:12">
      <c r="L766" s="200" t="str">
        <f>IFERROR(VLOOKUP($H766,PARAMETERS!$M$3:$M$1600,1,0),"---")</f>
        <v>---</v>
      </c>
    </row>
    <row r="767" spans="12:12">
      <c r="L767" s="200" t="str">
        <f>IFERROR(VLOOKUP($H767,PARAMETERS!$M$3:$M$1600,1,0),"---")</f>
        <v>---</v>
      </c>
    </row>
    <row r="768" spans="12:12">
      <c r="L768" s="200" t="str">
        <f>IFERROR(VLOOKUP($H768,PARAMETERS!$M$3:$M$1600,1,0),"---")</f>
        <v>---</v>
      </c>
    </row>
    <row r="769" spans="12:12">
      <c r="L769" s="200" t="str">
        <f>IFERROR(VLOOKUP($H769,PARAMETERS!$M$3:$M$1600,1,0),"---")</f>
        <v>---</v>
      </c>
    </row>
    <row r="770" spans="12:12">
      <c r="L770" s="200" t="str">
        <f>IFERROR(VLOOKUP($H770,PARAMETERS!$M$3:$M$1600,1,0),"---")</f>
        <v>---</v>
      </c>
    </row>
    <row r="771" spans="12:12">
      <c r="L771" s="200" t="str">
        <f>IFERROR(VLOOKUP($H771,PARAMETERS!$M$3:$M$1600,1,0),"---")</f>
        <v>---</v>
      </c>
    </row>
    <row r="772" spans="12:12">
      <c r="L772" s="200" t="str">
        <f>IFERROR(VLOOKUP($H772,PARAMETERS!$M$3:$M$1600,1,0),"---")</f>
        <v>---</v>
      </c>
    </row>
    <row r="773" spans="12:12">
      <c r="L773" s="200" t="str">
        <f>IFERROR(VLOOKUP($H773,PARAMETERS!$M$3:$M$1600,1,0),"---")</f>
        <v>---</v>
      </c>
    </row>
    <row r="774" spans="12:12">
      <c r="L774" s="200" t="str">
        <f>IFERROR(VLOOKUP($H774,PARAMETERS!$M$3:$M$1600,1,0),"---")</f>
        <v>---</v>
      </c>
    </row>
    <row r="775" spans="12:12">
      <c r="L775" s="200" t="str">
        <f>IFERROR(VLOOKUP($H775,PARAMETERS!$M$3:$M$1600,1,0),"---")</f>
        <v>---</v>
      </c>
    </row>
    <row r="776" spans="12:12">
      <c r="L776" s="200" t="str">
        <f>IFERROR(VLOOKUP($H776,PARAMETERS!$M$3:$M$1600,1,0),"---")</f>
        <v>---</v>
      </c>
    </row>
    <row r="777" spans="12:12">
      <c r="L777" s="200" t="str">
        <f>IFERROR(VLOOKUP($H777,PARAMETERS!$M$3:$M$1600,1,0),"---")</f>
        <v>---</v>
      </c>
    </row>
    <row r="778" spans="12:12">
      <c r="L778" s="200" t="str">
        <f>IFERROR(VLOOKUP($H778,PARAMETERS!$M$3:$M$1600,1,0),"---")</f>
        <v>---</v>
      </c>
    </row>
    <row r="779" spans="12:12">
      <c r="L779" s="200" t="str">
        <f>IFERROR(VLOOKUP($H779,PARAMETERS!$M$3:$M$1600,1,0),"---")</f>
        <v>---</v>
      </c>
    </row>
    <row r="780" spans="12:12">
      <c r="L780" s="200" t="str">
        <f>IFERROR(VLOOKUP($H780,PARAMETERS!$M$3:$M$1600,1,0),"---")</f>
        <v>---</v>
      </c>
    </row>
    <row r="781" spans="12:12">
      <c r="L781" s="200" t="str">
        <f>IFERROR(VLOOKUP($H781,PARAMETERS!$M$3:$M$1600,1,0),"---")</f>
        <v>---</v>
      </c>
    </row>
    <row r="782" spans="12:12">
      <c r="L782" s="200" t="str">
        <f>IFERROR(VLOOKUP($H782,PARAMETERS!$M$3:$M$1600,1,0),"---")</f>
        <v>---</v>
      </c>
    </row>
    <row r="783" spans="12:12">
      <c r="L783" s="200" t="str">
        <f>IFERROR(VLOOKUP($H783,PARAMETERS!$M$3:$M$1600,1,0),"---")</f>
        <v>---</v>
      </c>
    </row>
    <row r="784" spans="12:12">
      <c r="L784" s="200" t="str">
        <f>IFERROR(VLOOKUP($H784,PARAMETERS!$M$3:$M$1600,1,0),"---")</f>
        <v>---</v>
      </c>
    </row>
    <row r="785" spans="12:12">
      <c r="L785" s="200" t="str">
        <f>IFERROR(VLOOKUP($H785,PARAMETERS!$M$3:$M$1600,1,0),"---")</f>
        <v>---</v>
      </c>
    </row>
    <row r="786" spans="12:12">
      <c r="L786" s="200" t="str">
        <f>IFERROR(VLOOKUP($H786,PARAMETERS!$M$3:$M$1600,1,0),"---")</f>
        <v>---</v>
      </c>
    </row>
    <row r="787" spans="12:12">
      <c r="L787" s="200" t="str">
        <f>IFERROR(VLOOKUP($H787,PARAMETERS!$M$3:$M$1600,1,0),"---")</f>
        <v>---</v>
      </c>
    </row>
    <row r="788" spans="12:12">
      <c r="L788" s="200" t="str">
        <f>IFERROR(VLOOKUP($H788,PARAMETERS!$M$3:$M$1600,1,0),"---")</f>
        <v>---</v>
      </c>
    </row>
    <row r="789" spans="12:12">
      <c r="L789" s="200" t="str">
        <f>IFERROR(VLOOKUP($H789,PARAMETERS!$M$3:$M$1600,1,0),"---")</f>
        <v>---</v>
      </c>
    </row>
    <row r="790" spans="12:12">
      <c r="L790" s="200" t="str">
        <f>IFERROR(VLOOKUP($H790,PARAMETERS!$M$3:$M$1600,1,0),"---")</f>
        <v>---</v>
      </c>
    </row>
    <row r="791" spans="12:12">
      <c r="L791" s="200" t="str">
        <f>IFERROR(VLOOKUP($H791,PARAMETERS!$M$3:$M$1600,1,0),"---")</f>
        <v>---</v>
      </c>
    </row>
    <row r="792" spans="12:12">
      <c r="L792" s="200" t="str">
        <f>IFERROR(VLOOKUP($H792,PARAMETERS!$M$3:$M$1600,1,0),"---")</f>
        <v>---</v>
      </c>
    </row>
    <row r="793" spans="12:12">
      <c r="L793" s="200" t="str">
        <f>IFERROR(VLOOKUP($H793,PARAMETERS!$M$3:$M$1600,1,0),"---")</f>
        <v>---</v>
      </c>
    </row>
    <row r="794" spans="12:12">
      <c r="L794" s="200" t="str">
        <f>IFERROR(VLOOKUP($H794,PARAMETERS!$M$3:$M$1600,1,0),"---")</f>
        <v>---</v>
      </c>
    </row>
    <row r="795" spans="12:12">
      <c r="L795" s="200" t="str">
        <f>IFERROR(VLOOKUP($H795,PARAMETERS!$M$3:$M$1600,1,0),"---")</f>
        <v>---</v>
      </c>
    </row>
    <row r="796" spans="12:12">
      <c r="L796" s="200" t="str">
        <f>IFERROR(VLOOKUP($H796,PARAMETERS!$M$3:$M$1600,1,0),"---")</f>
        <v>---</v>
      </c>
    </row>
    <row r="797" spans="12:12">
      <c r="L797" s="200" t="str">
        <f>IFERROR(VLOOKUP($H797,PARAMETERS!$M$3:$M$1600,1,0),"---")</f>
        <v>---</v>
      </c>
    </row>
    <row r="798" spans="12:12">
      <c r="L798" s="200" t="str">
        <f>IFERROR(VLOOKUP($H798,PARAMETERS!$M$3:$M$1600,1,0),"---")</f>
        <v>---</v>
      </c>
    </row>
    <row r="799" spans="12:12">
      <c r="L799" s="200" t="str">
        <f>IFERROR(VLOOKUP($H799,PARAMETERS!$M$3:$M$1600,1,0),"---")</f>
        <v>---</v>
      </c>
    </row>
    <row r="800" spans="12:12">
      <c r="L800" s="200" t="str">
        <f>IFERROR(VLOOKUP($H800,PARAMETERS!$M$3:$M$1600,1,0),"---")</f>
        <v>---</v>
      </c>
    </row>
    <row r="801" spans="12:12">
      <c r="L801" s="200" t="str">
        <f>IFERROR(VLOOKUP($H801,PARAMETERS!$M$3:$M$1600,1,0),"---")</f>
        <v>---</v>
      </c>
    </row>
    <row r="802" spans="12:12">
      <c r="L802" s="200" t="str">
        <f>IFERROR(VLOOKUP($H802,PARAMETERS!$M$3:$M$1600,1,0),"---")</f>
        <v>---</v>
      </c>
    </row>
    <row r="803" spans="12:12">
      <c r="L803" s="200" t="str">
        <f>IFERROR(VLOOKUP($H803,PARAMETERS!$M$3:$M$1600,1,0),"---")</f>
        <v>---</v>
      </c>
    </row>
    <row r="804" spans="12:12">
      <c r="L804" s="200" t="str">
        <f>IFERROR(VLOOKUP($H804,PARAMETERS!$M$3:$M$1600,1,0),"---")</f>
        <v>---</v>
      </c>
    </row>
    <row r="805" spans="12:12">
      <c r="L805" s="200" t="str">
        <f>IFERROR(VLOOKUP($H805,PARAMETERS!$M$3:$M$1600,1,0),"---")</f>
        <v>---</v>
      </c>
    </row>
    <row r="806" spans="12:12">
      <c r="L806" s="200" t="str">
        <f>IFERROR(VLOOKUP($H806,PARAMETERS!$M$3:$M$1600,1,0),"---")</f>
        <v>---</v>
      </c>
    </row>
    <row r="807" spans="12:12">
      <c r="L807" s="200" t="str">
        <f>IFERROR(VLOOKUP($H807,PARAMETERS!$M$3:$M$1600,1,0),"---")</f>
        <v>---</v>
      </c>
    </row>
    <row r="808" spans="12:12">
      <c r="L808" s="200" t="str">
        <f>IFERROR(VLOOKUP($H808,PARAMETERS!$M$3:$M$1600,1,0),"---")</f>
        <v>---</v>
      </c>
    </row>
    <row r="809" spans="12:12">
      <c r="L809" s="200" t="str">
        <f>IFERROR(VLOOKUP($H809,PARAMETERS!$M$3:$M$1600,1,0),"---")</f>
        <v>---</v>
      </c>
    </row>
    <row r="810" spans="12:12">
      <c r="L810" s="200" t="str">
        <f>IFERROR(VLOOKUP($H810,PARAMETERS!$M$3:$M$1600,1,0),"---")</f>
        <v>---</v>
      </c>
    </row>
    <row r="811" spans="12:12">
      <c r="L811" s="200" t="str">
        <f>IFERROR(VLOOKUP($H811,PARAMETERS!$M$3:$M$1600,1,0),"---")</f>
        <v>---</v>
      </c>
    </row>
    <row r="812" spans="12:12">
      <c r="L812" s="200" t="str">
        <f>IFERROR(VLOOKUP($H812,PARAMETERS!$M$3:$M$1600,1,0),"---")</f>
        <v>---</v>
      </c>
    </row>
    <row r="813" spans="12:12">
      <c r="L813" s="200" t="str">
        <f>IFERROR(VLOOKUP($H813,PARAMETERS!$M$3:$M$1600,1,0),"---")</f>
        <v>---</v>
      </c>
    </row>
    <row r="814" spans="12:12">
      <c r="L814" s="200" t="str">
        <f>IFERROR(VLOOKUP($H814,PARAMETERS!$M$3:$M$1600,1,0),"---")</f>
        <v>---</v>
      </c>
    </row>
    <row r="815" spans="12:12">
      <c r="L815" s="200" t="str">
        <f>IFERROR(VLOOKUP($H815,PARAMETERS!$M$3:$M$1600,1,0),"---")</f>
        <v>---</v>
      </c>
    </row>
    <row r="816" spans="12:12">
      <c r="L816" s="200" t="str">
        <f>IFERROR(VLOOKUP($H816,PARAMETERS!$M$3:$M$1600,1,0),"---")</f>
        <v>---</v>
      </c>
    </row>
    <row r="817" spans="12:12">
      <c r="L817" s="200" t="str">
        <f>IFERROR(VLOOKUP($H817,PARAMETERS!$M$3:$M$1600,1,0),"---")</f>
        <v>---</v>
      </c>
    </row>
    <row r="818" spans="12:12">
      <c r="L818" s="200" t="str">
        <f>IFERROR(VLOOKUP($H818,PARAMETERS!$M$3:$M$1600,1,0),"---")</f>
        <v>---</v>
      </c>
    </row>
    <row r="819" spans="12:12">
      <c r="L819" s="200" t="str">
        <f>IFERROR(VLOOKUP($H819,PARAMETERS!$M$3:$M$1600,1,0),"---")</f>
        <v>---</v>
      </c>
    </row>
    <row r="820" spans="12:12">
      <c r="L820" s="200" t="str">
        <f>IFERROR(VLOOKUP($H820,PARAMETERS!$M$3:$M$1600,1,0),"---")</f>
        <v>---</v>
      </c>
    </row>
    <row r="821" spans="12:12">
      <c r="L821" s="200" t="str">
        <f>IFERROR(VLOOKUP($H821,PARAMETERS!$M$3:$M$1600,1,0),"---")</f>
        <v>---</v>
      </c>
    </row>
    <row r="822" spans="12:12">
      <c r="L822" s="200" t="str">
        <f>IFERROR(VLOOKUP($H822,PARAMETERS!$M$3:$M$1600,1,0),"---")</f>
        <v>---</v>
      </c>
    </row>
    <row r="823" spans="12:12">
      <c r="L823" s="200" t="str">
        <f>IFERROR(VLOOKUP($H823,PARAMETERS!$M$3:$M$1600,1,0),"---")</f>
        <v>---</v>
      </c>
    </row>
    <row r="824" spans="12:12">
      <c r="L824" s="200" t="str">
        <f>IFERROR(VLOOKUP($H824,PARAMETERS!$M$3:$M$1600,1,0),"---")</f>
        <v>---</v>
      </c>
    </row>
    <row r="825" spans="12:12">
      <c r="L825" s="200" t="str">
        <f>IFERROR(VLOOKUP($H825,PARAMETERS!$M$3:$M$1600,1,0),"---")</f>
        <v>---</v>
      </c>
    </row>
    <row r="826" spans="12:12">
      <c r="L826" s="200" t="str">
        <f>IFERROR(VLOOKUP($H826,PARAMETERS!$M$3:$M$1600,1,0),"---")</f>
        <v>---</v>
      </c>
    </row>
    <row r="827" spans="12:12">
      <c r="L827" s="200" t="str">
        <f>IFERROR(VLOOKUP($H827,PARAMETERS!$M$3:$M$1600,1,0),"---")</f>
        <v>---</v>
      </c>
    </row>
    <row r="828" spans="12:12">
      <c r="L828" s="200" t="str">
        <f>IFERROR(VLOOKUP($H828,PARAMETERS!$M$3:$M$1600,1,0),"---")</f>
        <v>---</v>
      </c>
    </row>
    <row r="829" spans="12:12">
      <c r="L829" s="200" t="str">
        <f>IFERROR(VLOOKUP($H829,PARAMETERS!$M$3:$M$1600,1,0),"---")</f>
        <v>---</v>
      </c>
    </row>
    <row r="830" spans="12:12">
      <c r="L830" s="200" t="str">
        <f>IFERROR(VLOOKUP($H830,PARAMETERS!$M$3:$M$1600,1,0),"---")</f>
        <v>---</v>
      </c>
    </row>
    <row r="831" spans="12:12">
      <c r="L831" s="200" t="str">
        <f>IFERROR(VLOOKUP($H831,PARAMETERS!$M$3:$M$1600,1,0),"---")</f>
        <v>---</v>
      </c>
    </row>
    <row r="832" spans="12:12">
      <c r="L832" s="200" t="str">
        <f>IFERROR(VLOOKUP($H832,PARAMETERS!$M$3:$M$1600,1,0),"---")</f>
        <v>---</v>
      </c>
    </row>
    <row r="833" spans="12:12">
      <c r="L833" s="200" t="str">
        <f>IFERROR(VLOOKUP($H833,PARAMETERS!$M$3:$M$1600,1,0),"---")</f>
        <v>---</v>
      </c>
    </row>
    <row r="834" spans="12:12">
      <c r="L834" s="200" t="str">
        <f>IFERROR(VLOOKUP($H834,PARAMETERS!$M$3:$M$1600,1,0),"---")</f>
        <v>---</v>
      </c>
    </row>
    <row r="835" spans="12:12">
      <c r="L835" s="200" t="str">
        <f>IFERROR(VLOOKUP($H835,PARAMETERS!$M$3:$M$1600,1,0),"---")</f>
        <v>---</v>
      </c>
    </row>
    <row r="836" spans="12:12">
      <c r="L836" s="200" t="str">
        <f>IFERROR(VLOOKUP($H836,PARAMETERS!$M$3:$M$1600,1,0),"---")</f>
        <v>---</v>
      </c>
    </row>
    <row r="837" spans="12:12">
      <c r="L837" s="200" t="str">
        <f>IFERROR(VLOOKUP($H837,PARAMETERS!$M$3:$M$1600,1,0),"---")</f>
        <v>---</v>
      </c>
    </row>
    <row r="838" spans="12:12">
      <c r="L838" s="200" t="str">
        <f>IFERROR(VLOOKUP($H838,PARAMETERS!$M$3:$M$1600,1,0),"---")</f>
        <v>---</v>
      </c>
    </row>
    <row r="839" spans="12:12">
      <c r="L839" s="200" t="str">
        <f>IFERROR(VLOOKUP($H839,PARAMETERS!$M$3:$M$1600,1,0),"---")</f>
        <v>---</v>
      </c>
    </row>
    <row r="840" spans="12:12">
      <c r="L840" s="200" t="str">
        <f>IFERROR(VLOOKUP($H840,PARAMETERS!$M$3:$M$1600,1,0),"---")</f>
        <v>---</v>
      </c>
    </row>
    <row r="841" spans="12:12">
      <c r="L841" s="200" t="str">
        <f>IFERROR(VLOOKUP($H841,PARAMETERS!$M$3:$M$1600,1,0),"---")</f>
        <v>---</v>
      </c>
    </row>
    <row r="842" spans="12:12">
      <c r="L842" s="200" t="str">
        <f>IFERROR(VLOOKUP($H842,PARAMETERS!$M$3:$M$1600,1,0),"---")</f>
        <v>---</v>
      </c>
    </row>
    <row r="843" spans="12:12">
      <c r="L843" s="200" t="str">
        <f>IFERROR(VLOOKUP($H843,PARAMETERS!$M$3:$M$1600,1,0),"---")</f>
        <v>---</v>
      </c>
    </row>
    <row r="844" spans="12:12">
      <c r="L844" s="200" t="str">
        <f>IFERROR(VLOOKUP($H844,PARAMETERS!$M$3:$M$1600,1,0),"---")</f>
        <v>---</v>
      </c>
    </row>
    <row r="845" spans="12:12">
      <c r="L845" s="200" t="str">
        <f>IFERROR(VLOOKUP($H845,PARAMETERS!$M$3:$M$1600,1,0),"---")</f>
        <v>---</v>
      </c>
    </row>
    <row r="846" spans="12:12">
      <c r="L846" s="200" t="str">
        <f>IFERROR(VLOOKUP($H846,PARAMETERS!$M$3:$M$1600,1,0),"---")</f>
        <v>---</v>
      </c>
    </row>
    <row r="847" spans="12:12">
      <c r="L847" s="200" t="str">
        <f>IFERROR(VLOOKUP($H847,PARAMETERS!$M$3:$M$1600,1,0),"---")</f>
        <v>---</v>
      </c>
    </row>
    <row r="848" spans="12:12">
      <c r="L848" s="200" t="str">
        <f>IFERROR(VLOOKUP($H848,PARAMETERS!$M$3:$M$1600,1,0),"---")</f>
        <v>---</v>
      </c>
    </row>
    <row r="849" spans="12:12">
      <c r="L849" s="200" t="str">
        <f>IFERROR(VLOOKUP($H849,PARAMETERS!$M$3:$M$1600,1,0),"---")</f>
        <v>---</v>
      </c>
    </row>
    <row r="850" spans="12:12">
      <c r="L850" s="200" t="str">
        <f>IFERROR(VLOOKUP($H850,PARAMETERS!$M$3:$M$1600,1,0),"---")</f>
        <v>---</v>
      </c>
    </row>
    <row r="851" spans="12:12">
      <c r="L851" s="200" t="str">
        <f>IFERROR(VLOOKUP($H851,PARAMETERS!$M$3:$M$1600,1,0),"---")</f>
        <v>---</v>
      </c>
    </row>
    <row r="852" spans="12:12">
      <c r="L852" s="200" t="str">
        <f>IFERROR(VLOOKUP($H852,PARAMETERS!$M$3:$M$1600,1,0),"---")</f>
        <v>---</v>
      </c>
    </row>
    <row r="853" spans="12:12">
      <c r="L853" s="200" t="str">
        <f>IFERROR(VLOOKUP($H853,PARAMETERS!$M$3:$M$1600,1,0),"---")</f>
        <v>---</v>
      </c>
    </row>
    <row r="854" spans="12:12">
      <c r="L854" s="200" t="str">
        <f>IFERROR(VLOOKUP($H854,PARAMETERS!$M$3:$M$1600,1,0),"---")</f>
        <v>---</v>
      </c>
    </row>
  </sheetData>
  <pageMargins left="0.7" right="0.7" top="0.78740157499999996" bottom="0.78740157499999996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Tabelle9"/>
  <dimension ref="B2:D915"/>
  <sheetViews>
    <sheetView topLeftCell="A899" workbookViewId="0">
      <selection activeCell="D1" sqref="D1:D1048576"/>
    </sheetView>
  </sheetViews>
  <sheetFormatPr baseColWidth="10" defaultRowHeight="15"/>
  <cols>
    <col min="2" max="2" width="32.140625" bestFit="1" customWidth="1"/>
    <col min="3" max="3" width="35.28515625" style="220" bestFit="1" customWidth="1"/>
    <col min="4" max="4" width="10.28515625" bestFit="1" customWidth="1"/>
  </cols>
  <sheetData>
    <row r="2" spans="2:4">
      <c r="B2" t="s">
        <v>88</v>
      </c>
      <c r="C2" s="220">
        <v>0.76</v>
      </c>
      <c r="D2" t="s">
        <v>26</v>
      </c>
    </row>
    <row r="3" spans="2:4">
      <c r="B3" t="s">
        <v>50</v>
      </c>
      <c r="C3" s="220">
        <v>2.1349999999999998</v>
      </c>
      <c r="D3" t="s">
        <v>26</v>
      </c>
    </row>
    <row r="4" spans="2:4">
      <c r="B4" t="s">
        <v>92</v>
      </c>
      <c r="C4" s="220">
        <v>1</v>
      </c>
      <c r="D4" t="s">
        <v>26</v>
      </c>
    </row>
    <row r="5" spans="2:4">
      <c r="B5" t="s">
        <v>1548</v>
      </c>
      <c r="D5" t="s">
        <v>59</v>
      </c>
    </row>
    <row r="6" spans="2:4">
      <c r="B6" t="s">
        <v>1567</v>
      </c>
      <c r="D6" t="s">
        <v>59</v>
      </c>
    </row>
    <row r="7" spans="2:4">
      <c r="B7" t="s">
        <v>1574</v>
      </c>
      <c r="D7" t="s">
        <v>20</v>
      </c>
    </row>
    <row r="8" spans="2:4">
      <c r="B8" t="s">
        <v>1589</v>
      </c>
      <c r="C8" s="220">
        <v>1</v>
      </c>
      <c r="D8" t="s">
        <v>49</v>
      </c>
    </row>
    <row r="9" spans="2:4">
      <c r="B9" t="s">
        <v>1602</v>
      </c>
      <c r="D9" t="s">
        <v>59</v>
      </c>
    </row>
    <row r="10" spans="2:4">
      <c r="B10" t="s">
        <v>1604</v>
      </c>
      <c r="C10" s="220">
        <v>0</v>
      </c>
      <c r="D10" t="s">
        <v>46</v>
      </c>
    </row>
    <row r="11" spans="2:4">
      <c r="B11" t="s">
        <v>1606</v>
      </c>
      <c r="C11" s="220">
        <v>3</v>
      </c>
      <c r="D11" t="s">
        <v>46</v>
      </c>
    </row>
    <row r="12" spans="2:4">
      <c r="B12" t="s">
        <v>182</v>
      </c>
      <c r="C12" s="220">
        <v>0</v>
      </c>
      <c r="D12" t="s">
        <v>49</v>
      </c>
    </row>
    <row r="13" spans="2:4">
      <c r="B13" t="s">
        <v>183</v>
      </c>
      <c r="C13" s="220">
        <v>1</v>
      </c>
      <c r="D13" t="s">
        <v>26</v>
      </c>
    </row>
    <row r="14" spans="2:4">
      <c r="B14" t="s">
        <v>184</v>
      </c>
      <c r="C14" s="220">
        <v>0</v>
      </c>
      <c r="D14" t="s">
        <v>26</v>
      </c>
    </row>
    <row r="15" spans="2:4">
      <c r="B15" t="s">
        <v>1611</v>
      </c>
      <c r="C15" s="220">
        <v>3</v>
      </c>
      <c r="D15" t="s">
        <v>46</v>
      </c>
    </row>
    <row r="16" spans="2:4">
      <c r="B16" t="s">
        <v>1613</v>
      </c>
      <c r="C16" s="220">
        <v>0</v>
      </c>
      <c r="D16" t="s">
        <v>33</v>
      </c>
    </row>
    <row r="17" spans="2:4">
      <c r="B17" t="s">
        <v>1615</v>
      </c>
      <c r="C17" s="220">
        <v>1</v>
      </c>
      <c r="D17" t="s">
        <v>49</v>
      </c>
    </row>
    <row r="18" spans="2:4">
      <c r="B18" t="s">
        <v>1617</v>
      </c>
      <c r="C18" s="220">
        <v>0</v>
      </c>
      <c r="D18" t="s">
        <v>49</v>
      </c>
    </row>
    <row r="19" spans="2:4">
      <c r="B19" t="s">
        <v>1619</v>
      </c>
      <c r="C19" s="220">
        <v>1</v>
      </c>
      <c r="D19" t="s">
        <v>46</v>
      </c>
    </row>
    <row r="20" spans="2:4">
      <c r="B20" t="s">
        <v>1622</v>
      </c>
      <c r="C20" s="220" t="s">
        <v>35</v>
      </c>
      <c r="D20" t="s">
        <v>46</v>
      </c>
    </row>
    <row r="21" spans="2:4">
      <c r="B21" t="s">
        <v>1624</v>
      </c>
      <c r="C21" s="220" t="s">
        <v>35</v>
      </c>
      <c r="D21" t="s">
        <v>26</v>
      </c>
    </row>
    <row r="22" spans="2:4">
      <c r="B22" t="s">
        <v>1626</v>
      </c>
      <c r="C22" s="220">
        <v>0</v>
      </c>
      <c r="D22" t="s">
        <v>46</v>
      </c>
    </row>
    <row r="23" spans="2:4">
      <c r="B23" t="s">
        <v>1628</v>
      </c>
      <c r="C23" s="220">
        <v>1</v>
      </c>
      <c r="D23" t="s">
        <v>46</v>
      </c>
    </row>
    <row r="24" spans="2:4">
      <c r="B24" t="s">
        <v>1630</v>
      </c>
      <c r="C24" s="220">
        <v>1</v>
      </c>
      <c r="D24" t="s">
        <v>46</v>
      </c>
    </row>
    <row r="25" spans="2:4">
      <c r="B25" t="s">
        <v>1632</v>
      </c>
      <c r="C25" s="220">
        <v>0</v>
      </c>
      <c r="D25" t="s">
        <v>26</v>
      </c>
    </row>
    <row r="26" spans="2:4">
      <c r="B26" t="s">
        <v>1634</v>
      </c>
      <c r="C26" s="220">
        <v>1</v>
      </c>
      <c r="D26" t="s">
        <v>46</v>
      </c>
    </row>
    <row r="27" spans="2:4">
      <c r="B27" t="s">
        <v>1636</v>
      </c>
      <c r="C27" s="220">
        <v>2</v>
      </c>
      <c r="D27" t="s">
        <v>46</v>
      </c>
    </row>
    <row r="28" spans="2:4">
      <c r="B28" t="s">
        <v>1638</v>
      </c>
      <c r="C28" s="220">
        <v>0</v>
      </c>
      <c r="D28" t="s">
        <v>46</v>
      </c>
    </row>
    <row r="29" spans="2:4">
      <c r="B29" t="s">
        <v>1640</v>
      </c>
      <c r="C29" s="220">
        <v>0</v>
      </c>
      <c r="D29" t="s">
        <v>49</v>
      </c>
    </row>
    <row r="30" spans="2:4">
      <c r="B30" t="s">
        <v>1644</v>
      </c>
      <c r="C30" s="220" t="s">
        <v>136</v>
      </c>
      <c r="D30" t="s">
        <v>20</v>
      </c>
    </row>
    <row r="31" spans="2:4">
      <c r="B31" t="s">
        <v>1647</v>
      </c>
      <c r="C31" s="220" t="s">
        <v>136</v>
      </c>
      <c r="D31" t="s">
        <v>20</v>
      </c>
    </row>
    <row r="32" spans="2:4">
      <c r="B32" t="s">
        <v>1657</v>
      </c>
      <c r="C32" s="220">
        <v>0</v>
      </c>
      <c r="D32" t="s">
        <v>26</v>
      </c>
    </row>
    <row r="33" spans="2:4">
      <c r="B33" t="s">
        <v>1664</v>
      </c>
      <c r="C33" s="220">
        <v>0</v>
      </c>
      <c r="D33" t="s">
        <v>26</v>
      </c>
    </row>
    <row r="34" spans="2:4">
      <c r="B34" t="s">
        <v>1668</v>
      </c>
      <c r="C34" s="220">
        <v>0</v>
      </c>
      <c r="D34" t="s">
        <v>26</v>
      </c>
    </row>
    <row r="35" spans="2:4">
      <c r="B35" t="s">
        <v>1695</v>
      </c>
      <c r="C35" s="220">
        <v>0</v>
      </c>
      <c r="D35" t="s">
        <v>49</v>
      </c>
    </row>
    <row r="36" spans="2:4">
      <c r="B36" t="s">
        <v>1714</v>
      </c>
      <c r="D36" t="s">
        <v>59</v>
      </c>
    </row>
    <row r="37" spans="2:4">
      <c r="B37" t="s">
        <v>1722</v>
      </c>
      <c r="C37" s="220">
        <v>3</v>
      </c>
      <c r="D37" t="s">
        <v>46</v>
      </c>
    </row>
    <row r="38" spans="2:4">
      <c r="B38" t="s">
        <v>1724</v>
      </c>
      <c r="C38" s="220">
        <v>0</v>
      </c>
      <c r="D38" t="s">
        <v>26</v>
      </c>
    </row>
    <row r="39" spans="2:4">
      <c r="B39" t="s">
        <v>1744</v>
      </c>
      <c r="D39" t="s">
        <v>59</v>
      </c>
    </row>
    <row r="40" spans="2:4">
      <c r="B40" t="s">
        <v>1746</v>
      </c>
      <c r="C40" s="220">
        <v>0</v>
      </c>
      <c r="D40" t="s">
        <v>49</v>
      </c>
    </row>
    <row r="41" spans="2:4">
      <c r="B41" t="s">
        <v>1748</v>
      </c>
      <c r="C41" s="220">
        <v>2</v>
      </c>
      <c r="D41" t="s">
        <v>46</v>
      </c>
    </row>
    <row r="42" spans="2:4">
      <c r="B42" t="s">
        <v>1750</v>
      </c>
      <c r="C42" s="220" t="s">
        <v>1752</v>
      </c>
      <c r="D42" t="s">
        <v>20</v>
      </c>
    </row>
    <row r="43" spans="2:4">
      <c r="B43" t="s">
        <v>1754</v>
      </c>
      <c r="C43" s="220">
        <v>1</v>
      </c>
      <c r="D43" t="s">
        <v>46</v>
      </c>
    </row>
    <row r="44" spans="2:4">
      <c r="B44" t="s">
        <v>1756</v>
      </c>
      <c r="C44" s="220">
        <v>1</v>
      </c>
      <c r="D44" t="s">
        <v>49</v>
      </c>
    </row>
    <row r="45" spans="2:4">
      <c r="B45" t="s">
        <v>1758</v>
      </c>
      <c r="C45" s="220">
        <v>0</v>
      </c>
      <c r="D45" t="s">
        <v>26</v>
      </c>
    </row>
    <row r="46" spans="2:4">
      <c r="B46" t="s">
        <v>1760</v>
      </c>
      <c r="C46" s="220">
        <v>1</v>
      </c>
      <c r="D46" t="s">
        <v>49</v>
      </c>
    </row>
    <row r="47" spans="2:4">
      <c r="B47" t="s">
        <v>1762</v>
      </c>
      <c r="C47" s="220">
        <v>0</v>
      </c>
      <c r="D47" t="s">
        <v>26</v>
      </c>
    </row>
    <row r="48" spans="2:4">
      <c r="B48" t="s">
        <v>1764</v>
      </c>
      <c r="C48" s="220">
        <v>0</v>
      </c>
      <c r="D48" t="s">
        <v>26</v>
      </c>
    </row>
    <row r="49" spans="2:4">
      <c r="B49" t="s">
        <v>1766</v>
      </c>
      <c r="C49" s="220">
        <v>0.03</v>
      </c>
      <c r="D49" t="s">
        <v>26</v>
      </c>
    </row>
    <row r="50" spans="2:4">
      <c r="B50" t="s">
        <v>1768</v>
      </c>
      <c r="C50" s="220">
        <v>75</v>
      </c>
      <c r="D50" t="s">
        <v>33</v>
      </c>
    </row>
    <row r="51" spans="2:4">
      <c r="B51" t="s">
        <v>1770</v>
      </c>
      <c r="C51" s="220">
        <v>0</v>
      </c>
      <c r="D51" t="s">
        <v>26</v>
      </c>
    </row>
    <row r="52" spans="2:4">
      <c r="B52" t="s">
        <v>1772</v>
      </c>
      <c r="C52" s="220">
        <v>0.24</v>
      </c>
      <c r="D52" t="s">
        <v>26</v>
      </c>
    </row>
    <row r="53" spans="2:4">
      <c r="B53" t="s">
        <v>1774</v>
      </c>
      <c r="C53" s="220">
        <v>0.115</v>
      </c>
      <c r="D53" t="s">
        <v>26</v>
      </c>
    </row>
    <row r="54" spans="2:4">
      <c r="B54" t="s">
        <v>1776</v>
      </c>
      <c r="C54" s="220">
        <v>0</v>
      </c>
      <c r="D54" t="s">
        <v>26</v>
      </c>
    </row>
    <row r="55" spans="2:4">
      <c r="B55" t="s">
        <v>1778</v>
      </c>
      <c r="C55" s="220">
        <v>5.1999999999999998E-2</v>
      </c>
      <c r="D55" t="s">
        <v>26</v>
      </c>
    </row>
    <row r="56" spans="2:4">
      <c r="B56" t="s">
        <v>1779</v>
      </c>
      <c r="C56" s="220">
        <v>0.01</v>
      </c>
      <c r="D56" t="s">
        <v>26</v>
      </c>
    </row>
    <row r="57" spans="2:4">
      <c r="B57" t="s">
        <v>1780</v>
      </c>
      <c r="C57" s="220">
        <v>0.1</v>
      </c>
      <c r="D57" t="s">
        <v>26</v>
      </c>
    </row>
    <row r="58" spans="2:4">
      <c r="B58" t="s">
        <v>1782</v>
      </c>
      <c r="C58" s="220">
        <v>0</v>
      </c>
      <c r="D58" t="s">
        <v>26</v>
      </c>
    </row>
    <row r="59" spans="2:4">
      <c r="B59" t="s">
        <v>1784</v>
      </c>
      <c r="C59" s="220">
        <v>0.01</v>
      </c>
      <c r="D59" t="s">
        <v>26</v>
      </c>
    </row>
    <row r="60" spans="2:4">
      <c r="B60" t="s">
        <v>1786</v>
      </c>
      <c r="C60" s="220">
        <v>0</v>
      </c>
      <c r="D60" t="s">
        <v>49</v>
      </c>
    </row>
    <row r="61" spans="2:4">
      <c r="B61" t="s">
        <v>1788</v>
      </c>
      <c r="C61" s="220">
        <v>7</v>
      </c>
      <c r="D61" t="s">
        <v>54</v>
      </c>
    </row>
    <row r="62" spans="2:4">
      <c r="B62" t="s">
        <v>1790</v>
      </c>
      <c r="C62" s="220">
        <v>3</v>
      </c>
      <c r="D62" t="s">
        <v>55</v>
      </c>
    </row>
    <row r="63" spans="2:4">
      <c r="B63" t="s">
        <v>1792</v>
      </c>
      <c r="C63" s="220">
        <v>91</v>
      </c>
      <c r="D63" t="s">
        <v>55</v>
      </c>
    </row>
    <row r="64" spans="2:4">
      <c r="B64" t="s">
        <v>1794</v>
      </c>
      <c r="C64" s="220">
        <v>10</v>
      </c>
      <c r="D64" t="s">
        <v>55</v>
      </c>
    </row>
    <row r="65" spans="2:4">
      <c r="B65" t="s">
        <v>1796</v>
      </c>
      <c r="C65" s="220">
        <v>35</v>
      </c>
      <c r="D65" t="s">
        <v>52</v>
      </c>
    </row>
    <row r="66" spans="2:4">
      <c r="B66" t="s">
        <v>1798</v>
      </c>
      <c r="C66" s="220">
        <v>48</v>
      </c>
      <c r="D66" t="s">
        <v>52</v>
      </c>
    </row>
    <row r="67" spans="2:4">
      <c r="B67" t="s">
        <v>1800</v>
      </c>
      <c r="C67" s="220">
        <v>5</v>
      </c>
      <c r="D67" t="s">
        <v>52</v>
      </c>
    </row>
    <row r="68" spans="2:4">
      <c r="B68" t="s">
        <v>1802</v>
      </c>
      <c r="C68" s="220">
        <v>122</v>
      </c>
      <c r="D68" t="s">
        <v>52</v>
      </c>
    </row>
    <row r="69" spans="2:4">
      <c r="B69" t="s">
        <v>1804</v>
      </c>
      <c r="D69" t="s">
        <v>59</v>
      </c>
    </row>
    <row r="70" spans="2:4">
      <c r="B70" t="s">
        <v>1811</v>
      </c>
      <c r="C70" s="220">
        <v>0</v>
      </c>
      <c r="D70" t="s">
        <v>49</v>
      </c>
    </row>
    <row r="71" spans="2:4">
      <c r="B71" t="s">
        <v>1872</v>
      </c>
      <c r="D71" t="s">
        <v>59</v>
      </c>
    </row>
    <row r="72" spans="2:4">
      <c r="B72" t="s">
        <v>1875</v>
      </c>
      <c r="C72" s="220" t="s">
        <v>1873</v>
      </c>
      <c r="D72" t="s">
        <v>20</v>
      </c>
    </row>
    <row r="73" spans="2:4">
      <c r="B73" t="s">
        <v>1878</v>
      </c>
      <c r="C73" s="220">
        <v>3</v>
      </c>
      <c r="D73" t="s">
        <v>46</v>
      </c>
    </row>
    <row r="74" spans="2:4">
      <c r="B74" t="s">
        <v>1879</v>
      </c>
      <c r="C74" s="220" t="s">
        <v>1881</v>
      </c>
      <c r="D74" t="s">
        <v>20</v>
      </c>
    </row>
    <row r="75" spans="2:4">
      <c r="B75" t="s">
        <v>1882</v>
      </c>
      <c r="C75" s="220">
        <v>2</v>
      </c>
      <c r="D75" t="s">
        <v>46</v>
      </c>
    </row>
    <row r="76" spans="2:4">
      <c r="B76" t="s">
        <v>1883</v>
      </c>
      <c r="C76" s="220">
        <v>0</v>
      </c>
      <c r="D76" t="s">
        <v>26</v>
      </c>
    </row>
    <row r="77" spans="2:4">
      <c r="B77" t="s">
        <v>1885</v>
      </c>
      <c r="C77" s="220">
        <v>0</v>
      </c>
      <c r="D77" t="s">
        <v>26</v>
      </c>
    </row>
    <row r="78" spans="2:4">
      <c r="B78" t="s">
        <v>1886</v>
      </c>
      <c r="C78" s="220" t="s">
        <v>1873</v>
      </c>
      <c r="D78" t="s">
        <v>20</v>
      </c>
    </row>
    <row r="79" spans="2:4">
      <c r="B79" t="s">
        <v>1889</v>
      </c>
      <c r="C79" s="220">
        <v>3</v>
      </c>
      <c r="D79" t="s">
        <v>46</v>
      </c>
    </row>
    <row r="80" spans="2:4">
      <c r="B80" t="s">
        <v>1890</v>
      </c>
      <c r="C80" s="220" t="s">
        <v>1873</v>
      </c>
      <c r="D80" t="s">
        <v>20</v>
      </c>
    </row>
    <row r="81" spans="2:4">
      <c r="B81" t="s">
        <v>1892</v>
      </c>
      <c r="C81" s="220">
        <v>3</v>
      </c>
      <c r="D81" t="s">
        <v>46</v>
      </c>
    </row>
    <row r="82" spans="2:4">
      <c r="B82" t="s">
        <v>1893</v>
      </c>
      <c r="C82" s="220">
        <v>0</v>
      </c>
      <c r="D82" t="s">
        <v>49</v>
      </c>
    </row>
    <row r="83" spans="2:4">
      <c r="B83" t="s">
        <v>1895</v>
      </c>
      <c r="C83" s="220">
        <v>5.5E-2</v>
      </c>
      <c r="D83" t="s">
        <v>26</v>
      </c>
    </row>
    <row r="84" spans="2:4">
      <c r="B84" t="s">
        <v>1897</v>
      </c>
      <c r="C84" s="220">
        <v>5.5E-2</v>
      </c>
      <c r="D84" t="s">
        <v>26</v>
      </c>
    </row>
    <row r="85" spans="2:4">
      <c r="B85" t="s">
        <v>1899</v>
      </c>
      <c r="C85" s="220">
        <v>0.06</v>
      </c>
      <c r="D85" t="s">
        <v>26</v>
      </c>
    </row>
    <row r="86" spans="2:4">
      <c r="B86" t="s">
        <v>1901</v>
      </c>
      <c r="C86" s="220">
        <v>0.06</v>
      </c>
      <c r="D86" t="s">
        <v>26</v>
      </c>
    </row>
    <row r="87" spans="2:4">
      <c r="B87" t="s">
        <v>1903</v>
      </c>
      <c r="C87" s="220">
        <v>5.5E-2</v>
      </c>
      <c r="D87" t="s">
        <v>26</v>
      </c>
    </row>
    <row r="88" spans="2:4">
      <c r="B88" t="s">
        <v>1904</v>
      </c>
      <c r="C88" s="220">
        <v>5.5E-2</v>
      </c>
      <c r="D88" t="s">
        <v>26</v>
      </c>
    </row>
    <row r="89" spans="2:4">
      <c r="B89" t="s">
        <v>1905</v>
      </c>
      <c r="C89" s="220">
        <v>5.5E-2</v>
      </c>
      <c r="D89" t="s">
        <v>26</v>
      </c>
    </row>
    <row r="90" spans="2:4">
      <c r="B90" t="s">
        <v>1907</v>
      </c>
      <c r="C90" s="220">
        <v>5.5E-2</v>
      </c>
      <c r="D90" t="s">
        <v>26</v>
      </c>
    </row>
    <row r="91" spans="2:4">
      <c r="B91" t="s">
        <v>1909</v>
      </c>
      <c r="C91" s="220">
        <v>0.06</v>
      </c>
      <c r="D91" t="s">
        <v>26</v>
      </c>
    </row>
    <row r="92" spans="2:4">
      <c r="B92" t="s">
        <v>1911</v>
      </c>
      <c r="C92" s="220">
        <v>0</v>
      </c>
      <c r="D92" t="s">
        <v>26</v>
      </c>
    </row>
    <row r="93" spans="2:4">
      <c r="B93" t="s">
        <v>1913</v>
      </c>
      <c r="C93" s="220">
        <v>5.5E-2</v>
      </c>
      <c r="D93" t="s">
        <v>26</v>
      </c>
    </row>
    <row r="94" spans="2:4">
      <c r="B94" t="s">
        <v>1914</v>
      </c>
      <c r="C94" s="220">
        <v>5.5E-2</v>
      </c>
      <c r="D94" t="s">
        <v>26</v>
      </c>
    </row>
    <row r="95" spans="2:4">
      <c r="B95" t="s">
        <v>1915</v>
      </c>
      <c r="C95" s="220">
        <v>0.05</v>
      </c>
      <c r="D95" t="s">
        <v>26</v>
      </c>
    </row>
    <row r="96" spans="2:4">
      <c r="B96" t="s">
        <v>1917</v>
      </c>
      <c r="C96" s="220" t="s">
        <v>1919</v>
      </c>
      <c r="D96" t="s">
        <v>20</v>
      </c>
    </row>
    <row r="97" spans="2:4">
      <c r="B97" t="s">
        <v>1920</v>
      </c>
      <c r="C97" s="220">
        <v>1</v>
      </c>
      <c r="D97" t="s">
        <v>46</v>
      </c>
    </row>
    <row r="98" spans="2:4">
      <c r="B98" t="s">
        <v>1921</v>
      </c>
      <c r="C98" s="220">
        <v>20</v>
      </c>
      <c r="D98" t="s">
        <v>33</v>
      </c>
    </row>
    <row r="99" spans="2:4">
      <c r="B99" t="s">
        <v>1923</v>
      </c>
      <c r="C99" s="220">
        <v>20</v>
      </c>
      <c r="D99" t="s">
        <v>33</v>
      </c>
    </row>
    <row r="100" spans="2:4">
      <c r="B100" t="s">
        <v>1925</v>
      </c>
      <c r="C100" s="220">
        <v>20</v>
      </c>
      <c r="D100" t="s">
        <v>33</v>
      </c>
    </row>
    <row r="101" spans="2:4">
      <c r="B101" t="s">
        <v>1927</v>
      </c>
      <c r="C101" s="220">
        <v>0</v>
      </c>
      <c r="D101" t="s">
        <v>33</v>
      </c>
    </row>
    <row r="102" spans="2:4">
      <c r="B102" t="s">
        <v>1929</v>
      </c>
      <c r="C102" s="220">
        <v>-1</v>
      </c>
      <c r="D102" t="s">
        <v>26</v>
      </c>
    </row>
    <row r="103" spans="2:4">
      <c r="B103" t="s">
        <v>1931</v>
      </c>
      <c r="C103" s="220">
        <v>-1</v>
      </c>
      <c r="D103" t="s">
        <v>26</v>
      </c>
    </row>
    <row r="104" spans="2:4">
      <c r="B104" t="s">
        <v>1933</v>
      </c>
      <c r="C104" s="220">
        <v>-1</v>
      </c>
      <c r="D104" t="s">
        <v>26</v>
      </c>
    </row>
    <row r="105" spans="2:4">
      <c r="B105" t="s">
        <v>1935</v>
      </c>
      <c r="C105" s="220">
        <v>-1</v>
      </c>
      <c r="D105" t="s">
        <v>26</v>
      </c>
    </row>
    <row r="106" spans="2:4">
      <c r="B106" t="s">
        <v>1937</v>
      </c>
      <c r="C106" s="220">
        <v>20</v>
      </c>
      <c r="D106" t="s">
        <v>33</v>
      </c>
    </row>
    <row r="107" spans="2:4">
      <c r="B107" t="s">
        <v>1939</v>
      </c>
      <c r="C107" s="220">
        <v>20</v>
      </c>
      <c r="D107" t="s">
        <v>33</v>
      </c>
    </row>
    <row r="108" spans="2:4">
      <c r="B108" t="s">
        <v>1941</v>
      </c>
      <c r="C108" s="220">
        <v>20</v>
      </c>
      <c r="D108" t="s">
        <v>33</v>
      </c>
    </row>
    <row r="109" spans="2:4">
      <c r="B109" t="s">
        <v>1943</v>
      </c>
      <c r="C109" s="220">
        <v>0</v>
      </c>
      <c r="D109" t="s">
        <v>33</v>
      </c>
    </row>
    <row r="110" spans="2:4">
      <c r="B110" t="s">
        <v>1945</v>
      </c>
      <c r="C110" s="220">
        <v>0</v>
      </c>
      <c r="D110" t="s">
        <v>49</v>
      </c>
    </row>
    <row r="111" spans="2:4">
      <c r="B111" t="s">
        <v>1946</v>
      </c>
      <c r="C111" s="220">
        <v>-1</v>
      </c>
      <c r="D111" t="s">
        <v>26</v>
      </c>
    </row>
    <row r="112" spans="2:4">
      <c r="B112" t="s">
        <v>1948</v>
      </c>
      <c r="C112" s="220">
        <v>-1</v>
      </c>
      <c r="D112" t="s">
        <v>26</v>
      </c>
    </row>
    <row r="113" spans="2:4">
      <c r="B113" t="s">
        <v>1950</v>
      </c>
      <c r="C113" s="220">
        <v>-1</v>
      </c>
      <c r="D113" t="s">
        <v>26</v>
      </c>
    </row>
    <row r="114" spans="2:4">
      <c r="B114" t="s">
        <v>1952</v>
      </c>
      <c r="C114" s="220">
        <v>-1</v>
      </c>
      <c r="D114" t="s">
        <v>26</v>
      </c>
    </row>
    <row r="115" spans="2:4">
      <c r="B115" t="s">
        <v>1954</v>
      </c>
      <c r="D115" t="s">
        <v>59</v>
      </c>
    </row>
    <row r="116" spans="2:4">
      <c r="B116" t="s">
        <v>1956</v>
      </c>
      <c r="C116" s="220">
        <v>0</v>
      </c>
      <c r="D116" t="s">
        <v>49</v>
      </c>
    </row>
    <row r="117" spans="2:4">
      <c r="B117" t="s">
        <v>1958</v>
      </c>
      <c r="C117" s="220">
        <v>0.04</v>
      </c>
      <c r="D117" t="s">
        <v>26</v>
      </c>
    </row>
    <row r="118" spans="2:4">
      <c r="B118" t="s">
        <v>1960</v>
      </c>
      <c r="C118" s="220">
        <v>0</v>
      </c>
      <c r="D118" t="s">
        <v>49</v>
      </c>
    </row>
    <row r="119" spans="2:4">
      <c r="B119" t="s">
        <v>1962</v>
      </c>
      <c r="C119" s="220">
        <v>0</v>
      </c>
      <c r="D119" t="s">
        <v>46</v>
      </c>
    </row>
    <row r="120" spans="2:4">
      <c r="B120" t="s">
        <v>1964</v>
      </c>
      <c r="C120" s="220">
        <v>0</v>
      </c>
      <c r="D120" t="s">
        <v>49</v>
      </c>
    </row>
    <row r="121" spans="2:4">
      <c r="B121" t="s">
        <v>1966</v>
      </c>
      <c r="C121" s="220">
        <v>0</v>
      </c>
      <c r="D121" t="s">
        <v>46</v>
      </c>
    </row>
    <row r="122" spans="2:4">
      <c r="B122" t="s">
        <v>1968</v>
      </c>
      <c r="C122" s="220">
        <v>0</v>
      </c>
      <c r="D122" t="s">
        <v>49</v>
      </c>
    </row>
    <row r="123" spans="2:4">
      <c r="B123" t="s">
        <v>1970</v>
      </c>
      <c r="C123" s="220">
        <v>0</v>
      </c>
      <c r="D123" t="s">
        <v>49</v>
      </c>
    </row>
    <row r="124" spans="2:4">
      <c r="B124" t="s">
        <v>1972</v>
      </c>
      <c r="C124" s="220" t="s">
        <v>1973</v>
      </c>
      <c r="D124" t="s">
        <v>20</v>
      </c>
    </row>
    <row r="125" spans="2:4">
      <c r="B125" t="s">
        <v>1974</v>
      </c>
      <c r="C125" s="220">
        <v>1</v>
      </c>
      <c r="D125" t="s">
        <v>46</v>
      </c>
    </row>
    <row r="126" spans="2:4">
      <c r="B126" t="s">
        <v>1975</v>
      </c>
      <c r="C126" s="220" t="s">
        <v>1480</v>
      </c>
      <c r="D126" t="s">
        <v>20</v>
      </c>
    </row>
    <row r="127" spans="2:4">
      <c r="B127" t="s">
        <v>1977</v>
      </c>
      <c r="C127" s="220">
        <v>1</v>
      </c>
      <c r="D127" t="s">
        <v>46</v>
      </c>
    </row>
    <row r="128" spans="2:4">
      <c r="B128" t="s">
        <v>1978</v>
      </c>
      <c r="C128" s="220">
        <v>1</v>
      </c>
      <c r="D128" t="s">
        <v>46</v>
      </c>
    </row>
    <row r="129" spans="2:4">
      <c r="B129" t="s">
        <v>1980</v>
      </c>
      <c r="C129" s="220" t="s">
        <v>1982</v>
      </c>
      <c r="D129" t="s">
        <v>20</v>
      </c>
    </row>
    <row r="130" spans="2:4">
      <c r="B130" t="s">
        <v>1983</v>
      </c>
      <c r="C130" s="220">
        <v>1</v>
      </c>
      <c r="D130" t="s">
        <v>46</v>
      </c>
    </row>
    <row r="131" spans="2:4">
      <c r="B131" t="s">
        <v>1984</v>
      </c>
      <c r="C131" s="220">
        <v>1</v>
      </c>
      <c r="D131" t="s">
        <v>49</v>
      </c>
    </row>
    <row r="132" spans="2:4">
      <c r="B132" t="s">
        <v>1986</v>
      </c>
      <c r="C132" s="220">
        <v>1</v>
      </c>
      <c r="D132" t="s">
        <v>49</v>
      </c>
    </row>
    <row r="133" spans="2:4">
      <c r="B133" t="s">
        <v>1988</v>
      </c>
      <c r="C133" s="220">
        <v>0</v>
      </c>
      <c r="D133" t="s">
        <v>49</v>
      </c>
    </row>
    <row r="134" spans="2:4">
      <c r="B134" t="s">
        <v>1990</v>
      </c>
      <c r="C134" s="220">
        <v>0</v>
      </c>
      <c r="D134" t="s">
        <v>49</v>
      </c>
    </row>
    <row r="135" spans="2:4">
      <c r="B135" t="s">
        <v>1992</v>
      </c>
      <c r="C135" s="220">
        <v>1</v>
      </c>
      <c r="D135" t="s">
        <v>46</v>
      </c>
    </row>
    <row r="136" spans="2:4">
      <c r="B136" t="s">
        <v>1994</v>
      </c>
      <c r="D136" t="s">
        <v>20</v>
      </c>
    </row>
    <row r="137" spans="2:4">
      <c r="B137" t="s">
        <v>1996</v>
      </c>
      <c r="C137" s="220">
        <v>1</v>
      </c>
      <c r="D137" t="s">
        <v>46</v>
      </c>
    </row>
    <row r="138" spans="2:4">
      <c r="B138" t="s">
        <v>1997</v>
      </c>
      <c r="C138" s="220">
        <v>0</v>
      </c>
      <c r="D138" t="s">
        <v>49</v>
      </c>
    </row>
    <row r="139" spans="2:4">
      <c r="B139" t="s">
        <v>1999</v>
      </c>
      <c r="C139" s="220">
        <v>0</v>
      </c>
      <c r="D139" t="s">
        <v>26</v>
      </c>
    </row>
    <row r="140" spans="2:4">
      <c r="B140" t="s">
        <v>2001</v>
      </c>
      <c r="C140" s="220">
        <v>3.7999999999999999E-2</v>
      </c>
      <c r="D140" t="s">
        <v>26</v>
      </c>
    </row>
    <row r="141" spans="2:4">
      <c r="B141" t="s">
        <v>2003</v>
      </c>
      <c r="C141" s="220">
        <v>0.1</v>
      </c>
      <c r="D141" t="s">
        <v>26</v>
      </c>
    </row>
    <row r="142" spans="2:4">
      <c r="B142" t="s">
        <v>2005</v>
      </c>
      <c r="C142" s="220">
        <v>1</v>
      </c>
      <c r="D142" t="s">
        <v>49</v>
      </c>
    </row>
    <row r="143" spans="2:4">
      <c r="B143" t="s">
        <v>2007</v>
      </c>
      <c r="C143" s="220">
        <v>1</v>
      </c>
      <c r="D143" t="s">
        <v>49</v>
      </c>
    </row>
    <row r="144" spans="2:4">
      <c r="B144" t="s">
        <v>2009</v>
      </c>
      <c r="C144" s="220">
        <v>2.5000000000000001E-2</v>
      </c>
      <c r="D144" t="s">
        <v>26</v>
      </c>
    </row>
    <row r="145" spans="2:4">
      <c r="B145" t="s">
        <v>2011</v>
      </c>
      <c r="C145" s="220">
        <v>100</v>
      </c>
      <c r="D145" t="s">
        <v>55</v>
      </c>
    </row>
    <row r="146" spans="2:4">
      <c r="B146" t="s">
        <v>2013</v>
      </c>
      <c r="C146" s="220">
        <v>1</v>
      </c>
      <c r="D146" t="s">
        <v>53</v>
      </c>
    </row>
    <row r="147" spans="2:4">
      <c r="B147" t="s">
        <v>2015</v>
      </c>
      <c r="C147" s="220">
        <v>65</v>
      </c>
      <c r="D147" t="s">
        <v>54</v>
      </c>
    </row>
    <row r="148" spans="2:4">
      <c r="B148" t="s">
        <v>2017</v>
      </c>
      <c r="C148" s="220">
        <v>1</v>
      </c>
      <c r="D148" t="s">
        <v>55</v>
      </c>
    </row>
    <row r="149" spans="2:4">
      <c r="B149" t="s">
        <v>2019</v>
      </c>
      <c r="C149" s="220">
        <v>93</v>
      </c>
      <c r="D149" t="s">
        <v>55</v>
      </c>
    </row>
    <row r="150" spans="2:4">
      <c r="B150" t="s">
        <v>2020</v>
      </c>
      <c r="C150" s="220">
        <v>0</v>
      </c>
      <c r="D150" t="s">
        <v>49</v>
      </c>
    </row>
    <row r="151" spans="2:4">
      <c r="B151" t="s">
        <v>2022</v>
      </c>
      <c r="C151" s="220">
        <v>15</v>
      </c>
      <c r="D151" t="s">
        <v>52</v>
      </c>
    </row>
    <row r="152" spans="2:4">
      <c r="B152" t="s">
        <v>2024</v>
      </c>
      <c r="C152" s="220">
        <v>0.15</v>
      </c>
      <c r="D152" t="s">
        <v>26</v>
      </c>
    </row>
    <row r="153" spans="2:4">
      <c r="B153" t="s">
        <v>2026</v>
      </c>
      <c r="C153" s="220">
        <v>100</v>
      </c>
      <c r="D153" t="s">
        <v>55</v>
      </c>
    </row>
    <row r="154" spans="2:4">
      <c r="B154" t="s">
        <v>2027</v>
      </c>
      <c r="C154" s="220">
        <v>1</v>
      </c>
      <c r="D154" t="s">
        <v>53</v>
      </c>
    </row>
    <row r="155" spans="2:4">
      <c r="B155" t="s">
        <v>2028</v>
      </c>
      <c r="C155" s="220">
        <v>65</v>
      </c>
      <c r="D155" t="s">
        <v>54</v>
      </c>
    </row>
    <row r="156" spans="2:4">
      <c r="B156" t="s">
        <v>2029</v>
      </c>
      <c r="C156" s="220">
        <v>1</v>
      </c>
      <c r="D156" t="s">
        <v>55</v>
      </c>
    </row>
    <row r="157" spans="2:4">
      <c r="B157" t="s">
        <v>2030</v>
      </c>
      <c r="C157" s="220">
        <v>93</v>
      </c>
      <c r="D157" t="s">
        <v>55</v>
      </c>
    </row>
    <row r="158" spans="2:4">
      <c r="B158" t="s">
        <v>2031</v>
      </c>
      <c r="C158" s="220" t="s">
        <v>35</v>
      </c>
      <c r="D158" t="s">
        <v>26</v>
      </c>
    </row>
    <row r="159" spans="2:4">
      <c r="B159" t="s">
        <v>2033</v>
      </c>
      <c r="C159" s="220" t="s">
        <v>35</v>
      </c>
      <c r="D159" t="s">
        <v>26</v>
      </c>
    </row>
    <row r="160" spans="2:4">
      <c r="B160" t="s">
        <v>2035</v>
      </c>
      <c r="C160" s="220">
        <v>1</v>
      </c>
      <c r="D160" t="s">
        <v>46</v>
      </c>
    </row>
    <row r="161" spans="2:4">
      <c r="B161" t="s">
        <v>2037</v>
      </c>
      <c r="C161" s="220">
        <v>1</v>
      </c>
      <c r="D161" t="s">
        <v>46</v>
      </c>
    </row>
    <row r="162" spans="2:4">
      <c r="B162" t="s">
        <v>2039</v>
      </c>
      <c r="C162" s="220">
        <v>1</v>
      </c>
      <c r="D162" t="s">
        <v>46</v>
      </c>
    </row>
    <row r="163" spans="2:4">
      <c r="B163" t="s">
        <v>2041</v>
      </c>
      <c r="C163" s="220">
        <v>1</v>
      </c>
      <c r="D163" t="s">
        <v>49</v>
      </c>
    </row>
    <row r="164" spans="2:4">
      <c r="B164" t="s">
        <v>2043</v>
      </c>
      <c r="C164" s="220">
        <v>1</v>
      </c>
      <c r="D164" t="s">
        <v>49</v>
      </c>
    </row>
    <row r="165" spans="2:4">
      <c r="B165" t="s">
        <v>2045</v>
      </c>
      <c r="C165" s="220">
        <v>1</v>
      </c>
      <c r="D165" t="s">
        <v>46</v>
      </c>
    </row>
    <row r="166" spans="2:4">
      <c r="B166" t="s">
        <v>2047</v>
      </c>
      <c r="C166" s="220">
        <v>1.4999999999999999E-2</v>
      </c>
      <c r="D166" t="s">
        <v>26</v>
      </c>
    </row>
    <row r="167" spans="2:4">
      <c r="B167" t="s">
        <v>2049</v>
      </c>
      <c r="C167" s="220">
        <v>1</v>
      </c>
      <c r="D167" t="s">
        <v>46</v>
      </c>
    </row>
    <row r="168" spans="2:4">
      <c r="B168" t="s">
        <v>2051</v>
      </c>
      <c r="C168" s="220">
        <v>0</v>
      </c>
      <c r="D168" t="s">
        <v>49</v>
      </c>
    </row>
    <row r="169" spans="2:4">
      <c r="B169" t="s">
        <v>2053</v>
      </c>
      <c r="C169" s="220">
        <v>1</v>
      </c>
      <c r="D169" t="s">
        <v>55</v>
      </c>
    </row>
    <row r="170" spans="2:4">
      <c r="B170" t="s">
        <v>2055</v>
      </c>
      <c r="C170" s="220">
        <v>0</v>
      </c>
      <c r="D170" t="s">
        <v>26</v>
      </c>
    </row>
    <row r="171" spans="2:4">
      <c r="B171" t="s">
        <v>2057</v>
      </c>
      <c r="C171" s="220">
        <v>0</v>
      </c>
      <c r="D171" t="s">
        <v>49</v>
      </c>
    </row>
    <row r="172" spans="2:4">
      <c r="B172" t="s">
        <v>2059</v>
      </c>
      <c r="C172" s="220">
        <v>0</v>
      </c>
      <c r="D172" t="s">
        <v>49</v>
      </c>
    </row>
    <row r="173" spans="2:4">
      <c r="B173" t="s">
        <v>2061</v>
      </c>
      <c r="D173" t="s">
        <v>59</v>
      </c>
    </row>
    <row r="174" spans="2:4">
      <c r="B174" t="s">
        <v>2064</v>
      </c>
      <c r="C174" s="220">
        <v>0</v>
      </c>
      <c r="D174" t="s">
        <v>49</v>
      </c>
    </row>
    <row r="175" spans="2:4">
      <c r="B175" t="s">
        <v>2066</v>
      </c>
      <c r="C175" s="220">
        <v>0</v>
      </c>
      <c r="D175" t="s">
        <v>49</v>
      </c>
    </row>
    <row r="176" spans="2:4">
      <c r="B176" t="s">
        <v>2068</v>
      </c>
      <c r="C176" s="220">
        <v>0</v>
      </c>
      <c r="D176" t="s">
        <v>49</v>
      </c>
    </row>
    <row r="177" spans="2:4">
      <c r="B177" t="s">
        <v>2070</v>
      </c>
      <c r="D177" t="s">
        <v>59</v>
      </c>
    </row>
    <row r="178" spans="2:4">
      <c r="B178" t="s">
        <v>2072</v>
      </c>
      <c r="C178" s="220">
        <v>0</v>
      </c>
      <c r="D178" t="s">
        <v>49</v>
      </c>
    </row>
    <row r="179" spans="2:4">
      <c r="B179" t="s">
        <v>2105</v>
      </c>
      <c r="D179" t="s">
        <v>59</v>
      </c>
    </row>
    <row r="180" spans="2:4">
      <c r="B180" t="s">
        <v>2108</v>
      </c>
      <c r="C180" s="220">
        <v>0</v>
      </c>
      <c r="D180" t="s">
        <v>49</v>
      </c>
    </row>
    <row r="181" spans="2:4">
      <c r="B181" t="s">
        <v>2109</v>
      </c>
      <c r="C181" s="220">
        <v>1</v>
      </c>
      <c r="D181" t="s">
        <v>49</v>
      </c>
    </row>
    <row r="182" spans="2:4">
      <c r="B182" t="s">
        <v>2110</v>
      </c>
      <c r="C182" s="220">
        <v>2</v>
      </c>
      <c r="D182" t="s">
        <v>46</v>
      </c>
    </row>
    <row r="183" spans="2:4">
      <c r="B183" t="s">
        <v>2112</v>
      </c>
      <c r="C183" s="220">
        <v>0</v>
      </c>
      <c r="D183" t="s">
        <v>49</v>
      </c>
    </row>
    <row r="184" spans="2:4">
      <c r="B184" t="s">
        <v>2114</v>
      </c>
      <c r="C184" s="220">
        <v>0</v>
      </c>
      <c r="D184" t="s">
        <v>49</v>
      </c>
    </row>
    <row r="185" spans="2:4">
      <c r="B185" t="s">
        <v>2116</v>
      </c>
      <c r="C185" s="220">
        <v>7.0000000000000007E-2</v>
      </c>
      <c r="D185" t="s">
        <v>26</v>
      </c>
    </row>
    <row r="186" spans="2:4">
      <c r="B186" t="s">
        <v>2117</v>
      </c>
      <c r="C186" s="220">
        <v>0.3</v>
      </c>
      <c r="D186" t="s">
        <v>26</v>
      </c>
    </row>
    <row r="187" spans="2:4">
      <c r="B187" t="s">
        <v>2119</v>
      </c>
      <c r="C187" s="220">
        <v>0.06</v>
      </c>
      <c r="D187" t="s">
        <v>26</v>
      </c>
    </row>
    <row r="188" spans="2:4">
      <c r="B188" t="s">
        <v>2121</v>
      </c>
      <c r="C188" s="220">
        <v>0.06</v>
      </c>
      <c r="D188" t="s">
        <v>26</v>
      </c>
    </row>
    <row r="189" spans="2:4">
      <c r="B189" t="s">
        <v>2123</v>
      </c>
      <c r="C189" s="220">
        <v>7.0000000000000007E-2</v>
      </c>
      <c r="D189" t="s">
        <v>26</v>
      </c>
    </row>
    <row r="190" spans="2:4">
      <c r="B190" t="s">
        <v>2125</v>
      </c>
      <c r="C190" s="220">
        <v>7.0000000000000007E-2</v>
      </c>
      <c r="D190" t="s">
        <v>26</v>
      </c>
    </row>
    <row r="191" spans="2:4">
      <c r="B191" t="s">
        <v>2127</v>
      </c>
      <c r="C191" s="220">
        <v>2.5000000000000001E-2</v>
      </c>
      <c r="D191" t="s">
        <v>26</v>
      </c>
    </row>
    <row r="192" spans="2:4">
      <c r="B192" t="s">
        <v>2129</v>
      </c>
      <c r="C192" s="220">
        <v>0.05</v>
      </c>
      <c r="D192" t="s">
        <v>26</v>
      </c>
    </row>
    <row r="193" spans="2:4">
      <c r="B193" t="s">
        <v>2131</v>
      </c>
      <c r="C193" s="220">
        <v>133</v>
      </c>
      <c r="D193" t="s">
        <v>52</v>
      </c>
    </row>
    <row r="194" spans="2:4">
      <c r="B194" t="s">
        <v>2133</v>
      </c>
      <c r="C194" s="220">
        <v>1</v>
      </c>
      <c r="D194" t="s">
        <v>55</v>
      </c>
    </row>
    <row r="195" spans="2:4">
      <c r="B195" t="s">
        <v>2135</v>
      </c>
      <c r="C195" s="220">
        <v>1</v>
      </c>
      <c r="D195" t="s">
        <v>55</v>
      </c>
    </row>
    <row r="196" spans="2:4">
      <c r="B196" t="s">
        <v>2137</v>
      </c>
      <c r="C196" s="220">
        <v>1</v>
      </c>
      <c r="D196" t="s">
        <v>55</v>
      </c>
    </row>
    <row r="197" spans="2:4">
      <c r="B197" t="s">
        <v>2139</v>
      </c>
      <c r="C197" s="220">
        <v>1</v>
      </c>
      <c r="D197" t="s">
        <v>55</v>
      </c>
    </row>
    <row r="198" spans="2:4">
      <c r="B198" t="s">
        <v>2140</v>
      </c>
      <c r="C198" s="220">
        <v>1</v>
      </c>
      <c r="D198" t="s">
        <v>55</v>
      </c>
    </row>
    <row r="199" spans="2:4">
      <c r="B199" t="s">
        <v>2141</v>
      </c>
      <c r="C199" s="220">
        <v>64</v>
      </c>
      <c r="D199" t="s">
        <v>54</v>
      </c>
    </row>
    <row r="200" spans="2:4">
      <c r="B200" t="s">
        <v>2143</v>
      </c>
      <c r="C200" s="220">
        <v>65</v>
      </c>
      <c r="D200" t="s">
        <v>54</v>
      </c>
    </row>
    <row r="201" spans="2:4">
      <c r="B201" t="s">
        <v>2145</v>
      </c>
      <c r="C201" s="220">
        <v>16</v>
      </c>
      <c r="D201" t="s">
        <v>54</v>
      </c>
    </row>
    <row r="202" spans="2:4">
      <c r="B202" t="s">
        <v>2146</v>
      </c>
      <c r="C202" s="220">
        <v>65</v>
      </c>
      <c r="D202" t="s">
        <v>54</v>
      </c>
    </row>
    <row r="203" spans="2:4">
      <c r="B203" t="s">
        <v>2148</v>
      </c>
      <c r="C203" s="220">
        <v>65</v>
      </c>
      <c r="D203" t="s">
        <v>54</v>
      </c>
    </row>
    <row r="204" spans="2:4">
      <c r="B204" t="s">
        <v>2150</v>
      </c>
      <c r="C204" s="220">
        <v>65</v>
      </c>
      <c r="D204" t="s">
        <v>54</v>
      </c>
    </row>
    <row r="205" spans="2:4">
      <c r="B205" t="s">
        <v>2152</v>
      </c>
      <c r="C205" s="220">
        <v>1</v>
      </c>
      <c r="D205" t="s">
        <v>53</v>
      </c>
    </row>
    <row r="206" spans="2:4">
      <c r="B206" t="s">
        <v>2154</v>
      </c>
      <c r="D206" t="s">
        <v>59</v>
      </c>
    </row>
    <row r="207" spans="2:4">
      <c r="B207" t="s">
        <v>2157</v>
      </c>
      <c r="C207" s="220">
        <v>0</v>
      </c>
      <c r="D207" t="s">
        <v>49</v>
      </c>
    </row>
    <row r="208" spans="2:4">
      <c r="B208" t="s">
        <v>2158</v>
      </c>
      <c r="C208" s="220">
        <v>1</v>
      </c>
      <c r="D208" t="s">
        <v>46</v>
      </c>
    </row>
    <row r="209" spans="2:4">
      <c r="B209" t="s">
        <v>2160</v>
      </c>
      <c r="C209" s="220">
        <v>254</v>
      </c>
      <c r="D209" t="s">
        <v>46</v>
      </c>
    </row>
    <row r="210" spans="2:4">
      <c r="B210" t="s">
        <v>277</v>
      </c>
      <c r="C210" s="220">
        <v>0</v>
      </c>
      <c r="D210" t="s">
        <v>46</v>
      </c>
    </row>
    <row r="211" spans="2:4">
      <c r="B211" t="s">
        <v>280</v>
      </c>
      <c r="C211" s="220">
        <v>0</v>
      </c>
      <c r="D211" t="s">
        <v>46</v>
      </c>
    </row>
    <row r="212" spans="2:4">
      <c r="B212" t="s">
        <v>282</v>
      </c>
      <c r="C212" s="220">
        <v>0</v>
      </c>
      <c r="D212" t="s">
        <v>46</v>
      </c>
    </row>
    <row r="213" spans="2:4">
      <c r="B213" t="s">
        <v>284</v>
      </c>
      <c r="C213" s="220">
        <v>0</v>
      </c>
      <c r="D213" t="s">
        <v>46</v>
      </c>
    </row>
    <row r="214" spans="2:4">
      <c r="B214" t="s">
        <v>287</v>
      </c>
      <c r="C214" s="220">
        <v>0</v>
      </c>
      <c r="D214" t="s">
        <v>46</v>
      </c>
    </row>
    <row r="215" spans="2:4">
      <c r="B215" t="s">
        <v>289</v>
      </c>
      <c r="C215" s="220">
        <v>0</v>
      </c>
      <c r="D215" t="s">
        <v>46</v>
      </c>
    </row>
    <row r="216" spans="2:4">
      <c r="B216" t="s">
        <v>292</v>
      </c>
      <c r="C216" s="220">
        <v>0</v>
      </c>
      <c r="D216" t="s">
        <v>46</v>
      </c>
    </row>
    <row r="217" spans="2:4">
      <c r="B217" t="s">
        <v>297</v>
      </c>
      <c r="C217" s="220" t="s">
        <v>136</v>
      </c>
      <c r="D217" t="s">
        <v>20</v>
      </c>
    </row>
    <row r="218" spans="2:4">
      <c r="B218" t="s">
        <v>301</v>
      </c>
      <c r="C218" s="220" t="s">
        <v>136</v>
      </c>
      <c r="D218" t="s">
        <v>20</v>
      </c>
    </row>
    <row r="219" spans="2:4">
      <c r="B219" t="s">
        <v>304</v>
      </c>
      <c r="C219" s="220" t="s">
        <v>136</v>
      </c>
      <c r="D219" t="s">
        <v>20</v>
      </c>
    </row>
    <row r="220" spans="2:4">
      <c r="B220" t="s">
        <v>307</v>
      </c>
      <c r="C220" s="220" t="s">
        <v>136</v>
      </c>
      <c r="D220" t="s">
        <v>20</v>
      </c>
    </row>
    <row r="221" spans="2:4">
      <c r="B221" t="s">
        <v>311</v>
      </c>
      <c r="C221" s="220" t="s">
        <v>136</v>
      </c>
      <c r="D221" t="s">
        <v>20</v>
      </c>
    </row>
    <row r="222" spans="2:4">
      <c r="B222" t="s">
        <v>314</v>
      </c>
      <c r="C222" s="220" t="s">
        <v>136</v>
      </c>
      <c r="D222" t="s">
        <v>20</v>
      </c>
    </row>
    <row r="223" spans="2:4">
      <c r="B223" t="s">
        <v>317</v>
      </c>
      <c r="C223" s="220" t="s">
        <v>136</v>
      </c>
      <c r="D223" t="s">
        <v>20</v>
      </c>
    </row>
    <row r="224" spans="2:4">
      <c r="B224" t="s">
        <v>320</v>
      </c>
      <c r="C224" s="220" t="s">
        <v>136</v>
      </c>
      <c r="D224" t="s">
        <v>20</v>
      </c>
    </row>
    <row r="225" spans="2:4">
      <c r="B225" t="s">
        <v>323</v>
      </c>
      <c r="C225" s="220" t="s">
        <v>136</v>
      </c>
      <c r="D225" t="s">
        <v>20</v>
      </c>
    </row>
    <row r="226" spans="2:4">
      <c r="B226" t="s">
        <v>326</v>
      </c>
      <c r="C226" s="220" t="s">
        <v>136</v>
      </c>
      <c r="D226" t="s">
        <v>20</v>
      </c>
    </row>
    <row r="227" spans="2:4">
      <c r="B227" t="s">
        <v>329</v>
      </c>
      <c r="C227" s="220" t="s">
        <v>136</v>
      </c>
      <c r="D227" t="s">
        <v>20</v>
      </c>
    </row>
    <row r="228" spans="2:4">
      <c r="B228" t="s">
        <v>332</v>
      </c>
      <c r="C228" s="220" t="s">
        <v>136</v>
      </c>
      <c r="D228" t="s">
        <v>20</v>
      </c>
    </row>
    <row r="229" spans="2:4">
      <c r="B229" t="s">
        <v>338</v>
      </c>
      <c r="C229" s="220" t="s">
        <v>136</v>
      </c>
      <c r="D229" t="s">
        <v>20</v>
      </c>
    </row>
    <row r="230" spans="2:4">
      <c r="B230" t="s">
        <v>342</v>
      </c>
      <c r="C230" s="220">
        <v>0.8</v>
      </c>
      <c r="D230" t="s">
        <v>26</v>
      </c>
    </row>
    <row r="231" spans="2:4">
      <c r="B231" t="s">
        <v>344</v>
      </c>
      <c r="C231" s="220">
        <v>2</v>
      </c>
      <c r="D231" t="s">
        <v>26</v>
      </c>
    </row>
    <row r="232" spans="2:4">
      <c r="B232" t="s">
        <v>346</v>
      </c>
      <c r="C232" s="220">
        <v>90</v>
      </c>
      <c r="D232" t="s">
        <v>33</v>
      </c>
    </row>
    <row r="233" spans="2:4">
      <c r="B233" t="s">
        <v>348</v>
      </c>
      <c r="C233" s="220">
        <v>0</v>
      </c>
      <c r="D233" t="s">
        <v>26</v>
      </c>
    </row>
    <row r="234" spans="2:4">
      <c r="B234" t="s">
        <v>351</v>
      </c>
      <c r="C234" s="220" t="s">
        <v>136</v>
      </c>
      <c r="D234" t="s">
        <v>20</v>
      </c>
    </row>
    <row r="235" spans="2:4">
      <c r="B235" t="s">
        <v>354</v>
      </c>
      <c r="C235" s="220" t="s">
        <v>136</v>
      </c>
      <c r="D235" t="s">
        <v>20</v>
      </c>
    </row>
    <row r="236" spans="2:4">
      <c r="B236" t="s">
        <v>357</v>
      </c>
      <c r="C236" s="220" t="s">
        <v>136</v>
      </c>
      <c r="D236" t="s">
        <v>20</v>
      </c>
    </row>
    <row r="237" spans="2:4">
      <c r="B237" t="s">
        <v>360</v>
      </c>
      <c r="C237" s="220" t="s">
        <v>136</v>
      </c>
      <c r="D237" t="s">
        <v>20</v>
      </c>
    </row>
    <row r="238" spans="2:4">
      <c r="B238" t="s">
        <v>363</v>
      </c>
      <c r="C238" s="220" t="s">
        <v>136</v>
      </c>
      <c r="D238" t="s">
        <v>20</v>
      </c>
    </row>
    <row r="239" spans="2:4">
      <c r="B239" t="s">
        <v>366</v>
      </c>
      <c r="C239" s="220" t="s">
        <v>136</v>
      </c>
      <c r="D239" t="s">
        <v>20</v>
      </c>
    </row>
    <row r="240" spans="2:4">
      <c r="B240" t="s">
        <v>369</v>
      </c>
      <c r="C240" s="220" t="s">
        <v>136</v>
      </c>
      <c r="D240" t="s">
        <v>20</v>
      </c>
    </row>
    <row r="241" spans="2:4">
      <c r="B241" t="s">
        <v>372</v>
      </c>
      <c r="C241" s="220" t="s">
        <v>136</v>
      </c>
      <c r="D241" t="s">
        <v>20</v>
      </c>
    </row>
    <row r="242" spans="2:4">
      <c r="B242" t="s">
        <v>373</v>
      </c>
      <c r="C242" s="220" t="s">
        <v>136</v>
      </c>
      <c r="D242" t="s">
        <v>20</v>
      </c>
    </row>
    <row r="243" spans="2:4">
      <c r="B243" t="s">
        <v>376</v>
      </c>
      <c r="C243" s="220" t="s">
        <v>136</v>
      </c>
      <c r="D243" t="s">
        <v>20</v>
      </c>
    </row>
    <row r="244" spans="2:4">
      <c r="B244" t="s">
        <v>379</v>
      </c>
      <c r="C244" s="220" t="s">
        <v>136</v>
      </c>
      <c r="D244" t="s">
        <v>20</v>
      </c>
    </row>
    <row r="245" spans="2:4">
      <c r="B245" t="s">
        <v>382</v>
      </c>
      <c r="C245" s="220" t="s">
        <v>136</v>
      </c>
      <c r="D245" t="s">
        <v>20</v>
      </c>
    </row>
    <row r="246" spans="2:4">
      <c r="B246" t="s">
        <v>385</v>
      </c>
      <c r="C246" s="220" t="s">
        <v>136</v>
      </c>
      <c r="D246" t="s">
        <v>20</v>
      </c>
    </row>
    <row r="247" spans="2:4">
      <c r="B247" t="s">
        <v>388</v>
      </c>
      <c r="C247" s="220" t="s">
        <v>136</v>
      </c>
      <c r="D247" t="s">
        <v>20</v>
      </c>
    </row>
    <row r="248" spans="2:4">
      <c r="B248" t="s">
        <v>391</v>
      </c>
      <c r="C248" s="220" t="s">
        <v>136</v>
      </c>
      <c r="D248" t="s">
        <v>20</v>
      </c>
    </row>
    <row r="249" spans="2:4">
      <c r="B249" t="s">
        <v>393</v>
      </c>
      <c r="C249" s="220" t="s">
        <v>136</v>
      </c>
      <c r="D249" t="s">
        <v>20</v>
      </c>
    </row>
    <row r="250" spans="2:4">
      <c r="B250" t="s">
        <v>399</v>
      </c>
      <c r="C250" s="220" t="s">
        <v>136</v>
      </c>
      <c r="D250" t="s">
        <v>20</v>
      </c>
    </row>
    <row r="251" spans="2:4">
      <c r="B251" t="s">
        <v>403</v>
      </c>
      <c r="C251" s="220" t="s">
        <v>136</v>
      </c>
      <c r="D251" t="s">
        <v>20</v>
      </c>
    </row>
    <row r="252" spans="2:4">
      <c r="B252" t="s">
        <v>406</v>
      </c>
      <c r="C252" s="220" t="s">
        <v>136</v>
      </c>
      <c r="D252" t="s">
        <v>20</v>
      </c>
    </row>
    <row r="253" spans="2:4">
      <c r="B253" t="s">
        <v>409</v>
      </c>
      <c r="C253" s="220" t="s">
        <v>136</v>
      </c>
      <c r="D253" t="s">
        <v>20</v>
      </c>
    </row>
    <row r="254" spans="2:4">
      <c r="B254" t="s">
        <v>414</v>
      </c>
      <c r="C254" s="220" t="s">
        <v>118</v>
      </c>
      <c r="D254" t="s">
        <v>20</v>
      </c>
    </row>
    <row r="255" spans="2:4">
      <c r="B255" t="s">
        <v>417</v>
      </c>
      <c r="C255" s="220" t="s">
        <v>118</v>
      </c>
      <c r="D255" t="s">
        <v>20</v>
      </c>
    </row>
    <row r="256" spans="2:4">
      <c r="B256" t="s">
        <v>419</v>
      </c>
      <c r="C256" s="220" t="s">
        <v>118</v>
      </c>
      <c r="D256" t="s">
        <v>20</v>
      </c>
    </row>
    <row r="257" spans="2:4">
      <c r="B257" t="s">
        <v>422</v>
      </c>
      <c r="C257" s="220" t="s">
        <v>118</v>
      </c>
      <c r="D257" t="s">
        <v>20</v>
      </c>
    </row>
    <row r="258" spans="2:4">
      <c r="B258" t="s">
        <v>424</v>
      </c>
      <c r="C258" s="220" t="s">
        <v>118</v>
      </c>
      <c r="D258" t="s">
        <v>20</v>
      </c>
    </row>
    <row r="259" spans="2:4">
      <c r="B259" t="s">
        <v>427</v>
      </c>
      <c r="C259" s="220" t="s">
        <v>118</v>
      </c>
      <c r="D259" t="s">
        <v>20</v>
      </c>
    </row>
    <row r="260" spans="2:4">
      <c r="B260" t="s">
        <v>430</v>
      </c>
      <c r="C260" s="220" t="s">
        <v>136</v>
      </c>
      <c r="D260" t="s">
        <v>20</v>
      </c>
    </row>
    <row r="261" spans="2:4">
      <c r="B261" t="s">
        <v>434</v>
      </c>
      <c r="D261" t="s">
        <v>59</v>
      </c>
    </row>
    <row r="262" spans="2:4">
      <c r="B262" t="s">
        <v>436</v>
      </c>
      <c r="C262" s="220" t="s">
        <v>3121</v>
      </c>
      <c r="D262" t="s">
        <v>20</v>
      </c>
    </row>
    <row r="263" spans="2:4">
      <c r="B263" t="s">
        <v>441</v>
      </c>
      <c r="C263" s="220" t="s">
        <v>3122</v>
      </c>
      <c r="D263" t="s">
        <v>20</v>
      </c>
    </row>
    <row r="264" spans="2:4">
      <c r="B264" t="s">
        <v>446</v>
      </c>
      <c r="C264" s="220">
        <v>0</v>
      </c>
      <c r="D264" t="s">
        <v>49</v>
      </c>
    </row>
    <row r="265" spans="2:4">
      <c r="B265" t="s">
        <v>448</v>
      </c>
      <c r="C265" s="220">
        <v>1</v>
      </c>
      <c r="D265" t="s">
        <v>46</v>
      </c>
    </row>
    <row r="266" spans="2:4">
      <c r="B266" t="s">
        <v>862</v>
      </c>
      <c r="C266" s="220">
        <v>0</v>
      </c>
      <c r="D266" t="s">
        <v>49</v>
      </c>
    </row>
    <row r="267" spans="2:4">
      <c r="B267" t="s">
        <v>459</v>
      </c>
      <c r="C267" s="220" t="s">
        <v>3192</v>
      </c>
      <c r="D267" t="s">
        <v>20</v>
      </c>
    </row>
    <row r="268" spans="2:4">
      <c r="B268" t="s">
        <v>474</v>
      </c>
      <c r="C268" s="220">
        <v>0</v>
      </c>
      <c r="D268" t="s">
        <v>46</v>
      </c>
    </row>
    <row r="269" spans="2:4">
      <c r="B269" t="s">
        <v>476</v>
      </c>
      <c r="C269" s="220" t="s">
        <v>478</v>
      </c>
      <c r="D269" t="s">
        <v>20</v>
      </c>
    </row>
    <row r="270" spans="2:4">
      <c r="B270" t="s">
        <v>481</v>
      </c>
      <c r="C270" s="220">
        <v>0</v>
      </c>
      <c r="D270" t="s">
        <v>49</v>
      </c>
    </row>
    <row r="271" spans="2:4">
      <c r="B271" t="s">
        <v>485</v>
      </c>
      <c r="C271" s="220">
        <v>0</v>
      </c>
      <c r="D271" t="s">
        <v>49</v>
      </c>
    </row>
    <row r="272" spans="2:4">
      <c r="B272" t="s">
        <v>487</v>
      </c>
      <c r="C272" s="220">
        <v>0</v>
      </c>
      <c r="D272" t="s">
        <v>49</v>
      </c>
    </row>
    <row r="273" spans="2:4">
      <c r="B273" t="s">
        <v>522</v>
      </c>
      <c r="D273" t="s">
        <v>59</v>
      </c>
    </row>
    <row r="274" spans="2:4">
      <c r="B274" t="s">
        <v>524</v>
      </c>
      <c r="C274" s="220">
        <v>5.0000000000000001E-3</v>
      </c>
      <c r="D274" t="s">
        <v>26</v>
      </c>
    </row>
    <row r="275" spans="2:4">
      <c r="B275" t="s">
        <v>527</v>
      </c>
      <c r="C275" s="220">
        <v>5.0000000000000001E-3</v>
      </c>
      <c r="D275" t="s">
        <v>26</v>
      </c>
    </row>
    <row r="276" spans="2:4">
      <c r="B276" t="s">
        <v>530</v>
      </c>
      <c r="C276" s="220">
        <v>0.01</v>
      </c>
      <c r="D276" t="s">
        <v>26</v>
      </c>
    </row>
    <row r="277" spans="2:4">
      <c r="B277" t="s">
        <v>533</v>
      </c>
      <c r="C277" s="220">
        <v>0</v>
      </c>
      <c r="D277" t="s">
        <v>26</v>
      </c>
    </row>
    <row r="278" spans="2:4">
      <c r="B278" t="s">
        <v>3603</v>
      </c>
      <c r="C278" s="220">
        <v>1</v>
      </c>
      <c r="D278" t="s">
        <v>46</v>
      </c>
    </row>
    <row r="279" spans="2:4">
      <c r="B279" t="s">
        <v>554</v>
      </c>
      <c r="C279" s="220">
        <v>0.76</v>
      </c>
      <c r="D279" t="s">
        <v>26</v>
      </c>
    </row>
    <row r="280" spans="2:4">
      <c r="B280" t="s">
        <v>558</v>
      </c>
      <c r="C280" s="220">
        <v>2.1349999999999998</v>
      </c>
      <c r="D280" t="s">
        <v>26</v>
      </c>
    </row>
    <row r="281" spans="2:4">
      <c r="B281" t="s">
        <v>562</v>
      </c>
      <c r="C281" s="220">
        <v>2.1349999999999998</v>
      </c>
      <c r="D281" t="s">
        <v>26</v>
      </c>
    </row>
    <row r="282" spans="2:4">
      <c r="B282" t="s">
        <v>563</v>
      </c>
      <c r="C282" s="220">
        <v>0.76</v>
      </c>
      <c r="D282" t="s">
        <v>26</v>
      </c>
    </row>
    <row r="283" spans="2:4">
      <c r="B283" t="s">
        <v>565</v>
      </c>
      <c r="C283" s="220">
        <v>2.1349999999999998</v>
      </c>
      <c r="D283" t="s">
        <v>26</v>
      </c>
    </row>
    <row r="284" spans="2:4">
      <c r="B284" t="s">
        <v>567</v>
      </c>
      <c r="C284" s="220">
        <v>2.1349999999999998</v>
      </c>
      <c r="D284" t="s">
        <v>26</v>
      </c>
    </row>
    <row r="285" spans="2:4">
      <c r="B285" t="s">
        <v>568</v>
      </c>
      <c r="C285" s="220">
        <v>0.75</v>
      </c>
      <c r="D285" t="s">
        <v>26</v>
      </c>
    </row>
    <row r="286" spans="2:4">
      <c r="B286" t="s">
        <v>570</v>
      </c>
      <c r="C286" s="220">
        <v>2.125</v>
      </c>
      <c r="D286" t="s">
        <v>26</v>
      </c>
    </row>
    <row r="287" spans="2:4">
      <c r="B287" t="s">
        <v>572</v>
      </c>
      <c r="C287" s="220">
        <v>0.75</v>
      </c>
      <c r="D287" t="s">
        <v>26</v>
      </c>
    </row>
    <row r="288" spans="2:4">
      <c r="B288" t="s">
        <v>574</v>
      </c>
      <c r="C288" s="220">
        <v>2.125</v>
      </c>
      <c r="D288" t="s">
        <v>26</v>
      </c>
    </row>
    <row r="289" spans="2:4">
      <c r="B289" t="s">
        <v>3588</v>
      </c>
      <c r="C289" s="220">
        <v>0.72</v>
      </c>
      <c r="D289" t="s">
        <v>26</v>
      </c>
    </row>
    <row r="290" spans="2:4">
      <c r="B290" t="s">
        <v>3589</v>
      </c>
      <c r="C290" s="220">
        <v>2.11</v>
      </c>
      <c r="D290" t="s">
        <v>26</v>
      </c>
    </row>
    <row r="291" spans="2:4">
      <c r="B291" t="s">
        <v>576</v>
      </c>
      <c r="C291" s="220">
        <v>0.69</v>
      </c>
      <c r="D291" t="s">
        <v>26</v>
      </c>
    </row>
    <row r="292" spans="2:4">
      <c r="B292" t="s">
        <v>579</v>
      </c>
      <c r="C292" s="220">
        <v>2.0950000000000002</v>
      </c>
      <c r="D292" t="s">
        <v>26</v>
      </c>
    </row>
    <row r="293" spans="2:4">
      <c r="B293" t="s">
        <v>582</v>
      </c>
      <c r="C293" s="220">
        <v>0.8</v>
      </c>
      <c r="D293" t="s">
        <v>26</v>
      </c>
    </row>
    <row r="294" spans="2:4">
      <c r="B294" t="s">
        <v>585</v>
      </c>
      <c r="C294" s="220">
        <v>2.0499999999999998</v>
      </c>
      <c r="D294" t="s">
        <v>26</v>
      </c>
    </row>
    <row r="295" spans="2:4">
      <c r="B295" t="s">
        <v>587</v>
      </c>
      <c r="C295" s="220">
        <v>0.746</v>
      </c>
      <c r="D295" t="s">
        <v>26</v>
      </c>
    </row>
    <row r="296" spans="2:4">
      <c r="B296" t="s">
        <v>591</v>
      </c>
      <c r="C296" s="220">
        <v>2.1179999999999999</v>
      </c>
      <c r="D296" t="s">
        <v>26</v>
      </c>
    </row>
    <row r="297" spans="2:4">
      <c r="B297" t="s">
        <v>595</v>
      </c>
      <c r="C297" s="220">
        <v>1</v>
      </c>
      <c r="D297" t="s">
        <v>46</v>
      </c>
    </row>
    <row r="298" spans="2:4">
      <c r="B298" t="s">
        <v>597</v>
      </c>
      <c r="C298" s="220">
        <v>0</v>
      </c>
      <c r="D298" t="s">
        <v>49</v>
      </c>
    </row>
    <row r="299" spans="2:4">
      <c r="B299" t="s">
        <v>599</v>
      </c>
      <c r="C299" s="220">
        <v>1</v>
      </c>
      <c r="D299" t="s">
        <v>49</v>
      </c>
    </row>
    <row r="300" spans="2:4">
      <c r="B300" t="s">
        <v>601</v>
      </c>
      <c r="C300" s="220">
        <v>0</v>
      </c>
      <c r="D300" t="s">
        <v>49</v>
      </c>
    </row>
    <row r="301" spans="2:4">
      <c r="B301" t="s">
        <v>603</v>
      </c>
      <c r="C301" s="220">
        <v>0</v>
      </c>
      <c r="D301" t="s">
        <v>49</v>
      </c>
    </row>
    <row r="302" spans="2:4">
      <c r="B302" t="s">
        <v>605</v>
      </c>
      <c r="C302" s="220">
        <v>0</v>
      </c>
      <c r="D302" t="s">
        <v>49</v>
      </c>
    </row>
    <row r="303" spans="2:4">
      <c r="B303" t="s">
        <v>607</v>
      </c>
      <c r="C303" s="220">
        <v>0</v>
      </c>
      <c r="D303" t="s">
        <v>49</v>
      </c>
    </row>
    <row r="304" spans="2:4">
      <c r="B304" t="s">
        <v>3594</v>
      </c>
      <c r="C304" s="220">
        <v>1</v>
      </c>
      <c r="D304" t="s">
        <v>49</v>
      </c>
    </row>
    <row r="305" spans="2:4">
      <c r="B305" t="s">
        <v>609</v>
      </c>
      <c r="C305" s="220">
        <v>1</v>
      </c>
      <c r="D305" t="s">
        <v>49</v>
      </c>
    </row>
    <row r="306" spans="2:4">
      <c r="B306" t="s">
        <v>3338</v>
      </c>
      <c r="C306" s="220">
        <v>-0.01</v>
      </c>
      <c r="D306" t="s">
        <v>26</v>
      </c>
    </row>
    <row r="307" spans="2:4">
      <c r="B307" t="s">
        <v>3339</v>
      </c>
      <c r="C307" s="220">
        <v>0.14499999999999999</v>
      </c>
      <c r="D307" t="s">
        <v>26</v>
      </c>
    </row>
    <row r="308" spans="2:4">
      <c r="B308" t="s">
        <v>611</v>
      </c>
      <c r="D308" t="s">
        <v>59</v>
      </c>
    </row>
    <row r="309" spans="2:4">
      <c r="B309" t="s">
        <v>612</v>
      </c>
      <c r="C309" s="220" t="s">
        <v>614</v>
      </c>
      <c r="D309" t="s">
        <v>20</v>
      </c>
    </row>
    <row r="310" spans="2:4">
      <c r="B310" t="s">
        <v>615</v>
      </c>
      <c r="C310" s="220">
        <v>2</v>
      </c>
      <c r="D310" t="s">
        <v>46</v>
      </c>
    </row>
    <row r="311" spans="2:4">
      <c r="B311" t="s">
        <v>616</v>
      </c>
      <c r="C311" s="220">
        <v>1</v>
      </c>
      <c r="D311" t="s">
        <v>46</v>
      </c>
    </row>
    <row r="312" spans="2:4">
      <c r="B312" t="s">
        <v>618</v>
      </c>
      <c r="C312" s="220">
        <v>0</v>
      </c>
      <c r="D312" t="s">
        <v>49</v>
      </c>
    </row>
    <row r="313" spans="2:4">
      <c r="B313" t="s">
        <v>620</v>
      </c>
      <c r="C313" s="220">
        <v>0.02</v>
      </c>
      <c r="D313" t="s">
        <v>26</v>
      </c>
    </row>
    <row r="314" spans="2:4">
      <c r="B314" t="s">
        <v>623</v>
      </c>
      <c r="C314" s="220">
        <v>0.02</v>
      </c>
      <c r="D314" t="s">
        <v>26</v>
      </c>
    </row>
    <row r="315" spans="2:4">
      <c r="B315" t="s">
        <v>624</v>
      </c>
      <c r="C315" s="220">
        <v>0.02</v>
      </c>
      <c r="D315" t="s">
        <v>26</v>
      </c>
    </row>
    <row r="316" spans="2:4">
      <c r="B316" t="s">
        <v>626</v>
      </c>
      <c r="C316" s="220">
        <v>0.02</v>
      </c>
      <c r="D316" t="s">
        <v>26</v>
      </c>
    </row>
    <row r="317" spans="2:4">
      <c r="B317" t="s">
        <v>628</v>
      </c>
      <c r="C317" s="220">
        <v>1</v>
      </c>
      <c r="D317" t="s">
        <v>49</v>
      </c>
    </row>
    <row r="318" spans="2:4">
      <c r="B318" t="s">
        <v>630</v>
      </c>
      <c r="C318" s="220">
        <v>1</v>
      </c>
      <c r="D318" t="s">
        <v>55</v>
      </c>
    </row>
    <row r="319" spans="2:4">
      <c r="B319" t="s">
        <v>632</v>
      </c>
      <c r="C319" s="220">
        <v>1</v>
      </c>
      <c r="D319" t="s">
        <v>53</v>
      </c>
    </row>
    <row r="320" spans="2:4">
      <c r="B320" t="s">
        <v>634</v>
      </c>
      <c r="C320" s="220" t="s">
        <v>636</v>
      </c>
      <c r="D320" t="s">
        <v>20</v>
      </c>
    </row>
    <row r="321" spans="2:4">
      <c r="B321" t="s">
        <v>637</v>
      </c>
      <c r="C321" s="220">
        <v>1</v>
      </c>
      <c r="D321" t="s">
        <v>46</v>
      </c>
    </row>
    <row r="322" spans="2:4">
      <c r="B322" t="s">
        <v>638</v>
      </c>
      <c r="C322" s="220">
        <v>0.05</v>
      </c>
      <c r="D322" t="s">
        <v>26</v>
      </c>
    </row>
    <row r="323" spans="2:4">
      <c r="B323" t="s">
        <v>640</v>
      </c>
      <c r="C323" s="220" t="s">
        <v>642</v>
      </c>
      <c r="D323" t="s">
        <v>20</v>
      </c>
    </row>
    <row r="324" spans="2:4">
      <c r="B324" t="s">
        <v>643</v>
      </c>
      <c r="C324" s="220">
        <v>0</v>
      </c>
      <c r="D324" t="s">
        <v>46</v>
      </c>
    </row>
    <row r="325" spans="2:4">
      <c r="B325" t="s">
        <v>644</v>
      </c>
      <c r="C325" s="220">
        <v>0</v>
      </c>
      <c r="D325" t="s">
        <v>49</v>
      </c>
    </row>
    <row r="326" spans="2:4">
      <c r="B326" t="s">
        <v>646</v>
      </c>
      <c r="C326" s="220">
        <v>0</v>
      </c>
      <c r="D326" t="s">
        <v>26</v>
      </c>
    </row>
    <row r="327" spans="2:4">
      <c r="B327" t="s">
        <v>648</v>
      </c>
      <c r="C327" s="220">
        <v>0</v>
      </c>
      <c r="D327" t="s">
        <v>26</v>
      </c>
    </row>
    <row r="328" spans="2:4">
      <c r="B328" t="s">
        <v>649</v>
      </c>
      <c r="C328" s="220">
        <v>0</v>
      </c>
      <c r="D328" t="s">
        <v>26</v>
      </c>
    </row>
    <row r="329" spans="2:4">
      <c r="B329" t="s">
        <v>650</v>
      </c>
      <c r="C329" s="220" t="s">
        <v>651</v>
      </c>
      <c r="D329" t="s">
        <v>20</v>
      </c>
    </row>
    <row r="330" spans="2:4">
      <c r="B330" t="s">
        <v>652</v>
      </c>
      <c r="C330" s="220">
        <v>1</v>
      </c>
      <c r="D330" t="s">
        <v>46</v>
      </c>
    </row>
    <row r="331" spans="2:4">
      <c r="B331" t="s">
        <v>653</v>
      </c>
      <c r="C331" s="220" t="s">
        <v>655</v>
      </c>
      <c r="D331" t="s">
        <v>20</v>
      </c>
    </row>
    <row r="332" spans="2:4">
      <c r="B332" t="s">
        <v>656</v>
      </c>
      <c r="C332" s="220">
        <v>1</v>
      </c>
      <c r="D332" t="s">
        <v>46</v>
      </c>
    </row>
    <row r="333" spans="2:4">
      <c r="B333" t="s">
        <v>657</v>
      </c>
      <c r="C333" s="220">
        <v>15</v>
      </c>
      <c r="D333" t="s">
        <v>52</v>
      </c>
    </row>
    <row r="334" spans="2:4">
      <c r="B334" t="s">
        <v>659</v>
      </c>
      <c r="C334" s="220">
        <v>45</v>
      </c>
      <c r="D334" t="s">
        <v>52</v>
      </c>
    </row>
    <row r="335" spans="2:4">
      <c r="B335" t="s">
        <v>661</v>
      </c>
      <c r="C335" s="220">
        <v>15</v>
      </c>
      <c r="D335" t="s">
        <v>52</v>
      </c>
    </row>
    <row r="336" spans="2:4">
      <c r="B336" t="s">
        <v>663</v>
      </c>
      <c r="D336" t="s">
        <v>59</v>
      </c>
    </row>
    <row r="337" spans="2:4">
      <c r="B337" t="s">
        <v>665</v>
      </c>
      <c r="C337" s="220">
        <v>1</v>
      </c>
      <c r="D337" t="s">
        <v>49</v>
      </c>
    </row>
    <row r="338" spans="2:4">
      <c r="B338" t="s">
        <v>667</v>
      </c>
      <c r="C338" s="220">
        <v>11</v>
      </c>
      <c r="D338" t="s">
        <v>46</v>
      </c>
    </row>
    <row r="339" spans="2:4">
      <c r="B339" t="s">
        <v>669</v>
      </c>
      <c r="C339" s="220">
        <v>0.14499999999999999</v>
      </c>
      <c r="D339" t="s">
        <v>26</v>
      </c>
    </row>
    <row r="340" spans="2:4">
      <c r="B340" t="s">
        <v>671</v>
      </c>
      <c r="C340" s="220">
        <v>0.01</v>
      </c>
      <c r="D340" t="s">
        <v>26</v>
      </c>
    </row>
    <row r="341" spans="2:4">
      <c r="B341" t="s">
        <v>673</v>
      </c>
      <c r="C341" s="220">
        <v>0.01</v>
      </c>
      <c r="D341" t="s">
        <v>26</v>
      </c>
    </row>
    <row r="342" spans="2:4">
      <c r="B342" t="s">
        <v>675</v>
      </c>
      <c r="C342" s="220">
        <v>0.05</v>
      </c>
      <c r="D342" t="s">
        <v>26</v>
      </c>
    </row>
    <row r="343" spans="2:4">
      <c r="B343" t="s">
        <v>677</v>
      </c>
      <c r="C343" s="220">
        <v>0.03</v>
      </c>
      <c r="D343" t="s">
        <v>26</v>
      </c>
    </row>
    <row r="344" spans="2:4">
      <c r="B344" t="s">
        <v>679</v>
      </c>
      <c r="C344" s="220">
        <v>5.0000000000000001E-3</v>
      </c>
      <c r="D344" t="s">
        <v>26</v>
      </c>
    </row>
    <row r="345" spans="2:4">
      <c r="B345" t="s">
        <v>681</v>
      </c>
      <c r="C345" s="220">
        <v>0.02</v>
      </c>
      <c r="D345" t="s">
        <v>26</v>
      </c>
    </row>
    <row r="346" spans="2:4">
      <c r="B346" t="s">
        <v>683</v>
      </c>
      <c r="C346" s="220">
        <v>0.03</v>
      </c>
      <c r="D346" t="s">
        <v>26</v>
      </c>
    </row>
    <row r="347" spans="2:4">
      <c r="B347" t="s">
        <v>685</v>
      </c>
      <c r="C347" s="220">
        <v>0.03</v>
      </c>
      <c r="D347" t="s">
        <v>26</v>
      </c>
    </row>
    <row r="348" spans="2:4">
      <c r="B348" t="s">
        <v>687</v>
      </c>
      <c r="C348" s="220">
        <v>3</v>
      </c>
      <c r="D348" t="s">
        <v>33</v>
      </c>
    </row>
    <row r="349" spans="2:4">
      <c r="B349" t="s">
        <v>689</v>
      </c>
      <c r="C349" s="220">
        <v>0</v>
      </c>
      <c r="D349" t="s">
        <v>26</v>
      </c>
    </row>
    <row r="350" spans="2:4">
      <c r="B350" t="s">
        <v>691</v>
      </c>
      <c r="C350" s="220">
        <v>0</v>
      </c>
      <c r="D350" t="s">
        <v>26</v>
      </c>
    </row>
    <row r="351" spans="2:4">
      <c r="B351" t="s">
        <v>693</v>
      </c>
      <c r="C351" s="220">
        <v>0</v>
      </c>
      <c r="D351" t="s">
        <v>26</v>
      </c>
    </row>
    <row r="352" spans="2:4">
      <c r="B352" t="s">
        <v>695</v>
      </c>
      <c r="C352" s="220">
        <v>0</v>
      </c>
      <c r="D352" t="s">
        <v>26</v>
      </c>
    </row>
    <row r="353" spans="2:4">
      <c r="B353" t="s">
        <v>697</v>
      </c>
      <c r="C353" s="220">
        <v>0</v>
      </c>
      <c r="D353" t="s">
        <v>26</v>
      </c>
    </row>
    <row r="354" spans="2:4">
      <c r="B354" t="s">
        <v>699</v>
      </c>
      <c r="C354" s="220">
        <v>1</v>
      </c>
      <c r="D354" t="s">
        <v>49</v>
      </c>
    </row>
    <row r="355" spans="2:4">
      <c r="B355" t="s">
        <v>701</v>
      </c>
      <c r="C355" s="220">
        <v>1</v>
      </c>
      <c r="D355" t="s">
        <v>49</v>
      </c>
    </row>
    <row r="356" spans="2:4">
      <c r="B356" t="s">
        <v>703</v>
      </c>
      <c r="C356" s="220">
        <v>0</v>
      </c>
      <c r="D356" t="s">
        <v>49</v>
      </c>
    </row>
    <row r="357" spans="2:4">
      <c r="B357" t="s">
        <v>705</v>
      </c>
      <c r="C357" s="220">
        <v>1</v>
      </c>
      <c r="D357" t="s">
        <v>46</v>
      </c>
    </row>
    <row r="358" spans="2:4">
      <c r="B358" t="s">
        <v>707</v>
      </c>
      <c r="C358" s="220">
        <v>6.5000000000000002E-2</v>
      </c>
      <c r="D358" t="s">
        <v>26</v>
      </c>
    </row>
    <row r="359" spans="2:4">
      <c r="B359" t="s">
        <v>709</v>
      </c>
      <c r="C359" s="220">
        <v>1.4999999999999999E-2</v>
      </c>
      <c r="D359" t="s">
        <v>26</v>
      </c>
    </row>
    <row r="360" spans="2:4">
      <c r="B360" t="s">
        <v>710</v>
      </c>
      <c r="C360" s="220">
        <v>1</v>
      </c>
      <c r="D360" t="s">
        <v>55</v>
      </c>
    </row>
    <row r="361" spans="2:4">
      <c r="B361" t="s">
        <v>712</v>
      </c>
      <c r="C361" s="220">
        <v>1</v>
      </c>
      <c r="D361" t="s">
        <v>55</v>
      </c>
    </row>
    <row r="362" spans="2:4">
      <c r="B362" t="s">
        <v>714</v>
      </c>
      <c r="C362" s="220">
        <v>65</v>
      </c>
      <c r="D362" t="s">
        <v>54</v>
      </c>
    </row>
    <row r="363" spans="2:4">
      <c r="B363" t="s">
        <v>716</v>
      </c>
      <c r="C363" s="220">
        <v>19</v>
      </c>
      <c r="D363" t="s">
        <v>55</v>
      </c>
    </row>
    <row r="364" spans="2:4">
      <c r="B364" t="s">
        <v>718</v>
      </c>
      <c r="C364" s="220">
        <v>19</v>
      </c>
      <c r="D364" t="s">
        <v>55</v>
      </c>
    </row>
    <row r="365" spans="2:4">
      <c r="B365" t="s">
        <v>720</v>
      </c>
      <c r="C365" s="220">
        <v>1</v>
      </c>
      <c r="D365" t="s">
        <v>55</v>
      </c>
    </row>
    <row r="366" spans="2:4">
      <c r="B366" t="s">
        <v>722</v>
      </c>
      <c r="C366" s="220">
        <v>17</v>
      </c>
      <c r="D366" t="s">
        <v>54</v>
      </c>
    </row>
    <row r="367" spans="2:4">
      <c r="B367" t="s">
        <v>724</v>
      </c>
      <c r="C367" s="220">
        <v>1</v>
      </c>
      <c r="D367" t="s">
        <v>55</v>
      </c>
    </row>
    <row r="368" spans="2:4">
      <c r="B368" t="s">
        <v>726</v>
      </c>
      <c r="C368" s="220">
        <v>19</v>
      </c>
      <c r="D368" t="s">
        <v>55</v>
      </c>
    </row>
    <row r="369" spans="2:4">
      <c r="B369" t="s">
        <v>728</v>
      </c>
      <c r="C369" s="220">
        <v>1</v>
      </c>
      <c r="D369" t="s">
        <v>52</v>
      </c>
    </row>
    <row r="370" spans="2:4">
      <c r="B370" t="s">
        <v>730</v>
      </c>
      <c r="C370" s="220">
        <v>2</v>
      </c>
      <c r="D370" t="s">
        <v>52</v>
      </c>
    </row>
    <row r="371" spans="2:4">
      <c r="B371" t="s">
        <v>732</v>
      </c>
      <c r="D371" t="s">
        <v>59</v>
      </c>
    </row>
    <row r="372" spans="2:4">
      <c r="B372" t="s">
        <v>733</v>
      </c>
      <c r="C372" s="220">
        <v>0.05</v>
      </c>
      <c r="D372" t="s">
        <v>26</v>
      </c>
    </row>
    <row r="373" spans="2:4">
      <c r="B373" t="s">
        <v>735</v>
      </c>
      <c r="C373" s="220">
        <v>0.06</v>
      </c>
      <c r="D373" t="s">
        <v>26</v>
      </c>
    </row>
    <row r="374" spans="2:4">
      <c r="B374" t="s">
        <v>737</v>
      </c>
      <c r="C374" s="220">
        <v>0.06</v>
      </c>
      <c r="D374" t="s">
        <v>26</v>
      </c>
    </row>
    <row r="375" spans="2:4">
      <c r="B375" t="s">
        <v>739</v>
      </c>
      <c r="C375" s="220">
        <v>0.06</v>
      </c>
      <c r="D375" t="s">
        <v>26</v>
      </c>
    </row>
    <row r="376" spans="2:4">
      <c r="B376" t="s">
        <v>741</v>
      </c>
      <c r="C376" s="220">
        <v>0.06</v>
      </c>
      <c r="D376" t="s">
        <v>26</v>
      </c>
    </row>
    <row r="377" spans="2:4">
      <c r="B377" t="s">
        <v>743</v>
      </c>
      <c r="C377" s="220">
        <v>1</v>
      </c>
      <c r="D377" t="s">
        <v>55</v>
      </c>
    </row>
    <row r="378" spans="2:4">
      <c r="B378" t="s">
        <v>745</v>
      </c>
      <c r="C378" s="220">
        <v>1</v>
      </c>
      <c r="D378" t="s">
        <v>55</v>
      </c>
    </row>
    <row r="379" spans="2:4">
      <c r="B379" t="s">
        <v>747</v>
      </c>
      <c r="C379" s="220">
        <v>65</v>
      </c>
      <c r="D379" t="s">
        <v>54</v>
      </c>
    </row>
    <row r="380" spans="2:4">
      <c r="B380" t="s">
        <v>749</v>
      </c>
      <c r="C380" s="220">
        <v>19</v>
      </c>
      <c r="D380" t="s">
        <v>55</v>
      </c>
    </row>
    <row r="381" spans="2:4">
      <c r="B381" t="s">
        <v>751</v>
      </c>
      <c r="C381" s="220">
        <v>19</v>
      </c>
      <c r="D381" t="s">
        <v>55</v>
      </c>
    </row>
    <row r="382" spans="2:4">
      <c r="B382" t="s">
        <v>753</v>
      </c>
      <c r="C382" s="220">
        <v>15</v>
      </c>
      <c r="D382" t="s">
        <v>52</v>
      </c>
    </row>
    <row r="383" spans="2:4">
      <c r="B383" t="s">
        <v>755</v>
      </c>
      <c r="D383" t="s">
        <v>59</v>
      </c>
    </row>
    <row r="384" spans="2:4">
      <c r="B384" t="s">
        <v>759</v>
      </c>
      <c r="C384" s="220" t="s">
        <v>3677</v>
      </c>
      <c r="D384" t="s">
        <v>20</v>
      </c>
    </row>
    <row r="385" spans="2:4">
      <c r="B385" t="s">
        <v>763</v>
      </c>
      <c r="C385" s="220">
        <v>1</v>
      </c>
      <c r="D385" t="s">
        <v>46</v>
      </c>
    </row>
    <row r="386" spans="2:4">
      <c r="B386" t="s">
        <v>3382</v>
      </c>
      <c r="D386" t="s">
        <v>20</v>
      </c>
    </row>
    <row r="387" spans="2:4">
      <c r="B387" t="s">
        <v>3384</v>
      </c>
      <c r="C387" s="220" t="s">
        <v>3155</v>
      </c>
      <c r="D387" t="s">
        <v>20</v>
      </c>
    </row>
    <row r="388" spans="2:4">
      <c r="B388" t="s">
        <v>3533</v>
      </c>
      <c r="C388" s="220">
        <v>3</v>
      </c>
      <c r="D388" t="s">
        <v>46</v>
      </c>
    </row>
    <row r="389" spans="2:4">
      <c r="B389" t="s">
        <v>3386</v>
      </c>
      <c r="C389" s="220" t="s">
        <v>3678</v>
      </c>
      <c r="D389" t="s">
        <v>20</v>
      </c>
    </row>
    <row r="390" spans="2:4">
      <c r="B390" t="s">
        <v>768</v>
      </c>
      <c r="C390" s="220">
        <v>1</v>
      </c>
      <c r="D390" t="s">
        <v>49</v>
      </c>
    </row>
    <row r="391" spans="2:4">
      <c r="B391" t="s">
        <v>770</v>
      </c>
      <c r="C391" s="220">
        <v>0.03</v>
      </c>
      <c r="D391" t="s">
        <v>26</v>
      </c>
    </row>
    <row r="392" spans="2:4">
      <c r="B392" t="s">
        <v>772</v>
      </c>
      <c r="C392" s="220">
        <v>0.03</v>
      </c>
      <c r="D392" t="s">
        <v>26</v>
      </c>
    </row>
    <row r="393" spans="2:4">
      <c r="B393" t="s">
        <v>774</v>
      </c>
      <c r="C393" s="220">
        <v>0.03</v>
      </c>
      <c r="D393" t="s">
        <v>26</v>
      </c>
    </row>
    <row r="394" spans="2:4">
      <c r="B394" t="s">
        <v>776</v>
      </c>
      <c r="C394" s="220">
        <v>0.06</v>
      </c>
      <c r="D394" t="s">
        <v>26</v>
      </c>
    </row>
    <row r="395" spans="2:4">
      <c r="B395" t="s">
        <v>778</v>
      </c>
      <c r="C395" s="220">
        <v>0.06</v>
      </c>
      <c r="D395" t="s">
        <v>26</v>
      </c>
    </row>
    <row r="396" spans="2:4">
      <c r="B396" t="s">
        <v>780</v>
      </c>
      <c r="C396" s="220">
        <v>0.03</v>
      </c>
      <c r="D396" t="s">
        <v>26</v>
      </c>
    </row>
    <row r="397" spans="2:4">
      <c r="B397" t="s">
        <v>782</v>
      </c>
      <c r="C397" s="220">
        <v>0.06</v>
      </c>
      <c r="D397" t="s">
        <v>26</v>
      </c>
    </row>
    <row r="398" spans="2:4">
      <c r="B398" t="s">
        <v>784</v>
      </c>
      <c r="C398" s="220">
        <v>0.06</v>
      </c>
      <c r="D398" t="s">
        <v>26</v>
      </c>
    </row>
    <row r="399" spans="2:4">
      <c r="B399" t="s">
        <v>786</v>
      </c>
      <c r="C399" s="220">
        <v>0.155</v>
      </c>
      <c r="D399" t="s">
        <v>26</v>
      </c>
    </row>
    <row r="400" spans="2:4">
      <c r="B400" t="s">
        <v>3521</v>
      </c>
      <c r="C400" s="220">
        <v>1</v>
      </c>
      <c r="D400" t="s">
        <v>49</v>
      </c>
    </row>
    <row r="401" spans="2:4">
      <c r="B401" t="s">
        <v>3528</v>
      </c>
      <c r="C401" s="220">
        <v>7.0000000000000007E-2</v>
      </c>
      <c r="D401" t="s">
        <v>26</v>
      </c>
    </row>
    <row r="402" spans="2:4">
      <c r="B402" t="s">
        <v>3529</v>
      </c>
      <c r="C402" s="220">
        <v>0.155</v>
      </c>
      <c r="D402" t="s">
        <v>26</v>
      </c>
    </row>
    <row r="403" spans="2:4">
      <c r="B403" t="s">
        <v>3530</v>
      </c>
      <c r="C403" s="220">
        <v>7.0000000000000007E-2</v>
      </c>
      <c r="D403" t="s">
        <v>26</v>
      </c>
    </row>
    <row r="404" spans="2:4">
      <c r="B404" t="s">
        <v>3531</v>
      </c>
      <c r="C404" s="220">
        <v>7.0000000000000007E-2</v>
      </c>
      <c r="D404" t="s">
        <v>26</v>
      </c>
    </row>
    <row r="405" spans="2:4">
      <c r="B405" t="s">
        <v>3532</v>
      </c>
      <c r="C405" s="220">
        <v>0.155</v>
      </c>
      <c r="D405" t="s">
        <v>26</v>
      </c>
    </row>
    <row r="406" spans="2:4">
      <c r="B406" t="s">
        <v>3546</v>
      </c>
      <c r="C406" s="220">
        <v>4.4999999999999998E-2</v>
      </c>
      <c r="D406" t="s">
        <v>26</v>
      </c>
    </row>
    <row r="407" spans="2:4">
      <c r="B407" t="s">
        <v>3547</v>
      </c>
      <c r="C407" s="220">
        <v>0.06</v>
      </c>
      <c r="D407" t="s">
        <v>26</v>
      </c>
    </row>
    <row r="408" spans="2:4">
      <c r="B408" t="s">
        <v>3548</v>
      </c>
      <c r="C408" s="220">
        <v>4.4999999999999998E-2</v>
      </c>
      <c r="D408" t="s">
        <v>26</v>
      </c>
    </row>
    <row r="409" spans="2:4">
      <c r="B409" t="s">
        <v>3551</v>
      </c>
      <c r="C409" s="220">
        <v>8.5000000000000006E-2</v>
      </c>
      <c r="D409" t="s">
        <v>26</v>
      </c>
    </row>
    <row r="410" spans="2:4">
      <c r="B410" t="s">
        <v>3599</v>
      </c>
      <c r="C410" s="220">
        <v>1.0349999999999999</v>
      </c>
      <c r="D410" t="s">
        <v>26</v>
      </c>
    </row>
    <row r="411" spans="2:4">
      <c r="B411" t="s">
        <v>3600</v>
      </c>
      <c r="C411" s="220">
        <v>2.0350000000000001</v>
      </c>
      <c r="D411" t="s">
        <v>26</v>
      </c>
    </row>
    <row r="412" spans="2:4">
      <c r="B412" t="s">
        <v>801</v>
      </c>
      <c r="C412" s="220">
        <v>2</v>
      </c>
      <c r="D412" t="s">
        <v>46</v>
      </c>
    </row>
    <row r="413" spans="2:4">
      <c r="B413" t="s">
        <v>804</v>
      </c>
      <c r="C413" s="220">
        <v>1.4999999999999999E-2</v>
      </c>
      <c r="D413" t="s">
        <v>26</v>
      </c>
    </row>
    <row r="414" spans="2:4">
      <c r="B414" t="s">
        <v>807</v>
      </c>
      <c r="C414" s="220">
        <v>0.04</v>
      </c>
      <c r="D414" t="s">
        <v>26</v>
      </c>
    </row>
    <row r="415" spans="2:4">
      <c r="B415" t="s">
        <v>3549</v>
      </c>
      <c r="C415" s="220">
        <v>0</v>
      </c>
      <c r="D415" t="s">
        <v>26</v>
      </c>
    </row>
    <row r="416" spans="2:4">
      <c r="B416" t="s">
        <v>809</v>
      </c>
      <c r="C416" s="220" t="s">
        <v>35</v>
      </c>
      <c r="D416" t="s">
        <v>26</v>
      </c>
    </row>
    <row r="417" spans="2:4">
      <c r="B417" t="s">
        <v>813</v>
      </c>
      <c r="C417" s="220">
        <v>1</v>
      </c>
      <c r="D417" t="s">
        <v>49</v>
      </c>
    </row>
    <row r="418" spans="2:4">
      <c r="B418" t="s">
        <v>815</v>
      </c>
      <c r="C418" s="220">
        <v>0.05</v>
      </c>
      <c r="D418" t="s">
        <v>26</v>
      </c>
    </row>
    <row r="419" spans="2:4">
      <c r="B419" t="s">
        <v>817</v>
      </c>
      <c r="C419" s="220">
        <v>0.06</v>
      </c>
      <c r="D419" t="s">
        <v>26</v>
      </c>
    </row>
    <row r="420" spans="2:4">
      <c r="B420" t="s">
        <v>819</v>
      </c>
      <c r="C420" s="220">
        <v>0.01</v>
      </c>
      <c r="D420" t="s">
        <v>26</v>
      </c>
    </row>
    <row r="421" spans="2:4">
      <c r="B421" t="s">
        <v>821</v>
      </c>
      <c r="C421" s="220">
        <v>0.01</v>
      </c>
      <c r="D421" t="s">
        <v>26</v>
      </c>
    </row>
    <row r="422" spans="2:4">
      <c r="B422" t="s">
        <v>823</v>
      </c>
      <c r="C422" s="220">
        <v>0.01</v>
      </c>
      <c r="D422" t="s">
        <v>26</v>
      </c>
    </row>
    <row r="423" spans="2:4">
      <c r="B423" t="s">
        <v>825</v>
      </c>
      <c r="C423" s="220">
        <v>133</v>
      </c>
      <c r="D423" t="s">
        <v>52</v>
      </c>
    </row>
    <row r="424" spans="2:4">
      <c r="B424" t="s">
        <v>3425</v>
      </c>
      <c r="C424" s="220" t="s">
        <v>828</v>
      </c>
      <c r="D424" t="s">
        <v>20</v>
      </c>
    </row>
    <row r="425" spans="2:4">
      <c r="B425" t="s">
        <v>3426</v>
      </c>
      <c r="C425" s="220" t="s">
        <v>828</v>
      </c>
      <c r="D425" t="s">
        <v>20</v>
      </c>
    </row>
    <row r="426" spans="2:4">
      <c r="B426" t="s">
        <v>3427</v>
      </c>
      <c r="C426" s="220" t="s">
        <v>3429</v>
      </c>
      <c r="D426" t="s">
        <v>20</v>
      </c>
    </row>
    <row r="427" spans="2:4">
      <c r="B427" t="s">
        <v>3428</v>
      </c>
      <c r="C427" s="220" t="s">
        <v>3429</v>
      </c>
      <c r="D427" t="s">
        <v>20</v>
      </c>
    </row>
    <row r="428" spans="2:4">
      <c r="B428" t="s">
        <v>3387</v>
      </c>
      <c r="C428" s="220">
        <v>0.15</v>
      </c>
      <c r="D428" t="s">
        <v>26</v>
      </c>
    </row>
    <row r="429" spans="2:4">
      <c r="B429" t="s">
        <v>3389</v>
      </c>
      <c r="C429" s="220">
        <v>1</v>
      </c>
      <c r="D429" t="s">
        <v>46</v>
      </c>
    </row>
    <row r="430" spans="2:4">
      <c r="B430" t="s">
        <v>3391</v>
      </c>
      <c r="C430" s="220">
        <v>0.02</v>
      </c>
      <c r="D430" t="s">
        <v>26</v>
      </c>
    </row>
    <row r="431" spans="2:4">
      <c r="B431" t="s">
        <v>3517</v>
      </c>
      <c r="C431" s="220">
        <v>0</v>
      </c>
      <c r="D431" t="s">
        <v>26</v>
      </c>
    </row>
    <row r="432" spans="2:4">
      <c r="B432" t="s">
        <v>3519</v>
      </c>
      <c r="C432" s="220">
        <v>0</v>
      </c>
      <c r="D432" t="s">
        <v>26</v>
      </c>
    </row>
    <row r="433" spans="2:4">
      <c r="B433" t="s">
        <v>834</v>
      </c>
      <c r="D433" t="s">
        <v>59</v>
      </c>
    </row>
    <row r="434" spans="2:4">
      <c r="B434" t="s">
        <v>836</v>
      </c>
      <c r="C434" s="220">
        <v>0</v>
      </c>
      <c r="D434" t="s">
        <v>49</v>
      </c>
    </row>
    <row r="435" spans="2:4">
      <c r="B435" t="s">
        <v>838</v>
      </c>
      <c r="C435" s="220">
        <v>1.1499999999999999</v>
      </c>
      <c r="D435" t="s">
        <v>26</v>
      </c>
    </row>
    <row r="436" spans="2:4">
      <c r="B436" t="s">
        <v>840</v>
      </c>
      <c r="C436" s="220">
        <v>0.59</v>
      </c>
      <c r="D436" t="s">
        <v>26</v>
      </c>
    </row>
    <row r="437" spans="2:4">
      <c r="B437" t="s">
        <v>3606</v>
      </c>
      <c r="C437" s="220">
        <v>0.63500000000000001</v>
      </c>
      <c r="D437" t="s">
        <v>26</v>
      </c>
    </row>
    <row r="438" spans="2:4">
      <c r="B438" t="s">
        <v>847</v>
      </c>
      <c r="C438" s="220">
        <v>0.63500000000000001</v>
      </c>
      <c r="D438" t="s">
        <v>26</v>
      </c>
    </row>
    <row r="439" spans="2:4">
      <c r="B439" t="s">
        <v>849</v>
      </c>
      <c r="C439" s="220">
        <v>2.395</v>
      </c>
      <c r="D439" t="s">
        <v>26</v>
      </c>
    </row>
    <row r="440" spans="2:4">
      <c r="B440" t="s">
        <v>3609</v>
      </c>
      <c r="C440" s="220">
        <v>2.0950000000000002</v>
      </c>
      <c r="D440" t="s">
        <v>26</v>
      </c>
    </row>
    <row r="441" spans="2:4">
      <c r="B441" t="s">
        <v>851</v>
      </c>
      <c r="C441" s="220">
        <v>0</v>
      </c>
      <c r="D441" t="s">
        <v>46</v>
      </c>
    </row>
    <row r="442" spans="2:4">
      <c r="B442" t="s">
        <v>853</v>
      </c>
      <c r="C442" s="220">
        <v>0</v>
      </c>
      <c r="D442" t="s">
        <v>46</v>
      </c>
    </row>
    <row r="443" spans="2:4">
      <c r="B443" t="s">
        <v>855</v>
      </c>
      <c r="C443" s="220">
        <v>0.06</v>
      </c>
      <c r="D443" t="s">
        <v>26</v>
      </c>
    </row>
    <row r="444" spans="2:4">
      <c r="B444" t="s">
        <v>857</v>
      </c>
      <c r="C444" s="220">
        <v>0.1</v>
      </c>
      <c r="D444" t="s">
        <v>26</v>
      </c>
    </row>
    <row r="445" spans="2:4">
      <c r="B445" t="s">
        <v>3335</v>
      </c>
      <c r="C445" s="220">
        <v>8.0000000000000002E-3</v>
      </c>
      <c r="D445" t="s">
        <v>26</v>
      </c>
    </row>
    <row r="446" spans="2:4">
      <c r="B446" t="s">
        <v>3336</v>
      </c>
      <c r="C446" s="220">
        <v>8.0000000000000002E-3</v>
      </c>
      <c r="D446" t="s">
        <v>26</v>
      </c>
    </row>
    <row r="447" spans="2:4">
      <c r="B447" t="s">
        <v>3596</v>
      </c>
      <c r="C447" s="220" t="s">
        <v>35</v>
      </c>
      <c r="D447" t="s">
        <v>20</v>
      </c>
    </row>
    <row r="448" spans="2:4">
      <c r="B448" t="s">
        <v>861</v>
      </c>
      <c r="D448" t="s">
        <v>59</v>
      </c>
    </row>
    <row r="449" spans="2:4">
      <c r="B449" t="s">
        <v>864</v>
      </c>
      <c r="C449" s="220">
        <v>0.4</v>
      </c>
      <c r="D449" t="s">
        <v>26</v>
      </c>
    </row>
    <row r="450" spans="2:4">
      <c r="B450" t="s">
        <v>866</v>
      </c>
      <c r="C450" s="220">
        <v>0</v>
      </c>
      <c r="D450" t="s">
        <v>46</v>
      </c>
    </row>
    <row r="451" spans="2:4">
      <c r="B451" t="s">
        <v>3337</v>
      </c>
      <c r="C451" s="220">
        <v>8.0000000000000002E-3</v>
      </c>
      <c r="D451" t="s">
        <v>26</v>
      </c>
    </row>
    <row r="452" spans="2:4">
      <c r="B452" t="s">
        <v>874</v>
      </c>
      <c r="D452" t="s">
        <v>59</v>
      </c>
    </row>
    <row r="453" spans="2:4">
      <c r="B453" t="s">
        <v>876</v>
      </c>
      <c r="C453" s="220" t="s">
        <v>3393</v>
      </c>
      <c r="D453" t="s">
        <v>20</v>
      </c>
    </row>
    <row r="454" spans="2:4">
      <c r="B454" t="s">
        <v>889</v>
      </c>
      <c r="C454" s="220">
        <v>27</v>
      </c>
      <c r="D454" t="s">
        <v>46</v>
      </c>
    </row>
    <row r="455" spans="2:4">
      <c r="B455" t="s">
        <v>890</v>
      </c>
      <c r="C455" s="220">
        <v>1</v>
      </c>
      <c r="D455" t="s">
        <v>46</v>
      </c>
    </row>
    <row r="456" spans="2:4">
      <c r="B456" t="s">
        <v>3394</v>
      </c>
      <c r="C456" s="220" t="s">
        <v>3395</v>
      </c>
      <c r="D456" t="s">
        <v>20</v>
      </c>
    </row>
    <row r="457" spans="2:4">
      <c r="B457" t="s">
        <v>3396</v>
      </c>
      <c r="D457" t="s">
        <v>20</v>
      </c>
    </row>
    <row r="458" spans="2:4">
      <c r="B458" t="s">
        <v>882</v>
      </c>
      <c r="D458" t="s">
        <v>20</v>
      </c>
    </row>
    <row r="459" spans="2:4">
      <c r="B459" t="s">
        <v>884</v>
      </c>
      <c r="D459" t="s">
        <v>20</v>
      </c>
    </row>
    <row r="460" spans="2:4">
      <c r="B460" t="s">
        <v>3397</v>
      </c>
      <c r="C460" s="220" t="s">
        <v>3155</v>
      </c>
      <c r="D460" t="s">
        <v>20</v>
      </c>
    </row>
    <row r="461" spans="2:4">
      <c r="B461" t="s">
        <v>3400</v>
      </c>
      <c r="C461" s="220">
        <v>3</v>
      </c>
      <c r="D461" t="s">
        <v>46</v>
      </c>
    </row>
    <row r="462" spans="2:4">
      <c r="B462" t="s">
        <v>3401</v>
      </c>
      <c r="C462" s="220">
        <v>0</v>
      </c>
      <c r="D462" t="s">
        <v>46</v>
      </c>
    </row>
    <row r="463" spans="2:4">
      <c r="B463" t="s">
        <v>3403</v>
      </c>
      <c r="C463" s="220" t="s">
        <v>35</v>
      </c>
      <c r="D463" t="s">
        <v>46</v>
      </c>
    </row>
    <row r="464" spans="2:4">
      <c r="B464" t="s">
        <v>3405</v>
      </c>
      <c r="C464" s="220" t="s">
        <v>35</v>
      </c>
      <c r="D464" t="s">
        <v>46</v>
      </c>
    </row>
    <row r="465" spans="2:4">
      <c r="B465" t="s">
        <v>3407</v>
      </c>
      <c r="C465" s="220" t="s">
        <v>35</v>
      </c>
      <c r="D465" t="s">
        <v>20</v>
      </c>
    </row>
    <row r="466" spans="2:4">
      <c r="B466" t="s">
        <v>3409</v>
      </c>
      <c r="C466" s="220">
        <v>0</v>
      </c>
      <c r="D466" t="s">
        <v>46</v>
      </c>
    </row>
    <row r="467" spans="2:4">
      <c r="B467" t="s">
        <v>3410</v>
      </c>
      <c r="C467" s="220" t="s">
        <v>3679</v>
      </c>
      <c r="D467" t="s">
        <v>20</v>
      </c>
    </row>
    <row r="468" spans="2:4">
      <c r="B468" t="s">
        <v>3411</v>
      </c>
      <c r="C468" s="220" t="s">
        <v>828</v>
      </c>
      <c r="D468" t="s">
        <v>20</v>
      </c>
    </row>
    <row r="469" spans="2:4">
      <c r="B469" t="s">
        <v>3423</v>
      </c>
      <c r="C469" s="220" t="s">
        <v>3680</v>
      </c>
      <c r="D469" t="s">
        <v>20</v>
      </c>
    </row>
    <row r="470" spans="2:4">
      <c r="B470" t="s">
        <v>3424</v>
      </c>
      <c r="C470" s="220" t="s">
        <v>3429</v>
      </c>
      <c r="D470" t="s">
        <v>20</v>
      </c>
    </row>
    <row r="471" spans="2:4">
      <c r="B471" t="s">
        <v>3448</v>
      </c>
      <c r="C471" s="220">
        <v>3</v>
      </c>
      <c r="D471" t="s">
        <v>46</v>
      </c>
    </row>
    <row r="472" spans="2:4">
      <c r="B472" t="s">
        <v>3449</v>
      </c>
      <c r="C472" s="220">
        <v>0</v>
      </c>
      <c r="D472" t="s">
        <v>46</v>
      </c>
    </row>
    <row r="473" spans="2:4">
      <c r="B473" t="s">
        <v>3450</v>
      </c>
      <c r="C473" s="220" t="s">
        <v>35</v>
      </c>
      <c r="D473" t="s">
        <v>46</v>
      </c>
    </row>
    <row r="474" spans="2:4">
      <c r="B474" t="s">
        <v>3451</v>
      </c>
      <c r="C474" s="220" t="s">
        <v>35</v>
      </c>
      <c r="D474" t="s">
        <v>46</v>
      </c>
    </row>
    <row r="475" spans="2:4">
      <c r="B475" t="s">
        <v>3437</v>
      </c>
      <c r="C475" s="220" t="s">
        <v>35</v>
      </c>
      <c r="D475" t="s">
        <v>20</v>
      </c>
    </row>
    <row r="476" spans="2:4">
      <c r="B476" t="s">
        <v>3473</v>
      </c>
      <c r="C476" s="220">
        <v>0</v>
      </c>
      <c r="D476" t="s">
        <v>46</v>
      </c>
    </row>
    <row r="477" spans="2:4">
      <c r="B477" t="s">
        <v>3452</v>
      </c>
      <c r="C477" s="220" t="s">
        <v>3679</v>
      </c>
      <c r="D477" t="s">
        <v>20</v>
      </c>
    </row>
    <row r="478" spans="2:4">
      <c r="B478" t="s">
        <v>3453</v>
      </c>
      <c r="C478" s="220" t="s">
        <v>828</v>
      </c>
      <c r="D478" t="s">
        <v>20</v>
      </c>
    </row>
    <row r="479" spans="2:4">
      <c r="B479" t="s">
        <v>3454</v>
      </c>
      <c r="C479" s="220" t="s">
        <v>3680</v>
      </c>
      <c r="D479" t="s">
        <v>20</v>
      </c>
    </row>
    <row r="480" spans="2:4">
      <c r="B480" t="s">
        <v>3455</v>
      </c>
      <c r="C480" s="220" t="s">
        <v>3429</v>
      </c>
      <c r="D480" t="s">
        <v>20</v>
      </c>
    </row>
    <row r="481" spans="2:4">
      <c r="B481" t="s">
        <v>931</v>
      </c>
      <c r="D481" t="s">
        <v>59</v>
      </c>
    </row>
    <row r="482" spans="2:4">
      <c r="B482" t="s">
        <v>885</v>
      </c>
      <c r="C482" s="220">
        <v>0</v>
      </c>
      <c r="D482" t="s">
        <v>49</v>
      </c>
    </row>
    <row r="483" spans="2:4">
      <c r="B483" t="s">
        <v>887</v>
      </c>
      <c r="C483" s="220">
        <v>0</v>
      </c>
      <c r="D483" t="s">
        <v>49</v>
      </c>
    </row>
    <row r="484" spans="2:4">
      <c r="B484" t="s">
        <v>892</v>
      </c>
      <c r="C484" s="220">
        <v>0</v>
      </c>
      <c r="D484" t="s">
        <v>49</v>
      </c>
    </row>
    <row r="485" spans="2:4">
      <c r="B485" t="s">
        <v>894</v>
      </c>
      <c r="C485" s="220">
        <v>0</v>
      </c>
      <c r="D485" t="s">
        <v>26</v>
      </c>
    </row>
    <row r="486" spans="2:4">
      <c r="B486" t="s">
        <v>3474</v>
      </c>
      <c r="C486" s="220">
        <v>0.85</v>
      </c>
      <c r="D486" t="s">
        <v>26</v>
      </c>
    </row>
    <row r="487" spans="2:4">
      <c r="B487" t="s">
        <v>3476</v>
      </c>
      <c r="C487" s="220">
        <v>1.3</v>
      </c>
      <c r="D487" t="s">
        <v>26</v>
      </c>
    </row>
    <row r="488" spans="2:4">
      <c r="B488" t="s">
        <v>3398</v>
      </c>
      <c r="C488" s="220">
        <v>1</v>
      </c>
      <c r="D488" t="s">
        <v>46</v>
      </c>
    </row>
    <row r="489" spans="2:4">
      <c r="B489" t="s">
        <v>3434</v>
      </c>
      <c r="C489" s="220">
        <v>1</v>
      </c>
      <c r="D489" t="s">
        <v>46</v>
      </c>
    </row>
    <row r="490" spans="2:4">
      <c r="B490" t="s">
        <v>922</v>
      </c>
      <c r="C490" s="220">
        <v>5.0000000000000001E-3</v>
      </c>
      <c r="D490" t="s">
        <v>26</v>
      </c>
    </row>
    <row r="491" spans="2:4">
      <c r="B491" t="s">
        <v>896</v>
      </c>
      <c r="C491" s="220">
        <v>5.8000000000000003E-2</v>
      </c>
      <c r="D491" t="s">
        <v>26</v>
      </c>
    </row>
    <row r="492" spans="2:4">
      <c r="B492" t="s">
        <v>3433</v>
      </c>
      <c r="C492" s="220" t="s">
        <v>35</v>
      </c>
      <c r="D492" t="s">
        <v>26</v>
      </c>
    </row>
    <row r="493" spans="2:4">
      <c r="B493" t="s">
        <v>900</v>
      </c>
      <c r="C493" s="220">
        <v>0</v>
      </c>
      <c r="D493" t="s">
        <v>26</v>
      </c>
    </row>
    <row r="494" spans="2:4">
      <c r="B494" t="s">
        <v>902</v>
      </c>
      <c r="C494" s="220">
        <v>1.2999999999999999E-2</v>
      </c>
      <c r="D494" t="s">
        <v>26</v>
      </c>
    </row>
    <row r="495" spans="2:4">
      <c r="B495" t="s">
        <v>3413</v>
      </c>
      <c r="C495" s="220">
        <v>1.7999999999999999E-2</v>
      </c>
      <c r="D495" t="s">
        <v>26</v>
      </c>
    </row>
    <row r="496" spans="2:4">
      <c r="B496" t="s">
        <v>926</v>
      </c>
      <c r="C496" s="220">
        <v>0</v>
      </c>
      <c r="D496" t="s">
        <v>26</v>
      </c>
    </row>
    <row r="497" spans="2:4">
      <c r="B497" t="s">
        <v>929</v>
      </c>
      <c r="C497" s="220">
        <v>0</v>
      </c>
      <c r="D497" t="s">
        <v>26</v>
      </c>
    </row>
    <row r="498" spans="2:4">
      <c r="B498" t="s">
        <v>932</v>
      </c>
      <c r="C498" s="220">
        <v>0.02</v>
      </c>
      <c r="D498" t="s">
        <v>26</v>
      </c>
    </row>
    <row r="499" spans="2:4">
      <c r="B499" t="s">
        <v>3415</v>
      </c>
      <c r="C499" s="220" t="s">
        <v>35</v>
      </c>
      <c r="D499" t="s">
        <v>26</v>
      </c>
    </row>
    <row r="500" spans="2:4">
      <c r="B500" t="s">
        <v>998</v>
      </c>
      <c r="C500" s="220">
        <v>0.16</v>
      </c>
      <c r="D500" t="s">
        <v>26</v>
      </c>
    </row>
    <row r="501" spans="2:4">
      <c r="B501" t="s">
        <v>1002</v>
      </c>
      <c r="C501" s="220">
        <v>0.16</v>
      </c>
      <c r="D501" t="s">
        <v>26</v>
      </c>
    </row>
    <row r="502" spans="2:4">
      <c r="B502" t="s">
        <v>1006</v>
      </c>
      <c r="C502" s="220">
        <v>0.22</v>
      </c>
      <c r="D502" t="s">
        <v>26</v>
      </c>
    </row>
    <row r="503" spans="2:4">
      <c r="B503" t="s">
        <v>1010</v>
      </c>
      <c r="C503" s="220">
        <v>0.16</v>
      </c>
      <c r="D503" t="s">
        <v>26</v>
      </c>
    </row>
    <row r="504" spans="2:4">
      <c r="B504" t="s">
        <v>1014</v>
      </c>
      <c r="C504" s="220">
        <v>3</v>
      </c>
      <c r="D504" t="s">
        <v>46</v>
      </c>
    </row>
    <row r="505" spans="2:4">
      <c r="B505" t="s">
        <v>1018</v>
      </c>
      <c r="C505" s="220">
        <v>2</v>
      </c>
      <c r="D505" t="s">
        <v>46</v>
      </c>
    </row>
    <row r="506" spans="2:4">
      <c r="B506" t="s">
        <v>1022</v>
      </c>
      <c r="C506" s="220">
        <v>2.1999999999999999E-2</v>
      </c>
      <c r="D506" t="s">
        <v>26</v>
      </c>
    </row>
    <row r="507" spans="2:4">
      <c r="B507" t="s">
        <v>1026</v>
      </c>
      <c r="C507" s="220">
        <v>1.2500000000000001E-2</v>
      </c>
      <c r="D507" t="s">
        <v>26</v>
      </c>
    </row>
    <row r="508" spans="2:4">
      <c r="B508" t="s">
        <v>1030</v>
      </c>
      <c r="C508" s="220">
        <v>0.2</v>
      </c>
      <c r="D508" t="s">
        <v>26</v>
      </c>
    </row>
    <row r="509" spans="2:4">
      <c r="B509" t="s">
        <v>1034</v>
      </c>
      <c r="C509" s="220">
        <v>0.35</v>
      </c>
      <c r="D509" t="s">
        <v>26</v>
      </c>
    </row>
    <row r="510" spans="2:4">
      <c r="B510" t="s">
        <v>1038</v>
      </c>
      <c r="C510" s="220">
        <v>0.315</v>
      </c>
      <c r="D510" t="s">
        <v>26</v>
      </c>
    </row>
    <row r="511" spans="2:4">
      <c r="B511" t="s">
        <v>1042</v>
      </c>
      <c r="C511" s="220">
        <v>1.4</v>
      </c>
      <c r="D511" t="s">
        <v>26</v>
      </c>
    </row>
    <row r="512" spans="2:4">
      <c r="B512" t="s">
        <v>1046</v>
      </c>
      <c r="C512" s="220">
        <v>0.51500000000000001</v>
      </c>
      <c r="D512" t="s">
        <v>26</v>
      </c>
    </row>
    <row r="513" spans="2:4">
      <c r="B513" t="s">
        <v>3417</v>
      </c>
      <c r="C513" s="220">
        <v>0.16</v>
      </c>
      <c r="D513" t="s">
        <v>26</v>
      </c>
    </row>
    <row r="514" spans="2:4">
      <c r="B514" t="s">
        <v>3419</v>
      </c>
      <c r="C514" s="220">
        <v>0.16</v>
      </c>
      <c r="D514" t="s">
        <v>26</v>
      </c>
    </row>
    <row r="515" spans="2:4">
      <c r="B515" t="s">
        <v>3421</v>
      </c>
      <c r="C515" s="220">
        <v>0</v>
      </c>
      <c r="D515" t="s">
        <v>26</v>
      </c>
    </row>
    <row r="516" spans="2:4">
      <c r="B516" t="s">
        <v>3431</v>
      </c>
      <c r="C516" s="220">
        <v>1</v>
      </c>
      <c r="D516" t="s">
        <v>46</v>
      </c>
    </row>
    <row r="517" spans="2:4">
      <c r="B517" t="s">
        <v>3510</v>
      </c>
      <c r="C517" s="220">
        <v>4.0000000000000001E-3</v>
      </c>
      <c r="D517" t="s">
        <v>26</v>
      </c>
    </row>
    <row r="518" spans="2:4">
      <c r="B518" t="s">
        <v>3512</v>
      </c>
      <c r="C518" s="220">
        <v>6.0000000000000001E-3</v>
      </c>
      <c r="D518" t="s">
        <v>26</v>
      </c>
    </row>
    <row r="519" spans="2:4">
      <c r="B519" t="s">
        <v>936</v>
      </c>
      <c r="C519" s="220">
        <v>54</v>
      </c>
      <c r="D519" t="s">
        <v>52</v>
      </c>
    </row>
    <row r="520" spans="2:4">
      <c r="B520" t="s">
        <v>3477</v>
      </c>
      <c r="C520" s="220">
        <v>0.85</v>
      </c>
      <c r="D520" t="s">
        <v>26</v>
      </c>
    </row>
    <row r="521" spans="2:4">
      <c r="B521" t="s">
        <v>3478</v>
      </c>
      <c r="C521" s="220">
        <v>1.3</v>
      </c>
      <c r="D521" t="s">
        <v>26</v>
      </c>
    </row>
    <row r="522" spans="2:4">
      <c r="B522" t="s">
        <v>934</v>
      </c>
      <c r="C522" s="220">
        <v>0.02</v>
      </c>
      <c r="D522" t="s">
        <v>26</v>
      </c>
    </row>
    <row r="523" spans="2:4">
      <c r="B523" t="s">
        <v>3438</v>
      </c>
      <c r="C523" s="220" t="s">
        <v>35</v>
      </c>
      <c r="D523" t="s">
        <v>26</v>
      </c>
    </row>
    <row r="524" spans="2:4">
      <c r="B524" t="s">
        <v>1000</v>
      </c>
      <c r="C524" s="220">
        <v>0.16</v>
      </c>
      <c r="D524" t="s">
        <v>26</v>
      </c>
    </row>
    <row r="525" spans="2:4">
      <c r="B525" t="s">
        <v>1004</v>
      </c>
      <c r="C525" s="220">
        <v>0.16</v>
      </c>
      <c r="D525" t="s">
        <v>26</v>
      </c>
    </row>
    <row r="526" spans="2:4">
      <c r="B526" t="s">
        <v>1008</v>
      </c>
      <c r="C526" s="220">
        <v>0.16</v>
      </c>
      <c r="D526" t="s">
        <v>26</v>
      </c>
    </row>
    <row r="527" spans="2:4">
      <c r="B527" t="s">
        <v>1012</v>
      </c>
      <c r="C527" s="220">
        <v>0.16</v>
      </c>
      <c r="D527" t="s">
        <v>26</v>
      </c>
    </row>
    <row r="528" spans="2:4">
      <c r="B528" t="s">
        <v>1016</v>
      </c>
      <c r="C528" s="220">
        <v>3</v>
      </c>
      <c r="D528" t="s">
        <v>46</v>
      </c>
    </row>
    <row r="529" spans="2:4">
      <c r="B529" t="s">
        <v>1020</v>
      </c>
      <c r="C529" s="220">
        <v>2</v>
      </c>
      <c r="D529" t="s">
        <v>46</v>
      </c>
    </row>
    <row r="530" spans="2:4">
      <c r="B530" t="s">
        <v>1024</v>
      </c>
      <c r="C530" s="220">
        <v>2.5000000000000001E-2</v>
      </c>
      <c r="D530" t="s">
        <v>26</v>
      </c>
    </row>
    <row r="531" spans="2:4">
      <c r="B531" t="s">
        <v>1028</v>
      </c>
      <c r="C531" s="220">
        <v>2.5000000000000001E-2</v>
      </c>
      <c r="D531" t="s">
        <v>26</v>
      </c>
    </row>
    <row r="532" spans="2:4">
      <c r="B532" t="s">
        <v>1032</v>
      </c>
      <c r="C532" s="220">
        <v>0.2</v>
      </c>
      <c r="D532" t="s">
        <v>26</v>
      </c>
    </row>
    <row r="533" spans="2:4">
      <c r="B533" t="s">
        <v>1036</v>
      </c>
      <c r="C533" s="220">
        <v>0.35</v>
      </c>
      <c r="D533" t="s">
        <v>26</v>
      </c>
    </row>
    <row r="534" spans="2:4">
      <c r="B534" t="s">
        <v>1040</v>
      </c>
      <c r="C534" s="220">
        <v>0.315</v>
      </c>
      <c r="D534" t="s">
        <v>26</v>
      </c>
    </row>
    <row r="535" spans="2:4">
      <c r="B535" t="s">
        <v>1044</v>
      </c>
      <c r="C535" s="220">
        <v>1.4</v>
      </c>
      <c r="D535" t="s">
        <v>26</v>
      </c>
    </row>
    <row r="536" spans="2:4">
      <c r="B536" t="s">
        <v>1048</v>
      </c>
      <c r="C536" s="220">
        <v>0.51500000000000001</v>
      </c>
      <c r="D536" t="s">
        <v>26</v>
      </c>
    </row>
    <row r="537" spans="2:4">
      <c r="B537" t="s">
        <v>3482</v>
      </c>
      <c r="C537" s="220">
        <v>0.16</v>
      </c>
      <c r="D537" t="s">
        <v>26</v>
      </c>
    </row>
    <row r="538" spans="2:4">
      <c r="B538" t="s">
        <v>3483</v>
      </c>
      <c r="C538" s="220">
        <v>0.16</v>
      </c>
      <c r="D538" t="s">
        <v>26</v>
      </c>
    </row>
    <row r="539" spans="2:4">
      <c r="B539" t="s">
        <v>3484</v>
      </c>
      <c r="C539" s="220">
        <v>0.1</v>
      </c>
      <c r="D539" t="s">
        <v>26</v>
      </c>
    </row>
    <row r="540" spans="2:4">
      <c r="B540" t="s">
        <v>983</v>
      </c>
      <c r="D540" t="s">
        <v>59</v>
      </c>
    </row>
    <row r="541" spans="2:4">
      <c r="B541" t="s">
        <v>496</v>
      </c>
      <c r="D541" t="s">
        <v>59</v>
      </c>
    </row>
    <row r="542" spans="2:4">
      <c r="B542" t="s">
        <v>497</v>
      </c>
      <c r="C542" s="220" t="s">
        <v>498</v>
      </c>
      <c r="D542" t="s">
        <v>20</v>
      </c>
    </row>
    <row r="543" spans="2:4">
      <c r="B543" t="s">
        <v>1070</v>
      </c>
      <c r="D543" t="s">
        <v>59</v>
      </c>
    </row>
    <row r="544" spans="2:4">
      <c r="B544" t="s">
        <v>1071</v>
      </c>
      <c r="D544" t="s">
        <v>59</v>
      </c>
    </row>
    <row r="545" spans="2:4">
      <c r="B545" t="s">
        <v>1073</v>
      </c>
      <c r="C545" s="220" t="s">
        <v>1075</v>
      </c>
      <c r="D545" t="s">
        <v>20</v>
      </c>
    </row>
    <row r="546" spans="2:4">
      <c r="B546" t="s">
        <v>1076</v>
      </c>
      <c r="C546" s="220" t="s">
        <v>1078</v>
      </c>
      <c r="D546" t="s">
        <v>20</v>
      </c>
    </row>
    <row r="547" spans="2:4">
      <c r="B547" t="s">
        <v>1083</v>
      </c>
      <c r="C547" s="220">
        <v>8100</v>
      </c>
      <c r="D547" t="s">
        <v>20</v>
      </c>
    </row>
    <row r="548" spans="2:4">
      <c r="B548" t="s">
        <v>1088</v>
      </c>
      <c r="D548" t="s">
        <v>20</v>
      </c>
    </row>
    <row r="549" spans="2:4">
      <c r="B549" t="s">
        <v>1089</v>
      </c>
      <c r="C549" s="220" t="s">
        <v>1091</v>
      </c>
      <c r="D549" t="s">
        <v>20</v>
      </c>
    </row>
    <row r="550" spans="2:4">
      <c r="B550" t="s">
        <v>1092</v>
      </c>
      <c r="D550" t="s">
        <v>20</v>
      </c>
    </row>
    <row r="551" spans="2:4">
      <c r="B551" t="s">
        <v>1094</v>
      </c>
      <c r="C551" s="220" t="s">
        <v>1096</v>
      </c>
      <c r="D551" t="s">
        <v>20</v>
      </c>
    </row>
    <row r="552" spans="2:4">
      <c r="B552" t="s">
        <v>1099</v>
      </c>
      <c r="C552" s="220" t="s">
        <v>124</v>
      </c>
      <c r="D552" t="s">
        <v>20</v>
      </c>
    </row>
    <row r="553" spans="2:4">
      <c r="B553" t="s">
        <v>1103</v>
      </c>
      <c r="C553" s="220" t="s">
        <v>1078</v>
      </c>
      <c r="D553" t="s">
        <v>20</v>
      </c>
    </row>
    <row r="554" spans="2:4">
      <c r="B554" t="s">
        <v>1109</v>
      </c>
      <c r="C554" s="220">
        <v>8100</v>
      </c>
      <c r="D554" t="s">
        <v>20</v>
      </c>
    </row>
    <row r="555" spans="2:4">
      <c r="B555" t="s">
        <v>1113</v>
      </c>
      <c r="D555" t="s">
        <v>20</v>
      </c>
    </row>
    <row r="556" spans="2:4">
      <c r="B556" t="s">
        <v>1114</v>
      </c>
      <c r="C556" s="220" t="s">
        <v>1091</v>
      </c>
      <c r="D556" t="s">
        <v>20</v>
      </c>
    </row>
    <row r="557" spans="2:4">
      <c r="B557" t="s">
        <v>1116</v>
      </c>
      <c r="D557" t="s">
        <v>20</v>
      </c>
    </row>
    <row r="558" spans="2:4">
      <c r="B558" t="s">
        <v>1118</v>
      </c>
      <c r="C558" s="220" t="s">
        <v>1096</v>
      </c>
      <c r="D558" t="s">
        <v>20</v>
      </c>
    </row>
    <row r="559" spans="2:4">
      <c r="B559" t="s">
        <v>1122</v>
      </c>
      <c r="C559" s="220" t="s">
        <v>124</v>
      </c>
      <c r="D559" t="s">
        <v>20</v>
      </c>
    </row>
    <row r="560" spans="2:4">
      <c r="B560" t="s">
        <v>1126</v>
      </c>
      <c r="C560" s="220" t="s">
        <v>1078</v>
      </c>
      <c r="D560" t="s">
        <v>20</v>
      </c>
    </row>
    <row r="561" spans="2:4">
      <c r="B561" t="s">
        <v>1128</v>
      </c>
      <c r="C561" s="220">
        <v>8100</v>
      </c>
      <c r="D561" t="s">
        <v>20</v>
      </c>
    </row>
    <row r="562" spans="2:4">
      <c r="B562" t="s">
        <v>1130</v>
      </c>
      <c r="D562" t="s">
        <v>20</v>
      </c>
    </row>
    <row r="563" spans="2:4">
      <c r="B563" t="s">
        <v>1131</v>
      </c>
      <c r="C563" s="220">
        <v>1</v>
      </c>
      <c r="D563" t="s">
        <v>46</v>
      </c>
    </row>
    <row r="564" spans="2:4">
      <c r="B564" t="s">
        <v>1133</v>
      </c>
      <c r="C564" s="220" t="s">
        <v>1091</v>
      </c>
      <c r="D564" t="s">
        <v>20</v>
      </c>
    </row>
    <row r="565" spans="2:4">
      <c r="B565" t="s">
        <v>1135</v>
      </c>
      <c r="C565" s="220" t="s">
        <v>1096</v>
      </c>
      <c r="D565" t="s">
        <v>20</v>
      </c>
    </row>
    <row r="566" spans="2:4">
      <c r="B566" t="s">
        <v>1137</v>
      </c>
      <c r="C566" s="220" t="s">
        <v>21</v>
      </c>
      <c r="D566" t="s">
        <v>20</v>
      </c>
    </row>
    <row r="567" spans="2:4">
      <c r="B567" t="s">
        <v>1146</v>
      </c>
      <c r="C567" s="220">
        <v>1.05</v>
      </c>
      <c r="D567" t="s">
        <v>26</v>
      </c>
    </row>
    <row r="568" spans="2:4">
      <c r="B568" t="s">
        <v>1150</v>
      </c>
      <c r="C568" s="220">
        <v>1.05</v>
      </c>
      <c r="D568" t="s">
        <v>26</v>
      </c>
    </row>
    <row r="569" spans="2:4">
      <c r="B569" t="s">
        <v>1152</v>
      </c>
      <c r="C569" s="220">
        <v>1</v>
      </c>
      <c r="D569" t="s">
        <v>55</v>
      </c>
    </row>
    <row r="570" spans="2:4">
      <c r="B570" t="s">
        <v>1154</v>
      </c>
      <c r="C570" s="220">
        <v>20</v>
      </c>
      <c r="D570" t="s">
        <v>55</v>
      </c>
    </row>
    <row r="571" spans="2:4">
      <c r="B571" t="s">
        <v>1156</v>
      </c>
      <c r="C571" s="220">
        <v>40</v>
      </c>
      <c r="D571" t="s">
        <v>52</v>
      </c>
    </row>
    <row r="572" spans="2:4">
      <c r="B572" t="s">
        <v>1193</v>
      </c>
      <c r="D572" t="s">
        <v>59</v>
      </c>
    </row>
    <row r="573" spans="2:4">
      <c r="B573" t="s">
        <v>1195</v>
      </c>
      <c r="D573" t="s">
        <v>20</v>
      </c>
    </row>
    <row r="574" spans="2:4">
      <c r="B574" t="s">
        <v>1196</v>
      </c>
      <c r="C574" s="220" t="s">
        <v>3681</v>
      </c>
      <c r="D574" t="s">
        <v>20</v>
      </c>
    </row>
    <row r="575" spans="2:4">
      <c r="B575" t="s">
        <v>1201</v>
      </c>
      <c r="C575" s="220" t="s">
        <v>1085</v>
      </c>
      <c r="D575" t="s">
        <v>20</v>
      </c>
    </row>
    <row r="576" spans="2:4">
      <c r="B576" t="s">
        <v>1204</v>
      </c>
      <c r="C576" s="220" t="s">
        <v>1206</v>
      </c>
      <c r="D576" t="s">
        <v>20</v>
      </c>
    </row>
    <row r="577" spans="2:4">
      <c r="B577" t="s">
        <v>1209</v>
      </c>
      <c r="C577" s="220" t="s">
        <v>124</v>
      </c>
      <c r="D577" t="s">
        <v>20</v>
      </c>
    </row>
    <row r="578" spans="2:4">
      <c r="B578" t="s">
        <v>1211</v>
      </c>
      <c r="C578" s="220" t="s">
        <v>124</v>
      </c>
      <c r="D578" t="s">
        <v>20</v>
      </c>
    </row>
    <row r="579" spans="2:4">
      <c r="B579" t="s">
        <v>1213</v>
      </c>
      <c r="C579" s="220" t="s">
        <v>3681</v>
      </c>
      <c r="D579" t="s">
        <v>20</v>
      </c>
    </row>
    <row r="580" spans="2:4">
      <c r="B580" t="s">
        <v>1217</v>
      </c>
      <c r="C580" s="220" t="s">
        <v>1085</v>
      </c>
      <c r="D580" t="s">
        <v>20</v>
      </c>
    </row>
    <row r="581" spans="2:4">
      <c r="B581" t="s">
        <v>1219</v>
      </c>
      <c r="C581" s="220" t="s">
        <v>1206</v>
      </c>
      <c r="D581" t="s">
        <v>20</v>
      </c>
    </row>
    <row r="582" spans="2:4">
      <c r="B582" t="s">
        <v>1221</v>
      </c>
      <c r="C582" s="220" t="s">
        <v>124</v>
      </c>
      <c r="D582" t="s">
        <v>20</v>
      </c>
    </row>
    <row r="583" spans="2:4">
      <c r="B583" t="s">
        <v>1223</v>
      </c>
      <c r="C583" s="220" t="s">
        <v>124</v>
      </c>
      <c r="D583" t="s">
        <v>20</v>
      </c>
    </row>
    <row r="584" spans="2:4">
      <c r="B584" t="s">
        <v>1225</v>
      </c>
      <c r="C584" s="220" t="s">
        <v>3682</v>
      </c>
      <c r="D584" t="s">
        <v>20</v>
      </c>
    </row>
    <row r="585" spans="2:4">
      <c r="B585" t="s">
        <v>1227</v>
      </c>
      <c r="C585" s="220" t="s">
        <v>1085</v>
      </c>
      <c r="D585" t="s">
        <v>20</v>
      </c>
    </row>
    <row r="586" spans="2:4">
      <c r="B586" t="s">
        <v>1229</v>
      </c>
      <c r="C586" s="220" t="s">
        <v>3192</v>
      </c>
      <c r="D586" t="s">
        <v>20</v>
      </c>
    </row>
    <row r="587" spans="2:4">
      <c r="B587" t="s">
        <v>1231</v>
      </c>
      <c r="C587" s="220" t="s">
        <v>124</v>
      </c>
      <c r="D587" t="s">
        <v>20</v>
      </c>
    </row>
    <row r="588" spans="2:4">
      <c r="B588" t="s">
        <v>1233</v>
      </c>
      <c r="C588" s="220" t="s">
        <v>124</v>
      </c>
      <c r="D588" t="s">
        <v>20</v>
      </c>
    </row>
    <row r="589" spans="2:4">
      <c r="B589" t="s">
        <v>1238</v>
      </c>
      <c r="C589" s="220">
        <v>40</v>
      </c>
      <c r="D589" t="s">
        <v>52</v>
      </c>
    </row>
    <row r="590" spans="2:4">
      <c r="B590" t="s">
        <v>1243</v>
      </c>
      <c r="D590" t="s">
        <v>59</v>
      </c>
    </row>
    <row r="591" spans="2:4">
      <c r="B591" t="s">
        <v>1245</v>
      </c>
      <c r="C591" s="220">
        <v>0.06</v>
      </c>
      <c r="D591" t="s">
        <v>26</v>
      </c>
    </row>
    <row r="592" spans="2:4">
      <c r="B592" t="s">
        <v>1247</v>
      </c>
      <c r="C592" s="220">
        <v>8.0000000000000002E-3</v>
      </c>
      <c r="D592" t="s">
        <v>26</v>
      </c>
    </row>
    <row r="593" spans="2:4">
      <c r="B593" t="s">
        <v>1249</v>
      </c>
      <c r="C593" s="220">
        <v>7.1999999999999995E-2</v>
      </c>
      <c r="D593" t="s">
        <v>26</v>
      </c>
    </row>
    <row r="594" spans="2:4">
      <c r="B594" t="s">
        <v>1251</v>
      </c>
      <c r="C594" s="220">
        <v>0.06</v>
      </c>
      <c r="D594" t="s">
        <v>26</v>
      </c>
    </row>
    <row r="595" spans="2:4">
      <c r="B595" t="s">
        <v>1253</v>
      </c>
      <c r="C595" s="220">
        <v>8.0000000000000002E-3</v>
      </c>
      <c r="D595" t="s">
        <v>26</v>
      </c>
    </row>
    <row r="596" spans="2:4">
      <c r="B596" t="s">
        <v>1255</v>
      </c>
      <c r="C596" s="220">
        <v>7.1999999999999995E-2</v>
      </c>
      <c r="D596" t="s">
        <v>26</v>
      </c>
    </row>
    <row r="597" spans="2:4">
      <c r="B597" t="s">
        <v>1257</v>
      </c>
      <c r="D597" t="s">
        <v>59</v>
      </c>
    </row>
    <row r="598" spans="2:4">
      <c r="B598" t="s">
        <v>1275</v>
      </c>
      <c r="D598" t="s">
        <v>59</v>
      </c>
    </row>
    <row r="599" spans="2:4">
      <c r="B599" t="s">
        <v>1277</v>
      </c>
      <c r="C599" s="220" t="s">
        <v>3625</v>
      </c>
      <c r="D599" t="s">
        <v>20</v>
      </c>
    </row>
    <row r="600" spans="2:4">
      <c r="B600" t="s">
        <v>3626</v>
      </c>
      <c r="C600" s="220" t="s">
        <v>86</v>
      </c>
      <c r="D600" t="s">
        <v>20</v>
      </c>
    </row>
    <row r="601" spans="2:4">
      <c r="B601" t="s">
        <v>3628</v>
      </c>
      <c r="C601" s="220" t="s">
        <v>3630</v>
      </c>
      <c r="D601" t="s">
        <v>20</v>
      </c>
    </row>
    <row r="602" spans="2:4">
      <c r="B602" t="s">
        <v>3673</v>
      </c>
      <c r="C602" s="220">
        <v>1</v>
      </c>
      <c r="D602" t="s">
        <v>46</v>
      </c>
    </row>
    <row r="603" spans="2:4">
      <c r="B603" t="s">
        <v>3631</v>
      </c>
      <c r="C603" s="220" t="s">
        <v>3683</v>
      </c>
      <c r="D603" t="s">
        <v>20</v>
      </c>
    </row>
    <row r="604" spans="2:4">
      <c r="B604" t="s">
        <v>3661</v>
      </c>
      <c r="C604" s="220" t="s">
        <v>3683</v>
      </c>
      <c r="D604" t="s">
        <v>20</v>
      </c>
    </row>
    <row r="605" spans="2:4">
      <c r="B605" t="s">
        <v>3632</v>
      </c>
      <c r="C605" s="220" t="s">
        <v>3130</v>
      </c>
      <c r="D605" t="s">
        <v>20</v>
      </c>
    </row>
    <row r="606" spans="2:4">
      <c r="B606" t="s">
        <v>3663</v>
      </c>
      <c r="D606" t="s">
        <v>20</v>
      </c>
    </row>
    <row r="607" spans="2:4">
      <c r="B607" t="s">
        <v>3634</v>
      </c>
      <c r="C607" s="220" t="s">
        <v>105</v>
      </c>
      <c r="D607" t="s">
        <v>20</v>
      </c>
    </row>
    <row r="608" spans="2:4">
      <c r="B608" t="s">
        <v>3665</v>
      </c>
      <c r="C608" s="220" t="s">
        <v>105</v>
      </c>
      <c r="D608" t="s">
        <v>20</v>
      </c>
    </row>
    <row r="609" spans="2:4">
      <c r="B609" t="s">
        <v>3637</v>
      </c>
      <c r="C609" s="220" t="s">
        <v>21</v>
      </c>
      <c r="D609" t="s">
        <v>20</v>
      </c>
    </row>
    <row r="610" spans="2:4">
      <c r="B610" t="s">
        <v>3667</v>
      </c>
      <c r="C610" s="220" t="s">
        <v>21</v>
      </c>
      <c r="D610" t="s">
        <v>20</v>
      </c>
    </row>
    <row r="611" spans="2:4">
      <c r="B611" t="s">
        <v>3639</v>
      </c>
      <c r="C611" s="220">
        <v>4</v>
      </c>
      <c r="D611" t="s">
        <v>46</v>
      </c>
    </row>
    <row r="612" spans="2:4">
      <c r="B612" t="s">
        <v>3641</v>
      </c>
      <c r="C612" s="220">
        <v>4</v>
      </c>
      <c r="D612" t="s">
        <v>46</v>
      </c>
    </row>
    <row r="613" spans="2:4">
      <c r="B613" t="s">
        <v>3643</v>
      </c>
      <c r="C613" s="220" t="s">
        <v>3192</v>
      </c>
      <c r="D613" t="s">
        <v>20</v>
      </c>
    </row>
    <row r="614" spans="2:4">
      <c r="B614" t="s">
        <v>3645</v>
      </c>
      <c r="C614" s="220">
        <v>0</v>
      </c>
      <c r="D614" t="s">
        <v>49</v>
      </c>
    </row>
    <row r="615" spans="2:4">
      <c r="B615" t="s">
        <v>3646</v>
      </c>
      <c r="C615" s="220">
        <v>0</v>
      </c>
      <c r="D615" t="s">
        <v>49</v>
      </c>
    </row>
    <row r="616" spans="2:4">
      <c r="B616" t="s">
        <v>3669</v>
      </c>
      <c r="C616" s="220">
        <v>0</v>
      </c>
      <c r="D616" t="s">
        <v>49</v>
      </c>
    </row>
    <row r="617" spans="2:4">
      <c r="B617" t="s">
        <v>3647</v>
      </c>
      <c r="C617" s="220">
        <v>1</v>
      </c>
      <c r="D617" t="s">
        <v>49</v>
      </c>
    </row>
    <row r="618" spans="2:4">
      <c r="B618" t="s">
        <v>3675</v>
      </c>
      <c r="C618" s="220">
        <v>1</v>
      </c>
      <c r="D618" t="s">
        <v>49</v>
      </c>
    </row>
    <row r="619" spans="2:4">
      <c r="B619" t="s">
        <v>3648</v>
      </c>
      <c r="C619" s="220">
        <v>0</v>
      </c>
      <c r="D619" t="s">
        <v>49</v>
      </c>
    </row>
    <row r="620" spans="2:4">
      <c r="B620" t="s">
        <v>3660</v>
      </c>
      <c r="D620" t="s">
        <v>20</v>
      </c>
    </row>
    <row r="621" spans="2:4">
      <c r="B621" t="s">
        <v>3649</v>
      </c>
      <c r="C621" s="220" t="s">
        <v>3192</v>
      </c>
      <c r="D621" t="s">
        <v>20</v>
      </c>
    </row>
    <row r="622" spans="2:4">
      <c r="B622" t="s">
        <v>3651</v>
      </c>
      <c r="C622" s="220" t="s">
        <v>3192</v>
      </c>
      <c r="D622" t="s">
        <v>20</v>
      </c>
    </row>
    <row r="623" spans="2:4">
      <c r="B623" t="s">
        <v>3653</v>
      </c>
      <c r="C623" s="220" t="s">
        <v>1096</v>
      </c>
      <c r="D623" t="s">
        <v>20</v>
      </c>
    </row>
    <row r="624" spans="2:4">
      <c r="B624" t="s">
        <v>3671</v>
      </c>
      <c r="C624" s="220" t="s">
        <v>1096</v>
      </c>
      <c r="D624" t="s">
        <v>20</v>
      </c>
    </row>
    <row r="625" spans="2:4">
      <c r="B625" t="s">
        <v>3656</v>
      </c>
      <c r="C625" s="220" t="s">
        <v>3130</v>
      </c>
      <c r="D625" t="s">
        <v>20</v>
      </c>
    </row>
    <row r="626" spans="2:4">
      <c r="B626" t="s">
        <v>3658</v>
      </c>
      <c r="D626" t="s">
        <v>20</v>
      </c>
    </row>
    <row r="627" spans="2:4">
      <c r="B627" t="s">
        <v>1314</v>
      </c>
      <c r="D627" t="s">
        <v>59</v>
      </c>
    </row>
    <row r="628" spans="2:4">
      <c r="B628" t="s">
        <v>3566</v>
      </c>
      <c r="C628" s="220" t="s">
        <v>3684</v>
      </c>
      <c r="D628" t="s">
        <v>20</v>
      </c>
    </row>
    <row r="629" spans="2:4">
      <c r="B629" t="s">
        <v>3567</v>
      </c>
      <c r="D629" t="s">
        <v>20</v>
      </c>
    </row>
    <row r="630" spans="2:4">
      <c r="B630" t="s">
        <v>3569</v>
      </c>
      <c r="D630" t="s">
        <v>20</v>
      </c>
    </row>
    <row r="631" spans="2:4">
      <c r="B631" t="s">
        <v>3587</v>
      </c>
      <c r="D631" t="s">
        <v>20</v>
      </c>
    </row>
    <row r="632" spans="2:4">
      <c r="B632" t="s">
        <v>3570</v>
      </c>
      <c r="C632" s="220" t="s">
        <v>3206</v>
      </c>
      <c r="D632" t="s">
        <v>20</v>
      </c>
    </row>
    <row r="633" spans="2:4">
      <c r="B633" t="s">
        <v>3571</v>
      </c>
      <c r="D633" t="s">
        <v>20</v>
      </c>
    </row>
    <row r="634" spans="2:4">
      <c r="B634" t="s">
        <v>3572</v>
      </c>
      <c r="C634" s="220" t="s">
        <v>3192</v>
      </c>
      <c r="D634" t="s">
        <v>20</v>
      </c>
    </row>
    <row r="635" spans="2:4">
      <c r="B635" t="s">
        <v>3573</v>
      </c>
      <c r="C635" s="220">
        <v>2</v>
      </c>
      <c r="D635" t="s">
        <v>46</v>
      </c>
    </row>
    <row r="636" spans="2:4">
      <c r="B636" t="s">
        <v>3574</v>
      </c>
      <c r="C636" s="220">
        <v>0.02</v>
      </c>
      <c r="D636" t="s">
        <v>26</v>
      </c>
    </row>
    <row r="637" spans="2:4">
      <c r="B637" t="s">
        <v>3584</v>
      </c>
      <c r="C637" s="220">
        <v>0.35</v>
      </c>
      <c r="D637" t="s">
        <v>26</v>
      </c>
    </row>
    <row r="638" spans="2:4">
      <c r="B638" t="s">
        <v>3585</v>
      </c>
      <c r="C638" s="220">
        <v>0.35</v>
      </c>
      <c r="D638" t="s">
        <v>26</v>
      </c>
    </row>
    <row r="639" spans="2:4">
      <c r="B639" t="s">
        <v>3576</v>
      </c>
      <c r="C639" s="220">
        <v>0.04</v>
      </c>
      <c r="D639" t="s">
        <v>26</v>
      </c>
    </row>
    <row r="640" spans="2:4">
      <c r="B640" t="s">
        <v>3578</v>
      </c>
      <c r="C640" s="220">
        <v>0</v>
      </c>
      <c r="D640" t="s">
        <v>46</v>
      </c>
    </row>
    <row r="641" spans="2:4">
      <c r="B641" t="s">
        <v>3579</v>
      </c>
      <c r="C641" s="220">
        <v>0.05</v>
      </c>
      <c r="D641" t="s">
        <v>26</v>
      </c>
    </row>
    <row r="642" spans="2:4">
      <c r="B642" t="s">
        <v>3581</v>
      </c>
      <c r="C642" s="220">
        <v>0.03</v>
      </c>
      <c r="D642" t="s">
        <v>26</v>
      </c>
    </row>
    <row r="643" spans="2:4">
      <c r="B643" t="s">
        <v>1331</v>
      </c>
      <c r="C643" s="220">
        <v>3.9064269999999998E-2</v>
      </c>
      <c r="D643" t="s">
        <v>26</v>
      </c>
    </row>
    <row r="644" spans="2:4">
      <c r="B644" t="s">
        <v>1333</v>
      </c>
      <c r="C644" s="220">
        <v>1.121955E-2</v>
      </c>
      <c r="D644" t="s">
        <v>26</v>
      </c>
    </row>
    <row r="645" spans="2:4">
      <c r="B645" t="s">
        <v>1335</v>
      </c>
      <c r="D645" t="s">
        <v>59</v>
      </c>
    </row>
    <row r="646" spans="2:4">
      <c r="B646" t="s">
        <v>1336</v>
      </c>
      <c r="D646" t="s">
        <v>59</v>
      </c>
    </row>
    <row r="647" spans="2:4">
      <c r="B647" t="s">
        <v>1338</v>
      </c>
      <c r="C647" s="220" t="s">
        <v>498</v>
      </c>
      <c r="D647" t="s">
        <v>20</v>
      </c>
    </row>
    <row r="648" spans="2:4">
      <c r="B648" t="s">
        <v>1372</v>
      </c>
      <c r="D648" t="s">
        <v>59</v>
      </c>
    </row>
    <row r="649" spans="2:4">
      <c r="B649" t="s">
        <v>1459</v>
      </c>
      <c r="D649" t="s">
        <v>59</v>
      </c>
    </row>
    <row r="650" spans="2:4">
      <c r="B650" t="s">
        <v>2377</v>
      </c>
      <c r="D650" t="s">
        <v>20</v>
      </c>
    </row>
    <row r="651" spans="2:4">
      <c r="B651" t="s">
        <v>2394</v>
      </c>
      <c r="D651" t="s">
        <v>20</v>
      </c>
    </row>
    <row r="652" spans="2:4">
      <c r="B652" t="s">
        <v>198</v>
      </c>
      <c r="D652" t="s">
        <v>59</v>
      </c>
    </row>
    <row r="653" spans="2:4">
      <c r="B653" t="s">
        <v>200</v>
      </c>
      <c r="D653" t="s">
        <v>59</v>
      </c>
    </row>
    <row r="654" spans="2:4">
      <c r="B654" t="s">
        <v>202</v>
      </c>
      <c r="C654" s="220" t="s">
        <v>35</v>
      </c>
      <c r="D654" t="s">
        <v>54</v>
      </c>
    </row>
    <row r="655" spans="2:4">
      <c r="B655" t="s">
        <v>205</v>
      </c>
      <c r="D655" t="s">
        <v>59</v>
      </c>
    </row>
    <row r="656" spans="2:4">
      <c r="B656" t="s">
        <v>207</v>
      </c>
      <c r="C656" s="220" t="s">
        <v>35</v>
      </c>
      <c r="D656" t="s">
        <v>55</v>
      </c>
    </row>
    <row r="657" spans="2:4">
      <c r="B657" t="s">
        <v>209</v>
      </c>
      <c r="C657" s="220" t="s">
        <v>35</v>
      </c>
      <c r="D657" t="s">
        <v>55</v>
      </c>
    </row>
    <row r="658" spans="2:4">
      <c r="B658" t="s">
        <v>211</v>
      </c>
      <c r="C658" s="220" t="s">
        <v>35</v>
      </c>
      <c r="D658" t="s">
        <v>55</v>
      </c>
    </row>
    <row r="659" spans="2:4">
      <c r="B659" t="s">
        <v>2497</v>
      </c>
      <c r="C659" s="220">
        <v>2</v>
      </c>
      <c r="D659" t="s">
        <v>55</v>
      </c>
    </row>
    <row r="660" spans="2:4">
      <c r="B660" t="s">
        <v>2499</v>
      </c>
      <c r="C660" s="220">
        <v>2</v>
      </c>
      <c r="D660" t="s">
        <v>55</v>
      </c>
    </row>
    <row r="661" spans="2:4">
      <c r="B661" t="s">
        <v>2501</v>
      </c>
      <c r="C661" s="220">
        <v>65</v>
      </c>
      <c r="D661" t="s">
        <v>54</v>
      </c>
    </row>
    <row r="662" spans="2:4">
      <c r="B662" t="s">
        <v>2503</v>
      </c>
      <c r="C662" s="220">
        <v>19</v>
      </c>
      <c r="D662" t="s">
        <v>55</v>
      </c>
    </row>
    <row r="663" spans="2:4">
      <c r="B663" t="s">
        <v>2505</v>
      </c>
      <c r="C663" s="220">
        <v>19</v>
      </c>
      <c r="D663" t="s">
        <v>55</v>
      </c>
    </row>
    <row r="664" spans="2:4">
      <c r="B664" t="s">
        <v>2507</v>
      </c>
      <c r="C664" s="220">
        <v>2</v>
      </c>
      <c r="D664" t="s">
        <v>55</v>
      </c>
    </row>
    <row r="665" spans="2:4">
      <c r="B665" t="s">
        <v>213</v>
      </c>
      <c r="D665" t="s">
        <v>59</v>
      </c>
    </row>
    <row r="666" spans="2:4">
      <c r="B666" t="s">
        <v>2509</v>
      </c>
      <c r="C666" s="220">
        <v>16</v>
      </c>
      <c r="D666" t="s">
        <v>54</v>
      </c>
    </row>
    <row r="667" spans="2:4">
      <c r="B667" t="s">
        <v>2511</v>
      </c>
      <c r="C667" s="220">
        <v>19</v>
      </c>
      <c r="D667" t="s">
        <v>55</v>
      </c>
    </row>
    <row r="668" spans="2:4">
      <c r="B668" t="s">
        <v>2513</v>
      </c>
      <c r="C668" s="220">
        <v>19</v>
      </c>
      <c r="D668" t="s">
        <v>55</v>
      </c>
    </row>
    <row r="669" spans="2:4">
      <c r="B669" t="s">
        <v>2515</v>
      </c>
      <c r="C669" s="220">
        <v>2</v>
      </c>
      <c r="D669" t="s">
        <v>55</v>
      </c>
    </row>
    <row r="670" spans="2:4">
      <c r="B670" t="s">
        <v>2517</v>
      </c>
      <c r="C670" s="220">
        <v>65</v>
      </c>
      <c r="D670" t="s">
        <v>54</v>
      </c>
    </row>
    <row r="671" spans="2:4">
      <c r="B671" t="s">
        <v>2519</v>
      </c>
      <c r="C671" s="220">
        <v>19</v>
      </c>
      <c r="D671" t="s">
        <v>55</v>
      </c>
    </row>
    <row r="672" spans="2:4">
      <c r="B672" t="s">
        <v>2521</v>
      </c>
      <c r="C672" s="220">
        <v>19</v>
      </c>
      <c r="D672" t="s">
        <v>55</v>
      </c>
    </row>
    <row r="673" spans="2:4">
      <c r="B673" t="s">
        <v>2523</v>
      </c>
      <c r="C673" s="220">
        <v>2</v>
      </c>
      <c r="D673" t="s">
        <v>55</v>
      </c>
    </row>
    <row r="674" spans="2:4">
      <c r="B674" t="s">
        <v>2525</v>
      </c>
      <c r="C674" s="220">
        <v>65</v>
      </c>
      <c r="D674" t="s">
        <v>54</v>
      </c>
    </row>
    <row r="675" spans="2:4">
      <c r="B675" t="s">
        <v>2527</v>
      </c>
      <c r="C675" s="220">
        <v>19</v>
      </c>
      <c r="D675" t="s">
        <v>55</v>
      </c>
    </row>
    <row r="676" spans="2:4">
      <c r="B676" t="s">
        <v>2529</v>
      </c>
      <c r="D676" t="s">
        <v>59</v>
      </c>
    </row>
    <row r="677" spans="2:4">
      <c r="B677" t="s">
        <v>2531</v>
      </c>
      <c r="C677" s="220">
        <v>1</v>
      </c>
      <c r="D677" t="s">
        <v>55</v>
      </c>
    </row>
    <row r="678" spans="2:4">
      <c r="B678" t="s">
        <v>2533</v>
      </c>
      <c r="C678" s="220">
        <v>1</v>
      </c>
      <c r="D678" t="s">
        <v>55</v>
      </c>
    </row>
    <row r="679" spans="2:4">
      <c r="B679" t="s">
        <v>2535</v>
      </c>
      <c r="C679" s="220" t="s">
        <v>2537</v>
      </c>
      <c r="D679" t="s">
        <v>20</v>
      </c>
    </row>
    <row r="680" spans="2:4">
      <c r="B680" t="s">
        <v>2538</v>
      </c>
      <c r="C680" s="220">
        <v>1</v>
      </c>
      <c r="D680" t="s">
        <v>38</v>
      </c>
    </row>
    <row r="681" spans="2:4">
      <c r="B681" t="s">
        <v>2540</v>
      </c>
      <c r="C681" s="220">
        <v>0</v>
      </c>
      <c r="D681" t="s">
        <v>49</v>
      </c>
    </row>
    <row r="682" spans="2:4">
      <c r="B682" t="s">
        <v>2542</v>
      </c>
      <c r="C682" s="220" t="s">
        <v>2311</v>
      </c>
      <c r="D682" t="s">
        <v>20</v>
      </c>
    </row>
    <row r="683" spans="2:4">
      <c r="B683" t="s">
        <v>2544</v>
      </c>
      <c r="C683" s="220">
        <v>1</v>
      </c>
      <c r="D683" t="s">
        <v>46</v>
      </c>
    </row>
    <row r="684" spans="2:4">
      <c r="B684" t="s">
        <v>2545</v>
      </c>
      <c r="C684" s="220">
        <v>1</v>
      </c>
      <c r="D684" t="s">
        <v>46</v>
      </c>
    </row>
    <row r="685" spans="2:4">
      <c r="B685" t="s">
        <v>2547</v>
      </c>
      <c r="C685" s="220">
        <v>1</v>
      </c>
      <c r="D685" t="s">
        <v>49</v>
      </c>
    </row>
    <row r="686" spans="2:4">
      <c r="B686" t="s">
        <v>2549</v>
      </c>
      <c r="C686" s="220">
        <v>1</v>
      </c>
      <c r="D686" t="s">
        <v>46</v>
      </c>
    </row>
    <row r="687" spans="2:4">
      <c r="B687" t="s">
        <v>2551</v>
      </c>
      <c r="C687" s="220">
        <v>0.02</v>
      </c>
      <c r="D687" t="s">
        <v>26</v>
      </c>
    </row>
    <row r="688" spans="2:4">
      <c r="B688" t="s">
        <v>2553</v>
      </c>
      <c r="C688" s="220">
        <v>1</v>
      </c>
      <c r="D688" t="s">
        <v>49</v>
      </c>
    </row>
    <row r="689" spans="2:4">
      <c r="B689" t="s">
        <v>2555</v>
      </c>
      <c r="C689" s="220">
        <v>1</v>
      </c>
      <c r="D689" t="s">
        <v>49</v>
      </c>
    </row>
    <row r="690" spans="2:4">
      <c r="B690" t="s">
        <v>2557</v>
      </c>
      <c r="C690" s="220">
        <v>0.05</v>
      </c>
      <c r="D690" t="s">
        <v>26</v>
      </c>
    </row>
    <row r="691" spans="2:4">
      <c r="B691" t="s">
        <v>2559</v>
      </c>
      <c r="C691" s="220">
        <v>0.05</v>
      </c>
      <c r="D691" t="s">
        <v>26</v>
      </c>
    </row>
    <row r="692" spans="2:4">
      <c r="B692" t="s">
        <v>2561</v>
      </c>
      <c r="C692" s="220">
        <v>0.05</v>
      </c>
      <c r="D692" t="s">
        <v>26</v>
      </c>
    </row>
    <row r="693" spans="2:4">
      <c r="B693" t="s">
        <v>2562</v>
      </c>
      <c r="C693" s="220">
        <v>1.9E-2</v>
      </c>
      <c r="D693" t="s">
        <v>26</v>
      </c>
    </row>
    <row r="694" spans="2:4">
      <c r="B694" t="s">
        <v>2564</v>
      </c>
      <c r="C694" s="220">
        <v>2.5000000000000001E-2</v>
      </c>
      <c r="D694" t="s">
        <v>26</v>
      </c>
    </row>
    <row r="695" spans="2:4">
      <c r="B695" t="s">
        <v>2566</v>
      </c>
      <c r="C695" s="220">
        <v>0</v>
      </c>
      <c r="D695" t="s">
        <v>26</v>
      </c>
    </row>
    <row r="696" spans="2:4">
      <c r="B696" t="s">
        <v>2568</v>
      </c>
      <c r="C696" s="220">
        <v>0.05</v>
      </c>
      <c r="D696" t="s">
        <v>26</v>
      </c>
    </row>
    <row r="697" spans="2:4">
      <c r="B697" t="s">
        <v>2570</v>
      </c>
      <c r="C697" s="220">
        <v>0.1</v>
      </c>
      <c r="D697" t="s">
        <v>26</v>
      </c>
    </row>
    <row r="698" spans="2:4">
      <c r="B698" t="s">
        <v>2572</v>
      </c>
      <c r="C698" s="220">
        <v>1</v>
      </c>
      <c r="D698" t="s">
        <v>55</v>
      </c>
    </row>
    <row r="699" spans="2:4">
      <c r="B699" t="s">
        <v>2574</v>
      </c>
      <c r="C699" s="220">
        <v>65</v>
      </c>
      <c r="D699" t="s">
        <v>54</v>
      </c>
    </row>
    <row r="700" spans="2:4">
      <c r="B700" t="s">
        <v>2576</v>
      </c>
      <c r="C700" s="220">
        <v>19</v>
      </c>
      <c r="D700" t="s">
        <v>55</v>
      </c>
    </row>
    <row r="701" spans="2:4">
      <c r="B701" t="s">
        <v>2578</v>
      </c>
      <c r="C701" s="220">
        <v>19</v>
      </c>
      <c r="D701" t="s">
        <v>55</v>
      </c>
    </row>
    <row r="702" spans="2:4">
      <c r="B702" t="s">
        <v>2580</v>
      </c>
      <c r="C702" s="220">
        <v>0</v>
      </c>
      <c r="D702" t="s">
        <v>49</v>
      </c>
    </row>
    <row r="703" spans="2:4">
      <c r="B703" t="s">
        <v>2582</v>
      </c>
      <c r="C703" s="220" t="s">
        <v>2311</v>
      </c>
      <c r="D703" t="s">
        <v>20</v>
      </c>
    </row>
    <row r="704" spans="2:4">
      <c r="B704" t="s">
        <v>2584</v>
      </c>
      <c r="C704" s="220">
        <v>1</v>
      </c>
      <c r="D704" t="s">
        <v>46</v>
      </c>
    </row>
    <row r="705" spans="2:4">
      <c r="B705" t="s">
        <v>2585</v>
      </c>
      <c r="C705" s="220">
        <v>1</v>
      </c>
      <c r="D705" t="s">
        <v>49</v>
      </c>
    </row>
    <row r="706" spans="2:4">
      <c r="B706" t="s">
        <v>2586</v>
      </c>
      <c r="C706" s="220">
        <v>1</v>
      </c>
      <c r="D706" t="s">
        <v>49</v>
      </c>
    </row>
    <row r="707" spans="2:4">
      <c r="B707" t="s">
        <v>2587</v>
      </c>
      <c r="C707" s="220">
        <v>0.05</v>
      </c>
      <c r="D707" t="s">
        <v>26</v>
      </c>
    </row>
    <row r="708" spans="2:4">
      <c r="B708" t="s">
        <v>2588</v>
      </c>
      <c r="C708" s="220">
        <v>0.05</v>
      </c>
      <c r="D708" t="s">
        <v>26</v>
      </c>
    </row>
    <row r="709" spans="2:4">
      <c r="B709" t="s">
        <v>2589</v>
      </c>
      <c r="C709" s="220">
        <v>0.05</v>
      </c>
      <c r="D709" t="s">
        <v>26</v>
      </c>
    </row>
    <row r="710" spans="2:4">
      <c r="B710" t="s">
        <v>2590</v>
      </c>
      <c r="C710" s="220">
        <v>1.9E-2</v>
      </c>
      <c r="D710" t="s">
        <v>26</v>
      </c>
    </row>
    <row r="711" spans="2:4">
      <c r="B711" t="s">
        <v>2591</v>
      </c>
      <c r="C711" s="220">
        <v>2.5000000000000001E-2</v>
      </c>
      <c r="D711" t="s">
        <v>26</v>
      </c>
    </row>
    <row r="712" spans="2:4">
      <c r="B712" t="s">
        <v>2592</v>
      </c>
      <c r="C712" s="220">
        <v>0</v>
      </c>
      <c r="D712" t="s">
        <v>26</v>
      </c>
    </row>
    <row r="713" spans="2:4">
      <c r="B713" t="s">
        <v>2593</v>
      </c>
      <c r="C713" s="220">
        <v>0.03</v>
      </c>
      <c r="D713" t="s">
        <v>26</v>
      </c>
    </row>
    <row r="714" spans="2:4">
      <c r="B714" t="s">
        <v>2594</v>
      </c>
      <c r="C714" s="220">
        <v>0.1</v>
      </c>
      <c r="D714" t="s">
        <v>26</v>
      </c>
    </row>
    <row r="715" spans="2:4">
      <c r="B715" t="s">
        <v>2595</v>
      </c>
      <c r="C715" s="220">
        <v>65</v>
      </c>
      <c r="D715" t="s">
        <v>54</v>
      </c>
    </row>
    <row r="716" spans="2:4">
      <c r="B716" t="s">
        <v>2597</v>
      </c>
      <c r="C716" s="220">
        <v>19</v>
      </c>
      <c r="D716" t="s">
        <v>55</v>
      </c>
    </row>
    <row r="717" spans="2:4">
      <c r="B717" t="s">
        <v>2599</v>
      </c>
      <c r="C717" s="220">
        <v>19</v>
      </c>
      <c r="D717" t="s">
        <v>55</v>
      </c>
    </row>
    <row r="718" spans="2:4">
      <c r="B718" t="s">
        <v>2601</v>
      </c>
      <c r="C718" s="220">
        <v>19</v>
      </c>
      <c r="D718" t="s">
        <v>55</v>
      </c>
    </row>
    <row r="719" spans="2:4">
      <c r="B719" t="s">
        <v>2603</v>
      </c>
      <c r="D719" t="s">
        <v>59</v>
      </c>
    </row>
    <row r="720" spans="2:4">
      <c r="B720" t="s">
        <v>3488</v>
      </c>
      <c r="C720" s="220">
        <v>1</v>
      </c>
      <c r="D720" t="s">
        <v>46</v>
      </c>
    </row>
    <row r="721" spans="2:4">
      <c r="B721" t="s">
        <v>3491</v>
      </c>
      <c r="C721" s="220">
        <v>1</v>
      </c>
      <c r="D721" t="s">
        <v>46</v>
      </c>
    </row>
    <row r="722" spans="2:4">
      <c r="B722" t="s">
        <v>3492</v>
      </c>
      <c r="C722" s="220">
        <v>1</v>
      </c>
      <c r="D722" t="s">
        <v>46</v>
      </c>
    </row>
    <row r="723" spans="2:4">
      <c r="B723" t="s">
        <v>2605</v>
      </c>
      <c r="C723" s="220">
        <v>2</v>
      </c>
      <c r="D723" t="s">
        <v>46</v>
      </c>
    </row>
    <row r="724" spans="2:4">
      <c r="B724" t="s">
        <v>2607</v>
      </c>
      <c r="C724" s="220">
        <v>90</v>
      </c>
      <c r="D724" t="s">
        <v>33</v>
      </c>
    </row>
    <row r="725" spans="2:4">
      <c r="B725" t="s">
        <v>2609</v>
      </c>
      <c r="C725" s="220">
        <v>90</v>
      </c>
      <c r="D725" t="s">
        <v>33</v>
      </c>
    </row>
    <row r="726" spans="2:4">
      <c r="B726" t="s">
        <v>2611</v>
      </c>
      <c r="C726" s="220">
        <v>0</v>
      </c>
      <c r="D726" t="s">
        <v>33</v>
      </c>
    </row>
    <row r="727" spans="2:4">
      <c r="B727" t="s">
        <v>2613</v>
      </c>
      <c r="C727" s="220">
        <v>0</v>
      </c>
      <c r="D727" t="s">
        <v>33</v>
      </c>
    </row>
    <row r="728" spans="2:4">
      <c r="B728" t="s">
        <v>3504</v>
      </c>
      <c r="C728" s="220" t="s">
        <v>35</v>
      </c>
      <c r="D728" t="s">
        <v>33</v>
      </c>
    </row>
    <row r="729" spans="2:4">
      <c r="B729" t="s">
        <v>2615</v>
      </c>
      <c r="C729" s="220">
        <v>1</v>
      </c>
      <c r="D729" t="s">
        <v>49</v>
      </c>
    </row>
    <row r="730" spans="2:4">
      <c r="B730" t="s">
        <v>2617</v>
      </c>
      <c r="C730" s="220">
        <v>0</v>
      </c>
      <c r="D730" t="s">
        <v>49</v>
      </c>
    </row>
    <row r="731" spans="2:4">
      <c r="B731" t="s">
        <v>2619</v>
      </c>
      <c r="C731" s="220">
        <v>1</v>
      </c>
      <c r="D731" t="s">
        <v>49</v>
      </c>
    </row>
    <row r="732" spans="2:4">
      <c r="B732" t="s">
        <v>2621</v>
      </c>
      <c r="C732" s="220">
        <v>1</v>
      </c>
      <c r="D732" t="s">
        <v>53</v>
      </c>
    </row>
    <row r="733" spans="2:4">
      <c r="B733" t="s">
        <v>2623</v>
      </c>
      <c r="C733" s="220">
        <v>4</v>
      </c>
      <c r="D733" t="s">
        <v>53</v>
      </c>
    </row>
    <row r="734" spans="2:4">
      <c r="B734" t="s">
        <v>2625</v>
      </c>
      <c r="C734" s="220" t="s">
        <v>2627</v>
      </c>
      <c r="D734" t="s">
        <v>20</v>
      </c>
    </row>
    <row r="735" spans="2:4">
      <c r="B735" t="s">
        <v>2628</v>
      </c>
      <c r="C735" s="220">
        <v>1</v>
      </c>
      <c r="D735" t="s">
        <v>46</v>
      </c>
    </row>
    <row r="736" spans="2:4">
      <c r="B736" t="s">
        <v>2629</v>
      </c>
      <c r="C736" s="220" t="s">
        <v>2630</v>
      </c>
      <c r="D736" t="s">
        <v>20</v>
      </c>
    </row>
    <row r="737" spans="2:4">
      <c r="B737" t="s">
        <v>2631</v>
      </c>
      <c r="C737" s="220">
        <v>0</v>
      </c>
      <c r="D737" t="s">
        <v>46</v>
      </c>
    </row>
    <row r="738" spans="2:4">
      <c r="B738" t="s">
        <v>3495</v>
      </c>
      <c r="C738" s="220">
        <v>1</v>
      </c>
      <c r="D738" t="s">
        <v>46</v>
      </c>
    </row>
    <row r="739" spans="2:4">
      <c r="B739" t="s">
        <v>3497</v>
      </c>
      <c r="C739" s="220">
        <v>1</v>
      </c>
      <c r="D739" t="s">
        <v>46</v>
      </c>
    </row>
    <row r="740" spans="2:4">
      <c r="B740" t="s">
        <v>3499</v>
      </c>
      <c r="C740" s="220">
        <v>2</v>
      </c>
      <c r="D740" t="s">
        <v>46</v>
      </c>
    </row>
    <row r="741" spans="2:4">
      <c r="B741" t="s">
        <v>2632</v>
      </c>
      <c r="C741" s="220">
        <v>1</v>
      </c>
      <c r="D741" t="s">
        <v>55</v>
      </c>
    </row>
    <row r="742" spans="2:4">
      <c r="B742" t="s">
        <v>2634</v>
      </c>
      <c r="C742" s="220">
        <v>1</v>
      </c>
      <c r="D742" t="s">
        <v>46</v>
      </c>
    </row>
    <row r="743" spans="2:4">
      <c r="B743" t="s">
        <v>2635</v>
      </c>
      <c r="C743" s="220">
        <v>1</v>
      </c>
      <c r="D743" t="s">
        <v>49</v>
      </c>
    </row>
    <row r="744" spans="2:4">
      <c r="B744" t="s">
        <v>2637</v>
      </c>
      <c r="C744" s="220">
        <v>1</v>
      </c>
      <c r="D744" t="s">
        <v>49</v>
      </c>
    </row>
    <row r="745" spans="2:4">
      <c r="B745" t="s">
        <v>2639</v>
      </c>
      <c r="C745" s="220" t="s">
        <v>2641</v>
      </c>
      <c r="D745" t="s">
        <v>20</v>
      </c>
    </row>
    <row r="746" spans="2:4">
      <c r="B746" t="s">
        <v>2642</v>
      </c>
      <c r="C746" s="220">
        <v>0</v>
      </c>
      <c r="D746" t="s">
        <v>46</v>
      </c>
    </row>
    <row r="747" spans="2:4">
      <c r="B747" t="s">
        <v>2643</v>
      </c>
      <c r="C747" s="220" t="s">
        <v>2645</v>
      </c>
      <c r="D747" t="s">
        <v>20</v>
      </c>
    </row>
    <row r="748" spans="2:4">
      <c r="B748" t="s">
        <v>2646</v>
      </c>
      <c r="C748" s="220">
        <v>1</v>
      </c>
      <c r="D748" t="s">
        <v>46</v>
      </c>
    </row>
    <row r="749" spans="2:4">
      <c r="B749" t="s">
        <v>2647</v>
      </c>
      <c r="C749" s="220" t="s">
        <v>2645</v>
      </c>
      <c r="D749" t="s">
        <v>20</v>
      </c>
    </row>
    <row r="750" spans="2:4">
      <c r="B750" t="s">
        <v>2649</v>
      </c>
      <c r="C750" s="220">
        <v>1</v>
      </c>
      <c r="D750" t="s">
        <v>46</v>
      </c>
    </row>
    <row r="751" spans="2:4">
      <c r="B751" t="s">
        <v>2651</v>
      </c>
      <c r="C751" s="220" t="s">
        <v>1157</v>
      </c>
      <c r="D751" t="s">
        <v>20</v>
      </c>
    </row>
    <row r="752" spans="2:4">
      <c r="B752" t="s">
        <v>2653</v>
      </c>
      <c r="C752" s="220">
        <v>1</v>
      </c>
      <c r="D752" t="s">
        <v>46</v>
      </c>
    </row>
    <row r="753" spans="2:4">
      <c r="B753" t="s">
        <v>2654</v>
      </c>
      <c r="D753" t="s">
        <v>59</v>
      </c>
    </row>
    <row r="754" spans="2:4">
      <c r="B754" t="s">
        <v>2656</v>
      </c>
      <c r="C754" s="220">
        <v>1</v>
      </c>
      <c r="D754" t="s">
        <v>46</v>
      </c>
    </row>
    <row r="755" spans="2:4">
      <c r="B755" t="s">
        <v>2658</v>
      </c>
      <c r="C755" s="220">
        <v>2</v>
      </c>
      <c r="D755" t="s">
        <v>46</v>
      </c>
    </row>
    <row r="756" spans="2:4">
      <c r="B756" t="s">
        <v>2660</v>
      </c>
      <c r="C756" s="220">
        <v>1</v>
      </c>
      <c r="D756" t="s">
        <v>46</v>
      </c>
    </row>
    <row r="757" spans="2:4">
      <c r="B757" t="s">
        <v>2662</v>
      </c>
      <c r="C757" s="220">
        <v>1</v>
      </c>
      <c r="D757" t="s">
        <v>46</v>
      </c>
    </row>
    <row r="758" spans="2:4">
      <c r="B758" t="s">
        <v>2664</v>
      </c>
      <c r="C758" s="220">
        <v>0</v>
      </c>
      <c r="D758" t="s">
        <v>49</v>
      </c>
    </row>
    <row r="759" spans="2:4">
      <c r="B759" t="s">
        <v>2666</v>
      </c>
      <c r="C759" s="220">
        <v>65</v>
      </c>
      <c r="D759" t="s">
        <v>54</v>
      </c>
    </row>
    <row r="760" spans="2:4">
      <c r="B760" t="s">
        <v>2667</v>
      </c>
      <c r="C760" s="220">
        <v>1</v>
      </c>
      <c r="D760" t="s">
        <v>55</v>
      </c>
    </row>
    <row r="761" spans="2:4">
      <c r="B761" t="s">
        <v>2668</v>
      </c>
      <c r="C761" s="220">
        <v>91</v>
      </c>
      <c r="D761" t="s">
        <v>55</v>
      </c>
    </row>
    <row r="762" spans="2:4">
      <c r="B762" t="s">
        <v>2669</v>
      </c>
      <c r="C762" s="220">
        <v>0</v>
      </c>
      <c r="D762" t="s">
        <v>49</v>
      </c>
    </row>
    <row r="763" spans="2:4">
      <c r="B763" t="s">
        <v>2671</v>
      </c>
      <c r="C763" s="220" t="s">
        <v>2673</v>
      </c>
      <c r="D763" t="s">
        <v>20</v>
      </c>
    </row>
    <row r="764" spans="2:4">
      <c r="B764" t="s">
        <v>2674</v>
      </c>
      <c r="C764" s="220">
        <v>3</v>
      </c>
      <c r="D764" t="s">
        <v>46</v>
      </c>
    </row>
    <row r="765" spans="2:4">
      <c r="B765" t="s">
        <v>2675</v>
      </c>
      <c r="C765" s="220">
        <v>1</v>
      </c>
      <c r="D765" t="s">
        <v>46</v>
      </c>
    </row>
    <row r="766" spans="2:4">
      <c r="B766" t="s">
        <v>2677</v>
      </c>
      <c r="C766" s="220" t="s">
        <v>2676</v>
      </c>
      <c r="D766" t="s">
        <v>20</v>
      </c>
    </row>
    <row r="767" spans="2:4">
      <c r="B767" t="s">
        <v>2679</v>
      </c>
      <c r="C767" s="220">
        <v>0</v>
      </c>
      <c r="D767" t="s">
        <v>26</v>
      </c>
    </row>
    <row r="768" spans="2:4">
      <c r="B768" t="s">
        <v>2681</v>
      </c>
      <c r="C768" s="220">
        <v>1</v>
      </c>
      <c r="D768" t="s">
        <v>46</v>
      </c>
    </row>
    <row r="769" spans="2:4">
      <c r="B769" t="s">
        <v>2683</v>
      </c>
      <c r="C769" s="220" t="s">
        <v>2682</v>
      </c>
      <c r="D769" t="s">
        <v>20</v>
      </c>
    </row>
    <row r="770" spans="2:4">
      <c r="B770" t="s">
        <v>2685</v>
      </c>
      <c r="C770" s="220">
        <v>0</v>
      </c>
      <c r="D770" t="s">
        <v>26</v>
      </c>
    </row>
    <row r="771" spans="2:4">
      <c r="B771" t="s">
        <v>2687</v>
      </c>
      <c r="C771" s="220">
        <v>1</v>
      </c>
      <c r="D771" t="s">
        <v>46</v>
      </c>
    </row>
    <row r="772" spans="2:4">
      <c r="B772" t="s">
        <v>2689</v>
      </c>
      <c r="C772" s="220" t="s">
        <v>2688</v>
      </c>
      <c r="D772" t="s">
        <v>20</v>
      </c>
    </row>
    <row r="773" spans="2:4">
      <c r="B773" t="s">
        <v>2691</v>
      </c>
      <c r="C773" s="220">
        <v>0</v>
      </c>
      <c r="D773" t="s">
        <v>26</v>
      </c>
    </row>
    <row r="774" spans="2:4">
      <c r="B774" t="s">
        <v>2692</v>
      </c>
      <c r="C774" s="220">
        <v>1</v>
      </c>
      <c r="D774" t="s">
        <v>46</v>
      </c>
    </row>
    <row r="775" spans="2:4">
      <c r="B775" t="s">
        <v>2693</v>
      </c>
      <c r="C775" s="220" t="s">
        <v>486</v>
      </c>
      <c r="D775" t="s">
        <v>20</v>
      </c>
    </row>
    <row r="776" spans="2:4">
      <c r="B776" t="s">
        <v>2695</v>
      </c>
      <c r="C776" s="220">
        <v>0</v>
      </c>
      <c r="D776" t="s">
        <v>26</v>
      </c>
    </row>
    <row r="777" spans="2:4">
      <c r="B777" t="s">
        <v>2697</v>
      </c>
      <c r="C777" s="220" t="s">
        <v>2699</v>
      </c>
      <c r="D777" t="s">
        <v>20</v>
      </c>
    </row>
    <row r="778" spans="2:4">
      <c r="B778" t="s">
        <v>2700</v>
      </c>
      <c r="C778" s="220">
        <v>2</v>
      </c>
      <c r="D778" t="s">
        <v>46</v>
      </c>
    </row>
    <row r="779" spans="2:4">
      <c r="B779" t="s">
        <v>2702</v>
      </c>
      <c r="C779" s="220" t="s">
        <v>2537</v>
      </c>
      <c r="D779" t="s">
        <v>20</v>
      </c>
    </row>
    <row r="780" spans="2:4">
      <c r="B780" t="s">
        <v>2704</v>
      </c>
      <c r="C780" s="220">
        <v>7.4999999999999997E-2</v>
      </c>
      <c r="D780" t="s">
        <v>26</v>
      </c>
    </row>
    <row r="781" spans="2:4">
      <c r="B781" t="s">
        <v>2706</v>
      </c>
      <c r="C781" s="220">
        <v>1.5</v>
      </c>
      <c r="D781" t="s">
        <v>38</v>
      </c>
    </row>
    <row r="782" spans="2:4">
      <c r="B782" t="s">
        <v>2708</v>
      </c>
      <c r="C782" s="220">
        <v>1</v>
      </c>
      <c r="D782" t="s">
        <v>55</v>
      </c>
    </row>
    <row r="783" spans="2:4">
      <c r="B783" t="s">
        <v>2710</v>
      </c>
      <c r="C783" s="220">
        <v>0</v>
      </c>
      <c r="D783" t="s">
        <v>26</v>
      </c>
    </row>
    <row r="784" spans="2:4">
      <c r="B784" t="s">
        <v>2712</v>
      </c>
      <c r="C784" s="220">
        <v>0</v>
      </c>
      <c r="D784" t="s">
        <v>38</v>
      </c>
    </row>
    <row r="785" spans="2:4">
      <c r="B785" t="s">
        <v>2714</v>
      </c>
      <c r="C785" s="220">
        <v>0</v>
      </c>
      <c r="D785" t="s">
        <v>38</v>
      </c>
    </row>
    <row r="786" spans="2:4">
      <c r="B786" t="s">
        <v>2716</v>
      </c>
      <c r="C786" s="220">
        <v>0.4</v>
      </c>
      <c r="D786" t="s">
        <v>26</v>
      </c>
    </row>
    <row r="787" spans="2:4">
      <c r="B787" t="s">
        <v>2718</v>
      </c>
      <c r="C787" s="220">
        <v>0</v>
      </c>
      <c r="D787" t="s">
        <v>38</v>
      </c>
    </row>
    <row r="788" spans="2:4">
      <c r="B788" t="s">
        <v>2720</v>
      </c>
      <c r="C788" s="220">
        <v>2</v>
      </c>
      <c r="D788" t="s">
        <v>38</v>
      </c>
    </row>
    <row r="789" spans="2:4">
      <c r="B789" t="s">
        <v>2722</v>
      </c>
      <c r="C789" s="220">
        <v>0</v>
      </c>
      <c r="D789" t="s">
        <v>49</v>
      </c>
    </row>
    <row r="790" spans="2:4">
      <c r="B790" t="s">
        <v>2724</v>
      </c>
      <c r="C790" s="220">
        <v>0.05</v>
      </c>
      <c r="D790" t="s">
        <v>26</v>
      </c>
    </row>
    <row r="791" spans="2:4">
      <c r="B791" t="s">
        <v>2726</v>
      </c>
      <c r="C791" s="220">
        <v>1</v>
      </c>
      <c r="D791" t="s">
        <v>38</v>
      </c>
    </row>
    <row r="792" spans="2:4">
      <c r="B792" t="s">
        <v>2728</v>
      </c>
      <c r="C792" s="220">
        <v>0</v>
      </c>
      <c r="D792" t="s">
        <v>26</v>
      </c>
    </row>
    <row r="793" spans="2:4">
      <c r="B793" t="s">
        <v>2730</v>
      </c>
      <c r="C793" s="220">
        <v>0</v>
      </c>
      <c r="D793" t="s">
        <v>33</v>
      </c>
    </row>
    <row r="794" spans="2:4">
      <c r="B794" t="s">
        <v>2732</v>
      </c>
      <c r="C794" s="220">
        <v>0</v>
      </c>
      <c r="D794" t="s">
        <v>49</v>
      </c>
    </row>
    <row r="795" spans="2:4">
      <c r="B795" t="s">
        <v>2734</v>
      </c>
      <c r="C795" s="220">
        <v>1</v>
      </c>
      <c r="D795" t="s">
        <v>46</v>
      </c>
    </row>
    <row r="796" spans="2:4">
      <c r="B796" t="s">
        <v>2736</v>
      </c>
      <c r="C796" s="220">
        <v>1</v>
      </c>
      <c r="D796" t="s">
        <v>49</v>
      </c>
    </row>
    <row r="797" spans="2:4">
      <c r="B797" t="s">
        <v>2738</v>
      </c>
      <c r="C797" s="220" t="s">
        <v>2740</v>
      </c>
      <c r="D797" t="s">
        <v>20</v>
      </c>
    </row>
    <row r="798" spans="2:4">
      <c r="B798" t="s">
        <v>2741</v>
      </c>
      <c r="C798" s="220">
        <v>1</v>
      </c>
      <c r="D798" t="s">
        <v>49</v>
      </c>
    </row>
    <row r="799" spans="2:4">
      <c r="B799" t="s">
        <v>2743</v>
      </c>
      <c r="C799" s="220">
        <v>1</v>
      </c>
      <c r="D799" t="s">
        <v>49</v>
      </c>
    </row>
    <row r="800" spans="2:4">
      <c r="B800" t="s">
        <v>2745</v>
      </c>
      <c r="C800" s="220">
        <v>0</v>
      </c>
      <c r="D800" t="s">
        <v>26</v>
      </c>
    </row>
    <row r="801" spans="2:4">
      <c r="B801" t="s">
        <v>2747</v>
      </c>
      <c r="C801" s="220">
        <v>0.4</v>
      </c>
      <c r="D801" t="s">
        <v>26</v>
      </c>
    </row>
    <row r="802" spans="2:4">
      <c r="B802" t="s">
        <v>2749</v>
      </c>
      <c r="C802" s="220">
        <v>0</v>
      </c>
      <c r="D802" t="s">
        <v>38</v>
      </c>
    </row>
    <row r="803" spans="2:4">
      <c r="B803" t="s">
        <v>2751</v>
      </c>
      <c r="C803" s="220">
        <v>8</v>
      </c>
      <c r="D803" t="s">
        <v>38</v>
      </c>
    </row>
    <row r="804" spans="2:4">
      <c r="B804" t="s">
        <v>2753</v>
      </c>
      <c r="C804" s="220" t="s">
        <v>2699</v>
      </c>
      <c r="D804" t="s">
        <v>20</v>
      </c>
    </row>
    <row r="805" spans="2:4">
      <c r="B805" t="s">
        <v>2754</v>
      </c>
      <c r="C805" s="220">
        <v>2</v>
      </c>
      <c r="D805" t="s">
        <v>46</v>
      </c>
    </row>
    <row r="806" spans="2:4">
      <c r="B806" t="s">
        <v>2755</v>
      </c>
      <c r="C806" s="220">
        <v>2</v>
      </c>
      <c r="D806" t="s">
        <v>38</v>
      </c>
    </row>
    <row r="807" spans="2:4">
      <c r="B807" t="s">
        <v>2756</v>
      </c>
      <c r="C807" s="220">
        <v>0.1</v>
      </c>
      <c r="D807" t="s">
        <v>26</v>
      </c>
    </row>
    <row r="808" spans="2:4">
      <c r="B808" t="s">
        <v>2757</v>
      </c>
      <c r="C808" s="220" t="s">
        <v>2537</v>
      </c>
      <c r="D808" t="s">
        <v>20</v>
      </c>
    </row>
    <row r="809" spans="2:4">
      <c r="B809" t="s">
        <v>2758</v>
      </c>
      <c r="C809" s="220">
        <v>1</v>
      </c>
      <c r="D809" t="s">
        <v>55</v>
      </c>
    </row>
    <row r="810" spans="2:4">
      <c r="B810" t="s">
        <v>2760</v>
      </c>
      <c r="C810" s="220">
        <v>1</v>
      </c>
      <c r="D810" t="s">
        <v>49</v>
      </c>
    </row>
    <row r="811" spans="2:4">
      <c r="B811" t="s">
        <v>2762</v>
      </c>
      <c r="C811" s="220">
        <v>21</v>
      </c>
      <c r="D811" t="s">
        <v>53</v>
      </c>
    </row>
    <row r="812" spans="2:4">
      <c r="B812" t="s">
        <v>2764</v>
      </c>
      <c r="C812" s="220">
        <v>6</v>
      </c>
      <c r="D812" t="s">
        <v>55</v>
      </c>
    </row>
    <row r="813" spans="2:4">
      <c r="B813" t="s">
        <v>2766</v>
      </c>
      <c r="D813" t="s">
        <v>59</v>
      </c>
    </row>
    <row r="814" spans="2:4">
      <c r="B814" t="s">
        <v>2768</v>
      </c>
      <c r="C814" s="220">
        <v>0.1</v>
      </c>
      <c r="D814" t="s">
        <v>26</v>
      </c>
    </row>
    <row r="815" spans="2:4">
      <c r="B815" t="s">
        <v>2769</v>
      </c>
      <c r="C815" s="220">
        <v>0.1</v>
      </c>
      <c r="D815" t="s">
        <v>26</v>
      </c>
    </row>
    <row r="816" spans="2:4">
      <c r="B816" t="s">
        <v>2770</v>
      </c>
      <c r="C816" s="220">
        <v>1.8</v>
      </c>
      <c r="D816" t="s">
        <v>26</v>
      </c>
    </row>
    <row r="817" spans="2:4">
      <c r="B817" t="s">
        <v>2772</v>
      </c>
      <c r="C817" s="220">
        <v>0.1</v>
      </c>
      <c r="D817" t="s">
        <v>26</v>
      </c>
    </row>
    <row r="818" spans="2:4">
      <c r="B818" t="s">
        <v>2773</v>
      </c>
      <c r="C818" s="220">
        <v>0.1</v>
      </c>
      <c r="D818" t="s">
        <v>26</v>
      </c>
    </row>
    <row r="819" spans="2:4">
      <c r="B819" t="s">
        <v>2774</v>
      </c>
      <c r="C819" s="220">
        <v>1.2</v>
      </c>
      <c r="D819" t="s">
        <v>26</v>
      </c>
    </row>
    <row r="820" spans="2:4">
      <c r="B820" t="s">
        <v>3616</v>
      </c>
      <c r="C820" s="220">
        <v>0</v>
      </c>
      <c r="D820" t="s">
        <v>26</v>
      </c>
    </row>
    <row r="821" spans="2:4">
      <c r="B821" t="s">
        <v>3617</v>
      </c>
      <c r="C821" s="220">
        <v>0</v>
      </c>
      <c r="D821" t="s">
        <v>26</v>
      </c>
    </row>
    <row r="822" spans="2:4">
      <c r="B822" t="s">
        <v>2776</v>
      </c>
      <c r="C822" s="220">
        <v>0</v>
      </c>
      <c r="D822" t="s">
        <v>46</v>
      </c>
    </row>
    <row r="823" spans="2:4">
      <c r="B823" t="s">
        <v>2779</v>
      </c>
      <c r="D823" t="s">
        <v>59</v>
      </c>
    </row>
    <row r="824" spans="2:4">
      <c r="B824" t="s">
        <v>215</v>
      </c>
      <c r="C824" s="220" t="s">
        <v>35</v>
      </c>
      <c r="D824" t="s">
        <v>52</v>
      </c>
    </row>
    <row r="825" spans="2:4">
      <c r="B825" t="s">
        <v>1461</v>
      </c>
      <c r="C825" s="220">
        <v>133</v>
      </c>
      <c r="D825" t="s">
        <v>52</v>
      </c>
    </row>
    <row r="826" spans="2:4">
      <c r="B826" t="s">
        <v>1463</v>
      </c>
      <c r="C826" s="220">
        <v>24</v>
      </c>
      <c r="D826" t="s">
        <v>52</v>
      </c>
    </row>
    <row r="827" spans="2:4">
      <c r="B827" t="s">
        <v>1465</v>
      </c>
      <c r="C827" s="220">
        <v>40</v>
      </c>
      <c r="D827" t="s">
        <v>52</v>
      </c>
    </row>
    <row r="828" spans="2:4">
      <c r="B828" t="s">
        <v>1467</v>
      </c>
      <c r="C828" s="220">
        <v>133</v>
      </c>
      <c r="D828" t="s">
        <v>52</v>
      </c>
    </row>
    <row r="829" spans="2:4">
      <c r="B829" t="s">
        <v>1469</v>
      </c>
      <c r="C829" s="220">
        <v>1</v>
      </c>
      <c r="D829" t="s">
        <v>49</v>
      </c>
    </row>
    <row r="830" spans="2:4">
      <c r="B830" t="s">
        <v>1471</v>
      </c>
      <c r="C830" s="220" t="s">
        <v>35</v>
      </c>
      <c r="D830" t="s">
        <v>46</v>
      </c>
    </row>
    <row r="831" spans="2:4">
      <c r="B831" t="s">
        <v>1472</v>
      </c>
      <c r="C831" s="220">
        <v>133</v>
      </c>
      <c r="D831" t="s">
        <v>52</v>
      </c>
    </row>
    <row r="832" spans="2:4">
      <c r="B832" t="s">
        <v>1474</v>
      </c>
      <c r="C832" s="220">
        <v>133</v>
      </c>
      <c r="D832" t="s">
        <v>52</v>
      </c>
    </row>
    <row r="833" spans="2:4">
      <c r="B833" t="s">
        <v>1476</v>
      </c>
      <c r="D833" t="s">
        <v>59</v>
      </c>
    </row>
    <row r="834" spans="2:4">
      <c r="B834" t="s">
        <v>1478</v>
      </c>
      <c r="C834" s="220" t="s">
        <v>1480</v>
      </c>
      <c r="D834" t="s">
        <v>20</v>
      </c>
    </row>
    <row r="835" spans="2:4">
      <c r="B835" t="s">
        <v>1481</v>
      </c>
      <c r="C835" s="220">
        <v>1</v>
      </c>
      <c r="D835" t="s">
        <v>46</v>
      </c>
    </row>
    <row r="836" spans="2:4">
      <c r="B836" t="s">
        <v>1482</v>
      </c>
      <c r="C836" s="220" t="s">
        <v>1484</v>
      </c>
      <c r="D836" t="s">
        <v>20</v>
      </c>
    </row>
    <row r="837" spans="2:4">
      <c r="B837" t="s">
        <v>1485</v>
      </c>
      <c r="C837" s="220">
        <v>4</v>
      </c>
      <c r="D837" t="s">
        <v>46</v>
      </c>
    </row>
    <row r="838" spans="2:4">
      <c r="B838" t="s">
        <v>1486</v>
      </c>
      <c r="C838" s="220">
        <v>0</v>
      </c>
      <c r="D838" t="s">
        <v>49</v>
      </c>
    </row>
    <row r="839" spans="2:4">
      <c r="B839" t="s">
        <v>1488</v>
      </c>
      <c r="C839" s="220">
        <v>1</v>
      </c>
      <c r="D839" t="s">
        <v>49</v>
      </c>
    </row>
    <row r="840" spans="2:4">
      <c r="B840" t="s">
        <v>1490</v>
      </c>
      <c r="C840" s="220">
        <v>1</v>
      </c>
      <c r="D840" t="s">
        <v>49</v>
      </c>
    </row>
    <row r="841" spans="2:4">
      <c r="B841" t="s">
        <v>1492</v>
      </c>
      <c r="C841" s="220">
        <v>1</v>
      </c>
      <c r="D841" t="s">
        <v>53</v>
      </c>
    </row>
    <row r="842" spans="2:4">
      <c r="B842" t="s">
        <v>1494</v>
      </c>
      <c r="C842" s="220">
        <v>1</v>
      </c>
      <c r="D842" t="s">
        <v>53</v>
      </c>
    </row>
    <row r="843" spans="2:4">
      <c r="B843" t="s">
        <v>1496</v>
      </c>
      <c r="C843" s="220">
        <v>1</v>
      </c>
      <c r="D843" t="s">
        <v>49</v>
      </c>
    </row>
    <row r="844" spans="2:4">
      <c r="B844" t="s">
        <v>1498</v>
      </c>
      <c r="C844" s="220">
        <v>1</v>
      </c>
      <c r="D844" t="s">
        <v>49</v>
      </c>
    </row>
    <row r="845" spans="2:4">
      <c r="B845" t="s">
        <v>1500</v>
      </c>
      <c r="C845" s="220">
        <v>1</v>
      </c>
      <c r="D845" t="s">
        <v>53</v>
      </c>
    </row>
    <row r="846" spans="2:4">
      <c r="B846" t="s">
        <v>1502</v>
      </c>
      <c r="C846" s="220">
        <v>1</v>
      </c>
      <c r="D846" t="s">
        <v>53</v>
      </c>
    </row>
    <row r="847" spans="2:4">
      <c r="B847" t="s">
        <v>1504</v>
      </c>
      <c r="C847" s="220">
        <v>1</v>
      </c>
      <c r="D847" t="s">
        <v>55</v>
      </c>
    </row>
    <row r="848" spans="2:4">
      <c r="B848" t="s">
        <v>1506</v>
      </c>
      <c r="C848" s="220">
        <v>1</v>
      </c>
      <c r="D848" t="s">
        <v>55</v>
      </c>
    </row>
    <row r="849" spans="2:4">
      <c r="B849" t="s">
        <v>1508</v>
      </c>
      <c r="D849" t="s">
        <v>59</v>
      </c>
    </row>
    <row r="850" spans="2:4">
      <c r="B850" t="s">
        <v>1510</v>
      </c>
      <c r="C850" s="220">
        <v>0</v>
      </c>
      <c r="D850" t="s">
        <v>46</v>
      </c>
    </row>
    <row r="851" spans="2:4">
      <c r="B851" t="s">
        <v>1512</v>
      </c>
      <c r="C851" s="220">
        <v>0</v>
      </c>
      <c r="D851" t="s">
        <v>46</v>
      </c>
    </row>
    <row r="852" spans="2:4">
      <c r="B852" t="s">
        <v>1514</v>
      </c>
      <c r="C852" s="220">
        <v>0</v>
      </c>
      <c r="D852" t="s">
        <v>49</v>
      </c>
    </row>
    <row r="853" spans="2:4">
      <c r="B853" t="s">
        <v>1516</v>
      </c>
      <c r="C853" s="220">
        <v>0</v>
      </c>
      <c r="D853" t="s">
        <v>26</v>
      </c>
    </row>
    <row r="854" spans="2:4">
      <c r="B854" t="s">
        <v>1518</v>
      </c>
      <c r="C854" s="220">
        <v>0</v>
      </c>
      <c r="D854" t="s">
        <v>26</v>
      </c>
    </row>
    <row r="855" spans="2:4">
      <c r="B855" t="s">
        <v>1520</v>
      </c>
      <c r="C855" s="220">
        <v>0.04</v>
      </c>
      <c r="D855" t="s">
        <v>26</v>
      </c>
    </row>
    <row r="856" spans="2:4">
      <c r="B856" t="s">
        <v>1522</v>
      </c>
      <c r="C856" s="220">
        <v>0.05</v>
      </c>
      <c r="D856" t="s">
        <v>26</v>
      </c>
    </row>
    <row r="857" spans="2:4">
      <c r="B857" t="s">
        <v>1524</v>
      </c>
      <c r="C857" s="220">
        <v>0.01</v>
      </c>
      <c r="D857" t="s">
        <v>26</v>
      </c>
    </row>
    <row r="858" spans="2:4">
      <c r="B858" t="s">
        <v>1526</v>
      </c>
      <c r="C858" s="220">
        <v>0.01</v>
      </c>
      <c r="D858" t="s">
        <v>26</v>
      </c>
    </row>
    <row r="859" spans="2:4">
      <c r="B859" t="s">
        <v>1528</v>
      </c>
      <c r="C859" s="220">
        <v>1</v>
      </c>
      <c r="D859" t="s">
        <v>55</v>
      </c>
    </row>
    <row r="860" spans="2:4">
      <c r="B860" t="s">
        <v>1530</v>
      </c>
      <c r="C860" s="220">
        <v>1</v>
      </c>
      <c r="D860" t="s">
        <v>53</v>
      </c>
    </row>
    <row r="861" spans="2:4">
      <c r="B861" t="s">
        <v>1532</v>
      </c>
      <c r="C861" s="220">
        <v>65</v>
      </c>
      <c r="D861" t="s">
        <v>54</v>
      </c>
    </row>
    <row r="862" spans="2:4">
      <c r="B862" t="s">
        <v>1534</v>
      </c>
      <c r="C862" s="220">
        <v>2</v>
      </c>
      <c r="D862" t="s">
        <v>55</v>
      </c>
    </row>
    <row r="863" spans="2:4">
      <c r="B863" t="s">
        <v>1536</v>
      </c>
      <c r="C863" s="220">
        <v>19</v>
      </c>
      <c r="D863" t="s">
        <v>55</v>
      </c>
    </row>
    <row r="864" spans="2:4">
      <c r="B864" t="s">
        <v>1538</v>
      </c>
      <c r="C864" s="220">
        <v>1</v>
      </c>
      <c r="D864" t="s">
        <v>55</v>
      </c>
    </row>
    <row r="865" spans="2:4">
      <c r="B865" t="s">
        <v>1540</v>
      </c>
      <c r="C865" s="220">
        <v>1</v>
      </c>
      <c r="D865" t="s">
        <v>53</v>
      </c>
    </row>
    <row r="866" spans="2:4">
      <c r="B866" t="s">
        <v>1542</v>
      </c>
      <c r="C866" s="220">
        <v>64</v>
      </c>
      <c r="D866" t="s">
        <v>54</v>
      </c>
    </row>
    <row r="867" spans="2:4">
      <c r="B867" t="s">
        <v>1544</v>
      </c>
      <c r="C867" s="220">
        <v>2</v>
      </c>
      <c r="D867" t="s">
        <v>55</v>
      </c>
    </row>
    <row r="868" spans="2:4">
      <c r="B868" t="s">
        <v>1545</v>
      </c>
      <c r="C868" s="220">
        <v>19</v>
      </c>
      <c r="D868" t="s">
        <v>55</v>
      </c>
    </row>
    <row r="869" spans="2:4">
      <c r="B869" t="s">
        <v>2782</v>
      </c>
      <c r="D869" t="s">
        <v>59</v>
      </c>
    </row>
    <row r="870" spans="2:4">
      <c r="B870" t="s">
        <v>2983</v>
      </c>
      <c r="D870" t="s">
        <v>59</v>
      </c>
    </row>
    <row r="871" spans="2:4">
      <c r="B871" t="s">
        <v>2985</v>
      </c>
      <c r="C871" s="220" t="s">
        <v>2987</v>
      </c>
      <c r="D871" t="s">
        <v>20</v>
      </c>
    </row>
    <row r="872" spans="2:4">
      <c r="B872" t="s">
        <v>2988</v>
      </c>
      <c r="C872" s="220">
        <v>2</v>
      </c>
      <c r="D872" t="s">
        <v>46</v>
      </c>
    </row>
    <row r="873" spans="2:4">
      <c r="B873" t="s">
        <v>2989</v>
      </c>
      <c r="C873" s="220">
        <v>0</v>
      </c>
      <c r="D873" t="s">
        <v>26</v>
      </c>
    </row>
    <row r="874" spans="2:4">
      <c r="B874" t="s">
        <v>2990</v>
      </c>
      <c r="C874" s="220">
        <v>0</v>
      </c>
      <c r="D874" t="s">
        <v>26</v>
      </c>
    </row>
    <row r="875" spans="2:4">
      <c r="B875" t="s">
        <v>2991</v>
      </c>
      <c r="C875" s="220">
        <v>0</v>
      </c>
      <c r="D875" t="s">
        <v>26</v>
      </c>
    </row>
    <row r="876" spans="2:4">
      <c r="B876" t="s">
        <v>2992</v>
      </c>
      <c r="C876" s="220">
        <v>0</v>
      </c>
      <c r="D876" t="s">
        <v>26</v>
      </c>
    </row>
    <row r="877" spans="2:4">
      <c r="B877" t="s">
        <v>2993</v>
      </c>
      <c r="C877" s="220">
        <v>0</v>
      </c>
      <c r="D877" t="s">
        <v>26</v>
      </c>
    </row>
    <row r="878" spans="2:4">
      <c r="B878" t="s">
        <v>2994</v>
      </c>
      <c r="C878" s="220">
        <v>0</v>
      </c>
      <c r="D878" t="s">
        <v>26</v>
      </c>
    </row>
    <row r="879" spans="2:4">
      <c r="B879" t="s">
        <v>2995</v>
      </c>
      <c r="C879" s="220">
        <v>0</v>
      </c>
      <c r="D879" t="s">
        <v>26</v>
      </c>
    </row>
    <row r="880" spans="2:4">
      <c r="B880" t="s">
        <v>2996</v>
      </c>
      <c r="C880" s="220">
        <v>0</v>
      </c>
      <c r="D880" t="s">
        <v>26</v>
      </c>
    </row>
    <row r="881" spans="2:4">
      <c r="B881" t="s">
        <v>2997</v>
      </c>
      <c r="C881" s="220">
        <v>0</v>
      </c>
      <c r="D881" t="s">
        <v>26</v>
      </c>
    </row>
    <row r="882" spans="2:4">
      <c r="B882" t="s">
        <v>2998</v>
      </c>
      <c r="C882" s="220">
        <v>0</v>
      </c>
      <c r="D882" t="s">
        <v>26</v>
      </c>
    </row>
    <row r="883" spans="2:4">
      <c r="B883" t="s">
        <v>2999</v>
      </c>
      <c r="C883" s="220" t="s">
        <v>35</v>
      </c>
      <c r="D883" t="s">
        <v>26</v>
      </c>
    </row>
    <row r="884" spans="2:4">
      <c r="B884" t="s">
        <v>218</v>
      </c>
      <c r="D884" t="s">
        <v>59</v>
      </c>
    </row>
    <row r="885" spans="2:4">
      <c r="B885" t="s">
        <v>220</v>
      </c>
      <c r="C885" s="220">
        <v>6</v>
      </c>
      <c r="D885" t="s">
        <v>46</v>
      </c>
    </row>
    <row r="886" spans="2:4">
      <c r="B886" t="s">
        <v>222</v>
      </c>
      <c r="C886" s="220" t="s">
        <v>35</v>
      </c>
      <c r="D886" t="s">
        <v>46</v>
      </c>
    </row>
    <row r="887" spans="2:4">
      <c r="B887" t="s">
        <v>224</v>
      </c>
      <c r="D887" t="s">
        <v>59</v>
      </c>
    </row>
    <row r="888" spans="2:4">
      <c r="B888" t="s">
        <v>226</v>
      </c>
      <c r="C888" s="220" t="s">
        <v>3153</v>
      </c>
      <c r="D888" t="s">
        <v>20</v>
      </c>
    </row>
    <row r="889" spans="2:4">
      <c r="B889" t="s">
        <v>229</v>
      </c>
      <c r="C889" s="220" t="s">
        <v>228</v>
      </c>
      <c r="D889" t="s">
        <v>20</v>
      </c>
    </row>
    <row r="890" spans="2:4">
      <c r="B890" t="s">
        <v>231</v>
      </c>
      <c r="C890" s="220" t="s">
        <v>228</v>
      </c>
      <c r="D890" t="s">
        <v>20</v>
      </c>
    </row>
    <row r="891" spans="2:4">
      <c r="B891" t="s">
        <v>233</v>
      </c>
      <c r="C891" s="220" t="s">
        <v>235</v>
      </c>
      <c r="D891" t="s">
        <v>20</v>
      </c>
    </row>
    <row r="892" spans="2:4">
      <c r="B892" t="s">
        <v>236</v>
      </c>
      <c r="C892" s="220" t="s">
        <v>238</v>
      </c>
      <c r="D892" t="s">
        <v>20</v>
      </c>
    </row>
    <row r="893" spans="2:4">
      <c r="B893" t="s">
        <v>239</v>
      </c>
      <c r="C893" s="220" t="s">
        <v>228</v>
      </c>
      <c r="D893" t="s">
        <v>20</v>
      </c>
    </row>
    <row r="894" spans="2:4">
      <c r="B894" t="s">
        <v>241</v>
      </c>
      <c r="C894" s="220" t="s">
        <v>243</v>
      </c>
      <c r="D894" t="s">
        <v>20</v>
      </c>
    </row>
    <row r="895" spans="2:4">
      <c r="B895" t="s">
        <v>244</v>
      </c>
      <c r="C895" s="220" t="s">
        <v>228</v>
      </c>
      <c r="D895" t="s">
        <v>20</v>
      </c>
    </row>
    <row r="896" spans="2:4">
      <c r="B896" t="s">
        <v>246</v>
      </c>
      <c r="C896" s="220" t="s">
        <v>228</v>
      </c>
      <c r="D896" t="s">
        <v>20</v>
      </c>
    </row>
    <row r="897" spans="2:4">
      <c r="B897" t="s">
        <v>248</v>
      </c>
      <c r="C897" s="220" t="s">
        <v>228</v>
      </c>
      <c r="D897" t="s">
        <v>20</v>
      </c>
    </row>
    <row r="898" spans="2:4">
      <c r="B898" t="s">
        <v>250</v>
      </c>
      <c r="D898" t="s">
        <v>59</v>
      </c>
    </row>
    <row r="899" spans="2:4">
      <c r="B899" t="s">
        <v>252</v>
      </c>
      <c r="C899" s="220" t="s">
        <v>254</v>
      </c>
      <c r="D899" t="s">
        <v>20</v>
      </c>
    </row>
    <row r="900" spans="2:4">
      <c r="B900" t="s">
        <v>180</v>
      </c>
      <c r="C900" s="220">
        <v>1</v>
      </c>
      <c r="D900" t="s">
        <v>46</v>
      </c>
    </row>
    <row r="901" spans="2:4">
      <c r="B901" t="s">
        <v>255</v>
      </c>
      <c r="C901" s="220">
        <v>1</v>
      </c>
      <c r="D901" t="s">
        <v>46</v>
      </c>
    </row>
    <row r="902" spans="2:4">
      <c r="B902" t="s">
        <v>257</v>
      </c>
      <c r="C902" s="220">
        <v>1</v>
      </c>
      <c r="D902" t="s">
        <v>46</v>
      </c>
    </row>
    <row r="903" spans="2:4">
      <c r="B903" t="s">
        <v>259</v>
      </c>
      <c r="C903" s="220">
        <v>1</v>
      </c>
      <c r="D903" t="s">
        <v>46</v>
      </c>
    </row>
    <row r="904" spans="2:4">
      <c r="B904" t="s">
        <v>261</v>
      </c>
      <c r="C904" s="220">
        <v>1</v>
      </c>
      <c r="D904" t="s">
        <v>46</v>
      </c>
    </row>
    <row r="905" spans="2:4">
      <c r="B905" t="s">
        <v>262</v>
      </c>
      <c r="C905" s="220">
        <v>0</v>
      </c>
      <c r="D905" t="s">
        <v>46</v>
      </c>
    </row>
    <row r="906" spans="2:4">
      <c r="B906" t="s">
        <v>264</v>
      </c>
      <c r="C906" s="220">
        <v>1</v>
      </c>
      <c r="D906" t="s">
        <v>46</v>
      </c>
    </row>
    <row r="907" spans="2:4">
      <c r="B907" t="s">
        <v>265</v>
      </c>
      <c r="D907" t="s">
        <v>20</v>
      </c>
    </row>
    <row r="908" spans="2:4">
      <c r="B908" t="s">
        <v>267</v>
      </c>
      <c r="C908" s="220">
        <v>2</v>
      </c>
      <c r="D908" t="s">
        <v>46</v>
      </c>
    </row>
    <row r="909" spans="2:4">
      <c r="B909" t="s">
        <v>269</v>
      </c>
      <c r="C909" s="220">
        <v>1</v>
      </c>
      <c r="D909" t="s">
        <v>49</v>
      </c>
    </row>
    <row r="910" spans="2:4">
      <c r="B910" t="s">
        <v>271</v>
      </c>
      <c r="C910" s="220">
        <v>0</v>
      </c>
      <c r="D910" t="s">
        <v>46</v>
      </c>
    </row>
    <row r="911" spans="2:4">
      <c r="B911" t="s">
        <v>3000</v>
      </c>
      <c r="D911" t="s">
        <v>59</v>
      </c>
    </row>
    <row r="912" spans="2:4">
      <c r="B912" t="s">
        <v>3003</v>
      </c>
      <c r="C912" s="220">
        <v>0</v>
      </c>
      <c r="D912" t="s">
        <v>26</v>
      </c>
    </row>
    <row r="913" spans="2:4">
      <c r="B913" t="s">
        <v>3005</v>
      </c>
      <c r="C913" s="220">
        <v>0</v>
      </c>
      <c r="D913" t="s">
        <v>26</v>
      </c>
    </row>
    <row r="914" spans="2:4">
      <c r="B914" t="s">
        <v>3007</v>
      </c>
      <c r="C914" s="220">
        <v>0</v>
      </c>
      <c r="D914" t="s">
        <v>26</v>
      </c>
    </row>
    <row r="915" spans="2:4">
      <c r="B915" t="s">
        <v>3009</v>
      </c>
      <c r="C915" s="220">
        <v>0</v>
      </c>
      <c r="D915" t="s">
        <v>26</v>
      </c>
    </row>
  </sheetData>
  <pageMargins left="0.7" right="0.7" top="0.78740157499999996" bottom="0.78740157499999996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Tabelle8"/>
  <dimension ref="A1:D211"/>
  <sheetViews>
    <sheetView topLeftCell="A136" zoomScale="85" zoomScaleNormal="85" workbookViewId="0">
      <selection sqref="A1:XFD1048576"/>
    </sheetView>
  </sheetViews>
  <sheetFormatPr baseColWidth="10" defaultRowHeight="15"/>
  <cols>
    <col min="1" max="1" width="37.5703125" bestFit="1" customWidth="1"/>
    <col min="2" max="2" width="6" style="225" bestFit="1" customWidth="1"/>
    <col min="3" max="3" width="43.140625" customWidth="1"/>
    <col min="4" max="4" width="77" customWidth="1"/>
  </cols>
  <sheetData>
    <row r="1" spans="1:4" s="108" customFormat="1" ht="26.25">
      <c r="A1" s="109" t="s">
        <v>163</v>
      </c>
      <c r="B1" s="111"/>
      <c r="C1" s="108" t="s">
        <v>162</v>
      </c>
    </row>
    <row r="2" spans="1:4" s="108" customFormat="1">
      <c r="B2" s="111"/>
      <c r="C2" s="144" t="s">
        <v>173</v>
      </c>
      <c r="D2" s="144" t="s">
        <v>3969</v>
      </c>
    </row>
    <row r="3" spans="1:4" s="112" customFormat="1">
      <c r="A3" s="141" t="s">
        <v>171</v>
      </c>
      <c r="B3" s="142" t="s">
        <v>172</v>
      </c>
      <c r="C3" s="143">
        <v>1</v>
      </c>
      <c r="D3" s="143">
        <v>4</v>
      </c>
    </row>
    <row r="4" spans="1:4" s="113" customFormat="1" ht="15.75">
      <c r="A4" s="115" t="str">
        <f>"! --- "&amp;INDEX(MLtextDivisions,1)</f>
        <v>! --- User Interface - UI_xxxFIELD text</v>
      </c>
      <c r="B4" s="114"/>
    </row>
    <row r="5" spans="1:4" s="121" customFormat="1">
      <c r="A5" s="120" t="s">
        <v>3948</v>
      </c>
      <c r="B5" s="120">
        <v>1</v>
      </c>
      <c r="C5" s="321" t="s">
        <v>3949</v>
      </c>
      <c r="D5" s="321" t="s">
        <v>3977</v>
      </c>
    </row>
    <row r="6" spans="1:4" s="121" customFormat="1">
      <c r="A6" s="120" t="s">
        <v>3948</v>
      </c>
      <c r="B6" s="120">
        <v>2</v>
      </c>
      <c r="C6" s="321" t="s">
        <v>4063</v>
      </c>
      <c r="D6" s="321" t="s">
        <v>4064</v>
      </c>
    </row>
    <row r="7" spans="1:4" s="121" customFormat="1">
      <c r="A7" s="120" t="s">
        <v>3948</v>
      </c>
      <c r="B7" s="120">
        <v>3</v>
      </c>
      <c r="C7" s="321" t="s">
        <v>3950</v>
      </c>
      <c r="D7" s="321" t="s">
        <v>3978</v>
      </c>
    </row>
    <row r="8" spans="1:4" s="121" customFormat="1">
      <c r="A8" s="120" t="s">
        <v>3948</v>
      </c>
      <c r="B8" s="120">
        <v>4</v>
      </c>
      <c r="C8" s="321" t="s">
        <v>3951</v>
      </c>
      <c r="D8" s="321" t="s">
        <v>3979</v>
      </c>
    </row>
    <row r="9" spans="1:4" s="121" customFormat="1">
      <c r="A9" s="120" t="s">
        <v>3948</v>
      </c>
      <c r="B9" s="120">
        <v>5</v>
      </c>
      <c r="C9" s="321" t="s">
        <v>3952</v>
      </c>
      <c r="D9" s="321" t="s">
        <v>3980</v>
      </c>
    </row>
    <row r="10" spans="1:4" s="121" customFormat="1">
      <c r="A10" s="120" t="s">
        <v>3948</v>
      </c>
      <c r="B10" s="120">
        <v>6</v>
      </c>
      <c r="C10" s="321" t="s">
        <v>3953</v>
      </c>
      <c r="D10" s="321" t="s">
        <v>3981</v>
      </c>
    </row>
    <row r="11" spans="1:4" s="121" customFormat="1">
      <c r="A11" s="120" t="s">
        <v>3948</v>
      </c>
      <c r="B11" s="120">
        <v>7</v>
      </c>
      <c r="C11" s="321" t="s">
        <v>3954</v>
      </c>
      <c r="D11" s="321" t="s">
        <v>3982</v>
      </c>
    </row>
    <row r="12" spans="1:4" s="121" customFormat="1">
      <c r="A12" s="120" t="s">
        <v>3948</v>
      </c>
      <c r="B12" s="120">
        <v>8</v>
      </c>
      <c r="C12" s="321" t="s">
        <v>3955</v>
      </c>
      <c r="D12" s="321" t="s">
        <v>4004</v>
      </c>
    </row>
    <row r="13" spans="1:4" s="121" customFormat="1">
      <c r="A13" s="120" t="s">
        <v>3948</v>
      </c>
      <c r="B13" s="120">
        <v>9</v>
      </c>
      <c r="C13" s="321" t="s">
        <v>3956</v>
      </c>
      <c r="D13" s="321" t="s">
        <v>3983</v>
      </c>
    </row>
    <row r="14" spans="1:4" s="121" customFormat="1">
      <c r="A14" s="120" t="s">
        <v>3948</v>
      </c>
      <c r="B14" s="120">
        <v>10</v>
      </c>
      <c r="C14" s="321" t="s">
        <v>3957</v>
      </c>
      <c r="D14" s="321" t="s">
        <v>3984</v>
      </c>
    </row>
    <row r="15" spans="1:4" s="121" customFormat="1">
      <c r="A15" s="120" t="s">
        <v>3948</v>
      </c>
      <c r="B15" s="120">
        <v>11</v>
      </c>
      <c r="C15" s="121" t="s">
        <v>4083</v>
      </c>
      <c r="D15" s="121" t="s">
        <v>4111</v>
      </c>
    </row>
    <row r="16" spans="1:4" s="121" customFormat="1">
      <c r="A16" s="120" t="s">
        <v>3948</v>
      </c>
      <c r="B16" s="120">
        <v>12</v>
      </c>
      <c r="C16" s="121" t="s">
        <v>4114</v>
      </c>
      <c r="D16" s="121" t="s">
        <v>4251</v>
      </c>
    </row>
    <row r="17" spans="1:4" s="121" customFormat="1">
      <c r="A17" s="120" t="s">
        <v>3948</v>
      </c>
      <c r="B17" s="120">
        <v>13</v>
      </c>
      <c r="C17" s="121" t="s">
        <v>4115</v>
      </c>
      <c r="D17" s="121" t="s">
        <v>4252</v>
      </c>
    </row>
    <row r="18" spans="1:4" s="121" customFormat="1">
      <c r="A18" s="120" t="s">
        <v>3948</v>
      </c>
      <c r="B18" s="120">
        <v>14</v>
      </c>
      <c r="C18" s="121" t="s">
        <v>4116</v>
      </c>
      <c r="D18" s="121" t="s">
        <v>4253</v>
      </c>
    </row>
    <row r="19" spans="1:4" s="121" customFormat="1">
      <c r="A19" s="120" t="s">
        <v>3948</v>
      </c>
      <c r="B19" s="120">
        <v>15</v>
      </c>
      <c r="C19" s="121" t="s">
        <v>4117</v>
      </c>
      <c r="D19" s="121" t="s">
        <v>4254</v>
      </c>
    </row>
    <row r="20" spans="1:4" s="121" customFormat="1">
      <c r="A20" s="120" t="s">
        <v>3948</v>
      </c>
      <c r="B20" s="120">
        <v>18</v>
      </c>
      <c r="C20" s="121" t="s">
        <v>4118</v>
      </c>
      <c r="D20" s="121" t="s">
        <v>4255</v>
      </c>
    </row>
    <row r="21" spans="1:4" s="121" customFormat="1">
      <c r="A21" s="120" t="s">
        <v>3948</v>
      </c>
      <c r="B21" s="120">
        <v>19</v>
      </c>
      <c r="C21" s="121" t="s">
        <v>4084</v>
      </c>
      <c r="D21" s="121" t="s">
        <v>4256</v>
      </c>
    </row>
    <row r="22" spans="1:4" s="121" customFormat="1">
      <c r="A22" s="120" t="s">
        <v>3948</v>
      </c>
      <c r="B22" s="120">
        <v>20</v>
      </c>
      <c r="C22" s="121" t="s">
        <v>4085</v>
      </c>
      <c r="D22" s="121" t="s">
        <v>4110</v>
      </c>
    </row>
    <row r="23" spans="1:4" s="121" customFormat="1">
      <c r="A23" s="120" t="s">
        <v>3948</v>
      </c>
      <c r="B23" s="120">
        <v>21</v>
      </c>
      <c r="C23" s="121" t="s">
        <v>4086</v>
      </c>
      <c r="D23" s="121" t="s">
        <v>4109</v>
      </c>
    </row>
    <row r="24" spans="1:4" s="121" customFormat="1">
      <c r="A24" s="120" t="s">
        <v>3948</v>
      </c>
      <c r="B24" s="120">
        <v>22</v>
      </c>
      <c r="C24" s="121" t="s">
        <v>4087</v>
      </c>
      <c r="D24" s="121" t="s">
        <v>4257</v>
      </c>
    </row>
    <row r="25" spans="1:4" s="121" customFormat="1">
      <c r="A25" s="120" t="s">
        <v>3948</v>
      </c>
      <c r="B25" s="120">
        <v>23</v>
      </c>
      <c r="C25" s="121" t="s">
        <v>4088</v>
      </c>
      <c r="D25" s="121" t="s">
        <v>4263</v>
      </c>
    </row>
    <row r="26" spans="1:4" s="121" customFormat="1">
      <c r="A26" s="120" t="s">
        <v>3948</v>
      </c>
      <c r="B26" s="120">
        <v>24</v>
      </c>
      <c r="C26" s="121" t="s">
        <v>4089</v>
      </c>
      <c r="D26" s="121" t="s">
        <v>4266</v>
      </c>
    </row>
    <row r="27" spans="1:4" s="121" customFormat="1">
      <c r="A27" s="120" t="s">
        <v>3948</v>
      </c>
      <c r="B27" s="120">
        <v>25</v>
      </c>
      <c r="C27" s="121" t="s">
        <v>4090</v>
      </c>
      <c r="D27" s="121" t="s">
        <v>4262</v>
      </c>
    </row>
    <row r="28" spans="1:4" s="121" customFormat="1">
      <c r="A28" s="120" t="s">
        <v>3948</v>
      </c>
      <c r="B28" s="120">
        <v>26</v>
      </c>
      <c r="C28" s="121" t="s">
        <v>4091</v>
      </c>
      <c r="D28" s="121" t="s">
        <v>4261</v>
      </c>
    </row>
    <row r="29" spans="1:4" s="121" customFormat="1">
      <c r="A29" s="120" t="s">
        <v>3948</v>
      </c>
      <c r="B29" s="120">
        <v>27</v>
      </c>
      <c r="C29" s="121" t="s">
        <v>4092</v>
      </c>
      <c r="D29" s="121" t="s">
        <v>4260</v>
      </c>
    </row>
    <row r="30" spans="1:4" s="121" customFormat="1">
      <c r="A30" s="120" t="s">
        <v>3948</v>
      </c>
      <c r="B30" s="120">
        <v>28</v>
      </c>
      <c r="C30" s="121" t="s">
        <v>4093</v>
      </c>
      <c r="D30" s="121" t="s">
        <v>4259</v>
      </c>
    </row>
    <row r="31" spans="1:4" s="121" customFormat="1">
      <c r="A31" s="120" t="s">
        <v>3948</v>
      </c>
      <c r="B31" s="120">
        <v>29</v>
      </c>
      <c r="C31" s="121" t="s">
        <v>4094</v>
      </c>
      <c r="D31" s="121" t="s">
        <v>4265</v>
      </c>
    </row>
    <row r="32" spans="1:4" s="121" customFormat="1">
      <c r="A32" s="120" t="s">
        <v>3948</v>
      </c>
      <c r="B32" s="120">
        <v>30</v>
      </c>
      <c r="C32" s="121" t="s">
        <v>4095</v>
      </c>
      <c r="D32" s="121" t="s">
        <v>4264</v>
      </c>
    </row>
    <row r="33" spans="1:4" s="121" customFormat="1">
      <c r="A33" s="120" t="s">
        <v>3948</v>
      </c>
      <c r="B33" s="120">
        <v>31</v>
      </c>
      <c r="C33" s="121" t="s">
        <v>4096</v>
      </c>
      <c r="D33" s="121" t="s">
        <v>4267</v>
      </c>
    </row>
    <row r="34" spans="1:4" s="121" customFormat="1">
      <c r="A34" s="120" t="s">
        <v>3948</v>
      </c>
      <c r="B34" s="120">
        <v>32</v>
      </c>
      <c r="C34" s="121" t="s">
        <v>4119</v>
      </c>
      <c r="D34" s="121" t="s">
        <v>4286</v>
      </c>
    </row>
    <row r="35" spans="1:4" s="121" customFormat="1">
      <c r="A35" s="120" t="s">
        <v>3948</v>
      </c>
      <c r="B35" s="120">
        <v>33</v>
      </c>
      <c r="C35" s="121" t="s">
        <v>4120</v>
      </c>
      <c r="D35" s="121" t="s">
        <v>4287</v>
      </c>
    </row>
    <row r="36" spans="1:4" s="121" customFormat="1">
      <c r="A36" s="120" t="s">
        <v>3948</v>
      </c>
      <c r="B36" s="120">
        <v>34</v>
      </c>
      <c r="C36" s="121" t="s">
        <v>4121</v>
      </c>
      <c r="D36" s="121" t="s">
        <v>4258</v>
      </c>
    </row>
    <row r="37" spans="1:4" s="121" customFormat="1">
      <c r="A37" s="120" t="s">
        <v>3948</v>
      </c>
      <c r="B37" s="120">
        <v>35</v>
      </c>
      <c r="C37" s="121" t="s">
        <v>4122</v>
      </c>
      <c r="D37" s="121" t="s">
        <v>4122</v>
      </c>
    </row>
    <row r="38" spans="1:4" s="121" customFormat="1">
      <c r="A38" s="120" t="s">
        <v>3948</v>
      </c>
      <c r="B38" s="120">
        <v>36</v>
      </c>
      <c r="C38" s="121" t="s">
        <v>4123</v>
      </c>
      <c r="D38" s="121" t="s">
        <v>4291</v>
      </c>
    </row>
    <row r="39" spans="1:4" s="121" customFormat="1">
      <c r="A39" s="120" t="s">
        <v>3948</v>
      </c>
      <c r="B39" s="120">
        <v>37</v>
      </c>
      <c r="C39" s="121" t="s">
        <v>4124</v>
      </c>
      <c r="D39" s="121" t="s">
        <v>4274</v>
      </c>
    </row>
    <row r="40" spans="1:4" s="121" customFormat="1">
      <c r="A40" s="120" t="s">
        <v>3948</v>
      </c>
      <c r="B40" s="120">
        <v>38</v>
      </c>
      <c r="C40" s="121" t="s">
        <v>4125</v>
      </c>
      <c r="D40" s="121" t="s">
        <v>4125</v>
      </c>
    </row>
    <row r="41" spans="1:4" s="121" customFormat="1">
      <c r="A41" s="120" t="s">
        <v>3948</v>
      </c>
      <c r="B41" s="120">
        <v>39</v>
      </c>
      <c r="C41" s="121" t="s">
        <v>4126</v>
      </c>
      <c r="D41" s="121" t="s">
        <v>4276</v>
      </c>
    </row>
    <row r="42" spans="1:4" s="121" customFormat="1">
      <c r="A42" s="120" t="s">
        <v>3948</v>
      </c>
      <c r="B42" s="120">
        <v>40</v>
      </c>
      <c r="C42" s="121" t="s">
        <v>4127</v>
      </c>
      <c r="D42" s="121" t="s">
        <v>4275</v>
      </c>
    </row>
    <row r="43" spans="1:4" s="121" customFormat="1">
      <c r="A43" s="120" t="s">
        <v>3948</v>
      </c>
      <c r="B43" s="120">
        <v>41</v>
      </c>
      <c r="C43" s="121" t="s">
        <v>4128</v>
      </c>
      <c r="D43" s="121" t="s">
        <v>4278</v>
      </c>
    </row>
    <row r="44" spans="1:4" s="121" customFormat="1">
      <c r="A44" s="120" t="s">
        <v>3948</v>
      </c>
      <c r="B44" s="120">
        <v>42</v>
      </c>
      <c r="C44" s="121" t="s">
        <v>4129</v>
      </c>
      <c r="D44" s="121" t="s">
        <v>4277</v>
      </c>
    </row>
    <row r="45" spans="1:4" s="121" customFormat="1">
      <c r="A45" s="120" t="s">
        <v>3948</v>
      </c>
      <c r="B45" s="120">
        <v>43</v>
      </c>
      <c r="C45" s="121" t="s">
        <v>4130</v>
      </c>
      <c r="D45" s="121" t="s">
        <v>4273</v>
      </c>
    </row>
    <row r="46" spans="1:4" s="121" customFormat="1">
      <c r="A46" s="120" t="s">
        <v>3948</v>
      </c>
      <c r="B46" s="120">
        <v>44</v>
      </c>
      <c r="C46" s="121" t="s">
        <v>4131</v>
      </c>
      <c r="D46" s="121" t="s">
        <v>4131</v>
      </c>
    </row>
    <row r="47" spans="1:4" s="121" customFormat="1">
      <c r="A47" s="120" t="s">
        <v>3948</v>
      </c>
      <c r="B47" s="120">
        <v>45</v>
      </c>
      <c r="C47" s="121" t="s">
        <v>4112</v>
      </c>
      <c r="D47" s="121" t="s">
        <v>4294</v>
      </c>
    </row>
    <row r="48" spans="1:4" s="121" customFormat="1">
      <c r="A48" s="120" t="s">
        <v>3948</v>
      </c>
      <c r="B48" s="120">
        <v>46</v>
      </c>
      <c r="C48" s="121" t="s">
        <v>4132</v>
      </c>
      <c r="D48" s="121" t="s">
        <v>4293</v>
      </c>
    </row>
    <row r="49" spans="1:4" s="121" customFormat="1">
      <c r="A49" s="120" t="s">
        <v>3948</v>
      </c>
      <c r="B49" s="120">
        <v>47</v>
      </c>
      <c r="C49" s="121" t="s">
        <v>4133</v>
      </c>
      <c r="D49" s="121" t="s">
        <v>4292</v>
      </c>
    </row>
    <row r="50" spans="1:4" s="121" customFormat="1">
      <c r="A50" s="120" t="s">
        <v>3948</v>
      </c>
      <c r="B50" s="120">
        <v>48</v>
      </c>
      <c r="C50" s="121" t="s">
        <v>4134</v>
      </c>
      <c r="D50" s="121" t="s">
        <v>4295</v>
      </c>
    </row>
    <row r="51" spans="1:4" s="121" customFormat="1">
      <c r="A51" s="120" t="s">
        <v>3948</v>
      </c>
      <c r="B51" s="120">
        <v>49</v>
      </c>
      <c r="C51" s="121" t="s">
        <v>4135</v>
      </c>
      <c r="D51" s="121" t="s">
        <v>4296</v>
      </c>
    </row>
    <row r="52" spans="1:4" s="121" customFormat="1">
      <c r="A52" s="120" t="s">
        <v>3948</v>
      </c>
      <c r="B52" s="120">
        <v>50</v>
      </c>
      <c r="C52" s="121" t="s">
        <v>4136</v>
      </c>
      <c r="D52" s="121" t="s">
        <v>4250</v>
      </c>
    </row>
    <row r="53" spans="1:4" s="121" customFormat="1">
      <c r="A53" s="120" t="s">
        <v>3948</v>
      </c>
      <c r="B53" s="120">
        <v>51</v>
      </c>
      <c r="C53" s="121" t="s">
        <v>4137</v>
      </c>
      <c r="D53" s="121" t="s">
        <v>4249</v>
      </c>
    </row>
    <row r="54" spans="1:4" s="121" customFormat="1">
      <c r="A54" s="120" t="s">
        <v>3948</v>
      </c>
      <c r="B54" s="120">
        <v>52</v>
      </c>
      <c r="C54" s="121" t="s">
        <v>4138</v>
      </c>
      <c r="D54" s="121" t="s">
        <v>4297</v>
      </c>
    </row>
    <row r="55" spans="1:4" s="121" customFormat="1">
      <c r="A55" s="120" t="s">
        <v>3948</v>
      </c>
      <c r="B55" s="120">
        <v>53</v>
      </c>
      <c r="C55" s="121" t="s">
        <v>4139</v>
      </c>
      <c r="D55" s="121" t="s">
        <v>4298</v>
      </c>
    </row>
    <row r="56" spans="1:4" s="121" customFormat="1">
      <c r="A56" s="120" t="s">
        <v>3948</v>
      </c>
      <c r="B56" s="120">
        <v>54</v>
      </c>
      <c r="C56" s="121" t="s">
        <v>4140</v>
      </c>
      <c r="D56" s="121" t="s">
        <v>4288</v>
      </c>
    </row>
    <row r="57" spans="1:4" s="121" customFormat="1">
      <c r="A57" s="120" t="s">
        <v>3948</v>
      </c>
      <c r="B57" s="120">
        <v>55</v>
      </c>
      <c r="C57" s="121" t="s">
        <v>4141</v>
      </c>
      <c r="D57" s="121" t="s">
        <v>4290</v>
      </c>
    </row>
    <row r="58" spans="1:4" s="121" customFormat="1">
      <c r="A58" s="120" t="s">
        <v>3948</v>
      </c>
      <c r="B58" s="120">
        <v>56</v>
      </c>
      <c r="C58" s="121" t="s">
        <v>4142</v>
      </c>
      <c r="D58" s="121" t="s">
        <v>4268</v>
      </c>
    </row>
    <row r="59" spans="1:4" s="121" customFormat="1">
      <c r="A59" s="120" t="s">
        <v>3948</v>
      </c>
      <c r="B59" s="120">
        <v>57</v>
      </c>
      <c r="C59" s="121" t="s">
        <v>4143</v>
      </c>
      <c r="D59" s="121" t="s">
        <v>4285</v>
      </c>
    </row>
    <row r="60" spans="1:4" s="121" customFormat="1">
      <c r="A60" s="120" t="s">
        <v>3948</v>
      </c>
      <c r="B60" s="120">
        <v>58</v>
      </c>
      <c r="C60" s="121" t="s">
        <v>4144</v>
      </c>
      <c r="D60" s="121" t="s">
        <v>4284</v>
      </c>
    </row>
    <row r="61" spans="1:4" s="121" customFormat="1">
      <c r="A61" s="120" t="s">
        <v>3948</v>
      </c>
      <c r="B61" s="120">
        <v>59</v>
      </c>
      <c r="C61" s="121" t="s">
        <v>4145</v>
      </c>
      <c r="D61" s="121" t="s">
        <v>4283</v>
      </c>
    </row>
    <row r="62" spans="1:4" s="121" customFormat="1">
      <c r="A62" s="120" t="s">
        <v>3948</v>
      </c>
      <c r="B62" s="120">
        <v>60</v>
      </c>
      <c r="C62" s="121" t="s">
        <v>4146</v>
      </c>
      <c r="D62" s="121" t="s">
        <v>4146</v>
      </c>
    </row>
    <row r="63" spans="1:4" s="121" customFormat="1">
      <c r="A63" s="120" t="s">
        <v>3948</v>
      </c>
      <c r="B63" s="120">
        <v>61</v>
      </c>
      <c r="C63" s="121" t="s">
        <v>4147</v>
      </c>
      <c r="D63" s="121" t="s">
        <v>4289</v>
      </c>
    </row>
    <row r="64" spans="1:4" s="121" customFormat="1">
      <c r="A64" s="120" t="s">
        <v>3948</v>
      </c>
      <c r="B64" s="120">
        <v>62</v>
      </c>
      <c r="C64" s="121" t="s">
        <v>4148</v>
      </c>
      <c r="D64" s="121" t="s">
        <v>4270</v>
      </c>
    </row>
    <row r="65" spans="1:4" s="121" customFormat="1">
      <c r="A65" s="120" t="s">
        <v>3948</v>
      </c>
      <c r="B65" s="120">
        <v>63</v>
      </c>
      <c r="C65" s="121" t="s">
        <v>4149</v>
      </c>
      <c r="D65" s="121" t="s">
        <v>4269</v>
      </c>
    </row>
    <row r="66" spans="1:4" s="121" customFormat="1">
      <c r="A66" s="120" t="s">
        <v>3948</v>
      </c>
      <c r="B66" s="120">
        <v>64</v>
      </c>
      <c r="C66" s="121" t="s">
        <v>4150</v>
      </c>
      <c r="D66" s="121" t="s">
        <v>4271</v>
      </c>
    </row>
    <row r="67" spans="1:4" s="121" customFormat="1">
      <c r="A67" s="120" t="s">
        <v>3948</v>
      </c>
      <c r="B67" s="120">
        <v>65</v>
      </c>
      <c r="C67" s="121" t="s">
        <v>4151</v>
      </c>
      <c r="D67" s="121" t="s">
        <v>4272</v>
      </c>
    </row>
    <row r="68" spans="1:4" s="121" customFormat="1">
      <c r="A68" s="120" t="s">
        <v>3948</v>
      </c>
      <c r="B68" s="120">
        <v>66</v>
      </c>
      <c r="C68" s="121" t="s">
        <v>4113</v>
      </c>
      <c r="D68" s="121" t="s">
        <v>4282</v>
      </c>
    </row>
    <row r="69" spans="1:4" s="121" customFormat="1">
      <c r="A69" s="120" t="s">
        <v>3948</v>
      </c>
      <c r="B69" s="120">
        <v>67</v>
      </c>
      <c r="C69" s="121" t="s">
        <v>4152</v>
      </c>
      <c r="D69" s="121" t="s">
        <v>4279</v>
      </c>
    </row>
    <row r="70" spans="1:4" s="121" customFormat="1">
      <c r="A70" s="120" t="s">
        <v>3948</v>
      </c>
      <c r="B70" s="120">
        <v>68</v>
      </c>
      <c r="C70" s="121" t="s">
        <v>4153</v>
      </c>
      <c r="D70" s="121" t="s">
        <v>4281</v>
      </c>
    </row>
    <row r="71" spans="1:4" s="121" customFormat="1">
      <c r="A71" s="120" t="s">
        <v>3948</v>
      </c>
      <c r="B71" s="120">
        <v>69</v>
      </c>
      <c r="C71" s="121" t="s">
        <v>4154</v>
      </c>
      <c r="D71" s="121" t="s">
        <v>4280</v>
      </c>
    </row>
    <row r="72" spans="1:4" s="121" customFormat="1">
      <c r="A72" s="120" t="s">
        <v>3948</v>
      </c>
      <c r="B72" s="120">
        <v>70</v>
      </c>
      <c r="C72" s="121" t="s">
        <v>4139</v>
      </c>
      <c r="D72" s="121" t="s">
        <v>4298</v>
      </c>
    </row>
    <row r="73" spans="1:4" s="121" customFormat="1">
      <c r="A73" s="120" t="s">
        <v>3948</v>
      </c>
      <c r="B73" s="120">
        <v>71</v>
      </c>
      <c r="C73" s="121" t="s">
        <v>4155</v>
      </c>
      <c r="D73" s="121" t="s">
        <v>4155</v>
      </c>
    </row>
    <row r="74" spans="1:4" s="121" customFormat="1">
      <c r="A74" s="120" t="s">
        <v>3948</v>
      </c>
      <c r="B74" s="120">
        <v>72</v>
      </c>
      <c r="C74" s="121" t="s">
        <v>4156</v>
      </c>
      <c r="D74" s="121" t="s">
        <v>4202</v>
      </c>
    </row>
    <row r="75" spans="1:4" s="121" customFormat="1">
      <c r="A75" s="120" t="s">
        <v>3948</v>
      </c>
      <c r="B75" s="120">
        <v>73</v>
      </c>
      <c r="C75" s="121" t="s">
        <v>4157</v>
      </c>
      <c r="D75" s="121" t="s">
        <v>4203</v>
      </c>
    </row>
    <row r="76" spans="1:4" s="121" customFormat="1">
      <c r="A76" s="120" t="s">
        <v>3948</v>
      </c>
      <c r="B76" s="120">
        <v>74</v>
      </c>
      <c r="C76" s="121" t="s">
        <v>4158</v>
      </c>
      <c r="D76" s="121" t="s">
        <v>4204</v>
      </c>
    </row>
    <row r="77" spans="1:4" s="121" customFormat="1">
      <c r="A77" s="120" t="s">
        <v>3948</v>
      </c>
      <c r="B77" s="120">
        <v>75</v>
      </c>
      <c r="C77" s="121" t="s">
        <v>4159</v>
      </c>
      <c r="D77" s="121" t="s">
        <v>4205</v>
      </c>
    </row>
    <row r="78" spans="1:4" s="121" customFormat="1">
      <c r="A78" s="120" t="s">
        <v>3948</v>
      </c>
      <c r="B78" s="120">
        <v>76</v>
      </c>
      <c r="C78" s="121" t="s">
        <v>4160</v>
      </c>
      <c r="D78" s="121" t="s">
        <v>4206</v>
      </c>
    </row>
    <row r="79" spans="1:4" s="121" customFormat="1">
      <c r="A79" s="120" t="s">
        <v>3948</v>
      </c>
      <c r="B79" s="120">
        <v>77</v>
      </c>
      <c r="C79" s="121" t="s">
        <v>4161</v>
      </c>
      <c r="D79" s="121" t="s">
        <v>4207</v>
      </c>
    </row>
    <row r="80" spans="1:4" s="121" customFormat="1">
      <c r="A80" s="120" t="s">
        <v>3948</v>
      </c>
      <c r="B80" s="120">
        <v>78</v>
      </c>
      <c r="C80" s="121" t="s">
        <v>4162</v>
      </c>
      <c r="D80" s="121" t="s">
        <v>4208</v>
      </c>
    </row>
    <row r="81" spans="1:4" s="121" customFormat="1">
      <c r="A81" s="120" t="s">
        <v>3948</v>
      </c>
      <c r="B81" s="120">
        <v>79</v>
      </c>
      <c r="C81" s="121" t="s">
        <v>4187</v>
      </c>
      <c r="D81" s="121" t="s">
        <v>4209</v>
      </c>
    </row>
    <row r="82" spans="1:4" s="121" customFormat="1">
      <c r="A82" s="120" t="s">
        <v>3948</v>
      </c>
      <c r="B82" s="120">
        <v>80</v>
      </c>
      <c r="C82" s="121" t="s">
        <v>4189</v>
      </c>
      <c r="D82" s="121" t="s">
        <v>4210</v>
      </c>
    </row>
    <row r="83" spans="1:4" s="121" customFormat="1">
      <c r="A83" s="120" t="s">
        <v>3948</v>
      </c>
      <c r="B83" s="120">
        <v>81</v>
      </c>
      <c r="C83" s="121" t="s">
        <v>4190</v>
      </c>
      <c r="D83" s="121" t="s">
        <v>4213</v>
      </c>
    </row>
    <row r="84" spans="1:4" s="121" customFormat="1">
      <c r="A84" s="120" t="s">
        <v>3948</v>
      </c>
      <c r="B84" s="120">
        <v>82</v>
      </c>
      <c r="C84" s="121" t="s">
        <v>4191</v>
      </c>
      <c r="D84" s="121" t="s">
        <v>4212</v>
      </c>
    </row>
    <row r="85" spans="1:4" s="121" customFormat="1">
      <c r="A85" s="120" t="s">
        <v>3948</v>
      </c>
      <c r="B85" s="120">
        <v>83</v>
      </c>
      <c r="C85" s="121" t="s">
        <v>4192</v>
      </c>
      <c r="D85" s="121" t="s">
        <v>4211</v>
      </c>
    </row>
    <row r="86" spans="1:4" s="121" customFormat="1">
      <c r="A86" s="120" t="s">
        <v>3948</v>
      </c>
      <c r="B86" s="120">
        <v>84</v>
      </c>
      <c r="C86" s="121" t="s">
        <v>4193</v>
      </c>
      <c r="D86" s="121" t="s">
        <v>4214</v>
      </c>
    </row>
    <row r="87" spans="1:4" s="121" customFormat="1">
      <c r="A87" s="120" t="s">
        <v>3948</v>
      </c>
      <c r="B87" s="120">
        <v>85</v>
      </c>
      <c r="C87" s="121" t="s">
        <v>4194</v>
      </c>
      <c r="D87" s="121" t="s">
        <v>4215</v>
      </c>
    </row>
    <row r="88" spans="1:4" s="121" customFormat="1">
      <c r="A88" s="120" t="s">
        <v>3948</v>
      </c>
      <c r="B88" s="120">
        <v>86</v>
      </c>
      <c r="C88" s="121" t="s">
        <v>4195</v>
      </c>
      <c r="D88" s="121" t="s">
        <v>4216</v>
      </c>
    </row>
    <row r="89" spans="1:4" s="121" customFormat="1">
      <c r="A89" s="120" t="s">
        <v>3948</v>
      </c>
      <c r="B89" s="120">
        <v>87</v>
      </c>
      <c r="C89" s="121" t="s">
        <v>4196</v>
      </c>
      <c r="D89" s="121" t="s">
        <v>4217</v>
      </c>
    </row>
    <row r="90" spans="1:4" s="121" customFormat="1">
      <c r="A90" s="120" t="s">
        <v>3948</v>
      </c>
      <c r="B90" s="120">
        <v>88</v>
      </c>
      <c r="C90" s="121" t="s">
        <v>4197</v>
      </c>
      <c r="D90" s="121" t="s">
        <v>4218</v>
      </c>
    </row>
    <row r="91" spans="1:4" s="121" customFormat="1">
      <c r="A91" s="120" t="s">
        <v>3948</v>
      </c>
      <c r="B91" s="120">
        <v>89</v>
      </c>
      <c r="C91" s="121" t="s">
        <v>4198</v>
      </c>
      <c r="D91" s="121" t="s">
        <v>4219</v>
      </c>
    </row>
    <row r="92" spans="1:4" s="121" customFormat="1">
      <c r="A92" s="120" t="s">
        <v>3948</v>
      </c>
      <c r="B92" s="120">
        <v>90</v>
      </c>
      <c r="C92" s="121" t="s">
        <v>4199</v>
      </c>
      <c r="D92" s="121" t="s">
        <v>4220</v>
      </c>
    </row>
    <row r="93" spans="1:4" s="121" customFormat="1">
      <c r="A93" s="120" t="s">
        <v>3948</v>
      </c>
      <c r="B93" s="120">
        <v>91</v>
      </c>
      <c r="C93" s="121" t="s">
        <v>4200</v>
      </c>
      <c r="D93" s="121" t="s">
        <v>4221</v>
      </c>
    </row>
    <row r="94" spans="1:4" s="121" customFormat="1">
      <c r="A94" s="120" t="s">
        <v>3948</v>
      </c>
      <c r="B94" s="120">
        <v>92</v>
      </c>
      <c r="C94" s="121" t="s">
        <v>4201</v>
      </c>
      <c r="D94" s="121" t="s">
        <v>4222</v>
      </c>
    </row>
    <row r="95" spans="1:4" s="121" customFormat="1">
      <c r="A95" s="120" t="s">
        <v>4097</v>
      </c>
      <c r="B95" s="120">
        <v>1</v>
      </c>
      <c r="C95" s="121" t="s">
        <v>4223</v>
      </c>
      <c r="D95" s="121" t="s">
        <v>4223</v>
      </c>
    </row>
    <row r="96" spans="1:4" s="121" customFormat="1">
      <c r="A96" s="120" t="s">
        <v>4097</v>
      </c>
      <c r="B96" s="120">
        <v>2</v>
      </c>
      <c r="C96" s="121" t="s">
        <v>4224</v>
      </c>
      <c r="D96" s="121" t="s">
        <v>4238</v>
      </c>
    </row>
    <row r="97" spans="1:4" s="121" customFormat="1">
      <c r="A97" s="120" t="s">
        <v>4097</v>
      </c>
      <c r="B97" s="120">
        <v>3</v>
      </c>
      <c r="C97" s="121" t="s">
        <v>4225</v>
      </c>
      <c r="D97" s="121" t="s">
        <v>4241</v>
      </c>
    </row>
    <row r="98" spans="1:4" s="121" customFormat="1">
      <c r="A98" s="120" t="s">
        <v>4097</v>
      </c>
      <c r="B98" s="120">
        <v>4</v>
      </c>
      <c r="C98" s="121" t="s">
        <v>4226</v>
      </c>
      <c r="D98" s="121" t="s">
        <v>4240</v>
      </c>
    </row>
    <row r="99" spans="1:4" s="121" customFormat="1">
      <c r="A99" s="120" t="s">
        <v>4097</v>
      </c>
      <c r="B99" s="120">
        <v>5</v>
      </c>
      <c r="C99" s="121" t="s">
        <v>4227</v>
      </c>
      <c r="D99" s="121" t="s">
        <v>4239</v>
      </c>
    </row>
    <row r="100" spans="1:4" s="121" customFormat="1">
      <c r="A100" s="120" t="s">
        <v>4097</v>
      </c>
      <c r="B100" s="120">
        <v>6</v>
      </c>
      <c r="C100" s="121" t="s">
        <v>4228</v>
      </c>
      <c r="D100" s="121" t="s">
        <v>4242</v>
      </c>
    </row>
    <row r="101" spans="1:4" s="121" customFormat="1">
      <c r="A101" s="120" t="s">
        <v>4097</v>
      </c>
      <c r="B101" s="120">
        <v>10</v>
      </c>
      <c r="C101" s="121" t="s">
        <v>4229</v>
      </c>
      <c r="D101" s="121" t="s">
        <v>4243</v>
      </c>
    </row>
    <row r="102" spans="1:4" s="121" customFormat="1">
      <c r="A102" s="120" t="s">
        <v>4097</v>
      </c>
      <c r="B102" s="120">
        <v>11</v>
      </c>
      <c r="C102" s="121" t="s">
        <v>4230</v>
      </c>
      <c r="D102" s="121" t="s">
        <v>4244</v>
      </c>
    </row>
    <row r="103" spans="1:4" s="121" customFormat="1">
      <c r="A103" s="120" t="s">
        <v>4097</v>
      </c>
      <c r="B103" s="120">
        <v>12</v>
      </c>
      <c r="C103" s="121" t="s">
        <v>4231</v>
      </c>
      <c r="D103" s="121" t="s">
        <v>4246</v>
      </c>
    </row>
    <row r="104" spans="1:4" s="121" customFormat="1">
      <c r="A104" s="120" t="s">
        <v>4097</v>
      </c>
      <c r="B104" s="120">
        <v>13</v>
      </c>
      <c r="C104" s="121" t="s">
        <v>4232</v>
      </c>
      <c r="D104" s="121" t="s">
        <v>4245</v>
      </c>
    </row>
    <row r="105" spans="1:4" s="121" customFormat="1">
      <c r="A105" s="120" t="s">
        <v>4097</v>
      </c>
      <c r="B105" s="120">
        <v>14</v>
      </c>
      <c r="C105" s="121" t="s">
        <v>3090</v>
      </c>
      <c r="D105" s="121" t="s">
        <v>4312</v>
      </c>
    </row>
    <row r="106" spans="1:4" s="121" customFormat="1">
      <c r="A106" s="120" t="s">
        <v>4097</v>
      </c>
      <c r="B106" s="120">
        <v>15</v>
      </c>
      <c r="C106" s="121" t="s">
        <v>3094</v>
      </c>
      <c r="D106" s="121" t="s">
        <v>4313</v>
      </c>
    </row>
    <row r="107" spans="1:4" s="121" customFormat="1">
      <c r="A107" s="120" t="s">
        <v>4097</v>
      </c>
      <c r="B107" s="120">
        <v>16</v>
      </c>
      <c r="C107" s="121" t="s">
        <v>3097</v>
      </c>
      <c r="D107" s="121" t="s">
        <v>4311</v>
      </c>
    </row>
    <row r="108" spans="1:4" s="121" customFormat="1">
      <c r="A108" s="120" t="s">
        <v>4097</v>
      </c>
      <c r="B108" s="120">
        <v>17</v>
      </c>
      <c r="C108" s="121" t="s">
        <v>3809</v>
      </c>
      <c r="D108" s="121" t="s">
        <v>4314</v>
      </c>
    </row>
    <row r="109" spans="1:4" s="121" customFormat="1">
      <c r="A109" s="120" t="s">
        <v>4097</v>
      </c>
      <c r="B109" s="120">
        <v>18</v>
      </c>
      <c r="C109" s="121" t="s">
        <v>3102</v>
      </c>
      <c r="D109" s="121" t="s">
        <v>4310</v>
      </c>
    </row>
    <row r="110" spans="1:4" s="121" customFormat="1">
      <c r="A110" s="120" t="s">
        <v>4097</v>
      </c>
      <c r="B110" s="120">
        <v>19</v>
      </c>
      <c r="C110" s="121" t="s">
        <v>4315</v>
      </c>
      <c r="D110" s="121" t="s">
        <v>4319</v>
      </c>
    </row>
    <row r="111" spans="1:4" s="121" customFormat="1">
      <c r="A111" s="120" t="s">
        <v>4097</v>
      </c>
      <c r="B111" s="120">
        <v>20</v>
      </c>
      <c r="C111" s="121" t="s">
        <v>4316</v>
      </c>
      <c r="D111" s="121" t="s">
        <v>4320</v>
      </c>
    </row>
    <row r="112" spans="1:4" s="121" customFormat="1">
      <c r="A112" s="120" t="s">
        <v>4097</v>
      </c>
      <c r="B112" s="120">
        <v>21</v>
      </c>
      <c r="C112" s="121" t="s">
        <v>4325</v>
      </c>
      <c r="D112" s="121" t="s">
        <v>3139</v>
      </c>
    </row>
    <row r="113" spans="1:4" s="121" customFormat="1">
      <c r="A113" s="120" t="s">
        <v>4097</v>
      </c>
      <c r="B113" s="120">
        <v>22</v>
      </c>
      <c r="C113" s="121" t="s">
        <v>4326</v>
      </c>
      <c r="D113" s="121" t="s">
        <v>4324</v>
      </c>
    </row>
    <row r="114" spans="1:4" s="121" customFormat="1">
      <c r="A114" s="120" t="s">
        <v>4097</v>
      </c>
      <c r="B114" s="120">
        <v>23</v>
      </c>
      <c r="C114" s="121" t="s">
        <v>4317</v>
      </c>
      <c r="D114" s="121" t="s">
        <v>4321</v>
      </c>
    </row>
    <row r="115" spans="1:4" s="121" customFormat="1">
      <c r="A115" s="120" t="s">
        <v>4097</v>
      </c>
      <c r="B115" s="120">
        <v>24</v>
      </c>
      <c r="C115" s="121" t="s">
        <v>4318</v>
      </c>
      <c r="D115" s="121" t="s">
        <v>4322</v>
      </c>
    </row>
    <row r="116" spans="1:4" s="121" customFormat="1">
      <c r="A116" s="120" t="s">
        <v>4097</v>
      </c>
      <c r="B116" s="120">
        <v>25</v>
      </c>
      <c r="C116" s="121" t="s">
        <v>3103</v>
      </c>
      <c r="D116" s="121" t="s">
        <v>4323</v>
      </c>
    </row>
    <row r="117" spans="1:4" s="121" customFormat="1">
      <c r="A117" s="120" t="s">
        <v>4097</v>
      </c>
      <c r="B117" s="120">
        <v>40</v>
      </c>
      <c r="C117" s="121" t="s">
        <v>4233</v>
      </c>
      <c r="D117" s="121" t="s">
        <v>4235</v>
      </c>
    </row>
    <row r="118" spans="1:4" s="121" customFormat="1">
      <c r="A118" s="120" t="s">
        <v>4097</v>
      </c>
      <c r="B118" s="120">
        <v>41</v>
      </c>
      <c r="C118" s="121" t="s">
        <v>4098</v>
      </c>
      <c r="D118" s="121" t="s">
        <v>4236</v>
      </c>
    </row>
    <row r="119" spans="1:4" s="121" customFormat="1">
      <c r="A119" s="120" t="s">
        <v>4097</v>
      </c>
      <c r="B119" s="120">
        <v>42</v>
      </c>
      <c r="C119" s="121" t="s">
        <v>4234</v>
      </c>
      <c r="D119" s="121" t="s">
        <v>4237</v>
      </c>
    </row>
    <row r="120" spans="1:4" ht="15.75">
      <c r="A120" s="116" t="str">
        <f>"! --- "&amp;INDEX(MLtextDivisions,2)</f>
        <v>! --- User Interface - Tooltip text</v>
      </c>
    </row>
    <row r="121" spans="1:4" s="121" customFormat="1">
      <c r="A121" s="120" t="s">
        <v>3958</v>
      </c>
      <c r="B121" s="120">
        <v>1</v>
      </c>
      <c r="C121" s="321" t="s">
        <v>3959</v>
      </c>
      <c r="D121" s="321" t="s">
        <v>3985</v>
      </c>
    </row>
    <row r="122" spans="1:4" s="121" customFormat="1">
      <c r="A122" s="120" t="s">
        <v>3958</v>
      </c>
      <c r="B122" s="120">
        <v>2</v>
      </c>
      <c r="C122" s="321" t="s">
        <v>3960</v>
      </c>
      <c r="D122" s="321" t="s">
        <v>3986</v>
      </c>
    </row>
    <row r="123" spans="1:4" s="121" customFormat="1">
      <c r="A123" s="120" t="s">
        <v>3958</v>
      </c>
      <c r="B123" s="120">
        <v>3</v>
      </c>
      <c r="C123" s="321" t="s">
        <v>3961</v>
      </c>
      <c r="D123" s="321" t="s">
        <v>3987</v>
      </c>
    </row>
    <row r="124" spans="1:4" s="121" customFormat="1">
      <c r="A124" s="120" t="s">
        <v>3958</v>
      </c>
      <c r="B124" s="120">
        <v>4</v>
      </c>
      <c r="C124" s="321" t="s">
        <v>3962</v>
      </c>
      <c r="D124" s="321" t="s">
        <v>3988</v>
      </c>
    </row>
    <row r="125" spans="1:4" s="121" customFormat="1">
      <c r="A125" s="120" t="s">
        <v>3958</v>
      </c>
      <c r="B125" s="120">
        <v>5</v>
      </c>
      <c r="C125" s="321" t="s">
        <v>3963</v>
      </c>
      <c r="D125" s="321" t="s">
        <v>3989</v>
      </c>
    </row>
    <row r="126" spans="1:4" s="121" customFormat="1">
      <c r="A126" s="120" t="s">
        <v>3958</v>
      </c>
      <c r="B126" s="120">
        <v>6</v>
      </c>
      <c r="C126" s="321" t="s">
        <v>3964</v>
      </c>
      <c r="D126" s="321" t="s">
        <v>3990</v>
      </c>
    </row>
    <row r="127" spans="1:4" s="121" customFormat="1">
      <c r="A127" s="120" t="s">
        <v>3958</v>
      </c>
      <c r="B127" s="120">
        <v>7</v>
      </c>
      <c r="C127" s="321" t="s">
        <v>3965</v>
      </c>
      <c r="D127" s="321" t="s">
        <v>3991</v>
      </c>
    </row>
    <row r="128" spans="1:4" s="121" customFormat="1">
      <c r="A128" s="120" t="s">
        <v>3958</v>
      </c>
      <c r="B128" s="120">
        <v>8</v>
      </c>
      <c r="C128" s="321" t="s">
        <v>3966</v>
      </c>
      <c r="D128" s="321" t="s">
        <v>3992</v>
      </c>
    </row>
    <row r="129" spans="1:4" s="121" customFormat="1">
      <c r="A129" s="120" t="s">
        <v>3958</v>
      </c>
      <c r="B129" s="120">
        <v>9</v>
      </c>
      <c r="C129" s="321" t="s">
        <v>3967</v>
      </c>
      <c r="D129" s="321" t="s">
        <v>3993</v>
      </c>
    </row>
    <row r="130" spans="1:4" s="121" customFormat="1">
      <c r="A130" s="120" t="s">
        <v>3958</v>
      </c>
      <c r="B130" s="120">
        <v>10</v>
      </c>
      <c r="C130" s="321" t="s">
        <v>221</v>
      </c>
      <c r="D130" s="321" t="s">
        <v>221</v>
      </c>
    </row>
    <row r="131" spans="1:4" s="121" customFormat="1">
      <c r="A131" s="120" t="s">
        <v>3958</v>
      </c>
      <c r="B131" s="120">
        <v>11</v>
      </c>
      <c r="C131" s="321" t="s">
        <v>4080</v>
      </c>
      <c r="D131" s="321" t="s">
        <v>4077</v>
      </c>
    </row>
    <row r="132" spans="1:4" s="121" customFormat="1">
      <c r="A132" s="120" t="s">
        <v>3958</v>
      </c>
      <c r="B132" s="120">
        <v>14</v>
      </c>
      <c r="C132" s="121" t="s">
        <v>4078</v>
      </c>
      <c r="D132" s="121" t="s">
        <v>4076</v>
      </c>
    </row>
    <row r="133" spans="1:4" s="121" customFormat="1">
      <c r="A133" s="120" t="s">
        <v>3958</v>
      </c>
      <c r="B133" s="120">
        <v>15</v>
      </c>
      <c r="C133" s="121" t="s">
        <v>3706</v>
      </c>
      <c r="D133" s="121" t="s">
        <v>3994</v>
      </c>
    </row>
    <row r="134" spans="1:4" s="121" customFormat="1">
      <c r="A134" s="120" t="s">
        <v>3958</v>
      </c>
      <c r="B134" s="120">
        <v>16</v>
      </c>
      <c r="C134" s="121" t="s">
        <v>4079</v>
      </c>
      <c r="D134" s="121" t="s">
        <v>3995</v>
      </c>
    </row>
    <row r="135" spans="1:4" s="121" customFormat="1">
      <c r="A135" s="120" t="s">
        <v>3958</v>
      </c>
      <c r="B135" s="120">
        <v>17</v>
      </c>
      <c r="C135" s="121" t="s">
        <v>3971</v>
      </c>
      <c r="D135" s="121" t="s">
        <v>4003</v>
      </c>
    </row>
    <row r="136" spans="1:4" s="121" customFormat="1">
      <c r="A136" s="120" t="s">
        <v>3958</v>
      </c>
      <c r="B136" s="120">
        <v>21</v>
      </c>
      <c r="C136" s="121" t="s">
        <v>278</v>
      </c>
      <c r="D136" s="121" t="s">
        <v>3996</v>
      </c>
    </row>
    <row r="137" spans="1:4" s="121" customFormat="1">
      <c r="A137" s="120" t="s">
        <v>3958</v>
      </c>
      <c r="B137" s="120">
        <v>22</v>
      </c>
      <c r="C137" s="121" t="s">
        <v>281</v>
      </c>
      <c r="D137" s="121" t="s">
        <v>3997</v>
      </c>
    </row>
    <row r="138" spans="1:4" s="121" customFormat="1">
      <c r="A138" s="120" t="s">
        <v>3958</v>
      </c>
      <c r="B138" s="120">
        <v>23</v>
      </c>
      <c r="C138" s="121" t="s">
        <v>283</v>
      </c>
      <c r="D138" s="121" t="s">
        <v>3998</v>
      </c>
    </row>
    <row r="139" spans="1:4" s="121" customFormat="1">
      <c r="A139" s="120" t="s">
        <v>3958</v>
      </c>
      <c r="B139" s="120">
        <v>24</v>
      </c>
      <c r="C139" s="121" t="s">
        <v>286</v>
      </c>
      <c r="D139" s="121" t="s">
        <v>3999</v>
      </c>
    </row>
    <row r="140" spans="1:4" s="121" customFormat="1">
      <c r="A140" s="120" t="s">
        <v>3958</v>
      </c>
      <c r="B140" s="120">
        <v>25</v>
      </c>
      <c r="C140" s="121" t="s">
        <v>288</v>
      </c>
      <c r="D140" s="121" t="s">
        <v>4005</v>
      </c>
    </row>
    <row r="141" spans="1:4" s="121" customFormat="1">
      <c r="A141" s="120" t="s">
        <v>3958</v>
      </c>
      <c r="B141" s="120">
        <v>26</v>
      </c>
      <c r="C141" s="121" t="s">
        <v>3968</v>
      </c>
      <c r="D141" s="121" t="s">
        <v>4000</v>
      </c>
    </row>
    <row r="142" spans="1:4" s="121" customFormat="1">
      <c r="A142" s="120" t="s">
        <v>3958</v>
      </c>
      <c r="B142" s="120">
        <v>27</v>
      </c>
      <c r="C142" s="121" t="s">
        <v>4099</v>
      </c>
      <c r="D142" s="121" t="s">
        <v>4001</v>
      </c>
    </row>
    <row r="143" spans="1:4" s="121" customFormat="1">
      <c r="A143" s="120" t="s">
        <v>3958</v>
      </c>
      <c r="B143" s="120">
        <v>28</v>
      </c>
      <c r="C143" s="121" t="s">
        <v>3972</v>
      </c>
      <c r="D143" s="121" t="s">
        <v>4002</v>
      </c>
    </row>
    <row r="144" spans="1:4" s="121" customFormat="1">
      <c r="A144" s="120" t="s">
        <v>3958</v>
      </c>
      <c r="B144" s="120">
        <v>29</v>
      </c>
      <c r="C144" s="121" t="s">
        <v>4100</v>
      </c>
      <c r="D144" s="121" t="s">
        <v>4100</v>
      </c>
    </row>
    <row r="145" spans="1:4" s="121" customFormat="1">
      <c r="A145" s="120" t="s">
        <v>3958</v>
      </c>
      <c r="B145" s="120">
        <v>30</v>
      </c>
      <c r="C145" s="121" t="s">
        <v>4101</v>
      </c>
      <c r="D145" s="121" t="s">
        <v>4101</v>
      </c>
    </row>
    <row r="146" spans="1:4" s="121" customFormat="1">
      <c r="A146" s="120" t="s">
        <v>3958</v>
      </c>
      <c r="B146" s="120">
        <v>31</v>
      </c>
      <c r="C146" s="121" t="s">
        <v>4102</v>
      </c>
      <c r="D146" s="121" t="s">
        <v>4102</v>
      </c>
    </row>
    <row r="147" spans="1:4" s="121" customFormat="1">
      <c r="A147" s="120" t="s">
        <v>3958</v>
      </c>
      <c r="B147" s="120">
        <v>32</v>
      </c>
      <c r="C147" s="121" t="s">
        <v>4103</v>
      </c>
      <c r="D147" s="121" t="s">
        <v>4103</v>
      </c>
    </row>
    <row r="148" spans="1:4" s="121" customFormat="1">
      <c r="A148" s="120" t="s">
        <v>3958</v>
      </c>
      <c r="B148" s="120">
        <v>33</v>
      </c>
      <c r="C148" s="121" t="s">
        <v>4104</v>
      </c>
      <c r="D148" s="121" t="s">
        <v>4104</v>
      </c>
    </row>
    <row r="149" spans="1:4" s="121" customFormat="1">
      <c r="A149" s="120" t="s">
        <v>3958</v>
      </c>
      <c r="B149" s="120">
        <v>34</v>
      </c>
      <c r="C149" s="121" t="s">
        <v>4105</v>
      </c>
      <c r="D149" s="121" t="s">
        <v>4105</v>
      </c>
    </row>
    <row r="150" spans="1:4" s="121" customFormat="1">
      <c r="A150" s="120" t="s">
        <v>3958</v>
      </c>
      <c r="B150" s="120">
        <v>35</v>
      </c>
      <c r="C150" s="121" t="s">
        <v>4106</v>
      </c>
      <c r="D150" s="121" t="s">
        <v>4106</v>
      </c>
    </row>
    <row r="151" spans="1:4" s="121" customFormat="1">
      <c r="A151" s="120" t="s">
        <v>3958</v>
      </c>
      <c r="B151" s="120">
        <v>36</v>
      </c>
      <c r="C151" s="121" t="s">
        <v>4107</v>
      </c>
      <c r="D151" s="121" t="s">
        <v>4107</v>
      </c>
    </row>
    <row r="152" spans="1:4" s="121" customFormat="1">
      <c r="A152" s="120" t="s">
        <v>3958</v>
      </c>
      <c r="B152" s="120">
        <v>37</v>
      </c>
      <c r="C152" s="121" t="s">
        <v>4108</v>
      </c>
      <c r="D152" s="121" t="s">
        <v>4108</v>
      </c>
    </row>
    <row r="153" spans="1:4" s="121" customFormat="1">
      <c r="A153" s="120" t="s">
        <v>3958</v>
      </c>
      <c r="B153" s="120">
        <v>38</v>
      </c>
      <c r="C153" s="121" t="s">
        <v>4163</v>
      </c>
      <c r="D153" s="121" t="s">
        <v>4163</v>
      </c>
    </row>
    <row r="154" spans="1:4" s="121" customFormat="1">
      <c r="A154" s="120" t="s">
        <v>3958</v>
      </c>
      <c r="B154" s="120">
        <v>39</v>
      </c>
      <c r="C154" s="121" t="s">
        <v>4175</v>
      </c>
      <c r="D154" s="121" t="s">
        <v>4175</v>
      </c>
    </row>
    <row r="155" spans="1:4" s="121" customFormat="1">
      <c r="A155" s="120" t="s">
        <v>3958</v>
      </c>
      <c r="B155" s="120">
        <v>40</v>
      </c>
      <c r="C155" s="121" t="s">
        <v>4176</v>
      </c>
      <c r="D155" s="121" t="s">
        <v>4176</v>
      </c>
    </row>
    <row r="156" spans="1:4" s="121" customFormat="1">
      <c r="A156" s="120" t="s">
        <v>3958</v>
      </c>
      <c r="B156" s="120">
        <v>41</v>
      </c>
      <c r="C156" s="121" t="s">
        <v>4177</v>
      </c>
      <c r="D156" s="121" t="s">
        <v>4177</v>
      </c>
    </row>
    <row r="157" spans="1:4" s="121" customFormat="1">
      <c r="A157" s="120" t="s">
        <v>3958</v>
      </c>
      <c r="B157" s="120">
        <v>42</v>
      </c>
      <c r="C157" s="121" t="s">
        <v>4178</v>
      </c>
      <c r="D157" s="121" t="s">
        <v>4178</v>
      </c>
    </row>
    <row r="158" spans="1:4" s="121" customFormat="1">
      <c r="A158" s="120" t="s">
        <v>3958</v>
      </c>
      <c r="B158" s="120">
        <v>43</v>
      </c>
      <c r="C158" s="121" t="s">
        <v>4179</v>
      </c>
      <c r="D158" s="121" t="s">
        <v>4179</v>
      </c>
    </row>
    <row r="159" spans="1:4" s="121" customFormat="1">
      <c r="A159" s="120" t="s">
        <v>3958</v>
      </c>
      <c r="B159" s="120">
        <v>44</v>
      </c>
      <c r="C159" s="121" t="s">
        <v>4164</v>
      </c>
      <c r="D159" s="121" t="s">
        <v>4164</v>
      </c>
    </row>
    <row r="160" spans="1:4" s="121" customFormat="1">
      <c r="A160" s="120" t="s">
        <v>3958</v>
      </c>
      <c r="B160" s="120">
        <v>45</v>
      </c>
      <c r="C160" s="121" t="s">
        <v>4180</v>
      </c>
      <c r="D160" s="121" t="s">
        <v>4180</v>
      </c>
    </row>
    <row r="161" spans="1:4" s="121" customFormat="1">
      <c r="A161" s="120" t="s">
        <v>3958</v>
      </c>
      <c r="B161" s="120">
        <v>46</v>
      </c>
      <c r="C161" s="121" t="s">
        <v>4181</v>
      </c>
      <c r="D161" s="121" t="s">
        <v>4181</v>
      </c>
    </row>
    <row r="162" spans="1:4" s="121" customFormat="1">
      <c r="A162" s="120" t="s">
        <v>3958</v>
      </c>
      <c r="B162" s="120">
        <v>47</v>
      </c>
      <c r="C162" s="121" t="s">
        <v>4182</v>
      </c>
      <c r="D162" s="121" t="s">
        <v>4182</v>
      </c>
    </row>
    <row r="163" spans="1:4" s="121" customFormat="1">
      <c r="A163" s="120" t="s">
        <v>3958</v>
      </c>
      <c r="B163" s="120">
        <v>48</v>
      </c>
      <c r="C163" s="121" t="s">
        <v>4183</v>
      </c>
      <c r="D163" s="121" t="s">
        <v>4183</v>
      </c>
    </row>
    <row r="164" spans="1:4" s="121" customFormat="1">
      <c r="A164" s="120" t="s">
        <v>3958</v>
      </c>
      <c r="B164" s="120">
        <v>49</v>
      </c>
      <c r="C164" s="121" t="s">
        <v>4165</v>
      </c>
      <c r="D164" s="121" t="s">
        <v>4165</v>
      </c>
    </row>
    <row r="165" spans="1:4" s="121" customFormat="1">
      <c r="A165" s="120" t="s">
        <v>3958</v>
      </c>
      <c r="B165" s="120">
        <v>50</v>
      </c>
      <c r="C165" s="121" t="s">
        <v>4184</v>
      </c>
      <c r="D165" s="121" t="s">
        <v>4184</v>
      </c>
    </row>
    <row r="166" spans="1:4" s="121" customFormat="1">
      <c r="A166" s="120" t="s">
        <v>3958</v>
      </c>
      <c r="B166" s="120">
        <v>51</v>
      </c>
      <c r="C166" s="121" t="s">
        <v>4185</v>
      </c>
      <c r="D166" s="121" t="s">
        <v>4185</v>
      </c>
    </row>
    <row r="167" spans="1:4" s="121" customFormat="1">
      <c r="A167" s="120" t="s">
        <v>3958</v>
      </c>
      <c r="B167" s="120">
        <v>52</v>
      </c>
      <c r="C167" s="121" t="s">
        <v>4186</v>
      </c>
      <c r="D167" s="121" t="s">
        <v>4186</v>
      </c>
    </row>
    <row r="168" spans="1:4" s="121" customFormat="1">
      <c r="A168" s="120" t="s">
        <v>3958</v>
      </c>
      <c r="B168" s="120">
        <v>53</v>
      </c>
      <c r="C168" s="121" t="s">
        <v>343</v>
      </c>
      <c r="D168" s="121" t="s">
        <v>343</v>
      </c>
    </row>
    <row r="169" spans="1:4" s="121" customFormat="1">
      <c r="A169" s="120" t="s">
        <v>3958</v>
      </c>
      <c r="B169" s="120">
        <v>54</v>
      </c>
      <c r="C169" s="121" t="s">
        <v>345</v>
      </c>
      <c r="D169" s="121" t="s">
        <v>345</v>
      </c>
    </row>
    <row r="170" spans="1:4" s="121" customFormat="1">
      <c r="A170" s="120" t="s">
        <v>3958</v>
      </c>
      <c r="B170" s="120">
        <v>55</v>
      </c>
      <c r="C170" s="121" t="s">
        <v>347</v>
      </c>
      <c r="D170" s="121" t="s">
        <v>347</v>
      </c>
    </row>
    <row r="171" spans="1:4" s="121" customFormat="1">
      <c r="A171" s="120" t="s">
        <v>3958</v>
      </c>
      <c r="B171" s="120">
        <v>56</v>
      </c>
      <c r="C171" s="121" t="s">
        <v>4166</v>
      </c>
      <c r="D171" s="121" t="s">
        <v>4166</v>
      </c>
    </row>
    <row r="172" spans="1:4" s="121" customFormat="1">
      <c r="A172" s="120" t="s">
        <v>3958</v>
      </c>
      <c r="B172" s="120">
        <v>57</v>
      </c>
      <c r="C172" s="121" t="s">
        <v>4167</v>
      </c>
      <c r="D172" s="121" t="s">
        <v>4167</v>
      </c>
    </row>
    <row r="173" spans="1:4" s="121" customFormat="1">
      <c r="A173" s="120" t="s">
        <v>3958</v>
      </c>
      <c r="B173" s="120">
        <v>58</v>
      </c>
      <c r="C173" s="121" t="s">
        <v>4168</v>
      </c>
      <c r="D173" s="121" t="s">
        <v>4168</v>
      </c>
    </row>
    <row r="174" spans="1:4" s="121" customFormat="1">
      <c r="A174" s="120" t="s">
        <v>3958</v>
      </c>
      <c r="B174" s="120">
        <v>59</v>
      </c>
      <c r="C174" s="121" t="s">
        <v>4169</v>
      </c>
      <c r="D174" s="121" t="s">
        <v>4169</v>
      </c>
    </row>
    <row r="175" spans="1:4" s="121" customFormat="1">
      <c r="A175" s="120" t="s">
        <v>3958</v>
      </c>
      <c r="B175" s="120">
        <v>60</v>
      </c>
      <c r="C175" s="121" t="s">
        <v>4170</v>
      </c>
      <c r="D175" s="121" t="s">
        <v>4170</v>
      </c>
    </row>
    <row r="176" spans="1:4" s="121" customFormat="1">
      <c r="A176" s="120" t="s">
        <v>3958</v>
      </c>
      <c r="B176" s="120">
        <v>61</v>
      </c>
      <c r="C176" s="121" t="s">
        <v>4171</v>
      </c>
      <c r="D176" s="121" t="s">
        <v>4171</v>
      </c>
    </row>
    <row r="177" spans="1:4" s="121" customFormat="1">
      <c r="A177" s="120" t="s">
        <v>3958</v>
      </c>
      <c r="B177" s="120">
        <v>62</v>
      </c>
      <c r="C177" s="121" t="s">
        <v>425</v>
      </c>
      <c r="D177" s="121" t="s">
        <v>425</v>
      </c>
    </row>
    <row r="178" spans="1:4" s="121" customFormat="1">
      <c r="A178" s="120" t="s">
        <v>3958</v>
      </c>
      <c r="B178" s="120">
        <v>63</v>
      </c>
      <c r="C178" s="121" t="s">
        <v>358</v>
      </c>
      <c r="D178" s="121" t="s">
        <v>358</v>
      </c>
    </row>
    <row r="179" spans="1:4" s="121" customFormat="1">
      <c r="A179" s="120" t="s">
        <v>3958</v>
      </c>
      <c r="B179" s="120">
        <v>64</v>
      </c>
      <c r="C179" s="121" t="s">
        <v>355</v>
      </c>
      <c r="D179" s="121" t="s">
        <v>355</v>
      </c>
    </row>
    <row r="180" spans="1:4" s="121" customFormat="1">
      <c r="A180" s="120" t="s">
        <v>3958</v>
      </c>
      <c r="B180" s="120">
        <v>65</v>
      </c>
      <c r="C180" s="121" t="s">
        <v>4172</v>
      </c>
      <c r="D180" s="121" t="s">
        <v>4309</v>
      </c>
    </row>
    <row r="181" spans="1:4" s="121" customFormat="1">
      <c r="A181" s="120" t="s">
        <v>3958</v>
      </c>
      <c r="B181" s="120">
        <v>66</v>
      </c>
      <c r="C181" s="121" t="s">
        <v>349</v>
      </c>
      <c r="D181" s="121" t="s">
        <v>349</v>
      </c>
    </row>
    <row r="182" spans="1:4" s="121" customFormat="1">
      <c r="A182" s="120" t="s">
        <v>3958</v>
      </c>
      <c r="B182" s="120">
        <v>67</v>
      </c>
      <c r="C182" s="121" t="s">
        <v>377</v>
      </c>
      <c r="D182" s="121" t="s">
        <v>377</v>
      </c>
    </row>
    <row r="183" spans="1:4" s="121" customFormat="1">
      <c r="A183" s="120" t="s">
        <v>3958</v>
      </c>
      <c r="B183" s="120">
        <v>68</v>
      </c>
      <c r="C183" s="121" t="s">
        <v>3879</v>
      </c>
      <c r="D183" s="121" t="s">
        <v>4300</v>
      </c>
    </row>
    <row r="184" spans="1:4" s="121" customFormat="1">
      <c r="A184" s="120" t="s">
        <v>3958</v>
      </c>
      <c r="B184" s="120">
        <v>69</v>
      </c>
      <c r="C184" s="121" t="s">
        <v>3880</v>
      </c>
      <c r="D184" s="121" t="s">
        <v>4301</v>
      </c>
    </row>
    <row r="185" spans="1:4" s="121" customFormat="1">
      <c r="A185" s="120" t="s">
        <v>3958</v>
      </c>
      <c r="B185" s="120">
        <v>70</v>
      </c>
      <c r="C185" s="121" t="s">
        <v>3881</v>
      </c>
      <c r="D185" s="121" t="s">
        <v>4299</v>
      </c>
    </row>
    <row r="186" spans="1:4" s="121" customFormat="1">
      <c r="A186" s="120" t="s">
        <v>3958</v>
      </c>
      <c r="B186" s="120">
        <v>71</v>
      </c>
      <c r="C186" s="121" t="s">
        <v>3882</v>
      </c>
      <c r="D186" s="121" t="s">
        <v>4302</v>
      </c>
    </row>
    <row r="187" spans="1:4" s="121" customFormat="1">
      <c r="A187" s="120" t="s">
        <v>3958</v>
      </c>
      <c r="B187" s="120">
        <v>72</v>
      </c>
      <c r="C187" s="121" t="s">
        <v>3883</v>
      </c>
      <c r="D187" s="121" t="s">
        <v>4303</v>
      </c>
    </row>
    <row r="188" spans="1:4" s="121" customFormat="1">
      <c r="A188" s="120" t="s">
        <v>3958</v>
      </c>
      <c r="B188" s="120">
        <v>73</v>
      </c>
      <c r="C188" s="121" t="s">
        <v>3884</v>
      </c>
      <c r="D188" s="121" t="s">
        <v>4305</v>
      </c>
    </row>
    <row r="189" spans="1:4" s="121" customFormat="1">
      <c r="A189" s="120" t="s">
        <v>3958</v>
      </c>
      <c r="B189" s="120">
        <v>74</v>
      </c>
      <c r="C189" s="121" t="s">
        <v>3885</v>
      </c>
      <c r="D189" s="121" t="s">
        <v>4304</v>
      </c>
    </row>
    <row r="190" spans="1:4" s="121" customFormat="1">
      <c r="A190" s="120" t="s">
        <v>3958</v>
      </c>
      <c r="B190" s="120">
        <v>75</v>
      </c>
      <c r="C190" s="121" t="s">
        <v>3886</v>
      </c>
      <c r="D190" s="121" t="s">
        <v>4306</v>
      </c>
    </row>
    <row r="191" spans="1:4" s="121" customFormat="1">
      <c r="A191" s="120" t="s">
        <v>3958</v>
      </c>
      <c r="B191" s="120">
        <v>76</v>
      </c>
      <c r="C191" s="121" t="s">
        <v>3887</v>
      </c>
      <c r="D191" s="121" t="s">
        <v>4307</v>
      </c>
    </row>
    <row r="192" spans="1:4" s="121" customFormat="1">
      <c r="A192" s="120" t="s">
        <v>3958</v>
      </c>
      <c r="B192" s="120">
        <v>77</v>
      </c>
      <c r="C192" s="121" t="s">
        <v>3888</v>
      </c>
      <c r="D192" s="121" t="s">
        <v>4308</v>
      </c>
    </row>
    <row r="193" spans="1:4" s="121" customFormat="1">
      <c r="A193" s="120" t="s">
        <v>3958</v>
      </c>
      <c r="B193" s="120">
        <v>78</v>
      </c>
      <c r="C193" s="121" t="s">
        <v>240</v>
      </c>
      <c r="D193" s="121" t="s">
        <v>240</v>
      </c>
    </row>
    <row r="194" spans="1:4" s="121" customFormat="1">
      <c r="A194" s="120" t="s">
        <v>3958</v>
      </c>
      <c r="B194" s="120">
        <v>79</v>
      </c>
      <c r="C194" s="121" t="s">
        <v>232</v>
      </c>
      <c r="D194" s="121" t="s">
        <v>232</v>
      </c>
    </row>
    <row r="195" spans="1:4" s="121" customFormat="1">
      <c r="A195" s="120" t="s">
        <v>3958</v>
      </c>
      <c r="B195" s="120">
        <v>80</v>
      </c>
      <c r="C195" s="121" t="s">
        <v>242</v>
      </c>
      <c r="D195" s="121" t="s">
        <v>242</v>
      </c>
    </row>
    <row r="196" spans="1:4" s="121" customFormat="1">
      <c r="A196" s="120" t="s">
        <v>3958</v>
      </c>
      <c r="B196" s="120">
        <v>81</v>
      </c>
      <c r="C196" s="121" t="s">
        <v>4173</v>
      </c>
      <c r="D196" s="121" t="s">
        <v>4173</v>
      </c>
    </row>
    <row r="197" spans="1:4" s="121" customFormat="1">
      <c r="A197" s="120" t="s">
        <v>3958</v>
      </c>
      <c r="B197" s="120">
        <v>82</v>
      </c>
      <c r="C197" s="121" t="s">
        <v>237</v>
      </c>
      <c r="D197" s="121" t="s">
        <v>237</v>
      </c>
    </row>
    <row r="198" spans="1:4" s="121" customFormat="1">
      <c r="A198" s="120" t="s">
        <v>3958</v>
      </c>
      <c r="B198" s="120">
        <v>83</v>
      </c>
      <c r="C198" s="121" t="s">
        <v>230</v>
      </c>
      <c r="D198" s="121" t="s">
        <v>230</v>
      </c>
    </row>
    <row r="199" spans="1:4" s="121" customFormat="1">
      <c r="A199" s="120" t="s">
        <v>3958</v>
      </c>
      <c r="B199" s="120">
        <v>84</v>
      </c>
      <c r="C199" s="121" t="s">
        <v>227</v>
      </c>
      <c r="D199" s="121" t="s">
        <v>227</v>
      </c>
    </row>
    <row r="200" spans="1:4" s="121" customFormat="1">
      <c r="A200" s="120" t="s">
        <v>3958</v>
      </c>
      <c r="B200" s="120">
        <v>85</v>
      </c>
      <c r="C200" s="121" t="s">
        <v>247</v>
      </c>
      <c r="D200" s="121" t="s">
        <v>247</v>
      </c>
    </row>
    <row r="201" spans="1:4" s="121" customFormat="1">
      <c r="A201" s="120" t="s">
        <v>3958</v>
      </c>
      <c r="B201" s="120">
        <v>86</v>
      </c>
      <c r="C201" s="121" t="s">
        <v>4174</v>
      </c>
      <c r="D201" s="121" t="s">
        <v>4174</v>
      </c>
    </row>
    <row r="202" spans="1:4" s="121" customFormat="1">
      <c r="A202" s="120" t="s">
        <v>3958</v>
      </c>
      <c r="B202" s="120">
        <v>87</v>
      </c>
      <c r="C202" s="121" t="s">
        <v>428</v>
      </c>
      <c r="D202" s="121" t="s">
        <v>428</v>
      </c>
    </row>
    <row r="203" spans="1:4" ht="15.75">
      <c r="A203" s="116" t="str">
        <f>"! --- "&amp;INDEX(MLtextDivisions,3)</f>
        <v>! --- Parameter Script - VALUES</v>
      </c>
    </row>
    <row r="204" spans="1:4" s="121" customFormat="1">
      <c r="A204" s="120"/>
      <c r="B204" s="120"/>
    </row>
    <row r="205" spans="1:4" ht="15.75">
      <c r="A205" s="116" t="str">
        <f>"! --- "&amp;INDEX(MLtextDivisions,4)</f>
        <v>! --- Common Text</v>
      </c>
    </row>
    <row r="206" spans="1:4">
      <c r="A206" s="120" t="s">
        <v>3974</v>
      </c>
      <c r="B206" s="225">
        <v>1</v>
      </c>
      <c r="C206" t="s">
        <v>3206</v>
      </c>
      <c r="D206" t="s">
        <v>4006</v>
      </c>
    </row>
    <row r="207" spans="1:4">
      <c r="A207" s="120" t="s">
        <v>3974</v>
      </c>
      <c r="B207" s="225">
        <v>2</v>
      </c>
      <c r="C207" t="s">
        <v>3975</v>
      </c>
      <c r="D207" t="s">
        <v>3975</v>
      </c>
    </row>
    <row r="208" spans="1:4">
      <c r="A208" s="120" t="s">
        <v>3974</v>
      </c>
      <c r="B208" s="225">
        <v>3</v>
      </c>
      <c r="C208" t="s">
        <v>3976</v>
      </c>
      <c r="D208" t="s">
        <v>4007</v>
      </c>
    </row>
    <row r="209" spans="1:4" s="121" customFormat="1">
      <c r="A209" s="120" t="s">
        <v>3974</v>
      </c>
      <c r="B209" s="225">
        <v>4</v>
      </c>
      <c r="C209" t="s">
        <v>4081</v>
      </c>
      <c r="D209" t="s">
        <v>4082</v>
      </c>
    </row>
    <row r="210" spans="1:4" s="121" customFormat="1" ht="15.75">
      <c r="A210" s="119"/>
      <c r="B210" s="120"/>
    </row>
    <row r="211" spans="1:4" ht="15.75">
      <c r="A211" s="116" t="str">
        <f>"! --- END"</f>
        <v>! --- END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12</vt:i4>
      </vt:variant>
      <vt:variant>
        <vt:lpstr>Benannte Bereiche</vt:lpstr>
      </vt:variant>
      <vt:variant>
        <vt:i4>44</vt:i4>
      </vt:variant>
    </vt:vector>
  </HeadingPairs>
  <TitlesOfParts>
    <vt:vector size="56" baseType="lpstr">
      <vt:lpstr>PROJECT SETTINGS</vt:lpstr>
      <vt:lpstr>PARAMETERS</vt:lpstr>
      <vt:lpstr>DEFAULT</vt:lpstr>
      <vt:lpstr>VALUES</vt:lpstr>
      <vt:lpstr>TEXT</vt:lpstr>
      <vt:lpstr>base</vt:lpstr>
      <vt:lpstr>SORT IMPORT</vt:lpstr>
      <vt:lpstr>RAW IMPORT</vt:lpstr>
      <vt:lpstr>IMPORT AUFBEREITET</vt:lpstr>
      <vt:lpstr>IMPORT GS-Tür OL FL 2S2 20</vt:lpstr>
      <vt:lpstr>Reimport Parameters</vt:lpstr>
      <vt:lpstr>Tabelle1</vt:lpstr>
      <vt:lpstr>ARRAY</vt:lpstr>
      <vt:lpstr>ARRAYval</vt:lpstr>
      <vt:lpstr>checkbox</vt:lpstr>
      <vt:lpstr>CRLF</vt:lpstr>
      <vt:lpstr>DefaultValue</vt:lpstr>
      <vt:lpstr>digits</vt:lpstr>
      <vt:lpstr>DV</vt:lpstr>
      <vt:lpstr>Filenames</vt:lpstr>
      <vt:lpstr>GDL_Version</vt:lpstr>
      <vt:lpstr>HK</vt:lpstr>
      <vt:lpstr>IMPORT</vt:lpstr>
      <vt:lpstr>ImportTranslation</vt:lpstr>
      <vt:lpstr>INDEXNAMEN</vt:lpstr>
      <vt:lpstr>InterfaceLanguage</vt:lpstr>
      <vt:lpstr>makeGUID</vt:lpstr>
      <vt:lpstr>MLtextDivisions</vt:lpstr>
      <vt:lpstr>NK</vt:lpstr>
      <vt:lpstr>OBJEKTNAME</vt:lpstr>
      <vt:lpstr>ParameterClass</vt:lpstr>
      <vt:lpstr>ParameterDefault</vt:lpstr>
      <vt:lpstr>PARAMETERLISTE</vt:lpstr>
      <vt:lpstr>preIndex</vt:lpstr>
      <vt:lpstr>PriorityValues</vt:lpstr>
      <vt:lpstr>prodArrayNames</vt:lpstr>
      <vt:lpstr>prodIndex</vt:lpstr>
      <vt:lpstr>prodRowOffset</vt:lpstr>
      <vt:lpstr>PRODUKTE</vt:lpstr>
      <vt:lpstr>PRODUKTINDIZES</vt:lpstr>
      <vt:lpstr>read_write</vt:lpstr>
      <vt:lpstr>Reimport</vt:lpstr>
      <vt:lpstr>Stakeholder</vt:lpstr>
      <vt:lpstr>TB</vt:lpstr>
      <vt:lpstr>TypeClass</vt:lpstr>
      <vt:lpstr>TypeClassValues</vt:lpstr>
      <vt:lpstr>UIpicIdxArray</vt:lpstr>
      <vt:lpstr>UItextArray</vt:lpstr>
      <vt:lpstr>UIvaluesArray</vt:lpstr>
      <vt:lpstr>undefiniert</vt:lpstr>
      <vt:lpstr>VALUES</vt:lpstr>
      <vt:lpstr>VALUES1dim</vt:lpstr>
      <vt:lpstr>VALUESdim</vt:lpstr>
      <vt:lpstr>VALUESLIST</vt:lpstr>
      <vt:lpstr>VALUESnames</vt:lpstr>
      <vt:lpstr>VALUESval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 Beister</dc:creator>
  <cp:lastModifiedBy>Frank Beister</cp:lastModifiedBy>
  <dcterms:created xsi:type="dcterms:W3CDTF">2016-09-21T11:06:10Z</dcterms:created>
  <dcterms:modified xsi:type="dcterms:W3CDTF">2020-12-24T13:21:01Z</dcterms:modified>
</cp:coreProperties>
</file>