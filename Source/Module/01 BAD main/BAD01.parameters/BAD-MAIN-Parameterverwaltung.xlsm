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1 BAD main\BAD01.parameters\"/>
    </mc:Choice>
  </mc:AlternateContent>
  <bookViews>
    <workbookView xWindow="0" yWindow="72" windowWidth="2040" windowHeight="7872" tabRatio="718" activeTab="4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</sheets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62913" concurrentCalc="0"/>
</workbook>
</file>

<file path=xl/calcChain.xml><?xml version="1.0" encoding="utf-8"?>
<calcChain xmlns="http://schemas.openxmlformats.org/spreadsheetml/2006/main">
  <c r="X996" i="6" l="1"/>
  <c r="W996" i="6"/>
  <c r="C996" i="6"/>
  <c r="X995" i="6"/>
  <c r="W995" i="6"/>
  <c r="C995" i="6"/>
  <c r="X994" i="6"/>
  <c r="W994" i="6"/>
  <c r="C994" i="6"/>
  <c r="X993" i="6"/>
  <c r="W993" i="6"/>
  <c r="C993" i="6"/>
  <c r="X992" i="6"/>
  <c r="W992" i="6"/>
  <c r="O992" i="6"/>
  <c r="C992" i="6"/>
  <c r="X991" i="6"/>
  <c r="W991" i="6"/>
  <c r="O991" i="6"/>
  <c r="C991" i="6"/>
  <c r="X990" i="6"/>
  <c r="W990" i="6"/>
  <c r="C990" i="6"/>
  <c r="X989" i="6"/>
  <c r="W989" i="6"/>
  <c r="C989" i="6"/>
  <c r="X988" i="6"/>
  <c r="W988" i="6"/>
  <c r="C988" i="6"/>
  <c r="X987" i="6"/>
  <c r="C987" i="6"/>
  <c r="X986" i="6"/>
  <c r="C986" i="6"/>
  <c r="X985" i="6"/>
  <c r="C985" i="6"/>
  <c r="X984" i="6"/>
  <c r="C984" i="6"/>
  <c r="X983" i="6"/>
  <c r="C983" i="6"/>
  <c r="X982" i="6"/>
  <c r="C982" i="6"/>
  <c r="X981" i="6"/>
  <c r="O981" i="6"/>
  <c r="C981" i="6"/>
  <c r="X980" i="6"/>
  <c r="C980" i="6"/>
  <c r="X979" i="6"/>
  <c r="O979" i="6"/>
  <c r="C979" i="6"/>
  <c r="X978" i="6"/>
  <c r="C978" i="6"/>
  <c r="X977" i="6"/>
  <c r="C977" i="6"/>
  <c r="X976" i="6"/>
  <c r="C976" i="6"/>
  <c r="C975" i="6"/>
  <c r="X974" i="6"/>
  <c r="W974" i="6"/>
  <c r="C974" i="6"/>
  <c r="X973" i="6"/>
  <c r="C973" i="6"/>
  <c r="C882" i="6"/>
  <c r="W882" i="6"/>
  <c r="X882" i="6"/>
  <c r="Z882" i="6"/>
  <c r="AB882" i="6"/>
  <c r="Z997" i="6"/>
  <c r="AB997" i="6"/>
  <c r="Z998" i="6"/>
  <c r="AB998" i="6"/>
  <c r="Z999" i="6"/>
  <c r="AA999" i="6"/>
  <c r="AC999" i="6"/>
  <c r="AB999" i="6"/>
  <c r="Z1000" i="6"/>
  <c r="AA1000" i="6"/>
  <c r="AC1000" i="6"/>
  <c r="AB1000" i="6"/>
  <c r="Z1001" i="6"/>
  <c r="AB1001" i="6"/>
  <c r="Z1002" i="6"/>
  <c r="AB1002" i="6"/>
  <c r="Z1003" i="6"/>
  <c r="AA1003" i="6"/>
  <c r="AC1003" i="6"/>
  <c r="AB1003" i="6"/>
  <c r="Z1004" i="6"/>
  <c r="AB1004" i="6"/>
  <c r="Z1005" i="6"/>
  <c r="AA1005" i="6"/>
  <c r="AC1005" i="6"/>
  <c r="AB1005" i="6"/>
  <c r="Z1006" i="6"/>
  <c r="AA1006" i="6"/>
  <c r="AB1006" i="6"/>
  <c r="Z1007" i="6"/>
  <c r="AA1007" i="6"/>
  <c r="AC1007" i="6"/>
  <c r="AB1007" i="6"/>
  <c r="Z1008" i="6"/>
  <c r="AA1008" i="6"/>
  <c r="AB1008" i="6"/>
  <c r="Z1009" i="6"/>
  <c r="AB1009" i="6"/>
  <c r="Z1010" i="6"/>
  <c r="AB1010" i="6"/>
  <c r="Z1011" i="6"/>
  <c r="AB1011" i="6"/>
  <c r="Z1012" i="6"/>
  <c r="AB1012" i="6"/>
  <c r="Z1013" i="6"/>
  <c r="AB1013" i="6"/>
  <c r="Z1014" i="6"/>
  <c r="AA1014" i="6"/>
  <c r="AB1014" i="6"/>
  <c r="Z1015" i="6"/>
  <c r="AA1015" i="6"/>
  <c r="AC1015" i="6"/>
  <c r="AB1015" i="6"/>
  <c r="Z1016" i="6"/>
  <c r="AB1016" i="6"/>
  <c r="Z1017" i="6"/>
  <c r="AB1017" i="6"/>
  <c r="Z1018" i="6"/>
  <c r="AA1018" i="6"/>
  <c r="AC1018" i="6"/>
  <c r="AB1018" i="6"/>
  <c r="Z1019" i="6"/>
  <c r="AB1019" i="6"/>
  <c r="Z1020" i="6"/>
  <c r="AB1020" i="6"/>
  <c r="Z1021" i="6"/>
  <c r="AA1021" i="6"/>
  <c r="AC1021" i="6"/>
  <c r="AB1021" i="6"/>
  <c r="Z1022" i="6"/>
  <c r="AA1022" i="6"/>
  <c r="AC1022" i="6"/>
  <c r="AB1022" i="6"/>
  <c r="Z1023" i="6"/>
  <c r="AA1023" i="6"/>
  <c r="AC1023" i="6"/>
  <c r="AB1023" i="6"/>
  <c r="Z1024" i="6"/>
  <c r="AB1024" i="6"/>
  <c r="Z1025" i="6"/>
  <c r="AA1025" i="6"/>
  <c r="AC1025" i="6"/>
  <c r="AB1025" i="6"/>
  <c r="Z1026" i="6"/>
  <c r="AB1026" i="6"/>
  <c r="Z1027" i="6"/>
  <c r="AA1027" i="6"/>
  <c r="AC1027" i="6"/>
  <c r="AB1027" i="6"/>
  <c r="Z1028" i="6"/>
  <c r="AA1028" i="6"/>
  <c r="AB1028" i="6"/>
  <c r="Z1029" i="6"/>
  <c r="AA1029" i="6"/>
  <c r="AC1029" i="6"/>
  <c r="AB1029" i="6"/>
  <c r="Z1030" i="6"/>
  <c r="AA1030" i="6"/>
  <c r="AB1030" i="6"/>
  <c r="Z1031" i="6"/>
  <c r="AB1031" i="6"/>
  <c r="Z1032" i="6"/>
  <c r="AB1032" i="6"/>
  <c r="Z1033" i="6"/>
  <c r="AB1033" i="6"/>
  <c r="Z1034" i="6"/>
  <c r="AA1034" i="6"/>
  <c r="AB1034" i="6"/>
  <c r="Z1035" i="6"/>
  <c r="AA1035" i="6"/>
  <c r="AC1035" i="6"/>
  <c r="AB1035" i="6"/>
  <c r="Z1036" i="6"/>
  <c r="AA1036" i="6"/>
  <c r="AB1036" i="6"/>
  <c r="Z1037" i="6"/>
  <c r="AA1037" i="6"/>
  <c r="AC1037" i="6"/>
  <c r="AB1037" i="6"/>
  <c r="Z1038" i="6"/>
  <c r="AB1038" i="6"/>
  <c r="Z1039" i="6"/>
  <c r="AB1039" i="6"/>
  <c r="Z1040" i="6"/>
  <c r="AA1040" i="6"/>
  <c r="AC1040" i="6"/>
  <c r="AB1040" i="6"/>
  <c r="Z1041" i="6"/>
  <c r="AB1041" i="6"/>
  <c r="Z1042" i="6"/>
  <c r="AB1042" i="6"/>
  <c r="Z1043" i="6"/>
  <c r="AA1043" i="6"/>
  <c r="AC1043" i="6"/>
  <c r="AB1043" i="6"/>
  <c r="Z1044" i="6"/>
  <c r="AA1044" i="6"/>
  <c r="AC1044" i="6"/>
  <c r="AB1044" i="6"/>
  <c r="Z1045" i="6"/>
  <c r="AB1045" i="6"/>
  <c r="Z1046" i="6"/>
  <c r="AB1046" i="6"/>
  <c r="Z1047" i="6"/>
  <c r="AA1047" i="6"/>
  <c r="AC1047" i="6"/>
  <c r="AB1047" i="6"/>
  <c r="Z1048" i="6"/>
  <c r="AB1048" i="6"/>
  <c r="Z1049" i="6"/>
  <c r="AA1049" i="6"/>
  <c r="AC1049" i="6"/>
  <c r="AB1049" i="6"/>
  <c r="Z1050" i="6"/>
  <c r="AA1050" i="6"/>
  <c r="AC1050" i="6"/>
  <c r="AB1050" i="6"/>
  <c r="Z1051" i="6"/>
  <c r="AA1051" i="6"/>
  <c r="AC1051" i="6"/>
  <c r="AB1051" i="6"/>
  <c r="Z1052" i="6"/>
  <c r="AA1052" i="6"/>
  <c r="AC1052" i="6"/>
  <c r="AB1052" i="6"/>
  <c r="Z1053" i="6"/>
  <c r="AB1053" i="6"/>
  <c r="Z1054" i="6"/>
  <c r="AB1054" i="6"/>
  <c r="Z1055" i="6"/>
  <c r="AB1055" i="6"/>
  <c r="Z1056" i="6"/>
  <c r="AB1056" i="6"/>
  <c r="Z1057" i="6"/>
  <c r="AB1057" i="6"/>
  <c r="Z1058" i="6"/>
  <c r="AA1058" i="6"/>
  <c r="AC1058" i="6"/>
  <c r="AB1058" i="6"/>
  <c r="Z1059" i="6"/>
  <c r="AA1059" i="6"/>
  <c r="AC1059" i="6"/>
  <c r="AB1059" i="6"/>
  <c r="Z1060" i="6"/>
  <c r="AB1060" i="6"/>
  <c r="Z1061" i="6"/>
  <c r="AB1061" i="6"/>
  <c r="Z1062" i="6"/>
  <c r="AA1062" i="6"/>
  <c r="AC1062" i="6"/>
  <c r="AB1062" i="6"/>
  <c r="Z1063" i="6"/>
  <c r="AB1063" i="6"/>
  <c r="Z1064" i="6"/>
  <c r="AB1064" i="6"/>
  <c r="Z1065" i="6"/>
  <c r="AA1065" i="6"/>
  <c r="AC1065" i="6"/>
  <c r="AB1065" i="6"/>
  <c r="Z1066" i="6"/>
  <c r="AA1066" i="6"/>
  <c r="AC1066" i="6"/>
  <c r="AB1066" i="6"/>
  <c r="Z1067" i="6"/>
  <c r="AB1067" i="6"/>
  <c r="Z1068" i="6"/>
  <c r="AB1068" i="6"/>
  <c r="Z1069" i="6"/>
  <c r="AA1069" i="6"/>
  <c r="AC1069" i="6"/>
  <c r="AB1069" i="6"/>
  <c r="Z1070" i="6"/>
  <c r="AB1070" i="6"/>
  <c r="Z1071" i="6"/>
  <c r="AA1071" i="6"/>
  <c r="AC1071" i="6"/>
  <c r="AB1071" i="6"/>
  <c r="Z1072" i="6"/>
  <c r="AA1072" i="6"/>
  <c r="AB1072" i="6"/>
  <c r="Z1073" i="6"/>
  <c r="AA1073" i="6"/>
  <c r="AC1073" i="6"/>
  <c r="AB1073" i="6"/>
  <c r="Z1074" i="6"/>
  <c r="AA1074" i="6"/>
  <c r="AC1074" i="6"/>
  <c r="AB1074" i="6"/>
  <c r="Z1075" i="6"/>
  <c r="AB1075" i="6"/>
  <c r="Z1076" i="6"/>
  <c r="AA1076" i="6"/>
  <c r="AC1076" i="6"/>
  <c r="AB1076" i="6"/>
  <c r="Z1077" i="6"/>
  <c r="AA1077" i="6"/>
  <c r="AC1077" i="6"/>
  <c r="AB1077" i="6"/>
  <c r="Z1078" i="6"/>
  <c r="AA1078" i="6"/>
  <c r="AB1078" i="6"/>
  <c r="Z1079" i="6"/>
  <c r="AA1079" i="6"/>
  <c r="AC1079" i="6"/>
  <c r="AB1079" i="6"/>
  <c r="Z1080" i="6"/>
  <c r="AA1080" i="6"/>
  <c r="AC1080" i="6"/>
  <c r="AB1080" i="6"/>
  <c r="Z1081" i="6"/>
  <c r="AA1081" i="6"/>
  <c r="AC1081" i="6"/>
  <c r="AB1081" i="6"/>
  <c r="Z1082" i="6"/>
  <c r="AA1082" i="6"/>
  <c r="AB1082" i="6"/>
  <c r="Z1083" i="6"/>
  <c r="AA1083" i="6"/>
  <c r="AC1083" i="6"/>
  <c r="AB1083" i="6"/>
  <c r="Z1084" i="6"/>
  <c r="AA1084" i="6"/>
  <c r="AC1084" i="6"/>
  <c r="AB1084" i="6"/>
  <c r="Z1085" i="6"/>
  <c r="AB1085" i="6"/>
  <c r="Z1086" i="6"/>
  <c r="AA1086" i="6"/>
  <c r="AB1086" i="6"/>
  <c r="Z1087" i="6"/>
  <c r="AA1087" i="6"/>
  <c r="AC1087" i="6"/>
  <c r="AB1087" i="6"/>
  <c r="Z1088" i="6"/>
  <c r="AA1088" i="6"/>
  <c r="AC1088" i="6"/>
  <c r="AB1088" i="6"/>
  <c r="Z1089" i="6"/>
  <c r="AB1089" i="6"/>
  <c r="Z1090" i="6"/>
  <c r="AB1090" i="6"/>
  <c r="Z1091" i="6"/>
  <c r="AA1091" i="6"/>
  <c r="AC1091" i="6"/>
  <c r="AB1091" i="6"/>
  <c r="Z1092" i="6"/>
  <c r="AA1092" i="6"/>
  <c r="AC1092" i="6"/>
  <c r="AB1092" i="6"/>
  <c r="Z1093" i="6"/>
  <c r="AA1093" i="6"/>
  <c r="AC1093" i="6"/>
  <c r="AB1093" i="6"/>
  <c r="Z1094" i="6"/>
  <c r="AA1094" i="6"/>
  <c r="AC1094" i="6"/>
  <c r="AB1094" i="6"/>
  <c r="Z966" i="6"/>
  <c r="AA966" i="6"/>
  <c r="AC966" i="6"/>
  <c r="AB966" i="6"/>
  <c r="Z967" i="6"/>
  <c r="AA967" i="6"/>
  <c r="AC967" i="6"/>
  <c r="AB967" i="6"/>
  <c r="Z968" i="6"/>
  <c r="AB968" i="6"/>
  <c r="Z969" i="6"/>
  <c r="AB969" i="6"/>
  <c r="Z970" i="6"/>
  <c r="AB970" i="6"/>
  <c r="Z971" i="6"/>
  <c r="AB971" i="6"/>
  <c r="Z972" i="6"/>
  <c r="AB972" i="6"/>
  <c r="X972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3" i="6"/>
  <c r="X884" i="6"/>
  <c r="X885" i="6"/>
  <c r="X887" i="6"/>
  <c r="X888" i="6"/>
  <c r="X889" i="6"/>
  <c r="X890" i="6"/>
  <c r="X891" i="6"/>
  <c r="X892" i="6"/>
  <c r="X893" i="6"/>
  <c r="X895" i="6"/>
  <c r="X896" i="6"/>
  <c r="X897" i="6"/>
  <c r="X898" i="6"/>
  <c r="X899" i="6"/>
  <c r="X900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Z963" i="6"/>
  <c r="Z964" i="6"/>
  <c r="Z965" i="6"/>
  <c r="Z1095" i="6"/>
  <c r="Z1096" i="6"/>
  <c r="Z1097" i="6"/>
  <c r="Z1098" i="6"/>
  <c r="Z1099" i="6"/>
  <c r="Z1100" i="6"/>
  <c r="Z1101" i="6"/>
  <c r="Z1102" i="6"/>
  <c r="Z1103" i="6"/>
  <c r="Z1104" i="6"/>
  <c r="Z1105" i="6"/>
  <c r="Z1106" i="6"/>
  <c r="Z1107" i="6"/>
  <c r="Z1108" i="6"/>
  <c r="Z1109" i="6"/>
  <c r="Z1110" i="6"/>
  <c r="Z1111" i="6"/>
  <c r="Z1112" i="6"/>
  <c r="AA1112" i="6"/>
  <c r="B1112" i="6"/>
  <c r="Z1113" i="6"/>
  <c r="Z1114" i="6"/>
  <c r="Z1115" i="6"/>
  <c r="Z1116" i="6"/>
  <c r="Z1117" i="6"/>
  <c r="Z1118" i="6"/>
  <c r="Z1119" i="6"/>
  <c r="Z1120" i="6"/>
  <c r="Z1121" i="6"/>
  <c r="Z1122" i="6"/>
  <c r="Z1123" i="6"/>
  <c r="Z1124" i="6"/>
  <c r="Z1125" i="6"/>
  <c r="Z1126" i="6"/>
  <c r="Z1127" i="6"/>
  <c r="Z1128" i="6"/>
  <c r="Z1129" i="6"/>
  <c r="Z1130" i="6"/>
  <c r="Z1131" i="6"/>
  <c r="Z1132" i="6"/>
  <c r="Z1133" i="6"/>
  <c r="Z1134" i="6"/>
  <c r="AA1134" i="6"/>
  <c r="B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Z1148" i="6"/>
  <c r="Z1149" i="6"/>
  <c r="Z1150" i="6"/>
  <c r="Z1151" i="6"/>
  <c r="AB1095" i="6"/>
  <c r="AA1096" i="6"/>
  <c r="AC1096" i="6"/>
  <c r="AB1096" i="6"/>
  <c r="AA1097" i="6"/>
  <c r="AC1097" i="6"/>
  <c r="AB1097" i="6"/>
  <c r="AA1098" i="6"/>
  <c r="AC1098" i="6"/>
  <c r="AB1098" i="6"/>
  <c r="AA1099" i="6"/>
  <c r="AC1099" i="6"/>
  <c r="AB1099" i="6"/>
  <c r="AA1100" i="6"/>
  <c r="AC1100" i="6"/>
  <c r="AB1100" i="6"/>
  <c r="AA1101" i="6"/>
  <c r="AC1101" i="6"/>
  <c r="AB1101" i="6"/>
  <c r="AA1102" i="6"/>
  <c r="AC1102" i="6"/>
  <c r="AB1102" i="6"/>
  <c r="AA1103" i="6"/>
  <c r="AC1103" i="6"/>
  <c r="AB1103" i="6"/>
  <c r="AA1104" i="6"/>
  <c r="AC1104" i="6"/>
  <c r="AB1104" i="6"/>
  <c r="AA1105" i="6"/>
  <c r="AC1105" i="6"/>
  <c r="AB1105" i="6"/>
  <c r="AA1106" i="6"/>
  <c r="AC1106" i="6"/>
  <c r="AB1106" i="6"/>
  <c r="AA1107" i="6"/>
  <c r="AC1107" i="6"/>
  <c r="AB1107" i="6"/>
  <c r="AA1108" i="6"/>
  <c r="AC1108" i="6"/>
  <c r="AB1108" i="6"/>
  <c r="AA1109" i="6"/>
  <c r="AC1109" i="6"/>
  <c r="AB1109" i="6"/>
  <c r="AA1110" i="6"/>
  <c r="AC1110" i="6"/>
  <c r="AB1110" i="6"/>
  <c r="AA1111" i="6"/>
  <c r="AC1111" i="6"/>
  <c r="AB1111" i="6"/>
  <c r="AC1112" i="6"/>
  <c r="AB1112" i="6"/>
  <c r="AA1113" i="6"/>
  <c r="AC1113" i="6"/>
  <c r="AB1113" i="6"/>
  <c r="AA1114" i="6"/>
  <c r="AC1114" i="6"/>
  <c r="AB1114" i="6"/>
  <c r="AA1115" i="6"/>
  <c r="AC1115" i="6"/>
  <c r="AB1115" i="6"/>
  <c r="AA1116" i="6"/>
  <c r="AC1116" i="6"/>
  <c r="AB1116" i="6"/>
  <c r="AA1117" i="6"/>
  <c r="AC1117" i="6"/>
  <c r="AB1117" i="6"/>
  <c r="AA1118" i="6"/>
  <c r="AC1118" i="6"/>
  <c r="AB1118" i="6"/>
  <c r="AA1119" i="6"/>
  <c r="AC1119" i="6"/>
  <c r="AB1119" i="6"/>
  <c r="AA1120" i="6"/>
  <c r="AC1120" i="6"/>
  <c r="AB1120" i="6"/>
  <c r="AA1121" i="6"/>
  <c r="AC1121" i="6"/>
  <c r="AB1121" i="6"/>
  <c r="AA1122" i="6"/>
  <c r="AC1122" i="6"/>
  <c r="AB1122" i="6"/>
  <c r="AA1123" i="6"/>
  <c r="AC1123" i="6"/>
  <c r="AB1123" i="6"/>
  <c r="AA1124" i="6"/>
  <c r="AC1124" i="6"/>
  <c r="AB1124" i="6"/>
  <c r="AA1125" i="6"/>
  <c r="AC1125" i="6"/>
  <c r="AB1125" i="6"/>
  <c r="AA1126" i="6"/>
  <c r="AC1126" i="6"/>
  <c r="AB1126" i="6"/>
  <c r="AA1127" i="6"/>
  <c r="AC1127" i="6"/>
  <c r="AB1127" i="6"/>
  <c r="AA1128" i="6"/>
  <c r="AC1128" i="6"/>
  <c r="AB1128" i="6"/>
  <c r="AA1129" i="6"/>
  <c r="AC1129" i="6"/>
  <c r="AB1129" i="6"/>
  <c r="AA1130" i="6"/>
  <c r="AC1130" i="6"/>
  <c r="AB1130" i="6"/>
  <c r="AA1131" i="6"/>
  <c r="AC1131" i="6"/>
  <c r="AB1131" i="6"/>
  <c r="AA1132" i="6"/>
  <c r="AC1132" i="6"/>
  <c r="AB1132" i="6"/>
  <c r="AA1133" i="6"/>
  <c r="AC1133" i="6"/>
  <c r="AB1133" i="6"/>
  <c r="AC1134" i="6"/>
  <c r="AB1134" i="6"/>
  <c r="AA1135" i="6"/>
  <c r="AC1135" i="6"/>
  <c r="AB1135" i="6"/>
  <c r="AA1136" i="6"/>
  <c r="AC1136" i="6"/>
  <c r="AB1136" i="6"/>
  <c r="AA1137" i="6"/>
  <c r="AC1137" i="6"/>
  <c r="AB1137" i="6"/>
  <c r="AA1138" i="6"/>
  <c r="AC1138" i="6"/>
  <c r="AB1138" i="6"/>
  <c r="AA1139" i="6"/>
  <c r="AC1139" i="6"/>
  <c r="AB1139" i="6"/>
  <c r="AA1140" i="6"/>
  <c r="AC1140" i="6"/>
  <c r="AB1140" i="6"/>
  <c r="AB1141" i="6"/>
  <c r="AB1142" i="6"/>
  <c r="AA1143" i="6"/>
  <c r="AC1143" i="6"/>
  <c r="AB1143" i="6"/>
  <c r="AA1144" i="6"/>
  <c r="AC1144" i="6"/>
  <c r="AB1144" i="6"/>
  <c r="AA1145" i="6"/>
  <c r="AC1145" i="6"/>
  <c r="AB1145" i="6"/>
  <c r="AA1146" i="6"/>
  <c r="AC1146" i="6"/>
  <c r="AB1146" i="6"/>
  <c r="AA1147" i="6"/>
  <c r="AC1147" i="6"/>
  <c r="AB1147" i="6"/>
  <c r="AA1148" i="6"/>
  <c r="AC1148" i="6"/>
  <c r="AB1148" i="6"/>
  <c r="AA1149" i="6"/>
  <c r="AC1149" i="6"/>
  <c r="AB1149" i="6"/>
  <c r="AB1150" i="6"/>
  <c r="AA1151" i="6"/>
  <c r="AC1151" i="6"/>
  <c r="AB1151" i="6"/>
  <c r="AB1152" i="6"/>
  <c r="AA1153" i="6"/>
  <c r="AC1153" i="6"/>
  <c r="AB1153" i="6"/>
  <c r="AA1154" i="6"/>
  <c r="AC1154" i="6"/>
  <c r="AB1154" i="6"/>
  <c r="AA1155" i="6"/>
  <c r="AC1155" i="6"/>
  <c r="AB1155" i="6"/>
  <c r="AA1156" i="6"/>
  <c r="AC1156" i="6"/>
  <c r="AB1156" i="6"/>
  <c r="AA1157" i="6"/>
  <c r="AC1157" i="6"/>
  <c r="AB1157" i="6"/>
  <c r="AA1158" i="6"/>
  <c r="AC1158" i="6"/>
  <c r="AB1158" i="6"/>
  <c r="AA1159" i="6"/>
  <c r="AC1159" i="6"/>
  <c r="AB1159" i="6"/>
  <c r="AA1160" i="6"/>
  <c r="AC1160" i="6"/>
  <c r="AB1160" i="6"/>
  <c r="AA1161" i="6"/>
  <c r="AC1161" i="6"/>
  <c r="AB1161" i="6"/>
  <c r="AA1162" i="6"/>
  <c r="AC1162" i="6"/>
  <c r="AB1162" i="6"/>
  <c r="AA1163" i="6"/>
  <c r="AC1163" i="6"/>
  <c r="AB1163" i="6"/>
  <c r="AA1164" i="6"/>
  <c r="AC1164" i="6"/>
  <c r="AB1164" i="6"/>
  <c r="AA1165" i="6"/>
  <c r="AC1165" i="6"/>
  <c r="AB1165" i="6"/>
  <c r="AA1166" i="6"/>
  <c r="AC1166" i="6"/>
  <c r="AB1166" i="6"/>
  <c r="AA1167" i="6"/>
  <c r="AC1167" i="6"/>
  <c r="AB1167" i="6"/>
  <c r="AA1168" i="6"/>
  <c r="AC1168" i="6"/>
  <c r="AB1168" i="6"/>
  <c r="AA1169" i="6"/>
  <c r="AC1169" i="6"/>
  <c r="AB1169" i="6"/>
  <c r="AA1170" i="6"/>
  <c r="AC1170" i="6"/>
  <c r="AB1170" i="6"/>
  <c r="AA1171" i="6"/>
  <c r="AC1171" i="6"/>
  <c r="AB1171" i="6"/>
  <c r="AA1172" i="6"/>
  <c r="AC1172" i="6"/>
  <c r="AB1172" i="6"/>
  <c r="AA1173" i="6"/>
  <c r="AC1173" i="6"/>
  <c r="AB1173" i="6"/>
  <c r="AA1174" i="6"/>
  <c r="AC1174" i="6"/>
  <c r="AB1174" i="6"/>
  <c r="AA1175" i="6"/>
  <c r="AC1175" i="6"/>
  <c r="AB1175" i="6"/>
  <c r="AA1176" i="6"/>
  <c r="AC1176" i="6"/>
  <c r="AB1176" i="6"/>
  <c r="AB1177" i="6"/>
  <c r="F1" i="8"/>
  <c r="H1" i="8"/>
  <c r="E3" i="8"/>
  <c r="E2" i="8"/>
  <c r="F3" i="8"/>
  <c r="F2" i="8"/>
  <c r="G3" i="8"/>
  <c r="G2" i="8"/>
  <c r="H3" i="8"/>
  <c r="H2" i="8"/>
  <c r="I3" i="8"/>
  <c r="I2" i="8"/>
  <c r="AB1572" i="6"/>
  <c r="AB1573" i="6"/>
  <c r="AB1574" i="6"/>
  <c r="AB1575" i="6"/>
  <c r="AB1576" i="6"/>
  <c r="AB1577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2" i="15"/>
  <c r="E333" i="15"/>
  <c r="E334" i="15"/>
  <c r="E335" i="15"/>
  <c r="E336" i="15"/>
  <c r="E337" i="15"/>
  <c r="E338" i="15"/>
  <c r="E6" i="15"/>
  <c r="E7" i="15"/>
  <c r="E8" i="15"/>
  <c r="E9" i="15"/>
  <c r="E10" i="15"/>
  <c r="E11" i="15"/>
  <c r="E12" i="15"/>
  <c r="E13" i="15"/>
  <c r="E14" i="15"/>
  <c r="E5" i="15"/>
  <c r="Z1576" i="6"/>
  <c r="X1576" i="6"/>
  <c r="C1576" i="6"/>
  <c r="A340" i="15"/>
  <c r="A334" i="15"/>
  <c r="A332" i="15"/>
  <c r="A166" i="15"/>
  <c r="A4" i="15"/>
  <c r="W1382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6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5" i="6"/>
  <c r="W794" i="6"/>
  <c r="W793" i="6"/>
  <c r="W792" i="6"/>
  <c r="W791" i="6"/>
  <c r="W787" i="6"/>
  <c r="W785" i="6"/>
  <c r="W784" i="6"/>
  <c r="W779" i="6"/>
  <c r="W778" i="6"/>
  <c r="W777" i="6"/>
  <c r="W776" i="6"/>
  <c r="W774" i="6"/>
  <c r="W773" i="6"/>
  <c r="W772" i="6"/>
  <c r="W771" i="6"/>
  <c r="W770" i="6"/>
  <c r="W759" i="6"/>
  <c r="W758" i="6"/>
  <c r="W757" i="6"/>
  <c r="W755" i="6"/>
  <c r="W754" i="6"/>
  <c r="W753" i="6"/>
  <c r="W752" i="6"/>
  <c r="W751" i="6"/>
  <c r="W749" i="6"/>
  <c r="W748" i="6"/>
  <c r="W747" i="6"/>
  <c r="W740" i="6"/>
  <c r="W738" i="6"/>
  <c r="W737" i="6"/>
  <c r="W735" i="6"/>
  <c r="W734" i="6"/>
  <c r="W733" i="6"/>
  <c r="W732" i="6"/>
  <c r="W731" i="6"/>
  <c r="Z5" i="6"/>
  <c r="W14" i="6"/>
  <c r="W13" i="6"/>
  <c r="W12" i="6"/>
  <c r="W9" i="6"/>
  <c r="W8" i="6"/>
  <c r="W7" i="6"/>
  <c r="W1070" i="6"/>
  <c r="W1069" i="6"/>
  <c r="W1068" i="6"/>
  <c r="W1066" i="6"/>
  <c r="W1060" i="6"/>
  <c r="W1058" i="6"/>
  <c r="W1057" i="6"/>
  <c r="W1055" i="6"/>
  <c r="W1054" i="6"/>
  <c r="W1053" i="6"/>
  <c r="W1052" i="6"/>
  <c r="W1051" i="6"/>
  <c r="AA49" i="6"/>
  <c r="AB49" i="6"/>
  <c r="A8" i="5"/>
  <c r="BR1" i="8"/>
  <c r="EZ1" i="8"/>
  <c r="FM5" i="8"/>
  <c r="AA50" i="6"/>
  <c r="AC50" i="6"/>
  <c r="AB50" i="6"/>
  <c r="AB51" i="6"/>
  <c r="AB52" i="6"/>
  <c r="AA53" i="6"/>
  <c r="AC53" i="6"/>
  <c r="AB53" i="6"/>
  <c r="AA54" i="6"/>
  <c r="AC54" i="6"/>
  <c r="AB54" i="6"/>
  <c r="AA55" i="6"/>
  <c r="AC55" i="6"/>
  <c r="AB55" i="6"/>
  <c r="AA56" i="6"/>
  <c r="AC56" i="6"/>
  <c r="AB56" i="6"/>
  <c r="AA57" i="6"/>
  <c r="AC57" i="6"/>
  <c r="AB57" i="6"/>
  <c r="AB58" i="6"/>
  <c r="AB59" i="6"/>
  <c r="AB60" i="6"/>
  <c r="AA61" i="6"/>
  <c r="B61" i="6"/>
  <c r="AC61" i="6"/>
  <c r="AB61" i="6"/>
  <c r="AB62" i="6"/>
  <c r="AB63" i="6"/>
  <c r="AA64" i="6"/>
  <c r="AC64" i="6"/>
  <c r="AB64" i="6"/>
  <c r="AA65" i="6"/>
  <c r="AC65" i="6"/>
  <c r="AB65" i="6"/>
  <c r="AA66" i="6"/>
  <c r="AC66" i="6"/>
  <c r="AB66" i="6"/>
  <c r="AA67" i="6"/>
  <c r="AC67" i="6"/>
  <c r="AB67" i="6"/>
  <c r="X53" i="6"/>
  <c r="W53" i="6"/>
  <c r="X52" i="6"/>
  <c r="W52" i="6"/>
  <c r="X51" i="6"/>
  <c r="W51" i="6"/>
  <c r="X50" i="6"/>
  <c r="W50" i="6"/>
  <c r="AA2" i="6"/>
  <c r="AC2" i="6"/>
  <c r="AA3" i="6"/>
  <c r="B3" i="6"/>
  <c r="F6" i="8"/>
  <c r="E6" i="8"/>
  <c r="F7" i="8"/>
  <c r="E7" i="8"/>
  <c r="F8" i="8"/>
  <c r="E8" i="8"/>
  <c r="F9" i="8"/>
  <c r="E9" i="8"/>
  <c r="G6" i="8"/>
  <c r="I6" i="8"/>
  <c r="J6" i="8"/>
  <c r="K6" i="8"/>
  <c r="M6" i="8"/>
  <c r="O6" i="8"/>
  <c r="P6" i="8"/>
  <c r="S6" i="8"/>
  <c r="T6" i="8"/>
  <c r="U6" i="8"/>
  <c r="AW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U1" i="8"/>
  <c r="CV6" i="8"/>
  <c r="CW6" i="8"/>
  <c r="CW1" i="8"/>
  <c r="CX6" i="8"/>
  <c r="CY6" i="8"/>
  <c r="CZ6" i="8"/>
  <c r="DA6" i="8"/>
  <c r="DB6" i="8"/>
  <c r="DC6" i="8"/>
  <c r="DD6" i="8"/>
  <c r="DF6" i="8"/>
  <c r="DF1" i="8"/>
  <c r="DG6" i="8"/>
  <c r="DH6" i="8"/>
  <c r="DI6" i="8"/>
  <c r="DJ6" i="8"/>
  <c r="DK6" i="8"/>
  <c r="DL6" i="8"/>
  <c r="DM6" i="8"/>
  <c r="DN6" i="8"/>
  <c r="DO6" i="8"/>
  <c r="DP6" i="8"/>
  <c r="DQ6" i="8"/>
  <c r="DS6" i="8"/>
  <c r="DU6" i="8"/>
  <c r="DU1" i="8"/>
  <c r="DW6" i="8"/>
  <c r="DW1" i="8"/>
  <c r="DY6" i="8"/>
  <c r="DY1" i="8"/>
  <c r="EA6" i="8"/>
  <c r="G7" i="8"/>
  <c r="I7" i="8"/>
  <c r="J7" i="8"/>
  <c r="K7" i="8"/>
  <c r="M7" i="8"/>
  <c r="O7" i="8"/>
  <c r="P7" i="8"/>
  <c r="S7" i="8"/>
  <c r="T7" i="8"/>
  <c r="U7" i="8"/>
  <c r="FA7" i="8"/>
  <c r="G8" i="8"/>
  <c r="I8" i="8"/>
  <c r="J8" i="8"/>
  <c r="K8" i="8"/>
  <c r="M8" i="8"/>
  <c r="O8" i="8"/>
  <c r="P8" i="8"/>
  <c r="S8" i="8"/>
  <c r="T8" i="8"/>
  <c r="U8" i="8"/>
  <c r="CM8" i="8"/>
  <c r="M9" i="8"/>
  <c r="O9" i="8"/>
  <c r="O1" i="8"/>
  <c r="P9" i="8"/>
  <c r="P1" i="8"/>
  <c r="S9" i="8"/>
  <c r="T9" i="8"/>
  <c r="U9" i="8"/>
  <c r="CM9" i="8"/>
  <c r="DO9" i="8"/>
  <c r="F10" i="8"/>
  <c r="E10" i="8"/>
  <c r="G10" i="8"/>
  <c r="I10" i="8"/>
  <c r="J10" i="8"/>
  <c r="K10" i="8"/>
  <c r="M10" i="8"/>
  <c r="O10" i="8"/>
  <c r="P10" i="8"/>
  <c r="S10" i="8"/>
  <c r="T10" i="8"/>
  <c r="U10" i="8"/>
  <c r="AA10" i="8"/>
  <c r="CM10" i="8"/>
  <c r="DP10" i="8"/>
  <c r="F11" i="8"/>
  <c r="E11" i="8"/>
  <c r="M11" i="8"/>
  <c r="O11" i="8"/>
  <c r="P11" i="8"/>
  <c r="S11" i="8"/>
  <c r="T11" i="8"/>
  <c r="U11" i="8"/>
  <c r="AA11" i="8"/>
  <c r="AA19" i="8"/>
  <c r="CM11" i="8"/>
  <c r="F12" i="8"/>
  <c r="E12" i="8"/>
  <c r="AA12" i="8"/>
  <c r="CM12" i="8"/>
  <c r="F13" i="8"/>
  <c r="AA13" i="8"/>
  <c r="CM13" i="8"/>
  <c r="F14" i="8"/>
  <c r="E14" i="8"/>
  <c r="G14" i="8"/>
  <c r="I14" i="8"/>
  <c r="J14" i="8"/>
  <c r="K14" i="8"/>
  <c r="AA14" i="8"/>
  <c r="CM14" i="8"/>
  <c r="F15" i="8"/>
  <c r="E15" i="8"/>
  <c r="AA15" i="8"/>
  <c r="F16" i="8"/>
  <c r="AA16" i="8"/>
  <c r="F17" i="8"/>
  <c r="E17" i="8"/>
  <c r="G17" i="8"/>
  <c r="I17" i="8"/>
  <c r="J17" i="8"/>
  <c r="K17" i="8"/>
  <c r="AA17" i="8"/>
  <c r="F18" i="8"/>
  <c r="AA18" i="8"/>
  <c r="F19" i="8"/>
  <c r="E19" i="8"/>
  <c r="F20" i="8"/>
  <c r="E20" i="8"/>
  <c r="G20" i="8"/>
  <c r="I20" i="8"/>
  <c r="J20" i="8"/>
  <c r="K20" i="8"/>
  <c r="AA20" i="8"/>
  <c r="AA21" i="8"/>
  <c r="AA4" i="6"/>
  <c r="B4" i="6"/>
  <c r="AA6" i="6"/>
  <c r="AC6" i="6"/>
  <c r="AA7" i="6"/>
  <c r="AC7" i="6"/>
  <c r="AA8" i="6"/>
  <c r="AC8" i="6"/>
  <c r="AA9" i="6"/>
  <c r="AC9" i="6"/>
  <c r="AA10" i="6"/>
  <c r="B10" i="6"/>
  <c r="EX1" i="8"/>
  <c r="AA14" i="6"/>
  <c r="B14" i="6"/>
  <c r="AE1" i="8"/>
  <c r="AA15" i="6"/>
  <c r="AC15" i="6"/>
  <c r="AA16" i="6"/>
  <c r="AC16" i="6"/>
  <c r="AA17" i="6"/>
  <c r="B17" i="6"/>
  <c r="BS1" i="8"/>
  <c r="AA18" i="6"/>
  <c r="AC18" i="6"/>
  <c r="AA19" i="6"/>
  <c r="AC19" i="6"/>
  <c r="AA20" i="6"/>
  <c r="B20" i="6"/>
  <c r="AG1" i="8"/>
  <c r="AA21" i="6"/>
  <c r="AC21" i="6"/>
  <c r="AA22" i="6"/>
  <c r="B22" i="6"/>
  <c r="AF1" i="8"/>
  <c r="AA23" i="6"/>
  <c r="Z23" i="6"/>
  <c r="AA24" i="6"/>
  <c r="Z24" i="6"/>
  <c r="AA25" i="6"/>
  <c r="AC25" i="6"/>
  <c r="AA26" i="6"/>
  <c r="AC26" i="6"/>
  <c r="AB2" i="6"/>
  <c r="AB3" i="6"/>
  <c r="AB4" i="6"/>
  <c r="AB5" i="6"/>
  <c r="C5" i="6"/>
  <c r="B8" i="1"/>
  <c r="AC1" i="8"/>
  <c r="AD1" i="8"/>
  <c r="AC3" i="8"/>
  <c r="AC2" i="8"/>
  <c r="AD3" i="8"/>
  <c r="AD2" i="8"/>
  <c r="AE3" i="8"/>
  <c r="AE2" i="8"/>
  <c r="AB1" i="8"/>
  <c r="AA3" i="8"/>
  <c r="AB3" i="8"/>
  <c r="AB2" i="8"/>
  <c r="AF3" i="8"/>
  <c r="AF2" i="8"/>
  <c r="W1268" i="6"/>
  <c r="X1268" i="6"/>
  <c r="Z1268" i="6"/>
  <c r="AA1268" i="6"/>
  <c r="AC1268" i="6"/>
  <c r="AB1268" i="6"/>
  <c r="W1269" i="6"/>
  <c r="X1269" i="6"/>
  <c r="Z1269" i="6"/>
  <c r="AB1269" i="6"/>
  <c r="W1270" i="6"/>
  <c r="X1270" i="6"/>
  <c r="Z1270" i="6"/>
  <c r="AA1270" i="6"/>
  <c r="AC1270" i="6"/>
  <c r="AB1270" i="6"/>
  <c r="W1271" i="6"/>
  <c r="X1271" i="6"/>
  <c r="Z1271" i="6"/>
  <c r="AA1271" i="6"/>
  <c r="AC1271" i="6"/>
  <c r="AB1271" i="6"/>
  <c r="W1272" i="6"/>
  <c r="X1272" i="6"/>
  <c r="Z1272" i="6"/>
  <c r="AA1272" i="6"/>
  <c r="AB1272" i="6"/>
  <c r="FK1" i="8"/>
  <c r="W1273" i="6"/>
  <c r="X1273" i="6"/>
  <c r="Z1273" i="6"/>
  <c r="AA1273" i="6"/>
  <c r="AB1273" i="6"/>
  <c r="FN1" i="8"/>
  <c r="W1274" i="6"/>
  <c r="X1274" i="6"/>
  <c r="Z1274" i="6"/>
  <c r="AA1274" i="6"/>
  <c r="AB1274" i="6"/>
  <c r="FQ1" i="8"/>
  <c r="W1275" i="6"/>
  <c r="X1275" i="6"/>
  <c r="Z1275" i="6"/>
  <c r="AA1275" i="6"/>
  <c r="AC1275" i="6"/>
  <c r="AB1275" i="6"/>
  <c r="W1276" i="6"/>
  <c r="X1276" i="6"/>
  <c r="Z1276" i="6"/>
  <c r="AA1276" i="6"/>
  <c r="AC1276" i="6"/>
  <c r="AB1276" i="6"/>
  <c r="W1277" i="6"/>
  <c r="X1277" i="6"/>
  <c r="Z1277" i="6"/>
  <c r="AA1277" i="6"/>
  <c r="AC1277" i="6"/>
  <c r="AB1277" i="6"/>
  <c r="W1278" i="6"/>
  <c r="X1278" i="6"/>
  <c r="Z1278" i="6"/>
  <c r="AA1278" i="6"/>
  <c r="AC1278" i="6"/>
  <c r="AB1278" i="6"/>
  <c r="W1279" i="6"/>
  <c r="X1279" i="6"/>
  <c r="Z1279" i="6"/>
  <c r="AA1279" i="6"/>
  <c r="AC1279" i="6"/>
  <c r="AB1279" i="6"/>
  <c r="W1280" i="6"/>
  <c r="X1280" i="6"/>
  <c r="Z1280" i="6"/>
  <c r="AA1280" i="6"/>
  <c r="AC1280" i="6"/>
  <c r="AB1280" i="6"/>
  <c r="W1281" i="6"/>
  <c r="X1281" i="6"/>
  <c r="Z1281" i="6"/>
  <c r="AA1281" i="6"/>
  <c r="AC1281" i="6"/>
  <c r="AB1281" i="6"/>
  <c r="W1282" i="6"/>
  <c r="X1282" i="6"/>
  <c r="Z1282" i="6"/>
  <c r="AA1282" i="6"/>
  <c r="AC1282" i="6"/>
  <c r="AB1282" i="6"/>
  <c r="W1283" i="6"/>
  <c r="X1283" i="6"/>
  <c r="Z1283" i="6"/>
  <c r="AA1283" i="6"/>
  <c r="AC1283" i="6"/>
  <c r="AB1283" i="6"/>
  <c r="W1284" i="6"/>
  <c r="X1284" i="6"/>
  <c r="Z1284" i="6"/>
  <c r="AA1284" i="6"/>
  <c r="AC1284" i="6"/>
  <c r="AB1284" i="6"/>
  <c r="W1285" i="6"/>
  <c r="X1285" i="6"/>
  <c r="Z1285" i="6"/>
  <c r="AA1285" i="6"/>
  <c r="B1285" i="6"/>
  <c r="AC1285" i="6"/>
  <c r="AB1285" i="6"/>
  <c r="W1286" i="6"/>
  <c r="X1286" i="6"/>
  <c r="Z1286" i="6"/>
  <c r="AB1286" i="6"/>
  <c r="W1287" i="6"/>
  <c r="X1287" i="6"/>
  <c r="Z1287" i="6"/>
  <c r="AA1287" i="6"/>
  <c r="AC1287" i="6"/>
  <c r="AB1287" i="6"/>
  <c r="W1288" i="6"/>
  <c r="X1288" i="6"/>
  <c r="Z1288" i="6"/>
  <c r="AA1288" i="6"/>
  <c r="AC1288" i="6"/>
  <c r="AB1288" i="6"/>
  <c r="W1289" i="6"/>
  <c r="X1289" i="6"/>
  <c r="Z1289" i="6"/>
  <c r="AA1289" i="6"/>
  <c r="AC1289" i="6"/>
  <c r="AB1289" i="6"/>
  <c r="W1290" i="6"/>
  <c r="X1290" i="6"/>
  <c r="Z1290" i="6"/>
  <c r="AA1290" i="6"/>
  <c r="AC1290" i="6"/>
  <c r="AB1290" i="6"/>
  <c r="W1291" i="6"/>
  <c r="X1291" i="6"/>
  <c r="Z1291" i="6"/>
  <c r="AA1291" i="6"/>
  <c r="AB1291" i="6"/>
  <c r="FT1" i="8"/>
  <c r="W1292" i="6"/>
  <c r="X1292" i="6"/>
  <c r="Z1292" i="6"/>
  <c r="AA1292" i="6"/>
  <c r="AB1292" i="6"/>
  <c r="FV1" i="8"/>
  <c r="W1293" i="6"/>
  <c r="X1293" i="6"/>
  <c r="Z1293" i="6"/>
  <c r="AA1293" i="6"/>
  <c r="AB1293" i="6"/>
  <c r="FX1" i="8"/>
  <c r="W1294" i="6"/>
  <c r="X1294" i="6"/>
  <c r="Z1294" i="6"/>
  <c r="AA1294" i="6"/>
  <c r="AC1294" i="6"/>
  <c r="AB1294" i="6"/>
  <c r="W1295" i="6"/>
  <c r="X1295" i="6"/>
  <c r="Z1295" i="6"/>
  <c r="AA1295" i="6"/>
  <c r="AC1295" i="6"/>
  <c r="AB1295" i="6"/>
  <c r="W1296" i="6"/>
  <c r="X1296" i="6"/>
  <c r="Z1296" i="6"/>
  <c r="AA1296" i="6"/>
  <c r="AC1296" i="6"/>
  <c r="AB1296" i="6"/>
  <c r="W1297" i="6"/>
  <c r="X1297" i="6"/>
  <c r="Z1297" i="6"/>
  <c r="AA1297" i="6"/>
  <c r="AC1297" i="6"/>
  <c r="AB1297" i="6"/>
  <c r="W1298" i="6"/>
  <c r="X1298" i="6"/>
  <c r="Z1298" i="6"/>
  <c r="AA1298" i="6"/>
  <c r="AC1298" i="6"/>
  <c r="AB1298" i="6"/>
  <c r="W1299" i="6"/>
  <c r="X1299" i="6"/>
  <c r="Z1299" i="6"/>
  <c r="AA1299" i="6"/>
  <c r="AC1299" i="6"/>
  <c r="AB1299" i="6"/>
  <c r="W1300" i="6"/>
  <c r="X1300" i="6"/>
  <c r="Z1300" i="6"/>
  <c r="AA1300" i="6"/>
  <c r="AC1300" i="6"/>
  <c r="AB1300" i="6"/>
  <c r="W1301" i="6"/>
  <c r="X1301" i="6"/>
  <c r="Z1301" i="6"/>
  <c r="AA1301" i="6"/>
  <c r="AC1301" i="6"/>
  <c r="AB1301" i="6"/>
  <c r="W1302" i="6"/>
  <c r="X1302" i="6"/>
  <c r="Z1302" i="6"/>
  <c r="AA1302" i="6"/>
  <c r="AC1302" i="6"/>
  <c r="AB1302" i="6"/>
  <c r="W1303" i="6"/>
  <c r="X1303" i="6"/>
  <c r="Z1303" i="6"/>
  <c r="AB1303" i="6"/>
  <c r="W1304" i="6"/>
  <c r="X1304" i="6"/>
  <c r="Z1304" i="6"/>
  <c r="AA1304" i="6"/>
  <c r="AC1304" i="6"/>
  <c r="AB1304" i="6"/>
  <c r="W1305" i="6"/>
  <c r="X1305" i="6"/>
  <c r="Z1305" i="6"/>
  <c r="AA1305" i="6"/>
  <c r="AC1305" i="6"/>
  <c r="AB1305" i="6"/>
  <c r="W1306" i="6"/>
  <c r="X1306" i="6"/>
  <c r="Z1306" i="6"/>
  <c r="AA1306" i="6"/>
  <c r="AB1306" i="6"/>
  <c r="FZ1" i="8"/>
  <c r="W1307" i="6"/>
  <c r="X1307" i="6"/>
  <c r="Z1307" i="6"/>
  <c r="AA1307" i="6"/>
  <c r="AB1307" i="6"/>
  <c r="GB1" i="8"/>
  <c r="W1308" i="6"/>
  <c r="X1308" i="6"/>
  <c r="Z1308" i="6"/>
  <c r="AA1308" i="6"/>
  <c r="AC1308" i="6"/>
  <c r="AB1308" i="6"/>
  <c r="W1309" i="6"/>
  <c r="X1309" i="6"/>
  <c r="Z1309" i="6"/>
  <c r="AA1309" i="6"/>
  <c r="AC1309" i="6"/>
  <c r="AB1309" i="6"/>
  <c r="W1310" i="6"/>
  <c r="X1310" i="6"/>
  <c r="Z1310" i="6"/>
  <c r="AA1310" i="6"/>
  <c r="AC1310" i="6"/>
  <c r="AB1310" i="6"/>
  <c r="W1311" i="6"/>
  <c r="X1311" i="6"/>
  <c r="Z1311" i="6"/>
  <c r="AA1311" i="6"/>
  <c r="AC1311" i="6"/>
  <c r="AB1311" i="6"/>
  <c r="W1312" i="6"/>
  <c r="X1312" i="6"/>
  <c r="Z1312" i="6"/>
  <c r="AA1312" i="6"/>
  <c r="AC1312" i="6"/>
  <c r="AB1312" i="6"/>
  <c r="W1313" i="6"/>
  <c r="X1313" i="6"/>
  <c r="Z1313" i="6"/>
  <c r="AA1313" i="6"/>
  <c r="AC1313" i="6"/>
  <c r="AB1313" i="6"/>
  <c r="W1314" i="6"/>
  <c r="X1314" i="6"/>
  <c r="Z1314" i="6"/>
  <c r="AA1314" i="6"/>
  <c r="AC1314" i="6"/>
  <c r="AB1314" i="6"/>
  <c r="W1315" i="6"/>
  <c r="X1315" i="6"/>
  <c r="Z1315" i="6"/>
  <c r="AA1315" i="6"/>
  <c r="AC1315" i="6"/>
  <c r="AB1315" i="6"/>
  <c r="W1316" i="6"/>
  <c r="X1316" i="6"/>
  <c r="Z1316" i="6"/>
  <c r="AA1316" i="6"/>
  <c r="AC1316" i="6"/>
  <c r="AB1316" i="6"/>
  <c r="W1317" i="6"/>
  <c r="X1317" i="6"/>
  <c r="Z1317" i="6"/>
  <c r="AA1317" i="6"/>
  <c r="AC1317" i="6"/>
  <c r="AB1317" i="6"/>
  <c r="W1318" i="6"/>
  <c r="X1318" i="6"/>
  <c r="Z1318" i="6"/>
  <c r="AA1318" i="6"/>
  <c r="AC1318" i="6"/>
  <c r="AB1318" i="6"/>
  <c r="W1319" i="6"/>
  <c r="X1319" i="6"/>
  <c r="Z1319" i="6"/>
  <c r="AA1319" i="6"/>
  <c r="AC1319" i="6"/>
  <c r="AB1319" i="6"/>
  <c r="W1320" i="6"/>
  <c r="X1320" i="6"/>
  <c r="Z1320" i="6"/>
  <c r="AA1320" i="6"/>
  <c r="AC1320" i="6"/>
  <c r="AB1320" i="6"/>
  <c r="W1321" i="6"/>
  <c r="X1321" i="6"/>
  <c r="Z1321" i="6"/>
  <c r="AA1321" i="6"/>
  <c r="AC1321" i="6"/>
  <c r="AB1321" i="6"/>
  <c r="W1322" i="6"/>
  <c r="X1322" i="6"/>
  <c r="Z1322" i="6"/>
  <c r="AA1322" i="6"/>
  <c r="AC1322" i="6"/>
  <c r="AB1322" i="6"/>
  <c r="W1323" i="6"/>
  <c r="X1323" i="6"/>
  <c r="Z1323" i="6"/>
  <c r="AA1323" i="6"/>
  <c r="AC1323" i="6"/>
  <c r="AB1323" i="6"/>
  <c r="W1324" i="6"/>
  <c r="X1324" i="6"/>
  <c r="Z1324" i="6"/>
  <c r="AA1324" i="6"/>
  <c r="B1324" i="6"/>
  <c r="AC1324" i="6"/>
  <c r="AB1324" i="6"/>
  <c r="W1325" i="6"/>
  <c r="X1325" i="6"/>
  <c r="Z1325" i="6"/>
  <c r="AA1325" i="6"/>
  <c r="AC1325" i="6"/>
  <c r="AB1325" i="6"/>
  <c r="W1326" i="6"/>
  <c r="X1326" i="6"/>
  <c r="Z1326" i="6"/>
  <c r="AA1326" i="6"/>
  <c r="AC1326" i="6"/>
  <c r="AB1326" i="6"/>
  <c r="W1327" i="6"/>
  <c r="X1327" i="6"/>
  <c r="Z1327" i="6"/>
  <c r="AA1327" i="6"/>
  <c r="AC1327" i="6"/>
  <c r="AB1327" i="6"/>
  <c r="W1328" i="6"/>
  <c r="X1328" i="6"/>
  <c r="Z1328" i="6"/>
  <c r="AA1328" i="6"/>
  <c r="AC1328" i="6"/>
  <c r="AB1328" i="6"/>
  <c r="W1329" i="6"/>
  <c r="X1329" i="6"/>
  <c r="Z1329" i="6"/>
  <c r="AA1329" i="6"/>
  <c r="AC1329" i="6"/>
  <c r="AB1329" i="6"/>
  <c r="W1330" i="6"/>
  <c r="X1330" i="6"/>
  <c r="Z1330" i="6"/>
  <c r="AA1330" i="6"/>
  <c r="AC1330" i="6"/>
  <c r="AB1330" i="6"/>
  <c r="W1331" i="6"/>
  <c r="X1331" i="6"/>
  <c r="Z1331" i="6"/>
  <c r="AA1331" i="6"/>
  <c r="AC1331" i="6"/>
  <c r="AB1331" i="6"/>
  <c r="W1332" i="6"/>
  <c r="X1332" i="6"/>
  <c r="Z1332" i="6"/>
  <c r="AA1332" i="6"/>
  <c r="AC1332" i="6"/>
  <c r="AB1332" i="6"/>
  <c r="W1333" i="6"/>
  <c r="X1333" i="6"/>
  <c r="Z1333" i="6"/>
  <c r="AA1333" i="6"/>
  <c r="AC1333" i="6"/>
  <c r="AB1333" i="6"/>
  <c r="W1334" i="6"/>
  <c r="X1334" i="6"/>
  <c r="Z1334" i="6"/>
  <c r="AA1334" i="6"/>
  <c r="AC1334" i="6"/>
  <c r="AB1334" i="6"/>
  <c r="W1335" i="6"/>
  <c r="X1335" i="6"/>
  <c r="Z1335" i="6"/>
  <c r="AA1335" i="6"/>
  <c r="AC1335" i="6"/>
  <c r="AB1335" i="6"/>
  <c r="W1336" i="6"/>
  <c r="X1336" i="6"/>
  <c r="Z1336" i="6"/>
  <c r="AA1336" i="6"/>
  <c r="AC1336" i="6"/>
  <c r="AB1336" i="6"/>
  <c r="W1337" i="6"/>
  <c r="X1337" i="6"/>
  <c r="Z1337" i="6"/>
  <c r="AA1337" i="6"/>
  <c r="AC1337" i="6"/>
  <c r="AB1337" i="6"/>
  <c r="W1338" i="6"/>
  <c r="X1338" i="6"/>
  <c r="Z1338" i="6"/>
  <c r="AA1338" i="6"/>
  <c r="AC1338" i="6"/>
  <c r="AB1338" i="6"/>
  <c r="W1339" i="6"/>
  <c r="X1339" i="6"/>
  <c r="Z1339" i="6"/>
  <c r="AA1339" i="6"/>
  <c r="AC1339" i="6"/>
  <c r="AB1339" i="6"/>
  <c r="W1340" i="6"/>
  <c r="X1340" i="6"/>
  <c r="Z1340" i="6"/>
  <c r="AA1340" i="6"/>
  <c r="AC1340" i="6"/>
  <c r="AB1340" i="6"/>
  <c r="W1341" i="6"/>
  <c r="X1341" i="6"/>
  <c r="Z1341" i="6"/>
  <c r="AA1341" i="6"/>
  <c r="AC1341" i="6"/>
  <c r="AB1341" i="6"/>
  <c r="W1342" i="6"/>
  <c r="X1342" i="6"/>
  <c r="Z1342" i="6"/>
  <c r="AA1342" i="6"/>
  <c r="AC1342" i="6"/>
  <c r="AB1342" i="6"/>
  <c r="W1343" i="6"/>
  <c r="X1343" i="6"/>
  <c r="Z1343" i="6"/>
  <c r="AA1343" i="6"/>
  <c r="AC1343" i="6"/>
  <c r="AB1343" i="6"/>
  <c r="W1344" i="6"/>
  <c r="X1344" i="6"/>
  <c r="Z1344" i="6"/>
  <c r="AA1344" i="6"/>
  <c r="AC1344" i="6"/>
  <c r="AB1344" i="6"/>
  <c r="W1345" i="6"/>
  <c r="X1345" i="6"/>
  <c r="Z1345" i="6"/>
  <c r="AA1345" i="6"/>
  <c r="AC1345" i="6"/>
  <c r="AB1345" i="6"/>
  <c r="W1346" i="6"/>
  <c r="X1346" i="6"/>
  <c r="Z1346" i="6"/>
  <c r="AA1346" i="6"/>
  <c r="B1346" i="6"/>
  <c r="AC1346" i="6"/>
  <c r="AB1346" i="6"/>
  <c r="W1347" i="6"/>
  <c r="X1347" i="6"/>
  <c r="Z1347" i="6"/>
  <c r="AA1347" i="6"/>
  <c r="AC1347" i="6"/>
  <c r="AB1347" i="6"/>
  <c r="W1348" i="6"/>
  <c r="X1348" i="6"/>
  <c r="Z1348" i="6"/>
  <c r="AA1348" i="6"/>
  <c r="AC1348" i="6"/>
  <c r="AB1348" i="6"/>
  <c r="W1349" i="6"/>
  <c r="X1349" i="6"/>
  <c r="Z1349" i="6"/>
  <c r="AA1349" i="6"/>
  <c r="AC1349" i="6"/>
  <c r="AB1349" i="6"/>
  <c r="W1350" i="6"/>
  <c r="X1350" i="6"/>
  <c r="Z1350" i="6"/>
  <c r="AA1350" i="6"/>
  <c r="AC1350" i="6"/>
  <c r="AB1350" i="6"/>
  <c r="W1351" i="6"/>
  <c r="X1351" i="6"/>
  <c r="Z1351" i="6"/>
  <c r="AA1351" i="6"/>
  <c r="AC1351" i="6"/>
  <c r="AB1351" i="6"/>
  <c r="W1352" i="6"/>
  <c r="X1352" i="6"/>
  <c r="Z1352" i="6"/>
  <c r="AA1352" i="6"/>
  <c r="AC1352" i="6"/>
  <c r="AB1352" i="6"/>
  <c r="W1353" i="6"/>
  <c r="X1353" i="6"/>
  <c r="Z1353" i="6"/>
  <c r="AA1353" i="6"/>
  <c r="AC1353" i="6"/>
  <c r="AB1353" i="6"/>
  <c r="W1354" i="6"/>
  <c r="X1354" i="6"/>
  <c r="Z1354" i="6"/>
  <c r="AA1354" i="6"/>
  <c r="AC1354" i="6"/>
  <c r="AB1354" i="6"/>
  <c r="W1355" i="6"/>
  <c r="X1355" i="6"/>
  <c r="Z1355" i="6"/>
  <c r="AA1355" i="6"/>
  <c r="AC1355" i="6"/>
  <c r="AB1355" i="6"/>
  <c r="W1356" i="6"/>
  <c r="X1356" i="6"/>
  <c r="Z1356" i="6"/>
  <c r="AA1356" i="6"/>
  <c r="AC1356" i="6"/>
  <c r="AB1356" i="6"/>
  <c r="W1357" i="6"/>
  <c r="X1357" i="6"/>
  <c r="Z1357" i="6"/>
  <c r="AA1357" i="6"/>
  <c r="AC1357" i="6"/>
  <c r="AB1357" i="6"/>
  <c r="W1358" i="6"/>
  <c r="X1358" i="6"/>
  <c r="Z1358" i="6"/>
  <c r="AA1358" i="6"/>
  <c r="AC1358" i="6"/>
  <c r="AB1358" i="6"/>
  <c r="W1359" i="6"/>
  <c r="X1359" i="6"/>
  <c r="Z1359" i="6"/>
  <c r="AA1359" i="6"/>
  <c r="AC1359" i="6"/>
  <c r="AB1359" i="6"/>
  <c r="W1360" i="6"/>
  <c r="X1360" i="6"/>
  <c r="Z1360" i="6"/>
  <c r="AA1360" i="6"/>
  <c r="AC1360" i="6"/>
  <c r="AB1360" i="6"/>
  <c r="W1361" i="6"/>
  <c r="X1361" i="6"/>
  <c r="Z1361" i="6"/>
  <c r="AA1361" i="6"/>
  <c r="AC1361" i="6"/>
  <c r="AB1361" i="6"/>
  <c r="W1362" i="6"/>
  <c r="X1362" i="6"/>
  <c r="Z1362" i="6"/>
  <c r="AA1362" i="6"/>
  <c r="AC1362" i="6"/>
  <c r="AB1362" i="6"/>
  <c r="W1363" i="6"/>
  <c r="X1363" i="6"/>
  <c r="Z1363" i="6"/>
  <c r="AA1363" i="6"/>
  <c r="AC1363" i="6"/>
  <c r="AB1363" i="6"/>
  <c r="W1364" i="6"/>
  <c r="X1364" i="6"/>
  <c r="Z1364" i="6"/>
  <c r="AA1364" i="6"/>
  <c r="AC1364" i="6"/>
  <c r="AB1364" i="6"/>
  <c r="W1365" i="6"/>
  <c r="X1365" i="6"/>
  <c r="Z1365" i="6"/>
  <c r="AA1365" i="6"/>
  <c r="AC1365" i="6"/>
  <c r="AB1365" i="6"/>
  <c r="W1366" i="6"/>
  <c r="X1366" i="6"/>
  <c r="Z1366" i="6"/>
  <c r="AA1366" i="6"/>
  <c r="AC1366" i="6"/>
  <c r="AB1366" i="6"/>
  <c r="W1367" i="6"/>
  <c r="X1367" i="6"/>
  <c r="Z1367" i="6"/>
  <c r="AA1367" i="6"/>
  <c r="AC1367" i="6"/>
  <c r="AB1367" i="6"/>
  <c r="W1368" i="6"/>
  <c r="X1368" i="6"/>
  <c r="Z1368" i="6"/>
  <c r="AA1368" i="6"/>
  <c r="B1368" i="6"/>
  <c r="AC1368" i="6"/>
  <c r="AB1368" i="6"/>
  <c r="W1369" i="6"/>
  <c r="X1369" i="6"/>
  <c r="Z1369" i="6"/>
  <c r="AA1369" i="6"/>
  <c r="B1369" i="6"/>
  <c r="AB1369" i="6"/>
  <c r="W1370" i="6"/>
  <c r="X1370" i="6"/>
  <c r="Z1370" i="6"/>
  <c r="AA1370" i="6"/>
  <c r="AC1370" i="6"/>
  <c r="AB1370" i="6"/>
  <c r="W1371" i="6"/>
  <c r="X1371" i="6"/>
  <c r="Z1371" i="6"/>
  <c r="AA1371" i="6"/>
  <c r="AC1371" i="6"/>
  <c r="AB1371" i="6"/>
  <c r="C1369" i="6"/>
  <c r="U3" i="7"/>
  <c r="U2" i="7"/>
  <c r="Q9" i="5"/>
  <c r="W4" i="7"/>
  <c r="Q3" i="7"/>
  <c r="R3" i="7"/>
  <c r="V3" i="7"/>
  <c r="V2" i="7"/>
  <c r="W3" i="7"/>
  <c r="W2" i="7"/>
  <c r="T4" i="7"/>
  <c r="X3" i="7"/>
  <c r="X2" i="7"/>
  <c r="S4" i="7"/>
  <c r="X4" i="7"/>
  <c r="Z1394" i="6"/>
  <c r="AA1394" i="6"/>
  <c r="Z1395" i="6"/>
  <c r="AA1395" i="6"/>
  <c r="AC1395" i="6"/>
  <c r="AA1396" i="6"/>
  <c r="B1396" i="6"/>
  <c r="Z1397" i="6"/>
  <c r="AA1397" i="6"/>
  <c r="AC1397" i="6"/>
  <c r="AA1398" i="6"/>
  <c r="B1398" i="6"/>
  <c r="AA1399" i="6"/>
  <c r="B1399" i="6"/>
  <c r="Z1400" i="6"/>
  <c r="AA1400" i="6"/>
  <c r="AC1400" i="6"/>
  <c r="AZ1" i="8"/>
  <c r="AB1399" i="6"/>
  <c r="Z1399" i="6"/>
  <c r="X1399" i="6"/>
  <c r="W1399" i="6"/>
  <c r="C1399" i="6"/>
  <c r="AX1" i="8"/>
  <c r="AY1" i="8"/>
  <c r="BA1" i="8"/>
  <c r="AX3" i="8"/>
  <c r="AX2" i="8"/>
  <c r="AW3" i="8"/>
  <c r="AY3" i="8"/>
  <c r="AY2" i="8"/>
  <c r="AZ3" i="8"/>
  <c r="AZ2" i="8"/>
  <c r="BA3" i="8"/>
  <c r="BA2" i="8"/>
  <c r="BB1" i="8"/>
  <c r="C1396" i="6"/>
  <c r="W1396" i="6"/>
  <c r="X1396" i="6"/>
  <c r="Z1396" i="6"/>
  <c r="AB1396" i="6"/>
  <c r="AU1" i="8"/>
  <c r="X1395" i="6"/>
  <c r="AB1395" i="6"/>
  <c r="X1397" i="6"/>
  <c r="AB1397" i="6"/>
  <c r="X1398" i="6"/>
  <c r="Z1398" i="6"/>
  <c r="AB1398" i="6"/>
  <c r="AW1" i="8"/>
  <c r="X1400" i="6"/>
  <c r="AB1400" i="6"/>
  <c r="X1401" i="6"/>
  <c r="Z1401" i="6"/>
  <c r="AA1401" i="6"/>
  <c r="AC1401" i="6"/>
  <c r="AB1401" i="6"/>
  <c r="X1402" i="6"/>
  <c r="Z1402" i="6"/>
  <c r="AA1402" i="6"/>
  <c r="AC1402" i="6"/>
  <c r="AB1402" i="6"/>
  <c r="C1398" i="6"/>
  <c r="W1398" i="6"/>
  <c r="AT1" i="8"/>
  <c r="AS3" i="8"/>
  <c r="AT3" i="8"/>
  <c r="AT2" i="8"/>
  <c r="AU3" i="8"/>
  <c r="AU2" i="8"/>
  <c r="AW2" i="8"/>
  <c r="Z26" i="6"/>
  <c r="C26" i="6"/>
  <c r="W26" i="6"/>
  <c r="X26" i="6"/>
  <c r="AB26" i="6"/>
  <c r="AN1" i="8"/>
  <c r="AO1" i="8"/>
  <c r="AP1" i="8"/>
  <c r="AQ1" i="8"/>
  <c r="AM3" i="8"/>
  <c r="AN3" i="8"/>
  <c r="AN2" i="8"/>
  <c r="AO3" i="8"/>
  <c r="AO2" i="8"/>
  <c r="AP3" i="8"/>
  <c r="AP2" i="8"/>
  <c r="AQ3" i="8"/>
  <c r="AR3" i="8"/>
  <c r="AR2" i="8"/>
  <c r="AQ2" i="8"/>
  <c r="AR1" i="8"/>
  <c r="AS1" i="8"/>
  <c r="AS2" i="8"/>
  <c r="AA555" i="6"/>
  <c r="AC555" i="6"/>
  <c r="Z555" i="6"/>
  <c r="AB555" i="6"/>
  <c r="C555" i="6"/>
  <c r="AA553" i="6"/>
  <c r="AC553" i="6"/>
  <c r="Z553" i="6"/>
  <c r="AB553" i="6"/>
  <c r="C553" i="6"/>
  <c r="FD1" i="8"/>
  <c r="FE1" i="8"/>
  <c r="FF1" i="8"/>
  <c r="FG1" i="8"/>
  <c r="FH1" i="8"/>
  <c r="FI1" i="8"/>
  <c r="FJ1" i="8"/>
  <c r="FD3" i="8"/>
  <c r="FE3" i="8"/>
  <c r="FE2" i="8"/>
  <c r="FF3" i="8"/>
  <c r="FH3" i="8"/>
  <c r="FH2" i="8"/>
  <c r="FI3" i="8"/>
  <c r="FI2" i="8"/>
  <c r="FJ3" i="8"/>
  <c r="FJ2" i="8"/>
  <c r="C520" i="6"/>
  <c r="B520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C9" i="6"/>
  <c r="C13" i="6"/>
  <c r="C19" i="6"/>
  <c r="C23" i="6"/>
  <c r="AI1" i="8"/>
  <c r="C56" i="6"/>
  <c r="AJ1" i="8"/>
  <c r="AA27" i="6"/>
  <c r="B27" i="6"/>
  <c r="AK1" i="8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AA454" i="6"/>
  <c r="Z454" i="6"/>
  <c r="C454" i="6"/>
  <c r="AB454" i="6"/>
  <c r="EY1" i="8"/>
  <c r="FA1" i="8"/>
  <c r="FB1" i="8"/>
  <c r="EX3" i="8"/>
  <c r="EY3" i="8"/>
  <c r="EY2" i="8"/>
  <c r="EX2" i="8"/>
  <c r="EZ3" i="8"/>
  <c r="EZ2" i="8"/>
  <c r="FA3" i="8"/>
  <c r="FB3" i="8"/>
  <c r="FB2" i="8"/>
  <c r="DB1" i="8"/>
  <c r="DC1" i="8"/>
  <c r="DD1" i="8"/>
  <c r="DE1" i="8"/>
  <c r="DB3" i="8"/>
  <c r="DB2" i="8"/>
  <c r="DC3" i="8"/>
  <c r="DC2" i="8"/>
  <c r="DD3" i="8"/>
  <c r="DD2" i="8"/>
  <c r="DE3" i="8"/>
  <c r="DE2" i="8"/>
  <c r="DF3" i="8"/>
  <c r="DF2" i="8"/>
  <c r="C49" i="6"/>
  <c r="B50" i="6"/>
  <c r="C50" i="6"/>
  <c r="C51" i="6"/>
  <c r="C52" i="6"/>
  <c r="C53" i="6"/>
  <c r="O478" i="6"/>
  <c r="X478" i="6"/>
  <c r="O477" i="6"/>
  <c r="O476" i="6"/>
  <c r="O475" i="6"/>
  <c r="X475" i="6"/>
  <c r="O473" i="6"/>
  <c r="O472" i="6"/>
  <c r="O471" i="6"/>
  <c r="O470" i="6"/>
  <c r="O469" i="6"/>
  <c r="X469" i="6"/>
  <c r="O468" i="6"/>
  <c r="O467" i="6"/>
  <c r="O466" i="6"/>
  <c r="X466" i="6"/>
  <c r="O465" i="6"/>
  <c r="O464" i="6"/>
  <c r="X464" i="6"/>
  <c r="O463" i="6"/>
  <c r="X463" i="6"/>
  <c r="O462" i="6"/>
  <c r="X462" i="6"/>
  <c r="O461" i="6"/>
  <c r="X461" i="6"/>
  <c r="O460" i="6"/>
  <c r="X460" i="6"/>
  <c r="O459" i="6"/>
  <c r="O458" i="6"/>
  <c r="O452" i="6"/>
  <c r="X452" i="6"/>
  <c r="O450" i="6"/>
  <c r="O449" i="6"/>
  <c r="O448" i="6"/>
  <c r="O447" i="6"/>
  <c r="X447" i="6"/>
  <c r="O446" i="6"/>
  <c r="X446" i="6"/>
  <c r="O445" i="6"/>
  <c r="O444" i="6"/>
  <c r="O443" i="6"/>
  <c r="O442" i="6"/>
  <c r="O441" i="6"/>
  <c r="O440" i="6"/>
  <c r="O439" i="6"/>
  <c r="C1" i="8"/>
  <c r="D1" i="8"/>
  <c r="B3" i="8"/>
  <c r="C3" i="8"/>
  <c r="C2" i="8"/>
  <c r="AB1578" i="6"/>
  <c r="AA1578" i="6"/>
  <c r="B1578" i="6"/>
  <c r="AC1578" i="6"/>
  <c r="Z1578" i="6"/>
  <c r="X1578" i="6"/>
  <c r="W1578" i="6"/>
  <c r="C1578" i="6"/>
  <c r="X1060" i="6"/>
  <c r="X1061" i="6"/>
  <c r="X1062" i="6"/>
  <c r="AA485" i="6"/>
  <c r="AB485" i="6"/>
  <c r="AA486" i="6"/>
  <c r="AC486" i="6"/>
  <c r="AB486" i="6"/>
  <c r="AA487" i="6"/>
  <c r="AC487" i="6"/>
  <c r="AB487" i="6"/>
  <c r="AA488" i="6"/>
  <c r="B488" i="6"/>
  <c r="AB488" i="6"/>
  <c r="AA489" i="6"/>
  <c r="B489" i="6"/>
  <c r="AB489" i="6"/>
  <c r="AA490" i="6"/>
  <c r="B490" i="6"/>
  <c r="AB490" i="6"/>
  <c r="AA491" i="6"/>
  <c r="B491" i="6"/>
  <c r="AB491" i="6"/>
  <c r="AA492" i="6"/>
  <c r="B492" i="6"/>
  <c r="AC492" i="6"/>
  <c r="AB492" i="6"/>
  <c r="AA493" i="6"/>
  <c r="B493" i="6"/>
  <c r="AB493" i="6"/>
  <c r="AA494" i="6"/>
  <c r="B494" i="6"/>
  <c r="AB494" i="6"/>
  <c r="AA495" i="6"/>
  <c r="B495" i="6"/>
  <c r="AB495" i="6"/>
  <c r="AA496" i="6"/>
  <c r="B496" i="6"/>
  <c r="AB496" i="6"/>
  <c r="AA497" i="6"/>
  <c r="B497" i="6"/>
  <c r="AB497" i="6"/>
  <c r="AA498" i="6"/>
  <c r="AC498" i="6"/>
  <c r="AB498" i="6"/>
  <c r="AA499" i="6"/>
  <c r="AC499" i="6"/>
  <c r="AB499" i="6"/>
  <c r="AA500" i="6"/>
  <c r="AB500" i="6"/>
  <c r="AA501" i="6"/>
  <c r="AC501" i="6"/>
  <c r="AB501" i="6"/>
  <c r="AA502" i="6"/>
  <c r="AC502" i="6"/>
  <c r="AB502" i="6"/>
  <c r="AA503" i="6"/>
  <c r="AC503" i="6"/>
  <c r="AB503" i="6"/>
  <c r="AA504" i="6"/>
  <c r="B504" i="6"/>
  <c r="AC504" i="6"/>
  <c r="AB504" i="6"/>
  <c r="AA505" i="6"/>
  <c r="AC505" i="6"/>
  <c r="AB505" i="6"/>
  <c r="AA506" i="6"/>
  <c r="AC506" i="6"/>
  <c r="AB506" i="6"/>
  <c r="AA507" i="6"/>
  <c r="AC507" i="6"/>
  <c r="AB507" i="6"/>
  <c r="AA508" i="6"/>
  <c r="AC508" i="6"/>
  <c r="AB508" i="6"/>
  <c r="AA509" i="6"/>
  <c r="AC509" i="6"/>
  <c r="AB509" i="6"/>
  <c r="AA510" i="6"/>
  <c r="AC510" i="6"/>
  <c r="AB510" i="6"/>
  <c r="AA511" i="6"/>
  <c r="AC511" i="6"/>
  <c r="AB511" i="6"/>
  <c r="AA512" i="6"/>
  <c r="AC512" i="6"/>
  <c r="AB512" i="6"/>
  <c r="AA513" i="6"/>
  <c r="AC513" i="6"/>
  <c r="AB513" i="6"/>
  <c r="AA514" i="6"/>
  <c r="AC514" i="6"/>
  <c r="AB514" i="6"/>
  <c r="AA515" i="6"/>
  <c r="AC515" i="6"/>
  <c r="AB515" i="6"/>
  <c r="AA516" i="6"/>
  <c r="AC516" i="6"/>
  <c r="AB516" i="6"/>
  <c r="AA517" i="6"/>
  <c r="AC517" i="6"/>
  <c r="AB517" i="6"/>
  <c r="AA518" i="6"/>
  <c r="AB518" i="6"/>
  <c r="AA519" i="6"/>
  <c r="B519" i="6"/>
  <c r="AB519" i="6"/>
  <c r="AA521" i="6"/>
  <c r="AC521" i="6"/>
  <c r="AB521" i="6"/>
  <c r="AA522" i="6"/>
  <c r="AC522" i="6"/>
  <c r="AB522" i="6"/>
  <c r="AA523" i="6"/>
  <c r="AC523" i="6"/>
  <c r="AB523" i="6"/>
  <c r="AA524" i="6"/>
  <c r="AC524" i="6"/>
  <c r="AB524" i="6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A3" i="8"/>
  <c r="EB3" i="8"/>
  <c r="EB2" i="8"/>
  <c r="EA2" i="8"/>
  <c r="EC3" i="8"/>
  <c r="EE3" i="8"/>
  <c r="EE2" i="8"/>
  <c r="EG3" i="8"/>
  <c r="EH3" i="8"/>
  <c r="EH2" i="8"/>
  <c r="EG2" i="8"/>
  <c r="EI3" i="8"/>
  <c r="EJ3" i="8"/>
  <c r="EJ2" i="8"/>
  <c r="EK3" i="8"/>
  <c r="EK2" i="8"/>
  <c r="EM3" i="8"/>
  <c r="EN3" i="8"/>
  <c r="EN2" i="8"/>
  <c r="EO3" i="8"/>
  <c r="EO2" i="8"/>
  <c r="EQ3" i="8"/>
  <c r="ER3" i="8"/>
  <c r="ER2" i="8"/>
  <c r="ES3" i="8"/>
  <c r="ES2" i="8"/>
  <c r="EU3" i="8"/>
  <c r="EV3" i="8"/>
  <c r="EV2" i="8"/>
  <c r="EW3" i="8"/>
  <c r="EW2" i="8"/>
  <c r="Z497" i="6"/>
  <c r="C497" i="6"/>
  <c r="Z496" i="6"/>
  <c r="C496" i="6"/>
  <c r="Z495" i="6"/>
  <c r="C495" i="6"/>
  <c r="Z494" i="6"/>
  <c r="C494" i="6"/>
  <c r="Z493" i="6"/>
  <c r="C493" i="6"/>
  <c r="Z492" i="6"/>
  <c r="C492" i="6"/>
  <c r="Z491" i="6"/>
  <c r="C491" i="6"/>
  <c r="Z490" i="6"/>
  <c r="C490" i="6"/>
  <c r="Z489" i="6"/>
  <c r="C489" i="6"/>
  <c r="Z488" i="6"/>
  <c r="C488" i="6"/>
  <c r="Z487" i="6"/>
  <c r="X487" i="6"/>
  <c r="W487" i="6"/>
  <c r="C487" i="6"/>
  <c r="AB961" i="6"/>
  <c r="AA961" i="6"/>
  <c r="AC961" i="6"/>
  <c r="Z961" i="6"/>
  <c r="C961" i="6"/>
  <c r="D3" i="8"/>
  <c r="D2" i="8"/>
  <c r="EF3" i="8"/>
  <c r="EF2" i="8"/>
  <c r="EL3" i="8"/>
  <c r="EL2" i="8"/>
  <c r="EP3" i="8"/>
  <c r="EP2" i="8"/>
  <c r="C771" i="6"/>
  <c r="X771" i="6"/>
  <c r="Z771" i="6"/>
  <c r="AA771" i="6"/>
  <c r="AC771" i="6"/>
  <c r="AB771" i="6"/>
  <c r="X766" i="6"/>
  <c r="X767" i="6"/>
  <c r="X768" i="6"/>
  <c r="X769" i="6"/>
  <c r="C768" i="6"/>
  <c r="Z768" i="6"/>
  <c r="AA768" i="6"/>
  <c r="AC768" i="6"/>
  <c r="AB768" i="6"/>
  <c r="AB756" i="6"/>
  <c r="AA756" i="6"/>
  <c r="AC756" i="6"/>
  <c r="Z756" i="6"/>
  <c r="C756" i="6"/>
  <c r="X747" i="6"/>
  <c r="X748" i="6"/>
  <c r="X749" i="6"/>
  <c r="X750" i="6"/>
  <c r="X751" i="6"/>
  <c r="X752" i="6"/>
  <c r="X753" i="6"/>
  <c r="X754" i="6"/>
  <c r="X755" i="6"/>
  <c r="C750" i="6"/>
  <c r="Z750" i="6"/>
  <c r="AA750" i="6"/>
  <c r="AB750" i="6"/>
  <c r="AB790" i="6"/>
  <c r="AA790" i="6"/>
  <c r="AC790" i="6"/>
  <c r="Z790" i="6"/>
  <c r="X790" i="6"/>
  <c r="C790" i="6"/>
  <c r="W522" i="6"/>
  <c r="X522" i="6"/>
  <c r="Z521" i="6"/>
  <c r="Z522" i="6"/>
  <c r="C522" i="6"/>
  <c r="C972" i="6"/>
  <c r="W972" i="6"/>
  <c r="C970" i="6"/>
  <c r="W970" i="6"/>
  <c r="AB951" i="6"/>
  <c r="AA951" i="6"/>
  <c r="AC951" i="6"/>
  <c r="Z951" i="6"/>
  <c r="C951" i="6"/>
  <c r="X793" i="6"/>
  <c r="C793" i="6"/>
  <c r="Z793" i="6"/>
  <c r="AA793" i="6"/>
  <c r="AC793" i="6"/>
  <c r="AB793" i="6"/>
  <c r="FC3" i="8"/>
  <c r="FC2" i="8"/>
  <c r="C502" i="6"/>
  <c r="W502" i="6"/>
  <c r="X502" i="6"/>
  <c r="Z502" i="6"/>
  <c r="C503" i="6"/>
  <c r="W503" i="6"/>
  <c r="X503" i="6"/>
  <c r="Z503" i="6"/>
  <c r="W1095" i="6"/>
  <c r="X1095" i="6"/>
  <c r="X1006" i="6"/>
  <c r="W1006" i="6"/>
  <c r="C1006" i="6"/>
  <c r="AJ3" i="7"/>
  <c r="AJ2" i="7"/>
  <c r="AK3" i="7"/>
  <c r="AK2" i="7"/>
  <c r="AJ4" i="7"/>
  <c r="AL4" i="7"/>
  <c r="AH4" i="7"/>
  <c r="AH3" i="7"/>
  <c r="AH2" i="7"/>
  <c r="AG3" i="7"/>
  <c r="AG2" i="7"/>
  <c r="AB960" i="6"/>
  <c r="AA960" i="6"/>
  <c r="AC960" i="6"/>
  <c r="Z960" i="6"/>
  <c r="W960" i="6"/>
  <c r="C960" i="6"/>
  <c r="C952" i="6"/>
  <c r="Z952" i="6"/>
  <c r="AA952" i="6"/>
  <c r="AC952" i="6"/>
  <c r="AB952" i="6"/>
  <c r="AA738" i="6"/>
  <c r="AC738" i="6"/>
  <c r="AB738" i="6"/>
  <c r="AA739" i="6"/>
  <c r="AC739" i="6"/>
  <c r="AB739" i="6"/>
  <c r="AA740" i="6"/>
  <c r="AC740" i="6"/>
  <c r="AB740" i="6"/>
  <c r="AA741" i="6"/>
  <c r="AC741" i="6"/>
  <c r="AB741" i="6"/>
  <c r="AA742" i="6"/>
  <c r="AC742" i="6"/>
  <c r="AB742" i="6"/>
  <c r="AA743" i="6"/>
  <c r="AC743" i="6"/>
  <c r="AB743" i="6"/>
  <c r="AA744" i="6"/>
  <c r="AC744" i="6"/>
  <c r="AB744" i="6"/>
  <c r="AA745" i="6"/>
  <c r="AC745" i="6"/>
  <c r="AB745" i="6"/>
  <c r="AA746" i="6"/>
  <c r="AC746" i="6"/>
  <c r="AB746" i="6"/>
  <c r="AA747" i="6"/>
  <c r="AC747" i="6"/>
  <c r="AB747" i="6"/>
  <c r="AA748" i="6"/>
  <c r="AC748" i="6"/>
  <c r="AB748" i="6"/>
  <c r="AA749" i="6"/>
  <c r="AC749" i="6"/>
  <c r="AB749" i="6"/>
  <c r="AA751" i="6"/>
  <c r="AC751" i="6"/>
  <c r="AB751" i="6"/>
  <c r="AA752" i="6"/>
  <c r="AC752" i="6"/>
  <c r="AB752" i="6"/>
  <c r="AA753" i="6"/>
  <c r="AC753" i="6"/>
  <c r="AB753" i="6"/>
  <c r="AA754" i="6"/>
  <c r="AC754" i="6"/>
  <c r="AB754" i="6"/>
  <c r="AA755" i="6"/>
  <c r="AC755" i="6"/>
  <c r="AB755" i="6"/>
  <c r="AA757" i="6"/>
  <c r="AC757" i="6"/>
  <c r="AB757" i="6"/>
  <c r="AA758" i="6"/>
  <c r="AC758" i="6"/>
  <c r="AB758" i="6"/>
  <c r="AA759" i="6"/>
  <c r="AC759" i="6"/>
  <c r="AB759" i="6"/>
  <c r="AA760" i="6"/>
  <c r="AC760" i="6"/>
  <c r="AB760" i="6"/>
  <c r="AA761" i="6"/>
  <c r="AC761" i="6"/>
  <c r="AB761" i="6"/>
  <c r="AA762" i="6"/>
  <c r="AC762" i="6"/>
  <c r="AB762" i="6"/>
  <c r="AA763" i="6"/>
  <c r="AC763" i="6"/>
  <c r="AB763" i="6"/>
  <c r="AA764" i="6"/>
  <c r="AC764" i="6"/>
  <c r="AB764" i="6"/>
  <c r="AA765" i="6"/>
  <c r="AC765" i="6"/>
  <c r="AB765" i="6"/>
  <c r="AA766" i="6"/>
  <c r="AC766" i="6"/>
  <c r="AB766" i="6"/>
  <c r="AA767" i="6"/>
  <c r="AC767" i="6"/>
  <c r="AB767" i="6"/>
  <c r="AA769" i="6"/>
  <c r="AC769" i="6"/>
  <c r="AB769" i="6"/>
  <c r="AA770" i="6"/>
  <c r="AC770" i="6"/>
  <c r="AB770" i="6"/>
  <c r="AA772" i="6"/>
  <c r="AC772" i="6"/>
  <c r="AB772" i="6"/>
  <c r="AA773" i="6"/>
  <c r="AC773" i="6"/>
  <c r="AB773" i="6"/>
  <c r="AA774" i="6"/>
  <c r="AC774" i="6"/>
  <c r="AB774" i="6"/>
  <c r="AA776" i="6"/>
  <c r="AC776" i="6"/>
  <c r="AB776" i="6"/>
  <c r="AA777" i="6"/>
  <c r="AC777" i="6"/>
  <c r="AB777" i="6"/>
  <c r="AA778" i="6"/>
  <c r="AC778" i="6"/>
  <c r="AB778" i="6"/>
  <c r="AA779" i="6"/>
  <c r="AC779" i="6"/>
  <c r="AB779" i="6"/>
  <c r="AA780" i="6"/>
  <c r="AC780" i="6"/>
  <c r="AB780" i="6"/>
  <c r="AA781" i="6"/>
  <c r="AC781" i="6"/>
  <c r="AB781" i="6"/>
  <c r="AA782" i="6"/>
  <c r="AC782" i="6"/>
  <c r="AB782" i="6"/>
  <c r="AA783" i="6"/>
  <c r="AC783" i="6"/>
  <c r="AB783" i="6"/>
  <c r="AA784" i="6"/>
  <c r="AC784" i="6"/>
  <c r="AB784" i="6"/>
  <c r="AA785" i="6"/>
  <c r="AC785" i="6"/>
  <c r="AB785" i="6"/>
  <c r="AA786" i="6"/>
  <c r="AC786" i="6"/>
  <c r="AB786" i="6"/>
  <c r="AA787" i="6"/>
  <c r="AC787" i="6"/>
  <c r="AB787" i="6"/>
  <c r="AA788" i="6"/>
  <c r="AC788" i="6"/>
  <c r="AB788" i="6"/>
  <c r="AA789" i="6"/>
  <c r="AC789" i="6"/>
  <c r="AB789" i="6"/>
  <c r="AA791" i="6"/>
  <c r="AC791" i="6"/>
  <c r="AB791" i="6"/>
  <c r="AA792" i="6"/>
  <c r="AC792" i="6"/>
  <c r="AB792" i="6"/>
  <c r="AA795" i="6"/>
  <c r="AC795" i="6"/>
  <c r="AB795" i="6"/>
  <c r="AA796" i="6"/>
  <c r="AC796" i="6"/>
  <c r="AB796" i="6"/>
  <c r="AA797" i="6"/>
  <c r="AC797" i="6"/>
  <c r="AB797" i="6"/>
  <c r="AA798" i="6"/>
  <c r="AC798" i="6"/>
  <c r="AB798" i="6"/>
  <c r="AA799" i="6"/>
  <c r="AC799" i="6"/>
  <c r="AB799" i="6"/>
  <c r="AA800" i="6"/>
  <c r="AC800" i="6"/>
  <c r="AB800" i="6"/>
  <c r="AA801" i="6"/>
  <c r="AC801" i="6"/>
  <c r="AB801" i="6"/>
  <c r="AA802" i="6"/>
  <c r="AC802" i="6"/>
  <c r="AB802" i="6"/>
  <c r="AA803" i="6"/>
  <c r="AC803" i="6"/>
  <c r="AB803" i="6"/>
  <c r="AA804" i="6"/>
  <c r="AC804" i="6"/>
  <c r="AB804" i="6"/>
  <c r="AA805" i="6"/>
  <c r="AC805" i="6"/>
  <c r="AB805" i="6"/>
  <c r="AA806" i="6"/>
  <c r="AC806" i="6"/>
  <c r="AB806" i="6"/>
  <c r="AA807" i="6"/>
  <c r="AC807" i="6"/>
  <c r="AB807" i="6"/>
  <c r="AA808" i="6"/>
  <c r="AC808" i="6"/>
  <c r="AB808" i="6"/>
  <c r="AA809" i="6"/>
  <c r="AC809" i="6"/>
  <c r="AB809" i="6"/>
  <c r="AA810" i="6"/>
  <c r="AC810" i="6"/>
  <c r="AB810" i="6"/>
  <c r="AA811" i="6"/>
  <c r="AC811" i="6"/>
  <c r="AB811" i="6"/>
  <c r="AA812" i="6"/>
  <c r="AC812" i="6"/>
  <c r="AB812" i="6"/>
  <c r="AA813" i="6"/>
  <c r="AC813" i="6"/>
  <c r="AB813" i="6"/>
  <c r="AA794" i="6"/>
  <c r="AC794" i="6"/>
  <c r="AB794" i="6"/>
  <c r="AA814" i="6"/>
  <c r="AC814" i="6"/>
  <c r="AB814" i="6"/>
  <c r="AA815" i="6"/>
  <c r="AC815" i="6"/>
  <c r="AB815" i="6"/>
  <c r="AA816" i="6"/>
  <c r="AC816" i="6"/>
  <c r="AB816" i="6"/>
  <c r="AA817" i="6"/>
  <c r="AC817" i="6"/>
  <c r="AB817" i="6"/>
  <c r="AA1382" i="6"/>
  <c r="AC1382" i="6"/>
  <c r="AB1382" i="6"/>
  <c r="AA818" i="6"/>
  <c r="AC818" i="6"/>
  <c r="AB818" i="6"/>
  <c r="AA819" i="6"/>
  <c r="AC819" i="6"/>
  <c r="AB819" i="6"/>
  <c r="AA820" i="6"/>
  <c r="AC820" i="6"/>
  <c r="AB820" i="6"/>
  <c r="AA821" i="6"/>
  <c r="AC821" i="6"/>
  <c r="AB821" i="6"/>
  <c r="AA822" i="6"/>
  <c r="AC822" i="6"/>
  <c r="AB822" i="6"/>
  <c r="AA823" i="6"/>
  <c r="AC823" i="6"/>
  <c r="AB823" i="6"/>
  <c r="AA824" i="6"/>
  <c r="AC824" i="6"/>
  <c r="AB824" i="6"/>
  <c r="AA825" i="6"/>
  <c r="AC825" i="6"/>
  <c r="AB825" i="6"/>
  <c r="AA826" i="6"/>
  <c r="AC826" i="6"/>
  <c r="AB826" i="6"/>
  <c r="AA827" i="6"/>
  <c r="AC827" i="6"/>
  <c r="AB827" i="6"/>
  <c r="AA828" i="6"/>
  <c r="AC828" i="6"/>
  <c r="AB828" i="6"/>
  <c r="AA829" i="6"/>
  <c r="AC829" i="6"/>
  <c r="AB829" i="6"/>
  <c r="AA830" i="6"/>
  <c r="AC830" i="6"/>
  <c r="AB830" i="6"/>
  <c r="AA831" i="6"/>
  <c r="AC831" i="6"/>
  <c r="AB831" i="6"/>
  <c r="AA832" i="6"/>
  <c r="AC832" i="6"/>
  <c r="AB832" i="6"/>
  <c r="AA833" i="6"/>
  <c r="AC833" i="6"/>
  <c r="AB833" i="6"/>
  <c r="AA834" i="6"/>
  <c r="AC834" i="6"/>
  <c r="AB834" i="6"/>
  <c r="AA835" i="6"/>
  <c r="AC835" i="6"/>
  <c r="AB835" i="6"/>
  <c r="AA836" i="6"/>
  <c r="AC836" i="6"/>
  <c r="AB836" i="6"/>
  <c r="AA837" i="6"/>
  <c r="AC837" i="6"/>
  <c r="AB837" i="6"/>
  <c r="AA838" i="6"/>
  <c r="AC838" i="6"/>
  <c r="AB838" i="6"/>
  <c r="AA839" i="6"/>
  <c r="AC839" i="6"/>
  <c r="AB839" i="6"/>
  <c r="AA840" i="6"/>
  <c r="AC840" i="6"/>
  <c r="AB840" i="6"/>
  <c r="AA841" i="6"/>
  <c r="AC841" i="6"/>
  <c r="AB841" i="6"/>
  <c r="AA842" i="6"/>
  <c r="AC842" i="6"/>
  <c r="AB842" i="6"/>
  <c r="AA843" i="6"/>
  <c r="AC843" i="6"/>
  <c r="AB843" i="6"/>
  <c r="AA844" i="6"/>
  <c r="AC844" i="6"/>
  <c r="AB844" i="6"/>
  <c r="AA845" i="6"/>
  <c r="AC845" i="6"/>
  <c r="AB845" i="6"/>
  <c r="AA846" i="6"/>
  <c r="AC846" i="6"/>
  <c r="AB846" i="6"/>
  <c r="AA847" i="6"/>
  <c r="AC847" i="6"/>
  <c r="AB847" i="6"/>
  <c r="AA848" i="6"/>
  <c r="AC848" i="6"/>
  <c r="AB848" i="6"/>
  <c r="AA849" i="6"/>
  <c r="AC849" i="6"/>
  <c r="AB849" i="6"/>
  <c r="AA850" i="6"/>
  <c r="AC850" i="6"/>
  <c r="AB850" i="6"/>
  <c r="AA851" i="6"/>
  <c r="AC851" i="6"/>
  <c r="AB851" i="6"/>
  <c r="AA852" i="6"/>
  <c r="AC852" i="6"/>
  <c r="AB852" i="6"/>
  <c r="AA853" i="6"/>
  <c r="AC853" i="6"/>
  <c r="AB853" i="6"/>
  <c r="AA854" i="6"/>
  <c r="AC854" i="6"/>
  <c r="AB854" i="6"/>
  <c r="AA855" i="6"/>
  <c r="AC855" i="6"/>
  <c r="AB855" i="6"/>
  <c r="AA856" i="6"/>
  <c r="AC856" i="6"/>
  <c r="AB856" i="6"/>
  <c r="AA857" i="6"/>
  <c r="AC857" i="6"/>
  <c r="AB857" i="6"/>
  <c r="AA858" i="6"/>
  <c r="AC858" i="6"/>
  <c r="AB858" i="6"/>
  <c r="AA859" i="6"/>
  <c r="AC859" i="6"/>
  <c r="AB859" i="6"/>
  <c r="AA860" i="6"/>
  <c r="AC860" i="6"/>
  <c r="AB860" i="6"/>
  <c r="AA861" i="6"/>
  <c r="AC861" i="6"/>
  <c r="AB861" i="6"/>
  <c r="AA862" i="6"/>
  <c r="AC862" i="6"/>
  <c r="AB862" i="6"/>
  <c r="AA863" i="6"/>
  <c r="AC863" i="6"/>
  <c r="AB863" i="6"/>
  <c r="AA775" i="6"/>
  <c r="AC775" i="6"/>
  <c r="AB775" i="6"/>
  <c r="AA864" i="6"/>
  <c r="AC864" i="6"/>
  <c r="AB864" i="6"/>
  <c r="Z766" i="6"/>
  <c r="C766" i="6"/>
  <c r="Z767" i="6"/>
  <c r="B767" i="6"/>
  <c r="C767" i="6"/>
  <c r="Z769" i="6"/>
  <c r="C769" i="6"/>
  <c r="Z770" i="6"/>
  <c r="C770" i="6"/>
  <c r="Z772" i="6"/>
  <c r="C772" i="6"/>
  <c r="Z773" i="6"/>
  <c r="C773" i="6"/>
  <c r="X772" i="6"/>
  <c r="X773" i="6"/>
  <c r="X1071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372" i="6"/>
  <c r="X1373" i="6"/>
  <c r="X1374" i="6"/>
  <c r="X1375" i="6"/>
  <c r="X1376" i="6"/>
  <c r="X1377" i="6"/>
  <c r="X1378" i="6"/>
  <c r="X1379" i="6"/>
  <c r="X1380" i="6"/>
  <c r="X1381" i="6"/>
  <c r="X1384" i="6"/>
  <c r="X1385" i="6"/>
  <c r="X1386" i="6"/>
  <c r="X1387" i="6"/>
  <c r="X1388" i="6"/>
  <c r="X1389" i="6"/>
  <c r="X1390" i="6"/>
  <c r="X1391" i="6"/>
  <c r="X1394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AF3" i="7"/>
  <c r="AF2" i="7"/>
  <c r="AI3" i="7"/>
  <c r="AF4" i="7"/>
  <c r="AA1227" i="6"/>
  <c r="AC1227" i="6"/>
  <c r="AB1227" i="6"/>
  <c r="Z1227" i="6"/>
  <c r="W1227" i="6"/>
  <c r="C1227" i="6"/>
  <c r="AA1226" i="6"/>
  <c r="AC1226" i="6"/>
  <c r="AB1226" i="6"/>
  <c r="Z1226" i="6"/>
  <c r="W1226" i="6"/>
  <c r="C1226" i="6"/>
  <c r="Q1" i="8"/>
  <c r="K3" i="8"/>
  <c r="K2" i="8"/>
  <c r="L3" i="8"/>
  <c r="L2" i="8"/>
  <c r="M3" i="8"/>
  <c r="M2" i="8"/>
  <c r="N3" i="8"/>
  <c r="N2" i="8"/>
  <c r="O3" i="8"/>
  <c r="O2" i="8"/>
  <c r="P3" i="8"/>
  <c r="P2" i="8"/>
  <c r="Q3" i="8"/>
  <c r="Q2" i="8"/>
  <c r="R3" i="8"/>
  <c r="R2" i="8"/>
  <c r="S3" i="8"/>
  <c r="S2" i="8"/>
  <c r="T3" i="8"/>
  <c r="T2" i="8"/>
  <c r="U3" i="8"/>
  <c r="U2" i="8"/>
  <c r="V3" i="8"/>
  <c r="V2" i="8"/>
  <c r="W3" i="8"/>
  <c r="W2" i="8"/>
  <c r="AA554" i="6"/>
  <c r="Z554" i="6"/>
  <c r="AB554" i="6"/>
  <c r="C554" i="6"/>
  <c r="AA552" i="6"/>
  <c r="Z552" i="6"/>
  <c r="AB552" i="6"/>
  <c r="C552" i="6"/>
  <c r="C1281" i="6"/>
  <c r="C1307" i="6"/>
  <c r="FY1" i="8"/>
  <c r="GA1" i="8"/>
  <c r="GC1" i="8"/>
  <c r="FX3" i="8"/>
  <c r="FX2" i="8"/>
  <c r="FZ3" i="8"/>
  <c r="GA3" i="8"/>
  <c r="GA2" i="8"/>
  <c r="GB3" i="8"/>
  <c r="GC3" i="8"/>
  <c r="GC2" i="8"/>
  <c r="GD3" i="8"/>
  <c r="GE3" i="8"/>
  <c r="GE2" i="8"/>
  <c r="GE1" i="8"/>
  <c r="C1306" i="6"/>
  <c r="AH3" i="8"/>
  <c r="AH2" i="8"/>
  <c r="AI3" i="8"/>
  <c r="AI2" i="8"/>
  <c r="Y3" i="7"/>
  <c r="Y2" i="7"/>
  <c r="AI4" i="7"/>
  <c r="Z3" i="6"/>
  <c r="Z4" i="6"/>
  <c r="Z6" i="6"/>
  <c r="AB6" i="6"/>
  <c r="Z7" i="6"/>
  <c r="AB7" i="6"/>
  <c r="Z8" i="6"/>
  <c r="AB8" i="6"/>
  <c r="Z9" i="6"/>
  <c r="AB9" i="6"/>
  <c r="Z10" i="6"/>
  <c r="AB10" i="6"/>
  <c r="Z11" i="6"/>
  <c r="AB11" i="6"/>
  <c r="Z12" i="6"/>
  <c r="AB12" i="6"/>
  <c r="Z13" i="6"/>
  <c r="AB13" i="6"/>
  <c r="Z14" i="6"/>
  <c r="AB14" i="6"/>
  <c r="Z15" i="6"/>
  <c r="AB15" i="6"/>
  <c r="Z16" i="6"/>
  <c r="B16" i="6"/>
  <c r="AB16" i="6"/>
  <c r="C14" i="6"/>
  <c r="C12" i="6"/>
  <c r="C11" i="6"/>
  <c r="C10" i="6"/>
  <c r="C8" i="6"/>
  <c r="C7" i="6"/>
  <c r="AA559" i="6"/>
  <c r="AC559" i="6"/>
  <c r="AB559" i="6"/>
  <c r="Z559" i="6"/>
  <c r="X559" i="6"/>
  <c r="W559" i="6"/>
  <c r="C559" i="6"/>
  <c r="Z1" i="8"/>
  <c r="Y3" i="8"/>
  <c r="Y2" i="8"/>
  <c r="AA558" i="6"/>
  <c r="Z558" i="6"/>
  <c r="AB558" i="6"/>
  <c r="X558" i="6"/>
  <c r="W558" i="6"/>
  <c r="C558" i="6"/>
  <c r="X531" i="6"/>
  <c r="O886" i="6"/>
  <c r="X886" i="6"/>
  <c r="O901" i="6"/>
  <c r="X901" i="6"/>
  <c r="O894" i="6"/>
  <c r="X894" i="6"/>
  <c r="X1605" i="6"/>
  <c r="X1604" i="6"/>
  <c r="X1603" i="6"/>
  <c r="X1602" i="6"/>
  <c r="X1601" i="6"/>
  <c r="X1600" i="6"/>
  <c r="X1599" i="6"/>
  <c r="X1598" i="6"/>
  <c r="X1597" i="6"/>
  <c r="X1596" i="6"/>
  <c r="X1595" i="6"/>
  <c r="X1594" i="6"/>
  <c r="X1593" i="6"/>
  <c r="X1592" i="6"/>
  <c r="X1591" i="6"/>
  <c r="X1590" i="6"/>
  <c r="X1589" i="6"/>
  <c r="X1588" i="6"/>
  <c r="X1587" i="6"/>
  <c r="X1586" i="6"/>
  <c r="X1585" i="6"/>
  <c r="X1584" i="6"/>
  <c r="X1583" i="6"/>
  <c r="X1582" i="6"/>
  <c r="X1580" i="6"/>
  <c r="X1579" i="6"/>
  <c r="X1577" i="6"/>
  <c r="X1575" i="6"/>
  <c r="X1574" i="6"/>
  <c r="X1573" i="6"/>
  <c r="X1572" i="6"/>
  <c r="X1571" i="6"/>
  <c r="X1570" i="6"/>
  <c r="X1569" i="6"/>
  <c r="X1568" i="6"/>
  <c r="X1567" i="6"/>
  <c r="X1566" i="6"/>
  <c r="X1565" i="6"/>
  <c r="X1564" i="6"/>
  <c r="X1563" i="6"/>
  <c r="X1562" i="6"/>
  <c r="X1561" i="6"/>
  <c r="X1560" i="6"/>
  <c r="X1559" i="6"/>
  <c r="X1070" i="6"/>
  <c r="X1069" i="6"/>
  <c r="X1068" i="6"/>
  <c r="X1067" i="6"/>
  <c r="X1066" i="6"/>
  <c r="X1065" i="6"/>
  <c r="X1064" i="6"/>
  <c r="X1063" i="6"/>
  <c r="X1059" i="6"/>
  <c r="X1058" i="6"/>
  <c r="X1057" i="6"/>
  <c r="X1056" i="6"/>
  <c r="X1055" i="6"/>
  <c r="X1054" i="6"/>
  <c r="X1053" i="6"/>
  <c r="X1052" i="6"/>
  <c r="X1051" i="6"/>
  <c r="X1050" i="6"/>
  <c r="X1040" i="6"/>
  <c r="X1039" i="6"/>
  <c r="X1038" i="6"/>
  <c r="X1037" i="6"/>
  <c r="X1036" i="6"/>
  <c r="X1035" i="6"/>
  <c r="X1034" i="6"/>
  <c r="X1033" i="6"/>
  <c r="X1032" i="6"/>
  <c r="X1031" i="6"/>
  <c r="X1030" i="6"/>
  <c r="X1029" i="6"/>
  <c r="X1028" i="6"/>
  <c r="X1027" i="6"/>
  <c r="X1026" i="6"/>
  <c r="X1025" i="6"/>
  <c r="X1024" i="6"/>
  <c r="X1023" i="6"/>
  <c r="X1022" i="6"/>
  <c r="X1021" i="6"/>
  <c r="X1020" i="6"/>
  <c r="X1019" i="6"/>
  <c r="X1018" i="6"/>
  <c r="X1017" i="6"/>
  <c r="X1016" i="6"/>
  <c r="X1015" i="6"/>
  <c r="X1014" i="6"/>
  <c r="X1013" i="6"/>
  <c r="X1012" i="6"/>
  <c r="X1011" i="6"/>
  <c r="X1010" i="6"/>
  <c r="X1009" i="6"/>
  <c r="X1008" i="6"/>
  <c r="X1007" i="6"/>
  <c r="X1005" i="6"/>
  <c r="X1004" i="6"/>
  <c r="X1003" i="6"/>
  <c r="X1002" i="6"/>
  <c r="X1001" i="6"/>
  <c r="X1000" i="6"/>
  <c r="X999" i="6"/>
  <c r="X998" i="6"/>
  <c r="X997" i="6"/>
  <c r="X1392" i="6"/>
  <c r="X1393" i="6"/>
  <c r="X864" i="6"/>
  <c r="X775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1382" i="6"/>
  <c r="X817" i="6"/>
  <c r="X816" i="6"/>
  <c r="X815" i="6"/>
  <c r="X814" i="6"/>
  <c r="X79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2" i="6"/>
  <c r="X791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4" i="6"/>
  <c r="X770" i="6"/>
  <c r="X765" i="6"/>
  <c r="X764" i="6"/>
  <c r="X763" i="6"/>
  <c r="X762" i="6"/>
  <c r="X761" i="6"/>
  <c r="X760" i="6"/>
  <c r="X759" i="6"/>
  <c r="X758" i="6"/>
  <c r="X75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1" i="6"/>
  <c r="X700" i="6"/>
  <c r="X699" i="6"/>
  <c r="X698" i="6"/>
  <c r="X697" i="6"/>
  <c r="X696" i="6"/>
  <c r="X695" i="6"/>
  <c r="X694" i="6"/>
  <c r="X693" i="6"/>
  <c r="X1383" i="6"/>
  <c r="X692" i="6"/>
  <c r="X691" i="6"/>
  <c r="X690" i="6"/>
  <c r="X705" i="6"/>
  <c r="X704" i="6"/>
  <c r="X703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702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7" i="6"/>
  <c r="X556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0" i="6"/>
  <c r="X529" i="6"/>
  <c r="X528" i="6"/>
  <c r="X527" i="6"/>
  <c r="X526" i="6"/>
  <c r="X525" i="6"/>
  <c r="X524" i="6"/>
  <c r="X523" i="6"/>
  <c r="X521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1" i="6"/>
  <c r="X500" i="6"/>
  <c r="X499" i="6"/>
  <c r="X498" i="6"/>
  <c r="X486" i="6"/>
  <c r="X485" i="6"/>
  <c r="X484" i="6"/>
  <c r="X483" i="6"/>
  <c r="X482" i="6"/>
  <c r="X481" i="6"/>
  <c r="X480" i="6"/>
  <c r="X479" i="6"/>
  <c r="X477" i="6"/>
  <c r="X474" i="6"/>
  <c r="X473" i="6"/>
  <c r="X472" i="6"/>
  <c r="X471" i="6"/>
  <c r="X470" i="6"/>
  <c r="X468" i="6"/>
  <c r="X467" i="6"/>
  <c r="X465" i="6"/>
  <c r="X459" i="6"/>
  <c r="X458" i="6"/>
  <c r="X457" i="6"/>
  <c r="X456" i="6"/>
  <c r="X455" i="6"/>
  <c r="X453" i="6"/>
  <c r="X451" i="6"/>
  <c r="X450" i="6"/>
  <c r="X449" i="6"/>
  <c r="X448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48" i="6"/>
  <c r="X47" i="6"/>
  <c r="X46" i="6"/>
  <c r="X45" i="6"/>
  <c r="X44" i="6"/>
  <c r="X1581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5" i="6"/>
  <c r="X24" i="6"/>
  <c r="X23" i="6"/>
  <c r="X22" i="6"/>
  <c r="X54" i="6"/>
  <c r="X21" i="6"/>
  <c r="X20" i="6"/>
  <c r="X19" i="6"/>
  <c r="X18" i="6"/>
  <c r="X17" i="6"/>
  <c r="X15" i="6"/>
  <c r="X16" i="6"/>
  <c r="C1011" i="6"/>
  <c r="W1040" i="6"/>
  <c r="W1039" i="6"/>
  <c r="W1038" i="6"/>
  <c r="W1037" i="6"/>
  <c r="W1036" i="6"/>
  <c r="W1035" i="6"/>
  <c r="W1034" i="6"/>
  <c r="W1033" i="6"/>
  <c r="W1032" i="6"/>
  <c r="W1031" i="6"/>
  <c r="W1030" i="6"/>
  <c r="W1027" i="6"/>
  <c r="W1026" i="6"/>
  <c r="C1026" i="6"/>
  <c r="W1025" i="6"/>
  <c r="C1025" i="6"/>
  <c r="W1024" i="6"/>
  <c r="C1024" i="6"/>
  <c r="W1023" i="6"/>
  <c r="C1023" i="6"/>
  <c r="W1022" i="6"/>
  <c r="C1022" i="6"/>
  <c r="W1021" i="6"/>
  <c r="C1021" i="6"/>
  <c r="W1020" i="6"/>
  <c r="C1020" i="6"/>
  <c r="W1019" i="6"/>
  <c r="C1019" i="6"/>
  <c r="W1018" i="6"/>
  <c r="C1018" i="6"/>
  <c r="W1017" i="6"/>
  <c r="C1017" i="6"/>
  <c r="W1016" i="6"/>
  <c r="C1016" i="6"/>
  <c r="W1015" i="6"/>
  <c r="C1015" i="6"/>
  <c r="W1014" i="6"/>
  <c r="C1014" i="6"/>
  <c r="W1013" i="6"/>
  <c r="C1013" i="6"/>
  <c r="W1012" i="6"/>
  <c r="C1012" i="6"/>
  <c r="W1010" i="6"/>
  <c r="C1010" i="6"/>
  <c r="C1009" i="6"/>
  <c r="W1008" i="6"/>
  <c r="C1008" i="6"/>
  <c r="W1007" i="6"/>
  <c r="C1007" i="6"/>
  <c r="Z950" i="6"/>
  <c r="AA950" i="6"/>
  <c r="AC950" i="6"/>
  <c r="AB950" i="6"/>
  <c r="Z954" i="6"/>
  <c r="AA954" i="6"/>
  <c r="AC954" i="6"/>
  <c r="AB954" i="6"/>
  <c r="Z955" i="6"/>
  <c r="AA955" i="6"/>
  <c r="B955" i="6"/>
  <c r="AB955" i="6"/>
  <c r="Z956" i="6"/>
  <c r="AA956" i="6"/>
  <c r="AC956" i="6"/>
  <c r="AB956" i="6"/>
  <c r="Z957" i="6"/>
  <c r="AA957" i="6"/>
  <c r="AC957" i="6"/>
  <c r="AB957" i="6"/>
  <c r="Z958" i="6"/>
  <c r="AA958" i="6"/>
  <c r="AB958" i="6"/>
  <c r="Z959" i="6"/>
  <c r="AA959" i="6"/>
  <c r="AC959" i="6"/>
  <c r="AB959" i="6"/>
  <c r="AA1376" i="6"/>
  <c r="Z1376" i="6"/>
  <c r="C1376" i="6"/>
  <c r="W1376" i="6"/>
  <c r="AB1376" i="6"/>
  <c r="AA1377" i="6"/>
  <c r="AC1377" i="6"/>
  <c r="Z1377" i="6"/>
  <c r="C1377" i="6"/>
  <c r="W1377" i="6"/>
  <c r="AB1377" i="6"/>
  <c r="J3" i="8"/>
  <c r="J2" i="8"/>
  <c r="AA714" i="6"/>
  <c r="AC714" i="6"/>
  <c r="Z714" i="6"/>
  <c r="C714" i="6"/>
  <c r="W714" i="6"/>
  <c r="AB714" i="6"/>
  <c r="X1" i="8"/>
  <c r="AA531" i="6"/>
  <c r="B531" i="6"/>
  <c r="Z531" i="6"/>
  <c r="C531" i="6"/>
  <c r="AB531" i="6"/>
  <c r="AA677" i="6"/>
  <c r="AC677" i="6"/>
  <c r="Z677" i="6"/>
  <c r="C677" i="6"/>
  <c r="W677" i="6"/>
  <c r="AB677" i="6"/>
  <c r="AA678" i="6"/>
  <c r="AC678" i="6"/>
  <c r="Z678" i="6"/>
  <c r="C678" i="6"/>
  <c r="W678" i="6"/>
  <c r="AB678" i="6"/>
  <c r="AA722" i="6"/>
  <c r="Z722" i="6"/>
  <c r="C722" i="6"/>
  <c r="W722" i="6"/>
  <c r="AB722" i="6"/>
  <c r="AA571" i="6"/>
  <c r="AC571" i="6"/>
  <c r="Z571" i="6"/>
  <c r="C571" i="6"/>
  <c r="W571" i="6"/>
  <c r="AB571" i="6"/>
  <c r="AA557" i="6"/>
  <c r="B557" i="6"/>
  <c r="AB557" i="6"/>
  <c r="Z557" i="6"/>
  <c r="W557" i="6"/>
  <c r="C557" i="6"/>
  <c r="AA556" i="6"/>
  <c r="B556" i="6"/>
  <c r="AB556" i="6"/>
  <c r="Z556" i="6"/>
  <c r="W556" i="6"/>
  <c r="C556" i="6"/>
  <c r="R1" i="8"/>
  <c r="FL1" i="8"/>
  <c r="FM1" i="8"/>
  <c r="FO1" i="8"/>
  <c r="FK3" i="8"/>
  <c r="FL3" i="8"/>
  <c r="FN3" i="8"/>
  <c r="FN2" i="8"/>
  <c r="FV3" i="8"/>
  <c r="FW3" i="8"/>
  <c r="FW2" i="8"/>
  <c r="FT3" i="8"/>
  <c r="FU3" i="8"/>
  <c r="FU2" i="8"/>
  <c r="FQ3" i="8"/>
  <c r="FR3" i="8"/>
  <c r="FW1" i="8"/>
  <c r="FU1" i="8"/>
  <c r="FS1" i="8"/>
  <c r="FR1" i="8"/>
  <c r="FP1" i="8"/>
  <c r="AA651" i="6"/>
  <c r="AC651" i="6"/>
  <c r="O651" i="6"/>
  <c r="Z651" i="6"/>
  <c r="C651" i="6"/>
  <c r="AA686" i="6"/>
  <c r="AC686" i="6"/>
  <c r="AB686" i="6"/>
  <c r="Z686" i="6"/>
  <c r="W686" i="6"/>
  <c r="C686" i="6"/>
  <c r="C676" i="6"/>
  <c r="AA676" i="6"/>
  <c r="AC676" i="6"/>
  <c r="Z676" i="6"/>
  <c r="C675" i="6"/>
  <c r="AA675" i="6"/>
  <c r="AC675" i="6"/>
  <c r="Z675" i="6"/>
  <c r="C674" i="6"/>
  <c r="AA674" i="6"/>
  <c r="AC674" i="6"/>
  <c r="Z674" i="6"/>
  <c r="C673" i="6"/>
  <c r="AA673" i="6"/>
  <c r="AC673" i="6"/>
  <c r="Z673" i="6"/>
  <c r="AA672" i="6"/>
  <c r="AC672" i="6"/>
  <c r="Z672" i="6"/>
  <c r="C672" i="6"/>
  <c r="W672" i="6"/>
  <c r="AB672" i="6"/>
  <c r="AA667" i="6"/>
  <c r="AC667" i="6"/>
  <c r="Z667" i="6"/>
  <c r="C667" i="6"/>
  <c r="W667" i="6"/>
  <c r="AB667" i="6"/>
  <c r="AA668" i="6"/>
  <c r="AC668" i="6"/>
  <c r="Z668" i="6"/>
  <c r="C668" i="6"/>
  <c r="W668" i="6"/>
  <c r="AB668" i="6"/>
  <c r="AA669" i="6"/>
  <c r="AC669" i="6"/>
  <c r="Z669" i="6"/>
  <c r="C669" i="6"/>
  <c r="W669" i="6"/>
  <c r="AB669" i="6"/>
  <c r="AA670" i="6"/>
  <c r="Z670" i="6"/>
  <c r="C670" i="6"/>
  <c r="W670" i="6"/>
  <c r="AB670" i="6"/>
  <c r="AA671" i="6"/>
  <c r="AC671" i="6"/>
  <c r="Z671" i="6"/>
  <c r="C671" i="6"/>
  <c r="W671" i="6"/>
  <c r="AB671" i="6"/>
  <c r="AA700" i="6"/>
  <c r="AC700" i="6"/>
  <c r="Z700" i="6"/>
  <c r="C700" i="6"/>
  <c r="AB700" i="6"/>
  <c r="AA701" i="6"/>
  <c r="AC701" i="6"/>
  <c r="Z701" i="6"/>
  <c r="C701" i="6"/>
  <c r="AB701" i="6"/>
  <c r="Z817" i="6"/>
  <c r="C817" i="6"/>
  <c r="C816" i="6"/>
  <c r="Z816" i="6"/>
  <c r="C815" i="6"/>
  <c r="Z815" i="6"/>
  <c r="C814" i="6"/>
  <c r="Z814" i="6"/>
  <c r="C794" i="6"/>
  <c r="Z794" i="6"/>
  <c r="C688" i="6"/>
  <c r="AA688" i="6"/>
  <c r="AC688" i="6"/>
  <c r="Z688" i="6"/>
  <c r="B688" i="6"/>
  <c r="AB688" i="6"/>
  <c r="C1280" i="6"/>
  <c r="C1293" i="6"/>
  <c r="C1292" i="6"/>
  <c r="C1291" i="6"/>
  <c r="C1274" i="6"/>
  <c r="C1273" i="6"/>
  <c r="Z847" i="6"/>
  <c r="C847" i="6"/>
  <c r="C1272" i="6"/>
  <c r="Z863" i="6"/>
  <c r="C863" i="6"/>
  <c r="Z862" i="6"/>
  <c r="C862" i="6"/>
  <c r="Z861" i="6"/>
  <c r="C861" i="6"/>
  <c r="Z845" i="6"/>
  <c r="C845" i="6"/>
  <c r="Z844" i="6"/>
  <c r="C844" i="6"/>
  <c r="C781" i="6"/>
  <c r="Z781" i="6"/>
  <c r="C780" i="6"/>
  <c r="Z780" i="6"/>
  <c r="AO3" i="7"/>
  <c r="AP3" i="7"/>
  <c r="AP2" i="7"/>
  <c r="AQ3" i="7"/>
  <c r="AR3" i="7"/>
  <c r="AR2" i="7"/>
  <c r="AS3" i="7"/>
  <c r="AT3" i="7"/>
  <c r="AT2" i="7"/>
  <c r="AU3" i="7"/>
  <c r="AV3" i="7"/>
  <c r="AV2" i="7"/>
  <c r="AW3" i="7"/>
  <c r="AW2" i="7"/>
  <c r="AX3" i="7"/>
  <c r="AX2" i="7"/>
  <c r="AO4" i="7"/>
  <c r="AP4" i="7"/>
  <c r="AQ4" i="7"/>
  <c r="AR4" i="7"/>
  <c r="AS4" i="7"/>
  <c r="AT4" i="7"/>
  <c r="AU4" i="7"/>
  <c r="AV4" i="7"/>
  <c r="AW4" i="7"/>
  <c r="AX4" i="7"/>
  <c r="Z765" i="6"/>
  <c r="C765" i="6"/>
  <c r="Z764" i="6"/>
  <c r="C764" i="6"/>
  <c r="Z763" i="6"/>
  <c r="B763" i="6"/>
  <c r="C763" i="6"/>
  <c r="Z762" i="6"/>
  <c r="C762" i="6"/>
  <c r="Z761" i="6"/>
  <c r="C761" i="6"/>
  <c r="Z760" i="6"/>
  <c r="C760" i="6"/>
  <c r="Z783" i="6"/>
  <c r="C783" i="6"/>
  <c r="AM3" i="7"/>
  <c r="AM2" i="7"/>
  <c r="AM4" i="7"/>
  <c r="AN4" i="7"/>
  <c r="C786" i="6"/>
  <c r="Z786" i="6"/>
  <c r="B786" i="6"/>
  <c r="Z813" i="6"/>
  <c r="B813" i="6"/>
  <c r="W813" i="6"/>
  <c r="C813" i="6"/>
  <c r="AA525" i="6"/>
  <c r="AB525" i="6"/>
  <c r="AA526" i="6"/>
  <c r="AC526" i="6"/>
  <c r="AB526" i="6"/>
  <c r="AA527" i="6"/>
  <c r="AC527" i="6"/>
  <c r="AB527" i="6"/>
  <c r="AA528" i="6"/>
  <c r="AC528" i="6"/>
  <c r="AB528" i="6"/>
  <c r="AA529" i="6"/>
  <c r="AC529" i="6"/>
  <c r="AB529" i="6"/>
  <c r="AA530" i="6"/>
  <c r="AC530" i="6"/>
  <c r="AB530" i="6"/>
  <c r="AA532" i="6"/>
  <c r="AC532" i="6"/>
  <c r="AB532" i="6"/>
  <c r="AA533" i="6"/>
  <c r="AC533" i="6"/>
  <c r="AB533" i="6"/>
  <c r="AA534" i="6"/>
  <c r="AC534" i="6"/>
  <c r="AB534" i="6"/>
  <c r="AA535" i="6"/>
  <c r="AC535" i="6"/>
  <c r="AB535" i="6"/>
  <c r="AA536" i="6"/>
  <c r="AC536" i="6"/>
  <c r="AB536" i="6"/>
  <c r="AA537" i="6"/>
  <c r="AC537" i="6"/>
  <c r="AB537" i="6"/>
  <c r="AA538" i="6"/>
  <c r="AC538" i="6"/>
  <c r="AB538" i="6"/>
  <c r="AA539" i="6"/>
  <c r="AC539" i="6"/>
  <c r="AB539" i="6"/>
  <c r="AA540" i="6"/>
  <c r="B540" i="6"/>
  <c r="AB540" i="6"/>
  <c r="AA541" i="6"/>
  <c r="B541" i="6"/>
  <c r="AB541" i="6"/>
  <c r="AA542" i="6"/>
  <c r="AC542" i="6"/>
  <c r="AB542" i="6"/>
  <c r="AA543" i="6"/>
  <c r="B543" i="6"/>
  <c r="AB543" i="6"/>
  <c r="AA544" i="6"/>
  <c r="B544" i="6"/>
  <c r="AB544" i="6"/>
  <c r="AA545" i="6"/>
  <c r="AC545" i="6"/>
  <c r="AB545" i="6"/>
  <c r="AA546" i="6"/>
  <c r="B546" i="6"/>
  <c r="AB546" i="6"/>
  <c r="AA547" i="6"/>
  <c r="B547" i="6"/>
  <c r="AB547" i="6"/>
  <c r="AA548" i="6"/>
  <c r="B548" i="6"/>
  <c r="AB548" i="6"/>
  <c r="AA549" i="6"/>
  <c r="B549" i="6"/>
  <c r="AB549" i="6"/>
  <c r="AA550" i="6"/>
  <c r="B550" i="6"/>
  <c r="AB550" i="6"/>
  <c r="AA551" i="6"/>
  <c r="B551" i="6"/>
  <c r="AB551" i="6"/>
  <c r="AA560" i="6"/>
  <c r="AC560" i="6"/>
  <c r="AB560" i="6"/>
  <c r="AA561" i="6"/>
  <c r="AC561" i="6"/>
  <c r="AB561" i="6"/>
  <c r="AA562" i="6"/>
  <c r="AC562" i="6"/>
  <c r="AB562" i="6"/>
  <c r="AA563" i="6"/>
  <c r="AC563" i="6"/>
  <c r="AB563" i="6"/>
  <c r="AA564" i="6"/>
  <c r="B564" i="6"/>
  <c r="AB564" i="6"/>
  <c r="AA565" i="6"/>
  <c r="AC565" i="6"/>
  <c r="AB565" i="6"/>
  <c r="AA566" i="6"/>
  <c r="AC566" i="6"/>
  <c r="AB566" i="6"/>
  <c r="AA567" i="6"/>
  <c r="AC567" i="6"/>
  <c r="AB567" i="6"/>
  <c r="AA568" i="6"/>
  <c r="AC568" i="6"/>
  <c r="AB568" i="6"/>
  <c r="AA569" i="6"/>
  <c r="AC569" i="6"/>
  <c r="AB569" i="6"/>
  <c r="AA570" i="6"/>
  <c r="AB570" i="6"/>
  <c r="AA572" i="6"/>
  <c r="AC572" i="6"/>
  <c r="AB572" i="6"/>
  <c r="AA573" i="6"/>
  <c r="AC573" i="6"/>
  <c r="AB573" i="6"/>
  <c r="AA574" i="6"/>
  <c r="AC574" i="6"/>
  <c r="AB574" i="6"/>
  <c r="AA575" i="6"/>
  <c r="AC575" i="6"/>
  <c r="AB575" i="6"/>
  <c r="AA576" i="6"/>
  <c r="AC576" i="6"/>
  <c r="AB576" i="6"/>
  <c r="AA577" i="6"/>
  <c r="AC577" i="6"/>
  <c r="AB577" i="6"/>
  <c r="AA578" i="6"/>
  <c r="AC578" i="6"/>
  <c r="AB578" i="6"/>
  <c r="AA579" i="6"/>
  <c r="AC579" i="6"/>
  <c r="AB579" i="6"/>
  <c r="AA580" i="6"/>
  <c r="AC580" i="6"/>
  <c r="AB580" i="6"/>
  <c r="AA581" i="6"/>
  <c r="AC581" i="6"/>
  <c r="AB581" i="6"/>
  <c r="AA582" i="6"/>
  <c r="AC582" i="6"/>
  <c r="AB582" i="6"/>
  <c r="AA583" i="6"/>
  <c r="AB583" i="6"/>
  <c r="AA584" i="6"/>
  <c r="AC584" i="6"/>
  <c r="AB584" i="6"/>
  <c r="AA585" i="6"/>
  <c r="AC585" i="6"/>
  <c r="AB585" i="6"/>
  <c r="AA586" i="6"/>
  <c r="AC586" i="6"/>
  <c r="AB586" i="6"/>
  <c r="AA587" i="6"/>
  <c r="AC587" i="6"/>
  <c r="AB587" i="6"/>
  <c r="AA588" i="6"/>
  <c r="B588" i="6"/>
  <c r="AC588" i="6"/>
  <c r="AB588" i="6"/>
  <c r="AA589" i="6"/>
  <c r="AC589" i="6"/>
  <c r="AB589" i="6"/>
  <c r="AA590" i="6"/>
  <c r="AC590" i="6"/>
  <c r="AB590" i="6"/>
  <c r="AA591" i="6"/>
  <c r="AC591" i="6"/>
  <c r="AB591" i="6"/>
  <c r="AA592" i="6"/>
  <c r="AC592" i="6"/>
  <c r="AB592" i="6"/>
  <c r="AA593" i="6"/>
  <c r="AB593" i="6"/>
  <c r="AA594" i="6"/>
  <c r="AC594" i="6"/>
  <c r="AB594" i="6"/>
  <c r="AA595" i="6"/>
  <c r="AC595" i="6"/>
  <c r="AB595" i="6"/>
  <c r="AA596" i="6"/>
  <c r="AC596" i="6"/>
  <c r="AB596" i="6"/>
  <c r="AA597" i="6"/>
  <c r="AC597" i="6"/>
  <c r="AB597" i="6"/>
  <c r="AA598" i="6"/>
  <c r="AC598" i="6"/>
  <c r="AB598" i="6"/>
  <c r="AA599" i="6"/>
  <c r="AC599" i="6"/>
  <c r="AB599" i="6"/>
  <c r="AA600" i="6"/>
  <c r="AC600" i="6"/>
  <c r="AB600" i="6"/>
  <c r="AA601" i="6"/>
  <c r="AC601" i="6"/>
  <c r="AB601" i="6"/>
  <c r="AA602" i="6"/>
  <c r="AC602" i="6"/>
  <c r="AB602" i="6"/>
  <c r="AA603" i="6"/>
  <c r="AC603" i="6"/>
  <c r="AB603" i="6"/>
  <c r="AA604" i="6"/>
  <c r="AC604" i="6"/>
  <c r="AB604" i="6"/>
  <c r="AA605" i="6"/>
  <c r="AC605" i="6"/>
  <c r="AB605" i="6"/>
  <c r="AA606" i="6"/>
  <c r="AC606" i="6"/>
  <c r="AB606" i="6"/>
  <c r="AA607" i="6"/>
  <c r="AC607" i="6"/>
  <c r="AB607" i="6"/>
  <c r="AA608" i="6"/>
  <c r="AC608" i="6"/>
  <c r="AB608" i="6"/>
  <c r="AA609" i="6"/>
  <c r="AC609" i="6"/>
  <c r="AB609" i="6"/>
  <c r="AA610" i="6"/>
  <c r="AC610" i="6"/>
  <c r="AB610" i="6"/>
  <c r="AA611" i="6"/>
  <c r="AC611" i="6"/>
  <c r="AB611" i="6"/>
  <c r="AA612" i="6"/>
  <c r="AC612" i="6"/>
  <c r="AB612" i="6"/>
  <c r="AA613" i="6"/>
  <c r="AC613" i="6"/>
  <c r="AB613" i="6"/>
  <c r="AA614" i="6"/>
  <c r="AC614" i="6"/>
  <c r="AB614" i="6"/>
  <c r="AA615" i="6"/>
  <c r="AC615" i="6"/>
  <c r="AB615" i="6"/>
  <c r="AA616" i="6"/>
  <c r="AC616" i="6"/>
  <c r="AB616" i="6"/>
  <c r="AA617" i="6"/>
  <c r="AC617" i="6"/>
  <c r="AB617" i="6"/>
  <c r="AA618" i="6"/>
  <c r="AC618" i="6"/>
  <c r="AB618" i="6"/>
  <c r="AA619" i="6"/>
  <c r="AB619" i="6"/>
  <c r="AA620" i="6"/>
  <c r="AC620" i="6"/>
  <c r="AB620" i="6"/>
  <c r="AA621" i="6"/>
  <c r="AB621" i="6"/>
  <c r="AA622" i="6"/>
  <c r="AC622" i="6"/>
  <c r="AB622" i="6"/>
  <c r="AA623" i="6"/>
  <c r="AC623" i="6"/>
  <c r="AB623" i="6"/>
  <c r="AA624" i="6"/>
  <c r="AC624" i="6"/>
  <c r="AB624" i="6"/>
  <c r="AA625" i="6"/>
  <c r="AC625" i="6"/>
  <c r="AB625" i="6"/>
  <c r="AA626" i="6"/>
  <c r="AC626" i="6"/>
  <c r="AB626" i="6"/>
  <c r="AA627" i="6"/>
  <c r="AC627" i="6"/>
  <c r="AB627" i="6"/>
  <c r="AA628" i="6"/>
  <c r="AC628" i="6"/>
  <c r="AB628" i="6"/>
  <c r="AA629" i="6"/>
  <c r="AC629" i="6"/>
  <c r="AB629" i="6"/>
  <c r="AA630" i="6"/>
  <c r="AC630" i="6"/>
  <c r="AB630" i="6"/>
  <c r="AA631" i="6"/>
  <c r="AC631" i="6"/>
  <c r="AB631" i="6"/>
  <c r="AA632" i="6"/>
  <c r="AC632" i="6"/>
  <c r="AB632" i="6"/>
  <c r="AA633" i="6"/>
  <c r="AC633" i="6"/>
  <c r="AB633" i="6"/>
  <c r="AA634" i="6"/>
  <c r="AC634" i="6"/>
  <c r="AB634" i="6"/>
  <c r="AA635" i="6"/>
  <c r="AC635" i="6"/>
  <c r="AB635" i="6"/>
  <c r="AA636" i="6"/>
  <c r="AC636" i="6"/>
  <c r="AB636" i="6"/>
  <c r="AA637" i="6"/>
  <c r="AC637" i="6"/>
  <c r="AB637" i="6"/>
  <c r="AA638" i="6"/>
  <c r="AC638" i="6"/>
  <c r="AB638" i="6"/>
  <c r="AA639" i="6"/>
  <c r="AC639" i="6"/>
  <c r="AB639" i="6"/>
  <c r="AA640" i="6"/>
  <c r="AC640" i="6"/>
  <c r="AB640" i="6"/>
  <c r="AA641" i="6"/>
  <c r="AC641" i="6"/>
  <c r="AB641" i="6"/>
  <c r="AA642" i="6"/>
  <c r="AC642" i="6"/>
  <c r="AB642" i="6"/>
  <c r="AA643" i="6"/>
  <c r="AC643" i="6"/>
  <c r="AB643" i="6"/>
  <c r="AA644" i="6"/>
  <c r="AC644" i="6"/>
  <c r="AB644" i="6"/>
  <c r="AA645" i="6"/>
  <c r="AC645" i="6"/>
  <c r="AB645" i="6"/>
  <c r="AA646" i="6"/>
  <c r="AC646" i="6"/>
  <c r="AB646" i="6"/>
  <c r="AA647" i="6"/>
  <c r="AB647" i="6"/>
  <c r="AA648" i="6"/>
  <c r="AC648" i="6"/>
  <c r="AB648" i="6"/>
  <c r="AA649" i="6"/>
  <c r="AB649" i="6"/>
  <c r="AA650" i="6"/>
  <c r="AC650" i="6"/>
  <c r="AB650" i="6"/>
  <c r="AA652" i="6"/>
  <c r="B652" i="6"/>
  <c r="AB652" i="6"/>
  <c r="AA702" i="6"/>
  <c r="AC702" i="6"/>
  <c r="AB702" i="6"/>
  <c r="AA653" i="6"/>
  <c r="AC653" i="6"/>
  <c r="AB653" i="6"/>
  <c r="AA654" i="6"/>
  <c r="AC654" i="6"/>
  <c r="AB654" i="6"/>
  <c r="AA655" i="6"/>
  <c r="AC655" i="6"/>
  <c r="AB655" i="6"/>
  <c r="AA656" i="6"/>
  <c r="AC656" i="6"/>
  <c r="AB656" i="6"/>
  <c r="AA657" i="6"/>
  <c r="AC657" i="6"/>
  <c r="AB657" i="6"/>
  <c r="AA658" i="6"/>
  <c r="AC658" i="6"/>
  <c r="AB658" i="6"/>
  <c r="AA659" i="6"/>
  <c r="AB659" i="6"/>
  <c r="AA660" i="6"/>
  <c r="AC660" i="6"/>
  <c r="AB660" i="6"/>
  <c r="AA661" i="6"/>
  <c r="AC661" i="6"/>
  <c r="AB661" i="6"/>
  <c r="AA662" i="6"/>
  <c r="AC662" i="6"/>
  <c r="AB662" i="6"/>
  <c r="AA663" i="6"/>
  <c r="AC663" i="6"/>
  <c r="AB663" i="6"/>
  <c r="AA664" i="6"/>
  <c r="AC664" i="6"/>
  <c r="AB664" i="6"/>
  <c r="AA665" i="6"/>
  <c r="AC665" i="6"/>
  <c r="AB665" i="6"/>
  <c r="AA666" i="6"/>
  <c r="AC666" i="6"/>
  <c r="AB666" i="6"/>
  <c r="AB673" i="6"/>
  <c r="AB674" i="6"/>
  <c r="AB675" i="6"/>
  <c r="AB676" i="6"/>
  <c r="AA679" i="6"/>
  <c r="AC679" i="6"/>
  <c r="AB679" i="6"/>
  <c r="AA680" i="6"/>
  <c r="AC680" i="6"/>
  <c r="AB680" i="6"/>
  <c r="AA681" i="6"/>
  <c r="AC681" i="6"/>
  <c r="AB681" i="6"/>
  <c r="AA682" i="6"/>
  <c r="AC682" i="6"/>
  <c r="AB682" i="6"/>
  <c r="AA683" i="6"/>
  <c r="AC683" i="6"/>
  <c r="AB683" i="6"/>
  <c r="AA684" i="6"/>
  <c r="AC684" i="6"/>
  <c r="AB684" i="6"/>
  <c r="AA685" i="6"/>
  <c r="AC685" i="6"/>
  <c r="AB685" i="6"/>
  <c r="AA687" i="6"/>
  <c r="AC687" i="6"/>
  <c r="AB687" i="6"/>
  <c r="AA689" i="6"/>
  <c r="AC689" i="6"/>
  <c r="AB689" i="6"/>
  <c r="AA703" i="6"/>
  <c r="AC703" i="6"/>
  <c r="AB703" i="6"/>
  <c r="AA704" i="6"/>
  <c r="AB704" i="6"/>
  <c r="AA705" i="6"/>
  <c r="AC705" i="6"/>
  <c r="AB705" i="6"/>
  <c r="AA690" i="6"/>
  <c r="AC690" i="6"/>
  <c r="AB690" i="6"/>
  <c r="AA691" i="6"/>
  <c r="AC691" i="6"/>
  <c r="AB691" i="6"/>
  <c r="AA692" i="6"/>
  <c r="AC692" i="6"/>
  <c r="AB692" i="6"/>
  <c r="AA1383" i="6"/>
  <c r="AC1383" i="6"/>
  <c r="AB1383" i="6"/>
  <c r="AA693" i="6"/>
  <c r="AC693" i="6"/>
  <c r="AB693" i="6"/>
  <c r="AA694" i="6"/>
  <c r="AC694" i="6"/>
  <c r="AB694" i="6"/>
  <c r="AA695" i="6"/>
  <c r="AC695" i="6"/>
  <c r="AB695" i="6"/>
  <c r="AA696" i="6"/>
  <c r="AC696" i="6"/>
  <c r="AB696" i="6"/>
  <c r="AA697" i="6"/>
  <c r="AC697" i="6"/>
  <c r="AB697" i="6"/>
  <c r="AA698" i="6"/>
  <c r="AC698" i="6"/>
  <c r="AB698" i="6"/>
  <c r="AA699" i="6"/>
  <c r="AC699" i="6"/>
  <c r="AB699" i="6"/>
  <c r="AA706" i="6"/>
  <c r="AC706" i="6"/>
  <c r="AB706" i="6"/>
  <c r="AA707" i="6"/>
  <c r="AC707" i="6"/>
  <c r="AB707" i="6"/>
  <c r="AA708" i="6"/>
  <c r="AC708" i="6"/>
  <c r="AB708" i="6"/>
  <c r="AA709" i="6"/>
  <c r="AC709" i="6"/>
  <c r="AB709" i="6"/>
  <c r="AA710" i="6"/>
  <c r="AC710" i="6"/>
  <c r="AB710" i="6"/>
  <c r="AA711" i="6"/>
  <c r="AC711" i="6"/>
  <c r="AB711" i="6"/>
  <c r="AA712" i="6"/>
  <c r="AC712" i="6"/>
  <c r="AB712" i="6"/>
  <c r="AA713" i="6"/>
  <c r="AC713" i="6"/>
  <c r="AB713" i="6"/>
  <c r="AA715" i="6"/>
  <c r="AC715" i="6"/>
  <c r="AB715" i="6"/>
  <c r="AA716" i="6"/>
  <c r="AC716" i="6"/>
  <c r="AB716" i="6"/>
  <c r="AA717" i="6"/>
  <c r="AC717" i="6"/>
  <c r="AB717" i="6"/>
  <c r="AA718" i="6"/>
  <c r="AC718" i="6"/>
  <c r="AB718" i="6"/>
  <c r="AA719" i="6"/>
  <c r="AC719" i="6"/>
  <c r="AB719" i="6"/>
  <c r="AA720" i="6"/>
  <c r="AC720" i="6"/>
  <c r="AB720" i="6"/>
  <c r="AA721" i="6"/>
  <c r="AC721" i="6"/>
  <c r="AB721" i="6"/>
  <c r="AA723" i="6"/>
  <c r="AC723" i="6"/>
  <c r="AB723" i="6"/>
  <c r="AA724" i="6"/>
  <c r="AC724" i="6"/>
  <c r="AB724" i="6"/>
  <c r="AA725" i="6"/>
  <c r="AC725" i="6"/>
  <c r="AB725" i="6"/>
  <c r="AA726" i="6"/>
  <c r="AC726" i="6"/>
  <c r="AB726" i="6"/>
  <c r="AA727" i="6"/>
  <c r="AC727" i="6"/>
  <c r="AB727" i="6"/>
  <c r="AA728" i="6"/>
  <c r="AB728" i="6"/>
  <c r="AA729" i="6"/>
  <c r="AC729" i="6"/>
  <c r="AB729" i="6"/>
  <c r="AA730" i="6"/>
  <c r="AC730" i="6"/>
  <c r="AB730" i="6"/>
  <c r="AA731" i="6"/>
  <c r="AC731" i="6"/>
  <c r="AB731" i="6"/>
  <c r="AA732" i="6"/>
  <c r="AB732" i="6"/>
  <c r="AA733" i="6"/>
  <c r="AC733" i="6"/>
  <c r="AB733" i="6"/>
  <c r="AA734" i="6"/>
  <c r="AC734" i="6"/>
  <c r="AB734" i="6"/>
  <c r="AA735" i="6"/>
  <c r="AC735" i="6"/>
  <c r="AB735" i="6"/>
  <c r="AA736" i="6"/>
  <c r="AB736" i="6"/>
  <c r="AA737" i="6"/>
  <c r="AC737" i="6"/>
  <c r="AB737" i="6"/>
  <c r="C860" i="6"/>
  <c r="Z860" i="6"/>
  <c r="C859" i="6"/>
  <c r="Z859" i="6"/>
  <c r="C858" i="6"/>
  <c r="Z858" i="6"/>
  <c r="B858" i="6"/>
  <c r="C857" i="6"/>
  <c r="Z857" i="6"/>
  <c r="C856" i="6"/>
  <c r="Z856" i="6"/>
  <c r="C855" i="6"/>
  <c r="Z855" i="6"/>
  <c r="C854" i="6"/>
  <c r="Z854" i="6"/>
  <c r="B854" i="6"/>
  <c r="C853" i="6"/>
  <c r="Z853" i="6"/>
  <c r="C852" i="6"/>
  <c r="Z852" i="6"/>
  <c r="C851" i="6"/>
  <c r="Z851" i="6"/>
  <c r="C850" i="6"/>
  <c r="Z850" i="6"/>
  <c r="C849" i="6"/>
  <c r="Z849" i="6"/>
  <c r="C848" i="6"/>
  <c r="Z848" i="6"/>
  <c r="C846" i="6"/>
  <c r="Z846" i="6"/>
  <c r="B846" i="6"/>
  <c r="C843" i="6"/>
  <c r="Z843" i="6"/>
  <c r="C842" i="6"/>
  <c r="Z842" i="6"/>
  <c r="C841" i="6"/>
  <c r="Z841" i="6"/>
  <c r="C840" i="6"/>
  <c r="Z840" i="6"/>
  <c r="B840" i="6"/>
  <c r="C839" i="6"/>
  <c r="Z839" i="6"/>
  <c r="C838" i="6"/>
  <c r="Z838" i="6"/>
  <c r="C837" i="6"/>
  <c r="Z837" i="6"/>
  <c r="C836" i="6"/>
  <c r="Z836" i="6"/>
  <c r="C835" i="6"/>
  <c r="Z835" i="6"/>
  <c r="C834" i="6"/>
  <c r="Z834" i="6"/>
  <c r="C833" i="6"/>
  <c r="Z833" i="6"/>
  <c r="B833" i="6"/>
  <c r="C832" i="6"/>
  <c r="Z832" i="6"/>
  <c r="C831" i="6"/>
  <c r="Z831" i="6"/>
  <c r="B831" i="6"/>
  <c r="C830" i="6"/>
  <c r="Z830" i="6"/>
  <c r="C829" i="6"/>
  <c r="Z829" i="6"/>
  <c r="B829" i="6"/>
  <c r="C828" i="6"/>
  <c r="Z828" i="6"/>
  <c r="C827" i="6"/>
  <c r="Z827" i="6"/>
  <c r="C826" i="6"/>
  <c r="Z826" i="6"/>
  <c r="C825" i="6"/>
  <c r="Z825" i="6"/>
  <c r="C824" i="6"/>
  <c r="Z824" i="6"/>
  <c r="C823" i="6"/>
  <c r="Z823" i="6"/>
  <c r="C822" i="6"/>
  <c r="Z822" i="6"/>
  <c r="B822" i="6"/>
  <c r="C821" i="6"/>
  <c r="Z821" i="6"/>
  <c r="C820" i="6"/>
  <c r="Z820" i="6"/>
  <c r="C819" i="6"/>
  <c r="Z819" i="6"/>
  <c r="B819" i="6"/>
  <c r="C818" i="6"/>
  <c r="Z818" i="6"/>
  <c r="B818" i="6"/>
  <c r="C1382" i="6"/>
  <c r="Z1382" i="6"/>
  <c r="C812" i="6"/>
  <c r="Z812" i="6"/>
  <c r="C811" i="6"/>
  <c r="Z811" i="6"/>
  <c r="C810" i="6"/>
  <c r="Z810" i="6"/>
  <c r="C809" i="6"/>
  <c r="Z809" i="6"/>
  <c r="B809" i="6"/>
  <c r="C808" i="6"/>
  <c r="Z808" i="6"/>
  <c r="C807" i="6"/>
  <c r="Z807" i="6"/>
  <c r="B807" i="6"/>
  <c r="C806" i="6"/>
  <c r="Z806" i="6"/>
  <c r="C805" i="6"/>
  <c r="Z805" i="6"/>
  <c r="B805" i="6"/>
  <c r="C804" i="6"/>
  <c r="Z804" i="6"/>
  <c r="C803" i="6"/>
  <c r="Z803" i="6"/>
  <c r="C802" i="6"/>
  <c r="Z802" i="6"/>
  <c r="C801" i="6"/>
  <c r="Z801" i="6"/>
  <c r="C800" i="6"/>
  <c r="Z800" i="6"/>
  <c r="C799" i="6"/>
  <c r="Z799" i="6"/>
  <c r="C798" i="6"/>
  <c r="Z798" i="6"/>
  <c r="C797" i="6"/>
  <c r="Z797" i="6"/>
  <c r="C796" i="6"/>
  <c r="Z796" i="6"/>
  <c r="B796" i="6"/>
  <c r="C795" i="6"/>
  <c r="Z795" i="6"/>
  <c r="C792" i="6"/>
  <c r="Z792" i="6"/>
  <c r="C791" i="6"/>
  <c r="Z791" i="6"/>
  <c r="C784" i="6"/>
  <c r="Z784" i="6"/>
  <c r="B784" i="6"/>
  <c r="C789" i="6"/>
  <c r="Z789" i="6"/>
  <c r="C788" i="6"/>
  <c r="Z788" i="6"/>
  <c r="C787" i="6"/>
  <c r="Z787" i="6"/>
  <c r="C785" i="6"/>
  <c r="Z785" i="6"/>
  <c r="C779" i="6"/>
  <c r="Z779" i="6"/>
  <c r="C778" i="6"/>
  <c r="Z778" i="6"/>
  <c r="C777" i="6"/>
  <c r="Z777" i="6"/>
  <c r="B777" i="6"/>
  <c r="C776" i="6"/>
  <c r="Z776" i="6"/>
  <c r="C774" i="6"/>
  <c r="Z774" i="6"/>
  <c r="C759" i="6"/>
  <c r="Z759" i="6"/>
  <c r="B759" i="6"/>
  <c r="C758" i="6"/>
  <c r="Z758" i="6"/>
  <c r="B758" i="6"/>
  <c r="C757" i="6"/>
  <c r="Z757" i="6"/>
  <c r="C755" i="6"/>
  <c r="Z755" i="6"/>
  <c r="C754" i="6"/>
  <c r="Z754" i="6"/>
  <c r="B754" i="6"/>
  <c r="C753" i="6"/>
  <c r="Z753" i="6"/>
  <c r="C752" i="6"/>
  <c r="Z752" i="6"/>
  <c r="C751" i="6"/>
  <c r="Z751" i="6"/>
  <c r="C749" i="6"/>
  <c r="Z749" i="6"/>
  <c r="B749" i="6"/>
  <c r="C748" i="6"/>
  <c r="Z748" i="6"/>
  <c r="C747" i="6"/>
  <c r="Z747" i="6"/>
  <c r="C746" i="6"/>
  <c r="Z746" i="6"/>
  <c r="C745" i="6"/>
  <c r="Z745" i="6"/>
  <c r="C744" i="6"/>
  <c r="Z744" i="6"/>
  <c r="C743" i="6"/>
  <c r="Z743" i="6"/>
  <c r="C742" i="6"/>
  <c r="Z742" i="6"/>
  <c r="C741" i="6"/>
  <c r="Z741" i="6"/>
  <c r="C782" i="6"/>
  <c r="Z782" i="6"/>
  <c r="C740" i="6"/>
  <c r="Z740" i="6"/>
  <c r="C739" i="6"/>
  <c r="Z739" i="6"/>
  <c r="B739" i="6"/>
  <c r="C738" i="6"/>
  <c r="Z738" i="6"/>
  <c r="C737" i="6"/>
  <c r="Z737" i="6"/>
  <c r="C736" i="6"/>
  <c r="Z736" i="6"/>
  <c r="C735" i="6"/>
  <c r="Z735" i="6"/>
  <c r="B735" i="6"/>
  <c r="C734" i="6"/>
  <c r="Z734" i="6"/>
  <c r="C733" i="6"/>
  <c r="Z733" i="6"/>
  <c r="C732" i="6"/>
  <c r="Z732" i="6"/>
  <c r="C731" i="6"/>
  <c r="Z731" i="6"/>
  <c r="Z775" i="6"/>
  <c r="W775" i="6"/>
  <c r="C775" i="6"/>
  <c r="C699" i="6"/>
  <c r="Z699" i="6"/>
  <c r="C698" i="6"/>
  <c r="Z698" i="6"/>
  <c r="C697" i="6"/>
  <c r="Z697" i="6"/>
  <c r="C656" i="6"/>
  <c r="Z656" i="6"/>
  <c r="C654" i="6"/>
  <c r="Z654" i="6"/>
  <c r="C653" i="6"/>
  <c r="Z653" i="6"/>
  <c r="Z730" i="6"/>
  <c r="W730" i="6"/>
  <c r="C730" i="6"/>
  <c r="Z723" i="6"/>
  <c r="W723" i="6"/>
  <c r="C723" i="6"/>
  <c r="Z574" i="6"/>
  <c r="W574" i="6"/>
  <c r="C574" i="6"/>
  <c r="Z573" i="6"/>
  <c r="W573" i="6"/>
  <c r="C573" i="6"/>
  <c r="Z721" i="6"/>
  <c r="W721" i="6"/>
  <c r="C721" i="6"/>
  <c r="AZ3" i="7"/>
  <c r="AZ2" i="7"/>
  <c r="AZ4" i="7"/>
  <c r="Z3" i="7"/>
  <c r="Z2" i="7"/>
  <c r="AA3" i="7"/>
  <c r="AA2" i="7"/>
  <c r="AB3" i="7"/>
  <c r="AB2" i="7"/>
  <c r="AC3" i="7"/>
  <c r="AC2" i="7"/>
  <c r="AD3" i="7"/>
  <c r="AD2" i="7"/>
  <c r="AE3" i="7"/>
  <c r="AE2" i="7"/>
  <c r="Z4" i="7"/>
  <c r="AA4" i="7"/>
  <c r="AB4" i="7"/>
  <c r="AC4" i="7"/>
  <c r="AD4" i="7"/>
  <c r="AE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AY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AA1597" i="6"/>
  <c r="Z1597" i="6"/>
  <c r="B1597" i="6"/>
  <c r="C1597" i="6"/>
  <c r="AB1597" i="6"/>
  <c r="AA1574" i="6"/>
  <c r="B1574" i="6"/>
  <c r="C1574" i="6"/>
  <c r="Z1574" i="6"/>
  <c r="GG1" i="8"/>
  <c r="GH1" i="8"/>
  <c r="GF3" i="8"/>
  <c r="GG3" i="8"/>
  <c r="GG2" i="8"/>
  <c r="GH3" i="8"/>
  <c r="GH2" i="8"/>
  <c r="DT1" i="8"/>
  <c r="DV1" i="8"/>
  <c r="DX1" i="8"/>
  <c r="DZ1" i="8"/>
  <c r="DS3" i="8"/>
  <c r="DT3" i="8"/>
  <c r="DT2" i="8"/>
  <c r="DU3" i="8"/>
  <c r="DV3" i="8"/>
  <c r="DV2" i="8"/>
  <c r="DW3" i="8"/>
  <c r="DX3" i="8"/>
  <c r="DX2" i="8"/>
  <c r="DY3" i="8"/>
  <c r="DZ3" i="8"/>
  <c r="DZ2" i="8"/>
  <c r="BZ1" i="8"/>
  <c r="CB1" i="8"/>
  <c r="CD1" i="8"/>
  <c r="CF1" i="8"/>
  <c r="CH1" i="8"/>
  <c r="CL1" i="8"/>
  <c r="CO1" i="8"/>
  <c r="DL1" i="8"/>
  <c r="DN1" i="8"/>
  <c r="DR1" i="8"/>
  <c r="BY3" i="8"/>
  <c r="BY2" i="8"/>
  <c r="CA3" i="8"/>
  <c r="CB3" i="8"/>
  <c r="CB2" i="8"/>
  <c r="CC3" i="8"/>
  <c r="CD3" i="8"/>
  <c r="CD2" i="8"/>
  <c r="CE3" i="8"/>
  <c r="CF3" i="8"/>
  <c r="CF2" i="8"/>
  <c r="CG3" i="8"/>
  <c r="CH3" i="8"/>
  <c r="CH2" i="8"/>
  <c r="CI3" i="8"/>
  <c r="CI2" i="8"/>
  <c r="CJ3" i="8"/>
  <c r="CJ2" i="8"/>
  <c r="CK3" i="8"/>
  <c r="CK2" i="8"/>
  <c r="CL3" i="8"/>
  <c r="CL2" i="8"/>
  <c r="CM3" i="8"/>
  <c r="CM2" i="8"/>
  <c r="CN3" i="8"/>
  <c r="CN2" i="8"/>
  <c r="CO3" i="8"/>
  <c r="CO2" i="8"/>
  <c r="CP3" i="8"/>
  <c r="CP2" i="8"/>
  <c r="CQ3" i="8"/>
  <c r="CQ2" i="8"/>
  <c r="CR3" i="8"/>
  <c r="CR2" i="8"/>
  <c r="CS3" i="8"/>
  <c r="CS2" i="8"/>
  <c r="CT3" i="8"/>
  <c r="CT2" i="8"/>
  <c r="CU3" i="8"/>
  <c r="CU2" i="8"/>
  <c r="CV3" i="8"/>
  <c r="CV2" i="8"/>
  <c r="CW3" i="8"/>
  <c r="CW2" i="8"/>
  <c r="CX3" i="8"/>
  <c r="CX2" i="8"/>
  <c r="CY3" i="8"/>
  <c r="CY2" i="8"/>
  <c r="CZ3" i="8"/>
  <c r="CZ2" i="8"/>
  <c r="DA3" i="8"/>
  <c r="DA2" i="8"/>
  <c r="DG3" i="8"/>
  <c r="DG2" i="8"/>
  <c r="DH3" i="8"/>
  <c r="DH2" i="8"/>
  <c r="DI3" i="8"/>
  <c r="DI2" i="8"/>
  <c r="DJ3" i="8"/>
  <c r="DJ2" i="8"/>
  <c r="DK3" i="8"/>
  <c r="DK2" i="8"/>
  <c r="DL3" i="8"/>
  <c r="DL2" i="8"/>
  <c r="DM3" i="8"/>
  <c r="DM2" i="8"/>
  <c r="DN3" i="8"/>
  <c r="DN2" i="8"/>
  <c r="DO3" i="8"/>
  <c r="DO2" i="8"/>
  <c r="DP3" i="8"/>
  <c r="DP2" i="8"/>
  <c r="DQ3" i="8"/>
  <c r="DR3" i="8"/>
  <c r="DR2" i="8"/>
  <c r="AL1" i="8"/>
  <c r="BD1" i="8"/>
  <c r="BF1" i="8"/>
  <c r="BH1" i="8"/>
  <c r="BJ1" i="8"/>
  <c r="BL1" i="8"/>
  <c r="BN1" i="8"/>
  <c r="BP1" i="8"/>
  <c r="BV1" i="8"/>
  <c r="BX1" i="8"/>
  <c r="GI1" i="8"/>
  <c r="GL1" i="8"/>
  <c r="GN1" i="8"/>
  <c r="AG3" i="8"/>
  <c r="AG2" i="8"/>
  <c r="AJ3" i="8"/>
  <c r="AJ2" i="8"/>
  <c r="AK3" i="8"/>
  <c r="AL3" i="8"/>
  <c r="AL2" i="8"/>
  <c r="BC3" i="8"/>
  <c r="BD3" i="8"/>
  <c r="BD2" i="8"/>
  <c r="BE3" i="8"/>
  <c r="BF3" i="8"/>
  <c r="BF2" i="8"/>
  <c r="BG3" i="8"/>
  <c r="BH3" i="8"/>
  <c r="BH2" i="8"/>
  <c r="BI3" i="8"/>
  <c r="BJ3" i="8"/>
  <c r="BJ2" i="8"/>
  <c r="BK3" i="8"/>
  <c r="BL3" i="8"/>
  <c r="BL2" i="8"/>
  <c r="BM3" i="8"/>
  <c r="BN3" i="8"/>
  <c r="BN2" i="8"/>
  <c r="BO3" i="8"/>
  <c r="BP3" i="8"/>
  <c r="BP2" i="8"/>
  <c r="BQ3" i="8"/>
  <c r="BQ2" i="8"/>
  <c r="BR3" i="8"/>
  <c r="BR2" i="8"/>
  <c r="BS3" i="8"/>
  <c r="BS2" i="8"/>
  <c r="BT3" i="8"/>
  <c r="BT2" i="8"/>
  <c r="BU3" i="8"/>
  <c r="BV3" i="8"/>
  <c r="BV2" i="8"/>
  <c r="BW3" i="8"/>
  <c r="BX3" i="8"/>
  <c r="BX2" i="8"/>
  <c r="GJ3" i="8"/>
  <c r="GJ2" i="8"/>
  <c r="GK3" i="8"/>
  <c r="GL3" i="8"/>
  <c r="GL2" i="8"/>
  <c r="GM3" i="8"/>
  <c r="GN3" i="8"/>
  <c r="GN2" i="8"/>
  <c r="W1592" i="6"/>
  <c r="W1591" i="6"/>
  <c r="W1590" i="6"/>
  <c r="W1589" i="6"/>
  <c r="W1588" i="6"/>
  <c r="W1586" i="6"/>
  <c r="W1585" i="6"/>
  <c r="W1584" i="6"/>
  <c r="W1583" i="6"/>
  <c r="W1582" i="6"/>
  <c r="W1580" i="6"/>
  <c r="W1579" i="6"/>
  <c r="W1577" i="6"/>
  <c r="W1573" i="6"/>
  <c r="W1572" i="6"/>
  <c r="W1561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7" i="6"/>
  <c r="W1395" i="6"/>
  <c r="W1394" i="6"/>
  <c r="W1391" i="6"/>
  <c r="W1390" i="6"/>
  <c r="W1389" i="6"/>
  <c r="W1388" i="6"/>
  <c r="W1387" i="6"/>
  <c r="W1386" i="6"/>
  <c r="W1385" i="6"/>
  <c r="W1384" i="6"/>
  <c r="W1381" i="6"/>
  <c r="W1380" i="6"/>
  <c r="W1379" i="6"/>
  <c r="W1378" i="6"/>
  <c r="W1375" i="6"/>
  <c r="W1374" i="6"/>
  <c r="W1373" i="6"/>
  <c r="W1372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71" i="6"/>
  <c r="W1050" i="6"/>
  <c r="W1005" i="6"/>
  <c r="W1004" i="6"/>
  <c r="W1003" i="6"/>
  <c r="W1002" i="6"/>
  <c r="W1001" i="6"/>
  <c r="W1000" i="6"/>
  <c r="W999" i="6"/>
  <c r="W998" i="6"/>
  <c r="W997" i="6"/>
  <c r="W950" i="6"/>
  <c r="W949" i="6"/>
  <c r="W948" i="6"/>
  <c r="W947" i="6"/>
  <c r="W1392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1393" i="6"/>
  <c r="W913" i="6"/>
  <c r="W912" i="6"/>
  <c r="W911" i="6"/>
  <c r="W910" i="6"/>
  <c r="W909" i="6"/>
  <c r="W908" i="6"/>
  <c r="W907" i="6"/>
  <c r="W906" i="6"/>
  <c r="W905" i="6"/>
  <c r="W903" i="6"/>
  <c r="W902" i="6"/>
  <c r="W900" i="6"/>
  <c r="W899" i="6"/>
  <c r="W898" i="6"/>
  <c r="W895" i="6"/>
  <c r="W894" i="6"/>
  <c r="W893" i="6"/>
  <c r="W892" i="6"/>
  <c r="W891" i="6"/>
  <c r="W890" i="6"/>
  <c r="W887" i="6"/>
  <c r="W886" i="6"/>
  <c r="W885" i="6"/>
  <c r="W884" i="6"/>
  <c r="W883" i="6"/>
  <c r="W881" i="6"/>
  <c r="W971" i="6"/>
  <c r="W969" i="6"/>
  <c r="W968" i="6"/>
  <c r="W967" i="6"/>
  <c r="W966" i="6"/>
  <c r="W965" i="6"/>
  <c r="W964" i="6"/>
  <c r="W963" i="6"/>
  <c r="W962" i="6"/>
  <c r="W953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729" i="6"/>
  <c r="W728" i="6"/>
  <c r="W727" i="6"/>
  <c r="W726" i="6"/>
  <c r="W725" i="6"/>
  <c r="W510" i="6"/>
  <c r="W724" i="6"/>
  <c r="W720" i="6"/>
  <c r="W719" i="6"/>
  <c r="W718" i="6"/>
  <c r="W717" i="6"/>
  <c r="W716" i="6"/>
  <c r="W715" i="6"/>
  <c r="W713" i="6"/>
  <c r="W712" i="6"/>
  <c r="W711" i="6"/>
  <c r="W710" i="6"/>
  <c r="W709" i="6"/>
  <c r="W708" i="6"/>
  <c r="W707" i="6"/>
  <c r="W706" i="6"/>
  <c r="W696" i="6"/>
  <c r="W695" i="6"/>
  <c r="W694" i="6"/>
  <c r="W693" i="6"/>
  <c r="W1383" i="6"/>
  <c r="W692" i="6"/>
  <c r="W691" i="6"/>
  <c r="W690" i="6"/>
  <c r="W705" i="6"/>
  <c r="W704" i="6"/>
  <c r="W703" i="6"/>
  <c r="W689" i="6"/>
  <c r="W685" i="6"/>
  <c r="W684" i="6"/>
  <c r="W683" i="6"/>
  <c r="W682" i="6"/>
  <c r="W681" i="6"/>
  <c r="W680" i="6"/>
  <c r="W679" i="6"/>
  <c r="W676" i="6"/>
  <c r="W675" i="6"/>
  <c r="W674" i="6"/>
  <c r="W673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702" i="6"/>
  <c r="W652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2" i="6"/>
  <c r="W570" i="6"/>
  <c r="W569" i="6"/>
  <c r="W568" i="6"/>
  <c r="W567" i="6"/>
  <c r="W566" i="6"/>
  <c r="W565" i="6"/>
  <c r="W564" i="6"/>
  <c r="W563" i="6"/>
  <c r="W562" i="6"/>
  <c r="W561" i="6"/>
  <c r="W560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0" i="6"/>
  <c r="W529" i="6"/>
  <c r="W528" i="6"/>
  <c r="W527" i="6"/>
  <c r="W526" i="6"/>
  <c r="W525" i="6"/>
  <c r="W524" i="6"/>
  <c r="W523" i="6"/>
  <c r="W521" i="6"/>
  <c r="W519" i="6"/>
  <c r="W518" i="6"/>
  <c r="W517" i="6"/>
  <c r="W516" i="6"/>
  <c r="W515" i="6"/>
  <c r="W514" i="6"/>
  <c r="W513" i="6"/>
  <c r="W512" i="6"/>
  <c r="W511" i="6"/>
  <c r="W509" i="6"/>
  <c r="W508" i="6"/>
  <c r="W507" i="6"/>
  <c r="W506" i="6"/>
  <c r="W505" i="6"/>
  <c r="W504" i="6"/>
  <c r="W501" i="6"/>
  <c r="W500" i="6"/>
  <c r="W499" i="6"/>
  <c r="W498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48" i="6"/>
  <c r="W47" i="6"/>
  <c r="W46" i="6"/>
  <c r="W45" i="6"/>
  <c r="W44" i="6"/>
  <c r="W1581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5" i="6"/>
  <c r="W24" i="6"/>
  <c r="W23" i="6"/>
  <c r="W22" i="6"/>
  <c r="W54" i="6"/>
  <c r="W21" i="6"/>
  <c r="W20" i="6"/>
  <c r="W19" i="6"/>
  <c r="W18" i="6"/>
  <c r="W17" i="6"/>
  <c r="W16" i="6"/>
  <c r="W15" i="6"/>
  <c r="W6" i="6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N449" i="17"/>
  <c r="L449" i="17"/>
  <c r="J449" i="17"/>
  <c r="I449" i="17"/>
  <c r="H449" i="17"/>
  <c r="G449" i="17"/>
  <c r="F449" i="17"/>
  <c r="E449" i="17"/>
  <c r="D449" i="17"/>
  <c r="B449" i="17"/>
  <c r="A448" i="17"/>
  <c r="Y448" i="17"/>
  <c r="X448" i="17"/>
  <c r="W448" i="17"/>
  <c r="V448" i="17"/>
  <c r="U448" i="17"/>
  <c r="T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7" i="17"/>
  <c r="Y447" i="17"/>
  <c r="X447" i="17"/>
  <c r="W447" i="17"/>
  <c r="V447" i="17"/>
  <c r="U447" i="17"/>
  <c r="T447" i="17"/>
  <c r="S447" i="17"/>
  <c r="R447" i="17"/>
  <c r="Q447" i="17"/>
  <c r="N447" i="17"/>
  <c r="L447" i="17"/>
  <c r="J447" i="17"/>
  <c r="I447" i="17"/>
  <c r="H447" i="17"/>
  <c r="G447" i="17"/>
  <c r="F447" i="17"/>
  <c r="E447" i="17"/>
  <c r="D447" i="17"/>
  <c r="A446" i="17"/>
  <c r="Y446" i="17"/>
  <c r="X446" i="17"/>
  <c r="W446" i="17"/>
  <c r="V446" i="17"/>
  <c r="T446" i="17"/>
  <c r="S446" i="17"/>
  <c r="R446" i="17"/>
  <c r="Q446" i="17"/>
  <c r="N446" i="17"/>
  <c r="L446" i="17"/>
  <c r="J446" i="17"/>
  <c r="I446" i="17"/>
  <c r="H446" i="17"/>
  <c r="G446" i="17"/>
  <c r="F446" i="17"/>
  <c r="E446" i="17"/>
  <c r="D446" i="17"/>
  <c r="B446" i="17"/>
  <c r="A445" i="17"/>
  <c r="Y445" i="17"/>
  <c r="X445" i="17"/>
  <c r="W445" i="17"/>
  <c r="V445" i="17"/>
  <c r="U445" i="17"/>
  <c r="S445" i="17"/>
  <c r="R445" i="17"/>
  <c r="Q445" i="17"/>
  <c r="N445" i="17"/>
  <c r="L445" i="17"/>
  <c r="J445" i="17"/>
  <c r="I445" i="17"/>
  <c r="H445" i="17"/>
  <c r="G445" i="17"/>
  <c r="F445" i="17"/>
  <c r="E445" i="17"/>
  <c r="D445" i="17"/>
  <c r="A444" i="17"/>
  <c r="Y444" i="17"/>
  <c r="X444" i="17"/>
  <c r="W444" i="17"/>
  <c r="U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3" i="17"/>
  <c r="X443" i="17"/>
  <c r="W443" i="17"/>
  <c r="T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B443" i="17"/>
  <c r="A442" i="17"/>
  <c r="Y442" i="17"/>
  <c r="X442" i="17"/>
  <c r="W442" i="17"/>
  <c r="V442" i="17"/>
  <c r="T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B442" i="17"/>
  <c r="A441" i="17"/>
  <c r="X441" i="17"/>
  <c r="W441" i="17"/>
  <c r="U441" i="17"/>
  <c r="T441" i="17"/>
  <c r="S441" i="17"/>
  <c r="R441" i="17"/>
  <c r="Q441" i="17"/>
  <c r="P441" i="17"/>
  <c r="O441" i="17"/>
  <c r="N441" i="17"/>
  <c r="L441" i="17"/>
  <c r="K441" i="17"/>
  <c r="J441" i="17"/>
  <c r="I441" i="17"/>
  <c r="H441" i="17"/>
  <c r="G441" i="17"/>
  <c r="F441" i="17"/>
  <c r="E441" i="17"/>
  <c r="D441" i="17"/>
  <c r="B441" i="17"/>
  <c r="A440" i="17"/>
  <c r="X440" i="17"/>
  <c r="W440" i="17"/>
  <c r="V440" i="17"/>
  <c r="S440" i="17"/>
  <c r="R440" i="17"/>
  <c r="Q440" i="17"/>
  <c r="P440" i="17"/>
  <c r="O440" i="17"/>
  <c r="N440" i="17"/>
  <c r="L440" i="17"/>
  <c r="J440" i="17"/>
  <c r="I440" i="17"/>
  <c r="H440" i="17"/>
  <c r="G440" i="17"/>
  <c r="F440" i="17"/>
  <c r="E440" i="17"/>
  <c r="D440" i="17"/>
  <c r="A439" i="17"/>
  <c r="Y439" i="17"/>
  <c r="X439" i="17"/>
  <c r="W439" i="17"/>
  <c r="V439" i="17"/>
  <c r="U439" i="17"/>
  <c r="S439" i="17"/>
  <c r="R439" i="17"/>
  <c r="Q439" i="17"/>
  <c r="P439" i="17"/>
  <c r="O439" i="17"/>
  <c r="N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X438" i="17"/>
  <c r="W438" i="17"/>
  <c r="T438" i="17"/>
  <c r="S438" i="17"/>
  <c r="R438" i="17"/>
  <c r="Q438" i="17"/>
  <c r="O438" i="17"/>
  <c r="N438" i="17"/>
  <c r="L438" i="17"/>
  <c r="K438" i="17"/>
  <c r="J438" i="17"/>
  <c r="I438" i="17"/>
  <c r="H438" i="17"/>
  <c r="G438" i="17"/>
  <c r="F438" i="17"/>
  <c r="E438" i="17"/>
  <c r="D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U436" i="17"/>
  <c r="T436" i="17"/>
  <c r="S436" i="17"/>
  <c r="R436" i="17"/>
  <c r="Q436" i="17"/>
  <c r="P436" i="17"/>
  <c r="O436" i="17"/>
  <c r="N436" i="17"/>
  <c r="L436" i="17"/>
  <c r="K436" i="17"/>
  <c r="J436" i="17"/>
  <c r="I436" i="17"/>
  <c r="H436" i="17"/>
  <c r="G436" i="17"/>
  <c r="F436" i="17"/>
  <c r="E436" i="17"/>
  <c r="D436" i="17"/>
  <c r="B436" i="17"/>
  <c r="A435" i="17"/>
  <c r="M435" i="17"/>
  <c r="X435" i="17"/>
  <c r="W435" i="17"/>
  <c r="V435" i="17"/>
  <c r="S435" i="17"/>
  <c r="R435" i="17"/>
  <c r="Q435" i="17"/>
  <c r="N435" i="17"/>
  <c r="L435" i="17"/>
  <c r="J435" i="17"/>
  <c r="I435" i="17"/>
  <c r="H435" i="17"/>
  <c r="G435" i="17"/>
  <c r="F435" i="17"/>
  <c r="E435" i="17"/>
  <c r="D435" i="17"/>
  <c r="A434" i="17"/>
  <c r="X434" i="17"/>
  <c r="W434" i="17"/>
  <c r="U434" i="17"/>
  <c r="T434" i="17"/>
  <c r="S434" i="17"/>
  <c r="R434" i="17"/>
  <c r="Q434" i="17"/>
  <c r="O434" i="17"/>
  <c r="N434" i="17"/>
  <c r="L434" i="17"/>
  <c r="J434" i="17"/>
  <c r="I434" i="17"/>
  <c r="H434" i="17"/>
  <c r="G434" i="17"/>
  <c r="F434" i="17"/>
  <c r="E434" i="17"/>
  <c r="D434" i="17"/>
  <c r="A433" i="17"/>
  <c r="Y433" i="17"/>
  <c r="X433" i="17"/>
  <c r="W433" i="17"/>
  <c r="V433" i="17"/>
  <c r="U433" i="17"/>
  <c r="S433" i="17"/>
  <c r="R433" i="17"/>
  <c r="Q433" i="17"/>
  <c r="O433" i="17"/>
  <c r="N433" i="17"/>
  <c r="L433" i="17"/>
  <c r="J433" i="17"/>
  <c r="I433" i="17"/>
  <c r="H433" i="17"/>
  <c r="G433" i="17"/>
  <c r="F433" i="17"/>
  <c r="E433" i="17"/>
  <c r="D433" i="17"/>
  <c r="C433" i="17"/>
  <c r="B433" i="17"/>
  <c r="A432" i="17"/>
  <c r="X432" i="17"/>
  <c r="W432" i="17"/>
  <c r="T432" i="17"/>
  <c r="S432" i="17"/>
  <c r="R432" i="17"/>
  <c r="Q432" i="17"/>
  <c r="N432" i="17"/>
  <c r="L432" i="17"/>
  <c r="J432" i="17"/>
  <c r="I432" i="17"/>
  <c r="H432" i="17"/>
  <c r="G432" i="17"/>
  <c r="F432" i="17"/>
  <c r="E432" i="17"/>
  <c r="D432" i="17"/>
  <c r="A431" i="17"/>
  <c r="Y431" i="17"/>
  <c r="X431" i="17"/>
  <c r="W431" i="17"/>
  <c r="U431" i="17"/>
  <c r="T431" i="17"/>
  <c r="S431" i="17"/>
  <c r="R431" i="17"/>
  <c r="Q431" i="17"/>
  <c r="N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B430" i="17"/>
  <c r="A429" i="17"/>
  <c r="X429" i="17"/>
  <c r="W429" i="17"/>
  <c r="U429" i="17"/>
  <c r="S429" i="17"/>
  <c r="R429" i="17"/>
  <c r="Q429" i="17"/>
  <c r="N429" i="17"/>
  <c r="M429" i="17"/>
  <c r="L429" i="17"/>
  <c r="J429" i="17"/>
  <c r="I429" i="17"/>
  <c r="H429" i="17"/>
  <c r="G429" i="17"/>
  <c r="F429" i="17"/>
  <c r="E429" i="17"/>
  <c r="D429" i="17"/>
  <c r="C429" i="17"/>
  <c r="B429" i="17"/>
  <c r="A428" i="17"/>
  <c r="X428" i="17"/>
  <c r="W428" i="17"/>
  <c r="U428" i="17"/>
  <c r="T428" i="17"/>
  <c r="S428" i="17"/>
  <c r="R428" i="17"/>
  <c r="Q428" i="17"/>
  <c r="N428" i="17"/>
  <c r="L428" i="17"/>
  <c r="J428" i="17"/>
  <c r="I428" i="17"/>
  <c r="H428" i="17"/>
  <c r="G428" i="17"/>
  <c r="F428" i="17"/>
  <c r="E428" i="17"/>
  <c r="D428" i="17"/>
  <c r="C428" i="17"/>
  <c r="B428" i="17"/>
  <c r="A427" i="17"/>
  <c r="T427" i="17"/>
  <c r="X427" i="17"/>
  <c r="W427" i="17"/>
  <c r="U427" i="17"/>
  <c r="S427" i="17"/>
  <c r="R427" i="17"/>
  <c r="Q427" i="17"/>
  <c r="N427" i="17"/>
  <c r="L427" i="17"/>
  <c r="K427" i="17"/>
  <c r="J427" i="17"/>
  <c r="I427" i="17"/>
  <c r="H427" i="17"/>
  <c r="G427" i="17"/>
  <c r="F427" i="17"/>
  <c r="E427" i="17"/>
  <c r="D427" i="17"/>
  <c r="C427" i="17"/>
  <c r="A426" i="17"/>
  <c r="X426" i="17"/>
  <c r="W426" i="17"/>
  <c r="U426" i="17"/>
  <c r="T426" i="17"/>
  <c r="S426" i="17"/>
  <c r="R426" i="17"/>
  <c r="Q426" i="17"/>
  <c r="N426" i="17"/>
  <c r="L426" i="17"/>
  <c r="J426" i="17"/>
  <c r="I426" i="17"/>
  <c r="H426" i="17"/>
  <c r="G426" i="17"/>
  <c r="F426" i="17"/>
  <c r="E426" i="17"/>
  <c r="D426" i="17"/>
  <c r="A425" i="17"/>
  <c r="C425" i="17"/>
  <c r="Y425" i="17"/>
  <c r="X425" i="17"/>
  <c r="W425" i="17"/>
  <c r="V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B425" i="17"/>
  <c r="A424" i="17"/>
  <c r="X424" i="17"/>
  <c r="W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3" i="17"/>
  <c r="Y423" i="17"/>
  <c r="X423" i="17"/>
  <c r="W423" i="17"/>
  <c r="V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C423" i="17"/>
  <c r="A422" i="17"/>
  <c r="X422" i="17"/>
  <c r="W422" i="17"/>
  <c r="U422" i="17"/>
  <c r="S422" i="17"/>
  <c r="R422" i="17"/>
  <c r="Q422" i="17"/>
  <c r="P422" i="17"/>
  <c r="N422" i="17"/>
  <c r="L422" i="17"/>
  <c r="J422" i="17"/>
  <c r="I422" i="17"/>
  <c r="H422" i="17"/>
  <c r="G422" i="17"/>
  <c r="F422" i="17"/>
  <c r="E422" i="17"/>
  <c r="D422" i="17"/>
  <c r="A421" i="17"/>
  <c r="P421" i="17"/>
  <c r="X421" i="17"/>
  <c r="W421" i="17"/>
  <c r="S421" i="17"/>
  <c r="R421" i="17"/>
  <c r="Q421" i="17"/>
  <c r="N421" i="17"/>
  <c r="L421" i="17"/>
  <c r="J421" i="17"/>
  <c r="I421" i="17"/>
  <c r="H421" i="17"/>
  <c r="G421" i="17"/>
  <c r="F421" i="17"/>
  <c r="E421" i="17"/>
  <c r="D421" i="17"/>
  <c r="A420" i="17"/>
  <c r="Y420" i="17"/>
  <c r="X420" i="17"/>
  <c r="W420" i="17"/>
  <c r="V420" i="17"/>
  <c r="S420" i="17"/>
  <c r="R420" i="17"/>
  <c r="Q420" i="17"/>
  <c r="O420" i="17"/>
  <c r="N420" i="17"/>
  <c r="M420" i="17"/>
  <c r="L420" i="17"/>
  <c r="J420" i="17"/>
  <c r="I420" i="17"/>
  <c r="H420" i="17"/>
  <c r="G420" i="17"/>
  <c r="F420" i="17"/>
  <c r="E420" i="17"/>
  <c r="D420" i="17"/>
  <c r="A419" i="17"/>
  <c r="T419" i="17"/>
  <c r="Y419" i="17"/>
  <c r="X419" i="17"/>
  <c r="W419" i="17"/>
  <c r="V419" i="17"/>
  <c r="U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X418" i="17"/>
  <c r="W418" i="17"/>
  <c r="S418" i="17"/>
  <c r="R418" i="17"/>
  <c r="Q418" i="17"/>
  <c r="P418" i="17"/>
  <c r="O418" i="17"/>
  <c r="N418" i="17"/>
  <c r="L418" i="17"/>
  <c r="J418" i="17"/>
  <c r="I418" i="17"/>
  <c r="H418" i="17"/>
  <c r="G418" i="17"/>
  <c r="F418" i="17"/>
  <c r="E418" i="17"/>
  <c r="D418" i="17"/>
  <c r="A417" i="17"/>
  <c r="T417" i="17"/>
  <c r="Y417" i="17"/>
  <c r="X417" i="17"/>
  <c r="W417" i="17"/>
  <c r="V417" i="17"/>
  <c r="U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J416" i="17"/>
  <c r="I416" i="17"/>
  <c r="H416" i="17"/>
  <c r="G416" i="17"/>
  <c r="F416" i="17"/>
  <c r="E416" i="17"/>
  <c r="D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P414" i="17"/>
  <c r="Y414" i="17"/>
  <c r="X414" i="17"/>
  <c r="W414" i="17"/>
  <c r="V414" i="17"/>
  <c r="U414" i="17"/>
  <c r="S414" i="17"/>
  <c r="R414" i="17"/>
  <c r="Q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U413" i="17"/>
  <c r="S413" i="17"/>
  <c r="R413" i="17"/>
  <c r="Q413" i="17"/>
  <c r="P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U412" i="17"/>
  <c r="S412" i="17"/>
  <c r="R412" i="17"/>
  <c r="Q412" i="17"/>
  <c r="P412" i="17"/>
  <c r="O412" i="17"/>
  <c r="N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S411" i="17"/>
  <c r="R411" i="17"/>
  <c r="Q411" i="17"/>
  <c r="O411" i="17"/>
  <c r="N411" i="17"/>
  <c r="M411" i="17"/>
  <c r="L411" i="17"/>
  <c r="J411" i="17"/>
  <c r="I411" i="17"/>
  <c r="H411" i="17"/>
  <c r="G411" i="17"/>
  <c r="F411" i="17"/>
  <c r="E411" i="17"/>
  <c r="D411" i="17"/>
  <c r="C411" i="17"/>
  <c r="A410" i="17"/>
  <c r="X410" i="17"/>
  <c r="W410" i="17"/>
  <c r="T410" i="17"/>
  <c r="S410" i="17"/>
  <c r="R410" i="17"/>
  <c r="Q410" i="17"/>
  <c r="P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A409" i="17"/>
  <c r="X409" i="17"/>
  <c r="W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A408" i="17"/>
  <c r="X408" i="17"/>
  <c r="W408" i="17"/>
  <c r="T408" i="17"/>
  <c r="S408" i="17"/>
  <c r="R408" i="17"/>
  <c r="Q408" i="17"/>
  <c r="N408" i="17"/>
  <c r="L408" i="17"/>
  <c r="K408" i="17"/>
  <c r="J408" i="17"/>
  <c r="I408" i="17"/>
  <c r="H408" i="17"/>
  <c r="G408" i="17"/>
  <c r="F408" i="17"/>
  <c r="E408" i="17"/>
  <c r="D408" i="17"/>
  <c r="A407" i="17"/>
  <c r="M407" i="17"/>
  <c r="Y407" i="17"/>
  <c r="X407" i="17"/>
  <c r="W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A406" i="17"/>
  <c r="Y406" i="17"/>
  <c r="X406" i="17"/>
  <c r="W406" i="17"/>
  <c r="U406" i="17"/>
  <c r="T406" i="17"/>
  <c r="S406" i="17"/>
  <c r="R406" i="17"/>
  <c r="Q406" i="17"/>
  <c r="N406" i="17"/>
  <c r="L406" i="17"/>
  <c r="K406" i="17"/>
  <c r="J406" i="17"/>
  <c r="I406" i="17"/>
  <c r="H406" i="17"/>
  <c r="G406" i="17"/>
  <c r="F406" i="17"/>
  <c r="E406" i="17"/>
  <c r="D406" i="17"/>
  <c r="A405" i="17"/>
  <c r="X405" i="17"/>
  <c r="W405" i="17"/>
  <c r="V405" i="17"/>
  <c r="U405" i="17"/>
  <c r="S405" i="17"/>
  <c r="R405" i="17"/>
  <c r="Q405" i="17"/>
  <c r="P405" i="17"/>
  <c r="N405" i="17"/>
  <c r="L405" i="17"/>
  <c r="J405" i="17"/>
  <c r="I405" i="17"/>
  <c r="H405" i="17"/>
  <c r="G405" i="17"/>
  <c r="F405" i="17"/>
  <c r="E405" i="17"/>
  <c r="D405" i="17"/>
  <c r="A404" i="17"/>
  <c r="X404" i="17"/>
  <c r="W404" i="17"/>
  <c r="U404" i="17"/>
  <c r="T404" i="17"/>
  <c r="S404" i="17"/>
  <c r="R404" i="17"/>
  <c r="Q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B403" i="17"/>
  <c r="A402" i="17"/>
  <c r="X402" i="17"/>
  <c r="W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A401" i="17"/>
  <c r="Y401" i="17"/>
  <c r="X401" i="17"/>
  <c r="W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A400" i="17"/>
  <c r="X400" i="17"/>
  <c r="W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A399" i="17"/>
  <c r="X399" i="17"/>
  <c r="W399" i="17"/>
  <c r="S399" i="17"/>
  <c r="R399" i="17"/>
  <c r="Q399" i="17"/>
  <c r="P399" i="17"/>
  <c r="O399" i="17"/>
  <c r="N399" i="17"/>
  <c r="L399" i="17"/>
  <c r="K399" i="17"/>
  <c r="J399" i="17"/>
  <c r="I399" i="17"/>
  <c r="H399" i="17"/>
  <c r="G399" i="17"/>
  <c r="F399" i="17"/>
  <c r="E399" i="17"/>
  <c r="D399" i="17"/>
  <c r="B399" i="17"/>
  <c r="A398" i="17"/>
  <c r="X398" i="17"/>
  <c r="W398" i="17"/>
  <c r="V398" i="17"/>
  <c r="U398" i="17"/>
  <c r="T398" i="17"/>
  <c r="S398" i="17"/>
  <c r="R398" i="17"/>
  <c r="Q398" i="17"/>
  <c r="P398" i="17"/>
  <c r="N398" i="17"/>
  <c r="M398" i="17"/>
  <c r="L398" i="17"/>
  <c r="J398" i="17"/>
  <c r="I398" i="17"/>
  <c r="H398" i="17"/>
  <c r="G398" i="17"/>
  <c r="F398" i="17"/>
  <c r="E398" i="17"/>
  <c r="D398" i="17"/>
  <c r="C398" i="17"/>
  <c r="B398" i="17"/>
  <c r="A397" i="17"/>
  <c r="M397" i="17"/>
  <c r="X397" i="17"/>
  <c r="W397" i="17"/>
  <c r="V397" i="17"/>
  <c r="U397" i="17"/>
  <c r="T397" i="17"/>
  <c r="S397" i="17"/>
  <c r="R397" i="17"/>
  <c r="Q397" i="17"/>
  <c r="P397" i="17"/>
  <c r="O397" i="17"/>
  <c r="N397" i="17"/>
  <c r="L397" i="17"/>
  <c r="K397" i="17"/>
  <c r="J397" i="17"/>
  <c r="I397" i="17"/>
  <c r="H397" i="17"/>
  <c r="G397" i="17"/>
  <c r="F397" i="17"/>
  <c r="E397" i="17"/>
  <c r="D397" i="17"/>
  <c r="C397" i="17"/>
  <c r="A396" i="17"/>
  <c r="Y396" i="17"/>
  <c r="X396" i="17"/>
  <c r="W396" i="17"/>
  <c r="V396" i="17"/>
  <c r="U396" i="17"/>
  <c r="T396" i="17"/>
  <c r="S396" i="17"/>
  <c r="R396" i="17"/>
  <c r="Q396" i="17"/>
  <c r="O396" i="17"/>
  <c r="N396" i="17"/>
  <c r="L396" i="17"/>
  <c r="K396" i="17"/>
  <c r="J396" i="17"/>
  <c r="I396" i="17"/>
  <c r="H396" i="17"/>
  <c r="G396" i="17"/>
  <c r="F396" i="17"/>
  <c r="E396" i="17"/>
  <c r="D396" i="17"/>
  <c r="B396" i="17"/>
  <c r="A395" i="17"/>
  <c r="Y395" i="17"/>
  <c r="X395" i="17"/>
  <c r="W395" i="17"/>
  <c r="V395" i="17"/>
  <c r="U395" i="17"/>
  <c r="S395" i="17"/>
  <c r="R395" i="17"/>
  <c r="Q395" i="17"/>
  <c r="P395" i="17"/>
  <c r="N395" i="17"/>
  <c r="M395" i="17"/>
  <c r="L395" i="17"/>
  <c r="J395" i="17"/>
  <c r="I395" i="17"/>
  <c r="H395" i="17"/>
  <c r="G395" i="17"/>
  <c r="F395" i="17"/>
  <c r="E395" i="17"/>
  <c r="D395" i="17"/>
  <c r="A394" i="17"/>
  <c r="P394" i="17"/>
  <c r="Y394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A391" i="17"/>
  <c r="X391" i="17"/>
  <c r="W391" i="17"/>
  <c r="U391" i="17"/>
  <c r="T391" i="17"/>
  <c r="S391" i="17"/>
  <c r="R391" i="17"/>
  <c r="Q391" i="17"/>
  <c r="P391" i="17"/>
  <c r="O391" i="17"/>
  <c r="N391" i="17"/>
  <c r="M391" i="17"/>
  <c r="L391" i="17"/>
  <c r="J391" i="17"/>
  <c r="I391" i="17"/>
  <c r="H391" i="17"/>
  <c r="G391" i="17"/>
  <c r="F391" i="17"/>
  <c r="E391" i="17"/>
  <c r="D391" i="17"/>
  <c r="A390" i="17"/>
  <c r="X390" i="17"/>
  <c r="W390" i="17"/>
  <c r="V390" i="17"/>
  <c r="U390" i="17"/>
  <c r="T390" i="17"/>
  <c r="S390" i="17"/>
  <c r="R390" i="17"/>
  <c r="Q390" i="17"/>
  <c r="P390" i="17"/>
  <c r="O390" i="17"/>
  <c r="N390" i="17"/>
  <c r="L390" i="17"/>
  <c r="K390" i="17"/>
  <c r="J390" i="17"/>
  <c r="I390" i="17"/>
  <c r="H390" i="17"/>
  <c r="G390" i="17"/>
  <c r="F390" i="17"/>
  <c r="E390" i="17"/>
  <c r="D390" i="17"/>
  <c r="A389" i="17"/>
  <c r="P389" i="17"/>
  <c r="Y389" i="17"/>
  <c r="X389" i="17"/>
  <c r="W389" i="17"/>
  <c r="V389" i="17"/>
  <c r="U389" i="17"/>
  <c r="T389" i="17"/>
  <c r="S389" i="17"/>
  <c r="R389" i="17"/>
  <c r="Q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X388" i="17"/>
  <c r="W388" i="17"/>
  <c r="U388" i="17"/>
  <c r="S388" i="17"/>
  <c r="R388" i="17"/>
  <c r="Q388" i="17"/>
  <c r="P388" i="17"/>
  <c r="O388" i="17"/>
  <c r="N388" i="17"/>
  <c r="L388" i="17"/>
  <c r="J388" i="17"/>
  <c r="I388" i="17"/>
  <c r="H388" i="17"/>
  <c r="G388" i="17"/>
  <c r="F388" i="17"/>
  <c r="E388" i="17"/>
  <c r="D388" i="17"/>
  <c r="B388" i="17"/>
  <c r="A387" i="17"/>
  <c r="X387" i="17"/>
  <c r="W387" i="17"/>
  <c r="U387" i="17"/>
  <c r="T387" i="17"/>
  <c r="S387" i="17"/>
  <c r="R387" i="17"/>
  <c r="Q387" i="17"/>
  <c r="P387" i="17"/>
  <c r="N387" i="17"/>
  <c r="L387" i="17"/>
  <c r="J387" i="17"/>
  <c r="I387" i="17"/>
  <c r="H387" i="17"/>
  <c r="G387" i="17"/>
  <c r="F387" i="17"/>
  <c r="E387" i="17"/>
  <c r="D387" i="17"/>
  <c r="B387" i="17"/>
  <c r="A386" i="17"/>
  <c r="U386" i="17"/>
  <c r="X386" i="17"/>
  <c r="W386" i="17"/>
  <c r="V386" i="17"/>
  <c r="S386" i="17"/>
  <c r="R386" i="17"/>
  <c r="Q386" i="17"/>
  <c r="N386" i="17"/>
  <c r="M386" i="17"/>
  <c r="L386" i="17"/>
  <c r="J386" i="17"/>
  <c r="I386" i="17"/>
  <c r="H386" i="17"/>
  <c r="G386" i="17"/>
  <c r="F386" i="17"/>
  <c r="E386" i="17"/>
  <c r="D386" i="17"/>
  <c r="A385" i="17"/>
  <c r="Y385" i="17"/>
  <c r="X385" i="17"/>
  <c r="W385" i="17"/>
  <c r="S385" i="17"/>
  <c r="R385" i="17"/>
  <c r="Q385" i="17"/>
  <c r="N385" i="17"/>
  <c r="L385" i="17"/>
  <c r="J385" i="17"/>
  <c r="I385" i="17"/>
  <c r="H385" i="17"/>
  <c r="G385" i="17"/>
  <c r="F385" i="17"/>
  <c r="E385" i="17"/>
  <c r="D385" i="17"/>
  <c r="B385" i="17"/>
  <c r="A384" i="17"/>
  <c r="Y384" i="17"/>
  <c r="X384" i="17"/>
  <c r="W384" i="17"/>
  <c r="T384" i="17"/>
  <c r="S384" i="17"/>
  <c r="R384" i="17"/>
  <c r="Q384" i="17"/>
  <c r="N384" i="17"/>
  <c r="L384" i="17"/>
  <c r="K384" i="17"/>
  <c r="J384" i="17"/>
  <c r="I384" i="17"/>
  <c r="H384" i="17"/>
  <c r="G384" i="17"/>
  <c r="F384" i="17"/>
  <c r="E384" i="17"/>
  <c r="D384" i="17"/>
  <c r="C384" i="17"/>
  <c r="A383" i="17"/>
  <c r="V383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C383" i="17"/>
  <c r="A382" i="17"/>
  <c r="Y382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1" i="17"/>
  <c r="P381" i="17"/>
  <c r="Y381" i="17"/>
  <c r="X381" i="17"/>
  <c r="W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A380" i="17"/>
  <c r="X380" i="17"/>
  <c r="W380" i="17"/>
  <c r="V380" i="17"/>
  <c r="S380" i="17"/>
  <c r="R380" i="17"/>
  <c r="Q380" i="17"/>
  <c r="P380" i="17"/>
  <c r="O380" i="17"/>
  <c r="N380" i="17"/>
  <c r="L380" i="17"/>
  <c r="K380" i="17"/>
  <c r="J380" i="17"/>
  <c r="I380" i="17"/>
  <c r="H380" i="17"/>
  <c r="G380" i="17"/>
  <c r="F380" i="17"/>
  <c r="E380" i="17"/>
  <c r="D380" i="17"/>
  <c r="C380" i="17"/>
  <c r="A379" i="17"/>
  <c r="B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A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B378" i="17"/>
  <c r="A377" i="17"/>
  <c r="Y377" i="17"/>
  <c r="X377" i="17"/>
  <c r="W377" i="17"/>
  <c r="U377" i="17"/>
  <c r="T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A376" i="17"/>
  <c r="M376" i="17"/>
  <c r="Y376" i="17"/>
  <c r="X376" i="17"/>
  <c r="W376" i="17"/>
  <c r="V376" i="17"/>
  <c r="S376" i="17"/>
  <c r="R376" i="17"/>
  <c r="Q376" i="17"/>
  <c r="P376" i="17"/>
  <c r="N376" i="17"/>
  <c r="L376" i="17"/>
  <c r="J376" i="17"/>
  <c r="I376" i="17"/>
  <c r="H376" i="17"/>
  <c r="G376" i="17"/>
  <c r="F376" i="17"/>
  <c r="E376" i="17"/>
  <c r="D376" i="17"/>
  <c r="A375" i="17"/>
  <c r="X375" i="17"/>
  <c r="W375" i="17"/>
  <c r="S375" i="17"/>
  <c r="R375" i="17"/>
  <c r="Q375" i="17"/>
  <c r="O375" i="17"/>
  <c r="N375" i="17"/>
  <c r="L375" i="17"/>
  <c r="J375" i="17"/>
  <c r="I375" i="17"/>
  <c r="H375" i="17"/>
  <c r="G375" i="17"/>
  <c r="F375" i="17"/>
  <c r="E375" i="17"/>
  <c r="D375" i="17"/>
  <c r="C375" i="17"/>
  <c r="B375" i="17"/>
  <c r="A374" i="17"/>
  <c r="X374" i="17"/>
  <c r="W374" i="17"/>
  <c r="V374" i="17"/>
  <c r="S374" i="17"/>
  <c r="R374" i="17"/>
  <c r="Q374" i="17"/>
  <c r="P374" i="17"/>
  <c r="N374" i="17"/>
  <c r="L374" i="17"/>
  <c r="J374" i="17"/>
  <c r="I374" i="17"/>
  <c r="H374" i="17"/>
  <c r="G374" i="17"/>
  <c r="F374" i="17"/>
  <c r="E374" i="17"/>
  <c r="D374" i="17"/>
  <c r="B374" i="17"/>
  <c r="A373" i="17"/>
  <c r="V373" i="17"/>
  <c r="Y373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B373" i="17"/>
  <c r="A372" i="17"/>
  <c r="X372" i="17"/>
  <c r="W372" i="17"/>
  <c r="S372" i="17"/>
  <c r="R372" i="17"/>
  <c r="Q372" i="17"/>
  <c r="N372" i="17"/>
  <c r="L372" i="17"/>
  <c r="J372" i="17"/>
  <c r="I372" i="17"/>
  <c r="H372" i="17"/>
  <c r="G372" i="17"/>
  <c r="F372" i="17"/>
  <c r="E372" i="17"/>
  <c r="D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X370" i="17"/>
  <c r="W370" i="17"/>
  <c r="S370" i="17"/>
  <c r="R370" i="17"/>
  <c r="Q370" i="17"/>
  <c r="N370" i="17"/>
  <c r="L370" i="17"/>
  <c r="J370" i="17"/>
  <c r="I370" i="17"/>
  <c r="H370" i="17"/>
  <c r="G370" i="17"/>
  <c r="F370" i="17"/>
  <c r="E370" i="17"/>
  <c r="D370" i="17"/>
  <c r="A369" i="17"/>
  <c r="Y369" i="17"/>
  <c r="X369" i="17"/>
  <c r="W369" i="17"/>
  <c r="U369" i="17"/>
  <c r="S369" i="17"/>
  <c r="R369" i="17"/>
  <c r="Q369" i="17"/>
  <c r="N369" i="17"/>
  <c r="L369" i="17"/>
  <c r="J369" i="17"/>
  <c r="I369" i="17"/>
  <c r="H369" i="17"/>
  <c r="G369" i="17"/>
  <c r="F369" i="17"/>
  <c r="E369" i="17"/>
  <c r="D369" i="17"/>
  <c r="A368" i="17"/>
  <c r="K368" i="17"/>
  <c r="Y368" i="17"/>
  <c r="X368" i="17"/>
  <c r="W368" i="17"/>
  <c r="V368" i="17"/>
  <c r="S368" i="17"/>
  <c r="R368" i="17"/>
  <c r="Q368" i="17"/>
  <c r="N368" i="17"/>
  <c r="L368" i="17"/>
  <c r="J368" i="17"/>
  <c r="I368" i="17"/>
  <c r="H368" i="17"/>
  <c r="G368" i="17"/>
  <c r="F368" i="17"/>
  <c r="E368" i="17"/>
  <c r="D368" i="17"/>
  <c r="A367" i="17"/>
  <c r="Y367" i="17"/>
  <c r="X367" i="17"/>
  <c r="W367" i="17"/>
  <c r="T367" i="17"/>
  <c r="S367" i="17"/>
  <c r="R367" i="17"/>
  <c r="Q367" i="17"/>
  <c r="N367" i="17"/>
  <c r="L367" i="17"/>
  <c r="J367" i="17"/>
  <c r="I367" i="17"/>
  <c r="H367" i="17"/>
  <c r="G367" i="17"/>
  <c r="F367" i="17"/>
  <c r="E367" i="17"/>
  <c r="D367" i="17"/>
  <c r="A366" i="17"/>
  <c r="X366" i="17"/>
  <c r="W366" i="17"/>
  <c r="S366" i="17"/>
  <c r="R366" i="17"/>
  <c r="Q366" i="17"/>
  <c r="P366" i="17"/>
  <c r="N366" i="17"/>
  <c r="L366" i="17"/>
  <c r="K366" i="17"/>
  <c r="J366" i="17"/>
  <c r="I366" i="17"/>
  <c r="H366" i="17"/>
  <c r="G366" i="17"/>
  <c r="F366" i="17"/>
  <c r="E366" i="17"/>
  <c r="D366" i="17"/>
  <c r="A365" i="17"/>
  <c r="Y365" i="17"/>
  <c r="X365" i="17"/>
  <c r="W365" i="17"/>
  <c r="T365" i="17"/>
  <c r="S365" i="17"/>
  <c r="R365" i="17"/>
  <c r="Q365" i="17"/>
  <c r="P365" i="17"/>
  <c r="N365" i="17"/>
  <c r="L365" i="17"/>
  <c r="J365" i="17"/>
  <c r="I365" i="17"/>
  <c r="H365" i="17"/>
  <c r="G365" i="17"/>
  <c r="F365" i="17"/>
  <c r="E365" i="17"/>
  <c r="D365" i="17"/>
  <c r="C365" i="17"/>
  <c r="B365" i="17"/>
  <c r="A364" i="17"/>
  <c r="X364" i="17"/>
  <c r="W364" i="17"/>
  <c r="T364" i="17"/>
  <c r="S364" i="17"/>
  <c r="R364" i="17"/>
  <c r="Q364" i="17"/>
  <c r="P364" i="17"/>
  <c r="N364" i="17"/>
  <c r="L364" i="17"/>
  <c r="K364" i="17"/>
  <c r="J364" i="17"/>
  <c r="I364" i="17"/>
  <c r="H364" i="17"/>
  <c r="G364" i="17"/>
  <c r="F364" i="17"/>
  <c r="E364" i="17"/>
  <c r="D364" i="17"/>
  <c r="B364" i="17"/>
  <c r="A363" i="17"/>
  <c r="Y363" i="17"/>
  <c r="X363" i="17"/>
  <c r="W363" i="17"/>
  <c r="U363" i="17"/>
  <c r="S363" i="17"/>
  <c r="R363" i="17"/>
  <c r="Q363" i="17"/>
  <c r="P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X362" i="17"/>
  <c r="W362" i="17"/>
  <c r="S362" i="17"/>
  <c r="R362" i="17"/>
  <c r="Q362" i="17"/>
  <c r="P362" i="17"/>
  <c r="O362" i="17"/>
  <c r="N362" i="17"/>
  <c r="M362" i="17"/>
  <c r="L362" i="17"/>
  <c r="J362" i="17"/>
  <c r="I362" i="17"/>
  <c r="H362" i="17"/>
  <c r="G362" i="17"/>
  <c r="F362" i="17"/>
  <c r="E362" i="17"/>
  <c r="D362" i="17"/>
  <c r="C362" i="17"/>
  <c r="A361" i="17"/>
  <c r="X361" i="17"/>
  <c r="W361" i="17"/>
  <c r="S361" i="17"/>
  <c r="R361" i="17"/>
  <c r="Q361" i="17"/>
  <c r="N361" i="17"/>
  <c r="L361" i="17"/>
  <c r="J361" i="17"/>
  <c r="I361" i="17"/>
  <c r="H361" i="17"/>
  <c r="G361" i="17"/>
  <c r="F361" i="17"/>
  <c r="E361" i="17"/>
  <c r="D361" i="17"/>
  <c r="A360" i="17"/>
  <c r="C360" i="17"/>
  <c r="X360" i="17"/>
  <c r="W360" i="17"/>
  <c r="S360" i="17"/>
  <c r="R360" i="17"/>
  <c r="Q360" i="17"/>
  <c r="N360" i="17"/>
  <c r="L360" i="17"/>
  <c r="K360" i="17"/>
  <c r="J360" i="17"/>
  <c r="I360" i="17"/>
  <c r="H360" i="17"/>
  <c r="G360" i="17"/>
  <c r="F360" i="17"/>
  <c r="E360" i="17"/>
  <c r="D360" i="17"/>
  <c r="A359" i="17"/>
  <c r="X359" i="17"/>
  <c r="W359" i="17"/>
  <c r="S359" i="17"/>
  <c r="R359" i="17"/>
  <c r="Q359" i="17"/>
  <c r="N359" i="17"/>
  <c r="L359" i="17"/>
  <c r="K359" i="17"/>
  <c r="J359" i="17"/>
  <c r="I359" i="17"/>
  <c r="H359" i="17"/>
  <c r="G359" i="17"/>
  <c r="F359" i="17"/>
  <c r="E359" i="17"/>
  <c r="D359" i="17"/>
  <c r="A358" i="17"/>
  <c r="P358" i="17"/>
  <c r="X358" i="17"/>
  <c r="W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7" i="17"/>
  <c r="X357" i="17"/>
  <c r="W357" i="17"/>
  <c r="V357" i="17"/>
  <c r="U357" i="17"/>
  <c r="S357" i="17"/>
  <c r="R357" i="17"/>
  <c r="Q357" i="17"/>
  <c r="P357" i="17"/>
  <c r="N357" i="17"/>
  <c r="L357" i="17"/>
  <c r="K357" i="17"/>
  <c r="J357" i="17"/>
  <c r="I357" i="17"/>
  <c r="H357" i="17"/>
  <c r="G357" i="17"/>
  <c r="F357" i="17"/>
  <c r="E357" i="17"/>
  <c r="D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X355" i="17"/>
  <c r="W355" i="17"/>
  <c r="V355" i="17"/>
  <c r="S355" i="17"/>
  <c r="R355" i="17"/>
  <c r="Q355" i="17"/>
  <c r="N355" i="17"/>
  <c r="L355" i="17"/>
  <c r="J355" i="17"/>
  <c r="I355" i="17"/>
  <c r="H355" i="17"/>
  <c r="G355" i="17"/>
  <c r="F355" i="17"/>
  <c r="E355" i="17"/>
  <c r="D355" i="17"/>
  <c r="A354" i="17"/>
  <c r="Y354" i="17"/>
  <c r="X354" i="17"/>
  <c r="W354" i="17"/>
  <c r="T354" i="17"/>
  <c r="S354" i="17"/>
  <c r="R354" i="17"/>
  <c r="Q354" i="17"/>
  <c r="P354" i="17"/>
  <c r="N354" i="17"/>
  <c r="L354" i="17"/>
  <c r="J354" i="17"/>
  <c r="I354" i="17"/>
  <c r="H354" i="17"/>
  <c r="G354" i="17"/>
  <c r="F354" i="17"/>
  <c r="E354" i="17"/>
  <c r="D354" i="17"/>
  <c r="B354" i="17"/>
  <c r="A353" i="17"/>
  <c r="C353" i="17"/>
  <c r="X353" i="17"/>
  <c r="W353" i="17"/>
  <c r="T353" i="17"/>
  <c r="S353" i="17"/>
  <c r="R353" i="17"/>
  <c r="Q353" i="17"/>
  <c r="N353" i="17"/>
  <c r="M353" i="17"/>
  <c r="L353" i="17"/>
  <c r="J353" i="17"/>
  <c r="I353" i="17"/>
  <c r="H353" i="17"/>
  <c r="G353" i="17"/>
  <c r="F353" i="17"/>
  <c r="E353" i="17"/>
  <c r="D353" i="17"/>
  <c r="A352" i="17"/>
  <c r="Y352" i="17"/>
  <c r="X352" i="17"/>
  <c r="W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U351" i="17"/>
  <c r="Y351" i="17"/>
  <c r="X351" i="17"/>
  <c r="W351" i="17"/>
  <c r="S351" i="17"/>
  <c r="R351" i="17"/>
  <c r="Q351" i="17"/>
  <c r="N351" i="17"/>
  <c r="L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S350" i="17"/>
  <c r="R350" i="17"/>
  <c r="Q350" i="17"/>
  <c r="N350" i="17"/>
  <c r="L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S347" i="17"/>
  <c r="R347" i="17"/>
  <c r="Q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X345" i="17"/>
  <c r="W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4" i="17"/>
  <c r="P344" i="17"/>
  <c r="Y344" i="17"/>
  <c r="X344" i="17"/>
  <c r="W344" i="17"/>
  <c r="V344" i="17"/>
  <c r="U344" i="17"/>
  <c r="T344" i="17"/>
  <c r="S344" i="17"/>
  <c r="R344" i="17"/>
  <c r="Q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X343" i="17"/>
  <c r="W343" i="17"/>
  <c r="S343" i="17"/>
  <c r="R343" i="17"/>
  <c r="Q343" i="17"/>
  <c r="N343" i="17"/>
  <c r="L343" i="17"/>
  <c r="J343" i="17"/>
  <c r="I343" i="17"/>
  <c r="H343" i="17"/>
  <c r="G343" i="17"/>
  <c r="F343" i="17"/>
  <c r="E343" i="17"/>
  <c r="D343" i="17"/>
  <c r="A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J342" i="17"/>
  <c r="I342" i="17"/>
  <c r="H342" i="17"/>
  <c r="G342" i="17"/>
  <c r="F342" i="17"/>
  <c r="E342" i="17"/>
  <c r="D342" i="17"/>
  <c r="B342" i="17"/>
  <c r="A341" i="17"/>
  <c r="Y341" i="17"/>
  <c r="X341" i="17"/>
  <c r="W341" i="17"/>
  <c r="V341" i="17"/>
  <c r="S341" i="17"/>
  <c r="R341" i="17"/>
  <c r="Q341" i="17"/>
  <c r="P341" i="17"/>
  <c r="O341" i="17"/>
  <c r="N341" i="17"/>
  <c r="M341" i="17"/>
  <c r="L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X338" i="17"/>
  <c r="W338" i="17"/>
  <c r="V338" i="17"/>
  <c r="U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7" i="17"/>
  <c r="V337" i="17"/>
  <c r="Y337" i="17"/>
  <c r="X337" i="17"/>
  <c r="W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X336" i="17"/>
  <c r="W336" i="17"/>
  <c r="V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B336" i="17"/>
  <c r="A335" i="17"/>
  <c r="Y335" i="17"/>
  <c r="X335" i="17"/>
  <c r="W335" i="17"/>
  <c r="V335" i="17"/>
  <c r="T335" i="17"/>
  <c r="S335" i="17"/>
  <c r="R335" i="17"/>
  <c r="Q335" i="17"/>
  <c r="P335" i="17"/>
  <c r="O335" i="17"/>
  <c r="N335" i="17"/>
  <c r="L335" i="17"/>
  <c r="K335" i="17"/>
  <c r="J335" i="17"/>
  <c r="I335" i="17"/>
  <c r="H335" i="17"/>
  <c r="G335" i="17"/>
  <c r="F335" i="17"/>
  <c r="E335" i="17"/>
  <c r="D335" i="17"/>
  <c r="C335" i="17"/>
  <c r="A334" i="17"/>
  <c r="Y334" i="17"/>
  <c r="X334" i="17"/>
  <c r="W334" i="17"/>
  <c r="U334" i="17"/>
  <c r="T334" i="17"/>
  <c r="S334" i="17"/>
  <c r="R334" i="17"/>
  <c r="Q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U333" i="17"/>
  <c r="Y333" i="17"/>
  <c r="X333" i="17"/>
  <c r="W333" i="17"/>
  <c r="V333" i="17"/>
  <c r="T333" i="17"/>
  <c r="S333" i="17"/>
  <c r="R333" i="17"/>
  <c r="Q333" i="17"/>
  <c r="P333" i="17"/>
  <c r="O333" i="17"/>
  <c r="N333" i="17"/>
  <c r="L333" i="17"/>
  <c r="K333" i="17"/>
  <c r="J333" i="17"/>
  <c r="I333" i="17"/>
  <c r="H333" i="17"/>
  <c r="G333" i="17"/>
  <c r="F333" i="17"/>
  <c r="E333" i="17"/>
  <c r="D333" i="17"/>
  <c r="C333" i="17"/>
  <c r="A332" i="17"/>
  <c r="Y332" i="17"/>
  <c r="X332" i="17"/>
  <c r="W332" i="17"/>
  <c r="T332" i="17"/>
  <c r="S332" i="17"/>
  <c r="R332" i="17"/>
  <c r="Q332" i="17"/>
  <c r="P332" i="17"/>
  <c r="N332" i="17"/>
  <c r="L332" i="17"/>
  <c r="J332" i="17"/>
  <c r="I332" i="17"/>
  <c r="H332" i="17"/>
  <c r="G332" i="17"/>
  <c r="F332" i="17"/>
  <c r="E332" i="17"/>
  <c r="D332" i="17"/>
  <c r="A331" i="17"/>
  <c r="Y331" i="17"/>
  <c r="X331" i="17"/>
  <c r="W331" i="17"/>
  <c r="V331" i="17"/>
  <c r="T331" i="17"/>
  <c r="S331" i="17"/>
  <c r="R331" i="17"/>
  <c r="Q331" i="17"/>
  <c r="P331" i="17"/>
  <c r="N331" i="17"/>
  <c r="L331" i="17"/>
  <c r="K331" i="17"/>
  <c r="J331" i="17"/>
  <c r="I331" i="17"/>
  <c r="H331" i="17"/>
  <c r="G331" i="17"/>
  <c r="F331" i="17"/>
  <c r="E331" i="17"/>
  <c r="D331" i="17"/>
  <c r="A330" i="17"/>
  <c r="X330" i="17"/>
  <c r="W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B330" i="17"/>
  <c r="A329" i="17"/>
  <c r="T329" i="17"/>
  <c r="Y329" i="17"/>
  <c r="X329" i="17"/>
  <c r="W329" i="17"/>
  <c r="V329" i="17"/>
  <c r="U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S328" i="17"/>
  <c r="R328" i="17"/>
  <c r="Q328" i="17"/>
  <c r="O328" i="17"/>
  <c r="N328" i="17"/>
  <c r="L328" i="17"/>
  <c r="K328" i="17"/>
  <c r="J328" i="17"/>
  <c r="I328" i="17"/>
  <c r="H328" i="17"/>
  <c r="G328" i="17"/>
  <c r="F328" i="17"/>
  <c r="E328" i="17"/>
  <c r="D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C326" i="17"/>
  <c r="B326" i="17"/>
  <c r="A325" i="17"/>
  <c r="T325" i="17"/>
  <c r="Y325" i="17"/>
  <c r="X325" i="17"/>
  <c r="W325" i="17"/>
  <c r="V325" i="17"/>
  <c r="U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X324" i="17"/>
  <c r="W324" i="17"/>
  <c r="T324" i="17"/>
  <c r="S324" i="17"/>
  <c r="R324" i="17"/>
  <c r="Q324" i="17"/>
  <c r="O324" i="17"/>
  <c r="N324" i="17"/>
  <c r="L324" i="17"/>
  <c r="K324" i="17"/>
  <c r="J324" i="17"/>
  <c r="I324" i="17"/>
  <c r="H324" i="17"/>
  <c r="G324" i="17"/>
  <c r="F324" i="17"/>
  <c r="E324" i="17"/>
  <c r="D324" i="17"/>
  <c r="A323" i="17"/>
  <c r="X323" i="17"/>
  <c r="W323" i="17"/>
  <c r="S323" i="17"/>
  <c r="R323" i="17"/>
  <c r="Q323" i="17"/>
  <c r="O323" i="17"/>
  <c r="N323" i="17"/>
  <c r="L323" i="17"/>
  <c r="K323" i="17"/>
  <c r="J323" i="17"/>
  <c r="I323" i="17"/>
  <c r="H323" i="17"/>
  <c r="G323" i="17"/>
  <c r="F323" i="17"/>
  <c r="E323" i="17"/>
  <c r="D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V321" i="17"/>
  <c r="Y321" i="17"/>
  <c r="X321" i="17"/>
  <c r="W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X320" i="17"/>
  <c r="W320" i="17"/>
  <c r="S320" i="17"/>
  <c r="R320" i="17"/>
  <c r="Q320" i="17"/>
  <c r="P320" i="17"/>
  <c r="O320" i="17"/>
  <c r="N320" i="17"/>
  <c r="M320" i="17"/>
  <c r="L320" i="17"/>
  <c r="J320" i="17"/>
  <c r="I320" i="17"/>
  <c r="H320" i="17"/>
  <c r="G320" i="17"/>
  <c r="F320" i="17"/>
  <c r="E320" i="17"/>
  <c r="D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T318" i="17"/>
  <c r="S318" i="17"/>
  <c r="R318" i="17"/>
  <c r="Q318" i="17"/>
  <c r="N318" i="17"/>
  <c r="L318" i="17"/>
  <c r="J318" i="17"/>
  <c r="I318" i="17"/>
  <c r="H318" i="17"/>
  <c r="G318" i="17"/>
  <c r="F318" i="17"/>
  <c r="E318" i="17"/>
  <c r="D318" i="17"/>
  <c r="B318" i="17"/>
  <c r="A317" i="17"/>
  <c r="X317" i="17"/>
  <c r="W317" i="17"/>
  <c r="U317" i="17"/>
  <c r="S317" i="17"/>
  <c r="R317" i="17"/>
  <c r="Q317" i="17"/>
  <c r="N317" i="17"/>
  <c r="M317" i="17"/>
  <c r="L317" i="17"/>
  <c r="J317" i="17"/>
  <c r="I317" i="17"/>
  <c r="H317" i="17"/>
  <c r="G317" i="17"/>
  <c r="F317" i="17"/>
  <c r="E317" i="17"/>
  <c r="D317" i="17"/>
  <c r="C317" i="17"/>
  <c r="A316" i="17"/>
  <c r="Y316" i="17"/>
  <c r="X316" i="17"/>
  <c r="W316" i="17"/>
  <c r="S316" i="17"/>
  <c r="R316" i="17"/>
  <c r="Q316" i="17"/>
  <c r="N316" i="17"/>
  <c r="L316" i="17"/>
  <c r="J316" i="17"/>
  <c r="I316" i="17"/>
  <c r="H316" i="17"/>
  <c r="G316" i="17"/>
  <c r="F316" i="17"/>
  <c r="E316" i="17"/>
  <c r="D316" i="17"/>
  <c r="A315" i="17"/>
  <c r="T315" i="17"/>
  <c r="Y315" i="17"/>
  <c r="X315" i="17"/>
  <c r="W315" i="17"/>
  <c r="V315" i="17"/>
  <c r="S315" i="17"/>
  <c r="R315" i="17"/>
  <c r="Q315" i="17"/>
  <c r="N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X314" i="17"/>
  <c r="W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A313" i="17"/>
  <c r="B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A312" i="17"/>
  <c r="Y312" i="17"/>
  <c r="X312" i="17"/>
  <c r="W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V311" i="17"/>
  <c r="Y311" i="17"/>
  <c r="X311" i="17"/>
  <c r="W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J310" i="17"/>
  <c r="I310" i="17"/>
  <c r="H310" i="17"/>
  <c r="G310" i="17"/>
  <c r="F310" i="17"/>
  <c r="E310" i="17"/>
  <c r="D310" i="17"/>
  <c r="C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S307" i="17"/>
  <c r="R307" i="17"/>
  <c r="Q307" i="17"/>
  <c r="P307" i="17"/>
  <c r="O307" i="17"/>
  <c r="N307" i="17"/>
  <c r="M307" i="17"/>
  <c r="L307" i="17"/>
  <c r="J307" i="17"/>
  <c r="I307" i="17"/>
  <c r="H307" i="17"/>
  <c r="G307" i="17"/>
  <c r="F307" i="17"/>
  <c r="E307" i="17"/>
  <c r="D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L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N304" i="17"/>
  <c r="M304" i="17"/>
  <c r="L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T303" i="17"/>
  <c r="S303" i="17"/>
  <c r="R303" i="17"/>
  <c r="Q303" i="17"/>
  <c r="O303" i="17"/>
  <c r="N303" i="17"/>
  <c r="M303" i="17"/>
  <c r="L303" i="17"/>
  <c r="J303" i="17"/>
  <c r="I303" i="17"/>
  <c r="H303" i="17"/>
  <c r="G303" i="17"/>
  <c r="F303" i="17"/>
  <c r="E303" i="17"/>
  <c r="D303" i="17"/>
  <c r="C303" i="17"/>
  <c r="B303" i="17"/>
  <c r="A302" i="17"/>
  <c r="V302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A301" i="17"/>
  <c r="Y301" i="17"/>
  <c r="X301" i="17"/>
  <c r="W301" i="17"/>
  <c r="S301" i="17"/>
  <c r="R301" i="17"/>
  <c r="Q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X299" i="17"/>
  <c r="W299" i="17"/>
  <c r="T299" i="17"/>
  <c r="S299" i="17"/>
  <c r="R299" i="17"/>
  <c r="Q299" i="17"/>
  <c r="P299" i="17"/>
  <c r="N299" i="17"/>
  <c r="M299" i="17"/>
  <c r="L299" i="17"/>
  <c r="J299" i="17"/>
  <c r="I299" i="17"/>
  <c r="H299" i="17"/>
  <c r="G299" i="17"/>
  <c r="F299" i="17"/>
  <c r="E299" i="17"/>
  <c r="D299" i="17"/>
  <c r="C299" i="17"/>
  <c r="A298" i="17"/>
  <c r="X298" i="17"/>
  <c r="W298" i="17"/>
  <c r="U298" i="17"/>
  <c r="T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A297" i="17"/>
  <c r="U297" i="17"/>
  <c r="Y297" i="17"/>
  <c r="X297" i="17"/>
  <c r="W297" i="17"/>
  <c r="S297" i="17"/>
  <c r="R297" i="17"/>
  <c r="Q297" i="17"/>
  <c r="P297" i="17"/>
  <c r="O297" i="17"/>
  <c r="N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P296" i="17"/>
  <c r="X296" i="17"/>
  <c r="W296" i="17"/>
  <c r="V296" i="17"/>
  <c r="U296" i="17"/>
  <c r="T296" i="17"/>
  <c r="S296" i="17"/>
  <c r="R296" i="17"/>
  <c r="Q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A295" i="17"/>
  <c r="M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U294" i="17"/>
  <c r="S294" i="17"/>
  <c r="R294" i="17"/>
  <c r="Q294" i="17"/>
  <c r="N294" i="17"/>
  <c r="L294" i="17"/>
  <c r="J294" i="17"/>
  <c r="I294" i="17"/>
  <c r="H294" i="17"/>
  <c r="G294" i="17"/>
  <c r="F294" i="17"/>
  <c r="E294" i="17"/>
  <c r="D294" i="17"/>
  <c r="C294" i="17"/>
  <c r="B294" i="17"/>
  <c r="A293" i="17"/>
  <c r="U293" i="17"/>
  <c r="Y293" i="17"/>
  <c r="X293" i="17"/>
  <c r="W293" i="17"/>
  <c r="S293" i="17"/>
  <c r="R293" i="17"/>
  <c r="Q293" i="17"/>
  <c r="O293" i="17"/>
  <c r="N293" i="17"/>
  <c r="M293" i="17"/>
  <c r="L293" i="17"/>
  <c r="J293" i="17"/>
  <c r="I293" i="17"/>
  <c r="H293" i="17"/>
  <c r="G293" i="17"/>
  <c r="F293" i="17"/>
  <c r="E293" i="17"/>
  <c r="D293" i="17"/>
  <c r="C293" i="17"/>
  <c r="A292" i="17"/>
  <c r="X292" i="17"/>
  <c r="W292" i="17"/>
  <c r="S292" i="17"/>
  <c r="R292" i="17"/>
  <c r="Q292" i="17"/>
  <c r="N292" i="17"/>
  <c r="L292" i="17"/>
  <c r="K292" i="17"/>
  <c r="J292" i="17"/>
  <c r="I292" i="17"/>
  <c r="H292" i="17"/>
  <c r="G292" i="17"/>
  <c r="F292" i="17"/>
  <c r="E292" i="17"/>
  <c r="D292" i="17"/>
  <c r="A291" i="17"/>
  <c r="X291" i="17"/>
  <c r="W291" i="17"/>
  <c r="V291" i="17"/>
  <c r="S291" i="17"/>
  <c r="R291" i="17"/>
  <c r="Q291" i="17"/>
  <c r="N291" i="17"/>
  <c r="L291" i="17"/>
  <c r="K291" i="17"/>
  <c r="J291" i="17"/>
  <c r="I291" i="17"/>
  <c r="H291" i="17"/>
  <c r="G291" i="17"/>
  <c r="F291" i="17"/>
  <c r="E291" i="17"/>
  <c r="D291" i="17"/>
  <c r="C291" i="17"/>
  <c r="A290" i="17"/>
  <c r="U290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C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M288" i="17"/>
  <c r="X288" i="17"/>
  <c r="W288" i="17"/>
  <c r="S288" i="17"/>
  <c r="R288" i="17"/>
  <c r="Q288" i="17"/>
  <c r="N288" i="17"/>
  <c r="L288" i="17"/>
  <c r="J288" i="17"/>
  <c r="I288" i="17"/>
  <c r="H288" i="17"/>
  <c r="G288" i="17"/>
  <c r="F288" i="17"/>
  <c r="E288" i="17"/>
  <c r="D288" i="17"/>
  <c r="C288" i="17"/>
  <c r="B288" i="17"/>
  <c r="A287" i="17"/>
  <c r="U287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A286" i="17"/>
  <c r="Y286" i="17"/>
  <c r="X286" i="17"/>
  <c r="W286" i="17"/>
  <c r="V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M285" i="17"/>
  <c r="X285" i="17"/>
  <c r="W285" i="17"/>
  <c r="S285" i="17"/>
  <c r="R285" i="17"/>
  <c r="Q285" i="17"/>
  <c r="N285" i="17"/>
  <c r="L285" i="17"/>
  <c r="J285" i="17"/>
  <c r="I285" i="17"/>
  <c r="H285" i="17"/>
  <c r="G285" i="17"/>
  <c r="F285" i="17"/>
  <c r="E285" i="17"/>
  <c r="D285" i="17"/>
  <c r="A284" i="17"/>
  <c r="X284" i="17"/>
  <c r="W284" i="17"/>
  <c r="U284" i="17"/>
  <c r="T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U282" i="17"/>
  <c r="T282" i="17"/>
  <c r="S282" i="17"/>
  <c r="R282" i="17"/>
  <c r="Q282" i="17"/>
  <c r="N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U281" i="17"/>
  <c r="T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C281" i="17"/>
  <c r="B281" i="17"/>
  <c r="A280" i="17"/>
  <c r="X280" i="17"/>
  <c r="W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B280" i="17"/>
  <c r="A279" i="17"/>
  <c r="P279" i="17"/>
  <c r="Y279" i="17"/>
  <c r="X279" i="17"/>
  <c r="W279" i="17"/>
  <c r="V279" i="17"/>
  <c r="U279" i="17"/>
  <c r="T279" i="17"/>
  <c r="S279" i="17"/>
  <c r="R279" i="17"/>
  <c r="Q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S278" i="17"/>
  <c r="R278" i="17"/>
  <c r="Q278" i="17"/>
  <c r="N278" i="17"/>
  <c r="L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C277" i="17"/>
  <c r="B277" i="17"/>
  <c r="A276" i="17"/>
  <c r="O276" i="17"/>
  <c r="X276" i="17"/>
  <c r="W276" i="17"/>
  <c r="S276" i="17"/>
  <c r="R276" i="17"/>
  <c r="Q276" i="17"/>
  <c r="N276" i="17"/>
  <c r="L276" i="17"/>
  <c r="J276" i="17"/>
  <c r="I276" i="17"/>
  <c r="H276" i="17"/>
  <c r="G276" i="17"/>
  <c r="F276" i="17"/>
  <c r="E276" i="17"/>
  <c r="D276" i="17"/>
  <c r="A275" i="17"/>
  <c r="B275" i="17"/>
  <c r="X275" i="17"/>
  <c r="W275" i="17"/>
  <c r="U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P273" i="17"/>
  <c r="Y273" i="17"/>
  <c r="X273" i="17"/>
  <c r="W273" i="17"/>
  <c r="S273" i="17"/>
  <c r="R273" i="17"/>
  <c r="Q273" i="17"/>
  <c r="N273" i="17"/>
  <c r="L273" i="17"/>
  <c r="J273" i="17"/>
  <c r="I273" i="17"/>
  <c r="H273" i="17"/>
  <c r="G273" i="17"/>
  <c r="F273" i="17"/>
  <c r="E273" i="17"/>
  <c r="D273" i="17"/>
  <c r="A272" i="17"/>
  <c r="Y272" i="17"/>
  <c r="X272" i="17"/>
  <c r="W272" i="17"/>
  <c r="S272" i="17"/>
  <c r="R272" i="17"/>
  <c r="Q272" i="17"/>
  <c r="N272" i="17"/>
  <c r="L272" i="17"/>
  <c r="J272" i="17"/>
  <c r="I272" i="17"/>
  <c r="H272" i="17"/>
  <c r="G272" i="17"/>
  <c r="F272" i="17"/>
  <c r="E272" i="17"/>
  <c r="D272" i="17"/>
  <c r="A271" i="17"/>
  <c r="Y271" i="17"/>
  <c r="X271" i="17"/>
  <c r="W271" i="17"/>
  <c r="T271" i="17"/>
  <c r="S271" i="17"/>
  <c r="R271" i="17"/>
  <c r="Q271" i="17"/>
  <c r="N271" i="17"/>
  <c r="L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T270" i="17"/>
  <c r="S270" i="17"/>
  <c r="R270" i="17"/>
  <c r="Q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L269" i="17"/>
  <c r="K269" i="17"/>
  <c r="J269" i="17"/>
  <c r="I269" i="17"/>
  <c r="H269" i="17"/>
  <c r="G269" i="17"/>
  <c r="F269" i="17"/>
  <c r="E269" i="17"/>
  <c r="D269" i="17"/>
  <c r="C269" i="17"/>
  <c r="A268" i="17"/>
  <c r="X268" i="17"/>
  <c r="W268" i="17"/>
  <c r="V268" i="17"/>
  <c r="T268" i="17"/>
  <c r="S268" i="17"/>
  <c r="R268" i="17"/>
  <c r="Q268" i="17"/>
  <c r="P268" i="17"/>
  <c r="O268" i="17"/>
  <c r="N268" i="17"/>
  <c r="L268" i="17"/>
  <c r="K268" i="17"/>
  <c r="J268" i="17"/>
  <c r="I268" i="17"/>
  <c r="H268" i="17"/>
  <c r="G268" i="17"/>
  <c r="F268" i="17"/>
  <c r="E268" i="17"/>
  <c r="D268" i="17"/>
  <c r="C268" i="17"/>
  <c r="A267" i="17"/>
  <c r="Y267" i="17"/>
  <c r="X267" i="17"/>
  <c r="W267" i="17"/>
  <c r="V267" i="17"/>
  <c r="U267" i="17"/>
  <c r="T267" i="17"/>
  <c r="S267" i="17"/>
  <c r="R267" i="17"/>
  <c r="Q267" i="17"/>
  <c r="P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A266" i="17"/>
  <c r="K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U265" i="17"/>
  <c r="T265" i="17"/>
  <c r="S265" i="17"/>
  <c r="R265" i="17"/>
  <c r="Q265" i="17"/>
  <c r="N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X264" i="17"/>
  <c r="W264" i="17"/>
  <c r="U264" i="17"/>
  <c r="S264" i="17"/>
  <c r="R264" i="17"/>
  <c r="Q264" i="17"/>
  <c r="N264" i="17"/>
  <c r="L264" i="17"/>
  <c r="K264" i="17"/>
  <c r="J264" i="17"/>
  <c r="I264" i="17"/>
  <c r="H264" i="17"/>
  <c r="G264" i="17"/>
  <c r="F264" i="17"/>
  <c r="E264" i="17"/>
  <c r="D264" i="17"/>
  <c r="C264" i="17"/>
  <c r="A263" i="17"/>
  <c r="X263" i="17"/>
  <c r="W263" i="17"/>
  <c r="S263" i="17"/>
  <c r="R263" i="17"/>
  <c r="Q263" i="17"/>
  <c r="N263" i="17"/>
  <c r="L263" i="17"/>
  <c r="K263" i="17"/>
  <c r="J263" i="17"/>
  <c r="I263" i="17"/>
  <c r="H263" i="17"/>
  <c r="G263" i="17"/>
  <c r="F263" i="17"/>
  <c r="E263" i="17"/>
  <c r="D263" i="17"/>
  <c r="A262" i="17"/>
  <c r="B262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X260" i="17"/>
  <c r="W260" i="17"/>
  <c r="S260" i="17"/>
  <c r="R260" i="17"/>
  <c r="Q260" i="17"/>
  <c r="N260" i="17"/>
  <c r="L260" i="17"/>
  <c r="J260" i="17"/>
  <c r="I260" i="17"/>
  <c r="H260" i="17"/>
  <c r="G260" i="17"/>
  <c r="F260" i="17"/>
  <c r="E260" i="17"/>
  <c r="D260" i="17"/>
  <c r="A259" i="17"/>
  <c r="C259" i="17"/>
  <c r="Y259" i="17"/>
  <c r="X259" i="17"/>
  <c r="W259" i="17"/>
  <c r="T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8" i="17"/>
  <c r="M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S257" i="17"/>
  <c r="R257" i="17"/>
  <c r="Q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U255" i="17"/>
  <c r="T255" i="17"/>
  <c r="S255" i="17"/>
  <c r="R255" i="17"/>
  <c r="Q255" i="17"/>
  <c r="P255" i="17"/>
  <c r="O255" i="17"/>
  <c r="N255" i="17"/>
  <c r="M255" i="17"/>
  <c r="L255" i="17"/>
  <c r="J255" i="17"/>
  <c r="I255" i="17"/>
  <c r="H255" i="17"/>
  <c r="G255" i="17"/>
  <c r="F255" i="17"/>
  <c r="E255" i="17"/>
  <c r="D255" i="17"/>
  <c r="C255" i="17"/>
  <c r="B255" i="17"/>
  <c r="A254" i="17"/>
  <c r="X254" i="17"/>
  <c r="W254" i="17"/>
  <c r="V254" i="17"/>
  <c r="U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B254" i="17"/>
  <c r="A253" i="17"/>
  <c r="Y253" i="17"/>
  <c r="X253" i="17"/>
  <c r="W253" i="17"/>
  <c r="V253" i="17"/>
  <c r="T253" i="17"/>
  <c r="S253" i="17"/>
  <c r="R253" i="17"/>
  <c r="Q253" i="17"/>
  <c r="P253" i="17"/>
  <c r="N253" i="17"/>
  <c r="M253" i="17"/>
  <c r="L253" i="17"/>
  <c r="J253" i="17"/>
  <c r="I253" i="17"/>
  <c r="H253" i="17"/>
  <c r="G253" i="17"/>
  <c r="F253" i="17"/>
  <c r="E253" i="17"/>
  <c r="D253" i="17"/>
  <c r="C253" i="17"/>
  <c r="B253" i="17"/>
  <c r="A252" i="17"/>
  <c r="V252" i="17"/>
  <c r="X252" i="17"/>
  <c r="W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A251" i="17"/>
  <c r="X251" i="17"/>
  <c r="W251" i="17"/>
  <c r="V251" i="17"/>
  <c r="T251" i="17"/>
  <c r="S251" i="17"/>
  <c r="R251" i="17"/>
  <c r="Q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0" i="17"/>
  <c r="O250" i="17"/>
  <c r="Y250" i="17"/>
  <c r="X250" i="17"/>
  <c r="W250" i="17"/>
  <c r="V250" i="17"/>
  <c r="U250" i="17"/>
  <c r="T250" i="17"/>
  <c r="S250" i="17"/>
  <c r="R250" i="17"/>
  <c r="Q250" i="17"/>
  <c r="P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O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A247" i="17"/>
  <c r="B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A246" i="17"/>
  <c r="Y246" i="17"/>
  <c r="X246" i="17"/>
  <c r="W246" i="17"/>
  <c r="U246" i="17"/>
  <c r="S246" i="17"/>
  <c r="R246" i="17"/>
  <c r="Q246" i="17"/>
  <c r="P246" i="17"/>
  <c r="N246" i="17"/>
  <c r="L246" i="17"/>
  <c r="J246" i="17"/>
  <c r="I246" i="17"/>
  <c r="H246" i="17"/>
  <c r="G246" i="17"/>
  <c r="F246" i="17"/>
  <c r="E246" i="17"/>
  <c r="D246" i="17"/>
  <c r="C246" i="17"/>
  <c r="A245" i="17"/>
  <c r="Y245" i="17"/>
  <c r="X245" i="17"/>
  <c r="W245" i="17"/>
  <c r="S245" i="17"/>
  <c r="R245" i="17"/>
  <c r="Q245" i="17"/>
  <c r="N245" i="17"/>
  <c r="L245" i="17"/>
  <c r="K245" i="17"/>
  <c r="J245" i="17"/>
  <c r="I245" i="17"/>
  <c r="H245" i="17"/>
  <c r="G245" i="17"/>
  <c r="F245" i="17"/>
  <c r="E245" i="17"/>
  <c r="D245" i="17"/>
  <c r="C245" i="17"/>
  <c r="A244" i="17"/>
  <c r="X244" i="17"/>
  <c r="W244" i="17"/>
  <c r="S244" i="17"/>
  <c r="R244" i="17"/>
  <c r="Q244" i="17"/>
  <c r="N244" i="17"/>
  <c r="M244" i="17"/>
  <c r="L244" i="17"/>
  <c r="J244" i="17"/>
  <c r="I244" i="17"/>
  <c r="H244" i="17"/>
  <c r="G244" i="17"/>
  <c r="F244" i="17"/>
  <c r="E244" i="17"/>
  <c r="D244" i="17"/>
  <c r="B244" i="17"/>
  <c r="A243" i="17"/>
  <c r="Y243" i="17"/>
  <c r="X243" i="17"/>
  <c r="W243" i="17"/>
  <c r="V243" i="17"/>
  <c r="S243" i="17"/>
  <c r="R243" i="17"/>
  <c r="Q243" i="17"/>
  <c r="P243" i="17"/>
  <c r="N243" i="17"/>
  <c r="L243" i="17"/>
  <c r="K243" i="17"/>
  <c r="J243" i="17"/>
  <c r="I243" i="17"/>
  <c r="H243" i="17"/>
  <c r="G243" i="17"/>
  <c r="F243" i="17"/>
  <c r="E243" i="17"/>
  <c r="D243" i="17"/>
  <c r="B243" i="17"/>
  <c r="A242" i="17"/>
  <c r="V242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V240" i="17"/>
  <c r="Y240" i="17"/>
  <c r="X240" i="17"/>
  <c r="W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B239" i="17"/>
  <c r="A238" i="17"/>
  <c r="M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T237" i="17"/>
  <c r="S237" i="17"/>
  <c r="R237" i="17"/>
  <c r="Q237" i="17"/>
  <c r="O237" i="17"/>
  <c r="N237" i="17"/>
  <c r="L237" i="17"/>
  <c r="K237" i="17"/>
  <c r="J237" i="17"/>
  <c r="I237" i="17"/>
  <c r="H237" i="17"/>
  <c r="G237" i="17"/>
  <c r="F237" i="17"/>
  <c r="E237" i="17"/>
  <c r="D237" i="17"/>
  <c r="A236" i="17"/>
  <c r="Y236" i="17"/>
  <c r="X236" i="17"/>
  <c r="W236" i="17"/>
  <c r="V236" i="17"/>
  <c r="T236" i="17"/>
  <c r="S236" i="17"/>
  <c r="R236" i="17"/>
  <c r="Q236" i="17"/>
  <c r="P236" i="17"/>
  <c r="N236" i="17"/>
  <c r="M236" i="17"/>
  <c r="L236" i="17"/>
  <c r="J236" i="17"/>
  <c r="I236" i="17"/>
  <c r="H236" i="17"/>
  <c r="G236" i="17"/>
  <c r="F236" i="17"/>
  <c r="E236" i="17"/>
  <c r="D236" i="17"/>
  <c r="A235" i="17"/>
  <c r="X235" i="17"/>
  <c r="W235" i="17"/>
  <c r="U235" i="17"/>
  <c r="T235" i="17"/>
  <c r="S235" i="17"/>
  <c r="R235" i="17"/>
  <c r="Q235" i="17"/>
  <c r="P235" i="17"/>
  <c r="N235" i="17"/>
  <c r="L235" i="17"/>
  <c r="K235" i="17"/>
  <c r="J235" i="17"/>
  <c r="I235" i="17"/>
  <c r="H235" i="17"/>
  <c r="G235" i="17"/>
  <c r="F235" i="17"/>
  <c r="E235" i="17"/>
  <c r="D235" i="17"/>
  <c r="A234" i="17"/>
  <c r="X234" i="17"/>
  <c r="W234" i="17"/>
  <c r="V234" i="17"/>
  <c r="U234" i="17"/>
  <c r="T234" i="17"/>
  <c r="S234" i="17"/>
  <c r="R234" i="17"/>
  <c r="Q234" i="17"/>
  <c r="P234" i="17"/>
  <c r="N234" i="17"/>
  <c r="M234" i="17"/>
  <c r="L234" i="17"/>
  <c r="J234" i="17"/>
  <c r="I234" i="17"/>
  <c r="H234" i="17"/>
  <c r="G234" i="17"/>
  <c r="F234" i="17"/>
  <c r="E234" i="17"/>
  <c r="D234" i="17"/>
  <c r="B234" i="17"/>
  <c r="A233" i="17"/>
  <c r="X233" i="17"/>
  <c r="W233" i="17"/>
  <c r="V233" i="17"/>
  <c r="T233" i="17"/>
  <c r="S233" i="17"/>
  <c r="R233" i="17"/>
  <c r="Q233" i="17"/>
  <c r="O233" i="17"/>
  <c r="N233" i="17"/>
  <c r="M233" i="17"/>
  <c r="L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N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X231" i="17"/>
  <c r="W231" i="17"/>
  <c r="S231" i="17"/>
  <c r="R231" i="17"/>
  <c r="Q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X230" i="17"/>
  <c r="W230" i="17"/>
  <c r="V230" i="17"/>
  <c r="U230" i="17"/>
  <c r="T230" i="17"/>
  <c r="S230" i="17"/>
  <c r="R230" i="17"/>
  <c r="Q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A229" i="17"/>
  <c r="P229" i="17"/>
  <c r="X229" i="17"/>
  <c r="W229" i="17"/>
  <c r="T229" i="17"/>
  <c r="S229" i="17"/>
  <c r="R229" i="17"/>
  <c r="Q229" i="17"/>
  <c r="N229" i="17"/>
  <c r="L229" i="17"/>
  <c r="J229" i="17"/>
  <c r="I229" i="17"/>
  <c r="H229" i="17"/>
  <c r="G229" i="17"/>
  <c r="F229" i="17"/>
  <c r="E229" i="17"/>
  <c r="D229" i="17"/>
  <c r="A228" i="17"/>
  <c r="M228" i="17"/>
  <c r="X228" i="17"/>
  <c r="W228" i="17"/>
  <c r="S228" i="17"/>
  <c r="R228" i="17"/>
  <c r="Q228" i="17"/>
  <c r="O228" i="17"/>
  <c r="N228" i="17"/>
  <c r="L228" i="17"/>
  <c r="J228" i="17"/>
  <c r="I228" i="17"/>
  <c r="H228" i="17"/>
  <c r="G228" i="17"/>
  <c r="F228" i="17"/>
  <c r="E228" i="17"/>
  <c r="D228" i="17"/>
  <c r="A227" i="17"/>
  <c r="Y227" i="17"/>
  <c r="X227" i="17"/>
  <c r="W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A226" i="17"/>
  <c r="K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J226" i="17"/>
  <c r="I226" i="17"/>
  <c r="H226" i="17"/>
  <c r="G226" i="17"/>
  <c r="F226" i="17"/>
  <c r="E226" i="17"/>
  <c r="D226" i="17"/>
  <c r="A225" i="17"/>
  <c r="Y225" i="17"/>
  <c r="X225" i="17"/>
  <c r="W225" i="17"/>
  <c r="V225" i="17"/>
  <c r="U225" i="17"/>
  <c r="T225" i="17"/>
  <c r="S225" i="17"/>
  <c r="R225" i="17"/>
  <c r="Q225" i="17"/>
  <c r="P225" i="17"/>
  <c r="N225" i="17"/>
  <c r="M225" i="17"/>
  <c r="L225" i="17"/>
  <c r="J225" i="17"/>
  <c r="I225" i="17"/>
  <c r="H225" i="17"/>
  <c r="G225" i="17"/>
  <c r="F225" i="17"/>
  <c r="E225" i="17"/>
  <c r="D225" i="17"/>
  <c r="B225" i="17"/>
  <c r="A224" i="17"/>
  <c r="K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J224" i="17"/>
  <c r="I224" i="17"/>
  <c r="H224" i="17"/>
  <c r="G224" i="17"/>
  <c r="F224" i="17"/>
  <c r="E224" i="17"/>
  <c r="D224" i="17"/>
  <c r="C224" i="17"/>
  <c r="B224" i="17"/>
  <c r="A223" i="17"/>
  <c r="C223" i="17"/>
  <c r="X223" i="17"/>
  <c r="W223" i="17"/>
  <c r="S223" i="17"/>
  <c r="R223" i="17"/>
  <c r="Q223" i="17"/>
  <c r="N223" i="17"/>
  <c r="M223" i="17"/>
  <c r="L223" i="17"/>
  <c r="K223" i="17"/>
  <c r="J223" i="17"/>
  <c r="I223" i="17"/>
  <c r="H223" i="17"/>
  <c r="G223" i="17"/>
  <c r="F223" i="17"/>
  <c r="E223" i="17"/>
  <c r="D223" i="17"/>
  <c r="B223" i="17"/>
  <c r="A222" i="17"/>
  <c r="O222" i="17"/>
  <c r="Y222" i="17"/>
  <c r="X222" i="17"/>
  <c r="W222" i="17"/>
  <c r="T222" i="17"/>
  <c r="S222" i="17"/>
  <c r="R222" i="17"/>
  <c r="Q222" i="17"/>
  <c r="P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T220" i="17"/>
  <c r="S220" i="17"/>
  <c r="R220" i="17"/>
  <c r="Q220" i="17"/>
  <c r="N220" i="17"/>
  <c r="L220" i="17"/>
  <c r="J220" i="17"/>
  <c r="I220" i="17"/>
  <c r="H220" i="17"/>
  <c r="G220" i="17"/>
  <c r="F220" i="17"/>
  <c r="E220" i="17"/>
  <c r="D220" i="17"/>
  <c r="C220" i="17"/>
  <c r="A219" i="17"/>
  <c r="X219" i="17"/>
  <c r="W219" i="17"/>
  <c r="S219" i="17"/>
  <c r="R219" i="17"/>
  <c r="Q219" i="17"/>
  <c r="N219" i="17"/>
  <c r="M219" i="17"/>
  <c r="L219" i="17"/>
  <c r="J219" i="17"/>
  <c r="I219" i="17"/>
  <c r="H219" i="17"/>
  <c r="G219" i="17"/>
  <c r="F219" i="17"/>
  <c r="E219" i="17"/>
  <c r="D219" i="17"/>
  <c r="A218" i="17"/>
  <c r="Y218" i="17"/>
  <c r="X218" i="17"/>
  <c r="W218" i="17"/>
  <c r="S218" i="17"/>
  <c r="R218" i="17"/>
  <c r="Q218" i="17"/>
  <c r="N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X217" i="17"/>
  <c r="W217" i="17"/>
  <c r="S217" i="17"/>
  <c r="R217" i="17"/>
  <c r="Q217" i="17"/>
  <c r="O217" i="17"/>
  <c r="N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U216" i="17"/>
  <c r="X216" i="17"/>
  <c r="W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A215" i="17"/>
  <c r="V215" i="17"/>
  <c r="Y215" i="17"/>
  <c r="X215" i="17"/>
  <c r="W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V214" i="17"/>
  <c r="X214" i="17"/>
  <c r="W214" i="17"/>
  <c r="S214" i="17"/>
  <c r="R214" i="17"/>
  <c r="Q214" i="17"/>
  <c r="N214" i="17"/>
  <c r="L214" i="17"/>
  <c r="J214" i="17"/>
  <c r="I214" i="17"/>
  <c r="H214" i="17"/>
  <c r="G214" i="17"/>
  <c r="F214" i="17"/>
  <c r="E214" i="17"/>
  <c r="D214" i="17"/>
  <c r="A213" i="17"/>
  <c r="P213" i="17"/>
  <c r="X213" i="17"/>
  <c r="W213" i="17"/>
  <c r="V213" i="17"/>
  <c r="U213" i="17"/>
  <c r="S213" i="17"/>
  <c r="R213" i="17"/>
  <c r="Q213" i="17"/>
  <c r="N213" i="17"/>
  <c r="L213" i="17"/>
  <c r="J213" i="17"/>
  <c r="I213" i="17"/>
  <c r="H213" i="17"/>
  <c r="G213" i="17"/>
  <c r="F213" i="17"/>
  <c r="E213" i="17"/>
  <c r="D213" i="17"/>
  <c r="A212" i="17"/>
  <c r="B212" i="17"/>
  <c r="Y212" i="17"/>
  <c r="X212" i="17"/>
  <c r="W212" i="17"/>
  <c r="T212" i="17"/>
  <c r="S212" i="17"/>
  <c r="R212" i="17"/>
  <c r="Q212" i="17"/>
  <c r="N212" i="17"/>
  <c r="L212" i="17"/>
  <c r="J212" i="17"/>
  <c r="I212" i="17"/>
  <c r="H212" i="17"/>
  <c r="G212" i="17"/>
  <c r="F212" i="17"/>
  <c r="E212" i="17"/>
  <c r="D212" i="17"/>
  <c r="A211" i="17"/>
  <c r="Y211" i="17"/>
  <c r="X211" i="17"/>
  <c r="W211" i="17"/>
  <c r="T211" i="17"/>
  <c r="S211" i="17"/>
  <c r="R211" i="17"/>
  <c r="Q211" i="17"/>
  <c r="N211" i="17"/>
  <c r="L211" i="17"/>
  <c r="J211" i="17"/>
  <c r="I211" i="17"/>
  <c r="H211" i="17"/>
  <c r="G211" i="17"/>
  <c r="F211" i="17"/>
  <c r="E211" i="17"/>
  <c r="D211" i="17"/>
  <c r="C211" i="17"/>
  <c r="A210" i="17"/>
  <c r="Y210" i="17"/>
  <c r="X210" i="17"/>
  <c r="W210" i="17"/>
  <c r="U210" i="17"/>
  <c r="S210" i="17"/>
  <c r="R210" i="17"/>
  <c r="Q210" i="17"/>
  <c r="N210" i="17"/>
  <c r="L210" i="17"/>
  <c r="J210" i="17"/>
  <c r="I210" i="17"/>
  <c r="H210" i="17"/>
  <c r="G210" i="17"/>
  <c r="F210" i="17"/>
  <c r="E210" i="17"/>
  <c r="D210" i="17"/>
  <c r="C210" i="17"/>
  <c r="B210" i="17"/>
  <c r="A209" i="17"/>
  <c r="X209" i="17"/>
  <c r="W209" i="17"/>
  <c r="T209" i="17"/>
  <c r="S209" i="17"/>
  <c r="R209" i="17"/>
  <c r="Q209" i="17"/>
  <c r="N209" i="17"/>
  <c r="L209" i="17"/>
  <c r="J209" i="17"/>
  <c r="I209" i="17"/>
  <c r="H209" i="17"/>
  <c r="G209" i="17"/>
  <c r="F209" i="17"/>
  <c r="E209" i="17"/>
  <c r="D209" i="17"/>
  <c r="C209" i="17"/>
  <c r="B209" i="17"/>
  <c r="A208" i="17"/>
  <c r="U208" i="17"/>
  <c r="Y208" i="17"/>
  <c r="X208" i="17"/>
  <c r="W208" i="17"/>
  <c r="V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6" i="17"/>
  <c r="X206" i="17"/>
  <c r="W206" i="17"/>
  <c r="U206" i="17"/>
  <c r="T206" i="17"/>
  <c r="S206" i="17"/>
  <c r="R206" i="17"/>
  <c r="Q206" i="17"/>
  <c r="P206" i="17"/>
  <c r="N206" i="17"/>
  <c r="L206" i="17"/>
  <c r="J206" i="17"/>
  <c r="I206" i="17"/>
  <c r="H206" i="17"/>
  <c r="G206" i="17"/>
  <c r="F206" i="17"/>
  <c r="E206" i="17"/>
  <c r="D206" i="17"/>
  <c r="C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U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C203" i="17"/>
  <c r="B203" i="17"/>
  <c r="A202" i="17"/>
  <c r="O202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1" i="17"/>
  <c r="O201" i="17"/>
  <c r="Y201" i="17"/>
  <c r="X201" i="17"/>
  <c r="W201" i="17"/>
  <c r="U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0" i="17"/>
  <c r="P200" i="17"/>
  <c r="Y200" i="17"/>
  <c r="X200" i="17"/>
  <c r="W200" i="17"/>
  <c r="V200" i="17"/>
  <c r="U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X198" i="17"/>
  <c r="W198" i="17"/>
  <c r="V198" i="17"/>
  <c r="U198" i="17"/>
  <c r="S198" i="17"/>
  <c r="R198" i="17"/>
  <c r="Q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A197" i="17"/>
  <c r="M197" i="17"/>
  <c r="X197" i="17"/>
  <c r="W197" i="17"/>
  <c r="T197" i="17"/>
  <c r="S197" i="17"/>
  <c r="R197" i="17"/>
  <c r="Q197" i="17"/>
  <c r="P197" i="17"/>
  <c r="N197" i="17"/>
  <c r="L197" i="17"/>
  <c r="J197" i="17"/>
  <c r="I197" i="17"/>
  <c r="H197" i="17"/>
  <c r="G197" i="17"/>
  <c r="F197" i="17"/>
  <c r="E197" i="17"/>
  <c r="D197" i="17"/>
  <c r="A196" i="17"/>
  <c r="Y196" i="17"/>
  <c r="X196" i="17"/>
  <c r="W196" i="17"/>
  <c r="V196" i="17"/>
  <c r="U196" i="17"/>
  <c r="S196" i="17"/>
  <c r="R196" i="17"/>
  <c r="Q196" i="17"/>
  <c r="P196" i="17"/>
  <c r="O196" i="17"/>
  <c r="N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P195" i="17"/>
  <c r="Y195" i="17"/>
  <c r="X195" i="17"/>
  <c r="W195" i="17"/>
  <c r="V195" i="17"/>
  <c r="U195" i="17"/>
  <c r="T195" i="17"/>
  <c r="S195" i="17"/>
  <c r="R195" i="17"/>
  <c r="Q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T194" i="17"/>
  <c r="S194" i="17"/>
  <c r="R194" i="17"/>
  <c r="Q194" i="17"/>
  <c r="P194" i="17"/>
  <c r="O194" i="17"/>
  <c r="N194" i="17"/>
  <c r="L194" i="17"/>
  <c r="J194" i="17"/>
  <c r="I194" i="17"/>
  <c r="H194" i="17"/>
  <c r="G194" i="17"/>
  <c r="F194" i="17"/>
  <c r="E194" i="17"/>
  <c r="D194" i="17"/>
  <c r="A193" i="17"/>
  <c r="K193" i="17"/>
  <c r="X193" i="17"/>
  <c r="W193" i="17"/>
  <c r="T193" i="17"/>
  <c r="S193" i="17"/>
  <c r="R193" i="17"/>
  <c r="Q193" i="17"/>
  <c r="P193" i="17"/>
  <c r="O193" i="17"/>
  <c r="N193" i="17"/>
  <c r="M193" i="17"/>
  <c r="L193" i="17"/>
  <c r="J193" i="17"/>
  <c r="I193" i="17"/>
  <c r="H193" i="17"/>
  <c r="G193" i="17"/>
  <c r="F193" i="17"/>
  <c r="E193" i="17"/>
  <c r="D193" i="17"/>
  <c r="A192" i="17"/>
  <c r="X192" i="17"/>
  <c r="W192" i="17"/>
  <c r="U192" i="17"/>
  <c r="T192" i="17"/>
  <c r="S192" i="17"/>
  <c r="R192" i="17"/>
  <c r="Q192" i="17"/>
  <c r="P192" i="17"/>
  <c r="O192" i="17"/>
  <c r="N192" i="17"/>
  <c r="M192" i="17"/>
  <c r="L192" i="17"/>
  <c r="J192" i="17"/>
  <c r="I192" i="17"/>
  <c r="H192" i="17"/>
  <c r="G192" i="17"/>
  <c r="F192" i="17"/>
  <c r="E192" i="17"/>
  <c r="D192" i="17"/>
  <c r="A191" i="17"/>
  <c r="Y191" i="17"/>
  <c r="X191" i="17"/>
  <c r="W191" i="17"/>
  <c r="U191" i="17"/>
  <c r="T191" i="17"/>
  <c r="S191" i="17"/>
  <c r="R191" i="17"/>
  <c r="Q191" i="17"/>
  <c r="P191" i="17"/>
  <c r="O191" i="17"/>
  <c r="N191" i="17"/>
  <c r="L191" i="17"/>
  <c r="J191" i="17"/>
  <c r="I191" i="17"/>
  <c r="H191" i="17"/>
  <c r="G191" i="17"/>
  <c r="F191" i="17"/>
  <c r="E191" i="17"/>
  <c r="D191" i="17"/>
  <c r="A190" i="17"/>
  <c r="Y190" i="17"/>
  <c r="X190" i="17"/>
  <c r="W190" i="17"/>
  <c r="U190" i="17"/>
  <c r="T190" i="17"/>
  <c r="S190" i="17"/>
  <c r="R190" i="17"/>
  <c r="Q190" i="17"/>
  <c r="N190" i="17"/>
  <c r="M190" i="17"/>
  <c r="L190" i="17"/>
  <c r="K190" i="17"/>
  <c r="J190" i="17"/>
  <c r="I190" i="17"/>
  <c r="H190" i="17"/>
  <c r="G190" i="17"/>
  <c r="F190" i="17"/>
  <c r="E190" i="17"/>
  <c r="D190" i="17"/>
  <c r="A189" i="17"/>
  <c r="Y189" i="17"/>
  <c r="X189" i="17"/>
  <c r="W189" i="17"/>
  <c r="V189" i="17"/>
  <c r="U189" i="17"/>
  <c r="S189" i="17"/>
  <c r="R189" i="17"/>
  <c r="Q189" i="17"/>
  <c r="P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S188" i="17"/>
  <c r="R188" i="17"/>
  <c r="Q188" i="17"/>
  <c r="P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X187" i="17"/>
  <c r="W187" i="17"/>
  <c r="U187" i="17"/>
  <c r="S187" i="17"/>
  <c r="R187" i="17"/>
  <c r="Q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A186" i="17"/>
  <c r="U186" i="17"/>
  <c r="Y186" i="17"/>
  <c r="X186" i="17"/>
  <c r="W186" i="17"/>
  <c r="V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A184" i="17"/>
  <c r="Y184" i="17"/>
  <c r="X184" i="17"/>
  <c r="W184" i="17"/>
  <c r="U184" i="17"/>
  <c r="T184" i="17"/>
  <c r="S184" i="17"/>
  <c r="R184" i="17"/>
  <c r="Q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B184" i="17"/>
  <c r="A183" i="17"/>
  <c r="X183" i="17"/>
  <c r="W183" i="17"/>
  <c r="U183" i="17"/>
  <c r="T183" i="17"/>
  <c r="S183" i="17"/>
  <c r="R183" i="17"/>
  <c r="Q183" i="17"/>
  <c r="P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A182" i="17"/>
  <c r="X182" i="17"/>
  <c r="W182" i="17"/>
  <c r="T182" i="17"/>
  <c r="S182" i="17"/>
  <c r="R182" i="17"/>
  <c r="Q182" i="17"/>
  <c r="P182" i="17"/>
  <c r="N182" i="17"/>
  <c r="L182" i="17"/>
  <c r="J182" i="17"/>
  <c r="I182" i="17"/>
  <c r="H182" i="17"/>
  <c r="G182" i="17"/>
  <c r="F182" i="17"/>
  <c r="E182" i="17"/>
  <c r="D182" i="17"/>
  <c r="A181" i="17"/>
  <c r="Y181" i="17"/>
  <c r="X181" i="17"/>
  <c r="W181" i="17"/>
  <c r="V181" i="17"/>
  <c r="T181" i="17"/>
  <c r="S181" i="17"/>
  <c r="R181" i="17"/>
  <c r="Q181" i="17"/>
  <c r="N181" i="17"/>
  <c r="M181" i="17"/>
  <c r="L181" i="17"/>
  <c r="K181" i="17"/>
  <c r="J181" i="17"/>
  <c r="I181" i="17"/>
  <c r="H181" i="17"/>
  <c r="G181" i="17"/>
  <c r="F181" i="17"/>
  <c r="E181" i="17"/>
  <c r="D181" i="17"/>
  <c r="B181" i="17"/>
  <c r="A180" i="17"/>
  <c r="Y180" i="17"/>
  <c r="X180" i="17"/>
  <c r="W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X178" i="17"/>
  <c r="W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U176" i="17"/>
  <c r="X176" i="17"/>
  <c r="W176" i="17"/>
  <c r="V176" i="17"/>
  <c r="S176" i="17"/>
  <c r="R176" i="17"/>
  <c r="Q176" i="17"/>
  <c r="P176" i="17"/>
  <c r="O176" i="17"/>
  <c r="N176" i="17"/>
  <c r="M176" i="17"/>
  <c r="L176" i="17"/>
  <c r="J176" i="17"/>
  <c r="I176" i="17"/>
  <c r="H176" i="17"/>
  <c r="G176" i="17"/>
  <c r="F176" i="17"/>
  <c r="E176" i="17"/>
  <c r="D176" i="17"/>
  <c r="B176" i="17"/>
  <c r="A175" i="17"/>
  <c r="U175" i="17"/>
  <c r="X175" i="17"/>
  <c r="W175" i="17"/>
  <c r="V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4" i="17"/>
  <c r="V174" i="17"/>
  <c r="Y174" i="17"/>
  <c r="X174" i="17"/>
  <c r="W174" i="17"/>
  <c r="T174" i="17"/>
  <c r="S174" i="17"/>
  <c r="R174" i="17"/>
  <c r="Q174" i="17"/>
  <c r="N174" i="17"/>
  <c r="L174" i="17"/>
  <c r="K174" i="17"/>
  <c r="J174" i="17"/>
  <c r="I174" i="17"/>
  <c r="H174" i="17"/>
  <c r="G174" i="17"/>
  <c r="F174" i="17"/>
  <c r="E174" i="17"/>
  <c r="D174" i="17"/>
  <c r="C174" i="17"/>
  <c r="A173" i="17"/>
  <c r="B173" i="17"/>
  <c r="X173" i="17"/>
  <c r="W173" i="17"/>
  <c r="S173" i="17"/>
  <c r="R173" i="17"/>
  <c r="Q173" i="17"/>
  <c r="N173" i="17"/>
  <c r="M173" i="17"/>
  <c r="L173" i="17"/>
  <c r="J173" i="17"/>
  <c r="I173" i="17"/>
  <c r="H173" i="17"/>
  <c r="G173" i="17"/>
  <c r="F173" i="17"/>
  <c r="E173" i="17"/>
  <c r="D173" i="17"/>
  <c r="A172" i="17"/>
  <c r="Y172" i="17"/>
  <c r="X172" i="17"/>
  <c r="W172" i="17"/>
  <c r="S172" i="17"/>
  <c r="R172" i="17"/>
  <c r="Q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A171" i="17"/>
  <c r="Y171" i="17"/>
  <c r="X171" i="17"/>
  <c r="W171" i="17"/>
  <c r="S171" i="17"/>
  <c r="R171" i="17"/>
  <c r="Q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A170" i="17"/>
  <c r="X170" i="17"/>
  <c r="W170" i="17"/>
  <c r="S170" i="17"/>
  <c r="R170" i="17"/>
  <c r="Q170" i="17"/>
  <c r="N170" i="17"/>
  <c r="M170" i="17"/>
  <c r="L170" i="17"/>
  <c r="K170" i="17"/>
  <c r="J170" i="17"/>
  <c r="I170" i="17"/>
  <c r="H170" i="17"/>
  <c r="G170" i="17"/>
  <c r="F170" i="17"/>
  <c r="E170" i="17"/>
  <c r="D170" i="17"/>
  <c r="B170" i="17"/>
  <c r="A169" i="17"/>
  <c r="U169" i="17"/>
  <c r="X169" i="17"/>
  <c r="W169" i="17"/>
  <c r="V169" i="17"/>
  <c r="S169" i="17"/>
  <c r="R169" i="17"/>
  <c r="Q169" i="17"/>
  <c r="P169" i="17"/>
  <c r="N169" i="17"/>
  <c r="L169" i="17"/>
  <c r="J169" i="17"/>
  <c r="I169" i="17"/>
  <c r="H169" i="17"/>
  <c r="G169" i="17"/>
  <c r="F169" i="17"/>
  <c r="E169" i="17"/>
  <c r="D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M167" i="17"/>
  <c r="Y167" i="17"/>
  <c r="X167" i="17"/>
  <c r="W167" i="17"/>
  <c r="T167" i="17"/>
  <c r="S167" i="17"/>
  <c r="R167" i="17"/>
  <c r="Q167" i="17"/>
  <c r="P167" i="17"/>
  <c r="O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S166" i="17"/>
  <c r="R166" i="17"/>
  <c r="Q166" i="17"/>
  <c r="P166" i="17"/>
  <c r="N166" i="17"/>
  <c r="M166" i="17"/>
  <c r="L166" i="17"/>
  <c r="J166" i="17"/>
  <c r="I166" i="17"/>
  <c r="H166" i="17"/>
  <c r="G166" i="17"/>
  <c r="F166" i="17"/>
  <c r="E166" i="17"/>
  <c r="D166" i="17"/>
  <c r="C166" i="17"/>
  <c r="B166" i="17"/>
  <c r="A165" i="17"/>
  <c r="X165" i="17"/>
  <c r="W165" i="17"/>
  <c r="S165" i="17"/>
  <c r="R165" i="17"/>
  <c r="Q165" i="17"/>
  <c r="N165" i="17"/>
  <c r="L165" i="17"/>
  <c r="J165" i="17"/>
  <c r="I165" i="17"/>
  <c r="H165" i="17"/>
  <c r="G165" i="17"/>
  <c r="F165" i="17"/>
  <c r="E165" i="17"/>
  <c r="D165" i="17"/>
  <c r="A164" i="17"/>
  <c r="B164" i="17"/>
  <c r="X164" i="17"/>
  <c r="W164" i="17"/>
  <c r="S164" i="17"/>
  <c r="R164" i="17"/>
  <c r="Q164" i="17"/>
  <c r="N164" i="17"/>
  <c r="L164" i="17"/>
  <c r="J164" i="17"/>
  <c r="I164" i="17"/>
  <c r="H164" i="17"/>
  <c r="G164" i="17"/>
  <c r="F164" i="17"/>
  <c r="E164" i="17"/>
  <c r="D164" i="17"/>
  <c r="A163" i="17"/>
  <c r="V163" i="17"/>
  <c r="Y163" i="17"/>
  <c r="X163" i="17"/>
  <c r="W163" i="17"/>
  <c r="S163" i="17"/>
  <c r="R163" i="17"/>
  <c r="Q163" i="17"/>
  <c r="O163" i="17"/>
  <c r="N163" i="17"/>
  <c r="L163" i="17"/>
  <c r="K163" i="17"/>
  <c r="J163" i="17"/>
  <c r="I163" i="17"/>
  <c r="H163" i="17"/>
  <c r="G163" i="17"/>
  <c r="F163" i="17"/>
  <c r="E163" i="17"/>
  <c r="D163" i="17"/>
  <c r="C163" i="17"/>
  <c r="A162" i="17"/>
  <c r="C162" i="17"/>
  <c r="X162" i="17"/>
  <c r="W162" i="17"/>
  <c r="S162" i="17"/>
  <c r="R162" i="17"/>
  <c r="Q162" i="17"/>
  <c r="N162" i="17"/>
  <c r="L162" i="17"/>
  <c r="J162" i="17"/>
  <c r="I162" i="17"/>
  <c r="H162" i="17"/>
  <c r="G162" i="17"/>
  <c r="F162" i="17"/>
  <c r="E162" i="17"/>
  <c r="D162" i="17"/>
  <c r="A161" i="17"/>
  <c r="B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A160" i="17"/>
  <c r="K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J160" i="17"/>
  <c r="I160" i="17"/>
  <c r="H160" i="17"/>
  <c r="G160" i="17"/>
  <c r="F160" i="17"/>
  <c r="E160" i="17"/>
  <c r="D160" i="17"/>
  <c r="C160" i="17"/>
  <c r="B160" i="17"/>
  <c r="A159" i="17"/>
  <c r="V159" i="17"/>
  <c r="Y159" i="17"/>
  <c r="X159" i="17"/>
  <c r="W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K158" i="17"/>
  <c r="X158" i="17"/>
  <c r="W158" i="17"/>
  <c r="U158" i="17"/>
  <c r="T158" i="17"/>
  <c r="S158" i="17"/>
  <c r="R158" i="17"/>
  <c r="Q158" i="17"/>
  <c r="P158" i="17"/>
  <c r="O158" i="17"/>
  <c r="N158" i="17"/>
  <c r="M158" i="17"/>
  <c r="L158" i="17"/>
  <c r="J158" i="17"/>
  <c r="I158" i="17"/>
  <c r="H158" i="17"/>
  <c r="G158" i="17"/>
  <c r="F158" i="17"/>
  <c r="E158" i="17"/>
  <c r="D158" i="17"/>
  <c r="C158" i="17"/>
  <c r="A157" i="17"/>
  <c r="Y157" i="17"/>
  <c r="X157" i="17"/>
  <c r="W157" i="17"/>
  <c r="S157" i="17"/>
  <c r="R157" i="17"/>
  <c r="Q157" i="17"/>
  <c r="P157" i="17"/>
  <c r="O157" i="17"/>
  <c r="N157" i="17"/>
  <c r="L157" i="17"/>
  <c r="J157" i="17"/>
  <c r="I157" i="17"/>
  <c r="H157" i="17"/>
  <c r="G157" i="17"/>
  <c r="F157" i="17"/>
  <c r="E157" i="17"/>
  <c r="D157" i="17"/>
  <c r="A156" i="17"/>
  <c r="X156" i="17"/>
  <c r="W156" i="17"/>
  <c r="S156" i="17"/>
  <c r="R156" i="17"/>
  <c r="Q156" i="17"/>
  <c r="N156" i="17"/>
  <c r="M156" i="17"/>
  <c r="L156" i="17"/>
  <c r="K156" i="17"/>
  <c r="J156" i="17"/>
  <c r="I156" i="17"/>
  <c r="H156" i="17"/>
  <c r="G156" i="17"/>
  <c r="F156" i="17"/>
  <c r="E156" i="17"/>
  <c r="D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X154" i="17"/>
  <c r="W154" i="17"/>
  <c r="S154" i="17"/>
  <c r="R154" i="17"/>
  <c r="Q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B154" i="17"/>
  <c r="A153" i="17"/>
  <c r="Y153" i="17"/>
  <c r="X153" i="17"/>
  <c r="W153" i="17"/>
  <c r="V153" i="17"/>
  <c r="T153" i="17"/>
  <c r="S153" i="17"/>
  <c r="R153" i="17"/>
  <c r="Q153" i="17"/>
  <c r="P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2" i="17"/>
  <c r="M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S151" i="17"/>
  <c r="R151" i="17"/>
  <c r="Q151" i="17"/>
  <c r="N151" i="17"/>
  <c r="M151" i="17"/>
  <c r="L151" i="17"/>
  <c r="J151" i="17"/>
  <c r="I151" i="17"/>
  <c r="H151" i="17"/>
  <c r="G151" i="17"/>
  <c r="F151" i="17"/>
  <c r="E151" i="17"/>
  <c r="D151" i="17"/>
  <c r="A150" i="17"/>
  <c r="Y150" i="17"/>
  <c r="X150" i="17"/>
  <c r="W150" i="17"/>
  <c r="V150" i="17"/>
  <c r="T150" i="17"/>
  <c r="S150" i="17"/>
  <c r="R150" i="17"/>
  <c r="Q150" i="17"/>
  <c r="O150" i="17"/>
  <c r="N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U149" i="17"/>
  <c r="T149" i="17"/>
  <c r="S149" i="17"/>
  <c r="R149" i="17"/>
  <c r="Q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X148" i="17"/>
  <c r="W148" i="17"/>
  <c r="V148" i="17"/>
  <c r="U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A147" i="17"/>
  <c r="T147" i="17"/>
  <c r="Y147" i="17"/>
  <c r="X147" i="17"/>
  <c r="W147" i="17"/>
  <c r="V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A145" i="17"/>
  <c r="T145" i="17"/>
  <c r="Y145" i="17"/>
  <c r="X145" i="17"/>
  <c r="W145" i="17"/>
  <c r="V145" i="17"/>
  <c r="U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X144" i="17"/>
  <c r="W144" i="17"/>
  <c r="U144" i="17"/>
  <c r="T144" i="17"/>
  <c r="S144" i="17"/>
  <c r="R144" i="17"/>
  <c r="Q144" i="17"/>
  <c r="P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A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B143" i="17"/>
  <c r="A142" i="17"/>
  <c r="X142" i="17"/>
  <c r="W142" i="17"/>
  <c r="V142" i="17"/>
  <c r="T142" i="17"/>
  <c r="S142" i="17"/>
  <c r="R142" i="17"/>
  <c r="Q142" i="17"/>
  <c r="P142" i="17"/>
  <c r="O142" i="17"/>
  <c r="N142" i="17"/>
  <c r="M142" i="17"/>
  <c r="L142" i="17"/>
  <c r="J142" i="17"/>
  <c r="I142" i="17"/>
  <c r="H142" i="17"/>
  <c r="G142" i="17"/>
  <c r="F142" i="17"/>
  <c r="E142" i="17"/>
  <c r="D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L141" i="17"/>
  <c r="J141" i="17"/>
  <c r="I141" i="17"/>
  <c r="H141" i="17"/>
  <c r="G141" i="17"/>
  <c r="F141" i="17"/>
  <c r="E141" i="17"/>
  <c r="D141" i="17"/>
  <c r="C141" i="17"/>
  <c r="A140" i="17"/>
  <c r="M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S139" i="17"/>
  <c r="R139" i="17"/>
  <c r="Q139" i="17"/>
  <c r="N139" i="17"/>
  <c r="L139" i="17"/>
  <c r="J139" i="17"/>
  <c r="I139" i="17"/>
  <c r="H139" i="17"/>
  <c r="G139" i="17"/>
  <c r="F139" i="17"/>
  <c r="E139" i="17"/>
  <c r="D139" i="17"/>
  <c r="A138" i="17"/>
  <c r="V138" i="17"/>
  <c r="Y138" i="17"/>
  <c r="X138" i="17"/>
  <c r="W138" i="17"/>
  <c r="T138" i="17"/>
  <c r="S138" i="17"/>
  <c r="R138" i="17"/>
  <c r="Q138" i="17"/>
  <c r="O138" i="17"/>
  <c r="N138" i="17"/>
  <c r="L138" i="17"/>
  <c r="J138" i="17"/>
  <c r="I138" i="17"/>
  <c r="H138" i="17"/>
  <c r="G138" i="17"/>
  <c r="F138" i="17"/>
  <c r="E138" i="17"/>
  <c r="D138" i="17"/>
  <c r="C138" i="17"/>
  <c r="A137" i="17"/>
  <c r="V137" i="17"/>
  <c r="Y137" i="17"/>
  <c r="X137" i="17"/>
  <c r="W137" i="17"/>
  <c r="T137" i="17"/>
  <c r="S137" i="17"/>
  <c r="R137" i="17"/>
  <c r="Q137" i="17"/>
  <c r="P137" i="17"/>
  <c r="N137" i="17"/>
  <c r="L137" i="17"/>
  <c r="J137" i="17"/>
  <c r="I137" i="17"/>
  <c r="H137" i="17"/>
  <c r="G137" i="17"/>
  <c r="F137" i="17"/>
  <c r="E137" i="17"/>
  <c r="D137" i="17"/>
  <c r="C137" i="17"/>
  <c r="A136" i="17"/>
  <c r="T136" i="17"/>
  <c r="Y136" i="17"/>
  <c r="X136" i="17"/>
  <c r="W136" i="17"/>
  <c r="S136" i="17"/>
  <c r="R136" i="17"/>
  <c r="Q136" i="17"/>
  <c r="N136" i="17"/>
  <c r="M136" i="17"/>
  <c r="L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M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X130" i="17"/>
  <c r="W130" i="17"/>
  <c r="V130" i="17"/>
  <c r="U130" i="17"/>
  <c r="S130" i="17"/>
  <c r="R130" i="17"/>
  <c r="Q130" i="17"/>
  <c r="O130" i="17"/>
  <c r="N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U128" i="17"/>
  <c r="S128" i="17"/>
  <c r="R128" i="17"/>
  <c r="Q128" i="17"/>
  <c r="P128" i="17"/>
  <c r="O128" i="17"/>
  <c r="N128" i="17"/>
  <c r="M128" i="17"/>
  <c r="L128" i="17"/>
  <c r="J128" i="17"/>
  <c r="I128" i="17"/>
  <c r="H128" i="17"/>
  <c r="G128" i="17"/>
  <c r="F128" i="17"/>
  <c r="E128" i="17"/>
  <c r="D128" i="17"/>
  <c r="B128" i="17"/>
  <c r="A127" i="17"/>
  <c r="Y127" i="17"/>
  <c r="X127" i="17"/>
  <c r="W127" i="17"/>
  <c r="T127" i="17"/>
  <c r="S127" i="17"/>
  <c r="R127" i="17"/>
  <c r="Q127" i="17"/>
  <c r="P127" i="17"/>
  <c r="O127" i="17"/>
  <c r="N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X126" i="17"/>
  <c r="W126" i="17"/>
  <c r="T126" i="17"/>
  <c r="S126" i="17"/>
  <c r="R126" i="17"/>
  <c r="Q126" i="17"/>
  <c r="P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T124" i="17"/>
  <c r="Y124" i="17"/>
  <c r="X124" i="17"/>
  <c r="W124" i="17"/>
  <c r="V124" i="17"/>
  <c r="U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P123" i="17"/>
  <c r="Y123" i="17"/>
  <c r="X123" i="17"/>
  <c r="W123" i="17"/>
  <c r="V123" i="17"/>
  <c r="U123" i="17"/>
  <c r="T123" i="17"/>
  <c r="S123" i="17"/>
  <c r="R123" i="17"/>
  <c r="Q123" i="17"/>
  <c r="O123" i="17"/>
  <c r="N123" i="17"/>
  <c r="L123" i="17"/>
  <c r="J123" i="17"/>
  <c r="I123" i="17"/>
  <c r="H123" i="17"/>
  <c r="G123" i="17"/>
  <c r="F123" i="17"/>
  <c r="E123" i="17"/>
  <c r="D123" i="17"/>
  <c r="C123" i="17"/>
  <c r="B123" i="17"/>
  <c r="A122" i="17"/>
  <c r="O122" i="17"/>
  <c r="Y122" i="17"/>
  <c r="X122" i="17"/>
  <c r="W122" i="17"/>
  <c r="V122" i="17"/>
  <c r="U122" i="17"/>
  <c r="T122" i="17"/>
  <c r="S122" i="17"/>
  <c r="R122" i="17"/>
  <c r="Q122" i="17"/>
  <c r="P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T121" i="17"/>
  <c r="Y121" i="17"/>
  <c r="X121" i="17"/>
  <c r="W121" i="17"/>
  <c r="V121" i="17"/>
  <c r="U121" i="17"/>
  <c r="S121" i="17"/>
  <c r="R121" i="17"/>
  <c r="Q121" i="17"/>
  <c r="N121" i="17"/>
  <c r="L121" i="17"/>
  <c r="J121" i="17"/>
  <c r="I121" i="17"/>
  <c r="H121" i="17"/>
  <c r="G121" i="17"/>
  <c r="F121" i="17"/>
  <c r="E121" i="17"/>
  <c r="D121" i="17"/>
  <c r="A120" i="17"/>
  <c r="Y120" i="17"/>
  <c r="X120" i="17"/>
  <c r="W120" i="17"/>
  <c r="V120" i="17"/>
  <c r="T120" i="17"/>
  <c r="S120" i="17"/>
  <c r="R120" i="17"/>
  <c r="Q120" i="17"/>
  <c r="N120" i="17"/>
  <c r="L120" i="17"/>
  <c r="J120" i="17"/>
  <c r="I120" i="17"/>
  <c r="H120" i="17"/>
  <c r="G120" i="17"/>
  <c r="F120" i="17"/>
  <c r="E120" i="17"/>
  <c r="D120" i="17"/>
  <c r="A119" i="17"/>
  <c r="Y119" i="17"/>
  <c r="X119" i="17"/>
  <c r="W119" i="17"/>
  <c r="V119" i="17"/>
  <c r="S119" i="17"/>
  <c r="R119" i="17"/>
  <c r="Q119" i="17"/>
  <c r="P119" i="17"/>
  <c r="N119" i="17"/>
  <c r="L119" i="17"/>
  <c r="J119" i="17"/>
  <c r="I119" i="17"/>
  <c r="H119" i="17"/>
  <c r="G119" i="17"/>
  <c r="F119" i="17"/>
  <c r="E119" i="17"/>
  <c r="D119" i="17"/>
  <c r="A118" i="17"/>
  <c r="Y118" i="17"/>
  <c r="X118" i="17"/>
  <c r="W118" i="17"/>
  <c r="U118" i="17"/>
  <c r="S118" i="17"/>
  <c r="R118" i="17"/>
  <c r="Q118" i="17"/>
  <c r="O118" i="17"/>
  <c r="N118" i="17"/>
  <c r="L118" i="17"/>
  <c r="J118" i="17"/>
  <c r="I118" i="17"/>
  <c r="H118" i="17"/>
  <c r="G118" i="17"/>
  <c r="F118" i="17"/>
  <c r="E118" i="17"/>
  <c r="D118" i="17"/>
  <c r="A117" i="17"/>
  <c r="X117" i="17"/>
  <c r="W117" i="17"/>
  <c r="V117" i="17"/>
  <c r="T117" i="17"/>
  <c r="S117" i="17"/>
  <c r="R117" i="17"/>
  <c r="Q117" i="17"/>
  <c r="P117" i="17"/>
  <c r="O117" i="17"/>
  <c r="N117" i="17"/>
  <c r="M117" i="17"/>
  <c r="L117" i="17"/>
  <c r="J117" i="17"/>
  <c r="I117" i="17"/>
  <c r="H117" i="17"/>
  <c r="G117" i="17"/>
  <c r="F117" i="17"/>
  <c r="E117" i="17"/>
  <c r="D117" i="17"/>
  <c r="A116" i="17"/>
  <c r="Y116" i="17"/>
  <c r="X116" i="17"/>
  <c r="W116" i="17"/>
  <c r="V116" i="17"/>
  <c r="U116" i="17"/>
  <c r="S116" i="17"/>
  <c r="R116" i="17"/>
  <c r="Q116" i="17"/>
  <c r="P116" i="17"/>
  <c r="N116" i="17"/>
  <c r="M116" i="17"/>
  <c r="L116" i="17"/>
  <c r="J116" i="17"/>
  <c r="I116" i="17"/>
  <c r="H116" i="17"/>
  <c r="G116" i="17"/>
  <c r="F116" i="17"/>
  <c r="E116" i="17"/>
  <c r="D116" i="17"/>
  <c r="C116" i="17"/>
  <c r="A115" i="17"/>
  <c r="X115" i="17"/>
  <c r="W115" i="17"/>
  <c r="U115" i="17"/>
  <c r="T115" i="17"/>
  <c r="S115" i="17"/>
  <c r="R115" i="17"/>
  <c r="Q115" i="17"/>
  <c r="O115" i="17"/>
  <c r="N115" i="17"/>
  <c r="M115" i="17"/>
  <c r="L115" i="17"/>
  <c r="J115" i="17"/>
  <c r="I115" i="17"/>
  <c r="H115" i="17"/>
  <c r="G115" i="17"/>
  <c r="F115" i="17"/>
  <c r="E115" i="17"/>
  <c r="D115" i="17"/>
  <c r="C115" i="17"/>
  <c r="A114" i="17"/>
  <c r="C114" i="17"/>
  <c r="X114" i="17"/>
  <c r="W114" i="17"/>
  <c r="T114" i="17"/>
  <c r="S114" i="17"/>
  <c r="R114" i="17"/>
  <c r="Q114" i="17"/>
  <c r="O114" i="17"/>
  <c r="N114" i="17"/>
  <c r="L114" i="17"/>
  <c r="J114" i="17"/>
  <c r="I114" i="17"/>
  <c r="H114" i="17"/>
  <c r="G114" i="17"/>
  <c r="F114" i="17"/>
  <c r="E114" i="17"/>
  <c r="D114" i="17"/>
  <c r="A113" i="17"/>
  <c r="Y113" i="17"/>
  <c r="X113" i="17"/>
  <c r="W113" i="17"/>
  <c r="V113" i="17"/>
  <c r="S113" i="17"/>
  <c r="R113" i="17"/>
  <c r="Q113" i="17"/>
  <c r="P113" i="17"/>
  <c r="O113" i="17"/>
  <c r="N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U112" i="17"/>
  <c r="T112" i="17"/>
  <c r="S112" i="17"/>
  <c r="R112" i="17"/>
  <c r="Q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T110" i="17"/>
  <c r="S110" i="17"/>
  <c r="R110" i="17"/>
  <c r="Q110" i="17"/>
  <c r="N110" i="17"/>
  <c r="L110" i="17"/>
  <c r="K110" i="17"/>
  <c r="J110" i="17"/>
  <c r="I110" i="17"/>
  <c r="H110" i="17"/>
  <c r="G110" i="17"/>
  <c r="F110" i="17"/>
  <c r="E110" i="17"/>
  <c r="D110" i="17"/>
  <c r="C110" i="17"/>
  <c r="A109" i="17"/>
  <c r="X109" i="17"/>
  <c r="W109" i="17"/>
  <c r="V109" i="17"/>
  <c r="U109" i="17"/>
  <c r="S109" i="17"/>
  <c r="R109" i="17"/>
  <c r="Q109" i="17"/>
  <c r="P109" i="17"/>
  <c r="N109" i="17"/>
  <c r="M109" i="17"/>
  <c r="L109" i="17"/>
  <c r="K109" i="17"/>
  <c r="J109" i="17"/>
  <c r="I109" i="17"/>
  <c r="H109" i="17"/>
  <c r="G109" i="17"/>
  <c r="F109" i="17"/>
  <c r="E109" i="17"/>
  <c r="D109" i="17"/>
  <c r="B109" i="17"/>
  <c r="A108" i="17"/>
  <c r="X108" i="17"/>
  <c r="W108" i="17"/>
  <c r="S108" i="17"/>
  <c r="R108" i="17"/>
  <c r="Q108" i="17"/>
  <c r="P108" i="17"/>
  <c r="O108" i="17"/>
  <c r="N108" i="17"/>
  <c r="L108" i="17"/>
  <c r="K108" i="17"/>
  <c r="J108" i="17"/>
  <c r="I108" i="17"/>
  <c r="H108" i="17"/>
  <c r="G108" i="17"/>
  <c r="F108" i="17"/>
  <c r="E108" i="17"/>
  <c r="D108" i="17"/>
  <c r="C108" i="17"/>
  <c r="A107" i="17"/>
  <c r="Y107" i="17"/>
  <c r="X107" i="17"/>
  <c r="W107" i="17"/>
  <c r="S107" i="17"/>
  <c r="R107" i="17"/>
  <c r="Q107" i="17"/>
  <c r="N107" i="17"/>
  <c r="M107" i="17"/>
  <c r="L107" i="17"/>
  <c r="K107" i="17"/>
  <c r="J107" i="17"/>
  <c r="I107" i="17"/>
  <c r="H107" i="17"/>
  <c r="G107" i="17"/>
  <c r="F107" i="17"/>
  <c r="E107" i="17"/>
  <c r="D107" i="17"/>
  <c r="B107" i="17"/>
  <c r="A106" i="17"/>
  <c r="X106" i="17"/>
  <c r="W106" i="17"/>
  <c r="U106" i="17"/>
  <c r="S106" i="17"/>
  <c r="R106" i="17"/>
  <c r="Q106" i="17"/>
  <c r="P106" i="17"/>
  <c r="N106" i="17"/>
  <c r="M106" i="17"/>
  <c r="L106" i="17"/>
  <c r="K106" i="17"/>
  <c r="J106" i="17"/>
  <c r="I106" i="17"/>
  <c r="H106" i="17"/>
  <c r="G106" i="17"/>
  <c r="F106" i="17"/>
  <c r="E106" i="17"/>
  <c r="D106" i="17"/>
  <c r="A105" i="17"/>
  <c r="Y105" i="17"/>
  <c r="X105" i="17"/>
  <c r="W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X104" i="17"/>
  <c r="W104" i="17"/>
  <c r="T104" i="17"/>
  <c r="S104" i="17"/>
  <c r="R104" i="17"/>
  <c r="Q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3" i="17"/>
  <c r="Y103" i="17"/>
  <c r="X103" i="17"/>
  <c r="W103" i="17"/>
  <c r="U103" i="17"/>
  <c r="S103" i="17"/>
  <c r="R103" i="17"/>
  <c r="Q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X102" i="17"/>
  <c r="W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A101" i="17"/>
  <c r="V101" i="17"/>
  <c r="Y101" i="17"/>
  <c r="X101" i="17"/>
  <c r="W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X100" i="17"/>
  <c r="W100" i="17"/>
  <c r="V100" i="17"/>
  <c r="U100" i="17"/>
  <c r="T100" i="17"/>
  <c r="S100" i="17"/>
  <c r="R100" i="17"/>
  <c r="Q100" i="17"/>
  <c r="P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A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B99" i="17"/>
  <c r="A98" i="17"/>
  <c r="V98" i="17"/>
  <c r="X98" i="17"/>
  <c r="W98" i="17"/>
  <c r="S98" i="17"/>
  <c r="R98" i="17"/>
  <c r="Q98" i="17"/>
  <c r="N98" i="17"/>
  <c r="L98" i="17"/>
  <c r="J98" i="17"/>
  <c r="I98" i="17"/>
  <c r="H98" i="17"/>
  <c r="G98" i="17"/>
  <c r="F98" i="17"/>
  <c r="E98" i="17"/>
  <c r="D98" i="17"/>
  <c r="C98" i="17"/>
  <c r="A97" i="17"/>
  <c r="Y97" i="17"/>
  <c r="X97" i="17"/>
  <c r="W97" i="17"/>
  <c r="S97" i="17"/>
  <c r="R97" i="17"/>
  <c r="Q97" i="17"/>
  <c r="N97" i="17"/>
  <c r="L97" i="17"/>
  <c r="J97" i="17"/>
  <c r="I97" i="17"/>
  <c r="H97" i="17"/>
  <c r="G97" i="17"/>
  <c r="F97" i="17"/>
  <c r="E97" i="17"/>
  <c r="D97" i="17"/>
  <c r="C97" i="17"/>
  <c r="A96" i="17"/>
  <c r="Y96" i="17"/>
  <c r="X96" i="17"/>
  <c r="W96" i="17"/>
  <c r="V96" i="17"/>
  <c r="U96" i="17"/>
  <c r="T96" i="17"/>
  <c r="S96" i="17"/>
  <c r="R96" i="17"/>
  <c r="Q96" i="17"/>
  <c r="P96" i="17"/>
  <c r="N96" i="17"/>
  <c r="M96" i="17"/>
  <c r="L96" i="17"/>
  <c r="J96" i="17"/>
  <c r="I96" i="17"/>
  <c r="H96" i="17"/>
  <c r="G96" i="17"/>
  <c r="F96" i="17"/>
  <c r="E96" i="17"/>
  <c r="D96" i="17"/>
  <c r="C96" i="17"/>
  <c r="B96" i="17"/>
  <c r="A95" i="17"/>
  <c r="V95" i="17"/>
  <c r="Y95" i="17"/>
  <c r="X95" i="17"/>
  <c r="W95" i="17"/>
  <c r="T95" i="17"/>
  <c r="S95" i="17"/>
  <c r="R95" i="17"/>
  <c r="Q95" i="17"/>
  <c r="P95" i="17"/>
  <c r="N95" i="17"/>
  <c r="L95" i="17"/>
  <c r="J95" i="17"/>
  <c r="I95" i="17"/>
  <c r="H95" i="17"/>
  <c r="G95" i="17"/>
  <c r="F95" i="17"/>
  <c r="E95" i="17"/>
  <c r="D95" i="17"/>
  <c r="C95" i="17"/>
  <c r="A94" i="17"/>
  <c r="V94" i="17"/>
  <c r="Y94" i="17"/>
  <c r="X94" i="17"/>
  <c r="W94" i="17"/>
  <c r="T94" i="17"/>
  <c r="S94" i="17"/>
  <c r="R94" i="17"/>
  <c r="Q94" i="17"/>
  <c r="N94" i="17"/>
  <c r="L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S93" i="17"/>
  <c r="R93" i="17"/>
  <c r="Q93" i="17"/>
  <c r="N93" i="17"/>
  <c r="L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S92" i="17"/>
  <c r="R92" i="17"/>
  <c r="Q92" i="17"/>
  <c r="N92" i="17"/>
  <c r="L92" i="17"/>
  <c r="J92" i="17"/>
  <c r="I92" i="17"/>
  <c r="H92" i="17"/>
  <c r="G92" i="17"/>
  <c r="F92" i="17"/>
  <c r="E92" i="17"/>
  <c r="D92" i="17"/>
  <c r="C92" i="17"/>
  <c r="B92" i="17"/>
  <c r="A91" i="17"/>
  <c r="T91" i="17"/>
  <c r="Y91" i="17"/>
  <c r="X91" i="17"/>
  <c r="W91" i="17"/>
  <c r="V91" i="17"/>
  <c r="U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V90" i="17"/>
  <c r="Y90" i="17"/>
  <c r="X90" i="17"/>
  <c r="W90" i="17"/>
  <c r="S90" i="17"/>
  <c r="R90" i="17"/>
  <c r="Q90" i="17"/>
  <c r="N90" i="17"/>
  <c r="L90" i="17"/>
  <c r="K90" i="17"/>
  <c r="J90" i="17"/>
  <c r="I90" i="17"/>
  <c r="H90" i="17"/>
  <c r="G90" i="17"/>
  <c r="F90" i="17"/>
  <c r="E90" i="17"/>
  <c r="D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O87" i="17"/>
  <c r="Y87" i="17"/>
  <c r="X87" i="17"/>
  <c r="W87" i="17"/>
  <c r="U87" i="17"/>
  <c r="T87" i="17"/>
  <c r="S87" i="17"/>
  <c r="R87" i="17"/>
  <c r="Q87" i="17"/>
  <c r="P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B86" i="17"/>
  <c r="A85" i="17"/>
  <c r="X85" i="17"/>
  <c r="W85" i="17"/>
  <c r="V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4" i="17"/>
  <c r="Y84" i="17"/>
  <c r="X84" i="17"/>
  <c r="W84" i="17"/>
  <c r="U84" i="17"/>
  <c r="T84" i="17"/>
  <c r="S84" i="17"/>
  <c r="R84" i="17"/>
  <c r="Q84" i="17"/>
  <c r="P84" i="17"/>
  <c r="N84" i="17"/>
  <c r="M84" i="17"/>
  <c r="L84" i="17"/>
  <c r="K84" i="17"/>
  <c r="J84" i="17"/>
  <c r="I84" i="17"/>
  <c r="H84" i="17"/>
  <c r="G84" i="17"/>
  <c r="F84" i="17"/>
  <c r="E84" i="17"/>
  <c r="D84" i="17"/>
  <c r="B84" i="17"/>
  <c r="A83" i="17"/>
  <c r="X83" i="17"/>
  <c r="W83" i="17"/>
  <c r="U83" i="17"/>
  <c r="S83" i="17"/>
  <c r="R83" i="17"/>
  <c r="Q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A82" i="17"/>
  <c r="X82" i="17"/>
  <c r="W82" i="17"/>
  <c r="V82" i="17"/>
  <c r="U82" i="17"/>
  <c r="T82" i="17"/>
  <c r="S82" i="17"/>
  <c r="R82" i="17"/>
  <c r="Q82" i="17"/>
  <c r="P82" i="17"/>
  <c r="O82" i="17"/>
  <c r="N82" i="17"/>
  <c r="L82" i="17"/>
  <c r="K82" i="17"/>
  <c r="J82" i="17"/>
  <c r="I82" i="17"/>
  <c r="H82" i="17"/>
  <c r="G82" i="17"/>
  <c r="F82" i="17"/>
  <c r="E82" i="17"/>
  <c r="D82" i="17"/>
  <c r="A81" i="17"/>
  <c r="O81" i="17"/>
  <c r="Y81" i="17"/>
  <c r="X81" i="17"/>
  <c r="W81" i="17"/>
  <c r="V81" i="17"/>
  <c r="U81" i="17"/>
  <c r="T81" i="17"/>
  <c r="S81" i="17"/>
  <c r="R81" i="17"/>
  <c r="Q81" i="17"/>
  <c r="P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V80" i="17"/>
  <c r="Y80" i="17"/>
  <c r="X80" i="17"/>
  <c r="W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X79" i="17"/>
  <c r="W79" i="17"/>
  <c r="T79" i="17"/>
  <c r="S79" i="17"/>
  <c r="R79" i="17"/>
  <c r="Q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A78" i="17"/>
  <c r="Y78" i="17"/>
  <c r="X78" i="17"/>
  <c r="W78" i="17"/>
  <c r="T78" i="17"/>
  <c r="S78" i="17"/>
  <c r="R78" i="17"/>
  <c r="Q78" i="17"/>
  <c r="P78" i="17"/>
  <c r="N78" i="17"/>
  <c r="M78" i="17"/>
  <c r="L78" i="17"/>
  <c r="K78" i="17"/>
  <c r="J78" i="17"/>
  <c r="I78" i="17"/>
  <c r="H78" i="17"/>
  <c r="G78" i="17"/>
  <c r="F78" i="17"/>
  <c r="E78" i="17"/>
  <c r="D78" i="17"/>
  <c r="B78" i="17"/>
  <c r="A77" i="17"/>
  <c r="Y77" i="17"/>
  <c r="X77" i="17"/>
  <c r="W77" i="17"/>
  <c r="U77" i="17"/>
  <c r="S77" i="17"/>
  <c r="R77" i="17"/>
  <c r="Q77" i="17"/>
  <c r="P77" i="17"/>
  <c r="O77" i="17"/>
  <c r="N77" i="17"/>
  <c r="M77" i="17"/>
  <c r="L77" i="17"/>
  <c r="J77" i="17"/>
  <c r="I77" i="17"/>
  <c r="H77" i="17"/>
  <c r="G77" i="17"/>
  <c r="F77" i="17"/>
  <c r="E77" i="17"/>
  <c r="D77" i="17"/>
  <c r="B77" i="17"/>
  <c r="A76" i="17"/>
  <c r="U76" i="17"/>
  <c r="Y76" i="17"/>
  <c r="X76" i="17"/>
  <c r="W76" i="17"/>
  <c r="V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X75" i="17"/>
  <c r="W75" i="17"/>
  <c r="U75" i="17"/>
  <c r="T75" i="17"/>
  <c r="S75" i="17"/>
  <c r="R75" i="17"/>
  <c r="Q75" i="17"/>
  <c r="P75" i="17"/>
  <c r="O75" i="17"/>
  <c r="N75" i="17"/>
  <c r="L75" i="17"/>
  <c r="J75" i="17"/>
  <c r="I75" i="17"/>
  <c r="H75" i="17"/>
  <c r="G75" i="17"/>
  <c r="F75" i="17"/>
  <c r="E75" i="17"/>
  <c r="D75" i="17"/>
  <c r="C75" i="17"/>
  <c r="A74" i="17"/>
  <c r="B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3" i="17"/>
  <c r="Y73" i="17"/>
  <c r="X73" i="17"/>
  <c r="W73" i="17"/>
  <c r="V73" i="17"/>
  <c r="T73" i="17"/>
  <c r="S73" i="17"/>
  <c r="R73" i="17"/>
  <c r="Q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A72" i="17"/>
  <c r="Y72" i="17"/>
  <c r="X72" i="17"/>
  <c r="W72" i="17"/>
  <c r="V72" i="17"/>
  <c r="U72" i="17"/>
  <c r="S72" i="17"/>
  <c r="R72" i="17"/>
  <c r="Q72" i="17"/>
  <c r="P72" i="17"/>
  <c r="N72" i="17"/>
  <c r="M72" i="17"/>
  <c r="L72" i="17"/>
  <c r="J72" i="17"/>
  <c r="I72" i="17"/>
  <c r="H72" i="17"/>
  <c r="G72" i="17"/>
  <c r="F72" i="17"/>
  <c r="E72" i="17"/>
  <c r="D72" i="17"/>
  <c r="C72" i="17"/>
  <c r="A71" i="17"/>
  <c r="X71" i="17"/>
  <c r="W71" i="17"/>
  <c r="S71" i="17"/>
  <c r="R71" i="17"/>
  <c r="Q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0" i="17"/>
  <c r="Y70" i="17"/>
  <c r="X70" i="17"/>
  <c r="W70" i="17"/>
  <c r="S70" i="17"/>
  <c r="R70" i="17"/>
  <c r="Q70" i="17"/>
  <c r="P70" i="17"/>
  <c r="N70" i="17"/>
  <c r="L70" i="17"/>
  <c r="J70" i="17"/>
  <c r="I70" i="17"/>
  <c r="H70" i="17"/>
  <c r="G70" i="17"/>
  <c r="F70" i="17"/>
  <c r="E70" i="17"/>
  <c r="D70" i="17"/>
  <c r="C70" i="17"/>
  <c r="A69" i="17"/>
  <c r="Y69" i="17"/>
  <c r="X69" i="17"/>
  <c r="W69" i="17"/>
  <c r="V69" i="17"/>
  <c r="U69" i="17"/>
  <c r="S69" i="17"/>
  <c r="R69" i="17"/>
  <c r="Q69" i="17"/>
  <c r="P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X68" i="17"/>
  <c r="W68" i="17"/>
  <c r="U68" i="17"/>
  <c r="S68" i="17"/>
  <c r="R68" i="17"/>
  <c r="Q68" i="17"/>
  <c r="P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X66" i="17"/>
  <c r="W66" i="17"/>
  <c r="S66" i="17"/>
  <c r="R66" i="17"/>
  <c r="Q66" i="17"/>
  <c r="P66" i="17"/>
  <c r="O66" i="17"/>
  <c r="N66" i="17"/>
  <c r="M66" i="17"/>
  <c r="L66" i="17"/>
  <c r="J66" i="17"/>
  <c r="I66" i="17"/>
  <c r="H66" i="17"/>
  <c r="G66" i="17"/>
  <c r="F66" i="17"/>
  <c r="E66" i="17"/>
  <c r="D66" i="17"/>
  <c r="A65" i="17"/>
  <c r="X65" i="17"/>
  <c r="W65" i="17"/>
  <c r="U65" i="17"/>
  <c r="T65" i="17"/>
  <c r="S65" i="17"/>
  <c r="R65" i="17"/>
  <c r="Q65" i="17"/>
  <c r="P65" i="17"/>
  <c r="O65" i="17"/>
  <c r="N65" i="17"/>
  <c r="L65" i="17"/>
  <c r="K65" i="17"/>
  <c r="J65" i="17"/>
  <c r="I65" i="17"/>
  <c r="H65" i="17"/>
  <c r="G65" i="17"/>
  <c r="F65" i="17"/>
  <c r="E65" i="17"/>
  <c r="D65" i="17"/>
  <c r="A64" i="17"/>
  <c r="Y64" i="17"/>
  <c r="X64" i="17"/>
  <c r="W64" i="17"/>
  <c r="V64" i="17"/>
  <c r="U64" i="17"/>
  <c r="T64" i="17"/>
  <c r="S64" i="17"/>
  <c r="R64" i="17"/>
  <c r="Q64" i="17"/>
  <c r="O64" i="17"/>
  <c r="N64" i="17"/>
  <c r="L64" i="17"/>
  <c r="K64" i="17"/>
  <c r="J64" i="17"/>
  <c r="I64" i="17"/>
  <c r="H64" i="17"/>
  <c r="G64" i="17"/>
  <c r="F64" i="17"/>
  <c r="E64" i="17"/>
  <c r="D64" i="17"/>
  <c r="A63" i="17"/>
  <c r="X63" i="17"/>
  <c r="W63" i="17"/>
  <c r="V63" i="17"/>
  <c r="U63" i="17"/>
  <c r="T63" i="17"/>
  <c r="S63" i="17"/>
  <c r="R63" i="17"/>
  <c r="Q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A62" i="17"/>
  <c r="T62" i="17"/>
  <c r="Y62" i="17"/>
  <c r="X62" i="17"/>
  <c r="W62" i="17"/>
  <c r="V62" i="17"/>
  <c r="U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V61" i="17"/>
  <c r="Y61" i="17"/>
  <c r="X61" i="17"/>
  <c r="W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X60" i="17"/>
  <c r="W60" i="17"/>
  <c r="V60" i="17"/>
  <c r="U60" i="17"/>
  <c r="S60" i="17"/>
  <c r="R60" i="17"/>
  <c r="Q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B60" i="17"/>
  <c r="A59" i="17"/>
  <c r="X59" i="17"/>
  <c r="W59" i="17"/>
  <c r="V59" i="17"/>
  <c r="U59" i="17"/>
  <c r="S59" i="17"/>
  <c r="R59" i="17"/>
  <c r="Q59" i="17"/>
  <c r="P59" i="17"/>
  <c r="O59" i="17"/>
  <c r="N59" i="17"/>
  <c r="L59" i="17"/>
  <c r="J59" i="17"/>
  <c r="I59" i="17"/>
  <c r="H59" i="17"/>
  <c r="G59" i="17"/>
  <c r="F59" i="17"/>
  <c r="E59" i="17"/>
  <c r="D59" i="17"/>
  <c r="B59" i="17"/>
  <c r="A58" i="17"/>
  <c r="C58" i="17"/>
  <c r="X58" i="17"/>
  <c r="W58" i="17"/>
  <c r="T58" i="17"/>
  <c r="S58" i="17"/>
  <c r="R58" i="17"/>
  <c r="Q58" i="17"/>
  <c r="N58" i="17"/>
  <c r="L58" i="17"/>
  <c r="K58" i="17"/>
  <c r="J58" i="17"/>
  <c r="I58" i="17"/>
  <c r="H58" i="17"/>
  <c r="G58" i="17"/>
  <c r="F58" i="17"/>
  <c r="E58" i="17"/>
  <c r="D58" i="17"/>
  <c r="B58" i="17"/>
  <c r="A57" i="17"/>
  <c r="Y57" i="17"/>
  <c r="X57" i="17"/>
  <c r="W57" i="17"/>
  <c r="V57" i="17"/>
  <c r="S57" i="17"/>
  <c r="R57" i="17"/>
  <c r="Q57" i="17"/>
  <c r="N57" i="17"/>
  <c r="M57" i="17"/>
  <c r="L57" i="17"/>
  <c r="J57" i="17"/>
  <c r="I57" i="17"/>
  <c r="H57" i="17"/>
  <c r="G57" i="17"/>
  <c r="F57" i="17"/>
  <c r="E57" i="17"/>
  <c r="D57" i="17"/>
  <c r="C57" i="17"/>
  <c r="A56" i="17"/>
  <c r="Y56" i="17"/>
  <c r="X56" i="17"/>
  <c r="W56" i="17"/>
  <c r="U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5" i="17"/>
  <c r="B55" i="17"/>
  <c r="X55" i="17"/>
  <c r="W55" i="17"/>
  <c r="U55" i="17"/>
  <c r="S55" i="17"/>
  <c r="R55" i="17"/>
  <c r="Q55" i="17"/>
  <c r="N55" i="17"/>
  <c r="L55" i="17"/>
  <c r="J55" i="17"/>
  <c r="I55" i="17"/>
  <c r="H55" i="17"/>
  <c r="G55" i="17"/>
  <c r="F55" i="17"/>
  <c r="E55" i="17"/>
  <c r="D55" i="17"/>
  <c r="A54" i="17"/>
  <c r="Y54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C54" i="17"/>
  <c r="A53" i="17"/>
  <c r="V53" i="17"/>
  <c r="Y53" i="17"/>
  <c r="X53" i="17"/>
  <c r="W53" i="17"/>
  <c r="S53" i="17"/>
  <c r="R53" i="17"/>
  <c r="Q53" i="17"/>
  <c r="N53" i="17"/>
  <c r="L53" i="17"/>
  <c r="K53" i="17"/>
  <c r="J53" i="17"/>
  <c r="I53" i="17"/>
  <c r="H53" i="17"/>
  <c r="G53" i="17"/>
  <c r="F53" i="17"/>
  <c r="E53" i="17"/>
  <c r="D53" i="17"/>
  <c r="C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V51" i="17"/>
  <c r="Y51" i="17"/>
  <c r="X51" i="17"/>
  <c r="W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X50" i="17"/>
  <c r="W50" i="17"/>
  <c r="S50" i="17"/>
  <c r="R50" i="17"/>
  <c r="Q50" i="17"/>
  <c r="P50" i="17"/>
  <c r="O50" i="17"/>
  <c r="N50" i="17"/>
  <c r="M50" i="17"/>
  <c r="L50" i="17"/>
  <c r="J50" i="17"/>
  <c r="I50" i="17"/>
  <c r="H50" i="17"/>
  <c r="G50" i="17"/>
  <c r="F50" i="17"/>
  <c r="E50" i="17"/>
  <c r="D50" i="17"/>
  <c r="A49" i="17"/>
  <c r="V49" i="17"/>
  <c r="Y49" i="17"/>
  <c r="X49" i="17"/>
  <c r="W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X48" i="17"/>
  <c r="W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B48" i="17"/>
  <c r="A47" i="17"/>
  <c r="Y47" i="17"/>
  <c r="X47" i="17"/>
  <c r="W47" i="17"/>
  <c r="V47" i="17"/>
  <c r="S47" i="17"/>
  <c r="R47" i="17"/>
  <c r="Q47" i="17"/>
  <c r="P47" i="17"/>
  <c r="O47" i="17"/>
  <c r="N47" i="17"/>
  <c r="M47" i="17"/>
  <c r="L47" i="17"/>
  <c r="J47" i="17"/>
  <c r="I47" i="17"/>
  <c r="H47" i="17"/>
  <c r="G47" i="17"/>
  <c r="F47" i="17"/>
  <c r="E47" i="17"/>
  <c r="D47" i="17"/>
  <c r="C47" i="17"/>
  <c r="B47" i="17"/>
  <c r="A46" i="17"/>
  <c r="K46" i="17"/>
  <c r="Y46" i="17"/>
  <c r="X46" i="17"/>
  <c r="W46" i="17"/>
  <c r="U46" i="17"/>
  <c r="T46" i="17"/>
  <c r="S46" i="17"/>
  <c r="R46" i="17"/>
  <c r="Q46" i="17"/>
  <c r="P46" i="17"/>
  <c r="O46" i="17"/>
  <c r="N46" i="17"/>
  <c r="M46" i="17"/>
  <c r="L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3" i="17"/>
  <c r="Y43" i="17"/>
  <c r="X43" i="17"/>
  <c r="W43" i="17"/>
  <c r="S43" i="17"/>
  <c r="R43" i="17"/>
  <c r="Q43" i="17"/>
  <c r="P43" i="17"/>
  <c r="O43" i="17"/>
  <c r="N43" i="17"/>
  <c r="L43" i="17"/>
  <c r="K43" i="17"/>
  <c r="J43" i="17"/>
  <c r="I43" i="17"/>
  <c r="H43" i="17"/>
  <c r="G43" i="17"/>
  <c r="F43" i="17"/>
  <c r="E43" i="17"/>
  <c r="D43" i="17"/>
  <c r="B43" i="17"/>
  <c r="A42" i="17"/>
  <c r="X42" i="17"/>
  <c r="W42" i="17"/>
  <c r="S42" i="17"/>
  <c r="R42" i="17"/>
  <c r="Q42" i="17"/>
  <c r="P42" i="17"/>
  <c r="O42" i="17"/>
  <c r="N42" i="17"/>
  <c r="L42" i="17"/>
  <c r="J42" i="17"/>
  <c r="I42" i="17"/>
  <c r="H42" i="17"/>
  <c r="G42" i="17"/>
  <c r="F42" i="17"/>
  <c r="E42" i="17"/>
  <c r="D42" i="17"/>
  <c r="A41" i="17"/>
  <c r="X41" i="17"/>
  <c r="W41" i="17"/>
  <c r="S41" i="17"/>
  <c r="R41" i="17"/>
  <c r="Q41" i="17"/>
  <c r="O41" i="17"/>
  <c r="N41" i="17"/>
  <c r="L41" i="17"/>
  <c r="K41" i="17"/>
  <c r="J41" i="17"/>
  <c r="I41" i="17"/>
  <c r="H41" i="17"/>
  <c r="G41" i="17"/>
  <c r="F41" i="17"/>
  <c r="E41" i="17"/>
  <c r="D41" i="17"/>
  <c r="B41" i="17"/>
  <c r="A40" i="17"/>
  <c r="Y40" i="17"/>
  <c r="X40" i="17"/>
  <c r="W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A39" i="17"/>
  <c r="U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8" i="17"/>
  <c r="P38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B38" i="17"/>
  <c r="A37" i="17"/>
  <c r="X37" i="17"/>
  <c r="W37" i="17"/>
  <c r="S37" i="17"/>
  <c r="R37" i="17"/>
  <c r="Q37" i="17"/>
  <c r="N37" i="17"/>
  <c r="L37" i="17"/>
  <c r="J37" i="17"/>
  <c r="I37" i="17"/>
  <c r="H37" i="17"/>
  <c r="G37" i="17"/>
  <c r="F37" i="17"/>
  <c r="E37" i="17"/>
  <c r="D37" i="17"/>
  <c r="A36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5" i="17"/>
  <c r="Y35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N34" i="17"/>
  <c r="L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1" i="17"/>
  <c r="Y31" i="17"/>
  <c r="X31" i="17"/>
  <c r="W31" i="17"/>
  <c r="U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O29" i="17"/>
  <c r="X29" i="17"/>
  <c r="W29" i="17"/>
  <c r="V29" i="17"/>
  <c r="S29" i="17"/>
  <c r="R29" i="17"/>
  <c r="Q29" i="17"/>
  <c r="N29" i="17"/>
  <c r="L29" i="17"/>
  <c r="J29" i="17"/>
  <c r="I29" i="17"/>
  <c r="H29" i="17"/>
  <c r="G29" i="17"/>
  <c r="F29" i="17"/>
  <c r="E29" i="17"/>
  <c r="D29" i="17"/>
  <c r="A28" i="17"/>
  <c r="K28" i="17"/>
  <c r="Y28" i="17"/>
  <c r="X28" i="17"/>
  <c r="W28" i="17"/>
  <c r="T28" i="17"/>
  <c r="S28" i="17"/>
  <c r="R28" i="17"/>
  <c r="Q28" i="17"/>
  <c r="P28" i="17"/>
  <c r="O28" i="17"/>
  <c r="N28" i="17"/>
  <c r="M28" i="17"/>
  <c r="L28" i="17"/>
  <c r="J28" i="17"/>
  <c r="I28" i="17"/>
  <c r="H28" i="17"/>
  <c r="G28" i="17"/>
  <c r="F28" i="17"/>
  <c r="E28" i="17"/>
  <c r="D28" i="17"/>
  <c r="C28" i="17"/>
  <c r="B28" i="17"/>
  <c r="A27" i="17"/>
  <c r="C27" i="17"/>
  <c r="X27" i="17"/>
  <c r="W27" i="17"/>
  <c r="T27" i="17"/>
  <c r="S27" i="17"/>
  <c r="R27" i="17"/>
  <c r="Q27" i="17"/>
  <c r="P27" i="17"/>
  <c r="N27" i="17"/>
  <c r="L27" i="17"/>
  <c r="J27" i="17"/>
  <c r="I27" i="17"/>
  <c r="H27" i="17"/>
  <c r="G27" i="17"/>
  <c r="F27" i="17"/>
  <c r="E27" i="17"/>
  <c r="D27" i="17"/>
  <c r="A26" i="17"/>
  <c r="O26" i="17"/>
  <c r="Y26" i="17"/>
  <c r="X26" i="17"/>
  <c r="W26" i="17"/>
  <c r="U26" i="17"/>
  <c r="T26" i="17"/>
  <c r="S26" i="17"/>
  <c r="R26" i="17"/>
  <c r="Q26" i="17"/>
  <c r="P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T25" i="17"/>
  <c r="Y25" i="17"/>
  <c r="X25" i="17"/>
  <c r="W25" i="17"/>
  <c r="V25" i="17"/>
  <c r="U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T24" i="17"/>
  <c r="Y24" i="17"/>
  <c r="X24" i="17"/>
  <c r="W24" i="17"/>
  <c r="V24" i="17"/>
  <c r="U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U21" i="17"/>
  <c r="S21" i="17"/>
  <c r="R21" i="17"/>
  <c r="Q21" i="17"/>
  <c r="N21" i="17"/>
  <c r="L21" i="17"/>
  <c r="K21" i="17"/>
  <c r="J21" i="17"/>
  <c r="I21" i="17"/>
  <c r="H21" i="17"/>
  <c r="G21" i="17"/>
  <c r="F21" i="17"/>
  <c r="E21" i="17"/>
  <c r="D21" i="17"/>
  <c r="A20" i="17"/>
  <c r="M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X19" i="17"/>
  <c r="W19" i="17"/>
  <c r="S19" i="17"/>
  <c r="R19" i="17"/>
  <c r="Q19" i="17"/>
  <c r="O19" i="17"/>
  <c r="N19" i="17"/>
  <c r="M19" i="17"/>
  <c r="L19" i="17"/>
  <c r="J19" i="17"/>
  <c r="I19" i="17"/>
  <c r="H19" i="17"/>
  <c r="G19" i="17"/>
  <c r="F19" i="17"/>
  <c r="E19" i="17"/>
  <c r="D19" i="17"/>
  <c r="C19" i="17"/>
  <c r="A18" i="17"/>
  <c r="T18" i="17"/>
  <c r="Y18" i="17"/>
  <c r="X18" i="17"/>
  <c r="W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T17" i="17"/>
  <c r="X17" i="17"/>
  <c r="W17" i="17"/>
  <c r="S17" i="17"/>
  <c r="R17" i="17"/>
  <c r="Q17" i="17"/>
  <c r="N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X16" i="17"/>
  <c r="W16" i="17"/>
  <c r="V16" i="17"/>
  <c r="U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5" i="17"/>
  <c r="X15" i="17"/>
  <c r="W15" i="17"/>
  <c r="V15" i="17"/>
  <c r="S15" i="17"/>
  <c r="R15" i="17"/>
  <c r="Q15" i="17"/>
  <c r="P15" i="17"/>
  <c r="O15" i="17"/>
  <c r="N15" i="17"/>
  <c r="M15" i="17"/>
  <c r="L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U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1" i="17"/>
  <c r="Y11" i="17"/>
  <c r="X11" i="17"/>
  <c r="W11" i="17"/>
  <c r="T11" i="17"/>
  <c r="S11" i="17"/>
  <c r="R11" i="17"/>
  <c r="Q11" i="17"/>
  <c r="P11" i="17"/>
  <c r="O11" i="17"/>
  <c r="N11" i="17"/>
  <c r="M11" i="17"/>
  <c r="L11" i="17"/>
  <c r="J11" i="17"/>
  <c r="I11" i="17"/>
  <c r="H11" i="17"/>
  <c r="G11" i="17"/>
  <c r="F11" i="17"/>
  <c r="E11" i="17"/>
  <c r="D11" i="17"/>
  <c r="B11" i="17"/>
  <c r="A10" i="17"/>
  <c r="C10" i="17"/>
  <c r="X10" i="17"/>
  <c r="W10" i="17"/>
  <c r="S10" i="17"/>
  <c r="R10" i="17"/>
  <c r="Q10" i="17"/>
  <c r="P10" i="17"/>
  <c r="N10" i="17"/>
  <c r="M10" i="17"/>
  <c r="L10" i="17"/>
  <c r="J10" i="17"/>
  <c r="I10" i="17"/>
  <c r="H10" i="17"/>
  <c r="G10" i="17"/>
  <c r="F10" i="17"/>
  <c r="E10" i="17"/>
  <c r="D10" i="17"/>
  <c r="A9" i="17"/>
  <c r="B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8" i="17"/>
  <c r="Y8" i="17"/>
  <c r="X8" i="17"/>
  <c r="W8" i="17"/>
  <c r="V8" i="17"/>
  <c r="U8" i="17"/>
  <c r="T8" i="17"/>
  <c r="S8" i="17"/>
  <c r="R8" i="17"/>
  <c r="Q8" i="17"/>
  <c r="N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T7" i="17"/>
  <c r="S7" i="17"/>
  <c r="R7" i="17"/>
  <c r="Q7" i="17"/>
  <c r="N7" i="17"/>
  <c r="L7" i="17"/>
  <c r="K7" i="17"/>
  <c r="J7" i="17"/>
  <c r="I7" i="17"/>
  <c r="H7" i="17"/>
  <c r="G7" i="17"/>
  <c r="F7" i="17"/>
  <c r="E7" i="17"/>
  <c r="D7" i="17"/>
  <c r="C7" i="17"/>
  <c r="B7" i="17"/>
  <c r="A6" i="17"/>
  <c r="X6" i="17"/>
  <c r="W6" i="17"/>
  <c r="S6" i="17"/>
  <c r="R6" i="17"/>
  <c r="Q6" i="17"/>
  <c r="P6" i="17"/>
  <c r="N6" i="17"/>
  <c r="M6" i="17"/>
  <c r="L6" i="17"/>
  <c r="J6" i="17"/>
  <c r="I6" i="17"/>
  <c r="H6" i="17"/>
  <c r="G6" i="17"/>
  <c r="F6" i="17"/>
  <c r="E6" i="17"/>
  <c r="D6" i="17"/>
  <c r="A5" i="17"/>
  <c r="X5" i="17"/>
  <c r="W5" i="17"/>
  <c r="S5" i="17"/>
  <c r="R5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A4" i="17"/>
  <c r="V4" i="17"/>
  <c r="Y4" i="17"/>
  <c r="X4" i="17"/>
  <c r="W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C1592" i="6"/>
  <c r="AA1592" i="6"/>
  <c r="AC1592" i="6"/>
  <c r="Z1592" i="6"/>
  <c r="C1591" i="6"/>
  <c r="AA1591" i="6"/>
  <c r="Z1591" i="6"/>
  <c r="C1590" i="6"/>
  <c r="AA1590" i="6"/>
  <c r="AC1590" i="6"/>
  <c r="Z1590" i="6"/>
  <c r="C1589" i="6"/>
  <c r="AA1589" i="6"/>
  <c r="AC1589" i="6"/>
  <c r="Z1589" i="6"/>
  <c r="C1588" i="6"/>
  <c r="AA1588" i="6"/>
  <c r="AC1588" i="6"/>
  <c r="Z1588" i="6"/>
  <c r="C1587" i="6"/>
  <c r="AA1587" i="6"/>
  <c r="Z1587" i="6"/>
  <c r="C1586" i="6"/>
  <c r="AA1586" i="6"/>
  <c r="AC1586" i="6"/>
  <c r="Z1586" i="6"/>
  <c r="C1585" i="6"/>
  <c r="AA1585" i="6"/>
  <c r="AC1585" i="6"/>
  <c r="Z1585" i="6"/>
  <c r="C1584" i="6"/>
  <c r="AA1584" i="6"/>
  <c r="AC1584" i="6"/>
  <c r="Z1584" i="6"/>
  <c r="C1583" i="6"/>
  <c r="AA1583" i="6"/>
  <c r="AC1583" i="6"/>
  <c r="Z1583" i="6"/>
  <c r="C1582" i="6"/>
  <c r="AA1582" i="6"/>
  <c r="AC1582" i="6"/>
  <c r="Z1582" i="6"/>
  <c r="C1580" i="6"/>
  <c r="AA1580" i="6"/>
  <c r="AC1580" i="6"/>
  <c r="Z1580" i="6"/>
  <c r="C1579" i="6"/>
  <c r="AA1579" i="6"/>
  <c r="AC1579" i="6"/>
  <c r="Z1579" i="6"/>
  <c r="C1577" i="6"/>
  <c r="AA1577" i="6"/>
  <c r="AC1577" i="6"/>
  <c r="Z1577" i="6"/>
  <c r="C1575" i="6"/>
  <c r="AA1575" i="6"/>
  <c r="AC1575" i="6"/>
  <c r="Z1575" i="6"/>
  <c r="C1573" i="6"/>
  <c r="AA1573" i="6"/>
  <c r="B1573" i="6"/>
  <c r="Z1573" i="6"/>
  <c r="C1572" i="6"/>
  <c r="AA1572" i="6"/>
  <c r="AC1572" i="6"/>
  <c r="Z1572" i="6"/>
  <c r="C1571" i="6"/>
  <c r="AA1571" i="6"/>
  <c r="AC1571" i="6"/>
  <c r="Z1571" i="6"/>
  <c r="C1570" i="6"/>
  <c r="AA1570" i="6"/>
  <c r="AC1570" i="6"/>
  <c r="Z1570" i="6"/>
  <c r="C1569" i="6"/>
  <c r="AA1569" i="6"/>
  <c r="AC1569" i="6"/>
  <c r="Z1569" i="6"/>
  <c r="C1568" i="6"/>
  <c r="AA1568" i="6"/>
  <c r="AC1568" i="6"/>
  <c r="Z1568" i="6"/>
  <c r="C1567" i="6"/>
  <c r="AA1567" i="6"/>
  <c r="AC1567" i="6"/>
  <c r="Z1567" i="6"/>
  <c r="C1566" i="6"/>
  <c r="AA1566" i="6"/>
  <c r="Z1566" i="6"/>
  <c r="C1565" i="6"/>
  <c r="AA1565" i="6"/>
  <c r="AC1565" i="6"/>
  <c r="Z1565" i="6"/>
  <c r="C1564" i="6"/>
  <c r="AA1564" i="6"/>
  <c r="AC1564" i="6"/>
  <c r="Z1564" i="6"/>
  <c r="C1563" i="6"/>
  <c r="AA1563" i="6"/>
  <c r="AC1563" i="6"/>
  <c r="Z1563" i="6"/>
  <c r="C1562" i="6"/>
  <c r="AA1562" i="6"/>
  <c r="AC1562" i="6"/>
  <c r="Z1562" i="6"/>
  <c r="C1561" i="6"/>
  <c r="AA1561" i="6"/>
  <c r="AC1561" i="6"/>
  <c r="Z1561" i="6"/>
  <c r="C1560" i="6"/>
  <c r="AA1560" i="6"/>
  <c r="B1560" i="6"/>
  <c r="Z1560" i="6"/>
  <c r="C1559" i="6"/>
  <c r="AA1559" i="6"/>
  <c r="B1559" i="6"/>
  <c r="Z1559" i="6"/>
  <c r="C1558" i="6"/>
  <c r="AA1558" i="6"/>
  <c r="AC1558" i="6"/>
  <c r="Z1558" i="6"/>
  <c r="C1556" i="6"/>
  <c r="AA1556" i="6"/>
  <c r="AC1556" i="6"/>
  <c r="Z1556" i="6"/>
  <c r="C1555" i="6"/>
  <c r="AA1555" i="6"/>
  <c r="AC1555" i="6"/>
  <c r="Z1555" i="6"/>
  <c r="C1554" i="6"/>
  <c r="AA1554" i="6"/>
  <c r="AC1554" i="6"/>
  <c r="Z1554" i="6"/>
  <c r="C1553" i="6"/>
  <c r="AA1553" i="6"/>
  <c r="AC1553" i="6"/>
  <c r="Z1553" i="6"/>
  <c r="C1552" i="6"/>
  <c r="AA1552" i="6"/>
  <c r="AC1552" i="6"/>
  <c r="Z1552" i="6"/>
  <c r="C1551" i="6"/>
  <c r="AA1551" i="6"/>
  <c r="AC1551" i="6"/>
  <c r="Z1551" i="6"/>
  <c r="C1550" i="6"/>
  <c r="AA1550" i="6"/>
  <c r="AC1550" i="6"/>
  <c r="Z1550" i="6"/>
  <c r="C1549" i="6"/>
  <c r="AA1549" i="6"/>
  <c r="AC1549" i="6"/>
  <c r="Z1549" i="6"/>
  <c r="C1548" i="6"/>
  <c r="AA1548" i="6"/>
  <c r="AC1548" i="6"/>
  <c r="Z1548" i="6"/>
  <c r="C1547" i="6"/>
  <c r="AA1547" i="6"/>
  <c r="AC1547" i="6"/>
  <c r="Z1547" i="6"/>
  <c r="C1546" i="6"/>
  <c r="AA1546" i="6"/>
  <c r="AC1546" i="6"/>
  <c r="Z1546" i="6"/>
  <c r="C1545" i="6"/>
  <c r="AA1545" i="6"/>
  <c r="AC1545" i="6"/>
  <c r="Z1545" i="6"/>
  <c r="C1544" i="6"/>
  <c r="AA1544" i="6"/>
  <c r="AC1544" i="6"/>
  <c r="Z1544" i="6"/>
  <c r="C1543" i="6"/>
  <c r="AA1543" i="6"/>
  <c r="AC1543" i="6"/>
  <c r="Z1543" i="6"/>
  <c r="C1542" i="6"/>
  <c r="AA1542" i="6"/>
  <c r="AC1542" i="6"/>
  <c r="Z1542" i="6"/>
  <c r="C1541" i="6"/>
  <c r="AA1541" i="6"/>
  <c r="AC1541" i="6"/>
  <c r="Z1541" i="6"/>
  <c r="C1540" i="6"/>
  <c r="AA1540" i="6"/>
  <c r="AC1540" i="6"/>
  <c r="Z1540" i="6"/>
  <c r="C1539" i="6"/>
  <c r="AA1539" i="6"/>
  <c r="AC1539" i="6"/>
  <c r="Z1539" i="6"/>
  <c r="C1538" i="6"/>
  <c r="AA1538" i="6"/>
  <c r="AC1538" i="6"/>
  <c r="Z1538" i="6"/>
  <c r="C1537" i="6"/>
  <c r="AA1537" i="6"/>
  <c r="AC1537" i="6"/>
  <c r="Z1537" i="6"/>
  <c r="C1536" i="6"/>
  <c r="AA1536" i="6"/>
  <c r="AC1536" i="6"/>
  <c r="Z1536" i="6"/>
  <c r="C1535" i="6"/>
  <c r="AA1535" i="6"/>
  <c r="AC1535" i="6"/>
  <c r="Z1535" i="6"/>
  <c r="C1534" i="6"/>
  <c r="AA1534" i="6"/>
  <c r="AC1534" i="6"/>
  <c r="Z1534" i="6"/>
  <c r="C1533" i="6"/>
  <c r="AA1533" i="6"/>
  <c r="AC1533" i="6"/>
  <c r="Z1533" i="6"/>
  <c r="C1532" i="6"/>
  <c r="AA1532" i="6"/>
  <c r="AC1532" i="6"/>
  <c r="Z1532" i="6"/>
  <c r="C1531" i="6"/>
  <c r="AA1531" i="6"/>
  <c r="AC1531" i="6"/>
  <c r="Z1531" i="6"/>
  <c r="C1530" i="6"/>
  <c r="AA1530" i="6"/>
  <c r="AC1530" i="6"/>
  <c r="Z1530" i="6"/>
  <c r="C1529" i="6"/>
  <c r="AA1529" i="6"/>
  <c r="AC1529" i="6"/>
  <c r="Z1529" i="6"/>
  <c r="C1528" i="6"/>
  <c r="AA1528" i="6"/>
  <c r="AC1528" i="6"/>
  <c r="Z1528" i="6"/>
  <c r="C1527" i="6"/>
  <c r="AA1527" i="6"/>
  <c r="AC1527" i="6"/>
  <c r="Z1527" i="6"/>
  <c r="C1526" i="6"/>
  <c r="AA1526" i="6"/>
  <c r="AC1526" i="6"/>
  <c r="Z1526" i="6"/>
  <c r="C1525" i="6"/>
  <c r="AA1525" i="6"/>
  <c r="AC1525" i="6"/>
  <c r="Z1525" i="6"/>
  <c r="C1524" i="6"/>
  <c r="AA1524" i="6"/>
  <c r="AC1524" i="6"/>
  <c r="Z1524" i="6"/>
  <c r="C1523" i="6"/>
  <c r="AA1523" i="6"/>
  <c r="AC1523" i="6"/>
  <c r="Z1523" i="6"/>
  <c r="C1522" i="6"/>
  <c r="AA1522" i="6"/>
  <c r="AC1522" i="6"/>
  <c r="Z1522" i="6"/>
  <c r="C1521" i="6"/>
  <c r="AA1521" i="6"/>
  <c r="AC1521" i="6"/>
  <c r="Z1521" i="6"/>
  <c r="C1520" i="6"/>
  <c r="AA1520" i="6"/>
  <c r="AC1520" i="6"/>
  <c r="Z1520" i="6"/>
  <c r="C1519" i="6"/>
  <c r="AA1519" i="6"/>
  <c r="AC1519" i="6"/>
  <c r="Z1519" i="6"/>
  <c r="C1518" i="6"/>
  <c r="AA1518" i="6"/>
  <c r="AC1518" i="6"/>
  <c r="Z1518" i="6"/>
  <c r="C1517" i="6"/>
  <c r="AA1517" i="6"/>
  <c r="AC1517" i="6"/>
  <c r="Z1517" i="6"/>
  <c r="C1516" i="6"/>
  <c r="AA1516" i="6"/>
  <c r="AC1516" i="6"/>
  <c r="Z1516" i="6"/>
  <c r="C1515" i="6"/>
  <c r="AA1515" i="6"/>
  <c r="AC1515" i="6"/>
  <c r="Z1515" i="6"/>
  <c r="C1514" i="6"/>
  <c r="AA1514" i="6"/>
  <c r="AC1514" i="6"/>
  <c r="Z1514" i="6"/>
  <c r="C1513" i="6"/>
  <c r="AA1513" i="6"/>
  <c r="AC1513" i="6"/>
  <c r="Z1513" i="6"/>
  <c r="C1512" i="6"/>
  <c r="AA1512" i="6"/>
  <c r="AC1512" i="6"/>
  <c r="Z1512" i="6"/>
  <c r="C1511" i="6"/>
  <c r="AA1511" i="6"/>
  <c r="AC1511" i="6"/>
  <c r="Z1511" i="6"/>
  <c r="C1510" i="6"/>
  <c r="AA1510" i="6"/>
  <c r="AC1510" i="6"/>
  <c r="Z1510" i="6"/>
  <c r="C1509" i="6"/>
  <c r="AA1509" i="6"/>
  <c r="Z1509" i="6"/>
  <c r="C1508" i="6"/>
  <c r="AA1508" i="6"/>
  <c r="AC1508" i="6"/>
  <c r="Z1508" i="6"/>
  <c r="C1507" i="6"/>
  <c r="AA1507" i="6"/>
  <c r="AC1507" i="6"/>
  <c r="Z1507" i="6"/>
  <c r="C1506" i="6"/>
  <c r="AA1506" i="6"/>
  <c r="AC1506" i="6"/>
  <c r="Z1506" i="6"/>
  <c r="C1505" i="6"/>
  <c r="AA1505" i="6"/>
  <c r="AC1505" i="6"/>
  <c r="Z1505" i="6"/>
  <c r="C1504" i="6"/>
  <c r="AA1504" i="6"/>
  <c r="AC1504" i="6"/>
  <c r="Z1504" i="6"/>
  <c r="C1503" i="6"/>
  <c r="AA1503" i="6"/>
  <c r="AC1503" i="6"/>
  <c r="Z1503" i="6"/>
  <c r="C1502" i="6"/>
  <c r="AA1502" i="6"/>
  <c r="AC1502" i="6"/>
  <c r="Z1502" i="6"/>
  <c r="C1501" i="6"/>
  <c r="AA1501" i="6"/>
  <c r="AC1501" i="6"/>
  <c r="Z1501" i="6"/>
  <c r="C1500" i="6"/>
  <c r="AA1500" i="6"/>
  <c r="AC1500" i="6"/>
  <c r="Z1500" i="6"/>
  <c r="C1499" i="6"/>
  <c r="AA1499" i="6"/>
  <c r="AC1499" i="6"/>
  <c r="Z1499" i="6"/>
  <c r="C1498" i="6"/>
  <c r="AA1498" i="6"/>
  <c r="AC1498" i="6"/>
  <c r="Z1498" i="6"/>
  <c r="C1497" i="6"/>
  <c r="AA1497" i="6"/>
  <c r="AC1497" i="6"/>
  <c r="Z1497" i="6"/>
  <c r="C1496" i="6"/>
  <c r="AA1496" i="6"/>
  <c r="AC1496" i="6"/>
  <c r="Z1496" i="6"/>
  <c r="C1495" i="6"/>
  <c r="AA1495" i="6"/>
  <c r="AC1495" i="6"/>
  <c r="Z1495" i="6"/>
  <c r="C1494" i="6"/>
  <c r="AA1494" i="6"/>
  <c r="AC1494" i="6"/>
  <c r="Z1494" i="6"/>
  <c r="C1493" i="6"/>
  <c r="AA1493" i="6"/>
  <c r="AC1493" i="6"/>
  <c r="Z1493" i="6"/>
  <c r="C1492" i="6"/>
  <c r="AA1492" i="6"/>
  <c r="AC1492" i="6"/>
  <c r="Z1492" i="6"/>
  <c r="C1491" i="6"/>
  <c r="AA1491" i="6"/>
  <c r="AC1491" i="6"/>
  <c r="Z1491" i="6"/>
  <c r="C1490" i="6"/>
  <c r="AA1490" i="6"/>
  <c r="AC1490" i="6"/>
  <c r="Z1490" i="6"/>
  <c r="C1489" i="6"/>
  <c r="AA1489" i="6"/>
  <c r="AC1489" i="6"/>
  <c r="Z1489" i="6"/>
  <c r="C1488" i="6"/>
  <c r="AA1488" i="6"/>
  <c r="AC1488" i="6"/>
  <c r="Z1488" i="6"/>
  <c r="C1487" i="6"/>
  <c r="AA1487" i="6"/>
  <c r="AC1487" i="6"/>
  <c r="Z1487" i="6"/>
  <c r="C1486" i="6"/>
  <c r="AA1486" i="6"/>
  <c r="AC1486" i="6"/>
  <c r="Z1486" i="6"/>
  <c r="C1485" i="6"/>
  <c r="AA1485" i="6"/>
  <c r="AC1485" i="6"/>
  <c r="Z1485" i="6"/>
  <c r="C1484" i="6"/>
  <c r="AA1484" i="6"/>
  <c r="AC1484" i="6"/>
  <c r="Z1484" i="6"/>
  <c r="C1483" i="6"/>
  <c r="AA1483" i="6"/>
  <c r="AC1483" i="6"/>
  <c r="Z1483" i="6"/>
  <c r="C1482" i="6"/>
  <c r="AA1482" i="6"/>
  <c r="AC1482" i="6"/>
  <c r="Z1482" i="6"/>
  <c r="C1481" i="6"/>
  <c r="AA1481" i="6"/>
  <c r="AC1481" i="6"/>
  <c r="Z1481" i="6"/>
  <c r="C1480" i="6"/>
  <c r="AA1480" i="6"/>
  <c r="AC1480" i="6"/>
  <c r="Z1480" i="6"/>
  <c r="C1479" i="6"/>
  <c r="AA1479" i="6"/>
  <c r="AC1479" i="6"/>
  <c r="Z1479" i="6"/>
  <c r="C1478" i="6"/>
  <c r="AA1478" i="6"/>
  <c r="AC1478" i="6"/>
  <c r="Z1478" i="6"/>
  <c r="C1477" i="6"/>
  <c r="AA1477" i="6"/>
  <c r="AC1477" i="6"/>
  <c r="Z1477" i="6"/>
  <c r="C1476" i="6"/>
  <c r="AA1476" i="6"/>
  <c r="AC1476" i="6"/>
  <c r="Z1476" i="6"/>
  <c r="C1475" i="6"/>
  <c r="AA1475" i="6"/>
  <c r="AC1475" i="6"/>
  <c r="Z1475" i="6"/>
  <c r="C1474" i="6"/>
  <c r="AA1474" i="6"/>
  <c r="AC1474" i="6"/>
  <c r="Z1474" i="6"/>
  <c r="C1473" i="6"/>
  <c r="AA1473" i="6"/>
  <c r="AC1473" i="6"/>
  <c r="Z1473" i="6"/>
  <c r="C1472" i="6"/>
  <c r="AA1472" i="6"/>
  <c r="AC1472" i="6"/>
  <c r="Z1472" i="6"/>
  <c r="C1471" i="6"/>
  <c r="AA1471" i="6"/>
  <c r="AC1471" i="6"/>
  <c r="Z1471" i="6"/>
  <c r="C1470" i="6"/>
  <c r="AA1470" i="6"/>
  <c r="AC1470" i="6"/>
  <c r="Z1470" i="6"/>
  <c r="C1469" i="6"/>
  <c r="AA1469" i="6"/>
  <c r="AC1469" i="6"/>
  <c r="Z1469" i="6"/>
  <c r="C1468" i="6"/>
  <c r="AA1468" i="6"/>
  <c r="AC1468" i="6"/>
  <c r="Z1468" i="6"/>
  <c r="C1467" i="6"/>
  <c r="AA1467" i="6"/>
  <c r="AC1467" i="6"/>
  <c r="Z1467" i="6"/>
  <c r="C1466" i="6"/>
  <c r="AA1466" i="6"/>
  <c r="AC1466" i="6"/>
  <c r="Z1466" i="6"/>
  <c r="C1465" i="6"/>
  <c r="AA1465" i="6"/>
  <c r="AC1465" i="6"/>
  <c r="Z1465" i="6"/>
  <c r="C1464" i="6"/>
  <c r="AA1464" i="6"/>
  <c r="AC1464" i="6"/>
  <c r="Z1464" i="6"/>
  <c r="C1463" i="6"/>
  <c r="AA1463" i="6"/>
  <c r="AC1463" i="6"/>
  <c r="Z1463" i="6"/>
  <c r="C1462" i="6"/>
  <c r="AA1462" i="6"/>
  <c r="AC1462" i="6"/>
  <c r="Z1462" i="6"/>
  <c r="C1461" i="6"/>
  <c r="AA1461" i="6"/>
  <c r="AC1461" i="6"/>
  <c r="Z1461" i="6"/>
  <c r="C1460" i="6"/>
  <c r="AA1460" i="6"/>
  <c r="AC1460" i="6"/>
  <c r="Z1460" i="6"/>
  <c r="C1459" i="6"/>
  <c r="AA1459" i="6"/>
  <c r="AC1459" i="6"/>
  <c r="Z1459" i="6"/>
  <c r="C1458" i="6"/>
  <c r="AA1458" i="6"/>
  <c r="AC1458" i="6"/>
  <c r="Z1458" i="6"/>
  <c r="C1457" i="6"/>
  <c r="AA1457" i="6"/>
  <c r="AC1457" i="6"/>
  <c r="Z1457" i="6"/>
  <c r="C1456" i="6"/>
  <c r="AA1456" i="6"/>
  <c r="AC1456" i="6"/>
  <c r="Z1456" i="6"/>
  <c r="C1455" i="6"/>
  <c r="AA1455" i="6"/>
  <c r="AC1455" i="6"/>
  <c r="Z1455" i="6"/>
  <c r="C1454" i="6"/>
  <c r="AA1454" i="6"/>
  <c r="AC1454" i="6"/>
  <c r="Z1454" i="6"/>
  <c r="C1453" i="6"/>
  <c r="AA1453" i="6"/>
  <c r="AC1453" i="6"/>
  <c r="Z1453" i="6"/>
  <c r="C1452" i="6"/>
  <c r="AA1452" i="6"/>
  <c r="AC1452" i="6"/>
  <c r="Z1452" i="6"/>
  <c r="C1451" i="6"/>
  <c r="AA1451" i="6"/>
  <c r="AC1451" i="6"/>
  <c r="Z1451" i="6"/>
  <c r="C1450" i="6"/>
  <c r="AA1450" i="6"/>
  <c r="AC1450" i="6"/>
  <c r="Z1450" i="6"/>
  <c r="C1449" i="6"/>
  <c r="AA1449" i="6"/>
  <c r="AC1449" i="6"/>
  <c r="Z1449" i="6"/>
  <c r="C1448" i="6"/>
  <c r="AA1448" i="6"/>
  <c r="AC1448" i="6"/>
  <c r="Z1448" i="6"/>
  <c r="C1447" i="6"/>
  <c r="AA1447" i="6"/>
  <c r="AC1447" i="6"/>
  <c r="Z1447" i="6"/>
  <c r="C1446" i="6"/>
  <c r="AA1446" i="6"/>
  <c r="AC1446" i="6"/>
  <c r="Z1446" i="6"/>
  <c r="C1445" i="6"/>
  <c r="AA1445" i="6"/>
  <c r="AC1445" i="6"/>
  <c r="Z1445" i="6"/>
  <c r="C1444" i="6"/>
  <c r="AA1444" i="6"/>
  <c r="AC1444" i="6"/>
  <c r="Z1444" i="6"/>
  <c r="C1443" i="6"/>
  <c r="Z1443" i="6"/>
  <c r="AA1443" i="6"/>
  <c r="AC1443" i="6"/>
  <c r="C1442" i="6"/>
  <c r="AA1442" i="6"/>
  <c r="AC1442" i="6"/>
  <c r="Z1442" i="6"/>
  <c r="C1441" i="6"/>
  <c r="AA1441" i="6"/>
  <c r="AC1441" i="6"/>
  <c r="Z1441" i="6"/>
  <c r="C1440" i="6"/>
  <c r="AA1440" i="6"/>
  <c r="AC1440" i="6"/>
  <c r="Z1440" i="6"/>
  <c r="C1439" i="6"/>
  <c r="Z1439" i="6"/>
  <c r="AA1439" i="6"/>
  <c r="AC1439" i="6"/>
  <c r="C1438" i="6"/>
  <c r="Z1438" i="6"/>
  <c r="AA1438" i="6"/>
  <c r="AC1438" i="6"/>
  <c r="C1437" i="6"/>
  <c r="Z1437" i="6"/>
  <c r="AA1437" i="6"/>
  <c r="AC1437" i="6"/>
  <c r="C1436" i="6"/>
  <c r="Z1436" i="6"/>
  <c r="AA1436" i="6"/>
  <c r="AC1436" i="6"/>
  <c r="C1435" i="6"/>
  <c r="Z1435" i="6"/>
  <c r="AA1435" i="6"/>
  <c r="AC1435" i="6"/>
  <c r="C1434" i="6"/>
  <c r="AA1434" i="6"/>
  <c r="AC1434" i="6"/>
  <c r="Z1434" i="6"/>
  <c r="AA1433" i="6"/>
  <c r="AC1433" i="6"/>
  <c r="Z1433" i="6"/>
  <c r="C1432" i="6"/>
  <c r="AA1432" i="6"/>
  <c r="AC1432" i="6"/>
  <c r="Z1432" i="6"/>
  <c r="C1431" i="6"/>
  <c r="AA1431" i="6"/>
  <c r="AC1431" i="6"/>
  <c r="Z1431" i="6"/>
  <c r="C1430" i="6"/>
  <c r="AA1430" i="6"/>
  <c r="AC1430" i="6"/>
  <c r="Z1430" i="6"/>
  <c r="C1429" i="6"/>
  <c r="AA1429" i="6"/>
  <c r="AC1429" i="6"/>
  <c r="Z1429" i="6"/>
  <c r="C1428" i="6"/>
  <c r="AA1428" i="6"/>
  <c r="AC1428" i="6"/>
  <c r="Z1428" i="6"/>
  <c r="C1427" i="6"/>
  <c r="AA1427" i="6"/>
  <c r="Z1427" i="6"/>
  <c r="C1426" i="6"/>
  <c r="AA1426" i="6"/>
  <c r="AC1426" i="6"/>
  <c r="Z1426" i="6"/>
  <c r="C1425" i="6"/>
  <c r="AA1425" i="6"/>
  <c r="Z1425" i="6"/>
  <c r="C1424" i="6"/>
  <c r="AA1424" i="6"/>
  <c r="AC1424" i="6"/>
  <c r="Z1424" i="6"/>
  <c r="C1423" i="6"/>
  <c r="AA1423" i="6"/>
  <c r="Z1423" i="6"/>
  <c r="C1422" i="6"/>
  <c r="AA1422" i="6"/>
  <c r="AC1422" i="6"/>
  <c r="Z1422" i="6"/>
  <c r="C1421" i="6"/>
  <c r="AA1421" i="6"/>
  <c r="AC1421" i="6"/>
  <c r="Z1421" i="6"/>
  <c r="C1420" i="6"/>
  <c r="AA1420" i="6"/>
  <c r="AC1420" i="6"/>
  <c r="Z1420" i="6"/>
  <c r="C1419" i="6"/>
  <c r="AA1419" i="6"/>
  <c r="AC1419" i="6"/>
  <c r="Z1419" i="6"/>
  <c r="C1418" i="6"/>
  <c r="AA1418" i="6"/>
  <c r="AC1418" i="6"/>
  <c r="Z1418" i="6"/>
  <c r="C1417" i="6"/>
  <c r="AA1417" i="6"/>
  <c r="AC1417" i="6"/>
  <c r="Z1417" i="6"/>
  <c r="C1416" i="6"/>
  <c r="AA1416" i="6"/>
  <c r="AC1416" i="6"/>
  <c r="Z1416" i="6"/>
  <c r="C1415" i="6"/>
  <c r="AA1415" i="6"/>
  <c r="AC1415" i="6"/>
  <c r="Z1415" i="6"/>
  <c r="C1414" i="6"/>
  <c r="AA1414" i="6"/>
  <c r="AC1414" i="6"/>
  <c r="Z1414" i="6"/>
  <c r="C1413" i="6"/>
  <c r="AA1413" i="6"/>
  <c r="AC1413" i="6"/>
  <c r="Z1413" i="6"/>
  <c r="C1412" i="6"/>
  <c r="AA1412" i="6"/>
  <c r="AC1412" i="6"/>
  <c r="Z1412" i="6"/>
  <c r="C1411" i="6"/>
  <c r="AA1411" i="6"/>
  <c r="AC1411" i="6"/>
  <c r="Z1411" i="6"/>
  <c r="C1410" i="6"/>
  <c r="AA1410" i="6"/>
  <c r="AC1410" i="6"/>
  <c r="Z1410" i="6"/>
  <c r="C1409" i="6"/>
  <c r="AA1409" i="6"/>
  <c r="AC1409" i="6"/>
  <c r="Z1409" i="6"/>
  <c r="C1408" i="6"/>
  <c r="AA1408" i="6"/>
  <c r="AC1408" i="6"/>
  <c r="Z1408" i="6"/>
  <c r="C1407" i="6"/>
  <c r="AA1407" i="6"/>
  <c r="AC1407" i="6"/>
  <c r="Z1407" i="6"/>
  <c r="C1406" i="6"/>
  <c r="AA1406" i="6"/>
  <c r="AC1406" i="6"/>
  <c r="Z1406" i="6"/>
  <c r="C1405" i="6"/>
  <c r="AA1405" i="6"/>
  <c r="AC1405" i="6"/>
  <c r="Z1405" i="6"/>
  <c r="C1404" i="6"/>
  <c r="AA1404" i="6"/>
  <c r="AC1404" i="6"/>
  <c r="Z1404" i="6"/>
  <c r="C1403" i="6"/>
  <c r="AA1403" i="6"/>
  <c r="AC1403" i="6"/>
  <c r="Z1403" i="6"/>
  <c r="C1402" i="6"/>
  <c r="C1401" i="6"/>
  <c r="C1400" i="6"/>
  <c r="C1397" i="6"/>
  <c r="C1395" i="6"/>
  <c r="C1394" i="6"/>
  <c r="AC1394" i="6"/>
  <c r="C1391" i="6"/>
  <c r="AA1391" i="6"/>
  <c r="AC1391" i="6"/>
  <c r="Z1391" i="6"/>
  <c r="C1390" i="6"/>
  <c r="AA1390" i="6"/>
  <c r="AC1390" i="6"/>
  <c r="Z1390" i="6"/>
  <c r="C1389" i="6"/>
  <c r="AA1389" i="6"/>
  <c r="AC1389" i="6"/>
  <c r="Z1389" i="6"/>
  <c r="C1388" i="6"/>
  <c r="AA1388" i="6"/>
  <c r="AC1388" i="6"/>
  <c r="Z1388" i="6"/>
  <c r="C1387" i="6"/>
  <c r="AA1387" i="6"/>
  <c r="AC1387" i="6"/>
  <c r="Z1387" i="6"/>
  <c r="C1386" i="6"/>
  <c r="AA1386" i="6"/>
  <c r="AC1386" i="6"/>
  <c r="Z1386" i="6"/>
  <c r="C1385" i="6"/>
  <c r="AA1385" i="6"/>
  <c r="AC1385" i="6"/>
  <c r="Z1385" i="6"/>
  <c r="C1384" i="6"/>
  <c r="AA1384" i="6"/>
  <c r="AC1384" i="6"/>
  <c r="Z1384" i="6"/>
  <c r="C1381" i="6"/>
  <c r="AA1381" i="6"/>
  <c r="AC1381" i="6"/>
  <c r="Z1381" i="6"/>
  <c r="C1380" i="6"/>
  <c r="AA1380" i="6"/>
  <c r="AC1380" i="6"/>
  <c r="Z1380" i="6"/>
  <c r="C1379" i="6"/>
  <c r="AA1379" i="6"/>
  <c r="AC1379" i="6"/>
  <c r="Z1379" i="6"/>
  <c r="C1378" i="6"/>
  <c r="AA1378" i="6"/>
  <c r="AC1378" i="6"/>
  <c r="Z1378" i="6"/>
  <c r="C1375" i="6"/>
  <c r="AA1375" i="6"/>
  <c r="AC1375" i="6"/>
  <c r="Z1375" i="6"/>
  <c r="C1374" i="6"/>
  <c r="AA1374" i="6"/>
  <c r="AC1374" i="6"/>
  <c r="Z1374" i="6"/>
  <c r="C1373" i="6"/>
  <c r="AA1373" i="6"/>
  <c r="AC1373" i="6"/>
  <c r="Z1373" i="6"/>
  <c r="C1372" i="6"/>
  <c r="AA1372" i="6"/>
  <c r="AC1372" i="6"/>
  <c r="Z1372" i="6"/>
  <c r="C1371" i="6"/>
  <c r="C1370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0" i="6"/>
  <c r="C1289" i="6"/>
  <c r="C1288" i="6"/>
  <c r="C1287" i="6"/>
  <c r="C1286" i="6"/>
  <c r="C1285" i="6"/>
  <c r="C1284" i="6"/>
  <c r="C1283" i="6"/>
  <c r="C1282" i="6"/>
  <c r="C1279" i="6"/>
  <c r="C1278" i="6"/>
  <c r="C1277" i="6"/>
  <c r="C1276" i="6"/>
  <c r="C1275" i="6"/>
  <c r="C1271" i="6"/>
  <c r="C1270" i="6"/>
  <c r="C1269" i="6"/>
  <c r="C1268" i="6"/>
  <c r="C1267" i="6"/>
  <c r="AA1267" i="6"/>
  <c r="AC1267" i="6"/>
  <c r="Z1267" i="6"/>
  <c r="C1266" i="6"/>
  <c r="AA1266" i="6"/>
  <c r="Z1266" i="6"/>
  <c r="C1265" i="6"/>
  <c r="AA1265" i="6"/>
  <c r="AC1265" i="6"/>
  <c r="Z1265" i="6"/>
  <c r="C1264" i="6"/>
  <c r="AA1264" i="6"/>
  <c r="AC1264" i="6"/>
  <c r="Z1264" i="6"/>
  <c r="C1263" i="6"/>
  <c r="AA1263" i="6"/>
  <c r="AC1263" i="6"/>
  <c r="Z1263" i="6"/>
  <c r="C1262" i="6"/>
  <c r="AA1262" i="6"/>
  <c r="AC1262" i="6"/>
  <c r="Z1262" i="6"/>
  <c r="C1261" i="6"/>
  <c r="AA1261" i="6"/>
  <c r="AC1261" i="6"/>
  <c r="Z1261" i="6"/>
  <c r="C1260" i="6"/>
  <c r="AA1260" i="6"/>
  <c r="AC1260" i="6"/>
  <c r="Z1260" i="6"/>
  <c r="C1259" i="6"/>
  <c r="AA1259" i="6"/>
  <c r="AC1259" i="6"/>
  <c r="Z1259" i="6"/>
  <c r="C1258" i="6"/>
  <c r="AA1258" i="6"/>
  <c r="AC1258" i="6"/>
  <c r="Z1258" i="6"/>
  <c r="C1257" i="6"/>
  <c r="AA1257" i="6"/>
  <c r="AC1257" i="6"/>
  <c r="Z1257" i="6"/>
  <c r="C1256" i="6"/>
  <c r="AA1256" i="6"/>
  <c r="AC1256" i="6"/>
  <c r="Z1256" i="6"/>
  <c r="C1255" i="6"/>
  <c r="AA1255" i="6"/>
  <c r="AC1255" i="6"/>
  <c r="Z1255" i="6"/>
  <c r="C1254" i="6"/>
  <c r="AA1254" i="6"/>
  <c r="Z1254" i="6"/>
  <c r="C1253" i="6"/>
  <c r="AA1253" i="6"/>
  <c r="AC1253" i="6"/>
  <c r="Z1253" i="6"/>
  <c r="C1252" i="6"/>
  <c r="AA1252" i="6"/>
  <c r="AC1252" i="6"/>
  <c r="Z1252" i="6"/>
  <c r="C1251" i="6"/>
  <c r="AA1251" i="6"/>
  <c r="AC1251" i="6"/>
  <c r="Z1251" i="6"/>
  <c r="C1250" i="6"/>
  <c r="AA1250" i="6"/>
  <c r="AC1250" i="6"/>
  <c r="Z1250" i="6"/>
  <c r="C1249" i="6"/>
  <c r="AA1249" i="6"/>
  <c r="AC1249" i="6"/>
  <c r="Z1249" i="6"/>
  <c r="C1248" i="6"/>
  <c r="AA1248" i="6"/>
  <c r="AC1248" i="6"/>
  <c r="Z1248" i="6"/>
  <c r="C1247" i="6"/>
  <c r="AA1247" i="6"/>
  <c r="AC1247" i="6"/>
  <c r="Z1247" i="6"/>
  <c r="C1246" i="6"/>
  <c r="AA1246" i="6"/>
  <c r="Z1246" i="6"/>
  <c r="C1245" i="6"/>
  <c r="AA1245" i="6"/>
  <c r="AC1245" i="6"/>
  <c r="Z1245" i="6"/>
  <c r="C1244" i="6"/>
  <c r="AA1244" i="6"/>
  <c r="AC1244" i="6"/>
  <c r="Z1244" i="6"/>
  <c r="C1243" i="6"/>
  <c r="AA1243" i="6"/>
  <c r="Z1243" i="6"/>
  <c r="C1242" i="6"/>
  <c r="AA1242" i="6"/>
  <c r="Z1242" i="6"/>
  <c r="C1241" i="6"/>
  <c r="AA1241" i="6"/>
  <c r="AC1241" i="6"/>
  <c r="Z1241" i="6"/>
  <c r="C1240" i="6"/>
  <c r="AA1240" i="6"/>
  <c r="AC1240" i="6"/>
  <c r="Z1240" i="6"/>
  <c r="C1239" i="6"/>
  <c r="AA1239" i="6"/>
  <c r="AC1239" i="6"/>
  <c r="Z1239" i="6"/>
  <c r="C1238" i="6"/>
  <c r="AA1238" i="6"/>
  <c r="AC1238" i="6"/>
  <c r="Z1238" i="6"/>
  <c r="C1237" i="6"/>
  <c r="AA1237" i="6"/>
  <c r="AC1237" i="6"/>
  <c r="Z1237" i="6"/>
  <c r="C1236" i="6"/>
  <c r="AA1236" i="6"/>
  <c r="Z1236" i="6"/>
  <c r="C1235" i="6"/>
  <c r="AA1235" i="6"/>
  <c r="AC1235" i="6"/>
  <c r="Z1235" i="6"/>
  <c r="C1234" i="6"/>
  <c r="AA1234" i="6"/>
  <c r="AC1234" i="6"/>
  <c r="Z1234" i="6"/>
  <c r="C1233" i="6"/>
  <c r="AA1233" i="6"/>
  <c r="AC1233" i="6"/>
  <c r="Z1233" i="6"/>
  <c r="C1232" i="6"/>
  <c r="AA1232" i="6"/>
  <c r="Z1232" i="6"/>
  <c r="C1231" i="6"/>
  <c r="AA1231" i="6"/>
  <c r="AC1231" i="6"/>
  <c r="Z1231" i="6"/>
  <c r="C1230" i="6"/>
  <c r="AA1230" i="6"/>
  <c r="AC1230" i="6"/>
  <c r="Z1230" i="6"/>
  <c r="C1229" i="6"/>
  <c r="AA1229" i="6"/>
  <c r="AC1229" i="6"/>
  <c r="Z1229" i="6"/>
  <c r="C1228" i="6"/>
  <c r="AA1228" i="6"/>
  <c r="AC1228" i="6"/>
  <c r="Z1228" i="6"/>
  <c r="C1225" i="6"/>
  <c r="AA1225" i="6"/>
  <c r="AC1225" i="6"/>
  <c r="Z1225" i="6"/>
  <c r="C1224" i="6"/>
  <c r="AA1224" i="6"/>
  <c r="AC1224" i="6"/>
  <c r="Z1224" i="6"/>
  <c r="C1223" i="6"/>
  <c r="AA1223" i="6"/>
  <c r="AC1223" i="6"/>
  <c r="Z1223" i="6"/>
  <c r="C1222" i="6"/>
  <c r="AA1222" i="6"/>
  <c r="AC1222" i="6"/>
  <c r="Z1222" i="6"/>
  <c r="C1221" i="6"/>
  <c r="AA1221" i="6"/>
  <c r="AC1221" i="6"/>
  <c r="Z1221" i="6"/>
  <c r="C1220" i="6"/>
  <c r="AA1220" i="6"/>
  <c r="AC1220" i="6"/>
  <c r="Z1220" i="6"/>
  <c r="C1219" i="6"/>
  <c r="AA1219" i="6"/>
  <c r="AC1219" i="6"/>
  <c r="Z1219" i="6"/>
  <c r="C1218" i="6"/>
  <c r="AA1218" i="6"/>
  <c r="AC1218" i="6"/>
  <c r="Z1218" i="6"/>
  <c r="C1217" i="6"/>
  <c r="AA1217" i="6"/>
  <c r="AC1217" i="6"/>
  <c r="Z1217" i="6"/>
  <c r="C1216" i="6"/>
  <c r="AA1216" i="6"/>
  <c r="AC1216" i="6"/>
  <c r="Z1216" i="6"/>
  <c r="C1215" i="6"/>
  <c r="AA1215" i="6"/>
  <c r="AC1215" i="6"/>
  <c r="Z1215" i="6"/>
  <c r="C1214" i="6"/>
  <c r="AA1214" i="6"/>
  <c r="AC1214" i="6"/>
  <c r="Z1214" i="6"/>
  <c r="C1213" i="6"/>
  <c r="AA1213" i="6"/>
  <c r="AC1213" i="6"/>
  <c r="Z1213" i="6"/>
  <c r="C1212" i="6"/>
  <c r="AA1212" i="6"/>
  <c r="AC1212" i="6"/>
  <c r="Z1212" i="6"/>
  <c r="C1211" i="6"/>
  <c r="AA1211" i="6"/>
  <c r="Z1211" i="6"/>
  <c r="C1210" i="6"/>
  <c r="AA1210" i="6"/>
  <c r="AC1210" i="6"/>
  <c r="Z1210" i="6"/>
  <c r="C1209" i="6"/>
  <c r="AA1209" i="6"/>
  <c r="AC1209" i="6"/>
  <c r="Z1209" i="6"/>
  <c r="C1208" i="6"/>
  <c r="AA1208" i="6"/>
  <c r="AC1208" i="6"/>
  <c r="Z1208" i="6"/>
  <c r="C1207" i="6"/>
  <c r="AA1207" i="6"/>
  <c r="AC1207" i="6"/>
  <c r="Z1207" i="6"/>
  <c r="C1206" i="6"/>
  <c r="AA1206" i="6"/>
  <c r="AC1206" i="6"/>
  <c r="Z1206" i="6"/>
  <c r="C1205" i="6"/>
  <c r="AA1205" i="6"/>
  <c r="AC1205" i="6"/>
  <c r="Z1205" i="6"/>
  <c r="C1204" i="6"/>
  <c r="AA1204" i="6"/>
  <c r="AC1204" i="6"/>
  <c r="Z1204" i="6"/>
  <c r="C1203" i="6"/>
  <c r="AA1203" i="6"/>
  <c r="AC1203" i="6"/>
  <c r="Z1203" i="6"/>
  <c r="C1201" i="6"/>
  <c r="AA1201" i="6"/>
  <c r="AC1201" i="6"/>
  <c r="Z1201" i="6"/>
  <c r="C1200" i="6"/>
  <c r="AA1200" i="6"/>
  <c r="AC1200" i="6"/>
  <c r="Z1200" i="6"/>
  <c r="C1199" i="6"/>
  <c r="AA1199" i="6"/>
  <c r="AC1199" i="6"/>
  <c r="Z1199" i="6"/>
  <c r="C1198" i="6"/>
  <c r="AA1198" i="6"/>
  <c r="AC1198" i="6"/>
  <c r="Z1198" i="6"/>
  <c r="C1197" i="6"/>
  <c r="AA1197" i="6"/>
  <c r="AC1197" i="6"/>
  <c r="Z1197" i="6"/>
  <c r="C1196" i="6"/>
  <c r="AA1196" i="6"/>
  <c r="AC1196" i="6"/>
  <c r="Z1196" i="6"/>
  <c r="C1195" i="6"/>
  <c r="AA1195" i="6"/>
  <c r="AC1195" i="6"/>
  <c r="Z1195" i="6"/>
  <c r="C1194" i="6"/>
  <c r="AA1194" i="6"/>
  <c r="AC1194" i="6"/>
  <c r="Z1194" i="6"/>
  <c r="C1193" i="6"/>
  <c r="AA1193" i="6"/>
  <c r="AC1193" i="6"/>
  <c r="Z1193" i="6"/>
  <c r="C1192" i="6"/>
  <c r="AA1192" i="6"/>
  <c r="AC1192" i="6"/>
  <c r="Z1192" i="6"/>
  <c r="C1191" i="6"/>
  <c r="AA1191" i="6"/>
  <c r="AC1191" i="6"/>
  <c r="Z1191" i="6"/>
  <c r="C1190" i="6"/>
  <c r="AA1190" i="6"/>
  <c r="Z1190" i="6"/>
  <c r="C1189" i="6"/>
  <c r="AA1189" i="6"/>
  <c r="AC1189" i="6"/>
  <c r="Z1189" i="6"/>
  <c r="C1188" i="6"/>
  <c r="AA1188" i="6"/>
  <c r="AC1188" i="6"/>
  <c r="Z1188" i="6"/>
  <c r="C1187" i="6"/>
  <c r="AA1187" i="6"/>
  <c r="AC1187" i="6"/>
  <c r="Z1187" i="6"/>
  <c r="C1186" i="6"/>
  <c r="AA1186" i="6"/>
  <c r="AC1186" i="6"/>
  <c r="Z1186" i="6"/>
  <c r="C1185" i="6"/>
  <c r="AA1185" i="6"/>
  <c r="AC1185" i="6"/>
  <c r="Z1185" i="6"/>
  <c r="C1184" i="6"/>
  <c r="AA1184" i="6"/>
  <c r="AC1184" i="6"/>
  <c r="Z1184" i="6"/>
  <c r="C1183" i="6"/>
  <c r="AA1183" i="6"/>
  <c r="AC1183" i="6"/>
  <c r="Z1183" i="6"/>
  <c r="C1182" i="6"/>
  <c r="AA1182" i="6"/>
  <c r="AC1182" i="6"/>
  <c r="Z1182" i="6"/>
  <c r="C1181" i="6"/>
  <c r="AA1181" i="6"/>
  <c r="AC1181" i="6"/>
  <c r="Z1181" i="6"/>
  <c r="C1180" i="6"/>
  <c r="AA1180" i="6"/>
  <c r="AC1180" i="6"/>
  <c r="Z1180" i="6"/>
  <c r="C1179" i="6"/>
  <c r="AA1179" i="6"/>
  <c r="AC1179" i="6"/>
  <c r="Z1179" i="6"/>
  <c r="C1178" i="6"/>
  <c r="AA1178" i="6"/>
  <c r="AC1178" i="6"/>
  <c r="Z1178" i="6"/>
  <c r="C1177" i="6"/>
  <c r="Z1177" i="6"/>
  <c r="C1176" i="6"/>
  <c r="Z1176" i="6"/>
  <c r="C1175" i="6"/>
  <c r="Z1175" i="6"/>
  <c r="B1175" i="6"/>
  <c r="C1174" i="6"/>
  <c r="Z1174" i="6"/>
  <c r="B1174" i="6"/>
  <c r="C1173" i="6"/>
  <c r="Z1173" i="6"/>
  <c r="C1172" i="6"/>
  <c r="Z1172" i="6"/>
  <c r="B1172" i="6"/>
  <c r="C1171" i="6"/>
  <c r="Z1171" i="6"/>
  <c r="B1171" i="6"/>
  <c r="C1170" i="6"/>
  <c r="Z1170" i="6"/>
  <c r="B1170" i="6"/>
  <c r="C1169" i="6"/>
  <c r="Z1169" i="6"/>
  <c r="B1169" i="6"/>
  <c r="C1168" i="6"/>
  <c r="Z1168" i="6"/>
  <c r="B1168" i="6"/>
  <c r="C1167" i="6"/>
  <c r="Z1167" i="6"/>
  <c r="C1166" i="6"/>
  <c r="Z1166" i="6"/>
  <c r="B1166" i="6"/>
  <c r="C1165" i="6"/>
  <c r="Z1165" i="6"/>
  <c r="C1164" i="6"/>
  <c r="Z1164" i="6"/>
  <c r="B1164" i="6"/>
  <c r="C1163" i="6"/>
  <c r="Z1163" i="6"/>
  <c r="B1163" i="6"/>
  <c r="C1162" i="6"/>
  <c r="Z1162" i="6"/>
  <c r="C1161" i="6"/>
  <c r="Z1161" i="6"/>
  <c r="B1161" i="6"/>
  <c r="C1160" i="6"/>
  <c r="Z1160" i="6"/>
  <c r="B1160" i="6"/>
  <c r="C1159" i="6"/>
  <c r="Z1159" i="6"/>
  <c r="B1159" i="6"/>
  <c r="C1158" i="6"/>
  <c r="Z1158" i="6"/>
  <c r="B1158" i="6"/>
  <c r="C1157" i="6"/>
  <c r="Z1157" i="6"/>
  <c r="B1157" i="6"/>
  <c r="C1156" i="6"/>
  <c r="Z1156" i="6"/>
  <c r="C1155" i="6"/>
  <c r="Z1155" i="6"/>
  <c r="B1155" i="6"/>
  <c r="C1154" i="6"/>
  <c r="Z1154" i="6"/>
  <c r="C1153" i="6"/>
  <c r="Z1153" i="6"/>
  <c r="B1153" i="6"/>
  <c r="C1152" i="6"/>
  <c r="Z1152" i="6"/>
  <c r="C1150" i="6"/>
  <c r="C1149" i="6"/>
  <c r="C1148" i="6"/>
  <c r="C1147" i="6"/>
  <c r="C1146" i="6"/>
  <c r="C1145" i="6"/>
  <c r="C1144" i="6"/>
  <c r="C1143" i="6"/>
  <c r="C1142" i="6"/>
  <c r="B1129" i="6"/>
  <c r="B1121" i="6"/>
  <c r="B1113" i="6"/>
  <c r="B1105" i="6"/>
  <c r="C1005" i="6"/>
  <c r="C1004" i="6"/>
  <c r="C1003" i="6"/>
  <c r="C1002" i="6"/>
  <c r="C1001" i="6"/>
  <c r="C1000" i="6"/>
  <c r="C999" i="6"/>
  <c r="C998" i="6"/>
  <c r="C997" i="6"/>
  <c r="C959" i="6"/>
  <c r="C958" i="6"/>
  <c r="C957" i="6"/>
  <c r="C956" i="6"/>
  <c r="C955" i="6"/>
  <c r="C954" i="6"/>
  <c r="C950" i="6"/>
  <c r="C949" i="6"/>
  <c r="Z949" i="6"/>
  <c r="AA949" i="6"/>
  <c r="AC949" i="6"/>
  <c r="C948" i="6"/>
  <c r="Z948" i="6"/>
  <c r="AA948" i="6"/>
  <c r="C947" i="6"/>
  <c r="Z947" i="6"/>
  <c r="AA947" i="6"/>
  <c r="AC947" i="6"/>
  <c r="C1392" i="6"/>
  <c r="AA1392" i="6"/>
  <c r="AC1392" i="6"/>
  <c r="Z1392" i="6"/>
  <c r="C946" i="6"/>
  <c r="AA946" i="6"/>
  <c r="AC946" i="6"/>
  <c r="Z946" i="6"/>
  <c r="C945" i="6"/>
  <c r="AA945" i="6"/>
  <c r="AC945" i="6"/>
  <c r="Z945" i="6"/>
  <c r="C944" i="6"/>
  <c r="AA944" i="6"/>
  <c r="AC944" i="6"/>
  <c r="Z944" i="6"/>
  <c r="C943" i="6"/>
  <c r="AA943" i="6"/>
  <c r="AC943" i="6"/>
  <c r="Z943" i="6"/>
  <c r="C942" i="6"/>
  <c r="AA942" i="6"/>
  <c r="AC942" i="6"/>
  <c r="Z942" i="6"/>
  <c r="C941" i="6"/>
  <c r="AA941" i="6"/>
  <c r="AC941" i="6"/>
  <c r="Z941" i="6"/>
  <c r="C940" i="6"/>
  <c r="AA940" i="6"/>
  <c r="AC940" i="6"/>
  <c r="Z940" i="6"/>
  <c r="C939" i="6"/>
  <c r="AA939" i="6"/>
  <c r="AC939" i="6"/>
  <c r="Z939" i="6"/>
  <c r="C938" i="6"/>
  <c r="AA938" i="6"/>
  <c r="AC938" i="6"/>
  <c r="Z938" i="6"/>
  <c r="C937" i="6"/>
  <c r="AA937" i="6"/>
  <c r="AC937" i="6"/>
  <c r="Z937" i="6"/>
  <c r="C936" i="6"/>
  <c r="AA936" i="6"/>
  <c r="AC936" i="6"/>
  <c r="Z936" i="6"/>
  <c r="C935" i="6"/>
  <c r="AA935" i="6"/>
  <c r="AC935" i="6"/>
  <c r="Z935" i="6"/>
  <c r="C934" i="6"/>
  <c r="AA934" i="6"/>
  <c r="AC934" i="6"/>
  <c r="Z934" i="6"/>
  <c r="C933" i="6"/>
  <c r="AA933" i="6"/>
  <c r="AC933" i="6"/>
  <c r="Z933" i="6"/>
  <c r="C932" i="6"/>
  <c r="AA932" i="6"/>
  <c r="AC932" i="6"/>
  <c r="Z932" i="6"/>
  <c r="C931" i="6"/>
  <c r="AA931" i="6"/>
  <c r="AC931" i="6"/>
  <c r="Z931" i="6"/>
  <c r="C930" i="6"/>
  <c r="AA930" i="6"/>
  <c r="AC930" i="6"/>
  <c r="Z930" i="6"/>
  <c r="C929" i="6"/>
  <c r="AA929" i="6"/>
  <c r="AC929" i="6"/>
  <c r="Z929" i="6"/>
  <c r="C928" i="6"/>
  <c r="AA928" i="6"/>
  <c r="AC928" i="6"/>
  <c r="Z928" i="6"/>
  <c r="C927" i="6"/>
  <c r="AA927" i="6"/>
  <c r="AC927" i="6"/>
  <c r="Z927" i="6"/>
  <c r="C926" i="6"/>
  <c r="AA926" i="6"/>
  <c r="AC926" i="6"/>
  <c r="Z926" i="6"/>
  <c r="C925" i="6"/>
  <c r="AA925" i="6"/>
  <c r="AC925" i="6"/>
  <c r="Z925" i="6"/>
  <c r="C924" i="6"/>
  <c r="AA924" i="6"/>
  <c r="AC924" i="6"/>
  <c r="Z924" i="6"/>
  <c r="C923" i="6"/>
  <c r="AA923" i="6"/>
  <c r="AC923" i="6"/>
  <c r="Z923" i="6"/>
  <c r="C922" i="6"/>
  <c r="Z922" i="6"/>
  <c r="AA922" i="6"/>
  <c r="AC922" i="6"/>
  <c r="C921" i="6"/>
  <c r="Z921" i="6"/>
  <c r="AA921" i="6"/>
  <c r="AC921" i="6"/>
  <c r="C920" i="6"/>
  <c r="Z920" i="6"/>
  <c r="AA920" i="6"/>
  <c r="AC920" i="6"/>
  <c r="C919" i="6"/>
  <c r="Z919" i="6"/>
  <c r="AA919" i="6"/>
  <c r="C918" i="6"/>
  <c r="Z918" i="6"/>
  <c r="AA918" i="6"/>
  <c r="AC918" i="6"/>
  <c r="C917" i="6"/>
  <c r="AA917" i="6"/>
  <c r="AC917" i="6"/>
  <c r="Z917" i="6"/>
  <c r="C916" i="6"/>
  <c r="Z916" i="6"/>
  <c r="AA916" i="6"/>
  <c r="AC916" i="6"/>
  <c r="C915" i="6"/>
  <c r="Z915" i="6"/>
  <c r="AA915" i="6"/>
  <c r="AC915" i="6"/>
  <c r="C914" i="6"/>
  <c r="Z914" i="6"/>
  <c r="AA914" i="6"/>
  <c r="AC914" i="6"/>
  <c r="C1393" i="6"/>
  <c r="AA1393" i="6"/>
  <c r="AC1393" i="6"/>
  <c r="Z1393" i="6"/>
  <c r="C913" i="6"/>
  <c r="AA913" i="6"/>
  <c r="AC913" i="6"/>
  <c r="Z913" i="6"/>
  <c r="C912" i="6"/>
  <c r="AA912" i="6"/>
  <c r="AC912" i="6"/>
  <c r="Z912" i="6"/>
  <c r="C911" i="6"/>
  <c r="AA911" i="6"/>
  <c r="AC911" i="6"/>
  <c r="Z911" i="6"/>
  <c r="C910" i="6"/>
  <c r="AA910" i="6"/>
  <c r="AC910" i="6"/>
  <c r="Z910" i="6"/>
  <c r="C909" i="6"/>
  <c r="AA909" i="6"/>
  <c r="AC909" i="6"/>
  <c r="Z909" i="6"/>
  <c r="C908" i="6"/>
  <c r="AA908" i="6"/>
  <c r="AC908" i="6"/>
  <c r="Z908" i="6"/>
  <c r="C907" i="6"/>
  <c r="AA907" i="6"/>
  <c r="AC907" i="6"/>
  <c r="Z907" i="6"/>
  <c r="C906" i="6"/>
  <c r="AA906" i="6"/>
  <c r="AC906" i="6"/>
  <c r="Z906" i="6"/>
  <c r="C905" i="6"/>
  <c r="AA905" i="6"/>
  <c r="AC905" i="6"/>
  <c r="Z905" i="6"/>
  <c r="C904" i="6"/>
  <c r="AA904" i="6"/>
  <c r="AC904" i="6"/>
  <c r="Z904" i="6"/>
  <c r="C903" i="6"/>
  <c r="AA903" i="6"/>
  <c r="AC903" i="6"/>
  <c r="Z903" i="6"/>
  <c r="C902" i="6"/>
  <c r="AA902" i="6"/>
  <c r="AC902" i="6"/>
  <c r="Z902" i="6"/>
  <c r="C901" i="6"/>
  <c r="AA901" i="6"/>
  <c r="AC901" i="6"/>
  <c r="Z901" i="6"/>
  <c r="C900" i="6"/>
  <c r="AA900" i="6"/>
  <c r="AC900" i="6"/>
  <c r="Z900" i="6"/>
  <c r="C899" i="6"/>
  <c r="AA899" i="6"/>
  <c r="AC899" i="6"/>
  <c r="Z899" i="6"/>
  <c r="C898" i="6"/>
  <c r="AA898" i="6"/>
  <c r="AC898" i="6"/>
  <c r="Z898" i="6"/>
  <c r="C897" i="6"/>
  <c r="AA897" i="6"/>
  <c r="AC897" i="6"/>
  <c r="Z897" i="6"/>
  <c r="C896" i="6"/>
  <c r="AA896" i="6"/>
  <c r="AC896" i="6"/>
  <c r="Z896" i="6"/>
  <c r="C895" i="6"/>
  <c r="AA895" i="6"/>
  <c r="AC895" i="6"/>
  <c r="Z895" i="6"/>
  <c r="C894" i="6"/>
  <c r="AA894" i="6"/>
  <c r="AC894" i="6"/>
  <c r="Z894" i="6"/>
  <c r="C893" i="6"/>
  <c r="AA893" i="6"/>
  <c r="AC893" i="6"/>
  <c r="Z893" i="6"/>
  <c r="C892" i="6"/>
  <c r="AA892" i="6"/>
  <c r="AC892" i="6"/>
  <c r="Z892" i="6"/>
  <c r="C891" i="6"/>
  <c r="AA891" i="6"/>
  <c r="AC891" i="6"/>
  <c r="Z891" i="6"/>
  <c r="C890" i="6"/>
  <c r="AA890" i="6"/>
  <c r="AC890" i="6"/>
  <c r="Z890" i="6"/>
  <c r="C889" i="6"/>
  <c r="AA889" i="6"/>
  <c r="AC889" i="6"/>
  <c r="Z889" i="6"/>
  <c r="C888" i="6"/>
  <c r="AA888" i="6"/>
  <c r="AC888" i="6"/>
  <c r="Z888" i="6"/>
  <c r="C887" i="6"/>
  <c r="AA887" i="6"/>
  <c r="AC887" i="6"/>
  <c r="Z887" i="6"/>
  <c r="C886" i="6"/>
  <c r="AA886" i="6"/>
  <c r="AC886" i="6"/>
  <c r="Z886" i="6"/>
  <c r="C885" i="6"/>
  <c r="AA885" i="6"/>
  <c r="AC885" i="6"/>
  <c r="Z885" i="6"/>
  <c r="C884" i="6"/>
  <c r="AA884" i="6"/>
  <c r="AC884" i="6"/>
  <c r="Z884" i="6"/>
  <c r="C883" i="6"/>
  <c r="AA883" i="6"/>
  <c r="AC883" i="6"/>
  <c r="Z883" i="6"/>
  <c r="C881" i="6"/>
  <c r="AA881" i="6"/>
  <c r="AC881" i="6"/>
  <c r="Z881" i="6"/>
  <c r="C971" i="6"/>
  <c r="C969" i="6"/>
  <c r="C968" i="6"/>
  <c r="C967" i="6"/>
  <c r="C966" i="6"/>
  <c r="C965" i="6"/>
  <c r="AA965" i="6"/>
  <c r="AC965" i="6"/>
  <c r="C964" i="6"/>
  <c r="AA964" i="6"/>
  <c r="B964" i="6"/>
  <c r="C963" i="6"/>
  <c r="AA963" i="6"/>
  <c r="B963" i="6"/>
  <c r="C962" i="6"/>
  <c r="AA962" i="6"/>
  <c r="AC962" i="6"/>
  <c r="Z962" i="6"/>
  <c r="C953" i="6"/>
  <c r="AA953" i="6"/>
  <c r="AC953" i="6"/>
  <c r="Z953" i="6"/>
  <c r="C880" i="6"/>
  <c r="AA880" i="6"/>
  <c r="AC880" i="6"/>
  <c r="Z880" i="6"/>
  <c r="C879" i="6"/>
  <c r="AA879" i="6"/>
  <c r="AC879" i="6"/>
  <c r="Z879" i="6"/>
  <c r="C878" i="6"/>
  <c r="AA878" i="6"/>
  <c r="AC878" i="6"/>
  <c r="Z878" i="6"/>
  <c r="C877" i="6"/>
  <c r="AA877" i="6"/>
  <c r="AC877" i="6"/>
  <c r="Z877" i="6"/>
  <c r="C876" i="6"/>
  <c r="AA876" i="6"/>
  <c r="AC876" i="6"/>
  <c r="Z876" i="6"/>
  <c r="C875" i="6"/>
  <c r="AA875" i="6"/>
  <c r="AC875" i="6"/>
  <c r="Z875" i="6"/>
  <c r="C874" i="6"/>
  <c r="AA874" i="6"/>
  <c r="AC874" i="6"/>
  <c r="Z874" i="6"/>
  <c r="C873" i="6"/>
  <c r="AA873" i="6"/>
  <c r="AC873" i="6"/>
  <c r="Z873" i="6"/>
  <c r="C872" i="6"/>
  <c r="AA872" i="6"/>
  <c r="AC872" i="6"/>
  <c r="Z872" i="6"/>
  <c r="C871" i="6"/>
  <c r="AA871" i="6"/>
  <c r="AC871" i="6"/>
  <c r="Z871" i="6"/>
  <c r="C870" i="6"/>
  <c r="AA870" i="6"/>
  <c r="AC870" i="6"/>
  <c r="Z870" i="6"/>
  <c r="C869" i="6"/>
  <c r="AA869" i="6"/>
  <c r="AC869" i="6"/>
  <c r="Z869" i="6"/>
  <c r="C868" i="6"/>
  <c r="AA868" i="6"/>
  <c r="AC868" i="6"/>
  <c r="Z868" i="6"/>
  <c r="C867" i="6"/>
  <c r="AA867" i="6"/>
  <c r="AC867" i="6"/>
  <c r="Z867" i="6"/>
  <c r="C866" i="6"/>
  <c r="AA866" i="6"/>
  <c r="AC866" i="6"/>
  <c r="Z866" i="6"/>
  <c r="C865" i="6"/>
  <c r="AA865" i="6"/>
  <c r="AC865" i="6"/>
  <c r="Z865" i="6"/>
  <c r="C864" i="6"/>
  <c r="Z864" i="6"/>
  <c r="B864" i="6"/>
  <c r="C729" i="6"/>
  <c r="Z729" i="6"/>
  <c r="C728" i="6"/>
  <c r="Z728" i="6"/>
  <c r="B728" i="6"/>
  <c r="C727" i="6"/>
  <c r="Z727" i="6"/>
  <c r="B727" i="6"/>
  <c r="C726" i="6"/>
  <c r="Z726" i="6"/>
  <c r="B726" i="6"/>
  <c r="C725" i="6"/>
  <c r="Z725" i="6"/>
  <c r="B725" i="6"/>
  <c r="C510" i="6"/>
  <c r="Z510" i="6"/>
  <c r="B510" i="6"/>
  <c r="C724" i="6"/>
  <c r="Z724" i="6"/>
  <c r="B724" i="6"/>
  <c r="C720" i="6"/>
  <c r="Z720" i="6"/>
  <c r="B720" i="6"/>
  <c r="C719" i="6"/>
  <c r="Z719" i="6"/>
  <c r="B719" i="6"/>
  <c r="C718" i="6"/>
  <c r="Z718" i="6"/>
  <c r="B718" i="6"/>
  <c r="C717" i="6"/>
  <c r="Z717" i="6"/>
  <c r="C716" i="6"/>
  <c r="Z716" i="6"/>
  <c r="B716" i="6"/>
  <c r="C715" i="6"/>
  <c r="Z715" i="6"/>
  <c r="B715" i="6"/>
  <c r="C713" i="6"/>
  <c r="Z713" i="6"/>
  <c r="B713" i="6"/>
  <c r="C712" i="6"/>
  <c r="Z712" i="6"/>
  <c r="B712" i="6"/>
  <c r="C711" i="6"/>
  <c r="Z711" i="6"/>
  <c r="B711" i="6"/>
  <c r="C710" i="6"/>
  <c r="Z710" i="6"/>
  <c r="B710" i="6"/>
  <c r="C709" i="6"/>
  <c r="Z709" i="6"/>
  <c r="B709" i="6"/>
  <c r="C708" i="6"/>
  <c r="Z708" i="6"/>
  <c r="B708" i="6"/>
  <c r="C707" i="6"/>
  <c r="Z707" i="6"/>
  <c r="B707" i="6"/>
  <c r="C706" i="6"/>
  <c r="Z706" i="6"/>
  <c r="B706" i="6"/>
  <c r="C696" i="6"/>
  <c r="Z696" i="6"/>
  <c r="B696" i="6"/>
  <c r="C695" i="6"/>
  <c r="Z695" i="6"/>
  <c r="B695" i="6"/>
  <c r="C694" i="6"/>
  <c r="Z694" i="6"/>
  <c r="B694" i="6"/>
  <c r="C693" i="6"/>
  <c r="Z693" i="6"/>
  <c r="B693" i="6"/>
  <c r="C1383" i="6"/>
  <c r="Z1383" i="6"/>
  <c r="C692" i="6"/>
  <c r="Z692" i="6"/>
  <c r="B692" i="6"/>
  <c r="C691" i="6"/>
  <c r="Z691" i="6"/>
  <c r="B691" i="6"/>
  <c r="C690" i="6"/>
  <c r="Z690" i="6"/>
  <c r="B690" i="6"/>
  <c r="C705" i="6"/>
  <c r="Z705" i="6"/>
  <c r="C704" i="6"/>
  <c r="Z704" i="6"/>
  <c r="B704" i="6"/>
  <c r="C703" i="6"/>
  <c r="Z703" i="6"/>
  <c r="B703" i="6"/>
  <c r="C689" i="6"/>
  <c r="Z689" i="6"/>
  <c r="B689" i="6"/>
  <c r="C687" i="6"/>
  <c r="Z687" i="6"/>
  <c r="B687" i="6"/>
  <c r="C685" i="6"/>
  <c r="Z685" i="6"/>
  <c r="B685" i="6"/>
  <c r="C684" i="6"/>
  <c r="Z684" i="6"/>
  <c r="B684" i="6"/>
  <c r="C683" i="6"/>
  <c r="Z683" i="6"/>
  <c r="C682" i="6"/>
  <c r="Z682" i="6"/>
  <c r="B682" i="6"/>
  <c r="C681" i="6"/>
  <c r="Z681" i="6"/>
  <c r="B681" i="6"/>
  <c r="C680" i="6"/>
  <c r="Z680" i="6"/>
  <c r="B680" i="6"/>
  <c r="C679" i="6"/>
  <c r="Z679" i="6"/>
  <c r="C666" i="6"/>
  <c r="Z666" i="6"/>
  <c r="B666" i="6"/>
  <c r="C665" i="6"/>
  <c r="Z665" i="6"/>
  <c r="B665" i="6"/>
  <c r="C664" i="6"/>
  <c r="Z664" i="6"/>
  <c r="B664" i="6"/>
  <c r="C663" i="6"/>
  <c r="Z663" i="6"/>
  <c r="B663" i="6"/>
  <c r="C662" i="6"/>
  <c r="Z662" i="6"/>
  <c r="C661" i="6"/>
  <c r="Z661" i="6"/>
  <c r="B661" i="6"/>
  <c r="C660" i="6"/>
  <c r="Z660" i="6"/>
  <c r="B660" i="6"/>
  <c r="C659" i="6"/>
  <c r="Z659" i="6"/>
  <c r="B659" i="6"/>
  <c r="C658" i="6"/>
  <c r="Z658" i="6"/>
  <c r="C657" i="6"/>
  <c r="Z657" i="6"/>
  <c r="B657" i="6"/>
  <c r="C655" i="6"/>
  <c r="Z655" i="6"/>
  <c r="B655" i="6"/>
  <c r="C702" i="6"/>
  <c r="Z702" i="6"/>
  <c r="B702" i="6"/>
  <c r="C652" i="6"/>
  <c r="Z652" i="6"/>
  <c r="C650" i="6"/>
  <c r="Z650" i="6"/>
  <c r="B650" i="6"/>
  <c r="C649" i="6"/>
  <c r="Z649" i="6"/>
  <c r="B649" i="6"/>
  <c r="C648" i="6"/>
  <c r="Z648" i="6"/>
  <c r="B648" i="6"/>
  <c r="C647" i="6"/>
  <c r="Z647" i="6"/>
  <c r="C646" i="6"/>
  <c r="Z646" i="6"/>
  <c r="B646" i="6"/>
  <c r="C645" i="6"/>
  <c r="Z645" i="6"/>
  <c r="B645" i="6"/>
  <c r="C644" i="6"/>
  <c r="Z644" i="6"/>
  <c r="B644" i="6"/>
  <c r="C643" i="6"/>
  <c r="Z643" i="6"/>
  <c r="B643" i="6"/>
  <c r="C642" i="6"/>
  <c r="Z642" i="6"/>
  <c r="B642" i="6"/>
  <c r="C641" i="6"/>
  <c r="Z641" i="6"/>
  <c r="B641" i="6"/>
  <c r="C640" i="6"/>
  <c r="Z640" i="6"/>
  <c r="B640" i="6"/>
  <c r="C639" i="6"/>
  <c r="Z639" i="6"/>
  <c r="B639" i="6"/>
  <c r="C638" i="6"/>
  <c r="Z638" i="6"/>
  <c r="B638" i="6"/>
  <c r="C637" i="6"/>
  <c r="Z637" i="6"/>
  <c r="B637" i="6"/>
  <c r="C636" i="6"/>
  <c r="Z636" i="6"/>
  <c r="C635" i="6"/>
  <c r="Z635" i="6"/>
  <c r="B635" i="6"/>
  <c r="C634" i="6"/>
  <c r="Z634" i="6"/>
  <c r="B634" i="6"/>
  <c r="C633" i="6"/>
  <c r="Z633" i="6"/>
  <c r="B633" i="6"/>
  <c r="C632" i="6"/>
  <c r="Z632" i="6"/>
  <c r="B632" i="6"/>
  <c r="C631" i="6"/>
  <c r="Z631" i="6"/>
  <c r="B631" i="6"/>
  <c r="C630" i="6"/>
  <c r="Z630" i="6"/>
  <c r="B630" i="6"/>
  <c r="C629" i="6"/>
  <c r="Z629" i="6"/>
  <c r="B629" i="6"/>
  <c r="C628" i="6"/>
  <c r="Z628" i="6"/>
  <c r="B628" i="6"/>
  <c r="C627" i="6"/>
  <c r="Z627" i="6"/>
  <c r="B627" i="6"/>
  <c r="C626" i="6"/>
  <c r="Z626" i="6"/>
  <c r="B626" i="6"/>
  <c r="C625" i="6"/>
  <c r="Z625" i="6"/>
  <c r="C624" i="6"/>
  <c r="Z624" i="6"/>
  <c r="B624" i="6"/>
  <c r="C623" i="6"/>
  <c r="Z623" i="6"/>
  <c r="B623" i="6"/>
  <c r="C622" i="6"/>
  <c r="Z622" i="6"/>
  <c r="B622" i="6"/>
  <c r="C621" i="6"/>
  <c r="Z621" i="6"/>
  <c r="B621" i="6"/>
  <c r="C620" i="6"/>
  <c r="Z620" i="6"/>
  <c r="B620" i="6"/>
  <c r="C619" i="6"/>
  <c r="Z619" i="6"/>
  <c r="B619" i="6"/>
  <c r="C618" i="6"/>
  <c r="Z618" i="6"/>
  <c r="B618" i="6"/>
  <c r="C617" i="6"/>
  <c r="Z617" i="6"/>
  <c r="B617" i="6"/>
  <c r="C616" i="6"/>
  <c r="Z616" i="6"/>
  <c r="B616" i="6"/>
  <c r="C615" i="6"/>
  <c r="Z615" i="6"/>
  <c r="B615" i="6"/>
  <c r="C614" i="6"/>
  <c r="Z614" i="6"/>
  <c r="C613" i="6"/>
  <c r="Z613" i="6"/>
  <c r="B613" i="6"/>
  <c r="C612" i="6"/>
  <c r="Z612" i="6"/>
  <c r="B612" i="6"/>
  <c r="C611" i="6"/>
  <c r="Z611" i="6"/>
  <c r="B611" i="6"/>
  <c r="C610" i="6"/>
  <c r="Z610" i="6"/>
  <c r="B610" i="6"/>
  <c r="C609" i="6"/>
  <c r="Z609" i="6"/>
  <c r="B609" i="6"/>
  <c r="C608" i="6"/>
  <c r="Z608" i="6"/>
  <c r="B608" i="6"/>
  <c r="C607" i="6"/>
  <c r="Z607" i="6"/>
  <c r="B607" i="6"/>
  <c r="C606" i="6"/>
  <c r="Z606" i="6"/>
  <c r="B606" i="6"/>
  <c r="C605" i="6"/>
  <c r="Z605" i="6"/>
  <c r="B605" i="6"/>
  <c r="C604" i="6"/>
  <c r="Z604" i="6"/>
  <c r="B604" i="6"/>
  <c r="C603" i="6"/>
  <c r="Z603" i="6"/>
  <c r="C602" i="6"/>
  <c r="Z602" i="6"/>
  <c r="B602" i="6"/>
  <c r="C601" i="6"/>
  <c r="Z601" i="6"/>
  <c r="B601" i="6"/>
  <c r="C600" i="6"/>
  <c r="Z600" i="6"/>
  <c r="B600" i="6"/>
  <c r="C599" i="6"/>
  <c r="Z599" i="6"/>
  <c r="B599" i="6"/>
  <c r="C598" i="6"/>
  <c r="Z598" i="6"/>
  <c r="B598" i="6"/>
  <c r="C597" i="6"/>
  <c r="Z597" i="6"/>
  <c r="B597" i="6"/>
  <c r="C596" i="6"/>
  <c r="Z596" i="6"/>
  <c r="B596" i="6"/>
  <c r="C595" i="6"/>
  <c r="Z595" i="6"/>
  <c r="B595" i="6"/>
  <c r="C594" i="6"/>
  <c r="Z594" i="6"/>
  <c r="B594" i="6"/>
  <c r="C593" i="6"/>
  <c r="Z593" i="6"/>
  <c r="B593" i="6"/>
  <c r="C592" i="6"/>
  <c r="Z592" i="6"/>
  <c r="C591" i="6"/>
  <c r="Z591" i="6"/>
  <c r="B591" i="6"/>
  <c r="C590" i="6"/>
  <c r="Z590" i="6"/>
  <c r="B590" i="6"/>
  <c r="C589" i="6"/>
  <c r="Z589" i="6"/>
  <c r="B589" i="6"/>
  <c r="C588" i="6"/>
  <c r="Z588" i="6"/>
  <c r="C587" i="6"/>
  <c r="Z587" i="6"/>
  <c r="B587" i="6"/>
  <c r="C586" i="6"/>
  <c r="Z586" i="6"/>
  <c r="B586" i="6"/>
  <c r="C585" i="6"/>
  <c r="Z585" i="6"/>
  <c r="B585" i="6"/>
  <c r="C584" i="6"/>
  <c r="Z584" i="6"/>
  <c r="B584" i="6"/>
  <c r="C583" i="6"/>
  <c r="Z583" i="6"/>
  <c r="B583" i="6"/>
  <c r="C582" i="6"/>
  <c r="Z582" i="6"/>
  <c r="B582" i="6"/>
  <c r="C581" i="6"/>
  <c r="Z581" i="6"/>
  <c r="C580" i="6"/>
  <c r="Z580" i="6"/>
  <c r="B580" i="6"/>
  <c r="C579" i="6"/>
  <c r="Z579" i="6"/>
  <c r="B579" i="6"/>
  <c r="C578" i="6"/>
  <c r="Z578" i="6"/>
  <c r="B578" i="6"/>
  <c r="C577" i="6"/>
  <c r="Z577" i="6"/>
  <c r="B577" i="6"/>
  <c r="C576" i="6"/>
  <c r="Z576" i="6"/>
  <c r="B576" i="6"/>
  <c r="C575" i="6"/>
  <c r="Z575" i="6"/>
  <c r="B575" i="6"/>
  <c r="C572" i="6"/>
  <c r="Z572" i="6"/>
  <c r="B572" i="6"/>
  <c r="C570" i="6"/>
  <c r="Z570" i="6"/>
  <c r="B570" i="6"/>
  <c r="C569" i="6"/>
  <c r="Z569" i="6"/>
  <c r="C568" i="6"/>
  <c r="Z568" i="6"/>
  <c r="B568" i="6"/>
  <c r="C567" i="6"/>
  <c r="Z567" i="6"/>
  <c r="B567" i="6"/>
  <c r="C566" i="6"/>
  <c r="Z566" i="6"/>
  <c r="B566" i="6"/>
  <c r="C565" i="6"/>
  <c r="Z565" i="6"/>
  <c r="B565" i="6"/>
  <c r="C564" i="6"/>
  <c r="Z564" i="6"/>
  <c r="C563" i="6"/>
  <c r="Z563" i="6"/>
  <c r="B563" i="6"/>
  <c r="C562" i="6"/>
  <c r="Z562" i="6"/>
  <c r="C561" i="6"/>
  <c r="Z561" i="6"/>
  <c r="B561" i="6"/>
  <c r="C560" i="6"/>
  <c r="Z560" i="6"/>
  <c r="B560" i="6"/>
  <c r="C551" i="6"/>
  <c r="Z551" i="6"/>
  <c r="C550" i="6"/>
  <c r="Z550" i="6"/>
  <c r="C549" i="6"/>
  <c r="Z549" i="6"/>
  <c r="C548" i="6"/>
  <c r="Z548" i="6"/>
  <c r="C547" i="6"/>
  <c r="Z547" i="6"/>
  <c r="C546" i="6"/>
  <c r="Z546" i="6"/>
  <c r="C545" i="6"/>
  <c r="Z545" i="6"/>
  <c r="B545" i="6"/>
  <c r="C544" i="6"/>
  <c r="Z544" i="6"/>
  <c r="C543" i="6"/>
  <c r="Z543" i="6"/>
  <c r="C542" i="6"/>
  <c r="Z542" i="6"/>
  <c r="B542" i="6"/>
  <c r="C541" i="6"/>
  <c r="Z541" i="6"/>
  <c r="C540" i="6"/>
  <c r="Z540" i="6"/>
  <c r="C539" i="6"/>
  <c r="Z539" i="6"/>
  <c r="C538" i="6"/>
  <c r="Z538" i="6"/>
  <c r="B538" i="6"/>
  <c r="C537" i="6"/>
  <c r="Z537" i="6"/>
  <c r="B537" i="6"/>
  <c r="C536" i="6"/>
  <c r="Z536" i="6"/>
  <c r="B536" i="6"/>
  <c r="C535" i="6"/>
  <c r="Z535" i="6"/>
  <c r="B535" i="6"/>
  <c r="C534" i="6"/>
  <c r="Z534" i="6"/>
  <c r="B534" i="6"/>
  <c r="C533" i="6"/>
  <c r="Z533" i="6"/>
  <c r="B533" i="6"/>
  <c r="C532" i="6"/>
  <c r="Z532" i="6"/>
  <c r="C530" i="6"/>
  <c r="Z530" i="6"/>
  <c r="B530" i="6"/>
  <c r="C529" i="6"/>
  <c r="Z529" i="6"/>
  <c r="B529" i="6"/>
  <c r="C528" i="6"/>
  <c r="Z528" i="6"/>
  <c r="B528" i="6"/>
  <c r="C527" i="6"/>
  <c r="Z527" i="6"/>
  <c r="C526" i="6"/>
  <c r="Z526" i="6"/>
  <c r="B526" i="6"/>
  <c r="C525" i="6"/>
  <c r="Z525" i="6"/>
  <c r="B525" i="6"/>
  <c r="C524" i="6"/>
  <c r="Z524" i="6"/>
  <c r="B524" i="6"/>
  <c r="C523" i="6"/>
  <c r="Z523" i="6"/>
  <c r="B523" i="6"/>
  <c r="C521" i="6"/>
  <c r="B521" i="6"/>
  <c r="C519" i="6"/>
  <c r="Z519" i="6"/>
  <c r="C518" i="6"/>
  <c r="Z518" i="6"/>
  <c r="B518" i="6"/>
  <c r="AC518" i="6"/>
  <c r="C517" i="6"/>
  <c r="Z517" i="6"/>
  <c r="B517" i="6"/>
  <c r="C516" i="6"/>
  <c r="Z516" i="6"/>
  <c r="B516" i="6"/>
  <c r="C515" i="6"/>
  <c r="Z515" i="6"/>
  <c r="C514" i="6"/>
  <c r="Z514" i="6"/>
  <c r="B514" i="6"/>
  <c r="C513" i="6"/>
  <c r="Z513" i="6"/>
  <c r="B513" i="6"/>
  <c r="C512" i="6"/>
  <c r="Z512" i="6"/>
  <c r="B512" i="6"/>
  <c r="C511" i="6"/>
  <c r="Z511" i="6"/>
  <c r="B511" i="6"/>
  <c r="C509" i="6"/>
  <c r="Z509" i="6"/>
  <c r="B509" i="6"/>
  <c r="C508" i="6"/>
  <c r="Z508" i="6"/>
  <c r="B508" i="6"/>
  <c r="C507" i="6"/>
  <c r="Z507" i="6"/>
  <c r="B507" i="6"/>
  <c r="C506" i="6"/>
  <c r="Z506" i="6"/>
  <c r="B506" i="6"/>
  <c r="C505" i="6"/>
  <c r="Z505" i="6"/>
  <c r="B505" i="6"/>
  <c r="C504" i="6"/>
  <c r="Z504" i="6"/>
  <c r="C501" i="6"/>
  <c r="Z501" i="6"/>
  <c r="B501" i="6"/>
  <c r="C500" i="6"/>
  <c r="Z500" i="6"/>
  <c r="C499" i="6"/>
  <c r="Z499" i="6"/>
  <c r="B499" i="6"/>
  <c r="C486" i="6"/>
  <c r="Z486" i="6"/>
  <c r="B486" i="6"/>
  <c r="C485" i="6"/>
  <c r="B485" i="6"/>
  <c r="AC485" i="6"/>
  <c r="Z485" i="6"/>
  <c r="C484" i="6"/>
  <c r="AA484" i="6"/>
  <c r="Z484" i="6"/>
  <c r="C483" i="6"/>
  <c r="AA483" i="6"/>
  <c r="B483" i="6"/>
  <c r="Z483" i="6"/>
  <c r="C482" i="6"/>
  <c r="AA482" i="6"/>
  <c r="B482" i="6"/>
  <c r="Z482" i="6"/>
  <c r="C481" i="6"/>
  <c r="AA481" i="6"/>
  <c r="B481" i="6"/>
  <c r="Z481" i="6"/>
  <c r="C480" i="6"/>
  <c r="AA480" i="6"/>
  <c r="B480" i="6"/>
  <c r="Z480" i="6"/>
  <c r="C479" i="6"/>
  <c r="AA479" i="6"/>
  <c r="AC479" i="6"/>
  <c r="Z479" i="6"/>
  <c r="C478" i="6"/>
  <c r="AA478" i="6"/>
  <c r="B478" i="6"/>
  <c r="Z478" i="6"/>
  <c r="C477" i="6"/>
  <c r="AA477" i="6"/>
  <c r="B477" i="6"/>
  <c r="Z477" i="6"/>
  <c r="C476" i="6"/>
  <c r="AA476" i="6"/>
  <c r="B476" i="6"/>
  <c r="C475" i="6"/>
  <c r="AA475" i="6"/>
  <c r="Z475" i="6"/>
  <c r="C474" i="6"/>
  <c r="AA474" i="6"/>
  <c r="AC474" i="6"/>
  <c r="Z474" i="6"/>
  <c r="C473" i="6"/>
  <c r="AA473" i="6"/>
  <c r="B473" i="6"/>
  <c r="AC473" i="6"/>
  <c r="Z473" i="6"/>
  <c r="C472" i="6"/>
  <c r="AA472" i="6"/>
  <c r="B472" i="6"/>
  <c r="AC472" i="6"/>
  <c r="Z472" i="6"/>
  <c r="C471" i="6"/>
  <c r="AA471" i="6"/>
  <c r="B471" i="6"/>
  <c r="Z471" i="6"/>
  <c r="C470" i="6"/>
  <c r="AA470" i="6"/>
  <c r="B470" i="6"/>
  <c r="Z470" i="6"/>
  <c r="C469" i="6"/>
  <c r="AA469" i="6"/>
  <c r="B469" i="6"/>
  <c r="AC469" i="6"/>
  <c r="Z469" i="6"/>
  <c r="C468" i="6"/>
  <c r="AA468" i="6"/>
  <c r="AC468" i="6"/>
  <c r="Z468" i="6"/>
  <c r="C467" i="6"/>
  <c r="AA467" i="6"/>
  <c r="B467" i="6"/>
  <c r="Z467" i="6"/>
  <c r="C466" i="6"/>
  <c r="AA466" i="6"/>
  <c r="B466" i="6"/>
  <c r="Z466" i="6"/>
  <c r="C465" i="6"/>
  <c r="AA465" i="6"/>
  <c r="B465" i="6"/>
  <c r="AC465" i="6"/>
  <c r="Z465" i="6"/>
  <c r="C464" i="6"/>
  <c r="AA464" i="6"/>
  <c r="B464" i="6"/>
  <c r="Z464" i="6"/>
  <c r="C463" i="6"/>
  <c r="AA463" i="6"/>
  <c r="B463" i="6"/>
  <c r="Z463" i="6"/>
  <c r="C462" i="6"/>
  <c r="AA462" i="6"/>
  <c r="B462" i="6"/>
  <c r="Z462" i="6"/>
  <c r="C461" i="6"/>
  <c r="AA461" i="6"/>
  <c r="B461" i="6"/>
  <c r="Z461" i="6"/>
  <c r="C460" i="6"/>
  <c r="AA460" i="6"/>
  <c r="B460" i="6"/>
  <c r="Z460" i="6"/>
  <c r="C459" i="6"/>
  <c r="AA459" i="6"/>
  <c r="B459" i="6"/>
  <c r="AC459" i="6"/>
  <c r="Z459" i="6"/>
  <c r="C458" i="6"/>
  <c r="AA458" i="6"/>
  <c r="B458" i="6"/>
  <c r="Z458" i="6"/>
  <c r="C457" i="6"/>
  <c r="AA457" i="6"/>
  <c r="AC457" i="6"/>
  <c r="Z457" i="6"/>
  <c r="C456" i="6"/>
  <c r="AA456" i="6"/>
  <c r="AC456" i="6"/>
  <c r="Z456" i="6"/>
  <c r="C455" i="6"/>
  <c r="AA455" i="6"/>
  <c r="AC455" i="6"/>
  <c r="Z455" i="6"/>
  <c r="C453" i="6"/>
  <c r="AA453" i="6"/>
  <c r="AC453" i="6"/>
  <c r="Z453" i="6"/>
  <c r="C452" i="6"/>
  <c r="AA452" i="6"/>
  <c r="B452" i="6"/>
  <c r="AC452" i="6"/>
  <c r="Z452" i="6"/>
  <c r="C451" i="6"/>
  <c r="AA451" i="6"/>
  <c r="AC451" i="6"/>
  <c r="Z451" i="6"/>
  <c r="C450" i="6"/>
  <c r="AA450" i="6"/>
  <c r="B450" i="6"/>
  <c r="Z450" i="6"/>
  <c r="C449" i="6"/>
  <c r="AA449" i="6"/>
  <c r="B449" i="6"/>
  <c r="Z449" i="6"/>
  <c r="C448" i="6"/>
  <c r="AA448" i="6"/>
  <c r="B448" i="6"/>
  <c r="Z448" i="6"/>
  <c r="C447" i="6"/>
  <c r="AA447" i="6"/>
  <c r="B447" i="6"/>
  <c r="Z447" i="6"/>
  <c r="C446" i="6"/>
  <c r="AA446" i="6"/>
  <c r="B446" i="6"/>
  <c r="Z446" i="6"/>
  <c r="C445" i="6"/>
  <c r="AA445" i="6"/>
  <c r="B445" i="6"/>
  <c r="Z445" i="6"/>
  <c r="C444" i="6"/>
  <c r="AA444" i="6"/>
  <c r="Z444" i="6"/>
  <c r="C443" i="6"/>
  <c r="AA443" i="6"/>
  <c r="Z443" i="6"/>
  <c r="C442" i="6"/>
  <c r="AA442" i="6"/>
  <c r="B442" i="6"/>
  <c r="Z442" i="6"/>
  <c r="C441" i="6"/>
  <c r="AA441" i="6"/>
  <c r="B441" i="6"/>
  <c r="AC441" i="6"/>
  <c r="Z441" i="6"/>
  <c r="C440" i="6"/>
  <c r="AA440" i="6"/>
  <c r="B440" i="6"/>
  <c r="Z440" i="6"/>
  <c r="C439" i="6"/>
  <c r="AA439" i="6"/>
  <c r="B439" i="6"/>
  <c r="Z439" i="6"/>
  <c r="C438" i="6"/>
  <c r="AA438" i="6"/>
  <c r="AC438" i="6"/>
  <c r="Z438" i="6"/>
  <c r="C437" i="6"/>
  <c r="AA437" i="6"/>
  <c r="B437" i="6"/>
  <c r="Z437" i="6"/>
  <c r="C436" i="6"/>
  <c r="AA436" i="6"/>
  <c r="B436" i="6"/>
  <c r="Z436" i="6"/>
  <c r="C435" i="6"/>
  <c r="AA435" i="6"/>
  <c r="B435" i="6"/>
  <c r="Z435" i="6"/>
  <c r="C434" i="6"/>
  <c r="AA434" i="6"/>
  <c r="B434" i="6"/>
  <c r="Z434" i="6"/>
  <c r="C433" i="6"/>
  <c r="AA433" i="6"/>
  <c r="B433" i="6"/>
  <c r="Z433" i="6"/>
  <c r="C432" i="6"/>
  <c r="AA432" i="6"/>
  <c r="B432" i="6"/>
  <c r="Z432" i="6"/>
  <c r="C431" i="6"/>
  <c r="AA431" i="6"/>
  <c r="B431" i="6"/>
  <c r="Z431" i="6"/>
  <c r="C430" i="6"/>
  <c r="AA430" i="6"/>
  <c r="AC430" i="6"/>
  <c r="Z430" i="6"/>
  <c r="C428" i="6"/>
  <c r="AA428" i="6"/>
  <c r="AC428" i="6"/>
  <c r="Z428" i="6"/>
  <c r="C427" i="6"/>
  <c r="AA427" i="6"/>
  <c r="AC427" i="6"/>
  <c r="Z427" i="6"/>
  <c r="C426" i="6"/>
  <c r="AA426" i="6"/>
  <c r="AC426" i="6"/>
  <c r="Z426" i="6"/>
  <c r="C425" i="6"/>
  <c r="AA425" i="6"/>
  <c r="AC425" i="6"/>
  <c r="Z425" i="6"/>
  <c r="C424" i="6"/>
  <c r="AA424" i="6"/>
  <c r="AC424" i="6"/>
  <c r="Z424" i="6"/>
  <c r="C423" i="6"/>
  <c r="AA423" i="6"/>
  <c r="AC423" i="6"/>
  <c r="Z423" i="6"/>
  <c r="C422" i="6"/>
  <c r="AA422" i="6"/>
  <c r="AC422" i="6"/>
  <c r="Z422" i="6"/>
  <c r="C421" i="6"/>
  <c r="AA421" i="6"/>
  <c r="AC421" i="6"/>
  <c r="Z421" i="6"/>
  <c r="C420" i="6"/>
  <c r="AA420" i="6"/>
  <c r="AC420" i="6"/>
  <c r="Z420" i="6"/>
  <c r="C419" i="6"/>
  <c r="AA419" i="6"/>
  <c r="AC419" i="6"/>
  <c r="Z419" i="6"/>
  <c r="C418" i="6"/>
  <c r="AA418" i="6"/>
  <c r="AC418" i="6"/>
  <c r="Z418" i="6"/>
  <c r="C417" i="6"/>
  <c r="AA417" i="6"/>
  <c r="AC417" i="6"/>
  <c r="Z417" i="6"/>
  <c r="C416" i="6"/>
  <c r="AA416" i="6"/>
  <c r="AC416" i="6"/>
  <c r="Z416" i="6"/>
  <c r="C415" i="6"/>
  <c r="AA415" i="6"/>
  <c r="AC415" i="6"/>
  <c r="Z415" i="6"/>
  <c r="C414" i="6"/>
  <c r="AA414" i="6"/>
  <c r="AC414" i="6"/>
  <c r="Z414" i="6"/>
  <c r="C413" i="6"/>
  <c r="AA413" i="6"/>
  <c r="AC413" i="6"/>
  <c r="Z413" i="6"/>
  <c r="C412" i="6"/>
  <c r="AA412" i="6"/>
  <c r="AC412" i="6"/>
  <c r="Z412" i="6"/>
  <c r="C411" i="6"/>
  <c r="AA411" i="6"/>
  <c r="AC411" i="6"/>
  <c r="Z411" i="6"/>
  <c r="C410" i="6"/>
  <c r="AA410" i="6"/>
  <c r="AC410" i="6"/>
  <c r="Z410" i="6"/>
  <c r="C409" i="6"/>
  <c r="AA409" i="6"/>
  <c r="AC409" i="6"/>
  <c r="Z409" i="6"/>
  <c r="C408" i="6"/>
  <c r="AA408" i="6"/>
  <c r="Z408" i="6"/>
  <c r="C407" i="6"/>
  <c r="AA407" i="6"/>
  <c r="AC407" i="6"/>
  <c r="Z407" i="6"/>
  <c r="C406" i="6"/>
  <c r="AA406" i="6"/>
  <c r="Z406" i="6"/>
  <c r="C405" i="6"/>
  <c r="AA405" i="6"/>
  <c r="AC405" i="6"/>
  <c r="Z405" i="6"/>
  <c r="C404" i="6"/>
  <c r="AA404" i="6"/>
  <c r="AC404" i="6"/>
  <c r="Z404" i="6"/>
  <c r="C403" i="6"/>
  <c r="AA403" i="6"/>
  <c r="AC403" i="6"/>
  <c r="Z403" i="6"/>
  <c r="C402" i="6"/>
  <c r="AA402" i="6"/>
  <c r="AC402" i="6"/>
  <c r="Z402" i="6"/>
  <c r="C401" i="6"/>
  <c r="AA401" i="6"/>
  <c r="AC401" i="6"/>
  <c r="Z401" i="6"/>
  <c r="C400" i="6"/>
  <c r="AA400" i="6"/>
  <c r="AC400" i="6"/>
  <c r="Z400" i="6"/>
  <c r="C399" i="6"/>
  <c r="AA399" i="6"/>
  <c r="AC399" i="6"/>
  <c r="Z399" i="6"/>
  <c r="C398" i="6"/>
  <c r="AA398" i="6"/>
  <c r="AC398" i="6"/>
  <c r="Z398" i="6"/>
  <c r="C397" i="6"/>
  <c r="AA397" i="6"/>
  <c r="AC397" i="6"/>
  <c r="Z397" i="6"/>
  <c r="C396" i="6"/>
  <c r="AA396" i="6"/>
  <c r="AC396" i="6"/>
  <c r="Z396" i="6"/>
  <c r="C395" i="6"/>
  <c r="AA395" i="6"/>
  <c r="AC395" i="6"/>
  <c r="Z395" i="6"/>
  <c r="C394" i="6"/>
  <c r="AA394" i="6"/>
  <c r="AC394" i="6"/>
  <c r="Z394" i="6"/>
  <c r="C393" i="6"/>
  <c r="AA393" i="6"/>
  <c r="AC393" i="6"/>
  <c r="Z393" i="6"/>
  <c r="C392" i="6"/>
  <c r="AA392" i="6"/>
  <c r="AC392" i="6"/>
  <c r="Z392" i="6"/>
  <c r="C391" i="6"/>
  <c r="AA391" i="6"/>
  <c r="Z391" i="6"/>
  <c r="C390" i="6"/>
  <c r="AA390" i="6"/>
  <c r="AC390" i="6"/>
  <c r="Z390" i="6"/>
  <c r="C389" i="6"/>
  <c r="AA389" i="6"/>
  <c r="AC389" i="6"/>
  <c r="Z389" i="6"/>
  <c r="C388" i="6"/>
  <c r="AA388" i="6"/>
  <c r="AC388" i="6"/>
  <c r="Z388" i="6"/>
  <c r="C387" i="6"/>
  <c r="AA387" i="6"/>
  <c r="AC387" i="6"/>
  <c r="Z387" i="6"/>
  <c r="C386" i="6"/>
  <c r="AA386" i="6"/>
  <c r="AC386" i="6"/>
  <c r="Z386" i="6"/>
  <c r="C385" i="6"/>
  <c r="AA385" i="6"/>
  <c r="AC385" i="6"/>
  <c r="Z385" i="6"/>
  <c r="C384" i="6"/>
  <c r="AA384" i="6"/>
  <c r="AC384" i="6"/>
  <c r="Z384" i="6"/>
  <c r="C383" i="6"/>
  <c r="AA383" i="6"/>
  <c r="AC383" i="6"/>
  <c r="Z383" i="6"/>
  <c r="C382" i="6"/>
  <c r="AA382" i="6"/>
  <c r="AC382" i="6"/>
  <c r="Z382" i="6"/>
  <c r="C381" i="6"/>
  <c r="AA381" i="6"/>
  <c r="AC381" i="6"/>
  <c r="Z381" i="6"/>
  <c r="C380" i="6"/>
  <c r="AA380" i="6"/>
  <c r="AC380" i="6"/>
  <c r="Z380" i="6"/>
  <c r="C379" i="6"/>
  <c r="AA379" i="6"/>
  <c r="AC379" i="6"/>
  <c r="Z379" i="6"/>
  <c r="C378" i="6"/>
  <c r="AA378" i="6"/>
  <c r="AC378" i="6"/>
  <c r="Z378" i="6"/>
  <c r="C377" i="6"/>
  <c r="AA377" i="6"/>
  <c r="AC377" i="6"/>
  <c r="Z377" i="6"/>
  <c r="C376" i="6"/>
  <c r="AA376" i="6"/>
  <c r="AC376" i="6"/>
  <c r="Z376" i="6"/>
  <c r="C375" i="6"/>
  <c r="AA375" i="6"/>
  <c r="AC375" i="6"/>
  <c r="Z375" i="6"/>
  <c r="C374" i="6"/>
  <c r="AA374" i="6"/>
  <c r="AC374" i="6"/>
  <c r="Z374" i="6"/>
  <c r="C373" i="6"/>
  <c r="AA373" i="6"/>
  <c r="AC373" i="6"/>
  <c r="Z373" i="6"/>
  <c r="C372" i="6"/>
  <c r="AA372" i="6"/>
  <c r="AC372" i="6"/>
  <c r="Z372" i="6"/>
  <c r="C371" i="6"/>
  <c r="AA371" i="6"/>
  <c r="AC371" i="6"/>
  <c r="Z371" i="6"/>
  <c r="C370" i="6"/>
  <c r="AA370" i="6"/>
  <c r="AC370" i="6"/>
  <c r="Z370" i="6"/>
  <c r="C369" i="6"/>
  <c r="AA369" i="6"/>
  <c r="AC369" i="6"/>
  <c r="Z369" i="6"/>
  <c r="C368" i="6"/>
  <c r="AA368" i="6"/>
  <c r="AC368" i="6"/>
  <c r="Z368" i="6"/>
  <c r="C367" i="6"/>
  <c r="AA367" i="6"/>
  <c r="AC367" i="6"/>
  <c r="Z367" i="6"/>
  <c r="C366" i="6"/>
  <c r="AA366" i="6"/>
  <c r="AC366" i="6"/>
  <c r="Z366" i="6"/>
  <c r="C365" i="6"/>
  <c r="AA365" i="6"/>
  <c r="AC365" i="6"/>
  <c r="Z365" i="6"/>
  <c r="C364" i="6"/>
  <c r="AA364" i="6"/>
  <c r="AC364" i="6"/>
  <c r="Z364" i="6"/>
  <c r="C363" i="6"/>
  <c r="AA363" i="6"/>
  <c r="AC363" i="6"/>
  <c r="Z363" i="6"/>
  <c r="C362" i="6"/>
  <c r="AA362" i="6"/>
  <c r="AC362" i="6"/>
  <c r="Z362" i="6"/>
  <c r="C361" i="6"/>
  <c r="AA361" i="6"/>
  <c r="AC361" i="6"/>
  <c r="Z361" i="6"/>
  <c r="C360" i="6"/>
  <c r="AA360" i="6"/>
  <c r="AC360" i="6"/>
  <c r="Z360" i="6"/>
  <c r="C359" i="6"/>
  <c r="AA359" i="6"/>
  <c r="AC359" i="6"/>
  <c r="Z359" i="6"/>
  <c r="C358" i="6"/>
  <c r="AA358" i="6"/>
  <c r="AC358" i="6"/>
  <c r="Z358" i="6"/>
  <c r="C357" i="6"/>
  <c r="AA357" i="6"/>
  <c r="AC357" i="6"/>
  <c r="Z357" i="6"/>
  <c r="C356" i="6"/>
  <c r="AA356" i="6"/>
  <c r="AC356" i="6"/>
  <c r="Z356" i="6"/>
  <c r="C355" i="6"/>
  <c r="AA355" i="6"/>
  <c r="AC355" i="6"/>
  <c r="Z355" i="6"/>
  <c r="C354" i="6"/>
  <c r="AA354" i="6"/>
  <c r="AC354" i="6"/>
  <c r="Z354" i="6"/>
  <c r="C353" i="6"/>
  <c r="AA353" i="6"/>
  <c r="AC353" i="6"/>
  <c r="Z353" i="6"/>
  <c r="C352" i="6"/>
  <c r="AA352" i="6"/>
  <c r="AC352" i="6"/>
  <c r="Z352" i="6"/>
  <c r="C351" i="6"/>
  <c r="AA351" i="6"/>
  <c r="AC351" i="6"/>
  <c r="Z351" i="6"/>
  <c r="C350" i="6"/>
  <c r="AA350" i="6"/>
  <c r="AC350" i="6"/>
  <c r="Z350" i="6"/>
  <c r="C349" i="6"/>
  <c r="AA349" i="6"/>
  <c r="AC349" i="6"/>
  <c r="Z349" i="6"/>
  <c r="C348" i="6"/>
  <c r="AA348" i="6"/>
  <c r="AC348" i="6"/>
  <c r="Z348" i="6"/>
  <c r="C347" i="6"/>
  <c r="AA347" i="6"/>
  <c r="AC347" i="6"/>
  <c r="Z347" i="6"/>
  <c r="C346" i="6"/>
  <c r="AA346" i="6"/>
  <c r="AC346" i="6"/>
  <c r="Z346" i="6"/>
  <c r="C345" i="6"/>
  <c r="AA345" i="6"/>
  <c r="AC345" i="6"/>
  <c r="Z345" i="6"/>
  <c r="C344" i="6"/>
  <c r="AA344" i="6"/>
  <c r="AC344" i="6"/>
  <c r="Z344" i="6"/>
  <c r="C343" i="6"/>
  <c r="AA343" i="6"/>
  <c r="AC343" i="6"/>
  <c r="Z343" i="6"/>
  <c r="C342" i="6"/>
  <c r="AA342" i="6"/>
  <c r="AC342" i="6"/>
  <c r="Z342" i="6"/>
  <c r="C341" i="6"/>
  <c r="AA341" i="6"/>
  <c r="AC341" i="6"/>
  <c r="Z341" i="6"/>
  <c r="C340" i="6"/>
  <c r="AA340" i="6"/>
  <c r="Z340" i="6"/>
  <c r="C339" i="6"/>
  <c r="AA339" i="6"/>
  <c r="AC339" i="6"/>
  <c r="Z339" i="6"/>
  <c r="C338" i="6"/>
  <c r="AA338" i="6"/>
  <c r="AC338" i="6"/>
  <c r="Z338" i="6"/>
  <c r="C337" i="6"/>
  <c r="AA337" i="6"/>
  <c r="AC337" i="6"/>
  <c r="Z337" i="6"/>
  <c r="C336" i="6"/>
  <c r="AA336" i="6"/>
  <c r="AC336" i="6"/>
  <c r="Z336" i="6"/>
  <c r="C335" i="6"/>
  <c r="AA335" i="6"/>
  <c r="AC335" i="6"/>
  <c r="Z335" i="6"/>
  <c r="C334" i="6"/>
  <c r="AA334" i="6"/>
  <c r="AC334" i="6"/>
  <c r="Z334" i="6"/>
  <c r="C333" i="6"/>
  <c r="AA333" i="6"/>
  <c r="AC333" i="6"/>
  <c r="Z333" i="6"/>
  <c r="C332" i="6"/>
  <c r="AA332" i="6"/>
  <c r="AC332" i="6"/>
  <c r="Z332" i="6"/>
  <c r="C331" i="6"/>
  <c r="AA331" i="6"/>
  <c r="AC331" i="6"/>
  <c r="Z331" i="6"/>
  <c r="C330" i="6"/>
  <c r="AA330" i="6"/>
  <c r="AC330" i="6"/>
  <c r="Z330" i="6"/>
  <c r="C329" i="6"/>
  <c r="AA329" i="6"/>
  <c r="AC329" i="6"/>
  <c r="Z329" i="6"/>
  <c r="C328" i="6"/>
  <c r="AA328" i="6"/>
  <c r="AC328" i="6"/>
  <c r="Z328" i="6"/>
  <c r="C327" i="6"/>
  <c r="AA327" i="6"/>
  <c r="AC327" i="6"/>
  <c r="Z327" i="6"/>
  <c r="C326" i="6"/>
  <c r="AA326" i="6"/>
  <c r="AC326" i="6"/>
  <c r="Z326" i="6"/>
  <c r="C325" i="6"/>
  <c r="AA325" i="6"/>
  <c r="Z325" i="6"/>
  <c r="C324" i="6"/>
  <c r="AA324" i="6"/>
  <c r="AC324" i="6"/>
  <c r="Z324" i="6"/>
  <c r="C323" i="6"/>
  <c r="AA323" i="6"/>
  <c r="AC323" i="6"/>
  <c r="Z323" i="6"/>
  <c r="C322" i="6"/>
  <c r="AA322" i="6"/>
  <c r="AC322" i="6"/>
  <c r="Z322" i="6"/>
  <c r="C321" i="6"/>
  <c r="AA321" i="6"/>
  <c r="AC321" i="6"/>
  <c r="Z321" i="6"/>
  <c r="C320" i="6"/>
  <c r="AA320" i="6"/>
  <c r="AC320" i="6"/>
  <c r="Z320" i="6"/>
  <c r="C319" i="6"/>
  <c r="AA319" i="6"/>
  <c r="AC319" i="6"/>
  <c r="Z319" i="6"/>
  <c r="C318" i="6"/>
  <c r="AA318" i="6"/>
  <c r="AC318" i="6"/>
  <c r="Z318" i="6"/>
  <c r="C317" i="6"/>
  <c r="AA317" i="6"/>
  <c r="AC317" i="6"/>
  <c r="Z317" i="6"/>
  <c r="C316" i="6"/>
  <c r="AA316" i="6"/>
  <c r="AC316" i="6"/>
  <c r="Z316" i="6"/>
  <c r="C315" i="6"/>
  <c r="AA315" i="6"/>
  <c r="Z315" i="6"/>
  <c r="C314" i="6"/>
  <c r="AA314" i="6"/>
  <c r="AC314" i="6"/>
  <c r="Z314" i="6"/>
  <c r="C313" i="6"/>
  <c r="AA313" i="6"/>
  <c r="AC313" i="6"/>
  <c r="Z313" i="6"/>
  <c r="C312" i="6"/>
  <c r="AA312" i="6"/>
  <c r="Z312" i="6"/>
  <c r="C311" i="6"/>
  <c r="AA311" i="6"/>
  <c r="AC311" i="6"/>
  <c r="Z311" i="6"/>
  <c r="C310" i="6"/>
  <c r="AA310" i="6"/>
  <c r="AC310" i="6"/>
  <c r="Z310" i="6"/>
  <c r="C309" i="6"/>
  <c r="AA309" i="6"/>
  <c r="AC309" i="6"/>
  <c r="Z309" i="6"/>
  <c r="C308" i="6"/>
  <c r="AA308" i="6"/>
  <c r="AC308" i="6"/>
  <c r="Z308" i="6"/>
  <c r="C307" i="6"/>
  <c r="AA307" i="6"/>
  <c r="AC307" i="6"/>
  <c r="Z307" i="6"/>
  <c r="C306" i="6"/>
  <c r="AA306" i="6"/>
  <c r="AC306" i="6"/>
  <c r="Z306" i="6"/>
  <c r="C305" i="6"/>
  <c r="AA305" i="6"/>
  <c r="AC305" i="6"/>
  <c r="Z305" i="6"/>
  <c r="C304" i="6"/>
  <c r="AA304" i="6"/>
  <c r="AC304" i="6"/>
  <c r="Z304" i="6"/>
  <c r="C303" i="6"/>
  <c r="AA303" i="6"/>
  <c r="AC303" i="6"/>
  <c r="Z303" i="6"/>
  <c r="C302" i="6"/>
  <c r="AA302" i="6"/>
  <c r="AC302" i="6"/>
  <c r="Z302" i="6"/>
  <c r="C301" i="6"/>
  <c r="AA301" i="6"/>
  <c r="AC301" i="6"/>
  <c r="Z301" i="6"/>
  <c r="C300" i="6"/>
  <c r="AA300" i="6"/>
  <c r="AC300" i="6"/>
  <c r="Z300" i="6"/>
  <c r="C299" i="6"/>
  <c r="AA299" i="6"/>
  <c r="AC299" i="6"/>
  <c r="Z299" i="6"/>
  <c r="C298" i="6"/>
  <c r="AA298" i="6"/>
  <c r="AC298" i="6"/>
  <c r="Z298" i="6"/>
  <c r="C297" i="6"/>
  <c r="AA297" i="6"/>
  <c r="AC297" i="6"/>
  <c r="Z297" i="6"/>
  <c r="C296" i="6"/>
  <c r="AA296" i="6"/>
  <c r="AC296" i="6"/>
  <c r="Z296" i="6"/>
  <c r="C295" i="6"/>
  <c r="AA295" i="6"/>
  <c r="AC295" i="6"/>
  <c r="Z295" i="6"/>
  <c r="C294" i="6"/>
  <c r="AA294" i="6"/>
  <c r="AC294" i="6"/>
  <c r="Z294" i="6"/>
  <c r="C293" i="6"/>
  <c r="AA293" i="6"/>
  <c r="AC293" i="6"/>
  <c r="Z293" i="6"/>
  <c r="C292" i="6"/>
  <c r="AA292" i="6"/>
  <c r="AC292" i="6"/>
  <c r="Z292" i="6"/>
  <c r="C291" i="6"/>
  <c r="AA291" i="6"/>
  <c r="AC291" i="6"/>
  <c r="Z291" i="6"/>
  <c r="C290" i="6"/>
  <c r="AA290" i="6"/>
  <c r="AC290" i="6"/>
  <c r="Z290" i="6"/>
  <c r="C289" i="6"/>
  <c r="AA289" i="6"/>
  <c r="AC289" i="6"/>
  <c r="Z289" i="6"/>
  <c r="C288" i="6"/>
  <c r="AA288" i="6"/>
  <c r="AC288" i="6"/>
  <c r="Z288" i="6"/>
  <c r="C287" i="6"/>
  <c r="AA287" i="6"/>
  <c r="AC287" i="6"/>
  <c r="Z287" i="6"/>
  <c r="C286" i="6"/>
  <c r="AA286" i="6"/>
  <c r="AC286" i="6"/>
  <c r="Z286" i="6"/>
  <c r="C285" i="6"/>
  <c r="AA285" i="6"/>
  <c r="AC285" i="6"/>
  <c r="Z285" i="6"/>
  <c r="C284" i="6"/>
  <c r="AA284" i="6"/>
  <c r="AC284" i="6"/>
  <c r="Z284" i="6"/>
  <c r="C283" i="6"/>
  <c r="AA283" i="6"/>
  <c r="AC283" i="6"/>
  <c r="Z283" i="6"/>
  <c r="C282" i="6"/>
  <c r="AA282" i="6"/>
  <c r="AC282" i="6"/>
  <c r="Z282" i="6"/>
  <c r="C281" i="6"/>
  <c r="AA281" i="6"/>
  <c r="AC281" i="6"/>
  <c r="Z281" i="6"/>
  <c r="C280" i="6"/>
  <c r="AA280" i="6"/>
  <c r="AC280" i="6"/>
  <c r="Z280" i="6"/>
  <c r="C279" i="6"/>
  <c r="AA279" i="6"/>
  <c r="AC279" i="6"/>
  <c r="Z279" i="6"/>
  <c r="C278" i="6"/>
  <c r="AA278" i="6"/>
  <c r="AC278" i="6"/>
  <c r="Z278" i="6"/>
  <c r="C277" i="6"/>
  <c r="AA277" i="6"/>
  <c r="AC277" i="6"/>
  <c r="Z277" i="6"/>
  <c r="C276" i="6"/>
  <c r="AA276" i="6"/>
  <c r="AC276" i="6"/>
  <c r="Z276" i="6"/>
  <c r="C275" i="6"/>
  <c r="AA275" i="6"/>
  <c r="Z275" i="6"/>
  <c r="C274" i="6"/>
  <c r="AA274" i="6"/>
  <c r="AC274" i="6"/>
  <c r="Z274" i="6"/>
  <c r="C273" i="6"/>
  <c r="AA273" i="6"/>
  <c r="AC273" i="6"/>
  <c r="Z273" i="6"/>
  <c r="C272" i="6"/>
  <c r="AA272" i="6"/>
  <c r="AC272" i="6"/>
  <c r="Z272" i="6"/>
  <c r="C271" i="6"/>
  <c r="AA271" i="6"/>
  <c r="AC271" i="6"/>
  <c r="Z271" i="6"/>
  <c r="C270" i="6"/>
  <c r="AA270" i="6"/>
  <c r="AC270" i="6"/>
  <c r="Z270" i="6"/>
  <c r="C269" i="6"/>
  <c r="AA269" i="6"/>
  <c r="AC269" i="6"/>
  <c r="Z269" i="6"/>
  <c r="C268" i="6"/>
  <c r="AA268" i="6"/>
  <c r="AC268" i="6"/>
  <c r="Z268" i="6"/>
  <c r="C267" i="6"/>
  <c r="AA267" i="6"/>
  <c r="AC267" i="6"/>
  <c r="Z267" i="6"/>
  <c r="C266" i="6"/>
  <c r="AA266" i="6"/>
  <c r="AC266" i="6"/>
  <c r="Z266" i="6"/>
  <c r="C265" i="6"/>
  <c r="AA265" i="6"/>
  <c r="AC265" i="6"/>
  <c r="Z265" i="6"/>
  <c r="C264" i="6"/>
  <c r="AA264" i="6"/>
  <c r="AC264" i="6"/>
  <c r="Z264" i="6"/>
  <c r="C263" i="6"/>
  <c r="AA263" i="6"/>
  <c r="AC263" i="6"/>
  <c r="Z263" i="6"/>
  <c r="C262" i="6"/>
  <c r="AA262" i="6"/>
  <c r="AC262" i="6"/>
  <c r="Z262" i="6"/>
  <c r="C261" i="6"/>
  <c r="AA261" i="6"/>
  <c r="Z261" i="6"/>
  <c r="C260" i="6"/>
  <c r="AA260" i="6"/>
  <c r="AC260" i="6"/>
  <c r="Z260" i="6"/>
  <c r="C259" i="6"/>
  <c r="AA259" i="6"/>
  <c r="AC259" i="6"/>
  <c r="Z259" i="6"/>
  <c r="C258" i="6"/>
  <c r="AA258" i="6"/>
  <c r="Z258" i="6"/>
  <c r="C257" i="6"/>
  <c r="AA257" i="6"/>
  <c r="AC257" i="6"/>
  <c r="Z257" i="6"/>
  <c r="C256" i="6"/>
  <c r="AA256" i="6"/>
  <c r="Z256" i="6"/>
  <c r="C255" i="6"/>
  <c r="AA255" i="6"/>
  <c r="AC255" i="6"/>
  <c r="Z255" i="6"/>
  <c r="C254" i="6"/>
  <c r="AA254" i="6"/>
  <c r="AC254" i="6"/>
  <c r="Z254" i="6"/>
  <c r="C253" i="6"/>
  <c r="AA253" i="6"/>
  <c r="AC253" i="6"/>
  <c r="Z253" i="6"/>
  <c r="C252" i="6"/>
  <c r="AA252" i="6"/>
  <c r="AC252" i="6"/>
  <c r="Z252" i="6"/>
  <c r="C251" i="6"/>
  <c r="AA251" i="6"/>
  <c r="Z251" i="6"/>
  <c r="C250" i="6"/>
  <c r="AA250" i="6"/>
  <c r="AC250" i="6"/>
  <c r="Z250" i="6"/>
  <c r="C249" i="6"/>
  <c r="AA249" i="6"/>
  <c r="AC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AC242" i="6"/>
  <c r="Z242" i="6"/>
  <c r="C241" i="6"/>
  <c r="AA241" i="6"/>
  <c r="AC241" i="6"/>
  <c r="Z241" i="6"/>
  <c r="C240" i="6"/>
  <c r="AA240" i="6"/>
  <c r="AC240" i="6"/>
  <c r="Z240" i="6"/>
  <c r="C239" i="6"/>
  <c r="AA239" i="6"/>
  <c r="AC239" i="6"/>
  <c r="Z239" i="6"/>
  <c r="C238" i="6"/>
  <c r="AA238" i="6"/>
  <c r="AC238" i="6"/>
  <c r="Z238" i="6"/>
  <c r="C237" i="6"/>
  <c r="AA237" i="6"/>
  <c r="AC237" i="6"/>
  <c r="Z237" i="6"/>
  <c r="C236" i="6"/>
  <c r="AA236" i="6"/>
  <c r="AC236" i="6"/>
  <c r="Z236" i="6"/>
  <c r="C235" i="6"/>
  <c r="AA235" i="6"/>
  <c r="AC235" i="6"/>
  <c r="Z235" i="6"/>
  <c r="C234" i="6"/>
  <c r="AA234" i="6"/>
  <c r="AC234" i="6"/>
  <c r="Z234" i="6"/>
  <c r="C233" i="6"/>
  <c r="AA233" i="6"/>
  <c r="AC233" i="6"/>
  <c r="Z233" i="6"/>
  <c r="C232" i="6"/>
  <c r="AA232" i="6"/>
  <c r="AC232" i="6"/>
  <c r="Z232" i="6"/>
  <c r="C231" i="6"/>
  <c r="AA231" i="6"/>
  <c r="AC231" i="6"/>
  <c r="Z231" i="6"/>
  <c r="C230" i="6"/>
  <c r="AA230" i="6"/>
  <c r="AC230" i="6"/>
  <c r="Z230" i="6"/>
  <c r="C229" i="6"/>
  <c r="AA229" i="6"/>
  <c r="AC229" i="6"/>
  <c r="Z229" i="6"/>
  <c r="C228" i="6"/>
  <c r="AA228" i="6"/>
  <c r="AC228" i="6"/>
  <c r="Z228" i="6"/>
  <c r="C227" i="6"/>
  <c r="AA227" i="6"/>
  <c r="AC227" i="6"/>
  <c r="Z227" i="6"/>
  <c r="C226" i="6"/>
  <c r="AA226" i="6"/>
  <c r="AC226" i="6"/>
  <c r="Z226" i="6"/>
  <c r="C225" i="6"/>
  <c r="AA225" i="6"/>
  <c r="AC225" i="6"/>
  <c r="Z225" i="6"/>
  <c r="C224" i="6"/>
  <c r="AA224" i="6"/>
  <c r="AC224" i="6"/>
  <c r="Z224" i="6"/>
  <c r="C223" i="6"/>
  <c r="AA223" i="6"/>
  <c r="AC223" i="6"/>
  <c r="Z223" i="6"/>
  <c r="C222" i="6"/>
  <c r="AA222" i="6"/>
  <c r="AC222" i="6"/>
  <c r="Z222" i="6"/>
  <c r="C221" i="6"/>
  <c r="AA221" i="6"/>
  <c r="AC221" i="6"/>
  <c r="Z221" i="6"/>
  <c r="C220" i="6"/>
  <c r="AA220" i="6"/>
  <c r="AC220" i="6"/>
  <c r="Z220" i="6"/>
  <c r="C219" i="6"/>
  <c r="AA219" i="6"/>
  <c r="Z219" i="6"/>
  <c r="C218" i="6"/>
  <c r="AA218" i="6"/>
  <c r="AC218" i="6"/>
  <c r="Z218" i="6"/>
  <c r="C217" i="6"/>
  <c r="AA217" i="6"/>
  <c r="AC217" i="6"/>
  <c r="Z217" i="6"/>
  <c r="C216" i="6"/>
  <c r="AA216" i="6"/>
  <c r="AC216" i="6"/>
  <c r="Z216" i="6"/>
  <c r="C215" i="6"/>
  <c r="AA215" i="6"/>
  <c r="AC215" i="6"/>
  <c r="Z215" i="6"/>
  <c r="C214" i="6"/>
  <c r="AA214" i="6"/>
  <c r="AC214" i="6"/>
  <c r="Z214" i="6"/>
  <c r="C213" i="6"/>
  <c r="AA213" i="6"/>
  <c r="AC213" i="6"/>
  <c r="Z213" i="6"/>
  <c r="C212" i="6"/>
  <c r="AA212" i="6"/>
  <c r="AC212" i="6"/>
  <c r="Z212" i="6"/>
  <c r="C211" i="6"/>
  <c r="AA211" i="6"/>
  <c r="AC211" i="6"/>
  <c r="Z211" i="6"/>
  <c r="C210" i="6"/>
  <c r="AA210" i="6"/>
  <c r="AC210" i="6"/>
  <c r="Z210" i="6"/>
  <c r="C209" i="6"/>
  <c r="AA209" i="6"/>
  <c r="AC209" i="6"/>
  <c r="Z209" i="6"/>
  <c r="C208" i="6"/>
  <c r="AA208" i="6"/>
  <c r="AC208" i="6"/>
  <c r="Z208" i="6"/>
  <c r="C207" i="6"/>
  <c r="AA207" i="6"/>
  <c r="Z207" i="6"/>
  <c r="C206" i="6"/>
  <c r="AA206" i="6"/>
  <c r="AC206" i="6"/>
  <c r="Z206" i="6"/>
  <c r="C205" i="6"/>
  <c r="AA205" i="6"/>
  <c r="AC205" i="6"/>
  <c r="Z205" i="6"/>
  <c r="C204" i="6"/>
  <c r="AA204" i="6"/>
  <c r="AC204" i="6"/>
  <c r="Z204" i="6"/>
  <c r="C203" i="6"/>
  <c r="AA203" i="6"/>
  <c r="AC203" i="6"/>
  <c r="Z203" i="6"/>
  <c r="C202" i="6"/>
  <c r="AA202" i="6"/>
  <c r="AC202" i="6"/>
  <c r="Z202" i="6"/>
  <c r="C201" i="6"/>
  <c r="AA201" i="6"/>
  <c r="AC201" i="6"/>
  <c r="Z201" i="6"/>
  <c r="C200" i="6"/>
  <c r="AA200" i="6"/>
  <c r="AC200" i="6"/>
  <c r="Z200" i="6"/>
  <c r="C199" i="6"/>
  <c r="AA199" i="6"/>
  <c r="AC199" i="6"/>
  <c r="Z199" i="6"/>
  <c r="C198" i="6"/>
  <c r="AA198" i="6"/>
  <c r="AC198" i="6"/>
  <c r="Z198" i="6"/>
  <c r="C197" i="6"/>
  <c r="AA197" i="6"/>
  <c r="AC197" i="6"/>
  <c r="Z197" i="6"/>
  <c r="C196" i="6"/>
  <c r="AA196" i="6"/>
  <c r="AC196" i="6"/>
  <c r="Z196" i="6"/>
  <c r="C195" i="6"/>
  <c r="AA195" i="6"/>
  <c r="Z195" i="6"/>
  <c r="C194" i="6"/>
  <c r="AA194" i="6"/>
  <c r="AC194" i="6"/>
  <c r="Z194" i="6"/>
  <c r="C193" i="6"/>
  <c r="AA193" i="6"/>
  <c r="AC193" i="6"/>
  <c r="Z193" i="6"/>
  <c r="C192" i="6"/>
  <c r="AA192" i="6"/>
  <c r="AC192" i="6"/>
  <c r="Z192" i="6"/>
  <c r="C191" i="6"/>
  <c r="AA191" i="6"/>
  <c r="Z191" i="6"/>
  <c r="C190" i="6"/>
  <c r="AA190" i="6"/>
  <c r="AC190" i="6"/>
  <c r="Z190" i="6"/>
  <c r="C189" i="6"/>
  <c r="AA189" i="6"/>
  <c r="AC189" i="6"/>
  <c r="Z189" i="6"/>
  <c r="C188" i="6"/>
  <c r="AA188" i="6"/>
  <c r="AC188" i="6"/>
  <c r="Z188" i="6"/>
  <c r="C187" i="6"/>
  <c r="AA187" i="6"/>
  <c r="AC187" i="6"/>
  <c r="Z187" i="6"/>
  <c r="C186" i="6"/>
  <c r="AA186" i="6"/>
  <c r="AC186" i="6"/>
  <c r="Z186" i="6"/>
  <c r="C185" i="6"/>
  <c r="AA185" i="6"/>
  <c r="AC185" i="6"/>
  <c r="Z185" i="6"/>
  <c r="C184" i="6"/>
  <c r="AA184" i="6"/>
  <c r="AC184" i="6"/>
  <c r="Z184" i="6"/>
  <c r="C183" i="6"/>
  <c r="AA183" i="6"/>
  <c r="AC183" i="6"/>
  <c r="Z183" i="6"/>
  <c r="C182" i="6"/>
  <c r="AA182" i="6"/>
  <c r="AC182" i="6"/>
  <c r="Z182" i="6"/>
  <c r="C181" i="6"/>
  <c r="AA181" i="6"/>
  <c r="AC181" i="6"/>
  <c r="Z181" i="6"/>
  <c r="C180" i="6"/>
  <c r="AA180" i="6"/>
  <c r="AC180" i="6"/>
  <c r="Z180" i="6"/>
  <c r="C179" i="6"/>
  <c r="AA179" i="6"/>
  <c r="AC179" i="6"/>
  <c r="Z179" i="6"/>
  <c r="C178" i="6"/>
  <c r="AA178" i="6"/>
  <c r="AC178" i="6"/>
  <c r="Z178" i="6"/>
  <c r="C177" i="6"/>
  <c r="AA177" i="6"/>
  <c r="AC177" i="6"/>
  <c r="Z177" i="6"/>
  <c r="C176" i="6"/>
  <c r="AA176" i="6"/>
  <c r="AC176" i="6"/>
  <c r="Z176" i="6"/>
  <c r="C175" i="6"/>
  <c r="AA175" i="6"/>
  <c r="AC175" i="6"/>
  <c r="Z175" i="6"/>
  <c r="C174" i="6"/>
  <c r="AA174" i="6"/>
  <c r="AC174" i="6"/>
  <c r="Z174" i="6"/>
  <c r="C173" i="6"/>
  <c r="AA173" i="6"/>
  <c r="Z173" i="6"/>
  <c r="C172" i="6"/>
  <c r="AA172" i="6"/>
  <c r="Z172" i="6"/>
  <c r="C171" i="6"/>
  <c r="AA171" i="6"/>
  <c r="AC171" i="6"/>
  <c r="Z171" i="6"/>
  <c r="C170" i="6"/>
  <c r="AA170" i="6"/>
  <c r="AC170" i="6"/>
  <c r="Z170" i="6"/>
  <c r="C169" i="6"/>
  <c r="AA169" i="6"/>
  <c r="AC169" i="6"/>
  <c r="Z169" i="6"/>
  <c r="C168" i="6"/>
  <c r="AA168" i="6"/>
  <c r="AC168" i="6"/>
  <c r="Z168" i="6"/>
  <c r="C167" i="6"/>
  <c r="AA167" i="6"/>
  <c r="AC167" i="6"/>
  <c r="Z167" i="6"/>
  <c r="C166" i="6"/>
  <c r="AA166" i="6"/>
  <c r="AC166" i="6"/>
  <c r="Z166" i="6"/>
  <c r="C165" i="6"/>
  <c r="AA165" i="6"/>
  <c r="AC165" i="6"/>
  <c r="Z165" i="6"/>
  <c r="C164" i="6"/>
  <c r="AA164" i="6"/>
  <c r="AC164" i="6"/>
  <c r="Z164" i="6"/>
  <c r="C163" i="6"/>
  <c r="AA163" i="6"/>
  <c r="AC163" i="6"/>
  <c r="Z163" i="6"/>
  <c r="C162" i="6"/>
  <c r="AA162" i="6"/>
  <c r="AC162" i="6"/>
  <c r="Z162" i="6"/>
  <c r="C161" i="6"/>
  <c r="AA161" i="6"/>
  <c r="AC161" i="6"/>
  <c r="Z161" i="6"/>
  <c r="C160" i="6"/>
  <c r="AA160" i="6"/>
  <c r="AC160" i="6"/>
  <c r="Z160" i="6"/>
  <c r="C159" i="6"/>
  <c r="AA159" i="6"/>
  <c r="AC159" i="6"/>
  <c r="Z159" i="6"/>
  <c r="C158" i="6"/>
  <c r="AA158" i="6"/>
  <c r="AC158" i="6"/>
  <c r="Z158" i="6"/>
  <c r="C157" i="6"/>
  <c r="AA157" i="6"/>
  <c r="AC157" i="6"/>
  <c r="Z157" i="6"/>
  <c r="C156" i="6"/>
  <c r="AA156" i="6"/>
  <c r="AC156" i="6"/>
  <c r="Z156" i="6"/>
  <c r="C155" i="6"/>
  <c r="AA155" i="6"/>
  <c r="AC155" i="6"/>
  <c r="Z155" i="6"/>
  <c r="C154" i="6"/>
  <c r="AA154" i="6"/>
  <c r="AC154" i="6"/>
  <c r="Z154" i="6"/>
  <c r="C153" i="6"/>
  <c r="AA153" i="6"/>
  <c r="AC153" i="6"/>
  <c r="Z153" i="6"/>
  <c r="C152" i="6"/>
  <c r="AA152" i="6"/>
  <c r="AC152" i="6"/>
  <c r="Z152" i="6"/>
  <c r="C151" i="6"/>
  <c r="AA151" i="6"/>
  <c r="AC151" i="6"/>
  <c r="Z151" i="6"/>
  <c r="C150" i="6"/>
  <c r="AA150" i="6"/>
  <c r="AC150" i="6"/>
  <c r="Z150" i="6"/>
  <c r="C149" i="6"/>
  <c r="AA149" i="6"/>
  <c r="AC149" i="6"/>
  <c r="Z149" i="6"/>
  <c r="C148" i="6"/>
  <c r="AA148" i="6"/>
  <c r="AC148" i="6"/>
  <c r="Z148" i="6"/>
  <c r="C147" i="6"/>
  <c r="AA147" i="6"/>
  <c r="AC147" i="6"/>
  <c r="Z147" i="6"/>
  <c r="C146" i="6"/>
  <c r="AA146" i="6"/>
  <c r="AC146" i="6"/>
  <c r="Z146" i="6"/>
  <c r="C145" i="6"/>
  <c r="AA145" i="6"/>
  <c r="Z145" i="6"/>
  <c r="C144" i="6"/>
  <c r="AA144" i="6"/>
  <c r="Z144" i="6"/>
  <c r="C143" i="6"/>
  <c r="AA143" i="6"/>
  <c r="AC143" i="6"/>
  <c r="Z143" i="6"/>
  <c r="C142" i="6"/>
  <c r="AA142" i="6"/>
  <c r="AC142" i="6"/>
  <c r="Z142" i="6"/>
  <c r="C141" i="6"/>
  <c r="AA141" i="6"/>
  <c r="AC141" i="6"/>
  <c r="Z141" i="6"/>
  <c r="C140" i="6"/>
  <c r="AA140" i="6"/>
  <c r="AC140" i="6"/>
  <c r="Z140" i="6"/>
  <c r="C139" i="6"/>
  <c r="AA139" i="6"/>
  <c r="AC139" i="6"/>
  <c r="Z139" i="6"/>
  <c r="C138" i="6"/>
  <c r="AA138" i="6"/>
  <c r="AC138" i="6"/>
  <c r="Z138" i="6"/>
  <c r="C137" i="6"/>
  <c r="AA137" i="6"/>
  <c r="AC137" i="6"/>
  <c r="Z137" i="6"/>
  <c r="C136" i="6"/>
  <c r="AA136" i="6"/>
  <c r="AC136" i="6"/>
  <c r="Z136" i="6"/>
  <c r="C135" i="6"/>
  <c r="AA135" i="6"/>
  <c r="AC135" i="6"/>
  <c r="Z135" i="6"/>
  <c r="C134" i="6"/>
  <c r="AA134" i="6"/>
  <c r="AC134" i="6"/>
  <c r="Z134" i="6"/>
  <c r="C133" i="6"/>
  <c r="AA133" i="6"/>
  <c r="AC133" i="6"/>
  <c r="Z133" i="6"/>
  <c r="C132" i="6"/>
  <c r="AA132" i="6"/>
  <c r="AC132" i="6"/>
  <c r="Z132" i="6"/>
  <c r="C131" i="6"/>
  <c r="AA131" i="6"/>
  <c r="AC131" i="6"/>
  <c r="Z131" i="6"/>
  <c r="C130" i="6"/>
  <c r="AA130" i="6"/>
  <c r="AC130" i="6"/>
  <c r="Z130" i="6"/>
  <c r="C129" i="6"/>
  <c r="AA129" i="6"/>
  <c r="AC129" i="6"/>
  <c r="Z129" i="6"/>
  <c r="C128" i="6"/>
  <c r="AA128" i="6"/>
  <c r="AC128" i="6"/>
  <c r="Z128" i="6"/>
  <c r="C127" i="6"/>
  <c r="Z127" i="6"/>
  <c r="AA127" i="6"/>
  <c r="AC127" i="6"/>
  <c r="C126" i="6"/>
  <c r="Z126" i="6"/>
  <c r="AA126" i="6"/>
  <c r="AC126" i="6"/>
  <c r="C125" i="6"/>
  <c r="AA125" i="6"/>
  <c r="AC125" i="6"/>
  <c r="Z125" i="6"/>
  <c r="C124" i="6"/>
  <c r="AA124" i="6"/>
  <c r="AC124" i="6"/>
  <c r="Z124" i="6"/>
  <c r="C123" i="6"/>
  <c r="AA123" i="6"/>
  <c r="AC123" i="6"/>
  <c r="Z123" i="6"/>
  <c r="C122" i="6"/>
  <c r="AA122" i="6"/>
  <c r="AC122" i="6"/>
  <c r="Z122" i="6"/>
  <c r="C121" i="6"/>
  <c r="AA121" i="6"/>
  <c r="AC121" i="6"/>
  <c r="Z121" i="6"/>
  <c r="C120" i="6"/>
  <c r="AA120" i="6"/>
  <c r="AC120" i="6"/>
  <c r="Z120" i="6"/>
  <c r="C119" i="6"/>
  <c r="AA119" i="6"/>
  <c r="AC119" i="6"/>
  <c r="Z119" i="6"/>
  <c r="C118" i="6"/>
  <c r="AA118" i="6"/>
  <c r="AC118" i="6"/>
  <c r="Z118" i="6"/>
  <c r="C117" i="6"/>
  <c r="AA117" i="6"/>
  <c r="AC117" i="6"/>
  <c r="Z117" i="6"/>
  <c r="C116" i="6"/>
  <c r="AA116" i="6"/>
  <c r="AC116" i="6"/>
  <c r="Z116" i="6"/>
  <c r="C115" i="6"/>
  <c r="AA115" i="6"/>
  <c r="AC115" i="6"/>
  <c r="Z115" i="6"/>
  <c r="C114" i="6"/>
  <c r="AA114" i="6"/>
  <c r="Z114" i="6"/>
  <c r="C113" i="6"/>
  <c r="AA113" i="6"/>
  <c r="AC113" i="6"/>
  <c r="Z113" i="6"/>
  <c r="C112" i="6"/>
  <c r="AA112" i="6"/>
  <c r="AC112" i="6"/>
  <c r="Z112" i="6"/>
  <c r="C111" i="6"/>
  <c r="AA111" i="6"/>
  <c r="AC111" i="6"/>
  <c r="Z111" i="6"/>
  <c r="C110" i="6"/>
  <c r="AA110" i="6"/>
  <c r="AC110" i="6"/>
  <c r="Z110" i="6"/>
  <c r="C109" i="6"/>
  <c r="AA109" i="6"/>
  <c r="AC109" i="6"/>
  <c r="Z109" i="6"/>
  <c r="C108" i="6"/>
  <c r="AA108" i="6"/>
  <c r="AC108" i="6"/>
  <c r="Z108" i="6"/>
  <c r="C107" i="6"/>
  <c r="AA107" i="6"/>
  <c r="AC107" i="6"/>
  <c r="Z107" i="6"/>
  <c r="C106" i="6"/>
  <c r="AA106" i="6"/>
  <c r="AC106" i="6"/>
  <c r="Z106" i="6"/>
  <c r="C105" i="6"/>
  <c r="AA105" i="6"/>
  <c r="AC105" i="6"/>
  <c r="Z105" i="6"/>
  <c r="C104" i="6"/>
  <c r="AA104" i="6"/>
  <c r="AC104" i="6"/>
  <c r="Z104" i="6"/>
  <c r="C103" i="6"/>
  <c r="AA103" i="6"/>
  <c r="AC103" i="6"/>
  <c r="Z103" i="6"/>
  <c r="C102" i="6"/>
  <c r="AA102" i="6"/>
  <c r="AC102" i="6"/>
  <c r="Z102" i="6"/>
  <c r="C101" i="6"/>
  <c r="AA101" i="6"/>
  <c r="AC101" i="6"/>
  <c r="Z101" i="6"/>
  <c r="C100" i="6"/>
  <c r="AA100" i="6"/>
  <c r="AC100" i="6"/>
  <c r="Z100" i="6"/>
  <c r="C99" i="6"/>
  <c r="AA99" i="6"/>
  <c r="AC99" i="6"/>
  <c r="Z99" i="6"/>
  <c r="C98" i="6"/>
  <c r="AA98" i="6"/>
  <c r="AC98" i="6"/>
  <c r="Z98" i="6"/>
  <c r="C97" i="6"/>
  <c r="AA97" i="6"/>
  <c r="AC97" i="6"/>
  <c r="Z97" i="6"/>
  <c r="C96" i="6"/>
  <c r="AA96" i="6"/>
  <c r="AC96" i="6"/>
  <c r="Z96" i="6"/>
  <c r="C95" i="6"/>
  <c r="AA95" i="6"/>
  <c r="AC95" i="6"/>
  <c r="Z95" i="6"/>
  <c r="C94" i="6"/>
  <c r="Z94" i="6"/>
  <c r="AA94" i="6"/>
  <c r="AC94" i="6"/>
  <c r="C93" i="6"/>
  <c r="Z93" i="6"/>
  <c r="AA93" i="6"/>
  <c r="AC93" i="6"/>
  <c r="C92" i="6"/>
  <c r="Z92" i="6"/>
  <c r="AA92" i="6"/>
  <c r="AC92" i="6"/>
  <c r="C91" i="6"/>
  <c r="Z91" i="6"/>
  <c r="AA91" i="6"/>
  <c r="AC91" i="6"/>
  <c r="C90" i="6"/>
  <c r="Z90" i="6"/>
  <c r="AA90" i="6"/>
  <c r="AC90" i="6"/>
  <c r="C89" i="6"/>
  <c r="Z89" i="6"/>
  <c r="AA89" i="6"/>
  <c r="AC89" i="6"/>
  <c r="C88" i="6"/>
  <c r="Z88" i="6"/>
  <c r="AA88" i="6"/>
  <c r="AC88" i="6"/>
  <c r="C87" i="6"/>
  <c r="Z87" i="6"/>
  <c r="AA87" i="6"/>
  <c r="AC87" i="6"/>
  <c r="C86" i="6"/>
  <c r="Z86" i="6"/>
  <c r="AA86" i="6"/>
  <c r="AC86" i="6"/>
  <c r="C85" i="6"/>
  <c r="AA85" i="6"/>
  <c r="AC85" i="6"/>
  <c r="Z85" i="6"/>
  <c r="C84" i="6"/>
  <c r="AA84" i="6"/>
  <c r="Z84" i="6"/>
  <c r="C83" i="6"/>
  <c r="Z83" i="6"/>
  <c r="AA83" i="6"/>
  <c r="AC83" i="6"/>
  <c r="C82" i="6"/>
  <c r="Z82" i="6"/>
  <c r="AA82" i="6"/>
  <c r="AC82" i="6"/>
  <c r="C81" i="6"/>
  <c r="Z81" i="6"/>
  <c r="AA81" i="6"/>
  <c r="AC81" i="6"/>
  <c r="C80" i="6"/>
  <c r="AA80" i="6"/>
  <c r="AC80" i="6"/>
  <c r="Z80" i="6"/>
  <c r="C79" i="6"/>
  <c r="Z79" i="6"/>
  <c r="AA79" i="6"/>
  <c r="AC79" i="6"/>
  <c r="C78" i="6"/>
  <c r="Z78" i="6"/>
  <c r="AA78" i="6"/>
  <c r="AC78" i="6"/>
  <c r="C77" i="6"/>
  <c r="AA77" i="6"/>
  <c r="AC77" i="6"/>
  <c r="Z77" i="6"/>
  <c r="C76" i="6"/>
  <c r="AA76" i="6"/>
  <c r="AC76" i="6"/>
  <c r="Z76" i="6"/>
  <c r="C75" i="6"/>
  <c r="Z75" i="6"/>
  <c r="AA75" i="6"/>
  <c r="AC75" i="6"/>
  <c r="C74" i="6"/>
  <c r="Z74" i="6"/>
  <c r="AA74" i="6"/>
  <c r="AC74" i="6"/>
  <c r="C73" i="6"/>
  <c r="AA73" i="6"/>
  <c r="AC73" i="6"/>
  <c r="Z73" i="6"/>
  <c r="C72" i="6"/>
  <c r="Z72" i="6"/>
  <c r="AA72" i="6"/>
  <c r="AC72" i="6"/>
  <c r="C71" i="6"/>
  <c r="Z71" i="6"/>
  <c r="AA71" i="6"/>
  <c r="C70" i="6"/>
  <c r="Z70" i="6"/>
  <c r="AA70" i="6"/>
  <c r="AC70" i="6"/>
  <c r="C69" i="6"/>
  <c r="AA69" i="6"/>
  <c r="AC69" i="6"/>
  <c r="Z69" i="6"/>
  <c r="C68" i="6"/>
  <c r="AA68" i="6"/>
  <c r="AC68" i="6"/>
  <c r="Z68" i="6"/>
  <c r="C67" i="6"/>
  <c r="Z67" i="6"/>
  <c r="C66" i="6"/>
  <c r="Z66" i="6"/>
  <c r="B66" i="6"/>
  <c r="C65" i="6"/>
  <c r="Z65" i="6"/>
  <c r="B65" i="6"/>
  <c r="C64" i="6"/>
  <c r="Z64" i="6"/>
  <c r="B64" i="6"/>
  <c r="C63" i="6"/>
  <c r="Z63" i="6"/>
  <c r="C62" i="6"/>
  <c r="Z62" i="6"/>
  <c r="C61" i="6"/>
  <c r="Z61" i="6"/>
  <c r="C60" i="6"/>
  <c r="Z60" i="6"/>
  <c r="C59" i="6"/>
  <c r="Z59" i="6"/>
  <c r="C58" i="6"/>
  <c r="Z58" i="6"/>
  <c r="C57" i="6"/>
  <c r="Z57" i="6"/>
  <c r="B57" i="6"/>
  <c r="Z56" i="6"/>
  <c r="B56" i="6"/>
  <c r="C55" i="6"/>
  <c r="Z55" i="6"/>
  <c r="B55" i="6"/>
  <c r="C48" i="6"/>
  <c r="AA48" i="6"/>
  <c r="AC48" i="6"/>
  <c r="Z48" i="6"/>
  <c r="C47" i="6"/>
  <c r="AA47" i="6"/>
  <c r="B47" i="6"/>
  <c r="Z47" i="6"/>
  <c r="C46" i="6"/>
  <c r="AA46" i="6"/>
  <c r="AC46" i="6"/>
  <c r="Z46" i="6"/>
  <c r="C45" i="6"/>
  <c r="AA45" i="6"/>
  <c r="Z45" i="6"/>
  <c r="C44" i="6"/>
  <c r="AA44" i="6"/>
  <c r="Z44" i="6"/>
  <c r="C1581" i="6"/>
  <c r="AA1581" i="6"/>
  <c r="AC1581" i="6"/>
  <c r="Z1581" i="6"/>
  <c r="C43" i="6"/>
  <c r="AA43" i="6"/>
  <c r="AC43" i="6"/>
  <c r="Z43" i="6"/>
  <c r="C42" i="6"/>
  <c r="AA42" i="6"/>
  <c r="AC42" i="6"/>
  <c r="Z42" i="6"/>
  <c r="C41" i="6"/>
  <c r="AA41" i="6"/>
  <c r="AC41" i="6"/>
  <c r="Z41" i="6"/>
  <c r="C40" i="6"/>
  <c r="AA40" i="6"/>
  <c r="AC40" i="6"/>
  <c r="Z40" i="6"/>
  <c r="C39" i="6"/>
  <c r="AA39" i="6"/>
  <c r="Z39" i="6"/>
  <c r="C38" i="6"/>
  <c r="AA38" i="6"/>
  <c r="AC38" i="6"/>
  <c r="Z38" i="6"/>
  <c r="C37" i="6"/>
  <c r="AA37" i="6"/>
  <c r="AC37" i="6"/>
  <c r="Z37" i="6"/>
  <c r="C36" i="6"/>
  <c r="AA36" i="6"/>
  <c r="AC36" i="6"/>
  <c r="Z36" i="6"/>
  <c r="C35" i="6"/>
  <c r="AA35" i="6"/>
  <c r="AC35" i="6"/>
  <c r="Z35" i="6"/>
  <c r="C34" i="6"/>
  <c r="AA34" i="6"/>
  <c r="AC34" i="6"/>
  <c r="Z34" i="6"/>
  <c r="C33" i="6"/>
  <c r="AA33" i="6"/>
  <c r="Z33" i="6"/>
  <c r="C32" i="6"/>
  <c r="AA32" i="6"/>
  <c r="AC32" i="6"/>
  <c r="Z32" i="6"/>
  <c r="C31" i="6"/>
  <c r="AA31" i="6"/>
  <c r="AC31" i="6"/>
  <c r="Z31" i="6"/>
  <c r="C30" i="6"/>
  <c r="AA30" i="6"/>
  <c r="AC30" i="6"/>
  <c r="Z30" i="6"/>
  <c r="C29" i="6"/>
  <c r="AA29" i="6"/>
  <c r="AC29" i="6"/>
  <c r="Z29" i="6"/>
  <c r="C28" i="6"/>
  <c r="AA28" i="6"/>
  <c r="B28" i="6"/>
  <c r="Z28" i="6"/>
  <c r="C27" i="6"/>
  <c r="Z27" i="6"/>
  <c r="C25" i="6"/>
  <c r="Z25" i="6"/>
  <c r="B25" i="6"/>
  <c r="C24" i="6"/>
  <c r="C22" i="6"/>
  <c r="Z22" i="6"/>
  <c r="C54" i="6"/>
  <c r="Z54" i="6"/>
  <c r="B54" i="6"/>
  <c r="C21" i="6"/>
  <c r="Z21" i="6"/>
  <c r="B21" i="6"/>
  <c r="C20" i="6"/>
  <c r="Z20" i="6"/>
  <c r="Z19" i="6"/>
  <c r="B19" i="6"/>
  <c r="C18" i="6"/>
  <c r="Z18" i="6"/>
  <c r="B18" i="6"/>
  <c r="C17" i="6"/>
  <c r="Z17" i="6"/>
  <c r="C16" i="6"/>
  <c r="AA1604" i="6"/>
  <c r="AC1604" i="6"/>
  <c r="AB1604" i="6"/>
  <c r="Z1604" i="6"/>
  <c r="C1604" i="6"/>
  <c r="AA1603" i="6"/>
  <c r="AC1603" i="6"/>
  <c r="AB1603" i="6"/>
  <c r="Z1603" i="6"/>
  <c r="C1603" i="6"/>
  <c r="AA1602" i="6"/>
  <c r="AC1602" i="6"/>
  <c r="AB1602" i="6"/>
  <c r="Z1602" i="6"/>
  <c r="C1602" i="6"/>
  <c r="AA1601" i="6"/>
  <c r="AC1601" i="6"/>
  <c r="AB1601" i="6"/>
  <c r="Z1601" i="6"/>
  <c r="C1601" i="6"/>
  <c r="AA1600" i="6"/>
  <c r="AC1600" i="6"/>
  <c r="AB1600" i="6"/>
  <c r="Z1600" i="6"/>
  <c r="C1600" i="6"/>
  <c r="AA1599" i="6"/>
  <c r="AC1599" i="6"/>
  <c r="AB1599" i="6"/>
  <c r="Z1599" i="6"/>
  <c r="C1599" i="6"/>
  <c r="AA1598" i="6"/>
  <c r="AC1598" i="6"/>
  <c r="AB1598" i="6"/>
  <c r="Z1598" i="6"/>
  <c r="C1598" i="6"/>
  <c r="AA1596" i="6"/>
  <c r="AC1596" i="6"/>
  <c r="AB1596" i="6"/>
  <c r="Z1596" i="6"/>
  <c r="C1596" i="6"/>
  <c r="AA1595" i="6"/>
  <c r="AC1595" i="6"/>
  <c r="AB1595" i="6"/>
  <c r="Z1595" i="6"/>
  <c r="C1595" i="6"/>
  <c r="AA1594" i="6"/>
  <c r="AC1594" i="6"/>
  <c r="AB1594" i="6"/>
  <c r="Z1594" i="6"/>
  <c r="C1594" i="6"/>
  <c r="AA1593" i="6"/>
  <c r="AC1593" i="6"/>
  <c r="AB1593" i="6"/>
  <c r="Z1593" i="6"/>
  <c r="C1593" i="6"/>
  <c r="AB1592" i="6"/>
  <c r="AB1591" i="6"/>
  <c r="AB1590" i="6"/>
  <c r="AB1589" i="6"/>
  <c r="AB1588" i="6"/>
  <c r="GP1" i="8"/>
  <c r="AB1587" i="6"/>
  <c r="AB1586" i="6"/>
  <c r="AB1585" i="6"/>
  <c r="AB1584" i="6"/>
  <c r="AB1583" i="6"/>
  <c r="AB1582" i="6"/>
  <c r="AB1580" i="6"/>
  <c r="AB1579" i="6"/>
  <c r="GO1" i="8"/>
  <c r="AB1558" i="6"/>
  <c r="AA1557" i="6"/>
  <c r="AC1557" i="6"/>
  <c r="AB1557" i="6"/>
  <c r="Z1557" i="6"/>
  <c r="AB1556" i="6"/>
  <c r="AB1555" i="6"/>
  <c r="AB1554" i="6"/>
  <c r="AB1553" i="6"/>
  <c r="AB1552" i="6"/>
  <c r="AB1551" i="6"/>
  <c r="AB1550" i="6"/>
  <c r="AB1549" i="6"/>
  <c r="AB1548" i="6"/>
  <c r="AB1547" i="6"/>
  <c r="AB1546" i="6"/>
  <c r="AB1545" i="6"/>
  <c r="AB1544" i="6"/>
  <c r="AB1543" i="6"/>
  <c r="AB1542" i="6"/>
  <c r="AB1541" i="6"/>
  <c r="AB1540" i="6"/>
  <c r="AB1539" i="6"/>
  <c r="AB1538" i="6"/>
  <c r="AB1537" i="6"/>
  <c r="AB1536" i="6"/>
  <c r="AB1535" i="6"/>
  <c r="AB1534" i="6"/>
  <c r="AB1533" i="6"/>
  <c r="AB1532" i="6"/>
  <c r="AB1531" i="6"/>
  <c r="AB1530" i="6"/>
  <c r="AB1529" i="6"/>
  <c r="AB1528" i="6"/>
  <c r="AB1527" i="6"/>
  <c r="AB1526" i="6"/>
  <c r="AB1525" i="6"/>
  <c r="AB1524" i="6"/>
  <c r="AB1523" i="6"/>
  <c r="AB1522" i="6"/>
  <c r="AB1521" i="6"/>
  <c r="AB1520" i="6"/>
  <c r="AB1519" i="6"/>
  <c r="AB1518" i="6"/>
  <c r="AB1517" i="6"/>
  <c r="AB1516" i="6"/>
  <c r="AB1515" i="6"/>
  <c r="AB1514" i="6"/>
  <c r="AB1513" i="6"/>
  <c r="AB1512" i="6"/>
  <c r="AB1511" i="6"/>
  <c r="AB1510" i="6"/>
  <c r="AB1509" i="6"/>
  <c r="AB1508" i="6"/>
  <c r="AB1507" i="6"/>
  <c r="AB1506" i="6"/>
  <c r="AB1505" i="6"/>
  <c r="AB1504" i="6"/>
  <c r="AB1503" i="6"/>
  <c r="AB1502" i="6"/>
  <c r="AB1501" i="6"/>
  <c r="AB1500" i="6"/>
  <c r="AB1499" i="6"/>
  <c r="AB1498" i="6"/>
  <c r="AB1497" i="6"/>
  <c r="AB1496" i="6"/>
  <c r="AB1495" i="6"/>
  <c r="AB1494" i="6"/>
  <c r="AB1493" i="6"/>
  <c r="AB1492" i="6"/>
  <c r="AB1491" i="6"/>
  <c r="AB1490" i="6"/>
  <c r="AB1489" i="6"/>
  <c r="AB1488" i="6"/>
  <c r="AB1487" i="6"/>
  <c r="AB1486" i="6"/>
  <c r="AB1485" i="6"/>
  <c r="AB1484" i="6"/>
  <c r="AB1483" i="6"/>
  <c r="AB1482" i="6"/>
  <c r="AB1481" i="6"/>
  <c r="AB1480" i="6"/>
  <c r="AB1479" i="6"/>
  <c r="AB1478" i="6"/>
  <c r="AB1477" i="6"/>
  <c r="AB1476" i="6"/>
  <c r="AB1475" i="6"/>
  <c r="AB1474" i="6"/>
  <c r="AB1473" i="6"/>
  <c r="AB1472" i="6"/>
  <c r="AB1471" i="6"/>
  <c r="AB1470" i="6"/>
  <c r="AB1469" i="6"/>
  <c r="AB1468" i="6"/>
  <c r="AB1467" i="6"/>
  <c r="AB1466" i="6"/>
  <c r="AB1465" i="6"/>
  <c r="AB1464" i="6"/>
  <c r="AB1463" i="6"/>
  <c r="AB1462" i="6"/>
  <c r="AB1461" i="6"/>
  <c r="AB1460" i="6"/>
  <c r="AB1459" i="6"/>
  <c r="AB1458" i="6"/>
  <c r="AB1457" i="6"/>
  <c r="AB1456" i="6"/>
  <c r="AB1455" i="6"/>
  <c r="AB1454" i="6"/>
  <c r="AB1453" i="6"/>
  <c r="AB1452" i="6"/>
  <c r="AB1451" i="6"/>
  <c r="AB1450" i="6"/>
  <c r="AB1449" i="6"/>
  <c r="AB1448" i="6"/>
  <c r="AB1447" i="6"/>
  <c r="AB1446" i="6"/>
  <c r="AB1445" i="6"/>
  <c r="AB1444" i="6"/>
  <c r="AB1443" i="6"/>
  <c r="AB1442" i="6"/>
  <c r="AB1441" i="6"/>
  <c r="AB1440" i="6"/>
  <c r="AB1439" i="6"/>
  <c r="AB1438" i="6"/>
  <c r="AB1437" i="6"/>
  <c r="AB1436" i="6"/>
  <c r="AB1435" i="6"/>
  <c r="AB1434" i="6"/>
  <c r="AB1433" i="6"/>
  <c r="AB1432" i="6"/>
  <c r="AB1431" i="6"/>
  <c r="AB1430" i="6"/>
  <c r="AB1429" i="6"/>
  <c r="AB1428" i="6"/>
  <c r="AB1427" i="6"/>
  <c r="AB1426" i="6"/>
  <c r="AB1425" i="6"/>
  <c r="AB1424" i="6"/>
  <c r="AB1423" i="6"/>
  <c r="AB1422" i="6"/>
  <c r="AB1421" i="6"/>
  <c r="AB1420" i="6"/>
  <c r="AB1419" i="6"/>
  <c r="AB1418" i="6"/>
  <c r="AB1417" i="6"/>
  <c r="AB1416" i="6"/>
  <c r="AB1415" i="6"/>
  <c r="AB1414" i="6"/>
  <c r="AB1413" i="6"/>
  <c r="AB1412" i="6"/>
  <c r="AB1411" i="6"/>
  <c r="AB1410" i="6"/>
  <c r="AB1409" i="6"/>
  <c r="AB1408" i="6"/>
  <c r="AB1407" i="6"/>
  <c r="AB1406" i="6"/>
  <c r="AB1405" i="6"/>
  <c r="AB1404" i="6"/>
  <c r="AB1403" i="6"/>
  <c r="AB1394" i="6"/>
  <c r="AB1391" i="6"/>
  <c r="AB1390" i="6"/>
  <c r="AB1389" i="6"/>
  <c r="AB1388" i="6"/>
  <c r="AB1387" i="6"/>
  <c r="AB1386" i="6"/>
  <c r="AB1385" i="6"/>
  <c r="AB1384" i="6"/>
  <c r="AB1381" i="6"/>
  <c r="AB1380" i="6"/>
  <c r="AB1379" i="6"/>
  <c r="AB1378" i="6"/>
  <c r="AB1375" i="6"/>
  <c r="AB1374" i="6"/>
  <c r="AB1373" i="6"/>
  <c r="AB1372" i="6"/>
  <c r="AB1267" i="6"/>
  <c r="AB1266" i="6"/>
  <c r="AB1265" i="6"/>
  <c r="AB1264" i="6"/>
  <c r="AB1263" i="6"/>
  <c r="AB1262" i="6"/>
  <c r="AB1261" i="6"/>
  <c r="AB1260" i="6"/>
  <c r="AB1259" i="6"/>
  <c r="AB1258" i="6"/>
  <c r="AB1257" i="6"/>
  <c r="AB1256" i="6"/>
  <c r="AB1255" i="6"/>
  <c r="AB1254" i="6"/>
  <c r="AB1253" i="6"/>
  <c r="AB1252" i="6"/>
  <c r="AB1251" i="6"/>
  <c r="AB1250" i="6"/>
  <c r="AB1249" i="6"/>
  <c r="AB1248" i="6"/>
  <c r="AB1247" i="6"/>
  <c r="AB1246" i="6"/>
  <c r="AB1245" i="6"/>
  <c r="AB1244" i="6"/>
  <c r="AB1243" i="6"/>
  <c r="AB1242" i="6"/>
  <c r="AB1241" i="6"/>
  <c r="AB1240" i="6"/>
  <c r="AB1239" i="6"/>
  <c r="AB1238" i="6"/>
  <c r="AB1237" i="6"/>
  <c r="AB1236" i="6"/>
  <c r="AB1235" i="6"/>
  <c r="AB1234" i="6"/>
  <c r="AB1233" i="6"/>
  <c r="AB1232" i="6"/>
  <c r="AB1231" i="6"/>
  <c r="AB1230" i="6"/>
  <c r="AB1229" i="6"/>
  <c r="AB1228" i="6"/>
  <c r="AB1225" i="6"/>
  <c r="AB1224" i="6"/>
  <c r="AB1223" i="6"/>
  <c r="AB1222" i="6"/>
  <c r="AB1221" i="6"/>
  <c r="AB1220" i="6"/>
  <c r="AB1219" i="6"/>
  <c r="AB1218" i="6"/>
  <c r="AB1217" i="6"/>
  <c r="AB1216" i="6"/>
  <c r="AB1215" i="6"/>
  <c r="AB1214" i="6"/>
  <c r="AB1213" i="6"/>
  <c r="AB1212" i="6"/>
  <c r="AB1211" i="6"/>
  <c r="AB1210" i="6"/>
  <c r="AB1209" i="6"/>
  <c r="AB1208" i="6"/>
  <c r="AB1207" i="6"/>
  <c r="AB1206" i="6"/>
  <c r="AB1205" i="6"/>
  <c r="AB1204" i="6"/>
  <c r="AB1203" i="6"/>
  <c r="AA1202" i="6"/>
  <c r="AC1202" i="6"/>
  <c r="AB1202" i="6"/>
  <c r="Z1202" i="6"/>
  <c r="AB1201" i="6"/>
  <c r="AB1200" i="6"/>
  <c r="AB1199" i="6"/>
  <c r="AB1198" i="6"/>
  <c r="AB1197" i="6"/>
  <c r="AB1196" i="6"/>
  <c r="AB1195" i="6"/>
  <c r="AB1194" i="6"/>
  <c r="AB1193" i="6"/>
  <c r="AB1192" i="6"/>
  <c r="AB1191" i="6"/>
  <c r="AB1190" i="6"/>
  <c r="AB1189" i="6"/>
  <c r="AB1188" i="6"/>
  <c r="AB1187" i="6"/>
  <c r="AB1186" i="6"/>
  <c r="AB1185" i="6"/>
  <c r="AB1184" i="6"/>
  <c r="AB1183" i="6"/>
  <c r="AB1182" i="6"/>
  <c r="AB1181" i="6"/>
  <c r="AB1180" i="6"/>
  <c r="AB1179" i="6"/>
  <c r="AB1178" i="6"/>
  <c r="AB949" i="6"/>
  <c r="AB948" i="6"/>
  <c r="AB947" i="6"/>
  <c r="AB1392" i="6"/>
  <c r="AB946" i="6"/>
  <c r="AB945" i="6"/>
  <c r="AB944" i="6"/>
  <c r="AB943" i="6"/>
  <c r="AB942" i="6"/>
  <c r="AB941" i="6"/>
  <c r="AB940" i="6"/>
  <c r="AB939" i="6"/>
  <c r="AB938" i="6"/>
  <c r="AB937" i="6"/>
  <c r="AB936" i="6"/>
  <c r="AB935" i="6"/>
  <c r="AB934" i="6"/>
  <c r="AB933" i="6"/>
  <c r="AB932" i="6"/>
  <c r="AB931" i="6"/>
  <c r="AB930" i="6"/>
  <c r="AB929" i="6"/>
  <c r="AB928" i="6"/>
  <c r="AB927" i="6"/>
  <c r="AB926" i="6"/>
  <c r="AB925" i="6"/>
  <c r="AB924" i="6"/>
  <c r="AB923" i="6"/>
  <c r="AB922" i="6"/>
  <c r="AB921" i="6"/>
  <c r="AB920" i="6"/>
  <c r="AB919" i="6"/>
  <c r="AB918" i="6"/>
  <c r="AB917" i="6"/>
  <c r="AB916" i="6"/>
  <c r="AB915" i="6"/>
  <c r="AB914" i="6"/>
  <c r="AB1393" i="6"/>
  <c r="AB913" i="6"/>
  <c r="AB912" i="6"/>
  <c r="AB911" i="6"/>
  <c r="AB910" i="6"/>
  <c r="AB909" i="6"/>
  <c r="AB908" i="6"/>
  <c r="AB907" i="6"/>
  <c r="AB906" i="6"/>
  <c r="AB905" i="6"/>
  <c r="AB904" i="6"/>
  <c r="AB903" i="6"/>
  <c r="AB902" i="6"/>
  <c r="AB901" i="6"/>
  <c r="AB900" i="6"/>
  <c r="AB899" i="6"/>
  <c r="AB898" i="6"/>
  <c r="AB897" i="6"/>
  <c r="AB896" i="6"/>
  <c r="AB895" i="6"/>
  <c r="AB894" i="6"/>
  <c r="AB893" i="6"/>
  <c r="AB892" i="6"/>
  <c r="AB891" i="6"/>
  <c r="AB890" i="6"/>
  <c r="AB889" i="6"/>
  <c r="AB888" i="6"/>
  <c r="AB887" i="6"/>
  <c r="AB886" i="6"/>
  <c r="AB885" i="6"/>
  <c r="AB884" i="6"/>
  <c r="AB883" i="6"/>
  <c r="AB881" i="6"/>
  <c r="AB965" i="6"/>
  <c r="AB964" i="6"/>
  <c r="AB963" i="6"/>
  <c r="AB962" i="6"/>
  <c r="AB953" i="6"/>
  <c r="AB880" i="6"/>
  <c r="AB879" i="6"/>
  <c r="AB878" i="6"/>
  <c r="AB877" i="6"/>
  <c r="AB876" i="6"/>
  <c r="AB875" i="6"/>
  <c r="AB874" i="6"/>
  <c r="AB873" i="6"/>
  <c r="AB872" i="6"/>
  <c r="AB871" i="6"/>
  <c r="AB870" i="6"/>
  <c r="AB869" i="6"/>
  <c r="AB868" i="6"/>
  <c r="AB867" i="6"/>
  <c r="AB866" i="6"/>
  <c r="AB865" i="6"/>
  <c r="AC525" i="6"/>
  <c r="Z498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A429" i="6"/>
  <c r="AC429" i="6"/>
  <c r="AB429" i="6"/>
  <c r="Z429" i="6"/>
  <c r="AB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4" i="6"/>
  <c r="AB393" i="6"/>
  <c r="AB392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4" i="6"/>
  <c r="AB333" i="6"/>
  <c r="AB332" i="6"/>
  <c r="AB331" i="6"/>
  <c r="AB330" i="6"/>
  <c r="AB329" i="6"/>
  <c r="AB328" i="6"/>
  <c r="AB327" i="6"/>
  <c r="AB326" i="6"/>
  <c r="AB325" i="6"/>
  <c r="AB324" i="6"/>
  <c r="AB323" i="6"/>
  <c r="AB322" i="6"/>
  <c r="AB321" i="6"/>
  <c r="AB320" i="6"/>
  <c r="AB319" i="6"/>
  <c r="AB318" i="6"/>
  <c r="AB317" i="6"/>
  <c r="AB316" i="6"/>
  <c r="AB315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295" i="6"/>
  <c r="AB294" i="6"/>
  <c r="AB293" i="6"/>
  <c r="AB292" i="6"/>
  <c r="AB291" i="6"/>
  <c r="AB290" i="6"/>
  <c r="AB289" i="6"/>
  <c r="AB288" i="6"/>
  <c r="AB287" i="6"/>
  <c r="AB286" i="6"/>
  <c r="AB285" i="6"/>
  <c r="AB284" i="6"/>
  <c r="AB283" i="6"/>
  <c r="AB282" i="6"/>
  <c r="AB281" i="6"/>
  <c r="AB280" i="6"/>
  <c r="AB279" i="6"/>
  <c r="AB278" i="6"/>
  <c r="AB277" i="6"/>
  <c r="AB276" i="6"/>
  <c r="AB275" i="6"/>
  <c r="AB274" i="6"/>
  <c r="AB273" i="6"/>
  <c r="AB272" i="6"/>
  <c r="AB271" i="6"/>
  <c r="AB270" i="6"/>
  <c r="AB269" i="6"/>
  <c r="AB268" i="6"/>
  <c r="AB267" i="6"/>
  <c r="AB266" i="6"/>
  <c r="AB265" i="6"/>
  <c r="AB264" i="6"/>
  <c r="AC736" i="6"/>
  <c r="AC732" i="6"/>
  <c r="AC728" i="6"/>
  <c r="AC704" i="6"/>
  <c r="AC659" i="6"/>
  <c r="AC649" i="6"/>
  <c r="AC647" i="6"/>
  <c r="AC621" i="6"/>
  <c r="AC619" i="6"/>
  <c r="AC593" i="6"/>
  <c r="AC583" i="6"/>
  <c r="AC570" i="6"/>
  <c r="AB263" i="6"/>
  <c r="AB262" i="6"/>
  <c r="AB261" i="6"/>
  <c r="AB260" i="6"/>
  <c r="AB259" i="6"/>
  <c r="AB258" i="6"/>
  <c r="AB257" i="6"/>
  <c r="AB256" i="6"/>
  <c r="AB255" i="6"/>
  <c r="AB254" i="6"/>
  <c r="AB253" i="6"/>
  <c r="AB252" i="6"/>
  <c r="AB251" i="6"/>
  <c r="AB250" i="6"/>
  <c r="AB249" i="6"/>
  <c r="AB248" i="6"/>
  <c r="AB247" i="6"/>
  <c r="AB246" i="6"/>
  <c r="AB245" i="6"/>
  <c r="AB244" i="6"/>
  <c r="AB243" i="6"/>
  <c r="AB242" i="6"/>
  <c r="AB241" i="6"/>
  <c r="AB240" i="6"/>
  <c r="AB239" i="6"/>
  <c r="AB238" i="6"/>
  <c r="AB237" i="6"/>
  <c r="AB236" i="6"/>
  <c r="AB235" i="6"/>
  <c r="AB234" i="6"/>
  <c r="AB233" i="6"/>
  <c r="AB232" i="6"/>
  <c r="AB231" i="6"/>
  <c r="AB230" i="6"/>
  <c r="AB229" i="6"/>
  <c r="AB228" i="6"/>
  <c r="AB227" i="6"/>
  <c r="AB226" i="6"/>
  <c r="AB225" i="6"/>
  <c r="AB224" i="6"/>
  <c r="AB223" i="6"/>
  <c r="AB222" i="6"/>
  <c r="AB221" i="6"/>
  <c r="AB220" i="6"/>
  <c r="AB219" i="6"/>
  <c r="AB218" i="6"/>
  <c r="AB217" i="6"/>
  <c r="AB216" i="6"/>
  <c r="AB215" i="6"/>
  <c r="AB214" i="6"/>
  <c r="AB213" i="6"/>
  <c r="AB212" i="6"/>
  <c r="AB211" i="6"/>
  <c r="AB210" i="6"/>
  <c r="AB209" i="6"/>
  <c r="AB208" i="6"/>
  <c r="AB207" i="6"/>
  <c r="AB206" i="6"/>
  <c r="AB205" i="6"/>
  <c r="AB204" i="6"/>
  <c r="AB203" i="6"/>
  <c r="AB202" i="6"/>
  <c r="AB201" i="6"/>
  <c r="AB200" i="6"/>
  <c r="AB199" i="6"/>
  <c r="AB198" i="6"/>
  <c r="AB197" i="6"/>
  <c r="AB196" i="6"/>
  <c r="AB195" i="6"/>
  <c r="AB194" i="6"/>
  <c r="AB193" i="6"/>
  <c r="AB192" i="6"/>
  <c r="AB191" i="6"/>
  <c r="AB190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3" i="6"/>
  <c r="AB162" i="6"/>
  <c r="AB161" i="6"/>
  <c r="AB160" i="6"/>
  <c r="AB159" i="6"/>
  <c r="AB158" i="6"/>
  <c r="AB157" i="6"/>
  <c r="AB156" i="6"/>
  <c r="AB155" i="6"/>
  <c r="AB154" i="6"/>
  <c r="AB153" i="6"/>
  <c r="AB152" i="6"/>
  <c r="AB151" i="6"/>
  <c r="AB150" i="6"/>
  <c r="AB149" i="6"/>
  <c r="AB148" i="6"/>
  <c r="AB147" i="6"/>
  <c r="AB146" i="6"/>
  <c r="AB145" i="6"/>
  <c r="AB144" i="6"/>
  <c r="AB143" i="6"/>
  <c r="AB142" i="6"/>
  <c r="AB141" i="6"/>
  <c r="AB48" i="6"/>
  <c r="AB47" i="6"/>
  <c r="AB46" i="6"/>
  <c r="AB45" i="6"/>
  <c r="AB44" i="6"/>
  <c r="AB1581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5" i="6"/>
  <c r="AB24" i="6"/>
  <c r="AB23" i="6"/>
  <c r="AB22" i="6"/>
  <c r="AB21" i="6"/>
  <c r="AB20" i="6"/>
  <c r="AB19" i="6"/>
  <c r="AB18" i="6"/>
  <c r="AB17" i="6"/>
  <c r="AA1605" i="6"/>
  <c r="AC1605" i="6"/>
  <c r="Z1605" i="6"/>
  <c r="C1605" i="6"/>
  <c r="B1606" i="6"/>
  <c r="AB91" i="6"/>
  <c r="AB90" i="6"/>
  <c r="AB89" i="6"/>
  <c r="AB88" i="6"/>
  <c r="AB87" i="6"/>
  <c r="AB86" i="6"/>
  <c r="AB85" i="6"/>
  <c r="AB84" i="6"/>
  <c r="AB83" i="6"/>
  <c r="AB82" i="6"/>
  <c r="AB81" i="6"/>
  <c r="AB92" i="6"/>
  <c r="AB93" i="6"/>
  <c r="AB94" i="6"/>
  <c r="AB95" i="6"/>
  <c r="AB140" i="6"/>
  <c r="AB139" i="6"/>
  <c r="AB138" i="6"/>
  <c r="AB137" i="6"/>
  <c r="AB136" i="6"/>
  <c r="AB135" i="6"/>
  <c r="AB134" i="6"/>
  <c r="AB133" i="6"/>
  <c r="AB132" i="6"/>
  <c r="AB131" i="6"/>
  <c r="AB130" i="6"/>
  <c r="AB129" i="6"/>
  <c r="AB128" i="6"/>
  <c r="AB127" i="6"/>
  <c r="AB126" i="6"/>
  <c r="AB125" i="6"/>
  <c r="AB124" i="6"/>
  <c r="AB123" i="6"/>
  <c r="AB122" i="6"/>
  <c r="AB121" i="6"/>
  <c r="AB120" i="6"/>
  <c r="AB119" i="6"/>
  <c r="AB118" i="6"/>
  <c r="AB117" i="6"/>
  <c r="AB116" i="6"/>
  <c r="AB115" i="6"/>
  <c r="AB114" i="6"/>
  <c r="AB113" i="6"/>
  <c r="AB112" i="6"/>
  <c r="AB111" i="6"/>
  <c r="AB110" i="6"/>
  <c r="AB109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C3" i="7"/>
  <c r="D3" i="7"/>
  <c r="B3" i="7"/>
  <c r="B2" i="7"/>
  <c r="D13" i="13"/>
  <c r="C13" i="13"/>
  <c r="A13" i="13"/>
  <c r="B13" i="13"/>
  <c r="C2" i="7"/>
  <c r="C1" i="13"/>
  <c r="C2" i="13"/>
  <c r="D1" i="13"/>
  <c r="D2" i="13"/>
  <c r="AB1605" i="6"/>
  <c r="B2" i="8"/>
  <c r="C15" i="13"/>
  <c r="C16" i="13"/>
  <c r="C17" i="13"/>
  <c r="C18" i="13"/>
  <c r="B14" i="13"/>
  <c r="B15" i="13"/>
  <c r="B16" i="13"/>
  <c r="B17" i="13"/>
  <c r="B18" i="13"/>
  <c r="GO3" i="8"/>
  <c r="GO2" i="8"/>
  <c r="GP3" i="8"/>
  <c r="GP2" i="8"/>
  <c r="C14" i="13"/>
  <c r="F3" i="7"/>
  <c r="F2" i="7"/>
  <c r="G3" i="7"/>
  <c r="G2" i="7"/>
  <c r="K3" i="7"/>
  <c r="L3" i="7"/>
  <c r="L2" i="7"/>
  <c r="O3" i="7"/>
  <c r="O2" i="7"/>
  <c r="P3" i="7"/>
  <c r="P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2" i="13"/>
  <c r="AY3" i="7"/>
  <c r="AY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F3" i="7"/>
  <c r="CF2" i="7"/>
  <c r="CG3" i="7"/>
  <c r="CG2" i="7"/>
  <c r="C4" i="6"/>
  <c r="C3" i="6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R3" i="5"/>
  <c r="A2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C2" i="5"/>
  <c r="E1" i="5"/>
  <c r="C1" i="5"/>
  <c r="CI3" i="7"/>
  <c r="CI2" i="7"/>
  <c r="CH3" i="7"/>
  <c r="CH2" i="7"/>
  <c r="Z2" i="6"/>
  <c r="B11" i="1"/>
  <c r="B10" i="1"/>
  <c r="B9" i="1"/>
  <c r="X3" i="8"/>
  <c r="X2" i="8"/>
  <c r="B776" i="6"/>
  <c r="B761" i="6"/>
  <c r="B765" i="6"/>
  <c r="B1098" i="6"/>
  <c r="B959" i="6"/>
  <c r="B743" i="6"/>
  <c r="B747" i="6"/>
  <c r="B757" i="6"/>
  <c r="B1145" i="6"/>
  <c r="B1137" i="6"/>
  <c r="B1116" i="6"/>
  <c r="B1122" i="6"/>
  <c r="B1127" i="6"/>
  <c r="B1003" i="6"/>
  <c r="B1108" i="6"/>
  <c r="B1143" i="6"/>
  <c r="B1119" i="6"/>
  <c r="B1124" i="6"/>
  <c r="B1135" i="6"/>
  <c r="B1148" i="6"/>
  <c r="B1052" i="6"/>
  <c r="B1132" i="6"/>
  <c r="B1100" i="6"/>
  <c r="B1111" i="6"/>
  <c r="B1140" i="6"/>
  <c r="B1118" i="6"/>
  <c r="B1065" i="6"/>
  <c r="B957" i="6"/>
  <c r="Y4" i="7"/>
  <c r="B1126" i="6"/>
  <c r="B1110" i="6"/>
  <c r="B736" i="6"/>
  <c r="B734" i="6"/>
  <c r="B792" i="6"/>
  <c r="B950" i="6"/>
  <c r="B1146" i="6"/>
  <c r="BE2" i="8"/>
  <c r="DQ2" i="8"/>
  <c r="B1106" i="6"/>
  <c r="B742" i="6"/>
  <c r="B746" i="6"/>
  <c r="B855" i="6"/>
  <c r="AA2" i="8"/>
  <c r="B1130" i="6"/>
  <c r="B849" i="6"/>
  <c r="B857" i="6"/>
  <c r="B847" i="6"/>
  <c r="B1114" i="6"/>
  <c r="B1138" i="6"/>
  <c r="BU2" i="8"/>
  <c r="CG2" i="8"/>
  <c r="B738" i="6"/>
  <c r="B851" i="6"/>
  <c r="B859" i="6"/>
  <c r="GI3" i="8"/>
  <c r="GI2" i="8"/>
  <c r="BY1" i="8"/>
  <c r="BQ1" i="8"/>
  <c r="BI1" i="8"/>
  <c r="CC2" i="8"/>
  <c r="DM1" i="8"/>
  <c r="CV1" i="8"/>
  <c r="CN1" i="8"/>
  <c r="CE1" i="8"/>
  <c r="DP1" i="8"/>
  <c r="GD1" i="8"/>
  <c r="FC1" i="8"/>
  <c r="AC519" i="6"/>
  <c r="AA1" i="8"/>
  <c r="BI2" i="8"/>
  <c r="GJ1" i="8"/>
  <c r="BK1" i="8"/>
  <c r="BC1" i="8"/>
  <c r="DQ1" i="8"/>
  <c r="DG1" i="8"/>
  <c r="CX1" i="8"/>
  <c r="CP1" i="8"/>
  <c r="CG1" i="8"/>
  <c r="DO1" i="8"/>
  <c r="V1" i="8"/>
  <c r="N1" i="8"/>
  <c r="GK1" i="8"/>
  <c r="BT1" i="8"/>
  <c r="DH1" i="8"/>
  <c r="CY1" i="8"/>
  <c r="CQ1" i="8"/>
  <c r="B1" i="8"/>
  <c r="Y1" i="8"/>
  <c r="W1" i="8"/>
  <c r="L1" i="8"/>
  <c r="BU1" i="8"/>
  <c r="BM1" i="8"/>
  <c r="AC44" i="6"/>
  <c r="BE1" i="8"/>
  <c r="AM1" i="8"/>
  <c r="DS1" i="8"/>
  <c r="DI1" i="8"/>
  <c r="CZ1" i="8"/>
  <c r="CR1" i="8"/>
  <c r="CI1" i="8"/>
  <c r="CA1" i="8"/>
  <c r="CM1" i="8"/>
  <c r="AH1" i="8"/>
  <c r="AI2" i="7"/>
  <c r="AL3" i="7"/>
  <c r="AL2" i="7"/>
  <c r="BM2" i="8"/>
  <c r="GM1" i="8"/>
  <c r="DS2" i="8"/>
  <c r="DJ1" i="8"/>
  <c r="DA1" i="8"/>
  <c r="CS1" i="8"/>
  <c r="CJ1" i="8"/>
  <c r="GF1" i="8"/>
  <c r="AG4" i="7"/>
  <c r="AK4" i="7"/>
  <c r="BW1" i="8"/>
  <c r="BO1" i="8"/>
  <c r="BG1" i="8"/>
  <c r="DK1" i="8"/>
  <c r="CT1" i="8"/>
  <c r="CK1" i="8"/>
  <c r="CC1" i="8"/>
  <c r="BZ3" i="8"/>
  <c r="BZ2" i="8"/>
  <c r="FY3" i="8"/>
  <c r="FY2" i="8"/>
  <c r="CA2" i="8"/>
  <c r="FQ2" i="8"/>
  <c r="FO3" i="8"/>
  <c r="FO2" i="8"/>
  <c r="U1" i="8"/>
  <c r="T1" i="8"/>
  <c r="FM3" i="8"/>
  <c r="FM2" i="8"/>
  <c r="FL2" i="8"/>
  <c r="B1109" i="6"/>
  <c r="BW2" i="8"/>
  <c r="BO2" i="8"/>
  <c r="BK2" i="8"/>
  <c r="BG2" i="8"/>
  <c r="BC2" i="8"/>
  <c r="AK2" i="8"/>
  <c r="B762" i="6"/>
  <c r="B863" i="6"/>
  <c r="FK2" i="8"/>
  <c r="Z3" i="8"/>
  <c r="Z2" i="8"/>
  <c r="GD2" i="8"/>
  <c r="FZ2" i="8"/>
  <c r="GK2" i="8"/>
  <c r="DW2" i="8"/>
  <c r="GF2" i="8"/>
  <c r="S1" i="8"/>
  <c r="B1117" i="6"/>
  <c r="B1149" i="6"/>
  <c r="B748" i="6"/>
  <c r="FV2" i="8"/>
  <c r="B744" i="6"/>
  <c r="B1125" i="6"/>
  <c r="B800" i="6"/>
  <c r="B808" i="6"/>
  <c r="FT2" i="8"/>
  <c r="GB2" i="8"/>
  <c r="GM2" i="8"/>
  <c r="DY2" i="8"/>
  <c r="DU2" i="8"/>
  <c r="B1101" i="6"/>
  <c r="B1133" i="6"/>
  <c r="B740" i="6"/>
  <c r="B753" i="6"/>
  <c r="B785" i="6"/>
  <c r="B826" i="6"/>
  <c r="B842" i="6"/>
  <c r="B850" i="6"/>
  <c r="B804" i="6"/>
  <c r="B830" i="6"/>
  <c r="B838" i="6"/>
  <c r="B815" i="6"/>
  <c r="B812" i="6"/>
  <c r="B862" i="6"/>
  <c r="B781" i="6"/>
  <c r="B795" i="6"/>
  <c r="B803" i="6"/>
  <c r="B814" i="6"/>
  <c r="B811" i="6"/>
  <c r="B821" i="6"/>
  <c r="B837" i="6"/>
  <c r="B861" i="6"/>
  <c r="B853" i="6"/>
  <c r="B780" i="6"/>
  <c r="B788" i="6"/>
  <c r="B799" i="6"/>
  <c r="B1382" i="6"/>
  <c r="B825" i="6"/>
  <c r="B841" i="6"/>
  <c r="B1076" i="6"/>
  <c r="B1139" i="6"/>
  <c r="B1131" i="6"/>
  <c r="B1115" i="6"/>
  <c r="B1107" i="6"/>
  <c r="B1099" i="6"/>
  <c r="B737" i="6"/>
  <c r="B1088" i="6"/>
  <c r="B954" i="6"/>
  <c r="B802" i="6"/>
  <c r="B810" i="6"/>
  <c r="B783" i="6"/>
  <c r="B820" i="6"/>
  <c r="B828" i="6"/>
  <c r="B836" i="6"/>
  <c r="B1104" i="6"/>
  <c r="B775" i="6"/>
  <c r="B755" i="6"/>
  <c r="B779" i="6"/>
  <c r="B852" i="6"/>
  <c r="B860" i="6"/>
  <c r="B844" i="6"/>
  <c r="B956" i="6"/>
  <c r="B1096" i="6"/>
  <c r="B1120" i="6"/>
  <c r="B1128" i="6"/>
  <c r="B1136" i="6"/>
  <c r="B1144" i="6"/>
  <c r="B787" i="6"/>
  <c r="B798" i="6"/>
  <c r="B806" i="6"/>
  <c r="B824" i="6"/>
  <c r="B832" i="6"/>
  <c r="B817" i="6"/>
  <c r="B751" i="6"/>
  <c r="B774" i="6"/>
  <c r="B848" i="6"/>
  <c r="B760" i="6"/>
  <c r="B1005" i="6"/>
  <c r="B1000" i="6"/>
  <c r="B573" i="6"/>
  <c r="B656" i="6"/>
  <c r="B731" i="6"/>
  <c r="B697" i="6"/>
  <c r="B723" i="6"/>
  <c r="B999" i="6"/>
  <c r="B1329" i="6"/>
  <c r="AN3" i="7"/>
  <c r="AN2" i="7"/>
  <c r="AS2" i="7"/>
  <c r="AU2" i="7"/>
  <c r="AO2" i="7"/>
  <c r="AQ2" i="7"/>
  <c r="Q2" i="7"/>
  <c r="K2" i="7"/>
  <c r="B773" i="6"/>
  <c r="B1331" i="6"/>
  <c r="B769" i="6"/>
  <c r="B1317" i="6"/>
  <c r="B1325" i="6"/>
  <c r="B1341" i="6"/>
  <c r="B1284" i="6"/>
  <c r="B1295" i="6"/>
  <c r="B7" i="6"/>
  <c r="B1309" i="6"/>
  <c r="B1327" i="6"/>
  <c r="B653" i="6"/>
  <c r="AB651" i="6"/>
  <c r="AC1427" i="6"/>
  <c r="B1276" i="6"/>
  <c r="B1305" i="6"/>
  <c r="B654" i="6"/>
  <c r="B698" i="6"/>
  <c r="B676" i="6"/>
  <c r="B1319" i="6"/>
  <c r="B559" i="6"/>
  <c r="B9" i="6"/>
  <c r="B1353" i="6"/>
  <c r="B1361" i="6"/>
  <c r="B671" i="6"/>
  <c r="B714" i="6"/>
  <c r="B1300" i="6"/>
  <c r="B1323" i="6"/>
  <c r="B1342" i="6"/>
  <c r="B1271" i="6"/>
  <c r="B1363" i="6"/>
  <c r="B673" i="6"/>
  <c r="B1281" i="6"/>
  <c r="B732" i="6"/>
  <c r="B1371" i="6"/>
  <c r="B700" i="6"/>
  <c r="B571" i="6"/>
  <c r="B677" i="6"/>
  <c r="B1290" i="6"/>
  <c r="B1298" i="6"/>
  <c r="B1311" i="6"/>
  <c r="B1316" i="6"/>
  <c r="B1339" i="6"/>
  <c r="B1344" i="6"/>
  <c r="B1347" i="6"/>
  <c r="B1355" i="6"/>
  <c r="B1360" i="6"/>
  <c r="B1313" i="6"/>
  <c r="B668" i="6"/>
  <c r="B722" i="6"/>
  <c r="B1377" i="6"/>
  <c r="B1007" i="6"/>
  <c r="B1297" i="6"/>
  <c r="B1315" i="6"/>
  <c r="B1333" i="6"/>
  <c r="B1351" i="6"/>
  <c r="B701" i="6"/>
  <c r="B1335" i="6"/>
  <c r="B1356" i="6"/>
  <c r="B1280" i="6"/>
  <c r="B686" i="6"/>
  <c r="B1278" i="6"/>
  <c r="B1299" i="6"/>
  <c r="B1345" i="6"/>
  <c r="B1370" i="6"/>
  <c r="B1226" i="6"/>
  <c r="B1227" i="6"/>
  <c r="B952" i="6"/>
  <c r="B1282" i="6"/>
  <c r="B1358" i="6"/>
  <c r="B1402" i="6"/>
  <c r="B667" i="6"/>
  <c r="B1035" i="6"/>
  <c r="B1279" i="6"/>
  <c r="B1294" i="6"/>
  <c r="B670" i="6"/>
  <c r="B675" i="6"/>
  <c r="B1021" i="6"/>
  <c r="B1288" i="6"/>
  <c r="B1349" i="6"/>
  <c r="B1376" i="6"/>
  <c r="B8" i="6"/>
  <c r="B1023" i="6"/>
  <c r="AC1232" i="6"/>
  <c r="AC1243" i="6"/>
  <c r="AC1190" i="6"/>
  <c r="B967" i="6"/>
  <c r="AC919" i="6"/>
  <c r="AC1242" i="6"/>
  <c r="B1270" i="6"/>
  <c r="B1340" i="6"/>
  <c r="B1357" i="6"/>
  <c r="B1312" i="6"/>
  <c r="B1322" i="6"/>
  <c r="B1277" i="6"/>
  <c r="B1289" i="6"/>
  <c r="B1334" i="6"/>
  <c r="B1354" i="6"/>
  <c r="B500" i="6"/>
  <c r="AC500" i="6"/>
  <c r="AC1266" i="6"/>
  <c r="B1326" i="6"/>
  <c r="B1336" i="6"/>
  <c r="B1366" i="6"/>
  <c r="AC1591" i="6"/>
  <c r="B1348" i="6"/>
  <c r="B1268" i="6"/>
  <c r="B1287" i="6"/>
  <c r="B1320" i="6"/>
  <c r="B1350" i="6"/>
  <c r="B1364" i="6"/>
  <c r="B1301" i="6"/>
  <c r="B1310" i="6"/>
  <c r="B1338" i="6"/>
  <c r="AC1254" i="6"/>
  <c r="B1283" i="6"/>
  <c r="B1318" i="6"/>
  <c r="B1332" i="6"/>
  <c r="B1367" i="6"/>
  <c r="B1275" i="6"/>
  <c r="B1296" i="6"/>
  <c r="B1314" i="6"/>
  <c r="B1330" i="6"/>
  <c r="B1362" i="6"/>
  <c r="B669" i="6"/>
  <c r="B678" i="6"/>
  <c r="B554" i="6"/>
  <c r="AC1597" i="6"/>
  <c r="B958" i="6"/>
  <c r="B558" i="6"/>
  <c r="B730" i="6"/>
  <c r="AC670" i="6"/>
  <c r="B672" i="6"/>
  <c r="AC722" i="6"/>
  <c r="AC1376" i="6"/>
  <c r="B552" i="6"/>
  <c r="AC1566" i="6"/>
  <c r="B1587" i="6"/>
  <c r="AC1587" i="6"/>
  <c r="FP3" i="8"/>
  <c r="FP2" i="8"/>
  <c r="B574" i="6"/>
  <c r="B1328" i="6"/>
  <c r="B683" i="6"/>
  <c r="B794" i="6"/>
  <c r="B1383" i="6"/>
  <c r="B674" i="6"/>
  <c r="B662" i="6"/>
  <c r="B721" i="6"/>
  <c r="B502" i="6"/>
  <c r="B1147" i="6"/>
  <c r="B1103" i="6"/>
  <c r="B764" i="6"/>
  <c r="B515" i="6"/>
  <c r="B778" i="6"/>
  <c r="B823" i="6"/>
  <c r="B1102" i="6"/>
  <c r="B1123" i="6"/>
  <c r="B856" i="6"/>
  <c r="B1154" i="6"/>
  <c r="B1165" i="6"/>
  <c r="B1176" i="6"/>
  <c r="B1352" i="6"/>
  <c r="B1308" i="6"/>
  <c r="B1304" i="6"/>
  <c r="B845" i="6"/>
  <c r="B1337" i="6"/>
  <c r="B789" i="6"/>
  <c r="B752" i="6"/>
  <c r="B1359" i="6"/>
  <c r="B532" i="6"/>
  <c r="B562" i="6"/>
  <c r="B1302" i="6"/>
  <c r="B834" i="6"/>
  <c r="B733" i="6"/>
  <c r="B1097" i="6"/>
  <c r="B1074" i="6"/>
  <c r="B1080" i="6"/>
  <c r="E3" i="7"/>
  <c r="E2" i="7"/>
  <c r="D2" i="7"/>
  <c r="U32" i="17"/>
  <c r="V32" i="17"/>
  <c r="K32" i="17"/>
  <c r="T32" i="17"/>
  <c r="P32" i="17"/>
  <c r="O32" i="17"/>
  <c r="O316" i="17"/>
  <c r="M316" i="17"/>
  <c r="P316" i="17"/>
  <c r="V316" i="17"/>
  <c r="U316" i="17"/>
  <c r="T316" i="17"/>
  <c r="O382" i="17"/>
  <c r="V382" i="17"/>
  <c r="U382" i="17"/>
  <c r="T382" i="17"/>
  <c r="B382" i="17"/>
  <c r="K382" i="17"/>
  <c r="P382" i="17"/>
  <c r="B614" i="6"/>
  <c r="B31" i="17"/>
  <c r="T31" i="17"/>
  <c r="M31" i="17"/>
  <c r="V31" i="17"/>
  <c r="P31" i="17"/>
  <c r="O31" i="17"/>
  <c r="P377" i="17"/>
  <c r="M377" i="17"/>
  <c r="V377" i="17"/>
  <c r="B377" i="17"/>
  <c r="U424" i="17"/>
  <c r="T424" i="17"/>
  <c r="P424" i="17"/>
  <c r="O424" i="17"/>
  <c r="V424" i="17"/>
  <c r="K424" i="17"/>
  <c r="M424" i="17"/>
  <c r="Y37" i="17"/>
  <c r="C37" i="17"/>
  <c r="M37" i="17"/>
  <c r="U260" i="17"/>
  <c r="V260" i="17"/>
  <c r="O260" i="17"/>
  <c r="M260" i="17"/>
  <c r="Y260" i="17"/>
  <c r="K260" i="17"/>
  <c r="P260" i="17"/>
  <c r="B603" i="6"/>
  <c r="V343" i="17"/>
  <c r="P343" i="17"/>
  <c r="Y343" i="17"/>
  <c r="U343" i="17"/>
  <c r="K343" i="17"/>
  <c r="T343" i="17"/>
  <c r="O343" i="17"/>
  <c r="U120" i="17"/>
  <c r="M120" i="17"/>
  <c r="P120" i="17"/>
  <c r="O120" i="17"/>
  <c r="K120" i="17"/>
  <c r="B121" i="17"/>
  <c r="B119" i="17"/>
  <c r="T119" i="17"/>
  <c r="O119" i="17"/>
  <c r="U119" i="17"/>
  <c r="K119" i="17"/>
  <c r="B213" i="17"/>
  <c r="AC476" i="6"/>
  <c r="O38" i="17"/>
  <c r="P98" i="17"/>
  <c r="P219" i="17"/>
  <c r="U219" i="17"/>
  <c r="O219" i="17"/>
  <c r="K219" i="17"/>
  <c r="B219" i="17"/>
  <c r="Y219" i="17"/>
  <c r="V219" i="17"/>
  <c r="B5" i="17"/>
  <c r="U5" i="17"/>
  <c r="P5" i="17"/>
  <c r="Y5" i="17"/>
  <c r="V5" i="17"/>
  <c r="T5" i="17"/>
  <c r="V11" i="17"/>
  <c r="K11" i="17"/>
  <c r="V21" i="17"/>
  <c r="T54" i="17"/>
  <c r="V55" i="17"/>
  <c r="V56" i="17"/>
  <c r="V58" i="17"/>
  <c r="M70" i="17"/>
  <c r="K70" i="17"/>
  <c r="O70" i="17"/>
  <c r="B70" i="17"/>
  <c r="V70" i="17"/>
  <c r="U70" i="17"/>
  <c r="T77" i="17"/>
  <c r="K77" i="17"/>
  <c r="T90" i="17"/>
  <c r="U94" i="17"/>
  <c r="U95" i="17"/>
  <c r="B114" i="17"/>
  <c r="U137" i="17"/>
  <c r="U138" i="17"/>
  <c r="P172" i="17"/>
  <c r="B172" i="17"/>
  <c r="U172" i="17"/>
  <c r="T172" i="17"/>
  <c r="K229" i="17"/>
  <c r="P262" i="17"/>
  <c r="K273" i="17"/>
  <c r="M280" i="17"/>
  <c r="O280" i="17"/>
  <c r="Y280" i="17"/>
  <c r="P280" i="17"/>
  <c r="T280" i="17"/>
  <c r="U280" i="17"/>
  <c r="K280" i="17"/>
  <c r="K316" i="17"/>
  <c r="Y320" i="17"/>
  <c r="C320" i="17"/>
  <c r="K320" i="17"/>
  <c r="B320" i="17"/>
  <c r="V320" i="17"/>
  <c r="U320" i="17"/>
  <c r="P323" i="17"/>
  <c r="V323" i="17"/>
  <c r="U323" i="17"/>
  <c r="C323" i="17"/>
  <c r="B323" i="17"/>
  <c r="M323" i="17"/>
  <c r="Y323" i="17"/>
  <c r="T323" i="17"/>
  <c r="O358" i="17"/>
  <c r="V384" i="17"/>
  <c r="K385" i="17"/>
  <c r="P385" i="17"/>
  <c r="C385" i="17"/>
  <c r="T385" i="17"/>
  <c r="U385" i="17"/>
  <c r="O385" i="17"/>
  <c r="M385" i="17"/>
  <c r="M165" i="17"/>
  <c r="U165" i="17"/>
  <c r="O165" i="17"/>
  <c r="C165" i="17"/>
  <c r="Y165" i="17"/>
  <c r="V165" i="17"/>
  <c r="Y276" i="17"/>
  <c r="C276" i="17"/>
  <c r="M276" i="17"/>
  <c r="V276" i="17"/>
  <c r="P276" i="17"/>
  <c r="K276" i="17"/>
  <c r="B370" i="17"/>
  <c r="V370" i="17"/>
  <c r="O370" i="17"/>
  <c r="P370" i="17"/>
  <c r="M370" i="17"/>
  <c r="Y370" i="17"/>
  <c r="T370" i="17"/>
  <c r="P372" i="17"/>
  <c r="K372" i="17"/>
  <c r="U372" i="17"/>
  <c r="V372" i="17"/>
  <c r="O372" i="17"/>
  <c r="M372" i="17"/>
  <c r="B214" i="17"/>
  <c r="B729" i="6"/>
  <c r="U314" i="17"/>
  <c r="P314" i="17"/>
  <c r="T314" i="17"/>
  <c r="O314" i="17"/>
  <c r="M314" i="17"/>
  <c r="Y314" i="17"/>
  <c r="V314" i="17"/>
  <c r="K314" i="17"/>
  <c r="C316" i="17"/>
  <c r="O338" i="17"/>
  <c r="T338" i="17"/>
  <c r="Y338" i="17"/>
  <c r="M338" i="17"/>
  <c r="P338" i="17"/>
  <c r="K338" i="17"/>
  <c r="C382" i="17"/>
  <c r="K6" i="17"/>
  <c r="V6" i="17"/>
  <c r="O6" i="17"/>
  <c r="T6" i="17"/>
  <c r="K214" i="17"/>
  <c r="O290" i="17"/>
  <c r="U292" i="17"/>
  <c r="M292" i="17"/>
  <c r="O292" i="17"/>
  <c r="P292" i="17"/>
  <c r="Y292" i="17"/>
  <c r="V292" i="17"/>
  <c r="T292" i="17"/>
  <c r="B6" i="17"/>
  <c r="B10" i="17"/>
  <c r="C11" i="17"/>
  <c r="O12" i="17"/>
  <c r="T12" i="17"/>
  <c r="K29" i="17"/>
  <c r="M32" i="17"/>
  <c r="T35" i="17"/>
  <c r="M42" i="17"/>
  <c r="T42" i="17"/>
  <c r="U42" i="17"/>
  <c r="V42" i="17"/>
  <c r="Y42" i="17"/>
  <c r="C42" i="17"/>
  <c r="K42" i="17"/>
  <c r="O44" i="17"/>
  <c r="T44" i="17"/>
  <c r="C44" i="17"/>
  <c r="K44" i="17"/>
  <c r="B66" i="17"/>
  <c r="K66" i="17"/>
  <c r="U66" i="17"/>
  <c r="Y66" i="17"/>
  <c r="C66" i="17"/>
  <c r="C77" i="17"/>
  <c r="O78" i="17"/>
  <c r="U78" i="17"/>
  <c r="Y79" i="17"/>
  <c r="C79" i="17"/>
  <c r="P79" i="17"/>
  <c r="T92" i="17"/>
  <c r="T97" i="17"/>
  <c r="P107" i="17"/>
  <c r="O107" i="17"/>
  <c r="C107" i="17"/>
  <c r="V107" i="17"/>
  <c r="U107" i="17"/>
  <c r="P165" i="17"/>
  <c r="V171" i="17"/>
  <c r="U171" i="17"/>
  <c r="T171" i="17"/>
  <c r="P171" i="17"/>
  <c r="B171" i="17"/>
  <c r="P209" i="17"/>
  <c r="O209" i="17"/>
  <c r="Y209" i="17"/>
  <c r="M209" i="17"/>
  <c r="K209" i="17"/>
  <c r="M214" i="17"/>
  <c r="O216" i="17"/>
  <c r="K248" i="17"/>
  <c r="M287" i="17"/>
  <c r="U302" i="17"/>
  <c r="O352" i="17"/>
  <c r="T352" i="17"/>
  <c r="V352" i="17"/>
  <c r="P352" i="17"/>
  <c r="U352" i="17"/>
  <c r="Y359" i="17"/>
  <c r="C359" i="17"/>
  <c r="V359" i="17"/>
  <c r="U359" i="17"/>
  <c r="T359" i="17"/>
  <c r="M359" i="17"/>
  <c r="P359" i="17"/>
  <c r="O359" i="17"/>
  <c r="B359" i="17"/>
  <c r="B366" i="17"/>
  <c r="T366" i="17"/>
  <c r="O366" i="17"/>
  <c r="M366" i="17"/>
  <c r="V366" i="17"/>
  <c r="Y366" i="17"/>
  <c r="C366" i="17"/>
  <c r="M382" i="17"/>
  <c r="K394" i="17"/>
  <c r="U402" i="17"/>
  <c r="T402" i="17"/>
  <c r="C402" i="17"/>
  <c r="Y402" i="17"/>
  <c r="B402" i="17"/>
  <c r="M402" i="17"/>
  <c r="K36" i="17"/>
  <c r="O36" i="17"/>
  <c r="P345" i="17"/>
  <c r="K345" i="17"/>
  <c r="Y345" i="17"/>
  <c r="V345" i="17"/>
  <c r="U345" i="17"/>
  <c r="T345" i="17"/>
  <c r="B345" i="17"/>
  <c r="O345" i="17"/>
  <c r="M345" i="17"/>
  <c r="Y38" i="17"/>
  <c r="C38" i="17"/>
  <c r="Y355" i="17"/>
  <c r="C355" i="17"/>
  <c r="K355" i="17"/>
  <c r="M355" i="17"/>
  <c r="U355" i="17"/>
  <c r="P355" i="17"/>
  <c r="B355" i="17"/>
  <c r="B276" i="17"/>
  <c r="B1401" i="6"/>
  <c r="C273" i="17"/>
  <c r="C287" i="17"/>
  <c r="B29" i="17"/>
  <c r="K114" i="17"/>
  <c r="P114" i="17"/>
  <c r="M114" i="17"/>
  <c r="C314" i="17"/>
  <c r="K370" i="17"/>
  <c r="AC958" i="6"/>
  <c r="C6" i="17"/>
  <c r="C12" i="17"/>
  <c r="P19" i="17"/>
  <c r="K19" i="17"/>
  <c r="Y19" i="17"/>
  <c r="V19" i="17"/>
  <c r="U19" i="17"/>
  <c r="T19" i="17"/>
  <c r="K27" i="17"/>
  <c r="K31" i="17"/>
  <c r="U33" i="17"/>
  <c r="U35" i="17"/>
  <c r="T36" i="17"/>
  <c r="V43" i="17"/>
  <c r="M43" i="17"/>
  <c r="K50" i="17"/>
  <c r="T50" i="17"/>
  <c r="Y50" i="17"/>
  <c r="C50" i="17"/>
  <c r="V50" i="17"/>
  <c r="U50" i="17"/>
  <c r="O68" i="17"/>
  <c r="T68" i="17"/>
  <c r="Y68" i="17"/>
  <c r="B68" i="17"/>
  <c r="V68" i="17"/>
  <c r="C78" i="17"/>
  <c r="B79" i="17"/>
  <c r="V83" i="17"/>
  <c r="Y83" i="17"/>
  <c r="B83" i="17"/>
  <c r="P83" i="17"/>
  <c r="C83" i="17"/>
  <c r="U92" i="17"/>
  <c r="U97" i="17"/>
  <c r="M121" i="17"/>
  <c r="O156" i="17"/>
  <c r="U156" i="17"/>
  <c r="C156" i="17"/>
  <c r="P156" i="17"/>
  <c r="Y156" i="17"/>
  <c r="V156" i="17"/>
  <c r="T156" i="17"/>
  <c r="B162" i="17"/>
  <c r="C172" i="17"/>
  <c r="M213" i="17"/>
  <c r="T278" i="17"/>
  <c r="K278" i="17"/>
  <c r="M278" i="17"/>
  <c r="V278" i="17"/>
  <c r="P278" i="17"/>
  <c r="U278" i="17"/>
  <c r="O278" i="17"/>
  <c r="B360" i="17"/>
  <c r="K421" i="17"/>
  <c r="B592" i="6"/>
  <c r="B636" i="6"/>
  <c r="B699" i="6"/>
  <c r="B32" i="17"/>
  <c r="U10" i="17"/>
  <c r="K10" i="17"/>
  <c r="Y10" i="17"/>
  <c r="O10" i="17"/>
  <c r="P37" i="17"/>
  <c r="P39" i="17"/>
  <c r="M216" i="17"/>
  <c r="M29" i="17"/>
  <c r="V33" i="17"/>
  <c r="V35" i="17"/>
  <c r="U36" i="17"/>
  <c r="T37" i="17"/>
  <c r="T39" i="17"/>
  <c r="C43" i="17"/>
  <c r="B44" i="17"/>
  <c r="Y48" i="17"/>
  <c r="C48" i="17"/>
  <c r="V48" i="17"/>
  <c r="U48" i="17"/>
  <c r="Y55" i="17"/>
  <c r="B57" i="17"/>
  <c r="O57" i="17"/>
  <c r="P57" i="17"/>
  <c r="K57" i="17"/>
  <c r="Y58" i="17"/>
  <c r="Y59" i="17"/>
  <c r="C59" i="17"/>
  <c r="K59" i="17"/>
  <c r="M59" i="17"/>
  <c r="Y60" i="17"/>
  <c r="C60" i="17"/>
  <c r="P60" i="17"/>
  <c r="M65" i="17"/>
  <c r="V65" i="17"/>
  <c r="Y65" i="17"/>
  <c r="B65" i="17"/>
  <c r="C65" i="17"/>
  <c r="V92" i="17"/>
  <c r="V97" i="17"/>
  <c r="T98" i="17"/>
  <c r="O106" i="17"/>
  <c r="T106" i="17"/>
  <c r="Y106" i="17"/>
  <c r="B106" i="17"/>
  <c r="V106" i="17"/>
  <c r="M139" i="17"/>
  <c r="P139" i="17"/>
  <c r="O139" i="17"/>
  <c r="C139" i="17"/>
  <c r="K139" i="17"/>
  <c r="U142" i="17"/>
  <c r="Y142" i="17"/>
  <c r="B142" i="17"/>
  <c r="C142" i="17"/>
  <c r="K142" i="17"/>
  <c r="O144" i="17"/>
  <c r="V144" i="17"/>
  <c r="Y144" i="17"/>
  <c r="B144" i="17"/>
  <c r="T154" i="17"/>
  <c r="U154" i="17"/>
  <c r="Y154" i="17"/>
  <c r="V154" i="17"/>
  <c r="K164" i="17"/>
  <c r="Y170" i="17"/>
  <c r="C170" i="17"/>
  <c r="V170" i="17"/>
  <c r="U170" i="17"/>
  <c r="P170" i="17"/>
  <c r="T170" i="17"/>
  <c r="K204" i="17"/>
  <c r="T204" i="17"/>
  <c r="O204" i="17"/>
  <c r="U204" i="17"/>
  <c r="P204" i="17"/>
  <c r="M204" i="17"/>
  <c r="B206" i="17"/>
  <c r="V206" i="17"/>
  <c r="Y206" i="17"/>
  <c r="O206" i="17"/>
  <c r="K206" i="17"/>
  <c r="M206" i="17"/>
  <c r="M218" i="17"/>
  <c r="U218" i="17"/>
  <c r="T218" i="17"/>
  <c r="O218" i="17"/>
  <c r="P218" i="17"/>
  <c r="V218" i="17"/>
  <c r="O229" i="17"/>
  <c r="T243" i="17"/>
  <c r="M243" i="17"/>
  <c r="O243" i="17"/>
  <c r="U243" i="17"/>
  <c r="M248" i="17"/>
  <c r="T263" i="17"/>
  <c r="Y263" i="17"/>
  <c r="B263" i="17"/>
  <c r="C263" i="17"/>
  <c r="O263" i="17"/>
  <c r="M263" i="17"/>
  <c r="V263" i="17"/>
  <c r="U263" i="17"/>
  <c r="P275" i="17"/>
  <c r="P287" i="17"/>
  <c r="T290" i="17"/>
  <c r="B291" i="17"/>
  <c r="U291" i="17"/>
  <c r="O291" i="17"/>
  <c r="P291" i="17"/>
  <c r="Y291" i="17"/>
  <c r="M291" i="17"/>
  <c r="T291" i="17"/>
  <c r="O355" i="17"/>
  <c r="K377" i="17"/>
  <c r="K381" i="17"/>
  <c r="M394" i="17"/>
  <c r="B423" i="17"/>
  <c r="O423" i="17"/>
  <c r="M423" i="17"/>
  <c r="U423" i="17"/>
  <c r="P423" i="17"/>
  <c r="K423" i="17"/>
  <c r="B424" i="17"/>
  <c r="Y202" i="17"/>
  <c r="C202" i="17"/>
  <c r="K202" i="17"/>
  <c r="M202" i="17"/>
  <c r="U202" i="17"/>
  <c r="P202" i="17"/>
  <c r="Y435" i="17"/>
  <c r="C435" i="17"/>
  <c r="O435" i="17"/>
  <c r="B435" i="17"/>
  <c r="K435" i="17"/>
  <c r="P435" i="17"/>
  <c r="U435" i="17"/>
  <c r="T435" i="17"/>
  <c r="AC552" i="6"/>
  <c r="B1321" i="6"/>
  <c r="B539" i="6"/>
  <c r="C32" i="17"/>
  <c r="AM2" i="8"/>
  <c r="B658" i="6"/>
  <c r="T21" i="17"/>
  <c r="P21" i="17"/>
  <c r="O21" i="17"/>
  <c r="M27" i="17"/>
  <c r="V36" i="17"/>
  <c r="U37" i="17"/>
  <c r="T38" i="17"/>
  <c r="U54" i="17"/>
  <c r="V54" i="17"/>
  <c r="O54" i="17"/>
  <c r="M54" i="17"/>
  <c r="O56" i="17"/>
  <c r="M56" i="17"/>
  <c r="K56" i="17"/>
  <c r="C219" i="17"/>
  <c r="P242" i="17"/>
  <c r="U242" i="17"/>
  <c r="T242" i="17"/>
  <c r="Y242" i="17"/>
  <c r="M242" i="17"/>
  <c r="O242" i="17"/>
  <c r="V262" i="17"/>
  <c r="T276" i="17"/>
  <c r="B292" i="17"/>
  <c r="T372" i="17"/>
  <c r="V17" i="17"/>
  <c r="P17" i="17"/>
  <c r="Y17" i="17"/>
  <c r="U17" i="17"/>
  <c r="B21" i="17"/>
  <c r="V37" i="17"/>
  <c r="U38" i="17"/>
  <c r="P41" i="17"/>
  <c r="V41" i="17"/>
  <c r="U41" i="17"/>
  <c r="T41" i="17"/>
  <c r="Y41" i="17"/>
  <c r="C41" i="17"/>
  <c r="B53" i="17"/>
  <c r="U53" i="17"/>
  <c r="T53" i="17"/>
  <c r="P53" i="17"/>
  <c r="O53" i="17"/>
  <c r="B56" i="17"/>
  <c r="B90" i="17"/>
  <c r="U90" i="17"/>
  <c r="P90" i="17"/>
  <c r="K94" i="17"/>
  <c r="O94" i="17"/>
  <c r="M94" i="17"/>
  <c r="P94" i="17"/>
  <c r="O95" i="17"/>
  <c r="K95" i="17"/>
  <c r="M95" i="17"/>
  <c r="M119" i="17"/>
  <c r="U136" i="17"/>
  <c r="O136" i="17"/>
  <c r="V136" i="17"/>
  <c r="K136" i="17"/>
  <c r="M137" i="17"/>
  <c r="O137" i="17"/>
  <c r="K137" i="17"/>
  <c r="K138" i="17"/>
  <c r="P138" i="17"/>
  <c r="M138" i="17"/>
  <c r="T165" i="17"/>
  <c r="K194" i="17"/>
  <c r="O200" i="17"/>
  <c r="T202" i="17"/>
  <c r="M212" i="17"/>
  <c r="T260" i="17"/>
  <c r="U276" i="17"/>
  <c r="C292" i="17"/>
  <c r="M302" i="17"/>
  <c r="Y302" i="17"/>
  <c r="B302" i="17"/>
  <c r="T302" i="17"/>
  <c r="O302" i="17"/>
  <c r="K302" i="17"/>
  <c r="C302" i="17"/>
  <c r="M343" i="17"/>
  <c r="U370" i="17"/>
  <c r="B383" i="17"/>
  <c r="P383" i="17"/>
  <c r="U383" i="17"/>
  <c r="T383" i="17"/>
  <c r="M383" i="17"/>
  <c r="O383" i="17"/>
  <c r="K383" i="17"/>
  <c r="O394" i="17"/>
  <c r="C424" i="17"/>
  <c r="K447" i="17"/>
  <c r="M449" i="17"/>
  <c r="U248" i="17"/>
  <c r="P248" i="17"/>
  <c r="Y248" i="17"/>
  <c r="B248" i="17"/>
  <c r="V248" i="17"/>
  <c r="T248" i="17"/>
  <c r="B369" i="17"/>
  <c r="P369" i="17"/>
  <c r="O369" i="17"/>
  <c r="M369" i="17"/>
  <c r="K369" i="17"/>
  <c r="V369" i="17"/>
  <c r="P55" i="17"/>
  <c r="M55" i="17"/>
  <c r="K55" i="17"/>
  <c r="U58" i="17"/>
  <c r="M58" i="17"/>
  <c r="U384" i="17"/>
  <c r="M384" i="17"/>
  <c r="P384" i="17"/>
  <c r="O384" i="17"/>
  <c r="B19" i="17"/>
  <c r="C21" i="17"/>
  <c r="O27" i="17"/>
  <c r="O34" i="17"/>
  <c r="M34" i="17"/>
  <c r="P34" i="17"/>
  <c r="K34" i="17"/>
  <c r="V38" i="17"/>
  <c r="B42" i="17"/>
  <c r="B50" i="17"/>
  <c r="B54" i="17"/>
  <c r="C55" i="17"/>
  <c r="C56" i="17"/>
  <c r="C90" i="17"/>
  <c r="T93" i="17"/>
  <c r="P93" i="17"/>
  <c r="M93" i="17"/>
  <c r="K93" i="17"/>
  <c r="B95" i="17"/>
  <c r="O96" i="17"/>
  <c r="K96" i="17"/>
  <c r="C106" i="17"/>
  <c r="K118" i="17"/>
  <c r="T135" i="17"/>
  <c r="K135" i="17"/>
  <c r="P135" i="17"/>
  <c r="M135" i="17"/>
  <c r="B137" i="17"/>
  <c r="B138" i="17"/>
  <c r="B139" i="17"/>
  <c r="C154" i="17"/>
  <c r="V202" i="17"/>
  <c r="V203" i="17"/>
  <c r="O203" i="17"/>
  <c r="K203" i="17"/>
  <c r="T203" i="17"/>
  <c r="P203" i="17"/>
  <c r="M203" i="17"/>
  <c r="P217" i="17"/>
  <c r="V217" i="17"/>
  <c r="U217" i="17"/>
  <c r="Y217" i="17"/>
  <c r="T217" i="17"/>
  <c r="C243" i="17"/>
  <c r="V277" i="17"/>
  <c r="U277" i="17"/>
  <c r="K277" i="17"/>
  <c r="M277" i="17"/>
  <c r="P277" i="17"/>
  <c r="C280" i="17"/>
  <c r="O377" i="17"/>
  <c r="B384" i="17"/>
  <c r="Y408" i="17"/>
  <c r="C408" i="17"/>
  <c r="U408" i="17"/>
  <c r="B408" i="17"/>
  <c r="M408" i="17"/>
  <c r="V408" i="17"/>
  <c r="P408" i="17"/>
  <c r="O408" i="17"/>
  <c r="Y422" i="17"/>
  <c r="C422" i="17"/>
  <c r="T422" i="17"/>
  <c r="O422" i="17"/>
  <c r="M422" i="17"/>
  <c r="V422" i="17"/>
  <c r="B422" i="17"/>
  <c r="K422" i="17"/>
  <c r="CE2" i="8"/>
  <c r="B229" i="17"/>
  <c r="Y229" i="17"/>
  <c r="C229" i="17"/>
  <c r="M229" i="17"/>
  <c r="V229" i="17"/>
  <c r="U229" i="17"/>
  <c r="O273" i="17"/>
  <c r="T273" i="17"/>
  <c r="V273" i="17"/>
  <c r="M273" i="17"/>
  <c r="O421" i="17"/>
  <c r="V421" i="17"/>
  <c r="M421" i="17"/>
  <c r="C421" i="17"/>
  <c r="U421" i="17"/>
  <c r="T421" i="17"/>
  <c r="B421" i="17"/>
  <c r="Y421" i="17"/>
  <c r="P33" i="17"/>
  <c r="K33" i="17"/>
  <c r="T33" i="17"/>
  <c r="O33" i="17"/>
  <c r="M33" i="17"/>
  <c r="K35" i="17"/>
  <c r="M35" i="17"/>
  <c r="Y36" i="17"/>
  <c r="V39" i="17"/>
  <c r="Y39" i="17"/>
  <c r="B39" i="17"/>
  <c r="C39" i="17"/>
  <c r="K39" i="17"/>
  <c r="P92" i="17"/>
  <c r="O92" i="17"/>
  <c r="M92" i="17"/>
  <c r="B97" i="17"/>
  <c r="M97" i="17"/>
  <c r="U98" i="17"/>
  <c r="Y98" i="17"/>
  <c r="B98" i="17"/>
  <c r="Y262" i="17"/>
  <c r="U273" i="17"/>
  <c r="T275" i="17"/>
  <c r="K288" i="17"/>
  <c r="O288" i="17"/>
  <c r="P288" i="17"/>
  <c r="V288" i="17"/>
  <c r="Y288" i="17"/>
  <c r="U288" i="17"/>
  <c r="T288" i="17"/>
  <c r="K290" i="17"/>
  <c r="Y290" i="17"/>
  <c r="B290" i="17"/>
  <c r="M290" i="17"/>
  <c r="V290" i="17"/>
  <c r="P290" i="17"/>
  <c r="T350" i="17"/>
  <c r="K350" i="17"/>
  <c r="O350" i="17"/>
  <c r="M350" i="17"/>
  <c r="V350" i="17"/>
  <c r="U350" i="17"/>
  <c r="P350" i="17"/>
  <c r="T355" i="17"/>
  <c r="U358" i="17"/>
  <c r="V358" i="17"/>
  <c r="T358" i="17"/>
  <c r="M358" i="17"/>
  <c r="Y358" i="17"/>
  <c r="C358" i="17"/>
  <c r="B358" i="17"/>
  <c r="T369" i="17"/>
  <c r="Y372" i="17"/>
  <c r="Y29" i="17"/>
  <c r="C29" i="17"/>
  <c r="P29" i="17"/>
  <c r="U29" i="17"/>
  <c r="T29" i="17"/>
  <c r="Y213" i="17"/>
  <c r="C213" i="17"/>
  <c r="O213" i="17"/>
  <c r="K213" i="17"/>
  <c r="T213" i="17"/>
  <c r="X476" i="6"/>
  <c r="Z476" i="6"/>
  <c r="O272" i="17"/>
  <c r="K272" i="17"/>
  <c r="V272" i="17"/>
  <c r="U272" i="17"/>
  <c r="T272" i="17"/>
  <c r="M272" i="17"/>
  <c r="P272" i="17"/>
  <c r="C272" i="17"/>
  <c r="T285" i="17"/>
  <c r="V285" i="17"/>
  <c r="U285" i="17"/>
  <c r="B285" i="17"/>
  <c r="Y285" i="17"/>
  <c r="K285" i="17"/>
  <c r="P285" i="17"/>
  <c r="O285" i="17"/>
  <c r="T361" i="17"/>
  <c r="M361" i="17"/>
  <c r="C361" i="17"/>
  <c r="V361" i="17"/>
  <c r="U361" i="17"/>
  <c r="K361" i="17"/>
  <c r="Y361" i="17"/>
  <c r="P361" i="17"/>
  <c r="O361" i="17"/>
  <c r="C370" i="17"/>
  <c r="C372" i="17"/>
  <c r="U381" i="17"/>
  <c r="T381" i="17"/>
  <c r="V381" i="17"/>
  <c r="B381" i="17"/>
  <c r="O381" i="17"/>
  <c r="M381" i="17"/>
  <c r="T394" i="17"/>
  <c r="V394" i="17"/>
  <c r="C394" i="17"/>
  <c r="U394" i="17"/>
  <c r="O121" i="17"/>
  <c r="K121" i="17"/>
  <c r="P121" i="17"/>
  <c r="B260" i="17"/>
  <c r="B316" i="17"/>
  <c r="O262" i="17"/>
  <c r="K262" i="17"/>
  <c r="U262" i="17"/>
  <c r="C262" i="17"/>
  <c r="M262" i="17"/>
  <c r="T262" i="17"/>
  <c r="C36" i="17"/>
  <c r="B647" i="6"/>
  <c r="B966" i="6"/>
  <c r="B165" i="17"/>
  <c r="T201" i="17"/>
  <c r="K201" i="17"/>
  <c r="M201" i="17"/>
  <c r="V201" i="17"/>
  <c r="P201" i="17"/>
  <c r="C201" i="17"/>
  <c r="B202" i="17"/>
  <c r="B273" i="17"/>
  <c r="AC28" i="6"/>
  <c r="B67" i="6"/>
  <c r="B527" i="6"/>
  <c r="B569" i="6"/>
  <c r="K97" i="17"/>
  <c r="K332" i="17"/>
  <c r="V332" i="17"/>
  <c r="C332" i="17"/>
  <c r="O332" i="17"/>
  <c r="M332" i="17"/>
  <c r="U332" i="17"/>
  <c r="C345" i="17"/>
  <c r="M368" i="17"/>
  <c r="T368" i="17"/>
  <c r="C368" i="17"/>
  <c r="P368" i="17"/>
  <c r="O368" i="17"/>
  <c r="U368" i="17"/>
  <c r="B394" i="17"/>
  <c r="B1343" i="6"/>
  <c r="B717" i="6"/>
  <c r="M21" i="17"/>
  <c r="C31" i="17"/>
  <c r="O55" i="17"/>
  <c r="P56" i="17"/>
  <c r="O58" i="17"/>
  <c r="M90" i="17"/>
  <c r="K98" i="17"/>
  <c r="U114" i="17"/>
  <c r="B120" i="17"/>
  <c r="K123" i="17"/>
  <c r="M123" i="17"/>
  <c r="B201" i="17"/>
  <c r="B211" i="17"/>
  <c r="M211" i="17"/>
  <c r="K211" i="17"/>
  <c r="V211" i="17"/>
  <c r="U211" i="17"/>
  <c r="P211" i="17"/>
  <c r="O211" i="17"/>
  <c r="O245" i="17"/>
  <c r="P245" i="17"/>
  <c r="M245" i="17"/>
  <c r="B245" i="17"/>
  <c r="V245" i="17"/>
  <c r="U245" i="17"/>
  <c r="T245" i="17"/>
  <c r="C369" i="17"/>
  <c r="K376" i="17"/>
  <c r="T376" i="17"/>
  <c r="O376" i="17"/>
  <c r="U376" i="17"/>
  <c r="C376" i="17"/>
  <c r="B406" i="17"/>
  <c r="M406" i="17"/>
  <c r="V406" i="17"/>
  <c r="C406" i="17"/>
  <c r="P406" i="17"/>
  <c r="O406" i="17"/>
  <c r="M434" i="17"/>
  <c r="K434" i="17"/>
  <c r="Y434" i="17"/>
  <c r="V434" i="17"/>
  <c r="P434" i="17"/>
  <c r="O448" i="17"/>
  <c r="M448" i="17"/>
  <c r="K448" i="17"/>
  <c r="P448" i="17"/>
  <c r="Y216" i="17"/>
  <c r="C216" i="17"/>
  <c r="B216" i="17"/>
  <c r="P216" i="17"/>
  <c r="V216" i="17"/>
  <c r="T216" i="17"/>
  <c r="B37" i="17"/>
  <c r="U164" i="17"/>
  <c r="P164" i="17"/>
  <c r="O164" i="17"/>
  <c r="T164" i="17"/>
  <c r="M164" i="17"/>
  <c r="Y164" i="17"/>
  <c r="V164" i="17"/>
  <c r="Y275" i="17"/>
  <c r="C275" i="17"/>
  <c r="O275" i="17"/>
  <c r="M275" i="17"/>
  <c r="K275" i="17"/>
  <c r="V275" i="17"/>
  <c r="B287" i="17"/>
  <c r="V287" i="17"/>
  <c r="O287" i="17"/>
  <c r="K287" i="17"/>
  <c r="T287" i="17"/>
  <c r="U407" i="17"/>
  <c r="K407" i="17"/>
  <c r="T407" i="17"/>
  <c r="C407" i="17"/>
  <c r="B407" i="17"/>
  <c r="V407" i="17"/>
  <c r="P407" i="17"/>
  <c r="O407" i="17"/>
  <c r="U27" i="17"/>
  <c r="Y27" i="17"/>
  <c r="B27" i="17"/>
  <c r="V27" i="17"/>
  <c r="C121" i="17"/>
  <c r="V197" i="17"/>
  <c r="U197" i="17"/>
  <c r="C197" i="17"/>
  <c r="O197" i="17"/>
  <c r="Y197" i="17"/>
  <c r="B197" i="17"/>
  <c r="K197" i="17"/>
  <c r="M200" i="17"/>
  <c r="K200" i="17"/>
  <c r="T200" i="17"/>
  <c r="C200" i="17"/>
  <c r="C248" i="17"/>
  <c r="B1162" i="6"/>
  <c r="B1173" i="6"/>
  <c r="U6" i="17"/>
  <c r="T10" i="17"/>
  <c r="K37" i="17"/>
  <c r="K38" i="17"/>
  <c r="P58" i="17"/>
  <c r="K92" i="17"/>
  <c r="V110" i="17"/>
  <c r="M110" i="17"/>
  <c r="U110" i="17"/>
  <c r="P110" i="17"/>
  <c r="O110" i="17"/>
  <c r="V114" i="17"/>
  <c r="V118" i="17"/>
  <c r="P118" i="17"/>
  <c r="T118" i="17"/>
  <c r="M118" i="17"/>
  <c r="C120" i="17"/>
  <c r="C164" i="17"/>
  <c r="P173" i="17"/>
  <c r="O173" i="17"/>
  <c r="C173" i="17"/>
  <c r="K173" i="17"/>
  <c r="Y173" i="17"/>
  <c r="V173" i="17"/>
  <c r="U173" i="17"/>
  <c r="T173" i="17"/>
  <c r="B194" i="17"/>
  <c r="V194" i="17"/>
  <c r="U194" i="17"/>
  <c r="M194" i="17"/>
  <c r="B200" i="17"/>
  <c r="K242" i="17"/>
  <c r="Y284" i="17"/>
  <c r="C284" i="17"/>
  <c r="V284" i="17"/>
  <c r="B284" i="17"/>
  <c r="K284" i="17"/>
  <c r="P284" i="17"/>
  <c r="O284" i="17"/>
  <c r="M284" i="17"/>
  <c r="B343" i="17"/>
  <c r="C377" i="17"/>
  <c r="C381" i="17"/>
  <c r="U446" i="17"/>
  <c r="P446" i="17"/>
  <c r="O446" i="17"/>
  <c r="M446" i="17"/>
  <c r="C446" i="17"/>
  <c r="K446" i="17"/>
  <c r="O447" i="17"/>
  <c r="P447" i="17"/>
  <c r="M447" i="17"/>
  <c r="K449" i="17"/>
  <c r="O449" i="17"/>
  <c r="T418" i="17"/>
  <c r="V418" i="17"/>
  <c r="M418" i="17"/>
  <c r="K418" i="17"/>
  <c r="Y418" i="17"/>
  <c r="C418" i="17"/>
  <c r="B418" i="17"/>
  <c r="U418" i="17"/>
  <c r="O425" i="17"/>
  <c r="M425" i="17"/>
  <c r="K425" i="17"/>
  <c r="U425" i="17"/>
  <c r="P425" i="17"/>
  <c r="T425" i="17"/>
  <c r="B447" i="17"/>
  <c r="B448" i="17"/>
  <c r="C449" i="17"/>
  <c r="V12" i="17"/>
  <c r="P35" i="17"/>
  <c r="M38" i="17"/>
  <c r="M41" i="17"/>
  <c r="T43" i="17"/>
  <c r="V44" i="17"/>
  <c r="T57" i="17"/>
  <c r="T66" i="17"/>
  <c r="U71" i="17"/>
  <c r="P71" i="17"/>
  <c r="Y71" i="17"/>
  <c r="B71" i="17"/>
  <c r="V71" i="17"/>
  <c r="T71" i="17"/>
  <c r="K72" i="17"/>
  <c r="O72" i="17"/>
  <c r="T72" i="17"/>
  <c r="P73" i="17"/>
  <c r="U73" i="17"/>
  <c r="O73" i="17"/>
  <c r="B75" i="17"/>
  <c r="V75" i="17"/>
  <c r="Y75" i="17"/>
  <c r="M75" i="17"/>
  <c r="K75" i="17"/>
  <c r="V78" i="17"/>
  <c r="U79" i="17"/>
  <c r="O93" i="17"/>
  <c r="P97" i="17"/>
  <c r="T107" i="17"/>
  <c r="Y109" i="17"/>
  <c r="C109" i="17"/>
  <c r="O109" i="17"/>
  <c r="T109" i="17"/>
  <c r="P115" i="17"/>
  <c r="V115" i="17"/>
  <c r="Y115" i="17"/>
  <c r="B115" i="17"/>
  <c r="K115" i="17"/>
  <c r="K116" i="17"/>
  <c r="T116" i="17"/>
  <c r="O116" i="17"/>
  <c r="B118" i="17"/>
  <c r="O135" i="17"/>
  <c r="P136" i="17"/>
  <c r="T139" i="17"/>
  <c r="P154" i="17"/>
  <c r="O170" i="17"/>
  <c r="Y192" i="17"/>
  <c r="C192" i="17"/>
  <c r="K192" i="17"/>
  <c r="B192" i="17"/>
  <c r="V192" i="17"/>
  <c r="C194" i="17"/>
  <c r="U209" i="17"/>
  <c r="K216" i="17"/>
  <c r="P263" i="17"/>
  <c r="V280" i="17"/>
  <c r="M282" i="17"/>
  <c r="O282" i="17"/>
  <c r="V282" i="17"/>
  <c r="P282" i="17"/>
  <c r="P302" i="17"/>
  <c r="T320" i="17"/>
  <c r="B332" i="17"/>
  <c r="C338" i="17"/>
  <c r="O353" i="17"/>
  <c r="K353" i="17"/>
  <c r="U353" i="17"/>
  <c r="P353" i="17"/>
  <c r="B353" i="17"/>
  <c r="Y353" i="17"/>
  <c r="V353" i="17"/>
  <c r="K358" i="17"/>
  <c r="O360" i="17"/>
  <c r="P360" i="17"/>
  <c r="V360" i="17"/>
  <c r="U360" i="17"/>
  <c r="T360" i="17"/>
  <c r="Y360" i="17"/>
  <c r="M360" i="17"/>
  <c r="B368" i="17"/>
  <c r="B376" i="17"/>
  <c r="T405" i="17"/>
  <c r="O405" i="17"/>
  <c r="M405" i="17"/>
  <c r="Y405" i="17"/>
  <c r="C405" i="17"/>
  <c r="B405" i="17"/>
  <c r="K405" i="17"/>
  <c r="U432" i="17"/>
  <c r="K432" i="17"/>
  <c r="O432" i="17"/>
  <c r="M432" i="17"/>
  <c r="V432" i="17"/>
  <c r="Y432" i="17"/>
  <c r="C432" i="17"/>
  <c r="B432" i="17"/>
  <c r="P432" i="17"/>
  <c r="B434" i="17"/>
  <c r="C447" i="17"/>
  <c r="C448" i="17"/>
  <c r="Y214" i="17"/>
  <c r="C214" i="17"/>
  <c r="P214" i="17"/>
  <c r="O214" i="17"/>
  <c r="U214" i="17"/>
  <c r="T214" i="17"/>
  <c r="B581" i="6"/>
  <c r="B625" i="6"/>
  <c r="B259" i="17"/>
  <c r="K259" i="17"/>
  <c r="P259" i="17"/>
  <c r="V259" i="17"/>
  <c r="M259" i="17"/>
  <c r="U259" i="17"/>
  <c r="O259" i="17"/>
  <c r="B372" i="17"/>
  <c r="B1365" i="6"/>
  <c r="U212" i="17"/>
  <c r="V212" i="17"/>
  <c r="O212" i="17"/>
  <c r="K212" i="17"/>
  <c r="P212" i="17"/>
  <c r="U228" i="17"/>
  <c r="T228" i="17"/>
  <c r="C228" i="17"/>
  <c r="Y228" i="17"/>
  <c r="B228" i="17"/>
  <c r="K228" i="17"/>
  <c r="P228" i="17"/>
  <c r="V228" i="17"/>
  <c r="C260" i="17"/>
  <c r="V10" i="17"/>
  <c r="U11" i="17"/>
  <c r="M17" i="17"/>
  <c r="O35" i="17"/>
  <c r="M36" i="17"/>
  <c r="M39" i="17"/>
  <c r="M53" i="17"/>
  <c r="P54" i="17"/>
  <c r="T70" i="17"/>
  <c r="V77" i="17"/>
  <c r="O90" i="17"/>
  <c r="O97" i="17"/>
  <c r="M98" i="17"/>
  <c r="Y117" i="17"/>
  <c r="C117" i="17"/>
  <c r="U117" i="17"/>
  <c r="K117" i="17"/>
  <c r="C119" i="17"/>
  <c r="U162" i="17"/>
  <c r="T162" i="17"/>
  <c r="Y162" i="17"/>
  <c r="V162" i="17"/>
  <c r="P162" i="17"/>
  <c r="O162" i="17"/>
  <c r="K162" i="17"/>
  <c r="M162" i="17"/>
  <c r="V172" i="17"/>
  <c r="V193" i="17"/>
  <c r="Y193" i="17"/>
  <c r="B193" i="17"/>
  <c r="U193" i="17"/>
  <c r="C212" i="17"/>
  <c r="T219" i="17"/>
  <c r="T223" i="17"/>
  <c r="O223" i="17"/>
  <c r="P223" i="17"/>
  <c r="Y223" i="17"/>
  <c r="V223" i="17"/>
  <c r="U223" i="17"/>
  <c r="B272" i="17"/>
  <c r="C285" i="17"/>
  <c r="M324" i="17"/>
  <c r="V324" i="17"/>
  <c r="P324" i="17"/>
  <c r="U324" i="17"/>
  <c r="C324" i="17"/>
  <c r="B324" i="17"/>
  <c r="Y324" i="17"/>
  <c r="B338" i="17"/>
  <c r="C343" i="17"/>
  <c r="P367" i="17"/>
  <c r="V367" i="17"/>
  <c r="O367" i="17"/>
  <c r="M367" i="17"/>
  <c r="K367" i="17"/>
  <c r="U367" i="17"/>
  <c r="C367" i="17"/>
  <c r="B367" i="17"/>
  <c r="V385" i="17"/>
  <c r="R2" i="5"/>
  <c r="H3" i="7"/>
  <c r="AC482" i="6"/>
  <c r="Y6" i="17"/>
  <c r="M7" i="17"/>
  <c r="U7" i="17"/>
  <c r="P7" i="17"/>
  <c r="O7" i="17"/>
  <c r="P8" i="17"/>
  <c r="O8" i="17"/>
  <c r="M8" i="17"/>
  <c r="O17" i="17"/>
  <c r="P36" i="17"/>
  <c r="O37" i="17"/>
  <c r="O39" i="17"/>
  <c r="U43" i="17"/>
  <c r="T55" i="17"/>
  <c r="T56" i="17"/>
  <c r="U57" i="17"/>
  <c r="T59" i="17"/>
  <c r="T60" i="17"/>
  <c r="V66" i="17"/>
  <c r="B72" i="17"/>
  <c r="B73" i="17"/>
  <c r="V79" i="17"/>
  <c r="T83" i="17"/>
  <c r="P85" i="17"/>
  <c r="T85" i="17"/>
  <c r="M85" i="17"/>
  <c r="K85" i="17"/>
  <c r="Y85" i="17"/>
  <c r="C85" i="17"/>
  <c r="B85" i="17"/>
  <c r="O98" i="17"/>
  <c r="M108" i="17"/>
  <c r="Y108" i="17"/>
  <c r="B108" i="17"/>
  <c r="V108" i="17"/>
  <c r="U108" i="17"/>
  <c r="T108" i="17"/>
  <c r="B110" i="17"/>
  <c r="Y114" i="17"/>
  <c r="B116" i="17"/>
  <c r="B117" i="17"/>
  <c r="C118" i="17"/>
  <c r="U139" i="17"/>
  <c r="T157" i="17"/>
  <c r="K157" i="17"/>
  <c r="M157" i="17"/>
  <c r="C157" i="17"/>
  <c r="B157" i="17"/>
  <c r="V157" i="17"/>
  <c r="U157" i="17"/>
  <c r="K165" i="17"/>
  <c r="C193" i="17"/>
  <c r="V209" i="17"/>
  <c r="O210" i="17"/>
  <c r="M210" i="17"/>
  <c r="V210" i="17"/>
  <c r="P210" i="17"/>
  <c r="T210" i="17"/>
  <c r="K210" i="17"/>
  <c r="M217" i="17"/>
  <c r="K244" i="17"/>
  <c r="P244" i="17"/>
  <c r="C244" i="17"/>
  <c r="V244" i="17"/>
  <c r="O244" i="17"/>
  <c r="Y244" i="17"/>
  <c r="U244" i="17"/>
  <c r="T244" i="17"/>
  <c r="O277" i="17"/>
  <c r="V281" i="17"/>
  <c r="O281" i="17"/>
  <c r="P281" i="17"/>
  <c r="M281" i="17"/>
  <c r="K281" i="17"/>
  <c r="B314" i="17"/>
  <c r="M328" i="17"/>
  <c r="V328" i="17"/>
  <c r="U328" i="17"/>
  <c r="T328" i="17"/>
  <c r="B328" i="17"/>
  <c r="P328" i="17"/>
  <c r="C328" i="17"/>
  <c r="P330" i="17"/>
  <c r="O330" i="17"/>
  <c r="C330" i="17"/>
  <c r="Y330" i="17"/>
  <c r="V330" i="17"/>
  <c r="B361" i="17"/>
  <c r="U366" i="17"/>
  <c r="V402" i="17"/>
  <c r="T423" i="17"/>
  <c r="Y424" i="17"/>
  <c r="C434" i="17"/>
  <c r="B445" i="17"/>
  <c r="T445" i="17"/>
  <c r="P445" i="17"/>
  <c r="O445" i="17"/>
  <c r="M445" i="17"/>
  <c r="C445" i="17"/>
  <c r="K445" i="17"/>
  <c r="P63" i="17"/>
  <c r="Y63" i="17"/>
  <c r="B63" i="17"/>
  <c r="M64" i="17"/>
  <c r="P64" i="17"/>
  <c r="C64" i="17"/>
  <c r="Y82" i="17"/>
  <c r="C82" i="17"/>
  <c r="M82" i="17"/>
  <c r="V84" i="17"/>
  <c r="O84" i="17"/>
  <c r="M86" i="17"/>
  <c r="K86" i="17"/>
  <c r="T146" i="17"/>
  <c r="B146" i="17"/>
  <c r="Y148" i="17"/>
  <c r="C148" i="17"/>
  <c r="P148" i="17"/>
  <c r="T148" i="17"/>
  <c r="P151" i="17"/>
  <c r="K151" i="17"/>
  <c r="T151" i="17"/>
  <c r="O151" i="17"/>
  <c r="P190" i="17"/>
  <c r="O190" i="17"/>
  <c r="C190" i="17"/>
  <c r="V190" i="17"/>
  <c r="V235" i="17"/>
  <c r="M235" i="17"/>
  <c r="Y235" i="17"/>
  <c r="O235" i="17"/>
  <c r="K236" i="17"/>
  <c r="U236" i="17"/>
  <c r="O236" i="17"/>
  <c r="P237" i="17"/>
  <c r="U237" i="17"/>
  <c r="M237" i="17"/>
  <c r="V299" i="17"/>
  <c r="Y299" i="17"/>
  <c r="B299" i="17"/>
  <c r="U299" i="17"/>
  <c r="O299" i="17"/>
  <c r="K299" i="17"/>
  <c r="B357" i="17"/>
  <c r="T357" i="17"/>
  <c r="Y357" i="17"/>
  <c r="M357" i="17"/>
  <c r="O357" i="17"/>
  <c r="Y399" i="17"/>
  <c r="C399" i="17"/>
  <c r="M399" i="17"/>
  <c r="V399" i="17"/>
  <c r="U399" i="17"/>
  <c r="T399" i="17"/>
  <c r="V444" i="17"/>
  <c r="P444" i="17"/>
  <c r="O444" i="17"/>
  <c r="B444" i="17"/>
  <c r="B679" i="6"/>
  <c r="B705" i="6"/>
  <c r="U4" i="17"/>
  <c r="U18" i="17"/>
  <c r="U28" i="17"/>
  <c r="C63" i="17"/>
  <c r="B64" i="17"/>
  <c r="B82" i="17"/>
  <c r="C84" i="17"/>
  <c r="C86" i="17"/>
  <c r="T102" i="17"/>
  <c r="V102" i="17"/>
  <c r="Y102" i="17"/>
  <c r="B102" i="17"/>
  <c r="Y104" i="17"/>
  <c r="C104" i="17"/>
  <c r="P104" i="17"/>
  <c r="V104" i="17"/>
  <c r="Y126" i="17"/>
  <c r="C126" i="17"/>
  <c r="O126" i="17"/>
  <c r="U126" i="17"/>
  <c r="V149" i="17"/>
  <c r="P149" i="17"/>
  <c r="M150" i="17"/>
  <c r="U150" i="17"/>
  <c r="P150" i="17"/>
  <c r="T159" i="17"/>
  <c r="T163" i="17"/>
  <c r="U167" i="17"/>
  <c r="T169" i="17"/>
  <c r="U174" i="17"/>
  <c r="T175" i="17"/>
  <c r="T176" i="17"/>
  <c r="K182" i="17"/>
  <c r="O182" i="17"/>
  <c r="M182" i="17"/>
  <c r="U182" i="17"/>
  <c r="B182" i="17"/>
  <c r="Y182" i="17"/>
  <c r="C182" i="17"/>
  <c r="K183" i="17"/>
  <c r="Y183" i="17"/>
  <c r="B183" i="17"/>
  <c r="P184" i="17"/>
  <c r="V184" i="17"/>
  <c r="C184" i="17"/>
  <c r="O189" i="17"/>
  <c r="T189" i="17"/>
  <c r="B220" i="17"/>
  <c r="P220" i="17"/>
  <c r="O220" i="17"/>
  <c r="M220" i="17"/>
  <c r="K220" i="17"/>
  <c r="U220" i="17"/>
  <c r="U222" i="17"/>
  <c r="V231" i="17"/>
  <c r="U231" i="17"/>
  <c r="P231" i="17"/>
  <c r="O231" i="17"/>
  <c r="Y231" i="17"/>
  <c r="B236" i="17"/>
  <c r="B237" i="17"/>
  <c r="P265" i="17"/>
  <c r="V265" i="17"/>
  <c r="O265" i="17"/>
  <c r="M265" i="17"/>
  <c r="T293" i="17"/>
  <c r="T297" i="17"/>
  <c r="V365" i="17"/>
  <c r="K365" i="17"/>
  <c r="U365" i="17"/>
  <c r="O365" i="17"/>
  <c r="M365" i="17"/>
  <c r="M388" i="17"/>
  <c r="K388" i="17"/>
  <c r="C388" i="17"/>
  <c r="T388" i="17"/>
  <c r="Y388" i="17"/>
  <c r="Y443" i="17"/>
  <c r="C443" i="17"/>
  <c r="U443" i="17"/>
  <c r="P443" i="17"/>
  <c r="AC483" i="6"/>
  <c r="T15" i="17"/>
  <c r="K15" i="17"/>
  <c r="Y15" i="17"/>
  <c r="V18" i="17"/>
  <c r="V28" i="17"/>
  <c r="P103" i="17"/>
  <c r="T103" i="17"/>
  <c r="V105" i="17"/>
  <c r="T105" i="17"/>
  <c r="V127" i="17"/>
  <c r="M127" i="17"/>
  <c r="T128" i="17"/>
  <c r="K128" i="17"/>
  <c r="C128" i="17"/>
  <c r="B148" i="17"/>
  <c r="B151" i="17"/>
  <c r="U159" i="17"/>
  <c r="V167" i="17"/>
  <c r="B187" i="17"/>
  <c r="V187" i="17"/>
  <c r="P187" i="17"/>
  <c r="T187" i="17"/>
  <c r="Y187" i="17"/>
  <c r="B190" i="17"/>
  <c r="V222" i="17"/>
  <c r="P233" i="17"/>
  <c r="K233" i="17"/>
  <c r="Y233" i="17"/>
  <c r="B235" i="17"/>
  <c r="C236" i="17"/>
  <c r="C237" i="17"/>
  <c r="V264" i="17"/>
  <c r="P264" i="17"/>
  <c r="Y264" i="17"/>
  <c r="B264" i="17"/>
  <c r="O264" i="17"/>
  <c r="M264" i="17"/>
  <c r="P301" i="17"/>
  <c r="T301" i="17"/>
  <c r="U301" i="17"/>
  <c r="O301" i="17"/>
  <c r="P317" i="17"/>
  <c r="K317" i="17"/>
  <c r="O317" i="17"/>
  <c r="V317" i="17"/>
  <c r="B317" i="17"/>
  <c r="Y317" i="17"/>
  <c r="K354" i="17"/>
  <c r="O354" i="17"/>
  <c r="M354" i="17"/>
  <c r="C354" i="17"/>
  <c r="V354" i="17"/>
  <c r="Y374" i="17"/>
  <c r="C374" i="17"/>
  <c r="M374" i="17"/>
  <c r="K374" i="17"/>
  <c r="T374" i="17"/>
  <c r="O374" i="17"/>
  <c r="U374" i="17"/>
  <c r="C444" i="17"/>
  <c r="Y16" i="17"/>
  <c r="C16" i="17"/>
  <c r="T47" i="17"/>
  <c r="K47" i="17"/>
  <c r="M130" i="17"/>
  <c r="P130" i="17"/>
  <c r="Y130" i="17"/>
  <c r="C151" i="17"/>
  <c r="O153" i="17"/>
  <c r="K153" i="17"/>
  <c r="C235" i="17"/>
  <c r="K246" i="17"/>
  <c r="M246" i="17"/>
  <c r="O246" i="17"/>
  <c r="B246" i="17"/>
  <c r="V246" i="17"/>
  <c r="O294" i="17"/>
  <c r="V294" i="17"/>
  <c r="M294" i="17"/>
  <c r="K294" i="17"/>
  <c r="T294" i="17"/>
  <c r="P294" i="17"/>
  <c r="Y298" i="17"/>
  <c r="C298" i="17"/>
  <c r="K298" i="17"/>
  <c r="B298" i="17"/>
  <c r="V298" i="17"/>
  <c r="O298" i="17"/>
  <c r="C357" i="17"/>
  <c r="V387" i="17"/>
  <c r="O387" i="17"/>
  <c r="M387" i="17"/>
  <c r="C387" i="17"/>
  <c r="K387" i="17"/>
  <c r="Y387" i="17"/>
  <c r="P411" i="17"/>
  <c r="T411" i="17"/>
  <c r="K411" i="17"/>
  <c r="U411" i="17"/>
  <c r="V411" i="17"/>
  <c r="B411" i="17"/>
  <c r="M412" i="17"/>
  <c r="V412" i="17"/>
  <c r="T412" i="17"/>
  <c r="O413" i="17"/>
  <c r="T413" i="17"/>
  <c r="V413" i="17"/>
  <c r="K420" i="17"/>
  <c r="P420" i="17"/>
  <c r="U420" i="17"/>
  <c r="T420" i="17"/>
  <c r="C420" i="17"/>
  <c r="B420" i="17"/>
  <c r="O426" i="17"/>
  <c r="Y426" i="17"/>
  <c r="B426" i="17"/>
  <c r="C426" i="17"/>
  <c r="M426" i="17"/>
  <c r="P426" i="17"/>
  <c r="V426" i="17"/>
  <c r="K426" i="17"/>
  <c r="K440" i="17"/>
  <c r="U440" i="17"/>
  <c r="T440" i="17"/>
  <c r="M440" i="17"/>
  <c r="Y440" i="17"/>
  <c r="C440" i="17"/>
  <c r="B440" i="17"/>
  <c r="B1156" i="6"/>
  <c r="B1167" i="6"/>
  <c r="B163" i="17"/>
  <c r="M163" i="17"/>
  <c r="U163" i="17"/>
  <c r="P163" i="17"/>
  <c r="Y169" i="17"/>
  <c r="C169" i="17"/>
  <c r="B169" i="17"/>
  <c r="M169" i="17"/>
  <c r="K169" i="17"/>
  <c r="O169" i="17"/>
  <c r="M174" i="17"/>
  <c r="O174" i="17"/>
  <c r="P174" i="17"/>
  <c r="B174" i="17"/>
  <c r="K175" i="17"/>
  <c r="Y175" i="17"/>
  <c r="B175" i="17"/>
  <c r="Y176" i="17"/>
  <c r="C176" i="17"/>
  <c r="K176" i="17"/>
  <c r="B293" i="17"/>
  <c r="P293" i="17"/>
  <c r="V293" i="17"/>
  <c r="K293" i="17"/>
  <c r="M297" i="17"/>
  <c r="V297" i="17"/>
  <c r="T351" i="17"/>
  <c r="V351" i="17"/>
  <c r="M351" i="17"/>
  <c r="K351" i="17"/>
  <c r="P351" i="17"/>
  <c r="T373" i="17"/>
  <c r="O373" i="17"/>
  <c r="M373" i="17"/>
  <c r="U373" i="17"/>
  <c r="K373" i="17"/>
  <c r="P373" i="17"/>
  <c r="V410" i="17"/>
  <c r="Y410" i="17"/>
  <c r="B410" i="17"/>
  <c r="U410" i="17"/>
  <c r="P438" i="17"/>
  <c r="V438" i="17"/>
  <c r="U438" i="17"/>
  <c r="M438" i="17"/>
  <c r="Y438" i="17"/>
  <c r="C438" i="17"/>
  <c r="B438" i="17"/>
  <c r="U15" i="17"/>
  <c r="T16" i="17"/>
  <c r="V26" i="17"/>
  <c r="B40" i="17"/>
  <c r="V40" i="17"/>
  <c r="V46" i="17"/>
  <c r="U47" i="17"/>
  <c r="V87" i="17"/>
  <c r="U101" i="17"/>
  <c r="U102" i="17"/>
  <c r="V103" i="17"/>
  <c r="U104" i="17"/>
  <c r="U105" i="17"/>
  <c r="V126" i="17"/>
  <c r="U127" i="17"/>
  <c r="V128" i="17"/>
  <c r="T130" i="17"/>
  <c r="B141" i="17"/>
  <c r="K141" i="17"/>
  <c r="M141" i="17"/>
  <c r="U153" i="17"/>
  <c r="V182" i="17"/>
  <c r="V183" i="17"/>
  <c r="M191" i="17"/>
  <c r="K191" i="17"/>
  <c r="C191" i="17"/>
  <c r="B191" i="17"/>
  <c r="V191" i="17"/>
  <c r="T231" i="17"/>
  <c r="U233" i="17"/>
  <c r="T246" i="17"/>
  <c r="T264" i="17"/>
  <c r="V271" i="17"/>
  <c r="U271" i="17"/>
  <c r="M271" i="17"/>
  <c r="K271" i="17"/>
  <c r="P271" i="17"/>
  <c r="O271" i="17"/>
  <c r="V301" i="17"/>
  <c r="V303" i="17"/>
  <c r="U303" i="17"/>
  <c r="P303" i="17"/>
  <c r="K303" i="17"/>
  <c r="P304" i="17"/>
  <c r="O304" i="17"/>
  <c r="K304" i="17"/>
  <c r="T317" i="17"/>
  <c r="O351" i="17"/>
  <c r="U354" i="17"/>
  <c r="V375" i="17"/>
  <c r="K375" i="17"/>
  <c r="M375" i="17"/>
  <c r="P375" i="17"/>
  <c r="Y375" i="17"/>
  <c r="U375" i="17"/>
  <c r="T375" i="17"/>
  <c r="U380" i="17"/>
  <c r="T380" i="17"/>
  <c r="Y380" i="17"/>
  <c r="B380" i="17"/>
  <c r="M380" i="17"/>
  <c r="V388" i="17"/>
  <c r="O410" i="17"/>
  <c r="V443" i="17"/>
  <c r="U147" i="17"/>
  <c r="B158" i="17"/>
  <c r="Y158" i="17"/>
  <c r="Y178" i="17"/>
  <c r="C178" i="17"/>
  <c r="B178" i="17"/>
  <c r="U178" i="17"/>
  <c r="T179" i="17"/>
  <c r="V179" i="17"/>
  <c r="U179" i="17"/>
  <c r="P181" i="17"/>
  <c r="O181" i="17"/>
  <c r="U181" i="17"/>
  <c r="C181" i="17"/>
  <c r="B185" i="17"/>
  <c r="T185" i="17"/>
  <c r="K362" i="17"/>
  <c r="Y362" i="17"/>
  <c r="B362" i="17"/>
  <c r="U362" i="17"/>
  <c r="T362" i="17"/>
  <c r="V362" i="17"/>
  <c r="O363" i="17"/>
  <c r="T363" i="17"/>
  <c r="V363" i="17"/>
  <c r="T386" i="17"/>
  <c r="O404" i="17"/>
  <c r="P404" i="17"/>
  <c r="Y404" i="17"/>
  <c r="P429" i="17"/>
  <c r="T429" i="17"/>
  <c r="K429" i="17"/>
  <c r="O429" i="17"/>
  <c r="Y429" i="17"/>
  <c r="V431" i="17"/>
  <c r="P431" i="17"/>
  <c r="O431" i="17"/>
  <c r="M431" i="17"/>
  <c r="T180" i="17"/>
  <c r="V180" i="17"/>
  <c r="O188" i="17"/>
  <c r="V188" i="17"/>
  <c r="U188" i="17"/>
  <c r="T188" i="17"/>
  <c r="M318" i="17"/>
  <c r="P318" i="17"/>
  <c r="O318" i="17"/>
  <c r="K318" i="17"/>
  <c r="V318" i="17"/>
  <c r="V391" i="17"/>
  <c r="Y391" i="17"/>
  <c r="B391" i="17"/>
  <c r="C391" i="17"/>
  <c r="K391" i="17"/>
  <c r="B400" i="17"/>
  <c r="V400" i="17"/>
  <c r="U400" i="17"/>
  <c r="C400" i="17"/>
  <c r="Y400" i="17"/>
  <c r="V428" i="17"/>
  <c r="P428" i="17"/>
  <c r="M428" i="17"/>
  <c r="K428" i="17"/>
  <c r="O428" i="17"/>
  <c r="Y428" i="17"/>
  <c r="T198" i="17"/>
  <c r="P198" i="17"/>
  <c r="Y198" i="17"/>
  <c r="B198" i="17"/>
  <c r="U315" i="17"/>
  <c r="P315" i="17"/>
  <c r="O315" i="17"/>
  <c r="M315" i="17"/>
  <c r="C318" i="17"/>
  <c r="B333" i="17"/>
  <c r="M333" i="17"/>
  <c r="M346" i="17"/>
  <c r="U346" i="17"/>
  <c r="T346" i="17"/>
  <c r="V346" i="17"/>
  <c r="T347" i="17"/>
  <c r="P347" i="17"/>
  <c r="U347" i="17"/>
  <c r="Y386" i="17"/>
  <c r="C386" i="17"/>
  <c r="P386" i="17"/>
  <c r="O386" i="17"/>
  <c r="B386" i="17"/>
  <c r="K386" i="17"/>
  <c r="V427" i="17"/>
  <c r="Y427" i="17"/>
  <c r="B427" i="17"/>
  <c r="M427" i="17"/>
  <c r="P427" i="17"/>
  <c r="Y99" i="17"/>
  <c r="C99" i="17"/>
  <c r="O100" i="17"/>
  <c r="Y100" i="17"/>
  <c r="B100" i="17"/>
  <c r="P112" i="17"/>
  <c r="V112" i="17"/>
  <c r="T113" i="17"/>
  <c r="M113" i="17"/>
  <c r="U113" i="17"/>
  <c r="P129" i="17"/>
  <c r="O129" i="17"/>
  <c r="Y143" i="17"/>
  <c r="C143" i="17"/>
  <c r="V158" i="17"/>
  <c r="V178" i="17"/>
  <c r="U180" i="17"/>
  <c r="O198" i="17"/>
  <c r="M306" i="17"/>
  <c r="K306" i="17"/>
  <c r="T307" i="17"/>
  <c r="K307" i="17"/>
  <c r="C307" i="17"/>
  <c r="U318" i="17"/>
  <c r="O346" i="17"/>
  <c r="O347" i="17"/>
  <c r="Y364" i="17"/>
  <c r="C364" i="17"/>
  <c r="M364" i="17"/>
  <c r="V364" i="17"/>
  <c r="O364" i="17"/>
  <c r="U364" i="17"/>
  <c r="V404" i="17"/>
  <c r="V409" i="17"/>
  <c r="Y409" i="17"/>
  <c r="B409" i="17"/>
  <c r="C409" i="17"/>
  <c r="U409" i="17"/>
  <c r="O427" i="17"/>
  <c r="V429" i="17"/>
  <c r="P433" i="17"/>
  <c r="M433" i="17"/>
  <c r="K433" i="17"/>
  <c r="T433" i="17"/>
  <c r="Y441" i="17"/>
  <c r="C441" i="17"/>
  <c r="V441" i="17"/>
  <c r="M441" i="17"/>
  <c r="K442" i="17"/>
  <c r="U442" i="17"/>
  <c r="M442" i="17"/>
  <c r="O166" i="17"/>
  <c r="K166" i="17"/>
  <c r="U312" i="17"/>
  <c r="V312" i="17"/>
  <c r="B207" i="17"/>
  <c r="V207" i="17"/>
  <c r="U207" i="17"/>
  <c r="T207" i="17"/>
  <c r="Y226" i="17"/>
  <c r="C226" i="17"/>
  <c r="B226" i="17"/>
  <c r="B227" i="17"/>
  <c r="V227" i="17"/>
  <c r="U227" i="17"/>
  <c r="B331" i="17"/>
  <c r="U331" i="17"/>
  <c r="O331" i="17"/>
  <c r="M331" i="17"/>
  <c r="U336" i="17"/>
  <c r="K336" i="17"/>
  <c r="Y336" i="17"/>
  <c r="M390" i="17"/>
  <c r="Y390" i="17"/>
  <c r="B390" i="17"/>
  <c r="C390" i="17"/>
  <c r="B401" i="17"/>
  <c r="V401" i="17"/>
  <c r="U401" i="17"/>
  <c r="T401" i="17"/>
  <c r="T69" i="17"/>
  <c r="O69" i="17"/>
  <c r="T166" i="17"/>
  <c r="C207" i="17"/>
  <c r="O230" i="17"/>
  <c r="Y230" i="17"/>
  <c r="B230" i="17"/>
  <c r="P230" i="17"/>
  <c r="O232" i="17"/>
  <c r="M232" i="17"/>
  <c r="Y234" i="17"/>
  <c r="C234" i="17"/>
  <c r="O234" i="17"/>
  <c r="K234" i="17"/>
  <c r="V256" i="17"/>
  <c r="U256" i="17"/>
  <c r="P257" i="17"/>
  <c r="U257" i="17"/>
  <c r="T257" i="17"/>
  <c r="T286" i="17"/>
  <c r="U286" i="17"/>
  <c r="C331" i="17"/>
  <c r="C336" i="17"/>
  <c r="T395" i="17"/>
  <c r="O395" i="17"/>
  <c r="K395" i="17"/>
  <c r="C395" i="17"/>
  <c r="B395" i="17"/>
  <c r="K398" i="17"/>
  <c r="O398" i="17"/>
  <c r="Y398" i="17"/>
  <c r="C401" i="17"/>
  <c r="Y403" i="17"/>
  <c r="C403" i="17"/>
  <c r="T414" i="17"/>
  <c r="O225" i="17"/>
  <c r="K225" i="17"/>
  <c r="U251" i="17"/>
  <c r="P251" i="17"/>
  <c r="Y251" i="17"/>
  <c r="B340" i="17"/>
  <c r="Y378" i="17"/>
  <c r="C378" i="17"/>
  <c r="M396" i="17"/>
  <c r="P396" i="17"/>
  <c r="K416" i="17"/>
  <c r="Y416" i="17"/>
  <c r="B416" i="17"/>
  <c r="V436" i="17"/>
  <c r="M436" i="17"/>
  <c r="C225" i="17"/>
  <c r="Y239" i="17"/>
  <c r="C239" i="17"/>
  <c r="B251" i="17"/>
  <c r="B252" i="17"/>
  <c r="Y252" i="17"/>
  <c r="Y254" i="17"/>
  <c r="C254" i="17"/>
  <c r="M254" i="17"/>
  <c r="T254" i="17"/>
  <c r="U268" i="17"/>
  <c r="Y268" i="17"/>
  <c r="B268" i="17"/>
  <c r="M268" i="17"/>
  <c r="B296" i="17"/>
  <c r="Y296" i="17"/>
  <c r="P326" i="17"/>
  <c r="K326" i="17"/>
  <c r="C340" i="17"/>
  <c r="C396" i="17"/>
  <c r="B397" i="17"/>
  <c r="Y397" i="17"/>
  <c r="C416" i="17"/>
  <c r="C436" i="17"/>
  <c r="M196" i="17"/>
  <c r="T196" i="17"/>
  <c r="O253" i="17"/>
  <c r="K253" i="17"/>
  <c r="U253" i="17"/>
  <c r="V255" i="17"/>
  <c r="K255" i="17"/>
  <c r="B267" i="17"/>
  <c r="O267" i="17"/>
  <c r="B269" i="17"/>
  <c r="M269" i="17"/>
  <c r="U270" i="17"/>
  <c r="P270" i="17"/>
  <c r="V270" i="17"/>
  <c r="T341" i="17"/>
  <c r="U341" i="17"/>
  <c r="K341" i="17"/>
  <c r="Y342" i="17"/>
  <c r="C342" i="17"/>
  <c r="K342" i="17"/>
  <c r="Y452" i="17"/>
  <c r="C452" i="17"/>
  <c r="E16" i="8"/>
  <c r="G16" i="8"/>
  <c r="I16" i="8"/>
  <c r="J16" i="8"/>
  <c r="K16" i="8"/>
  <c r="K310" i="17"/>
  <c r="Y310" i="17"/>
  <c r="B310" i="17"/>
  <c r="P334" i="17"/>
  <c r="V334" i="17"/>
  <c r="B335" i="17"/>
  <c r="M335" i="17"/>
  <c r="U335" i="17"/>
  <c r="B392" i="17"/>
  <c r="T392" i="17"/>
  <c r="B801" i="6"/>
  <c r="B827" i="6"/>
  <c r="T439" i="17"/>
  <c r="M439" i="17"/>
  <c r="ED3" i="8"/>
  <c r="ED2" i="8"/>
  <c r="EC2" i="8"/>
  <c r="G13" i="8"/>
  <c r="G1" i="8"/>
  <c r="AC543" i="6"/>
  <c r="I13" i="8"/>
  <c r="J13" i="8"/>
  <c r="K13" i="8"/>
  <c r="E13" i="8"/>
  <c r="E1" i="8"/>
  <c r="AC3" i="6"/>
  <c r="FF2" i="8"/>
  <c r="FG3" i="8"/>
  <c r="FG2" i="8"/>
  <c r="Y430" i="17"/>
  <c r="C430" i="17"/>
  <c r="G9" i="8"/>
  <c r="I9" i="8"/>
  <c r="J9" i="8"/>
  <c r="K9" i="8"/>
  <c r="K1" i="8"/>
  <c r="AC550" i="6"/>
  <c r="G11" i="8"/>
  <c r="I11" i="8"/>
  <c r="J11" i="8"/>
  <c r="K11" i="8"/>
  <c r="B839" i="6"/>
  <c r="G12" i="8"/>
  <c r="I12" i="8"/>
  <c r="J12" i="8"/>
  <c r="K12" i="8"/>
  <c r="B745" i="6"/>
  <c r="AC493" i="6"/>
  <c r="M1" i="8"/>
  <c r="AC4" i="6"/>
  <c r="G19" i="8"/>
  <c r="I19" i="8"/>
  <c r="J19" i="8"/>
  <c r="K19" i="8"/>
  <c r="AC497" i="6"/>
  <c r="E18" i="8"/>
  <c r="G18" i="8"/>
  <c r="I18" i="8"/>
  <c r="J18" i="8"/>
  <c r="K18" i="8"/>
  <c r="B797" i="6"/>
  <c r="AC496" i="6"/>
  <c r="AA996" i="6"/>
  <c r="AA978" i="6"/>
  <c r="AA989" i="6"/>
  <c r="AA992" i="6"/>
  <c r="AA995" i="6"/>
  <c r="AA988" i="6"/>
  <c r="AA980" i="6"/>
  <c r="AA994" i="6"/>
  <c r="AA991" i="6"/>
  <c r="AA983" i="6"/>
  <c r="AA984" i="6"/>
  <c r="AA976" i="6"/>
  <c r="AA987" i="6"/>
  <c r="AA975" i="6"/>
  <c r="AA977" i="6"/>
  <c r="AA979" i="6"/>
  <c r="AA982" i="6"/>
  <c r="AA993" i="6"/>
  <c r="AA990" i="6"/>
  <c r="AA985" i="6"/>
  <c r="AA973" i="6"/>
  <c r="AA981" i="6"/>
  <c r="AA986" i="6"/>
  <c r="AA974" i="6"/>
  <c r="AA882" i="6"/>
  <c r="AA969" i="6"/>
  <c r="AA1054" i="6"/>
  <c r="AC1054" i="6"/>
  <c r="AA1032" i="6"/>
  <c r="AC1032" i="6"/>
  <c r="AA1010" i="6"/>
  <c r="AC1010" i="6"/>
  <c r="EI2" i="8"/>
  <c r="FA2" i="8"/>
  <c r="AA60" i="6"/>
  <c r="AC60" i="6"/>
  <c r="AA1150" i="6"/>
  <c r="AA1095" i="6"/>
  <c r="AA1061" i="6"/>
  <c r="AC1061" i="6"/>
  <c r="AA1039" i="6"/>
  <c r="AA1017" i="6"/>
  <c r="AC1017" i="6"/>
  <c r="B782" i="6"/>
  <c r="B835" i="6"/>
  <c r="I15" i="8"/>
  <c r="J15" i="8"/>
  <c r="K15" i="8"/>
  <c r="AA1090" i="6"/>
  <c r="AC1090" i="6"/>
  <c r="AA1068" i="6"/>
  <c r="AC1068" i="6"/>
  <c r="AA1046" i="6"/>
  <c r="AC1046" i="6"/>
  <c r="AA1024" i="6"/>
  <c r="B1024" i="6"/>
  <c r="AA1002" i="6"/>
  <c r="AC548" i="6"/>
  <c r="AC955" i="6"/>
  <c r="ET3" i="8"/>
  <c r="ET2" i="8"/>
  <c r="B53" i="6"/>
  <c r="G15" i="8"/>
  <c r="AA59" i="6"/>
  <c r="AC59" i="6"/>
  <c r="AA968" i="6"/>
  <c r="AC968" i="6"/>
  <c r="AA1075" i="6"/>
  <c r="AA1053" i="6"/>
  <c r="AC1053" i="6"/>
  <c r="AA1031" i="6"/>
  <c r="AC1031" i="6"/>
  <c r="AA1009" i="6"/>
  <c r="B741" i="6"/>
  <c r="AC1398" i="6"/>
  <c r="AA5" i="6"/>
  <c r="AA1060" i="6"/>
  <c r="B1060" i="6"/>
  <c r="AA1038" i="6"/>
  <c r="AC1038" i="6"/>
  <c r="AA1016" i="6"/>
  <c r="AC1016" i="6"/>
  <c r="AA58" i="6"/>
  <c r="AC58" i="6"/>
  <c r="AA1089" i="6"/>
  <c r="AC1089" i="6"/>
  <c r="AA1067" i="6"/>
  <c r="AC1067" i="6"/>
  <c r="AA1045" i="6"/>
  <c r="AC1045" i="6"/>
  <c r="AA1001" i="6"/>
  <c r="AC652" i="6"/>
  <c r="AA1177" i="6"/>
  <c r="AC1177" i="6"/>
  <c r="AA972" i="6"/>
  <c r="AA1057" i="6"/>
  <c r="AC1057" i="6"/>
  <c r="AA1013" i="6"/>
  <c r="AC1013" i="6"/>
  <c r="B791" i="6"/>
  <c r="AA1064" i="6"/>
  <c r="AA1042" i="6"/>
  <c r="AC1042" i="6"/>
  <c r="AA1020" i="6"/>
  <c r="AA998" i="6"/>
  <c r="B816" i="6"/>
  <c r="EQ2" i="8"/>
  <c r="AC488" i="6"/>
  <c r="AA1303" i="6"/>
  <c r="AA1286" i="6"/>
  <c r="AA1269" i="6"/>
  <c r="AA63" i="6"/>
  <c r="AC63" i="6"/>
  <c r="AA1576" i="6"/>
  <c r="AC1576" i="6"/>
  <c r="AA971" i="6"/>
  <c r="AA1056" i="6"/>
  <c r="AC1056" i="6"/>
  <c r="AA1012" i="6"/>
  <c r="AC1012" i="6"/>
  <c r="AA13" i="6"/>
  <c r="AA52" i="6"/>
  <c r="AA1142" i="6"/>
  <c r="AA1085" i="6"/>
  <c r="AC1085" i="6"/>
  <c r="AA1063" i="6"/>
  <c r="AC1063" i="6"/>
  <c r="AA1041" i="6"/>
  <c r="AC1041" i="6"/>
  <c r="AA1019" i="6"/>
  <c r="AC1019" i="6"/>
  <c r="AA997" i="6"/>
  <c r="B843" i="6"/>
  <c r="AA12" i="6"/>
  <c r="AA62" i="6"/>
  <c r="AC62" i="6"/>
  <c r="AA1070" i="6"/>
  <c r="AA1048" i="6"/>
  <c r="AC1048" i="6"/>
  <c r="AA1026" i="6"/>
  <c r="AA1004" i="6"/>
  <c r="AC540" i="6"/>
  <c r="B26" i="6"/>
  <c r="AA11" i="6"/>
  <c r="AA51" i="6"/>
  <c r="AA1152" i="6"/>
  <c r="AC1152" i="6"/>
  <c r="AA1141" i="6"/>
  <c r="AA970" i="6"/>
  <c r="AC970" i="6"/>
  <c r="AA1055" i="6"/>
  <c r="AC1055" i="6"/>
  <c r="AA1033" i="6"/>
  <c r="AC1033" i="6"/>
  <c r="AA1011" i="6"/>
  <c r="AC1011" i="6"/>
  <c r="FR2" i="8"/>
  <c r="FS3" i="8"/>
  <c r="FS2" i="8"/>
  <c r="S3" i="7"/>
  <c r="R2" i="7"/>
  <c r="AC47" i="6"/>
  <c r="AC432" i="6"/>
  <c r="AC440" i="6"/>
  <c r="AC448" i="6"/>
  <c r="AC481" i="6"/>
  <c r="AC1559" i="6"/>
  <c r="AC557" i="6"/>
  <c r="AC531" i="6"/>
  <c r="EU2" i="8"/>
  <c r="EM2" i="8"/>
  <c r="AC494" i="6"/>
  <c r="AC490" i="6"/>
  <c r="AC27" i="6"/>
  <c r="AC20" i="6"/>
  <c r="AC14" i="6"/>
  <c r="AC437" i="6"/>
  <c r="AC462" i="6"/>
  <c r="AC470" i="6"/>
  <c r="AC478" i="6"/>
  <c r="AC1574" i="6"/>
  <c r="AC1396" i="6"/>
  <c r="AC554" i="6"/>
  <c r="AC434" i="6"/>
  <c r="AC442" i="6"/>
  <c r="AC450" i="6"/>
  <c r="AC467" i="6"/>
  <c r="AC491" i="6"/>
  <c r="AC431" i="6"/>
  <c r="AC439" i="6"/>
  <c r="AC464" i="6"/>
  <c r="AC480" i="6"/>
  <c r="AC551" i="6"/>
  <c r="AC547" i="6"/>
  <c r="BB3" i="8"/>
  <c r="BB2" i="8"/>
  <c r="U4" i="7"/>
  <c r="AC22" i="6"/>
  <c r="AC10" i="6"/>
  <c r="AC436" i="6"/>
  <c r="AC461" i="6"/>
  <c r="AC477" i="6"/>
  <c r="AC17" i="6"/>
  <c r="AC433" i="6"/>
  <c r="AC466" i="6"/>
  <c r="AC1560" i="6"/>
  <c r="AC564" i="6"/>
  <c r="AC544" i="6"/>
  <c r="FD2" i="8"/>
  <c r="AC1399" i="6"/>
  <c r="AC458" i="6"/>
  <c r="AC558" i="6"/>
  <c r="M3" i="7"/>
  <c r="AC446" i="6"/>
  <c r="AC463" i="6"/>
  <c r="AC471" i="6"/>
  <c r="AC1573" i="6"/>
  <c r="AC489" i="6"/>
  <c r="V4" i="7"/>
  <c r="AC435" i="6"/>
  <c r="AC460" i="6"/>
  <c r="AC549" i="6"/>
  <c r="AC541" i="6"/>
  <c r="AC964" i="6"/>
  <c r="B335" i="6"/>
  <c r="B893" i="6"/>
  <c r="B1243" i="6"/>
  <c r="B259" i="6"/>
  <c r="B307" i="6"/>
  <c r="B1459" i="6"/>
  <c r="B1586" i="6"/>
  <c r="B183" i="6"/>
  <c r="B351" i="6"/>
  <c r="B367" i="6"/>
  <c r="B93" i="6"/>
  <c r="B1387" i="6"/>
  <c r="B1567" i="6"/>
  <c r="B651" i="6"/>
  <c r="B942" i="6"/>
  <c r="B23" i="6"/>
  <c r="AC23" i="6"/>
  <c r="B105" i="6"/>
  <c r="B184" i="6"/>
  <c r="B290" i="6"/>
  <c r="B298" i="6"/>
  <c r="B895" i="6"/>
  <c r="B908" i="6"/>
  <c r="B1374" i="6"/>
  <c r="B147" i="6"/>
  <c r="B213" i="6"/>
  <c r="B870" i="6"/>
  <c r="B878" i="6"/>
  <c r="B133" i="6"/>
  <c r="B1378" i="6"/>
  <c r="B1460" i="6"/>
  <c r="B385" i="6"/>
  <c r="B171" i="6"/>
  <c r="B179" i="6"/>
  <c r="B146" i="6"/>
  <c r="B170" i="6"/>
  <c r="B289" i="6"/>
  <c r="B336" i="6"/>
  <c r="B869" i="6"/>
  <c r="B1434" i="6"/>
  <c r="B916" i="6"/>
  <c r="B219" i="6"/>
  <c r="AC219" i="6"/>
  <c r="B227" i="6"/>
  <c r="B1190" i="6"/>
  <c r="B1223" i="6"/>
  <c r="B1458" i="6"/>
  <c r="B288" i="6"/>
  <c r="B350" i="6"/>
  <c r="B879" i="6"/>
  <c r="B1389" i="6"/>
  <c r="B1411" i="6"/>
  <c r="B1450" i="6"/>
  <c r="B169" i="6"/>
  <c r="B32" i="6"/>
  <c r="B295" i="6"/>
  <c r="B329" i="6"/>
  <c r="B453" i="6"/>
  <c r="B868" i="6"/>
  <c r="B1222" i="6"/>
  <c r="B1391" i="6"/>
  <c r="B94" i="6"/>
  <c r="B1444" i="6"/>
  <c r="B99" i="6"/>
  <c r="B233" i="6"/>
  <c r="B294" i="6"/>
  <c r="B328" i="6"/>
  <c r="B1496" i="6"/>
  <c r="B1504" i="6"/>
  <c r="B1512" i="6"/>
  <c r="B1520" i="6"/>
  <c r="B1528" i="6"/>
  <c r="B1536" i="6"/>
  <c r="B1544" i="6"/>
  <c r="B1552" i="6"/>
  <c r="B1561" i="6"/>
  <c r="B1569" i="6"/>
  <c r="B124" i="6"/>
  <c r="B134" i="6"/>
  <c r="B182" i="6"/>
  <c r="B192" i="6"/>
  <c r="B277" i="6"/>
  <c r="B316" i="6"/>
  <c r="B380" i="6"/>
  <c r="B1440" i="6"/>
  <c r="B1500" i="6"/>
  <c r="B1508" i="6"/>
  <c r="B1516" i="6"/>
  <c r="B1524" i="6"/>
  <c r="B1532" i="6"/>
  <c r="B1540" i="6"/>
  <c r="B1548" i="6"/>
  <c r="B1556" i="6"/>
  <c r="B152" i="6"/>
  <c r="B217" i="6"/>
  <c r="B242" i="6"/>
  <c r="B403" i="6"/>
  <c r="B421" i="6"/>
  <c r="B1193" i="6"/>
  <c r="B503" i="6"/>
  <c r="B70" i="6"/>
  <c r="B75" i="6"/>
  <c r="B941" i="6"/>
  <c r="B1430" i="6"/>
  <c r="B771" i="6"/>
  <c r="B151" i="6"/>
  <c r="B231" i="6"/>
  <c r="B241" i="6"/>
  <c r="B286" i="6"/>
  <c r="B365" i="6"/>
  <c r="B402" i="6"/>
  <c r="B1451" i="6"/>
  <c r="B194" i="6"/>
  <c r="B77" i="6"/>
  <c r="B140" i="6"/>
  <c r="B185" i="6"/>
  <c r="B216" i="6"/>
  <c r="B262" i="6"/>
  <c r="B267" i="6"/>
  <c r="B386" i="6"/>
  <c r="B927" i="6"/>
  <c r="B1385" i="6"/>
  <c r="B1429" i="6"/>
  <c r="B1438" i="6"/>
  <c r="B1554" i="6"/>
  <c r="B1579" i="6"/>
  <c r="B770" i="6"/>
  <c r="B1208" i="6"/>
  <c r="B1221" i="6"/>
  <c r="B1209" i="6"/>
  <c r="B1237" i="6"/>
  <c r="B1255" i="6"/>
  <c r="B1229" i="6"/>
  <c r="B1234" i="6"/>
  <c r="B1252" i="6"/>
  <c r="B1250" i="6"/>
  <c r="B1247" i="6"/>
  <c r="B1257" i="6"/>
  <c r="B1259" i="6"/>
  <c r="B1230" i="6"/>
  <c r="B1238" i="6"/>
  <c r="B1251" i="6"/>
  <c r="B1264" i="6"/>
  <c r="B953" i="6"/>
  <c r="B226" i="6"/>
  <c r="B1598" i="6"/>
  <c r="B110" i="6"/>
  <c r="B118" i="6"/>
  <c r="B154" i="6"/>
  <c r="B235" i="6"/>
  <c r="B240" i="6"/>
  <c r="B305" i="6"/>
  <c r="B318" i="6"/>
  <c r="B323" i="6"/>
  <c r="B346" i="6"/>
  <c r="B358" i="6"/>
  <c r="B366" i="6"/>
  <c r="B414" i="6"/>
  <c r="B438" i="6"/>
  <c r="B871" i="6"/>
  <c r="B876" i="6"/>
  <c r="B887" i="6"/>
  <c r="B892" i="6"/>
  <c r="B1192" i="6"/>
  <c r="B1219" i="6"/>
  <c r="B1249" i="6"/>
  <c r="B1372" i="6"/>
  <c r="B1384" i="6"/>
  <c r="B1428" i="6"/>
  <c r="B1452" i="6"/>
  <c r="B1457" i="6"/>
  <c r="B1502" i="6"/>
  <c r="B1510" i="6"/>
  <c r="B1518" i="6"/>
  <c r="B1526" i="6"/>
  <c r="B1534" i="6"/>
  <c r="B1542" i="6"/>
  <c r="B1550" i="6"/>
  <c r="B1584" i="6"/>
  <c r="B86" i="6"/>
  <c r="B91" i="6"/>
  <c r="B266" i="6"/>
  <c r="B325" i="6"/>
  <c r="B368" i="6"/>
  <c r="B370" i="6"/>
  <c r="B401" i="6"/>
  <c r="B408" i="6"/>
  <c r="B416" i="6"/>
  <c r="B430" i="6"/>
  <c r="B914" i="6"/>
  <c r="B1442" i="6"/>
  <c r="B117" i="6"/>
  <c r="B106" i="6"/>
  <c r="B122" i="6"/>
  <c r="B153" i="6"/>
  <c r="B163" i="6"/>
  <c r="B168" i="6"/>
  <c r="B260" i="6"/>
  <c r="B337" i="6"/>
  <c r="B352" i="6"/>
  <c r="B357" i="6"/>
  <c r="B387" i="6"/>
  <c r="B395" i="6"/>
  <c r="B400" i="6"/>
  <c r="B420" i="6"/>
  <c r="B883" i="6"/>
  <c r="B896" i="6"/>
  <c r="B909" i="6"/>
  <c r="B1191" i="6"/>
  <c r="B1218" i="6"/>
  <c r="B1245" i="6"/>
  <c r="B1441" i="6"/>
  <c r="B1498" i="6"/>
  <c r="B1506" i="6"/>
  <c r="B1514" i="6"/>
  <c r="B1522" i="6"/>
  <c r="B1530" i="6"/>
  <c r="B1538" i="6"/>
  <c r="B1546" i="6"/>
  <c r="B1563" i="6"/>
  <c r="B1568" i="6"/>
  <c r="B190" i="6"/>
  <c r="B95" i="6"/>
  <c r="B132" i="6"/>
  <c r="B212" i="6"/>
  <c r="B369" i="6"/>
  <c r="B371" i="6"/>
  <c r="B877" i="6"/>
  <c r="B939" i="6"/>
  <c r="B1220" i="6"/>
  <c r="B74" i="6"/>
  <c r="B92" i="6"/>
  <c r="B915" i="6"/>
  <c r="B1082" i="6"/>
  <c r="B1034" i="6"/>
  <c r="B898" i="6"/>
  <c r="B920" i="6"/>
  <c r="B922" i="6"/>
  <c r="B925" i="6"/>
  <c r="B907" i="6"/>
  <c r="B897" i="6"/>
  <c r="B886" i="6"/>
  <c r="B926" i="6"/>
  <c r="B918" i="6"/>
  <c r="B935" i="6"/>
  <c r="B940" i="6"/>
  <c r="B275" i="6"/>
  <c r="B392" i="6"/>
  <c r="B911" i="6"/>
  <c r="B1236" i="6"/>
  <c r="B1072" i="6"/>
  <c r="B1064" i="6"/>
  <c r="B1016" i="6"/>
  <c r="B1008" i="6"/>
  <c r="B1086" i="6"/>
  <c r="B1078" i="6"/>
  <c r="B1030" i="6"/>
  <c r="B1014" i="6"/>
  <c r="B1006" i="6"/>
  <c r="B279" i="6"/>
  <c r="B84" i="6"/>
  <c r="B1036" i="6"/>
  <c r="B1028" i="6"/>
  <c r="B1020" i="6"/>
  <c r="B1069" i="6"/>
  <c r="B1018" i="6"/>
  <c r="B1037" i="6"/>
  <c r="B1010" i="6"/>
  <c r="B1073" i="6"/>
  <c r="B1087" i="6"/>
  <c r="B1081" i="6"/>
  <c r="B1051" i="6"/>
  <c r="B1094" i="6"/>
  <c r="B1071" i="6"/>
  <c r="B1066" i="6"/>
  <c r="B1031" i="6"/>
  <c r="B1022" i="6"/>
  <c r="B1038" i="6"/>
  <c r="B1050" i="6"/>
  <c r="B1084" i="6"/>
  <c r="B1058" i="6"/>
  <c r="B1053" i="6"/>
  <c r="B1091" i="6"/>
  <c r="B1055" i="6"/>
  <c r="B1092" i="6"/>
  <c r="B1062" i="6"/>
  <c r="AC1086" i="6"/>
  <c r="AC1082" i="6"/>
  <c r="AC1078" i="6"/>
  <c r="AC1072" i="6"/>
  <c r="AC1064" i="6"/>
  <c r="AC1036" i="6"/>
  <c r="AC1034" i="6"/>
  <c r="AC1030" i="6"/>
  <c r="AC1028" i="6"/>
  <c r="AC1020" i="6"/>
  <c r="AC1014" i="6"/>
  <c r="AC1008" i="6"/>
  <c r="AC1006" i="6"/>
  <c r="B1015" i="6"/>
  <c r="B1079" i="6"/>
  <c r="B1061" i="6"/>
  <c r="B1025" i="6"/>
  <c r="B1077" i="6"/>
  <c r="B1027" i="6"/>
  <c r="B1059" i="6"/>
  <c r="B1083" i="6"/>
  <c r="B71" i="6"/>
  <c r="B965" i="6"/>
  <c r="B145" i="6"/>
  <c r="B173" i="6"/>
  <c r="B191" i="6"/>
  <c r="B244" i="6"/>
  <c r="B1423" i="6"/>
  <c r="B33" i="6"/>
  <c r="B246" i="6"/>
  <c r="B1425" i="6"/>
  <c r="B172" i="6"/>
  <c r="B251" i="6"/>
  <c r="B248" i="6"/>
  <c r="B256" i="6"/>
  <c r="B391" i="6"/>
  <c r="B406" i="6"/>
  <c r="B1509" i="6"/>
  <c r="B136" i="6"/>
  <c r="B268" i="6"/>
  <c r="B872" i="6"/>
  <c r="B899" i="6"/>
  <c r="AC1236" i="6"/>
  <c r="B1379" i="6"/>
  <c r="AC1423" i="6"/>
  <c r="AC1425" i="6"/>
  <c r="B1461" i="6"/>
  <c r="B936" i="6"/>
  <c r="B1188" i="6"/>
  <c r="B1241" i="6"/>
  <c r="B252" i="6"/>
  <c r="B38" i="6"/>
  <c r="B69" i="6"/>
  <c r="B88" i="6"/>
  <c r="B98" i="6"/>
  <c r="B103" i="6"/>
  <c r="B108" i="6"/>
  <c r="B131" i="6"/>
  <c r="AC145" i="6"/>
  <c r="B167" i="6"/>
  <c r="B187" i="6"/>
  <c r="AC191" i="6"/>
  <c r="B237" i="6"/>
  <c r="B270" i="6"/>
  <c r="B272" i="6"/>
  <c r="B274" i="6"/>
  <c r="B281" i="6"/>
  <c r="B301" i="6"/>
  <c r="B310" i="6"/>
  <c r="B320" i="6"/>
  <c r="B339" i="6"/>
  <c r="B354" i="6"/>
  <c r="B361" i="6"/>
  <c r="B382" i="6"/>
  <c r="B398" i="6"/>
  <c r="B405" i="6"/>
  <c r="B407" i="6"/>
  <c r="B412" i="6"/>
  <c r="B424" i="6"/>
  <c r="B451" i="6"/>
  <c r="B457" i="6"/>
  <c r="B865" i="6"/>
  <c r="B874" i="6"/>
  <c r="AC963" i="6"/>
  <c r="B894" i="6"/>
  <c r="B929" i="6"/>
  <c r="B1181" i="6"/>
  <c r="B1200" i="6"/>
  <c r="B1248" i="6"/>
  <c r="B1262" i="6"/>
  <c r="B1413" i="6"/>
  <c r="B1415" i="6"/>
  <c r="B1417" i="6"/>
  <c r="B1419" i="6"/>
  <c r="B1421" i="6"/>
  <c r="B1432" i="6"/>
  <c r="B1447" i="6"/>
  <c r="B1454" i="6"/>
  <c r="B1463" i="6"/>
  <c r="AC1509" i="6"/>
  <c r="B389" i="6"/>
  <c r="AC248" i="6"/>
  <c r="AC325" i="6"/>
  <c r="B422" i="6"/>
  <c r="B176" i="6"/>
  <c r="B273" i="6"/>
  <c r="B423" i="6"/>
  <c r="B78" i="6"/>
  <c r="B83" i="6"/>
  <c r="B90" i="6"/>
  <c r="B138" i="6"/>
  <c r="B143" i="6"/>
  <c r="B193" i="6"/>
  <c r="B239" i="6"/>
  <c r="B265" i="6"/>
  <c r="B293" i="6"/>
  <c r="B303" i="6"/>
  <c r="B322" i="6"/>
  <c r="B334" i="6"/>
  <c r="B344" i="6"/>
  <c r="B349" i="6"/>
  <c r="B356" i="6"/>
  <c r="B363" i="6"/>
  <c r="B384" i="6"/>
  <c r="B479" i="6"/>
  <c r="B867" i="6"/>
  <c r="B931" i="6"/>
  <c r="B933" i="6"/>
  <c r="B938" i="6"/>
  <c r="B1183" i="6"/>
  <c r="B1185" i="6"/>
  <c r="B1203" i="6"/>
  <c r="B1205" i="6"/>
  <c r="B1207" i="6"/>
  <c r="B1217" i="6"/>
  <c r="B1228" i="6"/>
  <c r="B1381" i="6"/>
  <c r="B1449" i="6"/>
  <c r="B1456" i="6"/>
  <c r="B1465" i="6"/>
  <c r="B1467" i="6"/>
  <c r="B1469" i="6"/>
  <c r="B1471" i="6"/>
  <c r="B1473" i="6"/>
  <c r="B1475" i="6"/>
  <c r="B1477" i="6"/>
  <c r="B1479" i="6"/>
  <c r="B1481" i="6"/>
  <c r="B1483" i="6"/>
  <c r="B1485" i="6"/>
  <c r="B1487" i="6"/>
  <c r="B1489" i="6"/>
  <c r="B1491" i="6"/>
  <c r="B1493" i="6"/>
  <c r="B1495" i="6"/>
  <c r="B1497" i="6"/>
  <c r="B1499" i="6"/>
  <c r="B1501" i="6"/>
  <c r="B1503" i="6"/>
  <c r="B1505" i="6"/>
  <c r="B1507" i="6"/>
  <c r="B1511" i="6"/>
  <c r="B1513" i="6"/>
  <c r="B1515" i="6"/>
  <c r="B1517" i="6"/>
  <c r="B1519" i="6"/>
  <c r="B1521" i="6"/>
  <c r="B1523" i="6"/>
  <c r="B1525" i="6"/>
  <c r="B1527" i="6"/>
  <c r="B1529" i="6"/>
  <c r="B1531" i="6"/>
  <c r="B1533" i="6"/>
  <c r="B1535" i="6"/>
  <c r="B1537" i="6"/>
  <c r="B1539" i="6"/>
  <c r="B1541" i="6"/>
  <c r="B1543" i="6"/>
  <c r="B1545" i="6"/>
  <c r="B1547" i="6"/>
  <c r="B1549" i="6"/>
  <c r="B1551" i="6"/>
  <c r="B1553" i="6"/>
  <c r="B1555" i="6"/>
  <c r="B1558" i="6"/>
  <c r="B1562" i="6"/>
  <c r="B1583" i="6"/>
  <c r="B1585" i="6"/>
  <c r="B5" i="6"/>
  <c r="B475" i="6"/>
  <c r="AC475" i="6"/>
  <c r="B254" i="6"/>
  <c r="AC33" i="6"/>
  <c r="B487" i="6"/>
  <c r="B284" i="6"/>
  <c r="B1214" i="6"/>
  <c r="B1187" i="6"/>
  <c r="B1431" i="6"/>
  <c r="B250" i="6"/>
  <c r="AC172" i="6"/>
  <c r="B37" i="6"/>
  <c r="B97" i="6"/>
  <c r="B115" i="6"/>
  <c r="B125" i="6"/>
  <c r="B156" i="6"/>
  <c r="B186" i="6"/>
  <c r="B243" i="6"/>
  <c r="AC251" i="6"/>
  <c r="B319" i="6"/>
  <c r="B353" i="6"/>
  <c r="B376" i="6"/>
  <c r="B381" i="6"/>
  <c r="B388" i="6"/>
  <c r="B404" i="6"/>
  <c r="AC406" i="6"/>
  <c r="B456" i="6"/>
  <c r="B474" i="6"/>
  <c r="B880" i="6"/>
  <c r="B910" i="6"/>
  <c r="B928" i="6"/>
  <c r="B1199" i="6"/>
  <c r="B1235" i="6"/>
  <c r="B1412" i="6"/>
  <c r="B1453" i="6"/>
  <c r="B1566" i="6"/>
  <c r="B1592" i="6"/>
  <c r="B48" i="6"/>
  <c r="B111" i="6"/>
  <c r="AC244" i="6"/>
  <c r="AC246" i="6"/>
  <c r="AC256" i="6"/>
  <c r="AC391" i="6"/>
  <c r="B1588" i="6"/>
  <c r="B904" i="6"/>
  <c r="B209" i="6"/>
  <c r="B73" i="6"/>
  <c r="B80" i="6"/>
  <c r="B120" i="6"/>
  <c r="B144" i="6"/>
  <c r="B164" i="6"/>
  <c r="AC275" i="6"/>
  <c r="B324" i="6"/>
  <c r="B338" i="6"/>
  <c r="B1403" i="6"/>
  <c r="B222" i="6"/>
  <c r="B1604" i="6"/>
  <c r="B39" i="6"/>
  <c r="B42" i="6"/>
  <c r="B87" i="6"/>
  <c r="B142" i="6"/>
  <c r="AC144" i="6"/>
  <c r="B149" i="6"/>
  <c r="B166" i="6"/>
  <c r="B181" i="6"/>
  <c r="B188" i="6"/>
  <c r="B207" i="6"/>
  <c r="B210" i="6"/>
  <c r="B229" i="6"/>
  <c r="B238" i="6"/>
  <c r="B245" i="6"/>
  <c r="B247" i="6"/>
  <c r="B249" i="6"/>
  <c r="B253" i="6"/>
  <c r="B255" i="6"/>
  <c r="B257" i="6"/>
  <c r="B264" i="6"/>
  <c r="B269" i="6"/>
  <c r="B271" i="6"/>
  <c r="B292" i="6"/>
  <c r="B309" i="6"/>
  <c r="B331" i="6"/>
  <c r="B340" i="6"/>
  <c r="B348" i="6"/>
  <c r="B355" i="6"/>
  <c r="B383" i="6"/>
  <c r="B390" i="6"/>
  <c r="B397" i="6"/>
  <c r="B418" i="6"/>
  <c r="B425" i="6"/>
  <c r="B866" i="6"/>
  <c r="B873" i="6"/>
  <c r="B885" i="6"/>
  <c r="B890" i="6"/>
  <c r="B900" i="6"/>
  <c r="B905" i="6"/>
  <c r="B930" i="6"/>
  <c r="B937" i="6"/>
  <c r="B1180" i="6"/>
  <c r="B1225" i="6"/>
  <c r="B1232" i="6"/>
  <c r="B1242" i="6"/>
  <c r="B1261" i="6"/>
  <c r="B1407" i="6"/>
  <c r="B1435" i="6"/>
  <c r="B1437" i="6"/>
  <c r="B1439" i="6"/>
  <c r="B1446" i="6"/>
  <c r="B1455" i="6"/>
  <c r="B1462" i="6"/>
  <c r="B1582" i="6"/>
  <c r="B522" i="6"/>
  <c r="B790" i="6"/>
  <c r="B1572" i="6"/>
  <c r="B72" i="6"/>
  <c r="B79" i="6"/>
  <c r="B89" i="6"/>
  <c r="B114" i="6"/>
  <c r="B155" i="6"/>
  <c r="B218" i="6"/>
  <c r="B261" i="6"/>
  <c r="B311" i="6"/>
  <c r="B333" i="6"/>
  <c r="B359" i="6"/>
  <c r="B378" i="6"/>
  <c r="B399" i="6"/>
  <c r="B875" i="6"/>
  <c r="B923" i="6"/>
  <c r="B1182" i="6"/>
  <c r="B1184" i="6"/>
  <c r="B1189" i="6"/>
  <c r="B1201" i="6"/>
  <c r="B1204" i="6"/>
  <c r="B1206" i="6"/>
  <c r="B1216" i="6"/>
  <c r="B1246" i="6"/>
  <c r="B1263" i="6"/>
  <c r="B1265" i="6"/>
  <c r="B1409" i="6"/>
  <c r="B1443" i="6"/>
  <c r="B1448" i="6"/>
  <c r="B1464" i="6"/>
  <c r="B1466" i="6"/>
  <c r="B1468" i="6"/>
  <c r="B1470" i="6"/>
  <c r="B1472" i="6"/>
  <c r="B1474" i="6"/>
  <c r="B1476" i="6"/>
  <c r="B1478" i="6"/>
  <c r="B1480" i="6"/>
  <c r="B1482" i="6"/>
  <c r="B1484" i="6"/>
  <c r="B1486" i="6"/>
  <c r="B1488" i="6"/>
  <c r="B1490" i="6"/>
  <c r="B1492" i="6"/>
  <c r="B1494" i="6"/>
  <c r="B766" i="6"/>
  <c r="B553" i="6"/>
  <c r="B1395" i="6"/>
  <c r="B24" i="6"/>
  <c r="AC24" i="6"/>
  <c r="B141" i="6"/>
  <c r="B1260" i="6"/>
  <c r="B1445" i="6"/>
  <c r="B1570" i="6"/>
  <c r="B1580" i="6"/>
  <c r="B750" i="6"/>
  <c r="B949" i="6"/>
  <c r="B30" i="6"/>
  <c r="B45" i="6"/>
  <c r="B189" i="6"/>
  <c r="B258" i="6"/>
  <c r="B315" i="6"/>
  <c r="B1393" i="6"/>
  <c r="B195" i="6"/>
  <c r="B312" i="6"/>
  <c r="AC495" i="6"/>
  <c r="B135" i="6"/>
  <c r="B962" i="6"/>
  <c r="B1211" i="6"/>
  <c r="B1093" i="6"/>
  <c r="AC312" i="6"/>
  <c r="B100" i="6"/>
  <c r="B1601" i="6"/>
  <c r="B29" i="6"/>
  <c r="AC84" i="6"/>
  <c r="AC39" i="6"/>
  <c r="AC340" i="6"/>
  <c r="AC1246" i="6"/>
  <c r="B1198" i="6"/>
  <c r="B945" i="6"/>
  <c r="B34" i="6"/>
  <c r="AC258" i="6"/>
  <c r="B157" i="6"/>
  <c r="B161" i="6"/>
  <c r="AC447" i="6"/>
  <c r="AC449" i="6"/>
  <c r="B1593" i="6"/>
  <c r="B1599" i="6"/>
  <c r="B31" i="6"/>
  <c r="B36" i="6"/>
  <c r="B41" i="6"/>
  <c r="AC71" i="6"/>
  <c r="B81" i="6"/>
  <c r="B96" i="6"/>
  <c r="B126" i="6"/>
  <c r="AC1369" i="6"/>
  <c r="B49" i="6"/>
  <c r="AC49" i="6"/>
  <c r="B1040" i="6"/>
  <c r="B951" i="6"/>
  <c r="B1397" i="6"/>
  <c r="B1307" i="6"/>
  <c r="AC1307" i="6"/>
  <c r="B1306" i="6"/>
  <c r="AC1306" i="6"/>
  <c r="B1293" i="6"/>
  <c r="AC1293" i="6"/>
  <c r="B1292" i="6"/>
  <c r="AC1292" i="6"/>
  <c r="B1291" i="6"/>
  <c r="AC1291" i="6"/>
  <c r="B1274" i="6"/>
  <c r="AC1274" i="6"/>
  <c r="B1273" i="6"/>
  <c r="AC1273" i="6"/>
  <c r="B1272" i="6"/>
  <c r="AC1272" i="6"/>
  <c r="B372" i="6"/>
  <c r="AC45" i="6"/>
  <c r="B917" i="6"/>
  <c r="B1596" i="6"/>
  <c r="B43" i="6"/>
  <c r="B296" i="6"/>
  <c r="AC315" i="6"/>
  <c r="B326" i="6"/>
  <c r="B426" i="6"/>
  <c r="B444" i="6"/>
  <c r="AC444" i="6"/>
  <c r="B889" i="6"/>
  <c r="B944" i="6"/>
  <c r="B1186" i="6"/>
  <c r="B1195" i="6"/>
  <c r="AC1211" i="6"/>
  <c r="B1224" i="6"/>
  <c r="B1231" i="6"/>
  <c r="B1427" i="6"/>
  <c r="B1565" i="6"/>
  <c r="B1575" i="6"/>
  <c r="B46" i="6"/>
  <c r="B162" i="6"/>
  <c r="B112" i="6"/>
  <c r="AC114" i="6"/>
  <c r="B119" i="6"/>
  <c r="AC207" i="6"/>
  <c r="B214" i="6"/>
  <c r="AC408" i="6"/>
  <c r="AC173" i="6"/>
  <c r="B68" i="6"/>
  <c r="B1594" i="6"/>
  <c r="B1600" i="6"/>
  <c r="B1602" i="6"/>
  <c r="B35" i="6"/>
  <c r="B40" i="6"/>
  <c r="B85" i="6"/>
  <c r="B102" i="6"/>
  <c r="B130" i="6"/>
  <c r="B159" i="6"/>
  <c r="B174" i="6"/>
  <c r="B178" i="6"/>
  <c r="B197" i="6"/>
  <c r="B199" i="6"/>
  <c r="B201" i="6"/>
  <c r="B203" i="6"/>
  <c r="B205" i="6"/>
  <c r="B224" i="6"/>
  <c r="AC261" i="6"/>
  <c r="B283" i="6"/>
  <c r="B300" i="6"/>
  <c r="B313" i="6"/>
  <c r="B341" i="6"/>
  <c r="B343" i="6"/>
  <c r="B360" i="6"/>
  <c r="B373" i="6"/>
  <c r="B375" i="6"/>
  <c r="B394" i="6"/>
  <c r="B409" i="6"/>
  <c r="B411" i="6"/>
  <c r="B428" i="6"/>
  <c r="B468" i="6"/>
  <c r="B881" i="6"/>
  <c r="B884" i="6"/>
  <c r="B891" i="6"/>
  <c r="B902" i="6"/>
  <c r="B913" i="6"/>
  <c r="B947" i="6"/>
  <c r="B1197" i="6"/>
  <c r="B1213" i="6"/>
  <c r="B1240" i="6"/>
  <c r="B1254" i="6"/>
  <c r="B1267" i="6"/>
  <c r="B1404" i="6"/>
  <c r="B1406" i="6"/>
  <c r="B1589" i="6"/>
  <c r="B1591" i="6"/>
  <c r="AC750" i="6"/>
  <c r="B1394" i="6"/>
  <c r="B1405" i="6"/>
  <c r="B107" i="6"/>
  <c r="B128" i="6"/>
  <c r="B220" i="6"/>
  <c r="B276" i="6"/>
  <c r="AC195" i="6"/>
  <c r="B1590" i="6"/>
  <c r="AC445" i="6"/>
  <c r="B484" i="6"/>
  <c r="AC484" i="6"/>
  <c r="B903" i="6"/>
  <c r="B44" i="6"/>
  <c r="B76" i="6"/>
  <c r="B82" i="6"/>
  <c r="B104" i="6"/>
  <c r="B109" i="6"/>
  <c r="B116" i="6"/>
  <c r="B121" i="6"/>
  <c r="B123" i="6"/>
  <c r="B127" i="6"/>
  <c r="B137" i="6"/>
  <c r="B139" i="6"/>
  <c r="B148" i="6"/>
  <c r="B150" i="6"/>
  <c r="B165" i="6"/>
  <c r="B180" i="6"/>
  <c r="B211" i="6"/>
  <c r="B228" i="6"/>
  <c r="B230" i="6"/>
  <c r="B232" i="6"/>
  <c r="B234" i="6"/>
  <c r="B236" i="6"/>
  <c r="B263" i="6"/>
  <c r="B278" i="6"/>
  <c r="B280" i="6"/>
  <c r="B285" i="6"/>
  <c r="B287" i="6"/>
  <c r="B291" i="6"/>
  <c r="B302" i="6"/>
  <c r="B304" i="6"/>
  <c r="B306" i="6"/>
  <c r="B308" i="6"/>
  <c r="B317" i="6"/>
  <c r="B321" i="6"/>
  <c r="B330" i="6"/>
  <c r="B332" i="6"/>
  <c r="B345" i="6"/>
  <c r="B347" i="6"/>
  <c r="B362" i="6"/>
  <c r="B364" i="6"/>
  <c r="B377" i="6"/>
  <c r="B379" i="6"/>
  <c r="B396" i="6"/>
  <c r="B413" i="6"/>
  <c r="B415" i="6"/>
  <c r="B417" i="6"/>
  <c r="B419" i="6"/>
  <c r="B455" i="6"/>
  <c r="B906" i="6"/>
  <c r="B924" i="6"/>
  <c r="B1179" i="6"/>
  <c r="B1215" i="6"/>
  <c r="B1233" i="6"/>
  <c r="B1256" i="6"/>
  <c r="B1258" i="6"/>
  <c r="B1380" i="6"/>
  <c r="B1408" i="6"/>
  <c r="B1410" i="6"/>
  <c r="B756" i="6"/>
  <c r="B555" i="6"/>
  <c r="B443" i="6"/>
  <c r="AC443" i="6"/>
  <c r="B1595" i="6"/>
  <c r="B1603" i="6"/>
  <c r="B215" i="6"/>
  <c r="B282" i="6"/>
  <c r="B888" i="6"/>
  <c r="B901" i="6"/>
  <c r="B912" i="6"/>
  <c r="B919" i="6"/>
  <c r="B921" i="6"/>
  <c r="B932" i="6"/>
  <c r="B934" i="6"/>
  <c r="B943" i="6"/>
  <c r="B1194" i="6"/>
  <c r="B1244" i="6"/>
  <c r="B1253" i="6"/>
  <c r="B1266" i="6"/>
  <c r="B1386" i="6"/>
  <c r="B1388" i="6"/>
  <c r="B1390" i="6"/>
  <c r="B1414" i="6"/>
  <c r="B1416" i="6"/>
  <c r="B1418" i="6"/>
  <c r="B1420" i="6"/>
  <c r="B1422" i="6"/>
  <c r="B1424" i="6"/>
  <c r="B1426" i="6"/>
  <c r="B1564" i="6"/>
  <c r="B1571" i="6"/>
  <c r="B101" i="6"/>
  <c r="B113" i="6"/>
  <c r="B129" i="6"/>
  <c r="B158" i="6"/>
  <c r="B160" i="6"/>
  <c r="B175" i="6"/>
  <c r="B177" i="6"/>
  <c r="B196" i="6"/>
  <c r="B198" i="6"/>
  <c r="B200" i="6"/>
  <c r="B202" i="6"/>
  <c r="B204" i="6"/>
  <c r="B206" i="6"/>
  <c r="B208" i="6"/>
  <c r="B221" i="6"/>
  <c r="B223" i="6"/>
  <c r="B225" i="6"/>
  <c r="B297" i="6"/>
  <c r="B299" i="6"/>
  <c r="B314" i="6"/>
  <c r="B327" i="6"/>
  <c r="B342" i="6"/>
  <c r="B374" i="6"/>
  <c r="B393" i="6"/>
  <c r="B410" i="6"/>
  <c r="B427" i="6"/>
  <c r="B1196" i="6"/>
  <c r="B1210" i="6"/>
  <c r="B1212" i="6"/>
  <c r="B1239" i="6"/>
  <c r="B1373" i="6"/>
  <c r="B1375" i="6"/>
  <c r="B1436" i="6"/>
  <c r="B1577" i="6"/>
  <c r="B772" i="6"/>
  <c r="B960" i="6"/>
  <c r="B793" i="6"/>
  <c r="B768" i="6"/>
  <c r="B1400" i="6"/>
  <c r="B454" i="6"/>
  <c r="B948" i="6"/>
  <c r="B961" i="6"/>
  <c r="B1392" i="6"/>
  <c r="AC948" i="6"/>
  <c r="AC454" i="6"/>
  <c r="B1605" i="6"/>
  <c r="B946" i="6"/>
  <c r="B1178" i="6"/>
  <c r="AC5" i="6"/>
  <c r="B1581" i="6"/>
  <c r="B1177" i="6"/>
  <c r="AC1024" i="6"/>
  <c r="B1056" i="6"/>
  <c r="B1013" i="6"/>
  <c r="B62" i="6"/>
  <c r="B1067" i="6"/>
  <c r="B1011" i="6"/>
  <c r="B1085" i="6"/>
  <c r="AC1142" i="6"/>
  <c r="B1142" i="6"/>
  <c r="AC969" i="6"/>
  <c r="B969" i="6"/>
  <c r="B992" i="6"/>
  <c r="B994" i="6"/>
  <c r="AC972" i="6"/>
  <c r="B972" i="6"/>
  <c r="B970" i="6"/>
  <c r="B1089" i="6"/>
  <c r="AC52" i="6"/>
  <c r="B52" i="6"/>
  <c r="AC882" i="6"/>
  <c r="B882" i="6"/>
  <c r="B989" i="6"/>
  <c r="I1" i="8"/>
  <c r="AC546" i="6"/>
  <c r="B63" i="6"/>
  <c r="B1090" i="6"/>
  <c r="B1068" i="6"/>
  <c r="B1017" i="6"/>
  <c r="AC13" i="6"/>
  <c r="B13" i="6"/>
  <c r="B974" i="6"/>
  <c r="B978" i="6"/>
  <c r="AC1001" i="6"/>
  <c r="B1001" i="6"/>
  <c r="AC1002" i="6"/>
  <c r="B1002" i="6"/>
  <c r="B986" i="6"/>
  <c r="B996" i="6"/>
  <c r="B988" i="6"/>
  <c r="B995" i="6"/>
  <c r="B1063" i="6"/>
  <c r="AC1141" i="6"/>
  <c r="B1141" i="6"/>
  <c r="B981" i="6"/>
  <c r="B60" i="6"/>
  <c r="B1057" i="6"/>
  <c r="AC971" i="6"/>
  <c r="B971" i="6"/>
  <c r="B973" i="6"/>
  <c r="B1033" i="6"/>
  <c r="B1032" i="6"/>
  <c r="AC1286" i="6"/>
  <c r="B1286" i="6"/>
  <c r="B982" i="6"/>
  <c r="AC11" i="6"/>
  <c r="B11" i="6"/>
  <c r="AC1004" i="6"/>
  <c r="B1004" i="6"/>
  <c r="AC1026" i="6"/>
  <c r="B1026" i="6"/>
  <c r="AC1039" i="6"/>
  <c r="B1039" i="6"/>
  <c r="B975" i="6"/>
  <c r="B1152" i="6"/>
  <c r="B58" i="6"/>
  <c r="AC1070" i="6"/>
  <c r="B1070" i="6"/>
  <c r="B987" i="6"/>
  <c r="AC1303" i="6"/>
  <c r="B1303" i="6"/>
  <c r="B1054" i="6"/>
  <c r="AC998" i="6"/>
  <c r="B998" i="6"/>
  <c r="AC1009" i="6"/>
  <c r="B1009" i="6"/>
  <c r="AC1095" i="6"/>
  <c r="B1095" i="6"/>
  <c r="B976" i="6"/>
  <c r="B985" i="6"/>
  <c r="B993" i="6"/>
  <c r="B1576" i="6"/>
  <c r="AC12" i="6"/>
  <c r="B12" i="6"/>
  <c r="AC1150" i="6"/>
  <c r="B1150" i="6"/>
  <c r="B984" i="6"/>
  <c r="AC1269" i="6"/>
  <c r="B1269" i="6"/>
  <c r="B977" i="6"/>
  <c r="B968" i="6"/>
  <c r="B983" i="6"/>
  <c r="B59" i="6"/>
  <c r="B990" i="6"/>
  <c r="B979" i="6"/>
  <c r="B1019" i="6"/>
  <c r="AC997" i="6"/>
  <c r="B997" i="6"/>
  <c r="AC1075" i="6"/>
  <c r="B1075" i="6"/>
  <c r="B991" i="6"/>
  <c r="H2" i="7"/>
  <c r="I3" i="7"/>
  <c r="AC51" i="6"/>
  <c r="B51" i="6"/>
  <c r="AC1060" i="6"/>
  <c r="B1012" i="6"/>
  <c r="B980" i="6"/>
  <c r="J1" i="8"/>
  <c r="AC556" i="6"/>
  <c r="N3" i="7"/>
  <c r="N2" i="7"/>
  <c r="M2" i="7"/>
  <c r="T3" i="7"/>
  <c r="T2" i="7"/>
  <c r="S2" i="7"/>
  <c r="J3" i="7"/>
  <c r="J2" i="7"/>
  <c r="I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<sst xmlns="http://schemas.openxmlformats.org/spreadsheetml/2006/main" count="23554" uniqueCount="4488">
  <si>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</si>
  <si>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</si>
  <si>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</si>
  <si>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</si>
  <si>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</si>
  <si>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</si>
  <si>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</si>
  <si>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</si>
  <si>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</si>
  <si>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</si>
  <si>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</si>
  <si>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</si>
  <si>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</si>
  <si>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</si>
  <si>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</si>
  <si>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</si>
  <si>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</si>
  <si>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</si>
  <si>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</si>
  <si>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</si>
  <si>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</si>
  <si>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</si>
  <si>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</si>
  <si>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</si>
  <si>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</si>
  <si>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</si>
  <si>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</si>
  <si>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</si>
  <si>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</si>
  <si>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</si>
  <si>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</si>
  <si>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</si>
  <si>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</si>
  <si>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</si>
  <si>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</si>
  <si>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</si>
  <si>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</si>
  <si>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</si>
  <si>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</si>
  <si>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</si>
  <si>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</si>
  <si>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</si>
  <si>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</si>
  <si>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</si>
  <si>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</si>
  <si>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</si>
  <si>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</si>
  <si>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</si>
  <si>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</si>
  <si>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</si>
  <si>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</si>
  <si>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</si>
  <si>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</si>
  <si>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</si>
  <si>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</si>
  <si>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</si>
  <si>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</si>
  <si>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</si>
  <si>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</si>
  <si>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</si>
  <si>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</si>
  <si>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</si>
  <si>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</si>
  <si>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</si>
  <si>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</si>
  <si>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</si>
  <si>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</si>
  <si>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</si>
  <si>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</si>
  <si>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</si>
  <si>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</si>
  <si>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</si>
  <si>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</si>
  <si>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</si>
  <si>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</si>
  <si>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</si>
  <si>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</si>
  <si>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</si>
  <si>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</si>
  <si>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</si>
  <si>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</si>
  <si>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</si>
  <si>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</si>
  <si>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</si>
  <si>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</si>
  <si>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</si>
  <si>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</si>
  <si>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</si>
  <si>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</si>
  <si>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</si>
  <si>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</si>
  <si>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</si>
  <si>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</si>
  <si>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</si>
  <si>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</si>
  <si>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</si>
  <si>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</si>
  <si>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</si>
  <si>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</si>
  <si>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</si>
  <si>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</si>
  <si>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</si>
  <si>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</si>
  <si>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</si>
  <si>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</si>
  <si>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</si>
  <si>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</si>
  <si>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</si>
  <si>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</si>
  <si>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</si>
  <si>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</si>
  <si>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</si>
  <si>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</si>
  <si>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</si>
  <si>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</si>
  <si>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</si>
  <si>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</si>
  <si>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</si>
  <si>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</si>
  <si>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</si>
  <si>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</si>
  <si>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</si>
  <si>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</si>
  <si>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</si>
  <si>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</si>
  <si>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</si>
  <si>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</si>
  <si>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</si>
  <si>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</si>
  <si>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</si>
  <si>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</si>
  <si>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</si>
  <si>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</si>
  <si>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</si>
  <si>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</si>
  <si>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</si>
  <si>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</si>
  <si>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</si>
  <si>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</si>
  <si>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</si>
  <si>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</si>
  <si>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</si>
  <si>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</si>
  <si>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</si>
  <si>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</si>
  <si>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</si>
  <si>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</si>
  <si>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</si>
  <si>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</si>
  <si>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</si>
  <si>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</si>
  <si>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</si>
  <si>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</si>
  <si>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</si>
  <si>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</si>
  <si>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</si>
  <si>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</si>
  <si>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</si>
  <si>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</si>
  <si>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</si>
  <si>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</si>
  <si>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</si>
  <si>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</si>
  <si>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</si>
  <si>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</si>
  <si>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</si>
  <si>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</si>
  <si>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</si>
  <si>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</si>
  <si>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</si>
  <si>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</si>
  <si>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</si>
  <si>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</si>
  <si>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</si>
  <si>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</si>
  <si>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</si>
  <si>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</si>
  <si>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</si>
  <si>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</si>
  <si>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</si>
  <si>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</si>
  <si>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</si>
  <si>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</si>
  <si>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</si>
  <si>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</si>
  <si>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</si>
  <si>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</si>
  <si>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</si>
  <si>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</si>
  <si>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</si>
  <si>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</si>
  <si>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</si>
  <si>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</si>
  <si>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</si>
  <si>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</si>
  <si>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</si>
  <si>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</si>
  <si>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</si>
  <si>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</si>
  <si>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</si>
  <si>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</si>
  <si>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</si>
  <si>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</si>
  <si>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</si>
  <si>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</si>
  <si>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</si>
  <si>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</si>
  <si>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</si>
  <si>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</si>
  <si>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</si>
  <si>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</si>
  <si>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</si>
  <si>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</si>
  <si>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</si>
  <si>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</si>
  <si>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</si>
  <si>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</si>
  <si>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</si>
  <si>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</si>
  <si>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</si>
  <si>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</si>
  <si>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</si>
  <si>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</si>
  <si>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</si>
  <si>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</si>
  <si>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</si>
  <si>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</si>
  <si>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</si>
  <si>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</si>
  <si>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</si>
  <si>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</si>
  <si>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</si>
  <si>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</si>
  <si>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</si>
  <si>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</si>
  <si>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</si>
  <si>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</si>
  <si>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</si>
  <si>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</si>
  <si>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</si>
  <si>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</si>
  <si>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</si>
  <si>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</si>
  <si>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</si>
  <si>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</si>
  <si>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</si>
  <si>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</si>
  <si>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</si>
  <si>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</si>
  <si>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</si>
  <si>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</si>
  <si>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</si>
  <si>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</si>
  <si>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</si>
  <si>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</si>
  <si>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</si>
  <si>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</si>
  <si>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</si>
  <si>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</si>
  <si>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</si>
  <si>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</si>
  <si>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</si>
  <si>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</si>
  <si>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</si>
  <si>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</si>
  <si>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</si>
  <si>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</si>
  <si>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</si>
  <si>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</si>
  <si>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</si>
  <si>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</si>
  <si>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</si>
  <si>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</si>
  <si>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</si>
  <si>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</si>
  <si>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</si>
  <si>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</si>
  <si>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</si>
  <si>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</si>
  <si>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</si>
  <si>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</si>
  <si>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</si>
  <si>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</si>
  <si>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</si>
  <si>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</si>
  <si>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</si>
  <si>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</si>
  <si>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</si>
  <si>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</si>
  <si>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</si>
  <si>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</si>
  <si>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</si>
  <si>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</si>
  <si>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</si>
  <si>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</si>
  <si>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</si>
  <si>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</si>
  <si>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</si>
  <si>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</si>
  <si>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</si>
  <si>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</si>
  <si>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</si>
  <si>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</si>
  <si>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</si>
  <si>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</si>
  <si>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</si>
  <si>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</si>
  <si>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</si>
  <si>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</si>
  <si>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</si>
  <si>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</si>
  <si>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</si>
  <si>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</si>
  <si>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</si>
  <si>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</si>
  <si>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</si>
  <si>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</si>
  <si>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</si>
  <si>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</si>
  <si>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</si>
  <si>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</si>
  <si>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</si>
  <si>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</si>
  <si>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</si>
  <si>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</si>
  <si>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</si>
  <si>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</si>
  <si>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</si>
  <si>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</si>
  <si>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</si>
  <si>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</si>
  <si>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</si>
  <si>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</si>
  <si>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</si>
  <si>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</si>
  <si>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</si>
  <si>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</si>
  <si>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</si>
  <si>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</si>
  <si>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</si>
  <si>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</si>
  <si>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</si>
  <si>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</si>
  <si>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</si>
  <si>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</si>
  <si>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</si>
  <si>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</si>
  <si>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</si>
  <si>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</si>
  <si>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</si>
  <si>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</si>
  <si>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</si>
  <si>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</si>
  <si>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</si>
  <si>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</si>
  <si>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</si>
  <si>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</si>
  <si>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</si>
  <si>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</si>
  <si>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</si>
  <si>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</si>
  <si>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</si>
  <si>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</si>
  <si>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</si>
  <si>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</si>
  <si>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</si>
  <si>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</si>
  <si>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</si>
  <si>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</si>
  <si>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</si>
  <si>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</si>
  <si>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</si>
  <si>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</si>
  <si>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</si>
  <si>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</si>
  <si>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</si>
  <si>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</si>
  <si>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</si>
  <si>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</si>
  <si>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</si>
  <si>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</si>
  <si>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</si>
  <si>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</si>
  <si>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</si>
  <si>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</si>
  <si>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</si>
  <si>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</si>
  <si>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</si>
  <si>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</si>
  <si>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</si>
  <si>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</si>
  <si>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</si>
  <si>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</si>
  <si>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</si>
  <si>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</si>
  <si>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</si>
  <si>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</si>
  <si>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</si>
  <si>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</si>
  <si>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</si>
  <si>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</si>
  <si>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</si>
  <si>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</si>
  <si>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</si>
  <si>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</si>
  <si>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</si>
  <si>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</si>
  <si>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</si>
  <si>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</si>
  <si>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</si>
  <si>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</si>
  <si>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</si>
  <si>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</si>
  <si>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</si>
  <si>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</si>
  <si>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</si>
  <si>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</si>
  <si>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</si>
  <si>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</si>
  <si>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</si>
  <si>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</si>
  <si>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</si>
  <si>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</si>
  <si>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</si>
  <si>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</si>
  <si>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</si>
  <si>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</si>
  <si>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</si>
  <si>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</si>
  <si>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</si>
  <si>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</si>
  <si>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</si>
  <si>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</si>
  <si>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</si>
  <si>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</si>
  <si>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</si>
  <si>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</si>
  <si>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</si>
  <si>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</si>
  <si>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</si>
  <si>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</si>
  <si>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</si>
  <si>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</si>
  <si>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</si>
  <si>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</si>
  <si>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</si>
  <si>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</si>
  <si>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</si>
  <si>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</si>
  <si>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</si>
  <si>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</si>
  <si>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</si>
  <si>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</si>
  <si>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</si>
  <si>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</si>
  <si>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</si>
  <si>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</si>
  <si>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</si>
  <si>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</si>
  <si>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</si>
  <si>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</si>
  <si>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</si>
  <si>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</si>
  <si>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</si>
  <si>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</si>
  <si>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</si>
  <si>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</si>
  <si>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</si>
  <si>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</si>
  <si>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</si>
  <si>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</si>
  <si>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</si>
  <si>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</si>
  <si>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</si>
  <si>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</si>
  <si>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</si>
  <si>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</si>
  <si>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</si>
  <si>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</si>
  <si>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</si>
  <si>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</si>
  <si>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</si>
  <si>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</si>
  <si>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</si>
  <si>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</si>
  <si>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</si>
  <si>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</si>
  <si>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</si>
  <si>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</si>
  <si>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</si>
  <si>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</si>
  <si>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</si>
  <si>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</si>
  <si>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</si>
  <si>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</si>
  <si>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</si>
  <si>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</si>
  <si>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</si>
  <si>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</si>
  <si>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</si>
  <si>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</si>
  <si>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</si>
  <si>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</si>
  <si>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</si>
  <si>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</si>
  <si>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</si>
  <si>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</si>
  <si>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</si>
  <si>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</si>
  <si>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</si>
  <si>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</si>
  <si>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</si>
  <si>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</si>
  <si>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</si>
  <si>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</si>
  <si>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</si>
  <si>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</si>
  <si>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</si>
  <si>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</si>
  <si>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</si>
  <si>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</si>
  <si>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</si>
  <si>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</si>
  <si>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</si>
  <si>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</si>
  <si>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</si>
  <si>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</si>
  <si>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</si>
  <si>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</si>
  <si>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</si>
  <si>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</si>
  <si>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</si>
  <si>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</si>
  <si>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</si>
  <si>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</si>
  <si>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</si>
  <si>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</si>
  <si>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</si>
  <si>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</si>
  <si>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</si>
  <si>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</si>
  <si>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</si>
  <si>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</si>
  <si>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</si>
  <si>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</si>
  <si>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</si>
  <si>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</si>
  <si>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</si>
  <si>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</si>
  <si>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</si>
  <si>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</si>
  <si>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</si>
  <si>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</si>
  <si>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</si>
  <si>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</si>
  <si>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</si>
  <si>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</si>
  <si>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</si>
  <si>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</si>
  <si>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</si>
  <si>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</si>
  <si>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</si>
  <si>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</si>
  <si>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</si>
  <si>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</si>
  <si>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</si>
  <si>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</si>
  <si>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</si>
  <si>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</si>
  <si>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</si>
  <si>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</si>
  <si>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</si>
  <si>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</si>
  <si>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</si>
  <si>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</si>
  <si>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</si>
  <si>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</si>
  <si>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</si>
  <si>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</si>
  <si>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</si>
  <si>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</si>
  <si>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</si>
  <si>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</si>
  <si>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</si>
  <si>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</si>
  <si>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</si>
  <si>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</si>
  <si>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</si>
  <si>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</si>
  <si>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</si>
  <si>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</si>
  <si>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</si>
  <si>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</si>
  <si>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</si>
  <si>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</si>
  <si>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</si>
  <si>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</si>
  <si>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</si>
  <si>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</si>
  <si>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</si>
  <si>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</si>
  <si>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</si>
  <si>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</si>
  <si>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</si>
  <si>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</si>
  <si>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</si>
  <si>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</si>
  <si>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</si>
  <si>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</si>
  <si>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</si>
  <si>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</si>
  <si>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</si>
  <si>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</si>
  <si>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</si>
  <si>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</si>
  <si>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</si>
  <si>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</si>
  <si>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</si>
  <si>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</si>
  <si>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</si>
  <si>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</si>
  <si>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</si>
  <si>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</si>
  <si>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</si>
  <si>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</si>
  <si>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</si>
  <si>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</si>
  <si>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</si>
  <si>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</si>
  <si>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</si>
  <si>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</si>
  <si>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</si>
  <si>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</si>
  <si>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</si>
  <si>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</si>
  <si>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</si>
  <si>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</si>
  <si>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</si>
  <si>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</si>
  <si>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</si>
  <si>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</si>
  <si>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</si>
  <si>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</si>
  <si>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</si>
  <si>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</si>
  <si>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</si>
  <si>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</si>
  <si>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</si>
  <si>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</si>
  <si>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</si>
  <si>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</si>
  <si>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</si>
  <si>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</si>
  <si>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</si>
  <si>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</si>
  <si>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</si>
  <si>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</si>
  <si>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</si>
  <si>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</si>
  <si>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</si>
  <si>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</si>
  <si>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</si>
  <si>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</si>
  <si>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</si>
  <si>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</si>
  <si>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</si>
  <si>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</si>
  <si>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</si>
  <si>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</si>
  <si>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</si>
  <si>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</si>
  <si>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</si>
  <si>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</si>
  <si>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</si>
  <si>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</si>
  <si>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</si>
  <si>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</si>
  <si>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</si>
  <si>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</si>
  <si>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</si>
  <si>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</si>
  <si>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</si>
  <si>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</si>
  <si>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</si>
  <si>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</si>
  <si>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</si>
  <si>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</si>
  <si>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</si>
  <si>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</si>
  <si>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</si>
  <si>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</si>
  <si>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</si>
  <si>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</si>
  <si>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</si>
  <si>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</si>
  <si>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</si>
  <si>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</si>
  <si>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</si>
  <si>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</si>
  <si>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</si>
  <si>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</si>
  <si>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</si>
  <si>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</si>
  <si>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</si>
  <si>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</si>
  <si>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</si>
  <si>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</si>
  <si>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</si>
  <si>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</si>
  <si>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</si>
  <si>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</si>
  <si>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</si>
  <si>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</si>
  <si>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</si>
  <si>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</si>
  <si>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</si>
  <si>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</si>
  <si>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</si>
  <si>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</si>
  <si>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</si>
  <si>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</si>
  <si>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</si>
  <si>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</si>
  <si>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</si>
  <si>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</si>
  <si>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</si>
  <si>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</si>
  <si>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</si>
  <si>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</si>
  <si>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</si>
  <si>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</si>
  <si>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</si>
  <si>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</si>
  <si>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</si>
  <si>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</si>
  <si>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</si>
  <si>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</si>
  <si>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</si>
  <si>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</si>
  <si>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</si>
  <si>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</si>
  <si>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</si>
  <si>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</si>
  <si>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</si>
  <si>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</si>
  <si>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</si>
  <si>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</si>
  <si>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</si>
  <si>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</si>
  <si>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</si>
  <si>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</si>
  <si>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</si>
  <si>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</si>
  <si>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</si>
  <si>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</si>
  <si>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</si>
  <si>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</si>
  <si>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</si>
  <si>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</si>
  <si>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</si>
  <si>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</si>
  <si>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</si>
  <si>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</si>
  <si>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</si>
  <si>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</si>
  <si>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</si>
  <si>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</si>
  <si>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</si>
  <si>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</si>
  <si>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</si>
  <si>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</si>
  <si>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</si>
  <si>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</si>
  <si>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</si>
  <si>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</si>
  <si>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</si>
  <si>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</si>
  <si>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</si>
  <si>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</si>
  <si>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</si>
  <si>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</si>
  <si>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</si>
  <si>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</si>
  <si>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</si>
  <si>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</si>
  <si>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</si>
  <si>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</si>
  <si>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</si>
  <si>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</si>
  <si>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</si>
  <si>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</si>
  <si>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</si>
  <si>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</si>
  <si>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</si>
  <si>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</si>
  <si>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</si>
  <si>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</si>
  <si>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</si>
  <si>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</si>
  <si>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</si>
  <si>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</si>
  <si>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</si>
  <si>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</si>
  <si>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</si>
  <si>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</si>
  <si>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</si>
  <si>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</si>
  <si>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</si>
  <si>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</si>
  <si>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</si>
  <si>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</si>
  <si>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</si>
  <si>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</si>
  <si>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</si>
  <si>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</si>
  <si>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</si>
  <si>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</si>
  <si>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</si>
  <si>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</si>
  <si>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</si>
  <si>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</si>
  <si>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</si>
  <si>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</si>
  <si>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</si>
  <si>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</si>
  <si>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</si>
  <si>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</si>
  <si>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</si>
  <si>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</si>
  <si>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</si>
  <si>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</si>
  <si>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</si>
  <si>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</si>
  <si>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</si>
  <si>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</si>
  <si>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</si>
  <si>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</si>
  <si>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</si>
  <si>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</si>
  <si>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</si>
  <si>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</si>
  <si>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</si>
  <si>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</si>
  <si>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</si>
  <si>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</si>
  <si>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</si>
  <si>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</si>
  <si>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</si>
  <si>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</si>
  <si>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</si>
  <si>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</si>
  <si>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</si>
  <si>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</si>
  <si>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</si>
  <si>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</si>
  <si>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</si>
  <si>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</si>
  <si>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</si>
  <si>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</si>
  <si>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</si>
  <si>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</si>
  <si>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</si>
  <si>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</si>
  <si>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</si>
  <si>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</si>
  <si>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</si>
  <si>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</si>
  <si>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</si>
  <si>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</si>
  <si>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</si>
  <si>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</si>
  <si>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</si>
  <si>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</si>
  <si>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</si>
  <si>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</si>
  <si>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</si>
  <si>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</si>
  <si>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</si>
  <si>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</si>
  <si>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</si>
  <si>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</si>
  <si>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</si>
  <si>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</si>
  <si>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</si>
  <si>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</si>
  <si>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</si>
  <si>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</si>
  <si>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</si>
  <si>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</si>
  <si>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</si>
  <si>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</si>
  <si>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</si>
  <si>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</si>
  <si>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</si>
  <si>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</si>
  <si>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</si>
  <si>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</si>
  <si>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</si>
  <si>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</si>
  <si>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</si>
  <si>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</si>
  <si>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</si>
  <si>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</si>
  <si>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</si>
  <si>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</si>
  <si>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</si>
  <si>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</si>
  <si>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</si>
  <si>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</si>
  <si>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</si>
  <si>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</si>
  <si>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</si>
  <si>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</si>
  <si>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</si>
  <si>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</si>
  <si>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</si>
  <si>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</si>
  <si>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</si>
  <si>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</si>
  <si>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</si>
  <si>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</si>
  <si>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</si>
  <si>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</si>
  <si>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</si>
  <si>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</si>
  <si>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</si>
  <si>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</si>
  <si>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</si>
  <si>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</si>
  <si>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</si>
  <si>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</si>
  <si>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</si>
  <si>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</si>
  <si>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</si>
  <si>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</si>
  <si>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</si>
  <si>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</si>
  <si>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</si>
  <si>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</si>
  <si>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</si>
  <si>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</si>
  <si>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</si>
  <si>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</si>
  <si>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</si>
  <si>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</si>
  <si>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</si>
  <si>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</si>
  <si>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</si>
  <si>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</si>
  <si>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</si>
  <si>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</si>
  <si>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</si>
  <si>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</si>
  <si>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</si>
  <si>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</si>
  <si>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</si>
  <si>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</si>
  <si>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</si>
  <si>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</si>
  <si>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</si>
  <si>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</si>
  <si>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</si>
  <si>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</si>
  <si>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</si>
  <si>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</si>
  <si>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</si>
  <si>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</si>
  <si>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</si>
  <si>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</si>
  <si>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</si>
  <si>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</si>
  <si>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</si>
  <si>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</si>
  <si>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</si>
  <si>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</si>
  <si>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</si>
  <si>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</si>
  <si>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</si>
  <si>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</si>
  <si>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</si>
  <si>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</si>
  <si>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</si>
  <si>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</si>
  <si>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</si>
  <si>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</si>
  <si>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</si>
  <si>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</si>
  <si>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</si>
  <si>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</si>
  <si>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</si>
  <si>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</si>
  <si>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</si>
  <si>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</si>
  <si>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</si>
  <si>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</si>
  <si>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</si>
  <si>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</si>
  <si>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</si>
  <si>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</si>
  <si>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</si>
  <si>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</si>
  <si>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</si>
  <si>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</si>
  <si>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</si>
  <si>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</si>
  <si>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</si>
  <si>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</si>
  <si>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</si>
  <si>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</si>
  <si>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</si>
  <si>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</si>
  <si>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</si>
  <si>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</si>
  <si>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</si>
  <si>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</si>
  <si>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</si>
  <si>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</si>
  <si>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</si>
  <si>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</si>
  <si>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</si>
  <si>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</si>
  <si>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</si>
  <si>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</si>
  <si>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</si>
  <si>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</si>
  <si>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</si>
  <si>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</si>
  <si>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</si>
  <si>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</si>
  <si>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</si>
  <si>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</si>
  <si>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</si>
  <si>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</si>
  <si>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</si>
  <si>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</si>
  <si>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</si>
  <si>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</si>
  <si>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</si>
  <si>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</si>
  <si>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</si>
  <si>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</si>
  <si>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</si>
  <si>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</si>
  <si>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</si>
  <si>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</si>
  <si>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</si>
  <si>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</si>
  <si>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</si>
  <si>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</si>
  <si>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</si>
  <si>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</si>
  <si>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</si>
  <si>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</si>
  <si>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</si>
  <si>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</si>
  <si>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</si>
  <si>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</si>
  <si>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</si>
  <si>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</si>
  <si>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</si>
  <si>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</si>
  <si>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</si>
  <si>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</si>
  <si>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</si>
  <si>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</si>
  <si>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</si>
  <si>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</si>
  <si>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</si>
  <si>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</si>
  <si>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</si>
  <si>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</si>
  <si>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</si>
  <si>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</si>
  <si>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</si>
  <si>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</si>
  <si>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</si>
  <si>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</si>
  <si>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</si>
  <si>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</si>
  <si>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</si>
  <si>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</si>
  <si>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</si>
  <si>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</si>
  <si>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</si>
  <si>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</si>
  <si>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</si>
  <si>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</si>
  <si>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</si>
  <si>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</si>
  <si>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</si>
  <si>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</si>
  <si>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</si>
  <si>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</si>
  <si>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</si>
  <si>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</si>
  <si>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</si>
  <si>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</si>
  <si>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</si>
  <si>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</si>
  <si>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</si>
  <si>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</si>
  <si>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</si>
  <si>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</si>
  <si>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</si>
  <si>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</si>
  <si>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</si>
  <si>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</si>
  <si>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</si>
  <si>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</si>
  <si>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</si>
  <si>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</si>
  <si>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</si>
  <si>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</si>
  <si>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</si>
  <si>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</si>
  <si>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</si>
  <si>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</si>
  <si>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</si>
  <si>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</si>
  <si>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</si>
  <si>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</si>
  <si>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</si>
  <si>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</si>
  <si>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</si>
  <si>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</si>
  <si>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</si>
  <si>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</si>
  <si>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</si>
  <si>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</si>
  <si>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</si>
  <si>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</si>
  <si>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</si>
  <si>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</si>
  <si>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</si>
  <si>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</si>
  <si>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</si>
  <si>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</si>
  <si>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</si>
  <si>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</si>
  <si>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</si>
  <si>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</si>
  <si>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</si>
  <si>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</si>
  <si>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</si>
  <si>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</si>
  <si>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</si>
  <si>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</si>
  <si>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</si>
  <si>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</si>
  <si>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</si>
  <si>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</si>
  <si>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</si>
  <si>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</si>
  <si>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</si>
  <si>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</si>
  <si>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</si>
  <si>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</si>
  <si>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</si>
  <si>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</si>
  <si>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</si>
  <si>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</si>
  <si>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</si>
  <si>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</si>
  <si>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</si>
  <si>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</si>
  <si>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</si>
  <si>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</si>
  <si>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</si>
  <si>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</si>
  <si>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</si>
  <si>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</si>
  <si>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</si>
  <si>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</si>
  <si>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</si>
  <si>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</si>
  <si>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</si>
  <si>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</si>
  <si>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</si>
  <si>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</si>
  <si>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</si>
  <si>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</si>
  <si>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</si>
  <si>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</si>
  <si>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</si>
  <si>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</si>
  <si>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</si>
  <si>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</si>
  <si>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</si>
  <si>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</si>
  <si>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</si>
  <si>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</si>
  <si>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</si>
  <si>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</si>
  <si>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</si>
  <si>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</si>
  <si>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</si>
  <si>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</si>
  <si>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</si>
  <si>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</si>
  <si>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</si>
  <si>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</si>
  <si>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</si>
  <si>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</si>
  <si>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</si>
  <si>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</si>
  <si>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</si>
  <si>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</si>
  <si>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</si>
  <si>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</si>
  <si>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</si>
  <si>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</si>
  <si>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</si>
  <si>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</si>
  <si>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</si>
  <si>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</si>
  <si>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</si>
  <si>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</si>
  <si>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</si>
  <si>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</si>
  <si>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</si>
  <si>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</si>
  <si>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</si>
  <si>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</si>
  <si>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</si>
  <si>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</si>
  <si>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</si>
  <si>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</si>
  <si>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</si>
  <si>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</si>
  <si>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</si>
  <si>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</si>
  <si>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</si>
  <si>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</si>
  <si>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</si>
  <si>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</si>
  <si>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</si>
  <si>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</si>
  <si>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</si>
  <si>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</si>
  <si>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</si>
  <si>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</si>
  <si>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</si>
  <si>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</si>
  <si>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</si>
  <si>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</si>
  <si>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</si>
  <si>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</si>
  <si>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</si>
  <si>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</si>
  <si>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</si>
  <si>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</si>
  <si>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</si>
  <si>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</si>
  <si>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</si>
  <si>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</si>
  <si>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</si>
  <si>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</si>
  <si>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</si>
  <si>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</si>
  <si>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</si>
  <si>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</si>
  <si>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</si>
  <si>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</si>
  <si>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</si>
  <si>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</si>
  <si>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</si>
  <si>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</si>
  <si>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</si>
  <si>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</si>
  <si>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</si>
  <si>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</si>
  <si>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</si>
  <si>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</si>
  <si>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</si>
  <si>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</si>
  <si>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</si>
  <si>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</si>
  <si>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</si>
  <si>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</si>
  <si>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</si>
  <si>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</si>
  <si>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</si>
  <si>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</si>
  <si>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</si>
  <si>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</si>
  <si>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</si>
  <si>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</si>
  <si>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</si>
  <si>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</si>
  <si>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</si>
  <si>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</si>
  <si>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</si>
  <si>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</si>
  <si>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</si>
  <si>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</si>
  <si>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</si>
  <si>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</si>
  <si>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</si>
  <si>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</si>
  <si>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</si>
  <si>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</si>
  <si>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</si>
  <si>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</si>
  <si>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</si>
  <si>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</si>
  <si>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</si>
  <si>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</si>
  <si>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</si>
  <si>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</si>
  <si>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</si>
  <si>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</si>
  <si>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</si>
  <si>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</si>
  <si>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</si>
  <si>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</si>
  <si>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</si>
  <si>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</si>
  <si>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</si>
  <si>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</si>
  <si>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</si>
  <si>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</si>
  <si>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</si>
  <si>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</si>
  <si>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</si>
  <si>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</si>
  <si>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</si>
  <si>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</si>
  <si>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</si>
  <si>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</si>
  <si>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</si>
  <si>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</si>
  <si>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</si>
  <si>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</si>
  <si>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</si>
  <si>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</si>
  <si>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</si>
  <si>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</si>
  <si>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</si>
  <si>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</si>
  <si>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</si>
  <si>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</si>
  <si>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</si>
  <si>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</si>
  <si>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</si>
  <si>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</si>
  <si>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</si>
  <si>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</si>
  <si>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</si>
  <si>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</si>
  <si>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</si>
  <si>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</si>
  <si>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</si>
  <si>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</si>
  <si>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</si>
  <si>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</si>
  <si>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</si>
  <si>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</si>
  <si>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</si>
  <si>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</si>
  <si>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</si>
  <si>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</si>
  <si>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</si>
  <si>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</si>
  <si>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</si>
  <si>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</si>
  <si>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</si>
  <si>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</si>
  <si>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</si>
  <si>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</si>
  <si>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</si>
  <si>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</si>
  <si>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</si>
  <si>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</si>
  <si>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</si>
  <si>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</si>
  <si>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</si>
  <si>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</si>
  <si>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</si>
  <si>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</si>
  <si>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</si>
  <si>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</si>
  <si>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</si>
  <si>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</si>
  <si>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</si>
  <si>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</si>
  <si>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</si>
  <si>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</si>
  <si>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</si>
  <si>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</si>
  <si>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</si>
  <si>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</si>
  <si>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</si>
  <si>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</si>
  <si>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</si>
  <si>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</si>
  <si>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</si>
  <si>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</si>
  <si>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</si>
  <si>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</si>
  <si>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</si>
  <si>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</si>
  <si>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</si>
  <si>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</si>
  <si>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</si>
  <si>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</si>
  <si>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</si>
  <si>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</si>
  <si>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</si>
  <si>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</si>
  <si>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</si>
  <si>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</si>
  <si>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</si>
  <si>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</si>
  <si>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</si>
  <si>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</si>
  <si>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</si>
  <si>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</si>
  <si>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</si>
  <si>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</si>
  <si>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</si>
  <si>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</si>
  <si>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</si>
  <si>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</si>
  <si>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</si>
  <si>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</si>
  <si>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</si>
  <si>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</si>
  <si>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</si>
  <si>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</si>
  <si>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</si>
  <si>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</si>
  <si>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</si>
  <si>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</si>
  <si>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</si>
  <si>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</si>
  <si>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</si>
  <si>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</si>
  <si>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</si>
  <si>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</si>
  <si>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</si>
  <si>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</si>
  <si>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</si>
  <si>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</si>
  <si>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</si>
  <si>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</si>
  <si>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</si>
  <si>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</si>
  <si>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</si>
  <si>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</si>
  <si>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</si>
  <si>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</si>
  <si>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</si>
  <si>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</si>
  <si>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</si>
  <si>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</si>
  <si>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</si>
  <si>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</si>
  <si>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</si>
  <si>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</si>
  <si>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</si>
  <si>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</si>
  <si>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</si>
  <si>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</si>
  <si>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</si>
  <si>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</si>
  <si>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</si>
  <si>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</si>
  <si>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</si>
  <si>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</si>
  <si>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</si>
  <si>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</si>
  <si>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</si>
  <si>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</si>
  <si>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</si>
  <si>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</si>
  <si>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</si>
  <si>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</si>
  <si>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</si>
  <si>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</si>
  <si>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</si>
  <si>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</si>
  <si>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</si>
  <si>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</si>
  <si>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</si>
  <si>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</si>
  <si>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</si>
  <si>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</si>
  <si>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</si>
  <si>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</si>
  <si>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</si>
  <si>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</si>
  <si>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</si>
  <si>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</si>
  <si>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</si>
  <si>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</si>
  <si>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</si>
  <si>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</si>
  <si>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</si>
  <si>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</si>
  <si>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</si>
  <si>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</si>
  <si>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</si>
  <si>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</si>
  <si>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</si>
  <si>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</si>
  <si>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</si>
  <si>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</si>
  <si>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</si>
  <si>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</si>
  <si>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</si>
  <si>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</si>
  <si>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</si>
  <si>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</si>
  <si>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</si>
  <si>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</si>
  <si>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</si>
  <si>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</si>
  <si>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</si>
  <si>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</si>
  <si>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</si>
  <si>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</si>
  <si>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</si>
  <si>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</si>
  <si>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</si>
  <si>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</si>
  <si>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</si>
  <si>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</si>
  <si>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</si>
  <si>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</si>
  <si>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</si>
  <si>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</si>
  <si>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</si>
  <si>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</si>
  <si>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</si>
  <si>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</si>
  <si>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</si>
  <si>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</si>
  <si>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</si>
  <si>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</si>
  <si>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</si>
  <si>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</si>
  <si>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</si>
  <si>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</si>
  <si>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</si>
  <si>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</si>
  <si>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</si>
  <si>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</si>
  <si>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</si>
  <si>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</si>
  <si>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</si>
  <si>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</si>
  <si>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</si>
  <si>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</si>
  <si>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</si>
  <si>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</si>
  <si>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</si>
  <si>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</si>
  <si>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</si>
  <si>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</si>
  <si>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</si>
  <si>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</si>
  <si>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</si>
  <si>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</si>
  <si>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</si>
  <si>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</si>
  <si>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</si>
  <si>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</si>
  <si>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</si>
  <si>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</si>
  <si>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</si>
  <si>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</si>
  <si>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</si>
  <si>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</si>
  <si>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</si>
  <si>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</si>
  <si>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</si>
  <si>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</si>
  <si>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</si>
  <si>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</si>
  <si>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</si>
  <si>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</si>
  <si>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</si>
  <si>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</si>
  <si>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</si>
  <si>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</si>
  <si>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</si>
  <si>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</si>
  <si>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</si>
  <si>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</si>
  <si>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</si>
  <si>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</si>
  <si>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</si>
  <si>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</si>
  <si>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</si>
  <si>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</si>
  <si>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</si>
  <si>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</si>
  <si>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</si>
  <si>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</si>
  <si>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</si>
  <si>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</si>
  <si>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</si>
  <si>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</si>
  <si>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</si>
  <si>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</si>
  <si>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</si>
  <si>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</si>
  <si>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</si>
  <si>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</si>
  <si>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</si>
  <si>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</si>
  <si>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</si>
  <si>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</si>
  <si>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</si>
  <si>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</si>
  <si>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</si>
  <si>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</si>
  <si>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</si>
  <si>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</si>
  <si>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</si>
  <si>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</si>
  <si>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</si>
  <si>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</si>
  <si>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</si>
  <si>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</si>
  <si>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</si>
  <si>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</si>
  <si>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</si>
  <si>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</si>
  <si>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</si>
  <si>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</si>
  <si>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</si>
  <si>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</si>
  <si>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</si>
  <si>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</si>
  <si>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</si>
  <si>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</si>
  <si>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</si>
  <si>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</si>
  <si>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</si>
  <si>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</si>
  <si>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</si>
  <si>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</si>
  <si>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</si>
  <si>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</si>
  <si>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</si>
  <si>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</si>
  <si>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</si>
  <si>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</si>
  <si>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</si>
  <si>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</si>
  <si>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</si>
  <si>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</si>
  <si>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</si>
  <si>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</si>
  <si>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</si>
  <si>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</si>
  <si>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</si>
  <si>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</si>
  <si>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</si>
  <si>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</si>
  <si>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</si>
  <si>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</si>
  <si>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</si>
  <si>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</si>
  <si>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</si>
  <si>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</si>
  <si>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</si>
  <si>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</si>
  <si>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</si>
  <si>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</si>
  <si>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</si>
  <si>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</si>
  <si>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</si>
  <si>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</si>
  <si>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</si>
  <si>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</si>
  <si>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</si>
  <si>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</si>
  <si>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</si>
  <si>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</si>
  <si>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</si>
  <si>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</si>
  <si>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</si>
  <si>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</si>
  <si>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</si>
  <si>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</si>
  <si>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</si>
  <si>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</si>
  <si>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</si>
  <si>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</si>
  <si>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</si>
  <si>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</si>
  <si>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</si>
  <si>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</si>
  <si>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</si>
  <si>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</si>
  <si>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</si>
  <si>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</si>
  <si>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</si>
  <si>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</si>
  <si>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</si>
  <si>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</si>
  <si>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</si>
  <si>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</si>
  <si>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</si>
  <si>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</si>
  <si>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</si>
  <si>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</si>
  <si>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</si>
  <si>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</si>
  <si>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</si>
  <si>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</si>
  <si>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</si>
  <si>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</si>
  <si>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</si>
  <si>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</si>
  <si>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</si>
  <si>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</si>
  <si>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</si>
  <si>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</si>
  <si>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</si>
  <si>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</si>
  <si>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</si>
  <si>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</si>
  <si>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</si>
  <si>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</si>
  <si>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</si>
  <si>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</si>
  <si>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</si>
  <si>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</si>
  <si>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</si>
  <si>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</si>
  <si>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</si>
  <si>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</si>
  <si>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</si>
  <si>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</si>
  <si>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</si>
  <si>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</si>
  <si>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</si>
  <si>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</si>
  <si>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</si>
  <si>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</si>
  <si>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</si>
  <si>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</si>
  <si>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</si>
  <si>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</si>
  <si>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</si>
  <si>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</si>
  <si>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</si>
  <si>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</si>
  <si>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</si>
  <si>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</si>
  <si>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</si>
  <si>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</si>
  <si>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</si>
  <si>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</si>
  <si>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</si>
  <si>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</si>
  <si>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</si>
  <si>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</si>
  <si>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</si>
  <si>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</si>
  <si>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</si>
  <si>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</si>
  <si>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</si>
  <si>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</si>
  <si>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</si>
  <si>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</si>
  <si>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</si>
  <si>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</si>
  <si>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</si>
  <si>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</si>
  <si>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</si>
  <si>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</si>
  <si>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</si>
  <si>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</si>
  <si>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</si>
  <si>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</si>
  <si>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</si>
  <si>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</si>
  <si>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</si>
  <si>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</si>
  <si>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</si>
  <si>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</si>
  <si>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</si>
  <si>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</si>
  <si>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</si>
  <si>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</si>
  <si>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</si>
  <si>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</si>
  <si>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</si>
  <si>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</si>
  <si>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</si>
  <si>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</si>
  <si>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</si>
  <si>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</si>
  <si>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</si>
  <si>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</si>
  <si>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</si>
  <si>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</si>
  <si>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</si>
  <si>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</si>
  <si>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</si>
  <si>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</si>
  <si>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</si>
  <si>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</si>
  <si>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</si>
  <si>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</si>
  <si>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</si>
  <si>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</si>
  <si>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</si>
  <si>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</si>
  <si>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</si>
  <si>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</si>
  <si>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</si>
  <si>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</si>
  <si>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</si>
  <si>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</si>
  <si>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</si>
  <si>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</si>
  <si>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</si>
  <si>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</si>
  <si>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</si>
  <si>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</si>
  <si>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</si>
  <si>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</si>
  <si>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</si>
  <si>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</si>
  <si>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</si>
  <si>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</si>
  <si>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</si>
  <si>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</si>
  <si>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</si>
  <si>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</si>
  <si>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</si>
  <si>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</si>
  <si>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</si>
  <si>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</si>
  <si>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</si>
  <si>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</si>
  <si>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</si>
  <si>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</si>
  <si>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</si>
  <si>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</si>
  <si>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</si>
  <si>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</si>
  <si>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</si>
  <si>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</si>
  <si>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</si>
  <si>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</si>
  <si>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</si>
  <si>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</si>
  <si>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</si>
  <si>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</si>
  <si>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</si>
  <si>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</si>
  <si>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</si>
  <si>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</si>
  <si>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</si>
  <si>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</si>
  <si>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</si>
  <si>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</si>
  <si>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</si>
  <si>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</si>
  <si>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</si>
  <si>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</si>
  <si>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</si>
  <si>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</si>
  <si>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</si>
  <si>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</si>
  <si>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</si>
  <si>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</si>
  <si>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</si>
  <si>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</si>
  <si>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</si>
  <si>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</si>
  <si>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</si>
  <si>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</si>
  <si>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</si>
  <si>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</si>
  <si>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</si>
  <si>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</si>
  <si>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</si>
  <si>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</si>
  <si>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</si>
  <si>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</si>
  <si>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</si>
  <si>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</si>
  <si>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</si>
  <si>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</si>
  <si>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</si>
  <si>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</si>
  <si>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</si>
  <si>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</si>
  <si>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</si>
  <si>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</si>
  <si>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</si>
  <si>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</si>
  <si>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</si>
  <si>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</si>
  <si>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</si>
  <si>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</si>
  <si>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</si>
  <si>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</si>
  <si>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</si>
  <si>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</si>
  <si>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</si>
  <si>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</si>
  <si>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</si>
  <si>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</si>
  <si>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</si>
  <si>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</si>
  <si>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</si>
  <si>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</si>
  <si>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</si>
  <si>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</si>
  <si>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</si>
  <si>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</si>
  <si>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</si>
  <si>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</si>
  <si>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</si>
  <si>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</si>
  <si>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</si>
  <si>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</si>
  <si>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</si>
  <si>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</si>
  <si>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</si>
  <si>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</si>
  <si>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</si>
  <si>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</si>
  <si>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</si>
  <si>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</si>
  <si>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</si>
  <si>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</si>
  <si>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</si>
  <si>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</si>
  <si>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</si>
  <si>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</si>
  <si>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</si>
  <si>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</si>
  <si>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</si>
  <si>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</si>
  <si>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</si>
  <si>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</si>
  <si>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</si>
  <si>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</si>
  <si>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</si>
  <si>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</si>
  <si>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</si>
  <si>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</si>
  <si>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</si>
  <si>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</si>
  <si>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</si>
  <si>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</si>
  <si>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</si>
  <si>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</si>
  <si>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</si>
  <si>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</si>
  <si>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</si>
  <si>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</si>
  <si>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</si>
  <si>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</si>
  <si>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</si>
  <si>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</si>
  <si>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</si>
  <si>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</si>
  <si>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</si>
  <si>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</si>
  <si>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</si>
  <si>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</si>
  <si>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</si>
  <si>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</si>
  <si>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</si>
  <si>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</si>
  <si>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</si>
  <si>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</si>
  <si>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</si>
  <si>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</si>
  <si>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</si>
  <si>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</si>
  <si>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</si>
  <si>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</si>
  <si>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</si>
  <si>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</si>
  <si>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</si>
  <si>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</si>
  <si>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</si>
  <si>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</si>
  <si>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</si>
  <si>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</si>
  <si>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</si>
  <si>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</si>
  <si>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</si>
  <si>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</si>
  <si>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</si>
  <si>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</si>
  <si>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</si>
  <si>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</si>
  <si>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</si>
  <si>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</si>
  <si>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</si>
  <si>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</si>
  <si>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</si>
  <si>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</si>
  <si>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</si>
  <si>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</si>
  <si>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</si>
  <si>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</si>
  <si>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</si>
  <si>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</si>
  <si>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</si>
  <si>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</si>
  <si>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</si>
  <si>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</si>
  <si>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</si>
  <si>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</si>
  <si>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</si>
  <si>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</si>
  <si>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</si>
  <si>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</si>
  <si>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</si>
  <si>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</si>
  <si>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</si>
  <si>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</si>
  <si>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</si>
  <si>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</si>
  <si>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</si>
  <si>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</si>
  <si>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</si>
  <si>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</si>
  <si>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</si>
  <si>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</si>
  <si>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</si>
  <si>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</si>
  <si>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</si>
  <si>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</si>
  <si>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</si>
  <si>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</si>
  <si>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</si>
  <si>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</si>
  <si>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</si>
  <si>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</si>
  <si>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</si>
  <si>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</si>
  <si>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</si>
  <si>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</si>
  <si>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</si>
  <si>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</si>
  <si>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</si>
  <si>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</si>
  <si>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</si>
  <si>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</si>
  <si>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</si>
  <si>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</si>
  <si>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</si>
  <si>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</si>
  <si>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</si>
  <si>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</si>
  <si>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</si>
  <si>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</si>
  <si>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</si>
  <si>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</si>
  <si>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</si>
  <si>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</si>
  <si>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</si>
  <si>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</si>
  <si>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</si>
  <si>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</si>
  <si>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</si>
  <si>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</si>
  <si>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</si>
  <si>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</si>
  <si>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</si>
  <si>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</si>
  <si>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</si>
  <si>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</si>
  <si>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</si>
  <si>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</si>
  <si>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</si>
  <si>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</si>
  <si>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</si>
  <si>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</si>
  <si>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</si>
  <si>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</si>
  <si>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</si>
  <si>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</si>
  <si>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</si>
  <si>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</si>
  <si>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</si>
  <si>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</si>
  <si>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</si>
  <si>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</si>
  <si>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</si>
  <si>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</si>
  <si>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</si>
  <si>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</si>
  <si>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</si>
  <si>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</si>
  <si>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</si>
  <si>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</si>
  <si>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</si>
  <si>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</si>
  <si>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</si>
  <si>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</si>
  <si>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</si>
  <si>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</si>
  <si>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</si>
  <si>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</si>
  <si>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</si>
  <si>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</si>
  <si>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</si>
  <si>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</si>
  <si>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</si>
  <si>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</si>
  <si>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</si>
  <si>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</si>
  <si>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</si>
  <si>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</si>
  <si>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</si>
  <si>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</si>
  <si>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</si>
  <si>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</si>
  <si>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</si>
  <si>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</si>
  <si>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</si>
  <si>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</si>
  <si>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</si>
  <si>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</si>
  <si>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</si>
  <si>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</si>
  <si>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</si>
  <si>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</si>
  <si>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</si>
  <si>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</si>
  <si>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</si>
  <si>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</si>
  <si>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</si>
  <si>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</si>
  <si>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</si>
  <si>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</si>
  <si>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</si>
  <si>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</si>
  <si>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</si>
  <si>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</si>
  <si>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</si>
  <si>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</si>
  <si>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</si>
  <si>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</si>
  <si>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</si>
  <si>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</si>
  <si>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</si>
  <si>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</si>
  <si>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</si>
  <si>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</si>
  <si>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</si>
  <si>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</si>
  <si>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</si>
  <si>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</si>
  <si>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</si>
  <si>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</si>
  <si>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</si>
  <si>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</si>
  <si>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</si>
  <si>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</si>
  <si>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</si>
  <si>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</si>
  <si>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</si>
  <si>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</si>
  <si>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</si>
  <si>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</si>
  <si>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</si>
  <si>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</si>
  <si>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</si>
  <si>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</si>
  <si>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</si>
  <si>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</si>
  <si>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</si>
  <si>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</si>
  <si>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</si>
  <si>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</si>
  <si>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</si>
  <si>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</si>
  <si>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</si>
  <si>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</si>
  <si>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</si>
  <si>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</si>
  <si>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</si>
  <si>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</si>
  <si>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</si>
  <si>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</si>
  <si>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</si>
  <si>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</si>
  <si>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</si>
  <si>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</si>
  <si>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</si>
  <si>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</si>
  <si>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</si>
  <si>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</si>
  <si>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</si>
  <si>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</si>
  <si>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</si>
  <si>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</si>
  <si>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</si>
  <si>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</si>
  <si>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</si>
  <si>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</si>
  <si>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</si>
  <si>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</si>
  <si>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</si>
  <si>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</si>
  <si>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</si>
  <si>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</si>
  <si>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</si>
  <si>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</si>
  <si>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</si>
  <si>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</si>
  <si>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</si>
  <si>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</si>
  <si>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</si>
  <si>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</si>
  <si>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</si>
  <si>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</si>
  <si>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</si>
  <si>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</si>
  <si>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</si>
  <si>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</si>
  <si>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</si>
  <si>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</si>
  <si>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</si>
  <si>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</si>
  <si>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</si>
  <si>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</si>
  <si>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</si>
  <si>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</si>
  <si>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</si>
  <si>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</si>
  <si>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</si>
  <si>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</si>
  <si>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</si>
  <si>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</si>
  <si>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</si>
  <si>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</si>
  <si>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</si>
  <si>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</si>
  <si>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</si>
  <si>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</si>
  <si>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</si>
  <si>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</si>
  <si>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</si>
  <si>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</si>
  <si>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</si>
  <si>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</si>
  <si>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</si>
  <si>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</si>
  <si>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</si>
  <si>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</si>
  <si>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</si>
  <si>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</si>
  <si>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</si>
  <si>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</si>
  <si>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</si>
  <si>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</si>
  <si>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</si>
  <si>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</si>
  <si>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</si>
  <si>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</si>
  <si>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</si>
  <si>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</si>
  <si>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</si>
  <si>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</si>
  <si>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</si>
  <si>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</si>
  <si>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</si>
  <si>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</si>
  <si>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</si>
  <si>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</si>
  <si>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</si>
  <si>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</si>
  <si>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</si>
  <si>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</si>
  <si>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</si>
  <si>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</si>
  <si>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</si>
  <si>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</si>
  <si>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</si>
  <si>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</si>
  <si>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</si>
  <si>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</si>
  <si>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</si>
  <si>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</si>
  <si>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</si>
  <si>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</si>
  <si>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</si>
  <si>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</si>
  <si>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</si>
  <si>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</si>
  <si>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</si>
  <si>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</si>
  <si>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</si>
  <si>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</si>
  <si>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</si>
  <si>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</si>
  <si>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</si>
  <si>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</si>
  <si>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</si>
  <si>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</si>
  <si>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</si>
  <si>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</si>
  <si>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</si>
  <si>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</si>
  <si>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</si>
  <si>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</si>
  <si>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</si>
  <si>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</si>
  <si>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</si>
  <si>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</si>
  <si>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</si>
  <si>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</si>
  <si>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</si>
  <si>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</si>
  <si>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</si>
  <si>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</si>
  <si>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</si>
  <si>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</si>
  <si>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</si>
  <si>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</si>
  <si>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</si>
  <si>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</si>
  <si>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</si>
  <si>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</si>
  <si>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</si>
  <si>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</si>
  <si>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</si>
  <si>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</si>
  <si>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</si>
  <si>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</si>
  <si>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</si>
  <si>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</si>
  <si>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</si>
  <si>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</si>
  <si>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</si>
  <si>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</si>
  <si>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</si>
  <si>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</si>
  <si>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</si>
  <si>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</si>
  <si>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</si>
  <si>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</si>
  <si>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</si>
  <si>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</si>
  <si>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</si>
  <si>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</si>
  <si>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</si>
  <si>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</si>
  <si>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</si>
  <si>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</si>
  <si>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</si>
  <si>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</si>
  <si>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</si>
  <si>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</si>
  <si>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</si>
  <si>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</si>
  <si>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</si>
  <si>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</si>
  <si>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</si>
  <si>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</si>
  <si>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</si>
  <si>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</si>
  <si>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</si>
  <si>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</si>
  <si>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</si>
  <si>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</si>
  <si>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</si>
  <si>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</si>
  <si>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</si>
  <si>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</si>
  <si>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</si>
  <si>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</si>
  <si>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</si>
  <si>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</si>
  <si>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</si>
  <si>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</si>
  <si>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</si>
  <si>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</si>
  <si>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</si>
  <si>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</si>
  <si>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</si>
  <si>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</si>
  <si>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</si>
  <si>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</si>
  <si>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</si>
  <si>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</si>
  <si>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</si>
  <si>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</si>
  <si>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</si>
  <si>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</si>
  <si>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</si>
  <si>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</si>
  <si>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</si>
  <si>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</si>
  <si>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</si>
  <si>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</si>
  <si>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</si>
  <si>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</si>
  <si>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</si>
  <si>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</si>
  <si>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</si>
  <si>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</si>
  <si>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</si>
  <si>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</si>
  <si>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</si>
  <si>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</si>
  <si>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</si>
  <si>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</si>
  <si>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</si>
  <si>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</si>
  <si>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</si>
  <si>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</si>
  <si>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</si>
  <si>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</si>
  <si>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</si>
  <si>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</si>
  <si>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</si>
  <si>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</si>
  <si>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</si>
  <si>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</si>
  <si>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</si>
  <si>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</si>
  <si>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</si>
  <si>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</si>
  <si>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</si>
  <si>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</si>
  <si>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</si>
  <si>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</si>
  <si>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</si>
  <si>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</si>
  <si>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</si>
  <si>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</si>
  <si>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</si>
  <si>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</si>
  <si>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</si>
  <si>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</si>
  <si>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</si>
  <si>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</si>
  <si>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</si>
  <si>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</si>
  <si>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</si>
  <si>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</si>
  <si>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</si>
  <si>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</si>
  <si>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</si>
  <si>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</si>
  <si>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</si>
  <si>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</si>
  <si>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</si>
  <si>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</si>
  <si>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</si>
  <si>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</si>
  <si>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</si>
  <si>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</si>
  <si>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</si>
  <si>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</si>
  <si>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</si>
  <si>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</si>
  <si>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</si>
  <si>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</si>
  <si>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</si>
  <si>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</si>
  <si>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</si>
  <si>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</si>
  <si>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</si>
  <si>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</si>
  <si>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</si>
  <si>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</si>
  <si>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</si>
  <si>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</si>
  <si>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</si>
  <si>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</si>
  <si>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</si>
  <si>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</si>
  <si>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</si>
  <si>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</si>
  <si>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</si>
  <si>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</si>
  <si>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</si>
  <si>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</si>
  <si>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</si>
  <si>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</si>
  <si>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</si>
  <si>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</si>
  <si>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</si>
  <si>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</si>
  <si>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</si>
  <si>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</si>
  <si>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</si>
  <si>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</si>
  <si>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</si>
  <si>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</si>
  <si>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</si>
  <si>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</si>
  <si>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</si>
  <si>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</si>
  <si>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</si>
  <si>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</si>
  <si>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</si>
  <si>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</si>
  <si>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</si>
  <si>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</si>
  <si>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</si>
  <si>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</si>
  <si>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</si>
  <si>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</si>
  <si>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</si>
  <si>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</si>
  <si>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</si>
  <si>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</si>
  <si>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</si>
  <si>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</si>
  <si>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</si>
  <si>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</si>
  <si>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</si>
  <si>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</si>
  <si>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</si>
  <si>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</si>
  <si>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</si>
  <si>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</si>
  <si>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</si>
  <si>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</si>
  <si>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</si>
  <si>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</si>
  <si>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</si>
  <si>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</si>
  <si>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</si>
  <si>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</si>
  <si>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</si>
  <si>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</si>
  <si>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</si>
  <si>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</si>
  <si>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</si>
  <si>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</si>
  <si>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</si>
  <si>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</si>
  <si>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</si>
  <si>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</si>
  <si>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</si>
  <si>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</si>
  <si>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</si>
  <si>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</si>
  <si>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</si>
  <si>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</si>
  <si>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</si>
  <si>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</si>
  <si>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</si>
  <si>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</si>
  <si>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</si>
  <si>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</si>
  <si>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</si>
  <si>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</si>
  <si>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</si>
  <si>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</si>
  <si>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</si>
  <si>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</si>
  <si>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</si>
  <si>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</si>
  <si>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</si>
  <si>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</si>
  <si>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</si>
  <si>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</si>
  <si>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</si>
  <si>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</si>
  <si>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</si>
  <si>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</si>
  <si>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</si>
  <si>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</si>
  <si>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</si>
  <si>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</si>
  <si>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</si>
  <si>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</si>
  <si>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</si>
  <si>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</si>
  <si>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</si>
  <si>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</si>
  <si>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</si>
  <si>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</si>
  <si>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</si>
  <si>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</si>
  <si>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</si>
  <si>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</si>
  <si>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</si>
  <si>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</si>
  <si>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</si>
  <si>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</si>
  <si>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</si>
  <si>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</si>
  <si>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</si>
  <si>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</si>
  <si>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</si>
  <si>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</si>
  <si>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</si>
  <si>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</si>
  <si>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</si>
  <si>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</si>
  <si>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</si>
  <si>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</si>
  <si>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</si>
  <si>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</si>
  <si>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</si>
  <si>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</si>
  <si>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</si>
  <si>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</si>
  <si>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</si>
  <si>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</si>
  <si>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</si>
  <si>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</si>
  <si>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</si>
  <si>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</si>
  <si>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</si>
  <si>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</si>
  <si>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</si>
  <si>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</si>
  <si>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</si>
  <si>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</si>
  <si>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</si>
  <si>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</si>
  <si>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</si>
  <si>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</si>
  <si>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</si>
  <si>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</si>
  <si>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</si>
  <si>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</si>
  <si>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</si>
  <si>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</si>
  <si>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</si>
  <si>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</si>
  <si>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</si>
  <si>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</si>
  <si>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</si>
  <si>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</si>
  <si>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</si>
  <si>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</si>
  <si>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</si>
  <si>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</si>
  <si>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</si>
  <si>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</si>
  <si>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</si>
  <si>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</si>
  <si>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</si>
  <si>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</si>
  <si>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</si>
  <si>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</si>
  <si>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</si>
  <si>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</si>
  <si>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</si>
  <si>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</si>
  <si>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</si>
  <si>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</si>
  <si>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</si>
  <si>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</si>
  <si>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</si>
  <si>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</si>
  <si>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</si>
  <si>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</si>
  <si>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</si>
  <si>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</si>
  <si>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</si>
  <si>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</si>
  <si>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</si>
  <si>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</si>
  <si>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</si>
  <si>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</si>
  <si>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</si>
  <si>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</si>
  <si>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</si>
  <si>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</si>
  <si>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</si>
  <si>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</si>
  <si>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</si>
  <si>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</si>
  <si>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</si>
  <si>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</si>
  <si>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</si>
  <si>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</si>
  <si>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</si>
  <si>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</si>
  <si>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</si>
  <si>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</si>
  <si>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</si>
  <si>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</si>
  <si>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</si>
  <si>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</si>
  <si>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</si>
  <si>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</si>
  <si>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</si>
  <si>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</si>
  <si>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</si>
  <si>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</si>
  <si>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</si>
  <si>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</si>
  <si>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</si>
  <si>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</si>
  <si>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</si>
  <si>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</si>
  <si>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</si>
  <si>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</si>
  <si>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</si>
  <si>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</si>
  <si>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</si>
  <si>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</si>
  <si>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</si>
  <si>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</si>
  <si>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</si>
  <si>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</si>
  <si>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</si>
  <si>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</si>
  <si>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</si>
  <si>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</si>
  <si>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</si>
  <si>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</si>
  <si>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</si>
  <si>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</si>
  <si>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</si>
  <si>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</si>
  <si>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</si>
  <si>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</si>
  <si>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</si>
  <si>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</si>
  <si>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</si>
  <si>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</si>
  <si>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</si>
  <si>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</si>
  <si>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</si>
  <si>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</si>
  <si>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</si>
  <si>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</si>
  <si>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</si>
  <si>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</si>
  <si>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</si>
  <si>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</si>
  <si>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</si>
  <si>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</si>
  <si>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</si>
  <si>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</si>
  <si>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</si>
  <si>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</si>
  <si>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</si>
  <si>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</si>
  <si>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</si>
  <si>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</si>
  <si>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</si>
  <si>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</si>
  <si>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</si>
  <si>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</si>
  <si>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</si>
  <si>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</si>
  <si>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</si>
  <si>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</si>
  <si>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</si>
  <si>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</si>
  <si>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</si>
  <si>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</si>
  <si>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</si>
  <si>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</si>
  <si>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</si>
  <si>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</si>
  <si>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</si>
  <si>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</si>
  <si>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</si>
  <si>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</si>
  <si>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</si>
  <si>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</si>
  <si>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</si>
  <si>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</si>
  <si>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</si>
  <si>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</si>
  <si>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</si>
  <si>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</si>
  <si>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</si>
  <si>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</si>
  <si>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</si>
  <si>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</si>
  <si>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</si>
  <si>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</si>
  <si>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</si>
  <si>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</si>
  <si>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</si>
  <si>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</si>
  <si>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</si>
  <si>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</si>
  <si>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</si>
  <si>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</si>
  <si>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</si>
  <si>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</si>
  <si>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</si>
  <si>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</si>
  <si>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</si>
  <si>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</si>
  <si>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</si>
  <si>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</si>
  <si>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</si>
  <si>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</si>
  <si>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</si>
  <si>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</si>
  <si>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</si>
  <si>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</si>
  <si>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</si>
  <si>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</si>
  <si>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</si>
  <si>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</si>
  <si>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</si>
  <si>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</si>
  <si>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</si>
  <si>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</si>
  <si>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</si>
  <si>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</si>
  <si>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</si>
  <si>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</si>
  <si>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</si>
  <si>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</si>
  <si>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</si>
  <si>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</si>
  <si>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</si>
  <si>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</si>
  <si>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</si>
  <si>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</si>
  <si>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</si>
  <si>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</si>
  <si>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</si>
  <si>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</si>
  <si>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</si>
  <si>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</si>
  <si>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</si>
  <si>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</si>
  <si>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</si>
  <si>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</si>
  <si>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</si>
  <si>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</si>
  <si>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</si>
  <si>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</si>
  <si>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</si>
  <si>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</si>
  <si>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</si>
  <si>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</si>
  <si>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</si>
  <si>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</si>
  <si>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</si>
  <si>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</si>
  <si>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</si>
  <si>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</si>
  <si>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</si>
  <si>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</si>
  <si>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</si>
  <si>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</si>
  <si>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</si>
  <si>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</si>
  <si>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</si>
  <si>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</si>
  <si>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</si>
  <si>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</si>
  <si>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</si>
  <si>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</si>
  <si>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</si>
  <si>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</si>
  <si>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</si>
  <si>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</si>
  <si>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</si>
  <si>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</si>
  <si>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</si>
  <si>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</si>
  <si>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</si>
  <si>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</si>
  <si>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</si>
  <si>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</si>
  <si>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</si>
  <si>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</si>
  <si>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</si>
  <si>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</si>
  <si>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</si>
  <si>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</si>
  <si>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</si>
  <si>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</si>
  <si>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</si>
  <si>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</si>
  <si>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</si>
  <si>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</si>
  <si>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</si>
  <si>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</si>
  <si>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</si>
  <si>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</si>
  <si>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</si>
  <si>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</si>
  <si>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</si>
  <si>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</si>
  <si>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</si>
  <si>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</si>
  <si>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</si>
  <si>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</si>
  <si>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</si>
  <si>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</si>
  <si>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</si>
  <si>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</si>
  <si>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</si>
  <si>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</si>
  <si>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</si>
  <si>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</si>
  <si>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</si>
  <si>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</si>
  <si>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</si>
  <si>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</si>
  <si>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</si>
  <si>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</si>
  <si>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</si>
  <si>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</si>
  <si>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</si>
  <si>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</si>
  <si>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</si>
  <si>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</si>
  <si>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</si>
  <si>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</si>
  <si>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</si>
  <si>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</si>
  <si>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</si>
  <si>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</si>
  <si>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</si>
  <si>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</si>
  <si>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</si>
  <si>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</si>
  <si>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</si>
  <si>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</si>
  <si>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</si>
  <si>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</si>
  <si>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</si>
  <si>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</si>
  <si>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</si>
  <si>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</si>
  <si>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</si>
  <si>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</si>
  <si>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</si>
  <si>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</si>
  <si>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</si>
  <si>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</si>
  <si>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</si>
  <si>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</si>
  <si>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</si>
  <si>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</si>
  <si>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</si>
  <si>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</si>
  <si>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</si>
  <si>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</si>
  <si>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</si>
  <si>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</si>
  <si>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</si>
  <si>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</si>
  <si>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</si>
  <si>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</si>
  <si>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</si>
  <si>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</si>
  <si>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</si>
  <si>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</si>
  <si>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</si>
  <si>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</si>
  <si>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</si>
  <si>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</si>
  <si>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</si>
  <si>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</si>
  <si>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</si>
  <si>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</si>
  <si>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</si>
  <si>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</si>
  <si>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</si>
  <si>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</si>
  <si>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</si>
  <si>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</si>
  <si>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</si>
  <si>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</si>
  <si>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</si>
  <si>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</si>
  <si>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</si>
  <si>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</si>
  <si>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</si>
  <si>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</si>
  <si>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</si>
  <si>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</si>
  <si>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</si>
  <si>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</si>
  <si>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</si>
  <si>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</si>
  <si>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</si>
  <si>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</si>
  <si>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</si>
  <si>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</si>
  <si>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</si>
  <si>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</si>
  <si>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</si>
  <si>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</si>
  <si>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</si>
  <si>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</si>
  <si>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</si>
  <si>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</si>
  <si>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</si>
  <si>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</si>
  <si>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</si>
  <si>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</si>
  <si>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</si>
  <si>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</si>
  <si>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</si>
  <si>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</si>
  <si>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</si>
  <si>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</si>
  <si>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</si>
  <si>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</si>
  <si>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</si>
  <si>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</si>
  <si>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</si>
  <si>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</si>
  <si>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</si>
  <si>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</si>
  <si>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</si>
  <si>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</si>
  <si>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</si>
  <si>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</si>
  <si>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</si>
  <si>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</si>
  <si>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</si>
  <si>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</si>
  <si>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</si>
  <si>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</si>
  <si>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</si>
  <si>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</si>
  <si>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</si>
  <si>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</si>
  <si>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</si>
  <si>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</si>
  <si>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</si>
  <si>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</si>
  <si>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</si>
  <si>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</si>
  <si>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</si>
  <si>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</si>
  <si>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</si>
  <si>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</si>
  <si>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</si>
  <si>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</si>
  <si>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</si>
  <si>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</si>
  <si>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</si>
  <si>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</si>
  <si>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</si>
  <si>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</si>
  <si>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</si>
  <si>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</si>
  <si>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</si>
  <si>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</si>
  <si>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</si>
  <si>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</si>
  <si>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</si>
  <si>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</si>
  <si>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</si>
  <si>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</si>
  <si>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</si>
  <si>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</si>
  <si>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</si>
  <si>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</si>
  <si>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</si>
  <si>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</si>
  <si>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</si>
  <si>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</si>
  <si>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</si>
  <si>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</si>
  <si>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</si>
  <si>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</si>
  <si>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</si>
  <si>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</si>
  <si>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</si>
  <si>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</si>
  <si>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</si>
  <si>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</si>
  <si>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</si>
  <si>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</si>
  <si>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</si>
  <si>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</si>
  <si>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</si>
  <si>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</si>
  <si>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</si>
  <si>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</si>
  <si>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</si>
  <si>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</si>
  <si>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</si>
  <si>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</si>
  <si>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</si>
  <si>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</si>
  <si>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</si>
  <si>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</si>
  <si>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</si>
  <si>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</si>
  <si>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</si>
  <si>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</si>
  <si>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</si>
  <si>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</si>
  <si>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</si>
  <si>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</si>
  <si>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</si>
  <si>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</si>
  <si>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</si>
  <si>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</si>
  <si>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</si>
  <si>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</si>
  <si>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</si>
  <si>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</si>
  <si>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</si>
  <si>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</si>
  <si>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</si>
  <si>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</si>
  <si>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</si>
  <si>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</si>
  <si>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</si>
  <si>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</si>
  <si>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</si>
  <si>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</si>
  <si>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</si>
  <si>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</si>
  <si>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</si>
  <si>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</si>
  <si>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</si>
  <si>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</si>
  <si>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</si>
  <si>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</si>
  <si>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</si>
  <si>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</si>
  <si>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</si>
  <si>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</si>
  <si>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</si>
  <si>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</si>
  <si>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</si>
  <si>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</si>
  <si>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</si>
  <si>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</si>
  <si>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</si>
  <si>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</si>
  <si>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</si>
  <si>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</si>
  <si>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</si>
  <si>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</si>
  <si>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</si>
  <si>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</si>
  <si>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</si>
  <si>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</si>
  <si>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</si>
  <si>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</si>
  <si>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</si>
  <si>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</si>
  <si>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</si>
  <si>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</si>
  <si>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</si>
  <si>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</si>
  <si>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</si>
  <si>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</si>
  <si>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</si>
  <si>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</si>
  <si>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</si>
  <si>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</si>
  <si>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</si>
  <si>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</si>
  <si>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</si>
  <si>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</si>
  <si>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</si>
  <si>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</si>
  <si>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</si>
  <si>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</si>
  <si>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</si>
  <si>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</si>
  <si>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</si>
  <si>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</si>
  <si>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</si>
  <si>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</si>
  <si>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</si>
  <si>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</si>
  <si>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</si>
  <si>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</si>
  <si>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</si>
  <si>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</si>
  <si>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</si>
  <si>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</si>
  <si>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</si>
  <si>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</si>
  <si>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</si>
  <si>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</si>
  <si>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</si>
  <si>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</si>
  <si>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</si>
  <si>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</si>
  <si>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</si>
  <si>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</si>
  <si>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</si>
  <si>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</si>
  <si>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</si>
  <si>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</si>
  <si>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</si>
  <si>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</si>
  <si>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</si>
  <si>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</si>
  <si>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</si>
  <si>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</si>
  <si>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</si>
  <si>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</si>
  <si>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</si>
  <si>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</si>
  <si>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</si>
  <si>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</si>
  <si>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</si>
  <si>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</si>
  <si>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</si>
  <si>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</si>
  <si>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</si>
  <si>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</si>
  <si>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</si>
  <si>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</si>
  <si>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</si>
  <si>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</si>
  <si>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</si>
  <si>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</si>
  <si>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</si>
  <si>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</si>
  <si>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</si>
  <si>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</si>
  <si>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</si>
  <si>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</si>
  <si>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</si>
  <si>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</si>
  <si>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</si>
  <si>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</si>
  <si>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</si>
  <si>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</si>
  <si>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</si>
  <si>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</si>
  <si>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</si>
  <si>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</si>
  <si>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</si>
  <si>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</si>
  <si>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</si>
  <si>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</si>
  <si>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</si>
  <si>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</si>
  <si>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</si>
  <si>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</si>
  <si>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</si>
  <si>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</si>
  <si>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</si>
  <si>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</si>
  <si>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</si>
  <si>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</si>
  <si>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</si>
  <si>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</si>
  <si>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</si>
  <si>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</si>
  <si>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</si>
  <si>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</si>
  <si>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</si>
  <si>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</si>
  <si>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</si>
  <si>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</si>
  <si>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</si>
  <si>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</si>
  <si>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</si>
  <si>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</si>
  <si>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</si>
  <si>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</si>
  <si>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</si>
  <si>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</si>
  <si>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</si>
  <si>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</si>
  <si>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</si>
  <si>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</si>
  <si>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</si>
  <si>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</si>
  <si>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</si>
  <si>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</si>
  <si>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</si>
  <si>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</si>
  <si>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</si>
  <si>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</si>
  <si>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</si>
  <si>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</si>
  <si>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</si>
  <si>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</si>
  <si>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</si>
  <si>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</si>
  <si>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</si>
  <si>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</si>
  <si>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</si>
  <si>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</si>
  <si>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</si>
  <si>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</si>
  <si>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</si>
  <si>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</si>
  <si>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</si>
  <si>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</si>
  <si>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</si>
  <si>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</si>
  <si>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</si>
  <si>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</si>
  <si>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</si>
  <si>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</si>
  <si>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</si>
  <si>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</si>
  <si>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</si>
  <si>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</si>
  <si>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</si>
  <si>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</si>
  <si>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</si>
  <si>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</si>
  <si>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</si>
  <si>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</si>
  <si>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</si>
  <si>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</si>
  <si>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</si>
  <si>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</si>
  <si>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</si>
  <si>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</si>
  <si>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</si>
  <si>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</si>
  <si>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</si>
  <si>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</si>
  <si>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</si>
  <si>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</si>
  <si>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</si>
  <si>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</si>
  <si>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</si>
  <si>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</si>
  <si>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</si>
  <si>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</si>
  <si>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</si>
  <si>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</si>
  <si>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</si>
  <si>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</si>
  <si>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</si>
  <si>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</si>
  <si>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</si>
  <si>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</si>
  <si>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</si>
  <si>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</si>
  <si>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</si>
  <si>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</si>
  <si>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</si>
  <si>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</si>
  <si>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</si>
  <si>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</si>
  <si>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</si>
  <si>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</si>
  <si>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</si>
  <si>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</si>
  <si>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</si>
  <si>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</si>
  <si>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</si>
  <si>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</si>
  <si>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</si>
  <si>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</si>
  <si>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</si>
  <si>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</si>
  <si>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</si>
  <si>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</si>
  <si>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</si>
  <si>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</si>
  <si>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</si>
  <si>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</si>
  <si>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</si>
  <si>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</si>
  <si>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</si>
  <si>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</si>
  <si>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</si>
  <si>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</si>
  <si>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</si>
  <si>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</si>
  <si>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</si>
  <si>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</si>
  <si>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</si>
  <si>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</si>
  <si>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</si>
  <si>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</si>
  <si>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</si>
  <si>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</si>
  <si>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</si>
  <si>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</si>
  <si>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</si>
  <si>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</si>
  <si>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</si>
  <si>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</si>
  <si>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</si>
  <si>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</si>
  <si>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</si>
  <si>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</si>
  <si>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</si>
  <si>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</si>
  <si>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</si>
  <si>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</si>
  <si>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</si>
  <si>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</si>
  <si>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</si>
  <si>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</si>
  <si>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</si>
  <si>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</si>
  <si>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</si>
  <si>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</si>
  <si>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</si>
  <si>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</si>
  <si>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</si>
  <si>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</si>
  <si>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</si>
  <si>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</si>
  <si>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</si>
  <si>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</si>
  <si>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</si>
  <si>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</si>
  <si>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</si>
  <si>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</si>
  <si>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</si>
  <si>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</si>
  <si>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</si>
  <si>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</si>
  <si>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</si>
  <si>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</si>
  <si>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</si>
  <si>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</si>
  <si>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</si>
  <si>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</si>
  <si>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</si>
  <si>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</si>
  <si>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</si>
  <si>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</si>
  <si>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</si>
  <si>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</si>
  <si>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</si>
  <si>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</si>
  <si>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</si>
  <si>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</si>
  <si>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</si>
  <si>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</si>
  <si>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</si>
  <si>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</si>
  <si>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</si>
  <si>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</si>
  <si>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</si>
  <si>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</si>
  <si>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</si>
  <si>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</si>
  <si>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</si>
  <si>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</si>
  <si>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</si>
  <si>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</si>
  <si>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</si>
  <si>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</si>
  <si>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</si>
  <si>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</si>
  <si>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</si>
  <si>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</si>
  <si>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</si>
  <si>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</si>
  <si>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</si>
  <si>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</si>
  <si>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</si>
  <si>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</si>
  <si>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</si>
  <si>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</si>
  <si>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</si>
  <si>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</si>
  <si>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</si>
  <si>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</si>
  <si>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</si>
  <si>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</si>
  <si>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</si>
  <si>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</si>
  <si>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</si>
  <si>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</si>
  <si>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</si>
  <si>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</si>
  <si>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</si>
  <si>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</si>
  <si>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</si>
  <si>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</si>
  <si>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</si>
  <si>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</si>
  <si>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</si>
  <si>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</si>
  <si>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</si>
  <si>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</si>
  <si>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</si>
  <si>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</si>
  <si>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</si>
  <si>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</si>
  <si>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</si>
  <si>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</si>
  <si>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</si>
  <si>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</si>
  <si>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</si>
  <si>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</si>
  <si>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</si>
  <si>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</si>
  <si>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</si>
  <si>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</si>
  <si>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</si>
  <si>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</si>
  <si>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</si>
  <si>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</si>
  <si>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</si>
  <si>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</si>
  <si>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</si>
  <si>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</si>
  <si>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</si>
  <si>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</si>
  <si>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</si>
  <si>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</si>
  <si>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</si>
  <si>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</si>
  <si>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</si>
  <si>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</si>
  <si>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</si>
  <si>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</si>
  <si>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</si>
  <si>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</si>
  <si>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</si>
  <si>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</si>
  <si>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</si>
  <si>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</si>
  <si>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</si>
  <si>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</si>
  <si>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</si>
  <si>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</si>
  <si>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</si>
  <si>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</si>
  <si>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</si>
  <si>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</si>
  <si>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</si>
  <si>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</si>
  <si>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</si>
  <si>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</si>
  <si>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</si>
  <si>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</si>
  <si>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</si>
  <si>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</si>
  <si>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</si>
  <si>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</si>
  <si>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</si>
  <si>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</si>
  <si>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</si>
  <si>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</si>
  <si>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</si>
  <si>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</si>
  <si>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</si>
  <si>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</si>
  <si>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</si>
  <si>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</si>
  <si>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</si>
  <si>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</si>
  <si>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</si>
  <si>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</si>
  <si>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</si>
  <si>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</si>
  <si>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</si>
  <si>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</si>
  <si>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</si>
  <si>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</si>
  <si>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</si>
  <si>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</si>
  <si>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</si>
  <si>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</si>
  <si>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</si>
  <si>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</si>
  <si>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</si>
  <si>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</si>
  <si>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</si>
  <si>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</si>
  <si>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</si>
  <si>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</si>
  <si>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</si>
  <si>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</si>
  <si>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</si>
  <si>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</si>
  <si>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</si>
  <si>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</si>
  <si>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</si>
  <si>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</si>
  <si>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</si>
  <si>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</si>
  <si>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</si>
  <si>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</si>
  <si>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</si>
  <si>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</si>
  <si>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</si>
  <si>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</si>
  <si>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</si>
  <si>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</si>
  <si>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</si>
  <si>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</si>
  <si>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</si>
  <si>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</si>
  <si>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</si>
  <si>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</si>
  <si>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</si>
  <si>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</si>
  <si>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</si>
  <si>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</si>
  <si>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</si>
  <si>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</si>
  <si>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</si>
  <si>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</si>
  <si>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</si>
  <si>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</si>
  <si>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</si>
  <si>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</si>
  <si>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</si>
  <si>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</si>
  <si>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</si>
  <si>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</si>
  <si>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</si>
  <si>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</si>
  <si>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</si>
  <si>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</si>
  <si>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</si>
  <si>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</si>
  <si>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</si>
  <si>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</si>
  <si>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</si>
  <si>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</si>
  <si>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</si>
  <si>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</si>
  <si>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</si>
  <si>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</si>
  <si>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</si>
  <si>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</si>
  <si>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</si>
  <si>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</si>
  <si>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</si>
  <si>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</si>
  <si>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</si>
  <si>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</si>
  <si>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</si>
  <si>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</si>
  <si>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</si>
  <si>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</si>
  <si>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</si>
  <si>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</si>
  <si>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</si>
  <si>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</si>
  <si>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</si>
  <si>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</si>
  <si>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</si>
  <si>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</si>
  <si>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</si>
  <si>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</si>
  <si>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</si>
  <si>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</si>
  <si>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</si>
  <si>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</si>
  <si>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</si>
  <si>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</si>
  <si>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</si>
  <si>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</si>
  <si>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</si>
  <si>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</si>
  <si>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</si>
  <si>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</si>
  <si>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</si>
  <si>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</si>
  <si>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</si>
  <si>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</si>
  <si>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</si>
  <si>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</si>
  <si>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</si>
  <si>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</si>
  <si>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</si>
  <si>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</si>
  <si>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</si>
  <si>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</si>
  <si>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</si>
  <si>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</si>
  <si>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</si>
  <si>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</si>
  <si>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</si>
  <si>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</si>
  <si>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</si>
  <si>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</si>
  <si>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</si>
  <si>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</si>
  <si>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</si>
  <si>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</si>
  <si>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</si>
  <si>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</si>
  <si>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</si>
  <si>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</si>
  <si>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</si>
  <si>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</si>
  <si>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</si>
  <si>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</si>
  <si>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</si>
  <si>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</si>
  <si>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</si>
  <si>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</si>
  <si>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</si>
  <si>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</si>
  <si>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</si>
  <si>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</si>
  <si>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</si>
  <si>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</si>
  <si>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</si>
  <si>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</si>
  <si>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</si>
  <si>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</si>
  <si>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</si>
  <si>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</si>
  <si>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</si>
  <si>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</si>
  <si>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</si>
  <si>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</si>
  <si>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</si>
  <si>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</si>
  <si>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</si>
  <si>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</si>
  <si>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</si>
  <si>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</si>
  <si>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</si>
  <si>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</si>
  <si>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</si>
  <si>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</si>
  <si>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</si>
  <si>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</si>
  <si>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</si>
  <si>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</si>
  <si>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</si>
  <si>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</si>
  <si>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</si>
  <si>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</si>
  <si>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</si>
  <si>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</si>
  <si>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</si>
  <si>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</si>
  <si>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</si>
  <si>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</si>
  <si>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</si>
  <si>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</si>
  <si>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</si>
  <si>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</si>
  <si>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</si>
  <si>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</si>
  <si>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</si>
  <si>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</si>
  <si>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</si>
  <si>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</si>
  <si>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</si>
  <si>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</si>
  <si>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</si>
  <si>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</si>
  <si>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</si>
  <si>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</si>
  <si>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</si>
  <si>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</si>
  <si>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</si>
  <si>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</si>
  <si>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</si>
  <si>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</si>
  <si>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</si>
  <si>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</si>
  <si>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</si>
  <si>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</si>
  <si>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</si>
  <si>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</si>
  <si>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</si>
  <si>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</si>
  <si>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</si>
  <si>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</si>
  <si>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</si>
  <si>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</si>
  <si>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</si>
  <si>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</si>
  <si>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</si>
  <si>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</si>
  <si>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</si>
  <si>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</si>
  <si>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</si>
  <si>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</si>
  <si>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</si>
  <si>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</si>
  <si>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</si>
  <si>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</si>
  <si>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</si>
  <si>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</si>
  <si>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</si>
  <si>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</si>
  <si>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</si>
  <si>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</si>
  <si>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</si>
  <si>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</si>
  <si>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</si>
  <si>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</si>
  <si>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</si>
  <si>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</si>
  <si>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</si>
  <si>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</si>
  <si>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</si>
  <si>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</si>
  <si>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</si>
  <si>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</si>
  <si>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</si>
  <si>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</si>
  <si>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</si>
  <si>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</si>
  <si>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</si>
  <si>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</si>
  <si>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</si>
  <si>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</si>
  <si>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</si>
  <si>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</si>
  <si>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</si>
  <si>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</si>
  <si>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</si>
  <si>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</si>
  <si>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</si>
  <si>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</si>
  <si>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</si>
  <si>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</si>
  <si>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</si>
  <si>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</si>
  <si>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</si>
  <si>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</si>
  <si>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</si>
  <si>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</si>
  <si>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</si>
  <si>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</si>
  <si>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</si>
  <si>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</si>
  <si>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</si>
  <si>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</si>
  <si>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</si>
  <si>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</si>
  <si>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</si>
  <si>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</si>
  <si>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</si>
  <si>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</si>
  <si>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</si>
  <si>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</si>
  <si>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</si>
  <si>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</si>
  <si>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</si>
  <si>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</si>
  <si>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</si>
  <si>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</si>
  <si>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</si>
  <si>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</si>
  <si>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</si>
  <si>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</si>
  <si>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</si>
  <si>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</si>
  <si>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</si>
  <si>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</si>
  <si>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</si>
  <si>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</si>
  <si>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</si>
  <si>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</si>
  <si>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</si>
  <si>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</si>
  <si>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</si>
  <si>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</si>
  <si>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</si>
  <si>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</si>
  <si>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</si>
  <si>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</si>
  <si>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</si>
  <si>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</si>
  <si>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</si>
  <si>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</si>
  <si>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</si>
  <si>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</si>
  <si>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</si>
  <si>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</si>
  <si>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</si>
  <si>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</si>
  <si>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</si>
  <si>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</si>
  <si>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</si>
  <si>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</si>
  <si>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</si>
  <si>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</si>
  <si>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</si>
  <si>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</si>
  <si>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</si>
  <si>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</si>
  <si>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</si>
  <si>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</si>
  <si>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</si>
  <si>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</si>
  <si>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</si>
  <si>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</si>
  <si>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</si>
  <si>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</si>
  <si>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</si>
  <si>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</si>
  <si>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</si>
  <si>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</si>
  <si>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</si>
  <si>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</si>
  <si>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</si>
  <si>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</si>
  <si>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</si>
  <si>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</si>
  <si>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</si>
  <si>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</si>
  <si>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</si>
  <si>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</si>
  <si>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</si>
  <si>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</si>
  <si>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</si>
  <si>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</si>
  <si>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</si>
  <si>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</si>
  <si>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</si>
  <si>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</si>
  <si>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</si>
  <si>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</si>
  <si>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</si>
  <si>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</si>
  <si>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</si>
  <si>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</si>
  <si>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</si>
  <si>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</si>
  <si>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</si>
  <si>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</si>
  <si>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</si>
  <si>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</si>
  <si>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</si>
  <si>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</si>
  <si>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</si>
  <si>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</si>
  <si>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</si>
  <si>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</si>
  <si>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</si>
  <si>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</si>
  <si>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</si>
  <si>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</si>
  <si>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</si>
  <si>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</si>
  <si>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</si>
  <si>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</si>
  <si>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</si>
  <si>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</si>
  <si>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</si>
  <si>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</si>
  <si>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</si>
  <si>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</si>
  <si>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</si>
  <si>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</si>
  <si>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</si>
  <si>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</si>
  <si>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</si>
  <si>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</si>
  <si>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</si>
  <si>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</si>
  <si>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</si>
  <si>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</si>
  <si>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</si>
  <si>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</si>
  <si>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</si>
  <si>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</si>
  <si>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</si>
  <si>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</si>
  <si>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</si>
  <si>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</si>
  <si>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</si>
  <si>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</si>
  <si>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</si>
  <si>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</si>
  <si>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</si>
  <si>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</si>
  <si>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</si>
  <si>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</si>
  <si>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</si>
  <si>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</si>
  <si>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</si>
  <si>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</si>
  <si>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</si>
  <si>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</si>
  <si>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</si>
  <si>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</si>
  <si>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</si>
  <si>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</si>
  <si>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</si>
  <si>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</si>
  <si>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</si>
  <si>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</si>
  <si>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</si>
  <si>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</si>
  <si>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</si>
  <si>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</si>
  <si>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</si>
  <si>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</si>
  <si>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</si>
  <si>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</si>
  <si>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</si>
  <si>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</si>
  <si>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</si>
  <si>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</si>
  <si>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</si>
  <si>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</si>
  <si>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</si>
  <si>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</si>
  <si>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</si>
  <si>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</si>
  <si>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</si>
  <si>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</si>
  <si>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</si>
  <si>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</si>
  <si>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</si>
  <si>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</si>
  <si>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</si>
  <si>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</si>
  <si>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</si>
  <si>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</si>
  <si>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</si>
  <si>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</si>
  <si>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</si>
  <si>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</si>
  <si>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</si>
  <si>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</si>
  <si>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</si>
  <si>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</si>
  <si>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</si>
  <si>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</si>
  <si>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</si>
  <si>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</si>
  <si>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</si>
  <si>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</si>
  <si>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</si>
  <si>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</si>
  <si>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</si>
  <si>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</si>
  <si>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</si>
  <si>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</si>
  <si>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</si>
  <si>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</si>
  <si>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</si>
  <si>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</si>
  <si>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</si>
  <si>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</si>
  <si>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</si>
  <si>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</si>
  <si>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</si>
  <si>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</si>
  <si>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</si>
  <si>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</si>
  <si>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</si>
  <si>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</si>
  <si>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</si>
  <si>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</si>
  <si>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</si>
  <si>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</si>
  <si>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</si>
  <si>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</si>
  <si>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</si>
  <si>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</si>
  <si>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</si>
  <si>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</si>
  <si>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</si>
  <si>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</si>
  <si>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</si>
  <si>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</si>
  <si>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</si>
  <si>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</si>
  <si>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</si>
  <si>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</si>
  <si>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</si>
  <si>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</si>
  <si>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</si>
  <si>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</si>
  <si>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</si>
  <si>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</si>
  <si>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</si>
  <si>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</si>
  <si>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</si>
  <si>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</si>
  <si>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</si>
  <si>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</si>
  <si>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</si>
  <si>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</si>
  <si>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</si>
  <si>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</si>
  <si>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</si>
  <si>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</si>
  <si>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</si>
  <si>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</si>
  <si>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</si>
  <si>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</si>
  <si>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</si>
  <si>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</si>
  <si>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</si>
  <si>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</si>
  <si>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</si>
  <si>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</si>
  <si>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</si>
  <si>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</si>
  <si>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</si>
  <si>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</si>
  <si>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</si>
  <si>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</si>
  <si>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</si>
  <si>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</si>
  <si>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</si>
  <si>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</si>
  <si>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</si>
  <si>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</si>
  <si>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</si>
  <si>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</si>
  <si>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</si>
  <si>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</si>
  <si>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</si>
  <si>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</si>
  <si>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</si>
  <si>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</si>
  <si>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</si>
  <si>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</si>
  <si>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</si>
  <si>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</si>
  <si>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</si>
  <si>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</si>
  <si>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</si>
  <si>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</si>
  <si>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</si>
  <si>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</si>
  <si>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</si>
  <si>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</si>
  <si>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</si>
  <si>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</si>
  <si>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</si>
  <si>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</si>
  <si>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</si>
  <si>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</si>
  <si>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</si>
  <si>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</si>
  <si>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</si>
  <si>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</si>
  <si>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</si>
  <si>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</si>
  <si>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</si>
  <si>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</si>
  <si>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</si>
  <si>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</si>
  <si>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</si>
  <si>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</si>
  <si>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</si>
  <si>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</si>
  <si>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</si>
  <si>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</si>
  <si>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</si>
  <si>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</si>
  <si>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</si>
  <si>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</si>
  <si>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</si>
  <si>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</si>
  <si>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</si>
  <si>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</si>
  <si>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</si>
  <si>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</si>
  <si>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</si>
  <si>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</si>
  <si>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</si>
  <si>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</si>
  <si>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</si>
  <si>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</si>
  <si>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</si>
  <si>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</si>
  <si>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</si>
  <si>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</si>
  <si>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</si>
  <si>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</si>
  <si>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</si>
  <si>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</si>
  <si>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</si>
  <si>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</si>
  <si>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</si>
  <si>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</si>
  <si>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</si>
  <si>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</si>
  <si>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</si>
  <si>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</si>
  <si>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</si>
  <si>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</si>
  <si>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</si>
  <si>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</si>
  <si>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</si>
  <si>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</si>
  <si>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</si>
  <si>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</si>
  <si>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</si>
  <si>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</si>
  <si>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</si>
  <si>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</si>
  <si>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</si>
  <si>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</si>
  <si>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</si>
  <si>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</si>
  <si>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</si>
  <si>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</si>
  <si>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</si>
  <si>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</si>
  <si>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</si>
  <si>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</si>
  <si>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</si>
  <si>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</si>
  <si>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</si>
  <si>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</si>
  <si>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</si>
  <si>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</si>
  <si>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</si>
  <si>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</si>
  <si>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</si>
  <si>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</si>
  <si>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</si>
  <si>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</si>
  <si>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</si>
  <si>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</si>
  <si>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</si>
  <si>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</si>
  <si>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</si>
  <si>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</si>
  <si>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</si>
  <si>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</si>
  <si>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</si>
  <si>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</si>
  <si>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</si>
  <si>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</si>
  <si>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</si>
  <si>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</si>
  <si>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</si>
  <si>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</si>
  <si>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</si>
  <si>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</si>
  <si>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</si>
  <si>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</si>
  <si>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</si>
  <si>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</si>
  <si>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</si>
  <si>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</si>
  <si>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</si>
  <si>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</si>
  <si>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</si>
  <si>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</si>
  <si>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</si>
  <si>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</si>
  <si>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</si>
  <si>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</si>
  <si>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</si>
  <si>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</si>
  <si>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</si>
  <si>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</si>
  <si>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</si>
  <si>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</si>
  <si>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</si>
  <si>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</si>
  <si>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</si>
  <si>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</si>
  <si>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</si>
  <si>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</si>
  <si>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</si>
  <si>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</si>
  <si>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</si>
  <si>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</si>
  <si>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</si>
  <si>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</si>
  <si>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</si>
  <si>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</si>
  <si>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</si>
  <si>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</si>
  <si>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</si>
  <si>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</si>
  <si>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</si>
  <si>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</si>
  <si>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</si>
  <si>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</si>
  <si>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</si>
  <si>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</si>
  <si>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</si>
  <si>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</si>
  <si>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</si>
  <si>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</si>
  <si>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</si>
  <si>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</si>
  <si>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</si>
  <si>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</si>
  <si>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</si>
  <si>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</si>
  <si>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</si>
  <si>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</si>
  <si>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</si>
  <si>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</si>
  <si>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</si>
  <si>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</si>
  <si>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</si>
  <si>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</si>
  <si>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</si>
  <si>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</si>
  <si>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</si>
  <si>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</si>
  <si>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</si>
  <si>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</si>
  <si>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</si>
  <si>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</si>
  <si>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</si>
  <si>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</si>
  <si>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</si>
  <si>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</si>
  <si>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</si>
  <si>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</si>
  <si>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</si>
  <si>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</si>
  <si>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</si>
  <si>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</si>
  <si>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</si>
  <si>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</si>
  <si>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</si>
  <si>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</si>
  <si>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</si>
  <si>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</si>
  <si>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</si>
  <si>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</si>
  <si>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</si>
  <si>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</si>
  <si>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</si>
  <si>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</si>
  <si>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</si>
  <si>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</si>
  <si>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</si>
  <si>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</si>
  <si>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</si>
  <si>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</si>
  <si>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</si>
  <si>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</si>
  <si>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</si>
  <si>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</si>
  <si>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</si>
  <si>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</si>
  <si>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</si>
  <si>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</si>
  <si>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</si>
  <si>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</si>
  <si>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</si>
  <si>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</si>
  <si>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</si>
  <si>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</si>
  <si>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</si>
  <si>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</si>
  <si>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</si>
  <si>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</si>
  <si>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</si>
  <si>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</si>
  <si>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</si>
  <si>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</si>
  <si>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</si>
  <si>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</si>
  <si>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</si>
  <si>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</si>
  <si>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</si>
  <si>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</si>
  <si>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</si>
  <si>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</si>
  <si>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</si>
  <si>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</si>
  <si>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</si>
  <si>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</si>
  <si>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</si>
  <si>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</si>
  <si>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</si>
  <si>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</si>
  <si>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</si>
  <si>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</si>
  <si>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</si>
  <si>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</si>
  <si>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</si>
  <si>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</si>
  <si>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</si>
  <si>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</si>
  <si>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</si>
  <si>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</si>
  <si>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</si>
  <si>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</si>
  <si>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</si>
  <si>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</si>
  <si>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</si>
  <si>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</si>
  <si>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</si>
  <si>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</si>
  <si>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</si>
  <si>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</si>
  <si>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</si>
  <si>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</si>
  <si>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</si>
  <si>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</si>
  <si>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</si>
  <si>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</si>
  <si>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</si>
  <si>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</si>
  <si>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</si>
  <si>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</si>
  <si>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</si>
  <si>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</si>
  <si>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</si>
  <si>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</si>
  <si>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</si>
  <si>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</si>
  <si>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</si>
  <si>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</si>
  <si>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</si>
  <si>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</si>
  <si>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</si>
  <si>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Abfrage der einstellbaren Parameter lässt sich abhängig von der Planungs-\nstadium auf der Seite 'GRUNDEINSTELLUNGEN' eingrenzen. Die Einstellung ist auf jeder Dialogseite links oben dargestellt:</t>
  </si>
  <si>
    <t>Die Ausgabegenauigkeit wird auf der Einstellungsseite 'DARSTELLUNG' für Grundriss, Schnitt + Ansicht und 3D differenziert eingestellt.</t>
  </si>
  <si>
    <t>Die Vielzahl an Parametern kann nicht mit jeder Tür komplett von den Grundeinstellungen aus neu eingestellt werden. Arbeiten sie daher mit Favoriten.</t>
  </si>
  <si>
    <t>Eine Grundauswahl aus vorkonfigurierten Standardtüren findet sich in der Datei \n'BIM-all-doors - Favoriten.prf' und kann in jedem Projekt über das Favoritenfenster \nimportiert werden.</t>
  </si>
  <si>
    <t>Die Einstellungen werden in jedem Modul auf Plausibilität grob geprüft. \nUnter 'INFORMATIONEN' werden die Warnmeldungen angezeigt.</t>
  </si>
  <si>
    <t>Es wird keine Öffnung in der Wand erzeugt.</t>
  </si>
  <si>
    <t>5. Bekleidungs-\n    außenmaß</t>
  </si>
  <si>
    <t>2. Rohbauöffnung</t>
  </si>
  <si>
    <t>3. Baurichtmaß</t>
  </si>
  <si>
    <t>4. Rahmenaußenmaß</t>
  </si>
  <si>
    <t>6. Durchgangslichte</t>
  </si>
  <si>
    <t>7. Zargenfalzmaß</t>
  </si>
  <si>
    <t>8. Türblattmaß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</si>
  <si>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</si>
  <si>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</si>
  <si>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</si>
  <si>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</si>
  <si>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</si>
  <si>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</si>
  <si>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</si>
  <si>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</si>
  <si>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</si>
  <si>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</si>
  <si>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</si>
  <si>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</si>
  <si>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</si>
  <si>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</si>
  <si>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</si>
  <si>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</si>
  <si>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</si>
  <si>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</si>
  <si>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</si>
  <si>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</si>
  <si>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</si>
  <si>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</si>
  <si>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</si>
  <si>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</si>
  <si>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</si>
  <si>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</si>
  <si>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</si>
  <si>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</si>
  <si>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</si>
  <si>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</si>
  <si>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</si>
  <si>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</si>
  <si>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</si>
  <si>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</si>
  <si>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</si>
  <si>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</si>
  <si>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</si>
  <si>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</si>
  <si>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</si>
  <si>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</si>
  <si>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</si>
  <si>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</si>
  <si>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</si>
  <si>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</si>
  <si>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</si>
  <si>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</si>
  <si>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</si>
  <si>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</si>
  <si>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</si>
  <si>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</si>
  <si>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</si>
  <si>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</si>
  <si>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</si>
  <si>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Lange PZ ungeschützter Bereich</t>
  </si>
  <si>
    <t>Lange PZ geschützter Bereich</t>
  </si>
  <si>
    <t>1.90</t>
  </si>
  <si>
    <t>bim-all-doors</t>
  </si>
  <si>
    <t>prepare for open source</t>
  </si>
  <si>
    <t>D:\Daten (sync)\github\bim-all-doors\Source\Module\01 BAD main\source.BIM-all-doors\list of multilingual tooltip.xlsx_x000D_
D:\Daten (sync)\github\bim-all-doors\Source\Module\01 BAD main\source.BIM-all-doors\list of multilingual text.xlsx</t>
  </si>
  <si>
    <t>D:\Daten (sync)\github\bim-all-doors\Source\Module\01 BAD main\source.BIM-all-doors\</t>
  </si>
  <si>
    <t>bim-all-doors - Die erweiterbare Komponententür</t>
  </si>
  <si>
    <t>Besuchen sie uns im Internet unter www.bim-all-doors.de\noder auf github (https://github.com/dormakaba/bim-all-doors) direkt.\nHier finden sie Anleitungen, die jeweils neueste Version\nund hilfreiches Bonusmaterial:</t>
  </si>
  <si>
    <t>www.bim-all-doors.de</t>
  </si>
  <si>
    <t>bim-all-doors - The extendable components door</t>
  </si>
  <si>
    <t xml:space="preserve">bim-all-doors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</si>
</sst>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[$-F800]dddd\,\ mmmm\ dd\,\ yyyy"/>
  </numFmts>
  <fonts count="8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65" name="ExportParameterList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66" name="ExportValuesCommands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67" name="ExportValueListsForUserInterface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68" name="ExportArchicadProperties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69" name="ExportArrayIndices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73" name="ExportMultilingualTextButto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74" name="ImportVariableTextButton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75" name="ParseUserInterfaceButto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76" name="IntegrateBitmapsButton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4" name="Check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31"/>
  <sheetViews>
    <sheetView zoomScaleNormal="100" workbookViewId="0">
      <selection activeCell="B5" sqref="B5:C5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64.6640625" style="3" customWidth="1"/>
    <col min="4" max="4" width="25.6640625" style="3" customWidth="1"/>
    <col min="5" max="5" width="3.33203125" style="3" customWidth="1"/>
    <col min="6" max="6" width="74.44140625" style="3" customWidth="1"/>
    <col min="7" max="7" width="17" style="3" customWidth="1"/>
    <col min="8" max="16384" width="11.44140625" style="3"/>
  </cols>
  <sheetData>
    <row r="1" spans="1:7" ht="24.75" customHeight="1" x14ac:dyDescent="0.3">
      <c r="A1" s="1" t="s">
        <v>0</v>
      </c>
      <c r="B1" s="325" t="s">
        <v>4479</v>
      </c>
      <c r="C1" s="325"/>
      <c r="D1" s="4"/>
      <c r="E1" s="255"/>
      <c r="G1" s="4"/>
    </row>
    <row r="2" spans="1:7" ht="7.5" customHeight="1" x14ac:dyDescent="0.3">
      <c r="A2" s="1"/>
      <c r="B2" s="257"/>
      <c r="D2" s="4"/>
      <c r="E2" s="64"/>
      <c r="G2" s="4"/>
    </row>
    <row r="3" spans="1:7" ht="22.5" customHeight="1" x14ac:dyDescent="0.3">
      <c r="A3" s="1" t="s">
        <v>161</v>
      </c>
      <c r="B3" s="107" t="s">
        <v>4482</v>
      </c>
      <c r="C3" s="107"/>
      <c r="D3" s="107"/>
      <c r="E3" s="107"/>
      <c r="G3" s="107"/>
    </row>
    <row r="4" spans="1:7" ht="22.5" customHeight="1" x14ac:dyDescent="0.3">
      <c r="A4" s="1" t="s">
        <v>1</v>
      </c>
      <c r="B4" s="326" t="s">
        <v>4480</v>
      </c>
      <c r="C4" s="326"/>
      <c r="D4" s="4"/>
      <c r="G4" s="4"/>
    </row>
    <row r="5" spans="1:7" ht="22.5" customHeight="1" x14ac:dyDescent="0.3">
      <c r="A5" s="1" t="s">
        <v>99</v>
      </c>
      <c r="B5" s="327" t="s">
        <v>4478</v>
      </c>
      <c r="C5" s="327"/>
      <c r="D5" s="4"/>
      <c r="G5" s="4"/>
    </row>
    <row r="6" spans="1:7" ht="22.5" customHeight="1" x14ac:dyDescent="0.3">
      <c r="A6" s="1" t="s">
        <v>2</v>
      </c>
      <c r="B6" s="328">
        <v>45925</v>
      </c>
      <c r="C6" s="328"/>
      <c r="D6" s="4"/>
      <c r="F6" s="322"/>
      <c r="G6" s="4"/>
    </row>
    <row r="7" spans="1:7" ht="22.5" customHeight="1" x14ac:dyDescent="0.3">
      <c r="A7" s="1" t="s">
        <v>3</v>
      </c>
      <c r="B7" s="326">
        <v>28</v>
      </c>
      <c r="C7" s="326"/>
      <c r="D7" s="54"/>
      <c r="G7" s="54"/>
    </row>
    <row r="8" spans="1:7" ht="22.5" customHeight="1" x14ac:dyDescent="0.3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 x14ac:dyDescent="0.3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 x14ac:dyDescent="0.3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 x14ac:dyDescent="0.3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 x14ac:dyDescent="0.3">
      <c r="A12" s="1"/>
    </row>
    <row r="13" spans="1:7" ht="16.5" customHeight="1" x14ac:dyDescent="0.3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 x14ac:dyDescent="0.25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 x14ac:dyDescent="0.25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 x14ac:dyDescent="0.25">
      <c r="A16" s="6"/>
      <c r="B16" s="16" t="s">
        <v>4057</v>
      </c>
      <c r="C16" s="13"/>
      <c r="F16" s="259"/>
      <c r="G16" s="256"/>
    </row>
    <row r="17" spans="1:7" ht="24" customHeight="1" x14ac:dyDescent="0.25">
      <c r="A17" s="6"/>
      <c r="B17" s="13"/>
      <c r="C17" s="13"/>
      <c r="D17" s="13"/>
      <c r="F17" s="94"/>
      <c r="G17" s="110"/>
    </row>
    <row r="18" spans="1:7" ht="24" customHeight="1" x14ac:dyDescent="0.25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 x14ac:dyDescent="0.25">
      <c r="A19" s="6"/>
      <c r="B19" s="13" t="s">
        <v>158</v>
      </c>
      <c r="C19" s="13"/>
      <c r="F19" s="94" t="s">
        <v>190</v>
      </c>
      <c r="G19" s="110"/>
    </row>
    <row r="20" spans="1:7" ht="24" customHeight="1" x14ac:dyDescent="0.25">
      <c r="A20" s="6"/>
      <c r="B20" s="13" t="s">
        <v>157</v>
      </c>
      <c r="C20" s="13"/>
      <c r="F20" s="94" t="s">
        <v>169</v>
      </c>
      <c r="G20" s="110"/>
    </row>
    <row r="21" spans="1:7" ht="24" customHeight="1" x14ac:dyDescent="0.25">
      <c r="A21" s="6"/>
      <c r="B21" s="3"/>
      <c r="C21" s="13"/>
    </row>
    <row r="22" spans="1:7" ht="24" customHeight="1" x14ac:dyDescent="0.25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 x14ac:dyDescent="0.25">
      <c r="A23" s="6"/>
      <c r="B23" s="13" t="s">
        <v>4055</v>
      </c>
      <c r="C23" s="13"/>
      <c r="D23" s="5" t="s">
        <v>124</v>
      </c>
      <c r="F23" s="258" t="s">
        <v>4481</v>
      </c>
    </row>
    <row r="24" spans="1:7" ht="24" customHeight="1" x14ac:dyDescent="0.25">
      <c r="A24" s="6"/>
      <c r="B24" s="16"/>
      <c r="C24" s="13"/>
      <c r="D24" s="5" t="s">
        <v>124</v>
      </c>
      <c r="F24" s="94"/>
      <c r="G24" s="110"/>
    </row>
    <row r="25" spans="1:7" ht="24" customHeight="1" x14ac:dyDescent="0.25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 x14ac:dyDescent="0.25">
      <c r="A26" s="6"/>
      <c r="B26" s="16"/>
      <c r="C26" s="13"/>
      <c r="D26" s="5"/>
      <c r="F26" s="94" t="s">
        <v>166</v>
      </c>
      <c r="G26" s="110"/>
    </row>
    <row r="27" spans="1:7" ht="24" customHeight="1" x14ac:dyDescent="0.25">
      <c r="A27" s="6"/>
      <c r="B27" s="16"/>
      <c r="C27" s="13"/>
      <c r="D27" s="5"/>
      <c r="F27" s="94"/>
      <c r="G27" s="110"/>
    </row>
    <row r="28" spans="1:7" ht="24" customHeight="1" x14ac:dyDescent="0.25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 x14ac:dyDescent="0.25">
      <c r="A29" s="6"/>
      <c r="B29" s="16"/>
      <c r="C29" s="13"/>
      <c r="D29" s="5"/>
      <c r="F29" s="94"/>
      <c r="G29" s="110"/>
    </row>
    <row r="30" spans="1:7" ht="24" customHeight="1" x14ac:dyDescent="0.25">
      <c r="B30" s="3"/>
      <c r="C30" s="13"/>
      <c r="D30" s="5" t="s">
        <v>124</v>
      </c>
      <c r="G30" s="110"/>
    </row>
    <row r="31" spans="1:7" ht="24" customHeight="1" x14ac:dyDescent="0.25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CheckButton">
          <controlPr print="0" autoLine="0" autoPict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4" r:id="rId4" name="CheckButton"/>
      </mc:Fallback>
    </mc:AlternateContent>
    <mc:AlternateContent xmlns:mc="http://schemas.openxmlformats.org/markup-compatibility/2006">
      <mc:Choice Requires="x14">
        <control shapeId="11276" r:id="rId6" name="IntegrateBitmapsButton">
          <controlPr print="0" autoLine="0" autoPict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76" r:id="rId6" name="IntegrateBitmapsButton"/>
      </mc:Fallback>
    </mc:AlternateContent>
    <mc:AlternateContent xmlns:mc="http://schemas.openxmlformats.org/markup-compatibility/2006">
      <mc:Choice Requires="x14">
        <control shapeId="11275" r:id="rId8" name="ParseUserInterfaceButton">
          <controlPr print="0" autoLine="0" autoPict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75" r:id="rId8" name="ParseUserInterfaceButton"/>
      </mc:Fallback>
    </mc:AlternateContent>
    <mc:AlternateContent xmlns:mc="http://schemas.openxmlformats.org/markup-compatibility/2006">
      <mc:Choice Requires="x14">
        <control shapeId="11274" r:id="rId10" name="ImportVariableTextButton">
          <controlPr print="0" autoLine="0" autoPict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74" r:id="rId10" name="ImportVariableTextButton"/>
      </mc:Fallback>
    </mc:AlternateContent>
    <mc:AlternateContent xmlns:mc="http://schemas.openxmlformats.org/markup-compatibility/2006">
      <mc:Choice Requires="x14">
        <control shapeId="11273" r:id="rId12" name="ExportMultilingualTextButton">
          <controlPr defaultSize="0" autoLine="0" autoPict="0" r:id="rId13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73" r:id="rId12" name="ExportMultilingualTextButton"/>
      </mc:Fallback>
    </mc:AlternateContent>
    <mc:AlternateContent xmlns:mc="http://schemas.openxmlformats.org/markup-compatibility/2006">
      <mc:Choice Requires="x14">
        <control shapeId="11265" r:id="rId14" name="ExportParameterListButton">
          <controlPr print="0" autoLine="0" autoPict="0" r:id="rId1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65" r:id="rId14" name="ExportParameterListButton"/>
      </mc:Fallback>
    </mc:AlternateContent>
    <mc:AlternateContent xmlns:mc="http://schemas.openxmlformats.org/markup-compatibility/2006">
      <mc:Choice Requires="x14">
        <control shapeId="11266" r:id="rId16" name="ExportValuesCommandsButton">
          <controlPr defaultSize="0" autoLine="0" autoPict="0" r:id="rId1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66" r:id="rId16" name="ExportValuesCommandsButton"/>
      </mc:Fallback>
    </mc:AlternateContent>
    <mc:AlternateContent xmlns:mc="http://schemas.openxmlformats.org/markup-compatibility/2006">
      <mc:Choice Requires="x14">
        <control shapeId="11267" r:id="rId18" name="ExportValueListsForUserInterface">
          <controlPr defaultSize="0" autoLine="0" autoPict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7" r:id="rId18" name="ExportValueListsForUserInterface"/>
      </mc:Fallback>
    </mc:AlternateContent>
    <mc:AlternateContent xmlns:mc="http://schemas.openxmlformats.org/markup-compatibility/2006">
      <mc:Choice Requires="x14">
        <control shapeId="11268" r:id="rId20" name="ExportArchicadPropertiesButton">
          <controlPr defaultSize="0" autoLine="0" autoPict="0" r:id="rId2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68" r:id="rId20" name="ExportArchicadPropertiesButton"/>
      </mc:Fallback>
    </mc:AlternateContent>
    <mc:AlternateContent xmlns:mc="http://schemas.openxmlformats.org/markup-compatibility/2006">
      <mc:Choice Requires="x14">
        <control shapeId="11269" r:id="rId22" name="ExportArrayIndicesButton">
          <controlPr defaultSize="0" autoLine="0" autoPict="0" r:id="rId2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69" r:id="rId22" name="ExportArrayIndices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H1612"/>
  <sheetViews>
    <sheetView zoomScaleNormal="100" workbookViewId="0">
      <pane ySplit="2148" topLeftCell="A950" activePane="bottomLeft"/>
      <selection activeCell="Q1" sqref="Q1:Q1048576"/>
      <selection pane="bottomLeft" activeCell="O1588" sqref="O1588"/>
    </sheetView>
  </sheetViews>
  <sheetFormatPr baseColWidth="10" defaultColWidth="11.44140625" defaultRowHeight="17.399999999999999" outlineLevelRow="1" x14ac:dyDescent="0.3"/>
  <cols>
    <col min="1" max="1" width="2.44140625" style="16" customWidth="1"/>
    <col min="2" max="2" width="3" style="13" customWidth="1"/>
    <col min="3" max="3" width="4.6640625" style="13" customWidth="1"/>
    <col min="4" max="10" width="2.5546875" style="40" customWidth="1"/>
    <col min="11" max="11" width="9.44140625" style="13" customWidth="1"/>
    <col min="12" max="12" width="11.44140625" style="13"/>
    <col min="13" max="13" width="40.44140625" style="19" bestFit="1" customWidth="1"/>
    <col min="14" max="14" width="46.5546875" style="13" customWidth="1"/>
    <col min="15" max="15" width="16.44140625" style="42" customWidth="1"/>
    <col min="16" max="16" width="4.88671875" style="13" customWidth="1"/>
    <col min="17" max="17" width="2.88671875" style="37" customWidth="1"/>
    <col min="18" max="18" width="5.44140625" style="40" customWidth="1"/>
    <col min="19" max="20" width="8.88671875" style="40" customWidth="1"/>
    <col min="21" max="21" width="7.6640625" style="13" customWidth="1"/>
    <col min="22" max="22" width="33.5546875" style="13" customWidth="1"/>
    <col min="23" max="23" width="6" style="13" customWidth="1"/>
    <col min="24" max="24" width="10.33203125" style="14" customWidth="1"/>
    <col min="25" max="25" width="87.33203125" style="13" customWidth="1"/>
    <col min="26" max="26" width="10.44140625" style="58" customWidth="1"/>
    <col min="27" max="27" width="9.109375" style="55" customWidth="1"/>
    <col min="28" max="28" width="13.44140625" style="62" customWidth="1"/>
    <col min="29" max="29" width="36.33203125" style="13" customWidth="1"/>
    <col min="30" max="16384" width="11.44140625" style="13"/>
  </cols>
  <sheetData>
    <row r="1" spans="1:29" s="20" customFormat="1" ht="92.25" customHeight="1" x14ac:dyDescent="0.3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 x14ac:dyDescent="0.3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 x14ac:dyDescent="0.3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 x14ac:dyDescent="0.3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 x14ac:dyDescent="0.3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 x14ac:dyDescent="0.3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 x14ac:dyDescent="0.3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 x14ac:dyDescent="0.25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 x14ac:dyDescent="0.25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 x14ac:dyDescent="0.25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 x14ac:dyDescent="0.25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 x14ac:dyDescent="0.25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 x14ac:dyDescent="0.25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 x14ac:dyDescent="0.25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 x14ac:dyDescent="0.3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 x14ac:dyDescent="0.3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 x14ac:dyDescent="0.25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 x14ac:dyDescent="0.25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 x14ac:dyDescent="0.25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 x14ac:dyDescent="0.3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 x14ac:dyDescent="0.25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 x14ac:dyDescent="0.25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 x14ac:dyDescent="0.25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 x14ac:dyDescent="0.25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 x14ac:dyDescent="0.3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 x14ac:dyDescent="0.3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 x14ac:dyDescent="0.3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 x14ac:dyDescent="0.3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 x14ac:dyDescent="0.3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 x14ac:dyDescent="0.3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 x14ac:dyDescent="0.3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 x14ac:dyDescent="0.3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 x14ac:dyDescent="0.3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 x14ac:dyDescent="0.3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 x14ac:dyDescent="0.3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 x14ac:dyDescent="0.3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 x14ac:dyDescent="0.3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 x14ac:dyDescent="0.3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 x14ac:dyDescent="0.3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 x14ac:dyDescent="0.3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 x14ac:dyDescent="0.3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 x14ac:dyDescent="0.3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 x14ac:dyDescent="0.3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 x14ac:dyDescent="0.3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 x14ac:dyDescent="0.3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 x14ac:dyDescent="0.25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 x14ac:dyDescent="0.3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 x14ac:dyDescent="0.3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 x14ac:dyDescent="0.3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 x14ac:dyDescent="0.3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 x14ac:dyDescent="0.3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 x14ac:dyDescent="0.3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 x14ac:dyDescent="0.3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 x14ac:dyDescent="0.3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 x14ac:dyDescent="0.25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 x14ac:dyDescent="0.25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 x14ac:dyDescent="0.25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 x14ac:dyDescent="0.25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 x14ac:dyDescent="0.25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 x14ac:dyDescent="0.25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 x14ac:dyDescent="0.25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 x14ac:dyDescent="0.25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 x14ac:dyDescent="0.25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 x14ac:dyDescent="0.25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 x14ac:dyDescent="0.25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 x14ac:dyDescent="0.25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 x14ac:dyDescent="0.25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 x14ac:dyDescent="0.25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 x14ac:dyDescent="0.25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 x14ac:dyDescent="0.25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 x14ac:dyDescent="0.25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 x14ac:dyDescent="0.25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 x14ac:dyDescent="0.25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 x14ac:dyDescent="0.25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 x14ac:dyDescent="0.25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 x14ac:dyDescent="0.25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 x14ac:dyDescent="0.25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 x14ac:dyDescent="0.25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 x14ac:dyDescent="0.25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 x14ac:dyDescent="0.3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 x14ac:dyDescent="0.25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 x14ac:dyDescent="0.25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 x14ac:dyDescent="0.25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 x14ac:dyDescent="0.3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 x14ac:dyDescent="0.3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 x14ac:dyDescent="0.25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 x14ac:dyDescent="0.25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 x14ac:dyDescent="0.25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 x14ac:dyDescent="0.25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 x14ac:dyDescent="0.25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 x14ac:dyDescent="0.25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 x14ac:dyDescent="0.25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 x14ac:dyDescent="0.25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 x14ac:dyDescent="0.25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 x14ac:dyDescent="0.3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 x14ac:dyDescent="0.3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 x14ac:dyDescent="0.3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 x14ac:dyDescent="0.3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 x14ac:dyDescent="0.3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 x14ac:dyDescent="0.3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 x14ac:dyDescent="0.3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 x14ac:dyDescent="0.3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 x14ac:dyDescent="0.3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 x14ac:dyDescent="0.3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 x14ac:dyDescent="0.3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 x14ac:dyDescent="0.3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 x14ac:dyDescent="0.3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 x14ac:dyDescent="0.3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 x14ac:dyDescent="0.3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 x14ac:dyDescent="0.3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 x14ac:dyDescent="0.3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 x14ac:dyDescent="0.3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 x14ac:dyDescent="0.3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 x14ac:dyDescent="0.3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 x14ac:dyDescent="0.3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 x14ac:dyDescent="0.3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 x14ac:dyDescent="0.3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 x14ac:dyDescent="0.3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 x14ac:dyDescent="0.3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 x14ac:dyDescent="0.3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 x14ac:dyDescent="0.3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 x14ac:dyDescent="0.3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 x14ac:dyDescent="0.3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 x14ac:dyDescent="0.3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 x14ac:dyDescent="0.3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 x14ac:dyDescent="0.25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 x14ac:dyDescent="0.25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 x14ac:dyDescent="0.3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 x14ac:dyDescent="0.3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 x14ac:dyDescent="0.3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 x14ac:dyDescent="0.25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 x14ac:dyDescent="0.3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 x14ac:dyDescent="0.3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 x14ac:dyDescent="0.3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 x14ac:dyDescent="0.3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 x14ac:dyDescent="0.3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 x14ac:dyDescent="0.3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 x14ac:dyDescent="0.3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 x14ac:dyDescent="0.3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 x14ac:dyDescent="0.3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 x14ac:dyDescent="0.3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 x14ac:dyDescent="0.3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 x14ac:dyDescent="0.3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 x14ac:dyDescent="0.3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 x14ac:dyDescent="0.3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 x14ac:dyDescent="0.3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 x14ac:dyDescent="0.3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 x14ac:dyDescent="0.3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 x14ac:dyDescent="0.3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 x14ac:dyDescent="0.3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 x14ac:dyDescent="0.3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 x14ac:dyDescent="0.3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 x14ac:dyDescent="0.3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 x14ac:dyDescent="0.3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 x14ac:dyDescent="0.3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 x14ac:dyDescent="0.3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 x14ac:dyDescent="0.3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 x14ac:dyDescent="0.3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 x14ac:dyDescent="0.3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 x14ac:dyDescent="0.3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 x14ac:dyDescent="0.3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 x14ac:dyDescent="0.3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 x14ac:dyDescent="0.3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 x14ac:dyDescent="0.3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 x14ac:dyDescent="0.3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 x14ac:dyDescent="0.3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 x14ac:dyDescent="0.3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 x14ac:dyDescent="0.3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 x14ac:dyDescent="0.3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 x14ac:dyDescent="0.3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 x14ac:dyDescent="0.3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 x14ac:dyDescent="0.3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 x14ac:dyDescent="0.3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 x14ac:dyDescent="0.3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 x14ac:dyDescent="0.3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 x14ac:dyDescent="0.3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 x14ac:dyDescent="0.3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 x14ac:dyDescent="0.3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 x14ac:dyDescent="0.3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 x14ac:dyDescent="0.3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 x14ac:dyDescent="0.3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 x14ac:dyDescent="0.3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 x14ac:dyDescent="0.3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 x14ac:dyDescent="0.3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 x14ac:dyDescent="0.3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 x14ac:dyDescent="0.3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 x14ac:dyDescent="0.3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 x14ac:dyDescent="0.3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 x14ac:dyDescent="0.3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 x14ac:dyDescent="0.3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 x14ac:dyDescent="0.3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 x14ac:dyDescent="0.3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 x14ac:dyDescent="0.3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 x14ac:dyDescent="0.3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 x14ac:dyDescent="0.3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 x14ac:dyDescent="0.3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 x14ac:dyDescent="0.3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 x14ac:dyDescent="0.3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 x14ac:dyDescent="0.3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 x14ac:dyDescent="0.3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 x14ac:dyDescent="0.3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 x14ac:dyDescent="0.3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 x14ac:dyDescent="0.3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 x14ac:dyDescent="0.3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 x14ac:dyDescent="0.3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 x14ac:dyDescent="0.3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 x14ac:dyDescent="0.3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 x14ac:dyDescent="0.3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 x14ac:dyDescent="0.3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 x14ac:dyDescent="0.3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 x14ac:dyDescent="0.3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 x14ac:dyDescent="0.3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 x14ac:dyDescent="0.3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 x14ac:dyDescent="0.3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 x14ac:dyDescent="0.3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 x14ac:dyDescent="0.3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 x14ac:dyDescent="0.3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 x14ac:dyDescent="0.3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 x14ac:dyDescent="0.3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 x14ac:dyDescent="0.3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 x14ac:dyDescent="0.3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 x14ac:dyDescent="0.3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 x14ac:dyDescent="0.3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 x14ac:dyDescent="0.3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 x14ac:dyDescent="0.3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 x14ac:dyDescent="0.3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 x14ac:dyDescent="0.3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 x14ac:dyDescent="0.3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 x14ac:dyDescent="0.3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 x14ac:dyDescent="0.3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 x14ac:dyDescent="0.3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 x14ac:dyDescent="0.3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 x14ac:dyDescent="0.3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 x14ac:dyDescent="0.3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 x14ac:dyDescent="0.3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 x14ac:dyDescent="0.3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 x14ac:dyDescent="0.3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 x14ac:dyDescent="0.3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 x14ac:dyDescent="0.3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 x14ac:dyDescent="0.3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 x14ac:dyDescent="0.3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 x14ac:dyDescent="0.3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 x14ac:dyDescent="0.3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 x14ac:dyDescent="0.3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 x14ac:dyDescent="0.3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 x14ac:dyDescent="0.3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 x14ac:dyDescent="0.3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 x14ac:dyDescent="0.3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 x14ac:dyDescent="0.3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 x14ac:dyDescent="0.3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 x14ac:dyDescent="0.3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 x14ac:dyDescent="0.3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 x14ac:dyDescent="0.3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 x14ac:dyDescent="0.3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 x14ac:dyDescent="0.3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 x14ac:dyDescent="0.3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 x14ac:dyDescent="0.3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 x14ac:dyDescent="0.3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 x14ac:dyDescent="0.3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 x14ac:dyDescent="0.3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 x14ac:dyDescent="0.3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 x14ac:dyDescent="0.3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 x14ac:dyDescent="0.3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 x14ac:dyDescent="0.3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 x14ac:dyDescent="0.3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 x14ac:dyDescent="0.3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 x14ac:dyDescent="0.3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 x14ac:dyDescent="0.3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 x14ac:dyDescent="0.3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 x14ac:dyDescent="0.3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 x14ac:dyDescent="0.3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 x14ac:dyDescent="0.3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 x14ac:dyDescent="0.3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 x14ac:dyDescent="0.3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 x14ac:dyDescent="0.3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 x14ac:dyDescent="0.3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 x14ac:dyDescent="0.3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 x14ac:dyDescent="0.3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 x14ac:dyDescent="0.3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 x14ac:dyDescent="0.3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 x14ac:dyDescent="0.3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 x14ac:dyDescent="0.3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 x14ac:dyDescent="0.3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 x14ac:dyDescent="0.3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 x14ac:dyDescent="0.3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 x14ac:dyDescent="0.3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 x14ac:dyDescent="0.3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 x14ac:dyDescent="0.3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 x14ac:dyDescent="0.3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 x14ac:dyDescent="0.3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 x14ac:dyDescent="0.3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 x14ac:dyDescent="0.3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 x14ac:dyDescent="0.3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 x14ac:dyDescent="0.3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 x14ac:dyDescent="0.3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 x14ac:dyDescent="0.3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 x14ac:dyDescent="0.3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 x14ac:dyDescent="0.3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 x14ac:dyDescent="0.3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 x14ac:dyDescent="0.3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 x14ac:dyDescent="0.3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 x14ac:dyDescent="0.3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 x14ac:dyDescent="0.3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 x14ac:dyDescent="0.3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 x14ac:dyDescent="0.3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 x14ac:dyDescent="0.3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 x14ac:dyDescent="0.3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 x14ac:dyDescent="0.3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 x14ac:dyDescent="0.3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 x14ac:dyDescent="0.3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 x14ac:dyDescent="0.3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 x14ac:dyDescent="0.3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 x14ac:dyDescent="0.3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 x14ac:dyDescent="0.3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 x14ac:dyDescent="0.3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 x14ac:dyDescent="0.3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 x14ac:dyDescent="0.3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 x14ac:dyDescent="0.3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 x14ac:dyDescent="0.3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 x14ac:dyDescent="0.3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 x14ac:dyDescent="0.3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 x14ac:dyDescent="0.3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 x14ac:dyDescent="0.3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 x14ac:dyDescent="0.3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 x14ac:dyDescent="0.3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 x14ac:dyDescent="0.3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 x14ac:dyDescent="0.3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 x14ac:dyDescent="0.3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 x14ac:dyDescent="0.3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 x14ac:dyDescent="0.3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 x14ac:dyDescent="0.3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 x14ac:dyDescent="0.3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 x14ac:dyDescent="0.3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 x14ac:dyDescent="0.3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 x14ac:dyDescent="0.3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 x14ac:dyDescent="0.3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 x14ac:dyDescent="0.3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 x14ac:dyDescent="0.3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 x14ac:dyDescent="0.3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 x14ac:dyDescent="0.3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 x14ac:dyDescent="0.3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 x14ac:dyDescent="0.3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 x14ac:dyDescent="0.3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 x14ac:dyDescent="0.3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 x14ac:dyDescent="0.3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 x14ac:dyDescent="0.3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 x14ac:dyDescent="0.3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 x14ac:dyDescent="0.3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 x14ac:dyDescent="0.3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 x14ac:dyDescent="0.3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 x14ac:dyDescent="0.3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 x14ac:dyDescent="0.3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 x14ac:dyDescent="0.3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 x14ac:dyDescent="0.3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 x14ac:dyDescent="0.3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 x14ac:dyDescent="0.3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 x14ac:dyDescent="0.3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 x14ac:dyDescent="0.3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 x14ac:dyDescent="0.3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 x14ac:dyDescent="0.3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 x14ac:dyDescent="0.3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 x14ac:dyDescent="0.3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 x14ac:dyDescent="0.3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 x14ac:dyDescent="0.3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 x14ac:dyDescent="0.3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 x14ac:dyDescent="0.3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 x14ac:dyDescent="0.3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 x14ac:dyDescent="0.3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 x14ac:dyDescent="0.3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 x14ac:dyDescent="0.3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 x14ac:dyDescent="0.3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 x14ac:dyDescent="0.3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 x14ac:dyDescent="0.3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 x14ac:dyDescent="0.3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 x14ac:dyDescent="0.3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 x14ac:dyDescent="0.3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 x14ac:dyDescent="0.3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 x14ac:dyDescent="0.3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 x14ac:dyDescent="0.3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 x14ac:dyDescent="0.3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 x14ac:dyDescent="0.3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 x14ac:dyDescent="0.3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 x14ac:dyDescent="0.3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 x14ac:dyDescent="0.3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 x14ac:dyDescent="0.3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 x14ac:dyDescent="0.3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 x14ac:dyDescent="0.3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 x14ac:dyDescent="0.3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 x14ac:dyDescent="0.3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 x14ac:dyDescent="0.3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 x14ac:dyDescent="0.3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 x14ac:dyDescent="0.3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 x14ac:dyDescent="0.3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 x14ac:dyDescent="0.3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 x14ac:dyDescent="0.3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 x14ac:dyDescent="0.3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 x14ac:dyDescent="0.3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 x14ac:dyDescent="0.3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 x14ac:dyDescent="0.3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 x14ac:dyDescent="0.3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 x14ac:dyDescent="0.3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 x14ac:dyDescent="0.3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 x14ac:dyDescent="0.3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 x14ac:dyDescent="0.3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 x14ac:dyDescent="0.3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 x14ac:dyDescent="0.3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 x14ac:dyDescent="0.3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 x14ac:dyDescent="0.3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 x14ac:dyDescent="0.3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 x14ac:dyDescent="0.3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 x14ac:dyDescent="0.3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 x14ac:dyDescent="0.3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 x14ac:dyDescent="0.3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 x14ac:dyDescent="0.3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 x14ac:dyDescent="0.3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 x14ac:dyDescent="0.3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 x14ac:dyDescent="0.3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 x14ac:dyDescent="0.3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 x14ac:dyDescent="0.3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 x14ac:dyDescent="0.3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 x14ac:dyDescent="0.3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 x14ac:dyDescent="0.3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 x14ac:dyDescent="0.3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 x14ac:dyDescent="0.3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 x14ac:dyDescent="0.3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 x14ac:dyDescent="0.3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 x14ac:dyDescent="0.3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 x14ac:dyDescent="0.3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 x14ac:dyDescent="0.3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 x14ac:dyDescent="0.3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 x14ac:dyDescent="0.3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 x14ac:dyDescent="0.3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 x14ac:dyDescent="0.3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 x14ac:dyDescent="0.3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 x14ac:dyDescent="0.3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 x14ac:dyDescent="0.3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 x14ac:dyDescent="0.3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 x14ac:dyDescent="0.3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 x14ac:dyDescent="0.25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 x14ac:dyDescent="0.25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 x14ac:dyDescent="0.25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 x14ac:dyDescent="0.25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 x14ac:dyDescent="0.25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 x14ac:dyDescent="0.25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 x14ac:dyDescent="0.25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 x14ac:dyDescent="0.25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 x14ac:dyDescent="0.25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 x14ac:dyDescent="0.25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 x14ac:dyDescent="0.25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 x14ac:dyDescent="0.25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 x14ac:dyDescent="0.3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 x14ac:dyDescent="0.25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 x14ac:dyDescent="0.3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 x14ac:dyDescent="0.3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 x14ac:dyDescent="0.3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 x14ac:dyDescent="0.3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 x14ac:dyDescent="0.3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 x14ac:dyDescent="0.3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 x14ac:dyDescent="0.3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 x14ac:dyDescent="0.3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 x14ac:dyDescent="0.3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 x14ac:dyDescent="0.25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 x14ac:dyDescent="0.25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 x14ac:dyDescent="0.25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 x14ac:dyDescent="0.25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 x14ac:dyDescent="0.3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 x14ac:dyDescent="0.3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 x14ac:dyDescent="0.25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 x14ac:dyDescent="0.25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 x14ac:dyDescent="0.3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 x14ac:dyDescent="0.3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 x14ac:dyDescent="0.3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 x14ac:dyDescent="0.3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 x14ac:dyDescent="0.3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 x14ac:dyDescent="0.25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 x14ac:dyDescent="0.25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 x14ac:dyDescent="0.25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 x14ac:dyDescent="0.3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 x14ac:dyDescent="0.3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 x14ac:dyDescent="0.3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 x14ac:dyDescent="0.3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 x14ac:dyDescent="0.3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 x14ac:dyDescent="0.3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 x14ac:dyDescent="0.3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 x14ac:dyDescent="0.3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 x14ac:dyDescent="0.3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 x14ac:dyDescent="0.3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 x14ac:dyDescent="0.25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 x14ac:dyDescent="0.25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 x14ac:dyDescent="0.25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 x14ac:dyDescent="0.25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 x14ac:dyDescent="0.25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 x14ac:dyDescent="0.25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 x14ac:dyDescent="0.25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 x14ac:dyDescent="0.25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 x14ac:dyDescent="0.25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 x14ac:dyDescent="0.25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 x14ac:dyDescent="0.3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 x14ac:dyDescent="0.3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 x14ac:dyDescent="0.3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 x14ac:dyDescent="0.3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 x14ac:dyDescent="0.3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 x14ac:dyDescent="0.3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 x14ac:dyDescent="0.3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 x14ac:dyDescent="0.3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 x14ac:dyDescent="0.3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 x14ac:dyDescent="0.3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 x14ac:dyDescent="0.3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 x14ac:dyDescent="0.3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 x14ac:dyDescent="0.3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 x14ac:dyDescent="0.3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 x14ac:dyDescent="0.3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 x14ac:dyDescent="0.3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 x14ac:dyDescent="0.3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 x14ac:dyDescent="0.25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 x14ac:dyDescent="0.25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 x14ac:dyDescent="0.25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 x14ac:dyDescent="0.3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 x14ac:dyDescent="0.25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 x14ac:dyDescent="0.25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 x14ac:dyDescent="0.25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 x14ac:dyDescent="0.25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 x14ac:dyDescent="0.3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 x14ac:dyDescent="0.3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 x14ac:dyDescent="0.3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 x14ac:dyDescent="0.3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 x14ac:dyDescent="0.3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 x14ac:dyDescent="0.3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 x14ac:dyDescent="0.3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 x14ac:dyDescent="0.25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 x14ac:dyDescent="0.25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 x14ac:dyDescent="0.3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 x14ac:dyDescent="0.3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 x14ac:dyDescent="0.3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 x14ac:dyDescent="0.3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 x14ac:dyDescent="0.3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 x14ac:dyDescent="0.3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 x14ac:dyDescent="0.3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 x14ac:dyDescent="0.3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 x14ac:dyDescent="0.25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 x14ac:dyDescent="0.25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 x14ac:dyDescent="0.3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 x14ac:dyDescent="0.3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 x14ac:dyDescent="0.3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 x14ac:dyDescent="0.3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 x14ac:dyDescent="0.3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 x14ac:dyDescent="0.3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 x14ac:dyDescent="0.3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 x14ac:dyDescent="0.3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 x14ac:dyDescent="0.25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 x14ac:dyDescent="0.25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 x14ac:dyDescent="0.25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 x14ac:dyDescent="0.25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 x14ac:dyDescent="0.25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 x14ac:dyDescent="0.25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 x14ac:dyDescent="0.3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 x14ac:dyDescent="0.3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 x14ac:dyDescent="0.3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 x14ac:dyDescent="0.3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 x14ac:dyDescent="0.3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 x14ac:dyDescent="0.3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 x14ac:dyDescent="0.25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 x14ac:dyDescent="0.25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 x14ac:dyDescent="0.3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 x14ac:dyDescent="0.3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 x14ac:dyDescent="0.3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 x14ac:dyDescent="0.3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 x14ac:dyDescent="0.3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 x14ac:dyDescent="0.3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 x14ac:dyDescent="0.3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 x14ac:dyDescent="0.3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 x14ac:dyDescent="0.3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 x14ac:dyDescent="0.3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 x14ac:dyDescent="0.3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 x14ac:dyDescent="0.3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 x14ac:dyDescent="0.3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 x14ac:dyDescent="0.3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 x14ac:dyDescent="0.3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 x14ac:dyDescent="0.3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 x14ac:dyDescent="0.25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 x14ac:dyDescent="0.3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 x14ac:dyDescent="0.3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 x14ac:dyDescent="0.3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 x14ac:dyDescent="0.3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 x14ac:dyDescent="0.3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 x14ac:dyDescent="0.3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 x14ac:dyDescent="0.3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 x14ac:dyDescent="0.3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 x14ac:dyDescent="0.3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 x14ac:dyDescent="0.3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 x14ac:dyDescent="0.3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 x14ac:dyDescent="0.3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 x14ac:dyDescent="0.3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 x14ac:dyDescent="0.3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 x14ac:dyDescent="0.3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 x14ac:dyDescent="0.3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 x14ac:dyDescent="0.3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 x14ac:dyDescent="0.3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 x14ac:dyDescent="0.3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 x14ac:dyDescent="0.3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 x14ac:dyDescent="0.3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 x14ac:dyDescent="0.3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 x14ac:dyDescent="0.3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 x14ac:dyDescent="0.3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 x14ac:dyDescent="0.3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 x14ac:dyDescent="0.3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 x14ac:dyDescent="0.3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 x14ac:dyDescent="0.3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 x14ac:dyDescent="0.3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 x14ac:dyDescent="0.3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 x14ac:dyDescent="0.3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 x14ac:dyDescent="0.3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 x14ac:dyDescent="0.3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 x14ac:dyDescent="0.3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 x14ac:dyDescent="0.3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 x14ac:dyDescent="0.3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 x14ac:dyDescent="0.3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 x14ac:dyDescent="0.3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 x14ac:dyDescent="0.3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 x14ac:dyDescent="0.3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 x14ac:dyDescent="0.3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 x14ac:dyDescent="0.3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 x14ac:dyDescent="0.3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 x14ac:dyDescent="0.3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 x14ac:dyDescent="0.3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 x14ac:dyDescent="0.3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 x14ac:dyDescent="0.3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 x14ac:dyDescent="0.3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 x14ac:dyDescent="0.3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 x14ac:dyDescent="0.3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 x14ac:dyDescent="0.3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 x14ac:dyDescent="0.3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 x14ac:dyDescent="0.3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 x14ac:dyDescent="0.3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 x14ac:dyDescent="0.3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 x14ac:dyDescent="0.3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 x14ac:dyDescent="0.3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 x14ac:dyDescent="0.3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 x14ac:dyDescent="0.3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 x14ac:dyDescent="0.3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 x14ac:dyDescent="0.3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 x14ac:dyDescent="0.3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 x14ac:dyDescent="0.3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 x14ac:dyDescent="0.3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 x14ac:dyDescent="0.3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 x14ac:dyDescent="0.3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 x14ac:dyDescent="0.3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 x14ac:dyDescent="0.3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 x14ac:dyDescent="0.3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 x14ac:dyDescent="0.3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 x14ac:dyDescent="0.3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 x14ac:dyDescent="0.25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 x14ac:dyDescent="0.25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 x14ac:dyDescent="0.25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 x14ac:dyDescent="0.25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 x14ac:dyDescent="0.25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 x14ac:dyDescent="0.3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 x14ac:dyDescent="0.3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 x14ac:dyDescent="0.3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 x14ac:dyDescent="0.3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 x14ac:dyDescent="0.3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 x14ac:dyDescent="0.3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 x14ac:dyDescent="0.3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 x14ac:dyDescent="0.3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 x14ac:dyDescent="0.3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 x14ac:dyDescent="0.3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 x14ac:dyDescent="0.3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 x14ac:dyDescent="0.3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 x14ac:dyDescent="0.3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 x14ac:dyDescent="0.3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 x14ac:dyDescent="0.3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 x14ac:dyDescent="0.3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 x14ac:dyDescent="0.25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 x14ac:dyDescent="0.25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 x14ac:dyDescent="0.25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 x14ac:dyDescent="0.25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 x14ac:dyDescent="0.25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 x14ac:dyDescent="0.25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 x14ac:dyDescent="0.25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 x14ac:dyDescent="0.25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 x14ac:dyDescent="0.25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 x14ac:dyDescent="0.25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 x14ac:dyDescent="0.3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 x14ac:dyDescent="0.3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 x14ac:dyDescent="0.3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 x14ac:dyDescent="0.3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 x14ac:dyDescent="0.3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 x14ac:dyDescent="0.25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 x14ac:dyDescent="0.25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 x14ac:dyDescent="0.3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 x14ac:dyDescent="0.3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 x14ac:dyDescent="0.3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 x14ac:dyDescent="0.3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 x14ac:dyDescent="0.3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 x14ac:dyDescent="0.3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 x14ac:dyDescent="0.3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 x14ac:dyDescent="0.3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 x14ac:dyDescent="0.3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 x14ac:dyDescent="0.3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 x14ac:dyDescent="0.3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 x14ac:dyDescent="0.3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 x14ac:dyDescent="0.3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 x14ac:dyDescent="0.3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 x14ac:dyDescent="0.3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 x14ac:dyDescent="0.3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 x14ac:dyDescent="0.3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 x14ac:dyDescent="0.3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 x14ac:dyDescent="0.3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 x14ac:dyDescent="0.3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 x14ac:dyDescent="0.3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 x14ac:dyDescent="0.3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 x14ac:dyDescent="0.3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 x14ac:dyDescent="0.3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 x14ac:dyDescent="0.3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 x14ac:dyDescent="0.3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 x14ac:dyDescent="0.3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 x14ac:dyDescent="0.3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 x14ac:dyDescent="0.3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 x14ac:dyDescent="0.25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 x14ac:dyDescent="0.25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 x14ac:dyDescent="0.3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 x14ac:dyDescent="0.3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 x14ac:dyDescent="0.3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 x14ac:dyDescent="0.3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 x14ac:dyDescent="0.3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 x14ac:dyDescent="0.3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 x14ac:dyDescent="0.3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 x14ac:dyDescent="0.25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 x14ac:dyDescent="0.25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 x14ac:dyDescent="0.3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 x14ac:dyDescent="0.3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 x14ac:dyDescent="0.25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 x14ac:dyDescent="0.3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 x14ac:dyDescent="0.3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 x14ac:dyDescent="0.3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 x14ac:dyDescent="0.25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 x14ac:dyDescent="0.3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 x14ac:dyDescent="0.3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 x14ac:dyDescent="0.25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 x14ac:dyDescent="0.25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 x14ac:dyDescent="0.25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 x14ac:dyDescent="0.25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 x14ac:dyDescent="0.25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 x14ac:dyDescent="0.25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 x14ac:dyDescent="0.25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 x14ac:dyDescent="0.25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 x14ac:dyDescent="0.25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 x14ac:dyDescent="0.3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 x14ac:dyDescent="0.3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 x14ac:dyDescent="0.3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 x14ac:dyDescent="0.25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 x14ac:dyDescent="0.25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 x14ac:dyDescent="0.25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 x14ac:dyDescent="0.3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 x14ac:dyDescent="0.3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 x14ac:dyDescent="0.3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 x14ac:dyDescent="0.3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 x14ac:dyDescent="0.25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 x14ac:dyDescent="0.25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 x14ac:dyDescent="0.25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 x14ac:dyDescent="0.25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 x14ac:dyDescent="0.25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 x14ac:dyDescent="0.25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 x14ac:dyDescent="0.25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 x14ac:dyDescent="0.25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 x14ac:dyDescent="0.25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 x14ac:dyDescent="0.25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 x14ac:dyDescent="0.25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 x14ac:dyDescent="0.25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 x14ac:dyDescent="0.25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 x14ac:dyDescent="0.25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 x14ac:dyDescent="0.25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 x14ac:dyDescent="0.25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 x14ac:dyDescent="0.3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 x14ac:dyDescent="0.3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 x14ac:dyDescent="0.3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 x14ac:dyDescent="0.3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 x14ac:dyDescent="0.3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 x14ac:dyDescent="0.3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 x14ac:dyDescent="0.25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 x14ac:dyDescent="0.25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 x14ac:dyDescent="0.25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 x14ac:dyDescent="0.25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 x14ac:dyDescent="0.25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 x14ac:dyDescent="0.25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 x14ac:dyDescent="0.25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 x14ac:dyDescent="0.3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 x14ac:dyDescent="0.25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 x14ac:dyDescent="0.25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 x14ac:dyDescent="0.25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 x14ac:dyDescent="0.3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 x14ac:dyDescent="0.3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 x14ac:dyDescent="0.3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 x14ac:dyDescent="0.25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 x14ac:dyDescent="0.3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 x14ac:dyDescent="0.25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 x14ac:dyDescent="0.3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 x14ac:dyDescent="0.3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 x14ac:dyDescent="0.3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 x14ac:dyDescent="0.3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 x14ac:dyDescent="0.3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 x14ac:dyDescent="0.3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 x14ac:dyDescent="0.3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 x14ac:dyDescent="0.3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 x14ac:dyDescent="0.3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 x14ac:dyDescent="0.3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 x14ac:dyDescent="0.3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 x14ac:dyDescent="0.3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 x14ac:dyDescent="0.3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 x14ac:dyDescent="0.25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 x14ac:dyDescent="0.25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 x14ac:dyDescent="0.25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 x14ac:dyDescent="0.3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 x14ac:dyDescent="0.25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 x14ac:dyDescent="0.25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 x14ac:dyDescent="0.25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 x14ac:dyDescent="0.25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 x14ac:dyDescent="0.25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 x14ac:dyDescent="0.25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 x14ac:dyDescent="0.25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 x14ac:dyDescent="0.25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 x14ac:dyDescent="0.25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 x14ac:dyDescent="0.25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 x14ac:dyDescent="0.25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 x14ac:dyDescent="0.25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 x14ac:dyDescent="0.25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 x14ac:dyDescent="0.25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 x14ac:dyDescent="0.25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 x14ac:dyDescent="0.25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 x14ac:dyDescent="0.25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 x14ac:dyDescent="0.25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 x14ac:dyDescent="0.25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 x14ac:dyDescent="0.25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 x14ac:dyDescent="0.25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 x14ac:dyDescent="0.25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 x14ac:dyDescent="0.25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 x14ac:dyDescent="0.25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 x14ac:dyDescent="0.25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 x14ac:dyDescent="0.25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 x14ac:dyDescent="0.25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 x14ac:dyDescent="0.25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 x14ac:dyDescent="0.25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 x14ac:dyDescent="0.25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 x14ac:dyDescent="0.25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 x14ac:dyDescent="0.25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 x14ac:dyDescent="0.3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 x14ac:dyDescent="0.25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 x14ac:dyDescent="0.3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 x14ac:dyDescent="0.3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 x14ac:dyDescent="0.3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 x14ac:dyDescent="0.3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 x14ac:dyDescent="0.3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 x14ac:dyDescent="0.3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 x14ac:dyDescent="0.3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 x14ac:dyDescent="0.3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 x14ac:dyDescent="0.3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 x14ac:dyDescent="0.3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 x14ac:dyDescent="0.3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 x14ac:dyDescent="0.3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 x14ac:dyDescent="0.3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 x14ac:dyDescent="0.25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 x14ac:dyDescent="0.25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 x14ac:dyDescent="0.25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 x14ac:dyDescent="0.3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 x14ac:dyDescent="0.25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 x14ac:dyDescent="0.25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 x14ac:dyDescent="0.25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 x14ac:dyDescent="0.25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 x14ac:dyDescent="0.25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 x14ac:dyDescent="0.25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 x14ac:dyDescent="0.25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 x14ac:dyDescent="0.25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 x14ac:dyDescent="0.3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 x14ac:dyDescent="0.25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 x14ac:dyDescent="0.25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 x14ac:dyDescent="0.25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 x14ac:dyDescent="0.25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 x14ac:dyDescent="0.25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 x14ac:dyDescent="0.25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 x14ac:dyDescent="0.25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 x14ac:dyDescent="0.3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 x14ac:dyDescent="0.3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4460</v>
      </c>
      <c r="N882" s="160" t="s">
        <v>1160</v>
      </c>
      <c r="O882" s="160" t="s">
        <v>4448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 x14ac:dyDescent="0.3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 x14ac:dyDescent="0.25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 x14ac:dyDescent="0.3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 x14ac:dyDescent="0.3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 x14ac:dyDescent="0.3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 x14ac:dyDescent="0.3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 x14ac:dyDescent="0.3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 x14ac:dyDescent="0.3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 x14ac:dyDescent="0.3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 x14ac:dyDescent="0.25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 x14ac:dyDescent="0.3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 x14ac:dyDescent="0.3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 x14ac:dyDescent="0.3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 x14ac:dyDescent="0.3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 x14ac:dyDescent="0.3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 x14ac:dyDescent="0.3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 x14ac:dyDescent="0.3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 x14ac:dyDescent="0.3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 x14ac:dyDescent="0.3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 x14ac:dyDescent="0.3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 x14ac:dyDescent="0.3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 x14ac:dyDescent="0.3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 x14ac:dyDescent="0.3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 x14ac:dyDescent="0.3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 x14ac:dyDescent="0.3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 x14ac:dyDescent="0.3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 x14ac:dyDescent="0.3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 x14ac:dyDescent="0.25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 x14ac:dyDescent="0.3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 x14ac:dyDescent="0.3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 x14ac:dyDescent="0.3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 x14ac:dyDescent="0.25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 x14ac:dyDescent="0.25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 x14ac:dyDescent="0.25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 x14ac:dyDescent="0.25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 x14ac:dyDescent="0.25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 x14ac:dyDescent="0.25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 x14ac:dyDescent="0.25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 x14ac:dyDescent="0.25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 x14ac:dyDescent="0.25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 x14ac:dyDescent="0.25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 x14ac:dyDescent="0.25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 x14ac:dyDescent="0.25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 x14ac:dyDescent="0.25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 x14ac:dyDescent="0.25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 x14ac:dyDescent="0.25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 x14ac:dyDescent="0.3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 x14ac:dyDescent="0.3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 x14ac:dyDescent="0.3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 x14ac:dyDescent="0.3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 x14ac:dyDescent="0.3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 x14ac:dyDescent="0.3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 x14ac:dyDescent="0.3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 x14ac:dyDescent="0.3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 x14ac:dyDescent="0.3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 x14ac:dyDescent="0.3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 x14ac:dyDescent="0.3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 x14ac:dyDescent="0.3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 x14ac:dyDescent="0.3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 x14ac:dyDescent="0.3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 x14ac:dyDescent="0.3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 x14ac:dyDescent="0.3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 x14ac:dyDescent="0.3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 x14ac:dyDescent="0.25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 x14ac:dyDescent="0.25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 x14ac:dyDescent="0.25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 x14ac:dyDescent="0.25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 x14ac:dyDescent="0.3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 x14ac:dyDescent="0.25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 x14ac:dyDescent="0.25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 x14ac:dyDescent="0.25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 x14ac:dyDescent="0.25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 x14ac:dyDescent="0.25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 x14ac:dyDescent="0.25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 x14ac:dyDescent="0.25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 x14ac:dyDescent="0.25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 x14ac:dyDescent="0.25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 x14ac:dyDescent="0.25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 x14ac:dyDescent="0.25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 x14ac:dyDescent="0.25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 x14ac:dyDescent="0.25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 x14ac:dyDescent="0.25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 x14ac:dyDescent="0.25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 x14ac:dyDescent="0.25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 x14ac:dyDescent="0.25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 x14ac:dyDescent="0.25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 x14ac:dyDescent="0.25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 x14ac:dyDescent="0.25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 x14ac:dyDescent="0.25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 x14ac:dyDescent="0.3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hidden="1" outlineLevel="1" x14ac:dyDescent="0.25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4451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">
        <v>298</v>
      </c>
      <c r="AA973" s="55" t="str">
        <f t="shared" ref="AA973:AA996" si="74">IF($M973="","",IFERROR(MATCH($M973,VALUESnames,0),""))</f>
        <v/>
      </c>
      <c r="AB973" s="62" t="s">
        <v>298</v>
      </c>
      <c r="AC973" s="16" t="s">
        <v>298</v>
      </c>
    </row>
    <row r="974" spans="1:29" hidden="1" outlineLevel="1" x14ac:dyDescent="0.25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">
        <v>298</v>
      </c>
      <c r="AA974" s="55" t="str">
        <f t="shared" si="74"/>
        <v/>
      </c>
      <c r="AB974" s="62" t="s">
        <v>298</v>
      </c>
      <c r="AC974" s="16" t="s">
        <v>298</v>
      </c>
    </row>
    <row r="975" spans="1:29" hidden="1" outlineLevel="1" x14ac:dyDescent="0.25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4456</v>
      </c>
      <c r="N975" s="52" t="s">
        <v>4457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">
        <v>298</v>
      </c>
      <c r="AA975" s="55" t="str">
        <f t="shared" si="74"/>
        <v/>
      </c>
      <c r="AB975" s="62" t="s">
        <v>298</v>
      </c>
      <c r="AC975" s="16" t="s">
        <v>298</v>
      </c>
    </row>
    <row r="976" spans="1:29" hidden="1" outlineLevel="1" x14ac:dyDescent="0.25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4433</v>
      </c>
      <c r="N976" s="52" t="s">
        <v>4450</v>
      </c>
      <c r="O976" s="153" t="s">
        <v>4461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">
        <v>298</v>
      </c>
      <c r="AA976" s="55" t="str">
        <f t="shared" si="74"/>
        <v/>
      </c>
      <c r="AB976" s="62" t="s">
        <v>298</v>
      </c>
      <c r="AC976" s="16" t="s">
        <v>298</v>
      </c>
    </row>
    <row r="977" spans="1:29" hidden="1" outlineLevel="1" x14ac:dyDescent="0.25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4449</v>
      </c>
      <c r="N977" s="52" t="s">
        <v>4447</v>
      </c>
      <c r="O977" s="163" t="s">
        <v>4448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">
        <v>298</v>
      </c>
      <c r="AA977" s="55" t="str">
        <f t="shared" si="74"/>
        <v/>
      </c>
      <c r="AB977" s="62" t="s">
        <v>298</v>
      </c>
      <c r="AC977" s="16" t="s">
        <v>298</v>
      </c>
    </row>
    <row r="978" spans="1:29" hidden="1" outlineLevel="1" x14ac:dyDescent="0.25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4434</v>
      </c>
      <c r="N978" s="52" t="s">
        <v>4426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">
        <v>298</v>
      </c>
      <c r="AA978" s="55" t="str">
        <f t="shared" si="74"/>
        <v/>
      </c>
      <c r="AB978" s="62" t="s">
        <v>298</v>
      </c>
      <c r="AC978" s="16" t="s">
        <v>298</v>
      </c>
    </row>
    <row r="979" spans="1:29" hidden="1" outlineLevel="1" x14ac:dyDescent="0.25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4452</v>
      </c>
      <c r="N979" s="52" t="s">
        <v>4454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">
        <v>298</v>
      </c>
      <c r="AA979" s="55" t="str">
        <f t="shared" si="74"/>
        <v/>
      </c>
      <c r="AB979" s="62" t="s">
        <v>298</v>
      </c>
      <c r="AC979" s="16" t="s">
        <v>298</v>
      </c>
    </row>
    <row r="980" spans="1:29" hidden="1" outlineLevel="1" x14ac:dyDescent="0.25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4453</v>
      </c>
      <c r="N980" s="52" t="s">
        <v>4455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">
        <v>298</v>
      </c>
      <c r="AA980" s="55" t="str">
        <f t="shared" si="74"/>
        <v/>
      </c>
      <c r="AB980" s="62" t="s">
        <v>298</v>
      </c>
      <c r="AC980" s="16" t="s">
        <v>298</v>
      </c>
    </row>
    <row r="981" spans="1:29" hidden="1" outlineLevel="1" x14ac:dyDescent="0.25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4435</v>
      </c>
      <c r="N981" s="52" t="s">
        <v>4432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">
        <v>298</v>
      </c>
      <c r="AA981" s="55" t="str">
        <f t="shared" si="74"/>
        <v/>
      </c>
      <c r="AB981" s="62" t="s">
        <v>298</v>
      </c>
      <c r="AC981" s="16" t="s">
        <v>298</v>
      </c>
    </row>
    <row r="982" spans="1:29" hidden="1" outlineLevel="1" x14ac:dyDescent="0.25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4436</v>
      </c>
      <c r="N982" s="52" t="s">
        <v>4431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">
        <v>298</v>
      </c>
      <c r="AA982" s="55" t="str">
        <f t="shared" si="74"/>
        <v/>
      </c>
      <c r="AB982" s="62" t="s">
        <v>298</v>
      </c>
      <c r="AC982" s="16" t="s">
        <v>298</v>
      </c>
    </row>
    <row r="983" spans="1:29" hidden="1" outlineLevel="1" x14ac:dyDescent="0.25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4437</v>
      </c>
      <c r="N983" s="52" t="s">
        <v>4430</v>
      </c>
      <c r="O983" s="153" t="s">
        <v>4462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">
        <v>298</v>
      </c>
      <c r="AA983" s="55" t="str">
        <f t="shared" si="74"/>
        <v/>
      </c>
      <c r="AB983" s="62" t="s">
        <v>298</v>
      </c>
      <c r="AC983" s="16" t="s">
        <v>298</v>
      </c>
    </row>
    <row r="984" spans="1:29" hidden="1" outlineLevel="1" x14ac:dyDescent="0.25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4438</v>
      </c>
      <c r="N984" s="52" t="s">
        <v>4429</v>
      </c>
      <c r="O984" s="153" t="s">
        <v>4441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">
        <v>298</v>
      </c>
      <c r="AA984" s="55" t="str">
        <f t="shared" si="74"/>
        <v/>
      </c>
      <c r="AB984" s="62" t="s">
        <v>298</v>
      </c>
      <c r="AC984" s="16" t="s">
        <v>298</v>
      </c>
    </row>
    <row r="985" spans="1:29" hidden="1" outlineLevel="1" x14ac:dyDescent="0.25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4439</v>
      </c>
      <c r="N985" s="52" t="s">
        <v>4428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">
        <v>298</v>
      </c>
      <c r="AA985" s="55" t="str">
        <f t="shared" si="74"/>
        <v/>
      </c>
      <c r="AB985" s="62" t="s">
        <v>298</v>
      </c>
      <c r="AC985" s="16" t="s">
        <v>298</v>
      </c>
    </row>
    <row r="986" spans="1:29" hidden="1" outlineLevel="1" x14ac:dyDescent="0.25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4440</v>
      </c>
      <c r="N986" s="52" t="s">
        <v>4427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">
        <v>298</v>
      </c>
      <c r="AA986" s="55" t="str">
        <f t="shared" si="74"/>
        <v/>
      </c>
      <c r="AB986" s="62" t="s">
        <v>298</v>
      </c>
      <c r="AC986" s="16" t="s">
        <v>298</v>
      </c>
    </row>
    <row r="987" spans="1:29" hidden="1" outlineLevel="1" x14ac:dyDescent="0.25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4443</v>
      </c>
      <c r="N987" s="156" t="s">
        <v>4445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">
        <v>298</v>
      </c>
      <c r="AA987" s="55" t="str">
        <f t="shared" si="74"/>
        <v/>
      </c>
      <c r="AB987" s="62" t="s">
        <v>298</v>
      </c>
      <c r="AC987" s="16" t="s">
        <v>298</v>
      </c>
    </row>
    <row r="988" spans="1:29" hidden="1" outlineLevel="1" x14ac:dyDescent="0.25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4444</v>
      </c>
      <c r="N988" s="163" t="s">
        <v>4446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">
        <v>298</v>
      </c>
      <c r="AA988" s="55" t="str">
        <f t="shared" si="74"/>
        <v/>
      </c>
      <c r="AB988" s="62" t="s">
        <v>298</v>
      </c>
      <c r="AC988" s="16" t="s">
        <v>298</v>
      </c>
    </row>
    <row r="989" spans="1:29" hidden="1" outlineLevel="1" x14ac:dyDescent="0.25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4458</v>
      </c>
      <c r="N989" s="52" t="s">
        <v>4459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">
        <v>298</v>
      </c>
      <c r="AA989" s="55" t="str">
        <f t="shared" si="74"/>
        <v/>
      </c>
      <c r="AB989" s="62" t="s">
        <v>298</v>
      </c>
      <c r="AC989" s="16" t="s">
        <v>298</v>
      </c>
    </row>
    <row r="990" spans="1:29" hidden="1" outlineLevel="1" x14ac:dyDescent="0.25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4463</v>
      </c>
      <c r="N990" s="52" t="s">
        <v>4464</v>
      </c>
      <c r="O990" s="153" t="s">
        <v>4465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">
        <v>298</v>
      </c>
      <c r="AA990" s="55" t="str">
        <f t="shared" si="74"/>
        <v/>
      </c>
      <c r="AB990" s="62" t="s">
        <v>298</v>
      </c>
      <c r="AC990" s="16" t="s">
        <v>298</v>
      </c>
    </row>
    <row r="991" spans="1:29" hidden="1" outlineLevel="1" x14ac:dyDescent="0.25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4466</v>
      </c>
      <c r="N991" s="52" t="s">
        <v>4467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">
        <v>298</v>
      </c>
      <c r="AA991" s="55" t="str">
        <f t="shared" si="74"/>
        <v/>
      </c>
      <c r="AB991" s="62" t="s">
        <v>298</v>
      </c>
      <c r="AC991" s="16" t="s">
        <v>298</v>
      </c>
    </row>
    <row r="992" spans="1:29" hidden="1" outlineLevel="1" x14ac:dyDescent="0.25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4468</v>
      </c>
      <c r="N992" s="52" t="s">
        <v>4469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">
        <v>298</v>
      </c>
      <c r="AA992" s="55" t="str">
        <f t="shared" si="74"/>
        <v/>
      </c>
      <c r="AB992" s="62" t="s">
        <v>298</v>
      </c>
      <c r="AC992" s="16" t="s">
        <v>298</v>
      </c>
    </row>
    <row r="993" spans="1:29" hidden="1" outlineLevel="1" x14ac:dyDescent="0.25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4470</v>
      </c>
      <c r="N993" s="52" t="s">
        <v>4476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">
        <v>298</v>
      </c>
      <c r="AA993" s="55" t="str">
        <f t="shared" si="74"/>
        <v/>
      </c>
      <c r="AB993" s="62" t="s">
        <v>298</v>
      </c>
      <c r="AC993" s="16" t="s">
        <v>298</v>
      </c>
    </row>
    <row r="994" spans="1:29" hidden="1" outlineLevel="1" x14ac:dyDescent="0.25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4471</v>
      </c>
      <c r="N994" s="52" t="s">
        <v>4477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">
        <v>298</v>
      </c>
      <c r="AA994" s="55" t="str">
        <f t="shared" si="74"/>
        <v/>
      </c>
      <c r="AB994" s="62" t="s">
        <v>298</v>
      </c>
      <c r="AC994" s="16" t="s">
        <v>298</v>
      </c>
    </row>
    <row r="995" spans="1:29" hidden="1" outlineLevel="1" x14ac:dyDescent="0.25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4472</v>
      </c>
      <c r="N995" s="52" t="s">
        <v>4473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">
        <v>298</v>
      </c>
      <c r="AA995" s="55" t="str">
        <f t="shared" si="74"/>
        <v/>
      </c>
      <c r="AB995" s="62" t="s">
        <v>298</v>
      </c>
      <c r="AC995" s="16" t="s">
        <v>298</v>
      </c>
    </row>
    <row r="996" spans="1:29" hidden="1" outlineLevel="1" x14ac:dyDescent="0.25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4474</v>
      </c>
      <c r="N996" s="52" t="s">
        <v>4475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">
        <v>298</v>
      </c>
      <c r="AA996" s="55" t="str">
        <f t="shared" si="74"/>
        <v/>
      </c>
      <c r="AB996" s="62" t="s">
        <v>298</v>
      </c>
      <c r="AC996" s="16" t="s">
        <v>298</v>
      </c>
    </row>
    <row r="997" spans="1:29" collapsed="1" x14ac:dyDescent="0.3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hidden="1" outlineLevel="1" x14ac:dyDescent="0.25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hidden="1" outlineLevel="1" x14ac:dyDescent="0.25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hidden="1" outlineLevel="1" x14ac:dyDescent="0.25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hidden="1" outlineLevel="1" x14ac:dyDescent="0.25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hidden="1" outlineLevel="1" x14ac:dyDescent="0.25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hidden="1" outlineLevel="1" x14ac:dyDescent="0.25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hidden="1" outlineLevel="1" x14ac:dyDescent="0.25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hidden="1" outlineLevel="1" x14ac:dyDescent="0.25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hidden="1" outlineLevel="1" x14ac:dyDescent="0.25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 collapsed="1" x14ac:dyDescent="0.3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 x14ac:dyDescent="0.3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 x14ac:dyDescent="0.3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 x14ac:dyDescent="0.3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 x14ac:dyDescent="0.3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 x14ac:dyDescent="0.3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 x14ac:dyDescent="0.3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 x14ac:dyDescent="0.3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 x14ac:dyDescent="0.3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 x14ac:dyDescent="0.3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 x14ac:dyDescent="0.3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 x14ac:dyDescent="0.3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 x14ac:dyDescent="0.3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 x14ac:dyDescent="0.3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 x14ac:dyDescent="0.3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 x14ac:dyDescent="0.3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 x14ac:dyDescent="0.3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 x14ac:dyDescent="0.3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 x14ac:dyDescent="0.3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 x14ac:dyDescent="0.3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 x14ac:dyDescent="0.3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 x14ac:dyDescent="0.3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 x14ac:dyDescent="0.3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 x14ac:dyDescent="0.3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 x14ac:dyDescent="0.3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 x14ac:dyDescent="0.3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 x14ac:dyDescent="0.3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 x14ac:dyDescent="0.3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 x14ac:dyDescent="0.3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 x14ac:dyDescent="0.3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 x14ac:dyDescent="0.3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 x14ac:dyDescent="0.3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 x14ac:dyDescent="0.3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 x14ac:dyDescent="0.3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 x14ac:dyDescent="0.25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 x14ac:dyDescent="0.25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 x14ac:dyDescent="0.25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 x14ac:dyDescent="0.25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 x14ac:dyDescent="0.25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 x14ac:dyDescent="0.25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 x14ac:dyDescent="0.25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 x14ac:dyDescent="0.25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 x14ac:dyDescent="0.25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 x14ac:dyDescent="0.3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 x14ac:dyDescent="0.3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 x14ac:dyDescent="0.3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 x14ac:dyDescent="0.3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 x14ac:dyDescent="0.3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 x14ac:dyDescent="0.3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 x14ac:dyDescent="0.3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 x14ac:dyDescent="0.3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 x14ac:dyDescent="0.3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 x14ac:dyDescent="0.3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 x14ac:dyDescent="0.3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 x14ac:dyDescent="0.3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 x14ac:dyDescent="0.3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 x14ac:dyDescent="0.3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 x14ac:dyDescent="0.3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 x14ac:dyDescent="0.3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 x14ac:dyDescent="0.3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 x14ac:dyDescent="0.3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 x14ac:dyDescent="0.3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 x14ac:dyDescent="0.25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 x14ac:dyDescent="0.25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 x14ac:dyDescent="0.3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hidden="1" outlineLevel="1" x14ac:dyDescent="0.25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hidden="1" outlineLevel="1" x14ac:dyDescent="0.3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hidden="1" outlineLevel="1" x14ac:dyDescent="0.3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">
        <v>298</v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hidden="1" outlineLevel="1" x14ac:dyDescent="0.3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">
        <v>298</v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hidden="1" outlineLevel="1" x14ac:dyDescent="0.25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">
        <v>298</v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hidden="1" outlineLevel="1" x14ac:dyDescent="0.25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">
        <v>298</v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hidden="1" outlineLevel="1" x14ac:dyDescent="0.25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">
        <v>298</v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hidden="1" outlineLevel="1" x14ac:dyDescent="0.25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">
        <v>298</v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hidden="1" outlineLevel="1" x14ac:dyDescent="0.25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">
        <v>298</v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hidden="1" outlineLevel="1" x14ac:dyDescent="0.25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">
        <v>298</v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hidden="1" outlineLevel="1" x14ac:dyDescent="0.25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">
        <v>298</v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hidden="1" outlineLevel="1" x14ac:dyDescent="0.25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">
        <v>298</v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hidden="1" outlineLevel="1" x14ac:dyDescent="0.3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">
        <v>298</v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hidden="1" outlineLevel="1" x14ac:dyDescent="0.3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hidden="1" outlineLevel="1" x14ac:dyDescent="0.25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">
        <v>298</v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hidden="1" outlineLevel="1" x14ac:dyDescent="0.25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">
        <v>298</v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hidden="1" outlineLevel="1" x14ac:dyDescent="0.25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">
        <v>298</v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hidden="1" outlineLevel="1" x14ac:dyDescent="0.3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hidden="1" outlineLevel="1" x14ac:dyDescent="0.3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">
        <v>298</v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hidden="1" outlineLevel="1" x14ac:dyDescent="0.25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">
        <v>298</v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hidden="1" outlineLevel="1" x14ac:dyDescent="0.25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">
        <v>298</v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hidden="1" outlineLevel="1" x14ac:dyDescent="0.3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">
        <v>298</v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hidden="1" outlineLevel="1" x14ac:dyDescent="0.3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">
        <v>298</v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collapsed="1" x14ac:dyDescent="0.3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 x14ac:dyDescent="0.25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 x14ac:dyDescent="0.25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 x14ac:dyDescent="0.25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 x14ac:dyDescent="0.25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 x14ac:dyDescent="0.25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 x14ac:dyDescent="0.25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 x14ac:dyDescent="0.25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 x14ac:dyDescent="0.25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 x14ac:dyDescent="0.25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 x14ac:dyDescent="0.25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 x14ac:dyDescent="0.25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 x14ac:dyDescent="0.25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 x14ac:dyDescent="0.25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 x14ac:dyDescent="0.25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 x14ac:dyDescent="0.25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 x14ac:dyDescent="0.25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 x14ac:dyDescent="0.25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 x14ac:dyDescent="0.25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 x14ac:dyDescent="0.25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 x14ac:dyDescent="0.25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 x14ac:dyDescent="0.25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 x14ac:dyDescent="0.25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 x14ac:dyDescent="0.25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 x14ac:dyDescent="0.25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 x14ac:dyDescent="0.25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 x14ac:dyDescent="0.25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 x14ac:dyDescent="0.25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 x14ac:dyDescent="0.25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 x14ac:dyDescent="0.25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 x14ac:dyDescent="0.25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 x14ac:dyDescent="0.25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 x14ac:dyDescent="0.25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 x14ac:dyDescent="0.25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 x14ac:dyDescent="0.25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 x14ac:dyDescent="0.25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 x14ac:dyDescent="0.25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 x14ac:dyDescent="0.25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 x14ac:dyDescent="0.25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 x14ac:dyDescent="0.25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 x14ac:dyDescent="0.25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 x14ac:dyDescent="0.25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 x14ac:dyDescent="0.25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 x14ac:dyDescent="0.25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 x14ac:dyDescent="0.25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 x14ac:dyDescent="0.25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 x14ac:dyDescent="0.3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 x14ac:dyDescent="0.3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 x14ac:dyDescent="0.25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 x14ac:dyDescent="0.25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 x14ac:dyDescent="0.25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 x14ac:dyDescent="0.25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 x14ac:dyDescent="0.25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 x14ac:dyDescent="0.25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 x14ac:dyDescent="0.25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 x14ac:dyDescent="0.3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 x14ac:dyDescent="0.3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 x14ac:dyDescent="0.3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 x14ac:dyDescent="0.25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 x14ac:dyDescent="0.25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 x14ac:dyDescent="0.25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 x14ac:dyDescent="0.25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 x14ac:dyDescent="0.25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 x14ac:dyDescent="0.25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 x14ac:dyDescent="0.25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 x14ac:dyDescent="0.25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 x14ac:dyDescent="0.25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 x14ac:dyDescent="0.25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 x14ac:dyDescent="0.25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 x14ac:dyDescent="0.25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 x14ac:dyDescent="0.25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 x14ac:dyDescent="0.25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 x14ac:dyDescent="0.25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 x14ac:dyDescent="0.25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 x14ac:dyDescent="0.25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 x14ac:dyDescent="0.25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 x14ac:dyDescent="0.25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 x14ac:dyDescent="0.25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 x14ac:dyDescent="0.25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 x14ac:dyDescent="0.25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 x14ac:dyDescent="0.25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 x14ac:dyDescent="0.25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 x14ac:dyDescent="0.3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 x14ac:dyDescent="0.25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 x14ac:dyDescent="0.25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 x14ac:dyDescent="0.25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 x14ac:dyDescent="0.25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 x14ac:dyDescent="0.25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 x14ac:dyDescent="0.25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 x14ac:dyDescent="0.25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 x14ac:dyDescent="0.25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 x14ac:dyDescent="0.25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 x14ac:dyDescent="0.25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 x14ac:dyDescent="0.25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 x14ac:dyDescent="0.25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 x14ac:dyDescent="0.25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 x14ac:dyDescent="0.25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 x14ac:dyDescent="0.25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 x14ac:dyDescent="0.25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 x14ac:dyDescent="0.25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 x14ac:dyDescent="0.25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 x14ac:dyDescent="0.25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 x14ac:dyDescent="0.25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 x14ac:dyDescent="0.25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 x14ac:dyDescent="0.25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 x14ac:dyDescent="0.25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 x14ac:dyDescent="0.25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 x14ac:dyDescent="0.3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 x14ac:dyDescent="0.3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 x14ac:dyDescent="0.3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 x14ac:dyDescent="0.3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 x14ac:dyDescent="0.3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 x14ac:dyDescent="0.3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 x14ac:dyDescent="0.3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 x14ac:dyDescent="0.3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 x14ac:dyDescent="0.3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 x14ac:dyDescent="0.3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 x14ac:dyDescent="0.3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 x14ac:dyDescent="0.3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 x14ac:dyDescent="0.3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 x14ac:dyDescent="0.3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 x14ac:dyDescent="0.3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 x14ac:dyDescent="0.3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 x14ac:dyDescent="0.3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 x14ac:dyDescent="0.3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 x14ac:dyDescent="0.3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 x14ac:dyDescent="0.3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 x14ac:dyDescent="0.3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 x14ac:dyDescent="0.3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 x14ac:dyDescent="0.3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 x14ac:dyDescent="0.3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 x14ac:dyDescent="0.3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 x14ac:dyDescent="0.3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 x14ac:dyDescent="0.3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 x14ac:dyDescent="0.3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 x14ac:dyDescent="0.3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 x14ac:dyDescent="0.3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 x14ac:dyDescent="0.3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 x14ac:dyDescent="0.3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 x14ac:dyDescent="0.3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 x14ac:dyDescent="0.3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 x14ac:dyDescent="0.3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 x14ac:dyDescent="0.3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 x14ac:dyDescent="0.3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 x14ac:dyDescent="0.3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 x14ac:dyDescent="0.3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 x14ac:dyDescent="0.3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 x14ac:dyDescent="0.3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 x14ac:dyDescent="0.3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 x14ac:dyDescent="0.3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 x14ac:dyDescent="0.3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 x14ac:dyDescent="0.3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 x14ac:dyDescent="0.3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 x14ac:dyDescent="0.3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 x14ac:dyDescent="0.3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 x14ac:dyDescent="0.3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 x14ac:dyDescent="0.3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 x14ac:dyDescent="0.3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 x14ac:dyDescent="0.3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 x14ac:dyDescent="0.3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 x14ac:dyDescent="0.3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 x14ac:dyDescent="0.3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 x14ac:dyDescent="0.3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 x14ac:dyDescent="0.3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 x14ac:dyDescent="0.3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 x14ac:dyDescent="0.3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 x14ac:dyDescent="0.3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 x14ac:dyDescent="0.3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 x14ac:dyDescent="0.3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 x14ac:dyDescent="0.3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 x14ac:dyDescent="0.3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 x14ac:dyDescent="0.3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 x14ac:dyDescent="0.3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 x14ac:dyDescent="0.3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 x14ac:dyDescent="0.3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 x14ac:dyDescent="0.3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 x14ac:dyDescent="0.3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 x14ac:dyDescent="0.3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 x14ac:dyDescent="0.3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 x14ac:dyDescent="0.3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 x14ac:dyDescent="0.3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 x14ac:dyDescent="0.3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 x14ac:dyDescent="0.3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 x14ac:dyDescent="0.3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 x14ac:dyDescent="0.3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 x14ac:dyDescent="0.3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 x14ac:dyDescent="0.3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 x14ac:dyDescent="0.3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 x14ac:dyDescent="0.3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 x14ac:dyDescent="0.3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 x14ac:dyDescent="0.3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 x14ac:dyDescent="0.3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 x14ac:dyDescent="0.3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 x14ac:dyDescent="0.3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 x14ac:dyDescent="0.3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 x14ac:dyDescent="0.3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 x14ac:dyDescent="0.3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 x14ac:dyDescent="0.3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 x14ac:dyDescent="0.3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 x14ac:dyDescent="0.3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 x14ac:dyDescent="0.3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 x14ac:dyDescent="0.3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 x14ac:dyDescent="0.3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 x14ac:dyDescent="0.3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 x14ac:dyDescent="0.3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 x14ac:dyDescent="0.3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 x14ac:dyDescent="0.3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 x14ac:dyDescent="0.3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 x14ac:dyDescent="0.3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 x14ac:dyDescent="0.3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 x14ac:dyDescent="0.3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 x14ac:dyDescent="0.3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 x14ac:dyDescent="0.3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 x14ac:dyDescent="0.3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 x14ac:dyDescent="0.3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 x14ac:dyDescent="0.3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 x14ac:dyDescent="0.3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 x14ac:dyDescent="0.3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 x14ac:dyDescent="0.3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 x14ac:dyDescent="0.3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 x14ac:dyDescent="0.3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 x14ac:dyDescent="0.3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 x14ac:dyDescent="0.3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 x14ac:dyDescent="0.3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 x14ac:dyDescent="0.3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 x14ac:dyDescent="0.3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 x14ac:dyDescent="0.3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 x14ac:dyDescent="0.3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 x14ac:dyDescent="0.3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 x14ac:dyDescent="0.3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 x14ac:dyDescent="0.3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 x14ac:dyDescent="0.3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 x14ac:dyDescent="0.3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 x14ac:dyDescent="0.3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 x14ac:dyDescent="0.3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 x14ac:dyDescent="0.3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 x14ac:dyDescent="0.3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 x14ac:dyDescent="0.3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 x14ac:dyDescent="0.3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 x14ac:dyDescent="0.3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 x14ac:dyDescent="0.3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 x14ac:dyDescent="0.3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 x14ac:dyDescent="0.3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 x14ac:dyDescent="0.3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 x14ac:dyDescent="0.3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 x14ac:dyDescent="0.3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 x14ac:dyDescent="0.3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 x14ac:dyDescent="0.3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 x14ac:dyDescent="0.3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 x14ac:dyDescent="0.3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 x14ac:dyDescent="0.3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 x14ac:dyDescent="0.3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 x14ac:dyDescent="0.3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 x14ac:dyDescent="0.3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 x14ac:dyDescent="0.3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 x14ac:dyDescent="0.3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 x14ac:dyDescent="0.3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 x14ac:dyDescent="0.3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 x14ac:dyDescent="0.3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 x14ac:dyDescent="0.3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 x14ac:dyDescent="0.3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 x14ac:dyDescent="0.3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 x14ac:dyDescent="0.3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 x14ac:dyDescent="0.3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 x14ac:dyDescent="0.3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 x14ac:dyDescent="0.3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 x14ac:dyDescent="0.3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 x14ac:dyDescent="0.3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 x14ac:dyDescent="0.3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 x14ac:dyDescent="0.3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 x14ac:dyDescent="0.3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 x14ac:dyDescent="0.3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 x14ac:dyDescent="0.3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 x14ac:dyDescent="0.3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 x14ac:dyDescent="0.3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 x14ac:dyDescent="0.3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 x14ac:dyDescent="0.3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 x14ac:dyDescent="0.3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 x14ac:dyDescent="0.3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 x14ac:dyDescent="0.3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 x14ac:dyDescent="0.3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 x14ac:dyDescent="0.3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 x14ac:dyDescent="0.3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 x14ac:dyDescent="0.3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 x14ac:dyDescent="0.3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 x14ac:dyDescent="0.3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 x14ac:dyDescent="0.3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 x14ac:dyDescent="0.3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 x14ac:dyDescent="0.3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 x14ac:dyDescent="0.3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 x14ac:dyDescent="0.3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 x14ac:dyDescent="0.3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 x14ac:dyDescent="0.3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 x14ac:dyDescent="0.3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 x14ac:dyDescent="0.3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 x14ac:dyDescent="0.3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 x14ac:dyDescent="0.3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 x14ac:dyDescent="0.3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 x14ac:dyDescent="0.3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 x14ac:dyDescent="0.3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 x14ac:dyDescent="0.3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 x14ac:dyDescent="0.3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 x14ac:dyDescent="0.3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 x14ac:dyDescent="0.3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 x14ac:dyDescent="0.3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 x14ac:dyDescent="0.3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 x14ac:dyDescent="0.3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 x14ac:dyDescent="0.3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 x14ac:dyDescent="0.3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 x14ac:dyDescent="0.3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 x14ac:dyDescent="0.3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 x14ac:dyDescent="0.3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 x14ac:dyDescent="0.3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 x14ac:dyDescent="0.3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 x14ac:dyDescent="0.3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 x14ac:dyDescent="0.3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 x14ac:dyDescent="0.3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 x14ac:dyDescent="0.3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 x14ac:dyDescent="0.3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 x14ac:dyDescent="0.3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 x14ac:dyDescent="0.3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 x14ac:dyDescent="0.3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 x14ac:dyDescent="0.3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 x14ac:dyDescent="0.3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 x14ac:dyDescent="0.3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 x14ac:dyDescent="0.3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 x14ac:dyDescent="0.3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 x14ac:dyDescent="0.3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 x14ac:dyDescent="0.3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 x14ac:dyDescent="0.3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 x14ac:dyDescent="0.3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 x14ac:dyDescent="0.3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 x14ac:dyDescent="0.3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 x14ac:dyDescent="0.3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 x14ac:dyDescent="0.3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 x14ac:dyDescent="0.3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 x14ac:dyDescent="0.3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 x14ac:dyDescent="0.3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 x14ac:dyDescent="0.3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 x14ac:dyDescent="0.3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 x14ac:dyDescent="0.25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 x14ac:dyDescent="0.25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 x14ac:dyDescent="0.25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 x14ac:dyDescent="0.25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 x14ac:dyDescent="0.25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 x14ac:dyDescent="0.3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 x14ac:dyDescent="0.3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 x14ac:dyDescent="0.3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 x14ac:dyDescent="0.25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 x14ac:dyDescent="0.3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 x14ac:dyDescent="0.25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 x14ac:dyDescent="0.25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 x14ac:dyDescent="0.25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 x14ac:dyDescent="0.25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 x14ac:dyDescent="0.25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 x14ac:dyDescent="0.25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 x14ac:dyDescent="0.25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 x14ac:dyDescent="0.3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 x14ac:dyDescent="0.3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 x14ac:dyDescent="0.3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 x14ac:dyDescent="0.3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 x14ac:dyDescent="0.3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 x14ac:dyDescent="0.3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 x14ac:dyDescent="0.3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 x14ac:dyDescent="0.25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 x14ac:dyDescent="0.25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 x14ac:dyDescent="0.25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 x14ac:dyDescent="0.25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 x14ac:dyDescent="0.25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 x14ac:dyDescent="0.25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 x14ac:dyDescent="0.25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 x14ac:dyDescent="0.25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 x14ac:dyDescent="0.25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 x14ac:dyDescent="0.3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 x14ac:dyDescent="0.3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 x14ac:dyDescent="0.25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 x14ac:dyDescent="0.3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 x14ac:dyDescent="0.3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 x14ac:dyDescent="0.3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 x14ac:dyDescent="0.3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 x14ac:dyDescent="0.3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 x14ac:dyDescent="0.3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 x14ac:dyDescent="0.3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 x14ac:dyDescent="0.3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 x14ac:dyDescent="0.3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 x14ac:dyDescent="0.3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 x14ac:dyDescent="0.3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 x14ac:dyDescent="0.3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 x14ac:dyDescent="0.3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 x14ac:dyDescent="0.3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 x14ac:dyDescent="0.25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 x14ac:dyDescent="0.25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 x14ac:dyDescent="0.25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 x14ac:dyDescent="0.3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 x14ac:dyDescent="0.3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 x14ac:dyDescent="0.3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 x14ac:dyDescent="0.3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 x14ac:dyDescent="0.3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 x14ac:dyDescent="0.3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 x14ac:dyDescent="0.3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 x14ac:dyDescent="0.3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 x14ac:dyDescent="0.3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 x14ac:dyDescent="0.3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 x14ac:dyDescent="0.3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 x14ac:dyDescent="0.25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 x14ac:dyDescent="0.3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 x14ac:dyDescent="0.3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 x14ac:dyDescent="0.3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 x14ac:dyDescent="0.3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 x14ac:dyDescent="0.3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 x14ac:dyDescent="0.3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 x14ac:dyDescent="0.3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 x14ac:dyDescent="0.3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 x14ac:dyDescent="0.3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 x14ac:dyDescent="0.3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 x14ac:dyDescent="0.3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 x14ac:dyDescent="0.3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 x14ac:dyDescent="0.3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 x14ac:dyDescent="0.3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 x14ac:dyDescent="0.3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 x14ac:dyDescent="0.3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 x14ac:dyDescent="0.3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 x14ac:dyDescent="0.3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 x14ac:dyDescent="0.3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 x14ac:dyDescent="0.3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 x14ac:dyDescent="0.3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 x14ac:dyDescent="0.3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 x14ac:dyDescent="0.3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 x14ac:dyDescent="0.3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 x14ac:dyDescent="0.3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 x14ac:dyDescent="0.3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 x14ac:dyDescent="0.3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 x14ac:dyDescent="0.3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 x14ac:dyDescent="0.3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 x14ac:dyDescent="0.3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 x14ac:dyDescent="0.3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 x14ac:dyDescent="0.3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 x14ac:dyDescent="0.3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 x14ac:dyDescent="0.3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 x14ac:dyDescent="0.3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 x14ac:dyDescent="0.3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 x14ac:dyDescent="0.3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 x14ac:dyDescent="0.3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 x14ac:dyDescent="0.3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 x14ac:dyDescent="0.3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 x14ac:dyDescent="0.3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 x14ac:dyDescent="0.3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 x14ac:dyDescent="0.3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 x14ac:dyDescent="0.3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 x14ac:dyDescent="0.3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 x14ac:dyDescent="0.3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 x14ac:dyDescent="0.3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 x14ac:dyDescent="0.3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 x14ac:dyDescent="0.3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 x14ac:dyDescent="0.3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 x14ac:dyDescent="0.3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 x14ac:dyDescent="0.3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 x14ac:dyDescent="0.3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 x14ac:dyDescent="0.3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 x14ac:dyDescent="0.3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 x14ac:dyDescent="0.3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 x14ac:dyDescent="0.3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 x14ac:dyDescent="0.3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 x14ac:dyDescent="0.3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hidden="1" outlineLevel="1" x14ac:dyDescent="0.3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hidden="1" outlineLevel="1" x14ac:dyDescent="0.3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 collapsed="1" x14ac:dyDescent="0.3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 x14ac:dyDescent="0.3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 x14ac:dyDescent="0.3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 x14ac:dyDescent="0.3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 x14ac:dyDescent="0.3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 x14ac:dyDescent="0.3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 x14ac:dyDescent="0.3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 x14ac:dyDescent="0.3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 x14ac:dyDescent="0.3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 x14ac:dyDescent="0.3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 x14ac:dyDescent="0.3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 x14ac:dyDescent="0.3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outlineLevel="1" x14ac:dyDescent="0.3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outlineLevel="1" x14ac:dyDescent="0.3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outlineLevel="1" x14ac:dyDescent="0.3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x14ac:dyDescent="0.3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4241</v>
      </c>
      <c r="N1576" s="52" t="s">
        <v>4242</v>
      </c>
      <c r="O1576" s="153">
        <v>1.9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 x14ac:dyDescent="0.3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 x14ac:dyDescent="0.3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 x14ac:dyDescent="0.3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 x14ac:dyDescent="0.3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4063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 x14ac:dyDescent="0.3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 x14ac:dyDescent="0.3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 x14ac:dyDescent="0.3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 x14ac:dyDescent="0.3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 x14ac:dyDescent="0.3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 x14ac:dyDescent="0.3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 x14ac:dyDescent="0.3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 x14ac:dyDescent="0.3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 x14ac:dyDescent="0.3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 x14ac:dyDescent="0.3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 x14ac:dyDescent="0.3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 x14ac:dyDescent="0.3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 x14ac:dyDescent="0.3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 x14ac:dyDescent="0.3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 x14ac:dyDescent="0.3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 x14ac:dyDescent="0.3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 x14ac:dyDescent="0.3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 x14ac:dyDescent="0.3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 x14ac:dyDescent="0.3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 x14ac:dyDescent="0.3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 x14ac:dyDescent="0.3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 x14ac:dyDescent="0.3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 x14ac:dyDescent="0.3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 x14ac:dyDescent="0.3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8" thickBot="1" x14ac:dyDescent="0.35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8" thickTop="1" x14ac:dyDescent="0.3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 x14ac:dyDescent="0.3">
      <c r="F1607" s="308"/>
      <c r="M1607" s="19" t="s">
        <v>3014</v>
      </c>
      <c r="N1607" s="19" t="s">
        <v>3011</v>
      </c>
    </row>
    <row r="1608" spans="1:29" x14ac:dyDescent="0.3">
      <c r="F1608" s="308"/>
      <c r="N1608" s="207" t="s">
        <v>3012</v>
      </c>
    </row>
    <row r="1609" spans="1:29" x14ac:dyDescent="0.3">
      <c r="F1609" s="308"/>
      <c r="N1609" s="184" t="s">
        <v>3013</v>
      </c>
    </row>
    <row r="1610" spans="1:29" x14ac:dyDescent="0.3">
      <c r="F1610" s="308"/>
      <c r="M1610" s="214"/>
      <c r="N1610" s="214"/>
    </row>
    <row r="1611" spans="1:29" x14ac:dyDescent="0.3">
      <c r="F1611" s="308"/>
      <c r="M1611" s="214"/>
      <c r="N1611" s="214"/>
    </row>
    <row r="1612" spans="1:29" x14ac:dyDescent="0.3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U1" sqref="U1:U1048576"/>
      <selection pane="bottomLeft"/>
    </sheetView>
  </sheetViews>
  <sheetFormatPr baseColWidth="10" defaultColWidth="11.44140625" defaultRowHeight="13.8" x14ac:dyDescent="0.3"/>
  <cols>
    <col min="1" max="1" width="17.6640625" style="22" customWidth="1"/>
    <col min="2" max="2" width="25.33203125" style="16" customWidth="1"/>
    <col min="3" max="3" width="9.5546875" style="16" customWidth="1"/>
    <col min="4" max="5" width="8.5546875" style="16" customWidth="1"/>
    <col min="6" max="6" width="17.33203125" style="16" customWidth="1"/>
    <col min="7" max="20" width="7.88671875" style="16" customWidth="1"/>
    <col min="21" max="21" width="20.5546875" style="16" bestFit="1" customWidth="1"/>
    <col min="22" max="23" width="17.6640625" style="16" customWidth="1"/>
    <col min="24" max="24" width="12.109375" style="16" customWidth="1"/>
    <col min="25" max="25" width="15.5546875" style="16" customWidth="1"/>
    <col min="26" max="26" width="24" style="16" customWidth="1"/>
    <col min="27" max="27" width="15.109375" style="16" customWidth="1"/>
    <col min="28" max="28" width="20.44140625" style="16" customWidth="1"/>
    <col min="29" max="29" width="15.109375" style="16" customWidth="1"/>
    <col min="30" max="30" width="21" style="16" customWidth="1"/>
    <col min="31" max="31" width="11.6640625" style="16" customWidth="1"/>
    <col min="32" max="32" width="20.5546875" style="16" customWidth="1"/>
    <col min="33" max="33" width="4.5546875" style="16" customWidth="1"/>
    <col min="34" max="34" width="24.33203125" style="16" customWidth="1"/>
    <col min="35" max="35" width="15.109375" style="16" customWidth="1"/>
    <col min="36" max="36" width="27.109375" style="16" customWidth="1"/>
    <col min="37" max="37" width="9.109375" style="16" customWidth="1"/>
    <col min="38" max="38" width="16.109375" style="16" customWidth="1"/>
    <col min="39" max="39" width="10.44140625" style="16" customWidth="1"/>
    <col min="40" max="40" width="21.33203125" style="16" customWidth="1"/>
    <col min="41" max="44" width="11.109375" style="16" customWidth="1"/>
    <col min="45" max="48" width="8.5546875" style="16" customWidth="1"/>
    <col min="49" max="49" width="17.44140625" style="16" customWidth="1"/>
    <col min="50" max="50" width="21.6640625" style="16" customWidth="1"/>
    <col min="51" max="52" width="22.33203125" style="16" customWidth="1"/>
    <col min="53" max="53" width="15" style="16" customWidth="1"/>
    <col min="54" max="54" width="18.88671875" style="16" bestFit="1" customWidth="1"/>
    <col min="55" max="55" width="20.6640625" style="16" bestFit="1" customWidth="1"/>
    <col min="56" max="87" width="7.88671875" style="16" customWidth="1"/>
    <col min="88" max="88" width="36" style="28" customWidth="1"/>
    <col min="89" max="16384" width="11.44140625" style="13"/>
  </cols>
  <sheetData>
    <row r="1" spans="1:88" x14ac:dyDescent="0.3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 x14ac:dyDescent="0.3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 x14ac:dyDescent="0.3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4.4" thickBot="1" x14ac:dyDescent="0.35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 x14ac:dyDescent="0.3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 x14ac:dyDescent="0.3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 x14ac:dyDescent="0.3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 x14ac:dyDescent="0.3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 x14ac:dyDescent="0.3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 x14ac:dyDescent="0.3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 x14ac:dyDescent="0.3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 x14ac:dyDescent="0.3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 x14ac:dyDescent="0.3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 x14ac:dyDescent="0.3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 x14ac:dyDescent="0.3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 x14ac:dyDescent="0.3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 x14ac:dyDescent="0.3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 x14ac:dyDescent="0.3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 x14ac:dyDescent="0.3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 x14ac:dyDescent="0.3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 x14ac:dyDescent="0.3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 x14ac:dyDescent="0.3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 x14ac:dyDescent="0.3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 x14ac:dyDescent="0.3">
      <c r="AG24" s="210"/>
      <c r="AH24" s="211"/>
      <c r="AI24" s="210">
        <v>57</v>
      </c>
      <c r="AJ24" s="211" t="s">
        <v>3456</v>
      </c>
    </row>
    <row r="25" spans="25:36" ht="22.5" customHeight="1" x14ac:dyDescent="0.3">
      <c r="AG25" s="210"/>
      <c r="AH25" s="211"/>
      <c r="AI25" s="210">
        <v>57</v>
      </c>
      <c r="AJ25" s="211" t="s">
        <v>3457</v>
      </c>
    </row>
    <row r="26" spans="25:36" ht="22.5" customHeight="1" x14ac:dyDescent="0.3">
      <c r="AG26" s="210"/>
      <c r="AH26" s="211"/>
      <c r="AI26" s="210">
        <v>24</v>
      </c>
      <c r="AJ26" s="211" t="s">
        <v>3458</v>
      </c>
    </row>
    <row r="27" spans="25:36" ht="22.5" customHeight="1" x14ac:dyDescent="0.3">
      <c r="AG27" s="210"/>
      <c r="AH27" s="211"/>
      <c r="AI27" s="210">
        <v>24</v>
      </c>
      <c r="AJ27" s="211" t="s">
        <v>3459</v>
      </c>
    </row>
    <row r="28" spans="25:36" ht="22.5" customHeight="1" x14ac:dyDescent="0.3">
      <c r="AG28" s="210"/>
      <c r="AH28" s="211"/>
      <c r="AI28" s="210">
        <v>57</v>
      </c>
      <c r="AJ28" s="211" t="s">
        <v>3460</v>
      </c>
    </row>
    <row r="29" spans="25:36" ht="22.5" customHeight="1" x14ac:dyDescent="0.3">
      <c r="AG29" s="210"/>
      <c r="AH29" s="211"/>
      <c r="AI29" s="210">
        <v>57</v>
      </c>
      <c r="AJ29" s="211" t="s">
        <v>3461</v>
      </c>
    </row>
    <row r="30" spans="25:36" ht="22.5" customHeight="1" x14ac:dyDescent="0.3">
      <c r="AG30" s="210"/>
      <c r="AH30" s="211"/>
      <c r="AI30" s="210">
        <v>57</v>
      </c>
      <c r="AJ30" s="211" t="s">
        <v>3462</v>
      </c>
    </row>
    <row r="31" spans="25:36" ht="22.5" customHeight="1" x14ac:dyDescent="0.3">
      <c r="AG31" s="210"/>
      <c r="AH31" s="211"/>
      <c r="AI31" s="210">
        <v>57</v>
      </c>
      <c r="AJ31" s="211" t="s">
        <v>3463</v>
      </c>
    </row>
    <row r="32" spans="25:36" ht="22.5" customHeight="1" x14ac:dyDescent="0.3">
      <c r="AG32" s="210"/>
      <c r="AH32" s="211"/>
      <c r="AI32" s="210">
        <v>57</v>
      </c>
      <c r="AJ32" s="211" t="s">
        <v>3832</v>
      </c>
    </row>
    <row r="33" spans="33:36" ht="22.5" customHeight="1" x14ac:dyDescent="0.3">
      <c r="AG33" s="210"/>
      <c r="AH33" s="211"/>
      <c r="AI33" s="210">
        <v>57</v>
      </c>
      <c r="AJ33" s="211" t="s">
        <v>3834</v>
      </c>
    </row>
    <row r="34" spans="33:36" ht="22.5" customHeight="1" x14ac:dyDescent="0.3">
      <c r="AG34" s="210"/>
      <c r="AH34" s="211"/>
      <c r="AI34" s="210">
        <v>40</v>
      </c>
      <c r="AJ34" s="211" t="s">
        <v>3563</v>
      </c>
    </row>
    <row r="35" spans="33:36" ht="22.5" customHeight="1" x14ac:dyDescent="0.3">
      <c r="AG35" s="210"/>
      <c r="AH35" s="211"/>
      <c r="AI35" s="210">
        <v>40</v>
      </c>
      <c r="AJ35" s="211" t="s">
        <v>3833</v>
      </c>
    </row>
    <row r="36" spans="33:36" ht="22.5" customHeight="1" x14ac:dyDescent="0.3">
      <c r="AG36" s="210"/>
      <c r="AH36" s="211"/>
      <c r="AI36" s="210">
        <v>40</v>
      </c>
      <c r="AJ36" s="211" t="s">
        <v>3746</v>
      </c>
    </row>
    <row r="37" spans="33:36" ht="22.5" customHeight="1" x14ac:dyDescent="0.3">
      <c r="AG37" s="210"/>
      <c r="AH37" s="211"/>
      <c r="AI37" s="210">
        <v>40</v>
      </c>
      <c r="AJ37" s="211" t="s">
        <v>3786</v>
      </c>
    </row>
    <row r="38" spans="33:36" ht="22.5" customHeight="1" x14ac:dyDescent="0.3">
      <c r="AG38" s="210"/>
      <c r="AH38" s="211"/>
      <c r="AI38" s="210">
        <v>40</v>
      </c>
      <c r="AJ38" s="211" t="s">
        <v>3785</v>
      </c>
    </row>
    <row r="39" spans="33:36" ht="22.5" customHeight="1" x14ac:dyDescent="0.3">
      <c r="AI39" s="210">
        <v>40</v>
      </c>
      <c r="AJ39" s="211" t="s">
        <v>3787</v>
      </c>
    </row>
    <row r="40" spans="33:36" ht="22.5" customHeight="1" x14ac:dyDescent="0.3">
      <c r="AI40" s="210">
        <v>40</v>
      </c>
      <c r="AJ40" s="211" t="s">
        <v>3788</v>
      </c>
    </row>
    <row r="41" spans="33:36" ht="22.5" customHeight="1" x14ac:dyDescent="0.3">
      <c r="AI41" s="210">
        <v>40</v>
      </c>
      <c r="AJ41" s="211" t="s">
        <v>4442</v>
      </c>
    </row>
    <row r="42" spans="33:36" ht="22.5" customHeight="1" x14ac:dyDescent="0.3"/>
    <row r="43" spans="33:36" ht="22.5" customHeight="1" x14ac:dyDescent="0.3"/>
    <row r="44" spans="33:36" ht="22.5" customHeight="1" x14ac:dyDescent="0.3"/>
    <row r="45" spans="33:36" ht="22.5" customHeight="1" x14ac:dyDescent="0.3"/>
    <row r="46" spans="33:36" ht="22.5" customHeight="1" x14ac:dyDescent="0.3"/>
    <row r="47" spans="33:36" ht="22.5" customHeight="1" x14ac:dyDescent="0.3"/>
    <row r="48" spans="33:36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7" customFormat="1" ht="14.4" thickTop="1" x14ac:dyDescent="0.3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R97"/>
  <sheetViews>
    <sheetView showZeros="0" zoomScaleNormal="100" zoomScaleSheetLayoutView="100" workbookViewId="0"/>
  </sheetViews>
  <sheetFormatPr baseColWidth="10" defaultColWidth="11.44140625" defaultRowHeight="13.8" x14ac:dyDescent="0.3"/>
  <cols>
    <col min="1" max="1" width="17.6640625" style="22" customWidth="1"/>
    <col min="2" max="2" width="4.88671875" style="16" customWidth="1"/>
    <col min="3" max="3" width="9.88671875" style="16" customWidth="1"/>
    <col min="4" max="4" width="20.109375" style="16" bestFit="1" customWidth="1"/>
    <col min="5" max="5" width="6.6640625" style="16" customWidth="1"/>
    <col min="6" max="6" width="19.44140625" style="16" bestFit="1" customWidth="1"/>
    <col min="7" max="7" width="17.5546875" style="16" bestFit="1" customWidth="1"/>
    <col min="8" max="8" width="24.6640625" style="16" bestFit="1" customWidth="1"/>
    <col min="9" max="9" width="16.5546875" style="16" customWidth="1"/>
    <col min="10" max="10" width="19" style="16" customWidth="1"/>
    <col min="11" max="12" width="24.6640625" style="16" customWidth="1"/>
    <col min="13" max="13" width="9.44140625" style="16" customWidth="1"/>
    <col min="14" max="14" width="21" style="16" customWidth="1"/>
    <col min="15" max="15" width="30.88671875" style="16" bestFit="1" customWidth="1"/>
    <col min="16" max="16" width="19.88671875" style="16" customWidth="1"/>
    <col min="17" max="17" width="29" style="16" bestFit="1" customWidth="1"/>
    <col min="18" max="18" width="25.88671875" style="16" bestFit="1" customWidth="1"/>
    <col min="19" max="19" width="16.5546875" style="16" customWidth="1"/>
    <col min="20" max="20" width="19" style="16" customWidth="1"/>
    <col min="21" max="22" width="24.6640625" style="16" customWidth="1"/>
    <col min="23" max="23" width="5.88671875" style="16" customWidth="1"/>
    <col min="24" max="24" width="38.88671875" style="16" customWidth="1"/>
    <col min="25" max="25" width="4.5546875" style="16" customWidth="1"/>
    <col min="26" max="26" width="39" style="16" customWidth="1"/>
    <col min="27" max="27" width="6.44140625" style="16" customWidth="1"/>
    <col min="28" max="28" width="39" style="16" customWidth="1"/>
    <col min="29" max="29" width="3.44140625" style="16" customWidth="1"/>
    <col min="30" max="30" width="37.44140625" style="16" bestFit="1" customWidth="1"/>
    <col min="31" max="31" width="13" style="16" customWidth="1"/>
    <col min="32" max="32" width="15.109375" style="16" customWidth="1"/>
    <col min="33" max="33" width="19.5546875" style="16" customWidth="1"/>
    <col min="34" max="34" width="24.109375" style="16" customWidth="1"/>
    <col min="35" max="35" width="14.5546875" style="16" customWidth="1"/>
    <col min="36" max="36" width="14.6640625" style="16" customWidth="1"/>
    <col min="37" max="37" width="5.5546875" style="16" customWidth="1"/>
    <col min="38" max="38" width="42.6640625" style="16" bestFit="1" customWidth="1"/>
    <col min="39" max="39" width="5" style="16" customWidth="1"/>
    <col min="40" max="40" width="25.5546875" style="16" customWidth="1"/>
    <col min="41" max="41" width="4.44140625" style="16" customWidth="1"/>
    <col min="42" max="42" width="25.5546875" style="16" customWidth="1"/>
    <col min="43" max="43" width="4.33203125" style="16" customWidth="1"/>
    <col min="44" max="44" width="37.6640625" style="16" bestFit="1" customWidth="1"/>
    <col min="45" max="45" width="4.6640625" style="16" customWidth="1"/>
    <col min="46" max="46" width="28.88671875" style="16" bestFit="1" customWidth="1"/>
    <col min="47" max="47" width="4.5546875" style="16" customWidth="1"/>
    <col min="48" max="48" width="28.88671875" style="16" customWidth="1"/>
    <col min="49" max="49" width="6" style="16" customWidth="1"/>
    <col min="50" max="50" width="28.88671875" style="16" customWidth="1"/>
    <col min="51" max="51" width="5.5546875" style="16" customWidth="1"/>
    <col min="52" max="52" width="26.6640625" style="16" bestFit="1" customWidth="1"/>
    <col min="53" max="53" width="3.88671875" style="16" customWidth="1"/>
    <col min="54" max="54" width="15" style="16" bestFit="1" customWidth="1"/>
    <col min="55" max="55" width="5.109375" style="16" customWidth="1"/>
    <col min="56" max="56" width="23.88671875" style="16" customWidth="1"/>
    <col min="57" max="57" width="5.109375" style="16" customWidth="1"/>
    <col min="58" max="58" width="18.6640625" style="16" customWidth="1"/>
    <col min="59" max="59" width="4.5546875" style="16" customWidth="1"/>
    <col min="60" max="60" width="14.88671875" style="16" customWidth="1"/>
    <col min="61" max="61" width="6.6640625" style="16" customWidth="1"/>
    <col min="62" max="62" width="33.88671875" style="16" bestFit="1" customWidth="1"/>
    <col min="63" max="63" width="4.5546875" style="16" customWidth="1"/>
    <col min="64" max="64" width="19.88671875" style="16" customWidth="1"/>
    <col min="65" max="65" width="5.33203125" style="16" customWidth="1"/>
    <col min="66" max="66" width="22.44140625" style="16" customWidth="1"/>
    <col min="67" max="67" width="5" style="16" customWidth="1"/>
    <col min="68" max="68" width="19" style="16" bestFit="1" customWidth="1"/>
    <col min="69" max="69" width="20.44140625" style="16" customWidth="1"/>
    <col min="70" max="70" width="19.88671875" style="16" customWidth="1"/>
    <col min="71" max="71" width="25.5546875" style="16" customWidth="1"/>
    <col min="72" max="72" width="27.44140625" style="16" customWidth="1"/>
    <col min="73" max="73" width="4.33203125" style="16" customWidth="1"/>
    <col min="74" max="74" width="26.5546875" style="16" customWidth="1"/>
    <col min="75" max="75" width="4.88671875" style="16" customWidth="1"/>
    <col min="76" max="76" width="28.109375" style="16" customWidth="1"/>
    <col min="77" max="77" width="4.6640625" style="16" customWidth="1"/>
    <col min="78" max="78" width="26.88671875" style="16" customWidth="1"/>
    <col min="79" max="79" width="5" style="16" customWidth="1"/>
    <col min="80" max="80" width="23.88671875" style="16" customWidth="1"/>
    <col min="81" max="81" width="4.33203125" style="16" customWidth="1"/>
    <col min="82" max="82" width="29.5546875" style="16" customWidth="1"/>
    <col min="83" max="83" width="5.109375" style="16" customWidth="1"/>
    <col min="84" max="84" width="27.5546875" style="16" customWidth="1"/>
    <col min="85" max="85" width="6.33203125" style="16" customWidth="1"/>
    <col min="86" max="86" width="24.33203125" style="16" customWidth="1"/>
    <col min="87" max="87" width="19.109375" style="16" customWidth="1"/>
    <col min="88" max="88" width="35" style="16" customWidth="1"/>
    <col min="89" max="89" width="30.88671875" style="16" bestFit="1" customWidth="1"/>
    <col min="90" max="90" width="29.109375" style="16" customWidth="1"/>
    <col min="91" max="91" width="31.88671875" style="16" customWidth="1"/>
    <col min="92" max="92" width="33" style="16" bestFit="1" customWidth="1"/>
    <col min="93" max="93" width="34.44140625" style="16" customWidth="1"/>
    <col min="94" max="94" width="34.88671875" style="16" customWidth="1"/>
    <col min="95" max="95" width="36.5546875" style="16" customWidth="1"/>
    <col min="96" max="97" width="29" style="16" bestFit="1" customWidth="1"/>
    <col min="98" max="98" width="25.6640625" style="16" bestFit="1" customWidth="1"/>
    <col min="99" max="99" width="29.109375" style="16" bestFit="1" customWidth="1"/>
    <col min="100" max="100" width="27.88671875" style="16" bestFit="1" customWidth="1"/>
    <col min="101" max="101" width="33.5546875" style="16" bestFit="1" customWidth="1"/>
    <col min="102" max="102" width="32.88671875" style="16" bestFit="1" customWidth="1"/>
    <col min="103" max="103" width="22.33203125" style="16" bestFit="1" customWidth="1"/>
    <col min="104" max="104" width="23.6640625" style="16" customWidth="1"/>
    <col min="105" max="105" width="27.109375" style="16" customWidth="1"/>
    <col min="106" max="106" width="24.44140625" style="16" customWidth="1"/>
    <col min="107" max="107" width="34.33203125" style="16" bestFit="1" customWidth="1"/>
    <col min="108" max="108" width="9.44140625" style="16" customWidth="1"/>
    <col min="109" max="109" width="28" style="16" customWidth="1"/>
    <col min="110" max="110" width="24.33203125" style="16" bestFit="1" customWidth="1"/>
    <col min="111" max="111" width="23.88671875" style="16" bestFit="1" customWidth="1"/>
    <col min="112" max="112" width="32" style="16" bestFit="1" customWidth="1"/>
    <col min="113" max="113" width="24.88671875" style="16" customWidth="1"/>
    <col min="114" max="114" width="26" style="16" bestFit="1" customWidth="1"/>
    <col min="115" max="115" width="23" style="16" bestFit="1" customWidth="1"/>
    <col min="116" max="116" width="27.6640625" style="16" bestFit="1" customWidth="1"/>
    <col min="117" max="117" width="34.33203125" style="16" bestFit="1" customWidth="1"/>
    <col min="118" max="118" width="25.44140625" style="16" bestFit="1" customWidth="1"/>
    <col min="119" max="119" width="27.44140625" style="16" customWidth="1"/>
    <col min="120" max="120" width="29.6640625" style="16" customWidth="1"/>
    <col min="121" max="121" width="6.44140625" style="16" customWidth="1"/>
    <col min="122" max="122" width="21.88671875" style="16" bestFit="1" customWidth="1"/>
    <col min="123" max="123" width="5.6640625" style="16" customWidth="1"/>
    <col min="124" max="124" width="21.88671875" style="16" bestFit="1" customWidth="1"/>
    <col min="125" max="125" width="5.88671875" style="16" customWidth="1"/>
    <col min="126" max="126" width="12.44140625" style="16" bestFit="1" customWidth="1"/>
    <col min="127" max="127" width="6.109375" style="16" customWidth="1"/>
    <col min="128" max="128" width="12.44140625" style="16" bestFit="1" customWidth="1"/>
    <col min="129" max="129" width="5.44140625" style="16" customWidth="1"/>
    <col min="130" max="130" width="27.6640625" style="16" bestFit="1" customWidth="1"/>
    <col min="131" max="131" width="5.88671875" style="16" customWidth="1"/>
    <col min="132" max="132" width="16" style="16" customWidth="1"/>
    <col min="133" max="133" width="4.33203125" style="16" customWidth="1"/>
    <col min="134" max="134" width="26.5546875" style="16" customWidth="1"/>
    <col min="135" max="135" width="4.33203125" style="16" customWidth="1"/>
    <col min="136" max="136" width="26.5546875" style="16" customWidth="1"/>
    <col min="137" max="137" width="4.33203125" style="16" customWidth="1"/>
    <col min="138" max="138" width="26.5546875" style="16" customWidth="1"/>
    <col min="139" max="139" width="4.33203125" style="16" customWidth="1"/>
    <col min="140" max="140" width="26.5546875" style="16" customWidth="1"/>
    <col min="141" max="141" width="4.33203125" style="16" customWidth="1"/>
    <col min="142" max="142" width="26.5546875" style="16" customWidth="1"/>
    <col min="143" max="143" width="4.33203125" style="16" customWidth="1"/>
    <col min="144" max="144" width="26.5546875" style="16" customWidth="1"/>
    <col min="145" max="145" width="4.33203125" style="16" customWidth="1"/>
    <col min="146" max="146" width="26.5546875" style="16" customWidth="1"/>
    <col min="147" max="147" width="4.33203125" style="16" customWidth="1"/>
    <col min="148" max="148" width="26.5546875" style="16" customWidth="1"/>
    <col min="149" max="149" width="4.33203125" style="16" customWidth="1"/>
    <col min="150" max="150" width="26.5546875" style="16" customWidth="1"/>
    <col min="151" max="151" width="4.33203125" style="16" customWidth="1"/>
    <col min="152" max="152" width="26.5546875" style="16" customWidth="1"/>
    <col min="153" max="153" width="17.5546875" style="16" customWidth="1"/>
    <col min="154" max="154" width="3.88671875" style="16" customWidth="1"/>
    <col min="155" max="155" width="32.44140625" style="16" customWidth="1"/>
    <col min="156" max="156" width="30.33203125" style="16" customWidth="1"/>
    <col min="157" max="157" width="10.44140625" style="16" customWidth="1"/>
    <col min="158" max="158" width="18.33203125" style="16" bestFit="1" customWidth="1"/>
    <col min="159" max="159" width="37.33203125" style="16" customWidth="1"/>
    <col min="160" max="160" width="4.44140625" style="16" customWidth="1"/>
    <col min="161" max="161" width="23" style="16" customWidth="1"/>
    <col min="162" max="162" width="4.44140625" style="16" customWidth="1"/>
    <col min="163" max="163" width="18.44140625" style="16" customWidth="1"/>
    <col min="164" max="164" width="21" style="16" bestFit="1" customWidth="1"/>
    <col min="165" max="166" width="18.5546875" style="16" bestFit="1" customWidth="1"/>
    <col min="167" max="167" width="4.44140625" style="16" customWidth="1"/>
    <col min="168" max="168" width="23" style="16" bestFit="1" customWidth="1"/>
    <col min="169" max="169" width="3.44140625" style="16" customWidth="1"/>
    <col min="170" max="170" width="4.44140625" style="16" customWidth="1"/>
    <col min="171" max="171" width="23" style="16" bestFit="1" customWidth="1"/>
    <col min="172" max="172" width="3.44140625" style="16" customWidth="1"/>
    <col min="173" max="173" width="4.44140625" style="16" customWidth="1"/>
    <col min="174" max="174" width="23" style="16" bestFit="1" customWidth="1"/>
    <col min="175" max="175" width="3.441406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09375" style="16" customWidth="1"/>
    <col min="185" max="185" width="22" style="16" customWidth="1"/>
    <col min="186" max="186" width="6" style="16" customWidth="1"/>
    <col min="187" max="187" width="18.33203125" style="16" customWidth="1"/>
    <col min="188" max="188" width="3.5546875" style="16" customWidth="1"/>
    <col min="189" max="189" width="22.109375" style="16" customWidth="1"/>
    <col min="190" max="190" width="5.6640625" style="16" customWidth="1"/>
    <col min="191" max="191" width="20.88671875" style="16" customWidth="1"/>
    <col min="192" max="192" width="18.88671875" style="16" customWidth="1"/>
    <col min="193" max="193" width="5.5546875" style="16" customWidth="1"/>
    <col min="194" max="194" width="22" style="16" customWidth="1"/>
    <col min="195" max="195" width="6.33203125" style="16" customWidth="1"/>
    <col min="196" max="196" width="20.88671875" style="16" customWidth="1"/>
    <col min="197" max="197" width="18.109375" style="16" customWidth="1"/>
    <col min="198" max="198" width="10.5546875" style="16" bestFit="1" customWidth="1"/>
    <col min="199" max="199" width="43" style="23" bestFit="1" customWidth="1"/>
    <col min="200" max="200" width="3.6640625" style="13" customWidth="1"/>
    <col min="201" max="16384" width="11.44140625" style="13"/>
  </cols>
  <sheetData>
    <row r="1" spans="1:200" s="137" customFormat="1" x14ac:dyDescent="0.3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 x14ac:dyDescent="0.3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 x14ac:dyDescent="0.3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4.4" thickBot="1" x14ac:dyDescent="0.35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 x14ac:dyDescent="0.3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4423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4071</v>
      </c>
      <c r="BB5" s="94"/>
      <c r="BC5" s="94" t="s">
        <v>4070</v>
      </c>
      <c r="BD5" s="94"/>
      <c r="BE5" s="94" t="s">
        <v>4069</v>
      </c>
      <c r="BF5" s="94"/>
      <c r="BG5" s="94" t="s">
        <v>4068</v>
      </c>
      <c r="BH5" s="94"/>
      <c r="BI5" s="94" t="s">
        <v>4067</v>
      </c>
      <c r="BJ5" s="94"/>
      <c r="BK5" s="94" t="s">
        <v>4066</v>
      </c>
      <c r="BL5" s="94"/>
      <c r="BM5" s="94" t="s">
        <v>4065</v>
      </c>
      <c r="BN5" s="94"/>
      <c r="BO5" s="94" t="s">
        <v>4064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4072</v>
      </c>
      <c r="GP5" s="94" t="s">
        <v>271</v>
      </c>
      <c r="GQ5" s="93" t="s">
        <v>150</v>
      </c>
      <c r="GR5" s="14"/>
    </row>
    <row r="6" spans="1:200" ht="22.5" customHeight="1" x14ac:dyDescent="0.3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 x14ac:dyDescent="0.3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 x14ac:dyDescent="0.3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 x14ac:dyDescent="0.3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 x14ac:dyDescent="0.3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 x14ac:dyDescent="0.3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 x14ac:dyDescent="0.3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 x14ac:dyDescent="0.3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 x14ac:dyDescent="0.3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 x14ac:dyDescent="0.3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 x14ac:dyDescent="0.3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 x14ac:dyDescent="0.3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 x14ac:dyDescent="0.3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 x14ac:dyDescent="0.3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 x14ac:dyDescent="0.3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 x14ac:dyDescent="0.3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 x14ac:dyDescent="0.3">
      <c r="AH22" s="16" t="s">
        <v>3309</v>
      </c>
      <c r="CP22" s="16" t="s">
        <v>3310</v>
      </c>
    </row>
    <row r="23" spans="5:94" ht="22.5" customHeight="1" x14ac:dyDescent="0.3">
      <c r="AH23" s="16" t="s">
        <v>3311</v>
      </c>
      <c r="CP23" s="16" t="s">
        <v>3312</v>
      </c>
    </row>
    <row r="24" spans="5:94" ht="22.5" customHeight="1" x14ac:dyDescent="0.3">
      <c r="CP24" s="16" t="s">
        <v>3313</v>
      </c>
    </row>
    <row r="25" spans="5:94" ht="22.5" customHeight="1" x14ac:dyDescent="0.3">
      <c r="CP25" s="16" t="s">
        <v>3314</v>
      </c>
    </row>
    <row r="26" spans="5:94" ht="22.5" customHeight="1" x14ac:dyDescent="0.3">
      <c r="CP26" s="16" t="s">
        <v>3315</v>
      </c>
    </row>
    <row r="27" spans="5:94" ht="22.5" customHeight="1" x14ac:dyDescent="0.3">
      <c r="CP27" s="16" t="s">
        <v>3316</v>
      </c>
    </row>
    <row r="28" spans="5:94" ht="22.5" customHeight="1" x14ac:dyDescent="0.3">
      <c r="CP28" s="16" t="s">
        <v>3317</v>
      </c>
    </row>
    <row r="29" spans="5:94" ht="22.5" customHeight="1" x14ac:dyDescent="0.3">
      <c r="CP29" s="16" t="s">
        <v>3318</v>
      </c>
    </row>
    <row r="30" spans="5:94" ht="22.5" customHeight="1" x14ac:dyDescent="0.3">
      <c r="CP30" s="16" t="s">
        <v>3319</v>
      </c>
    </row>
    <row r="31" spans="5:94" ht="22.5" customHeight="1" x14ac:dyDescent="0.3">
      <c r="CP31" s="16" t="s">
        <v>3320</v>
      </c>
    </row>
    <row r="32" spans="5:94" ht="22.5" customHeight="1" x14ac:dyDescent="0.3">
      <c r="CP32" s="16" t="s">
        <v>3321</v>
      </c>
    </row>
    <row r="33" spans="94:94" ht="22.5" customHeight="1" x14ac:dyDescent="0.3">
      <c r="CP33" s="16" t="s">
        <v>3322</v>
      </c>
    </row>
    <row r="34" spans="94:94" ht="22.5" customHeight="1" x14ac:dyDescent="0.3">
      <c r="CP34" s="16" t="s">
        <v>3323</v>
      </c>
    </row>
    <row r="35" spans="94:94" ht="22.5" customHeight="1" x14ac:dyDescent="0.3"/>
    <row r="36" spans="94:94" ht="22.5" customHeight="1" x14ac:dyDescent="0.3"/>
    <row r="37" spans="94:94" ht="22.5" customHeight="1" x14ac:dyDescent="0.3"/>
    <row r="38" spans="94:94" ht="22.5" customHeight="1" x14ac:dyDescent="0.3"/>
    <row r="39" spans="94:94" ht="22.5" customHeight="1" x14ac:dyDescent="0.3"/>
    <row r="40" spans="94:94" ht="22.5" customHeight="1" x14ac:dyDescent="0.3"/>
    <row r="41" spans="94:94" ht="22.5" customHeight="1" x14ac:dyDescent="0.3"/>
    <row r="42" spans="94:94" ht="22.5" customHeight="1" x14ac:dyDescent="0.3"/>
    <row r="43" spans="94:94" ht="22.5" customHeight="1" x14ac:dyDescent="0.3"/>
    <row r="44" spans="94:94" ht="22.5" customHeight="1" x14ac:dyDescent="0.3"/>
    <row r="45" spans="94:94" ht="22.5" customHeight="1" x14ac:dyDescent="0.3"/>
    <row r="46" spans="94:94" ht="22.5" customHeight="1" x14ac:dyDescent="0.3"/>
    <row r="47" spans="94:94" ht="22.5" customHeight="1" x14ac:dyDescent="0.3"/>
    <row r="48" spans="94:9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198" ht="14.4" thickTop="1" x14ac:dyDescent="0.3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40"/>
  <sheetViews>
    <sheetView tabSelected="1" topLeftCell="A100" zoomScale="85" zoomScaleNormal="85" workbookViewId="0">
      <selection activeCell="D149" sqref="D149"/>
    </sheetView>
  </sheetViews>
  <sheetFormatPr baseColWidth="10" defaultRowHeight="14.4" x14ac:dyDescent="0.3"/>
  <cols>
    <col min="1" max="1" width="37.5546875" bestFit="1" customWidth="1"/>
    <col min="2" max="2" width="6" style="225" bestFit="1" customWidth="1"/>
    <col min="3" max="3" width="73.6640625" customWidth="1"/>
    <col min="4" max="4" width="77" customWidth="1"/>
  </cols>
  <sheetData>
    <row r="1" spans="1:5" s="108" customFormat="1" ht="25.8" x14ac:dyDescent="0.5">
      <c r="A1" s="109" t="s">
        <v>163</v>
      </c>
      <c r="B1" s="111"/>
      <c r="C1" s="108" t="s">
        <v>162</v>
      </c>
    </row>
    <row r="2" spans="1:5" s="108" customFormat="1" x14ac:dyDescent="0.3">
      <c r="B2" s="111"/>
      <c r="C2" s="144" t="s">
        <v>173</v>
      </c>
      <c r="D2" s="144" t="s">
        <v>3969</v>
      </c>
    </row>
    <row r="3" spans="1:5" s="112" customFormat="1" x14ac:dyDescent="0.3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6" x14ac:dyDescent="0.3">
      <c r="A4" s="115" t="str">
        <f>"! --- "&amp;INDEX(MLtextDivisions,1)</f>
        <v>! --- User Interface - UI_xxxFIELD text</v>
      </c>
      <c r="B4" s="114"/>
    </row>
    <row r="5" spans="1:5" s="121" customFormat="1" x14ac:dyDescent="0.3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 t="shared" ref="E5:E36" si="0">IF(LEN($C5)-LEN(D5)&lt;0,TEXT(LEN(D5)/LEN($C5),"0 %")&amp;" ("&amp;LEN(D5)-LEN($C5)&amp;")","")</f>
        <v/>
      </c>
    </row>
    <row r="6" spans="1:5" s="121" customFormat="1" x14ac:dyDescent="0.3">
      <c r="A6" s="120" t="s">
        <v>3948</v>
      </c>
      <c r="B6" s="120">
        <v>2</v>
      </c>
      <c r="C6" s="321" t="s">
        <v>4483</v>
      </c>
      <c r="D6" s="321" t="s">
        <v>4486</v>
      </c>
      <c r="E6" s="324" t="str">
        <f t="shared" si="0"/>
        <v/>
      </c>
    </row>
    <row r="7" spans="1:5" s="121" customFormat="1" x14ac:dyDescent="0.3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 t="shared" si="0"/>
        <v/>
      </c>
    </row>
    <row r="8" spans="1:5" s="121" customFormat="1" x14ac:dyDescent="0.3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 t="shared" si="0"/>
        <v>120 % (2)</v>
      </c>
    </row>
    <row r="9" spans="1:5" s="121" customFormat="1" x14ac:dyDescent="0.3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 t="shared" si="0"/>
        <v/>
      </c>
    </row>
    <row r="10" spans="1:5" s="121" customFormat="1" x14ac:dyDescent="0.3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 t="shared" si="0"/>
        <v/>
      </c>
    </row>
    <row r="11" spans="1:5" s="121" customFormat="1" x14ac:dyDescent="0.3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 t="shared" si="0"/>
        <v>118 % (2)</v>
      </c>
    </row>
    <row r="12" spans="1:5" s="121" customFormat="1" x14ac:dyDescent="0.3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 t="shared" si="0"/>
        <v>110 % (1)</v>
      </c>
    </row>
    <row r="13" spans="1:5" s="121" customFormat="1" x14ac:dyDescent="0.3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 t="shared" si="0"/>
        <v>145 % (5)</v>
      </c>
    </row>
    <row r="14" spans="1:5" s="121" customFormat="1" x14ac:dyDescent="0.3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 t="shared" si="0"/>
        <v>102 % (2)</v>
      </c>
    </row>
    <row r="15" spans="1:5" s="121" customFormat="1" x14ac:dyDescent="0.3">
      <c r="A15" s="120" t="s">
        <v>3948</v>
      </c>
      <c r="B15" s="120">
        <v>11</v>
      </c>
      <c r="C15" s="121" t="s">
        <v>4080</v>
      </c>
      <c r="D15" s="121" t="s">
        <v>4108</v>
      </c>
      <c r="E15" s="324" t="str">
        <f t="shared" si="0"/>
        <v/>
      </c>
    </row>
    <row r="16" spans="1:5" s="121" customFormat="1" x14ac:dyDescent="0.3">
      <c r="A16" s="120" t="s">
        <v>3948</v>
      </c>
      <c r="B16" s="120">
        <v>12</v>
      </c>
      <c r="C16" s="121" t="s">
        <v>4111</v>
      </c>
      <c r="D16" s="121" t="s">
        <v>4245</v>
      </c>
      <c r="E16" s="324" t="str">
        <f t="shared" si="0"/>
        <v/>
      </c>
    </row>
    <row r="17" spans="1:5" s="121" customFormat="1" x14ac:dyDescent="0.3">
      <c r="A17" s="120" t="s">
        <v>3948</v>
      </c>
      <c r="B17" s="120">
        <v>13</v>
      </c>
      <c r="C17" s="121" t="s">
        <v>4112</v>
      </c>
      <c r="D17" s="121" t="s">
        <v>4246</v>
      </c>
      <c r="E17" s="324" t="str">
        <f t="shared" si="0"/>
        <v/>
      </c>
    </row>
    <row r="18" spans="1:5" s="121" customFormat="1" x14ac:dyDescent="0.3">
      <c r="A18" s="120" t="s">
        <v>3948</v>
      </c>
      <c r="B18" s="120">
        <v>14</v>
      </c>
      <c r="C18" s="121" t="s">
        <v>4113</v>
      </c>
      <c r="D18" s="121" t="s">
        <v>4247</v>
      </c>
      <c r="E18" s="324" t="str">
        <f t="shared" si="0"/>
        <v/>
      </c>
    </row>
    <row r="19" spans="1:5" s="121" customFormat="1" x14ac:dyDescent="0.3">
      <c r="A19" s="120" t="s">
        <v>3948</v>
      </c>
      <c r="B19" s="120">
        <v>15</v>
      </c>
      <c r="C19" s="121" t="s">
        <v>4114</v>
      </c>
      <c r="D19" s="121" t="s">
        <v>4248</v>
      </c>
      <c r="E19" s="324" t="str">
        <f t="shared" si="0"/>
        <v/>
      </c>
    </row>
    <row r="20" spans="1:5" s="121" customFormat="1" x14ac:dyDescent="0.3">
      <c r="A20" s="120" t="s">
        <v>3948</v>
      </c>
      <c r="B20" s="120">
        <v>16</v>
      </c>
      <c r="C20" s="121" t="s">
        <v>4484</v>
      </c>
      <c r="D20" s="323" t="s">
        <v>4484</v>
      </c>
      <c r="E20" s="324" t="str">
        <f t="shared" si="0"/>
        <v/>
      </c>
    </row>
    <row r="21" spans="1:5" s="121" customFormat="1" x14ac:dyDescent="0.3">
      <c r="A21" s="120" t="s">
        <v>3948</v>
      </c>
      <c r="B21" s="120">
        <v>17</v>
      </c>
      <c r="C21" s="121" t="s">
        <v>4485</v>
      </c>
      <c r="D21" s="121" t="s">
        <v>4485</v>
      </c>
      <c r="E21" s="324" t="str">
        <f t="shared" si="0"/>
        <v/>
      </c>
    </row>
    <row r="22" spans="1:5" s="121" customFormat="1" x14ac:dyDescent="0.3">
      <c r="A22" s="120" t="s">
        <v>3948</v>
      </c>
      <c r="B22" s="120">
        <v>18</v>
      </c>
      <c r="C22" s="121" t="s">
        <v>4115</v>
      </c>
      <c r="D22" s="121" t="s">
        <v>4249</v>
      </c>
      <c r="E22" s="324" t="str">
        <f t="shared" si="0"/>
        <v/>
      </c>
    </row>
    <row r="23" spans="1:5" s="121" customFormat="1" x14ac:dyDescent="0.3">
      <c r="A23" s="120" t="s">
        <v>3948</v>
      </c>
      <c r="B23" s="120">
        <v>19</v>
      </c>
      <c r="C23" s="121" t="s">
        <v>4081</v>
      </c>
      <c r="D23" s="121" t="s">
        <v>4250</v>
      </c>
      <c r="E23" s="324" t="str">
        <f t="shared" si="0"/>
        <v>102 % (2)</v>
      </c>
    </row>
    <row r="24" spans="1:5" s="121" customFormat="1" x14ac:dyDescent="0.3">
      <c r="A24" s="120" t="s">
        <v>3948</v>
      </c>
      <c r="B24" s="120">
        <v>20</v>
      </c>
      <c r="C24" s="121" t="s">
        <v>4082</v>
      </c>
      <c r="D24" s="121" t="s">
        <v>4107</v>
      </c>
      <c r="E24" s="324" t="str">
        <f t="shared" si="0"/>
        <v>133 % (4)</v>
      </c>
    </row>
    <row r="25" spans="1:5" s="121" customFormat="1" x14ac:dyDescent="0.3">
      <c r="A25" s="120" t="s">
        <v>3948</v>
      </c>
      <c r="B25" s="120">
        <v>21</v>
      </c>
      <c r="C25" s="121" t="s">
        <v>4083</v>
      </c>
      <c r="D25" s="121" t="s">
        <v>4106</v>
      </c>
      <c r="E25" s="324" t="str">
        <f t="shared" si="0"/>
        <v>142 % (5)</v>
      </c>
    </row>
    <row r="26" spans="1:5" s="121" customFormat="1" x14ac:dyDescent="0.3">
      <c r="A26" s="120" t="s">
        <v>3948</v>
      </c>
      <c r="B26" s="120">
        <v>22</v>
      </c>
      <c r="C26" s="121" t="s">
        <v>4084</v>
      </c>
      <c r="D26" s="121" t="s">
        <v>4251</v>
      </c>
      <c r="E26" s="324" t="str">
        <f t="shared" si="0"/>
        <v>131 % (4)</v>
      </c>
    </row>
    <row r="27" spans="1:5" s="121" customFormat="1" x14ac:dyDescent="0.3">
      <c r="A27" s="120" t="s">
        <v>3948</v>
      </c>
      <c r="B27" s="120">
        <v>23</v>
      </c>
      <c r="C27" s="121" t="s">
        <v>4085</v>
      </c>
      <c r="D27" s="121" t="s">
        <v>4257</v>
      </c>
      <c r="E27" s="324" t="str">
        <f t="shared" si="0"/>
        <v>158 % (7)</v>
      </c>
    </row>
    <row r="28" spans="1:5" s="121" customFormat="1" x14ac:dyDescent="0.3">
      <c r="A28" s="120" t="s">
        <v>3948</v>
      </c>
      <c r="B28" s="120">
        <v>24</v>
      </c>
      <c r="C28" s="121" t="s">
        <v>4086</v>
      </c>
      <c r="D28" s="121" t="s">
        <v>4260</v>
      </c>
      <c r="E28" s="324" t="str">
        <f t="shared" si="0"/>
        <v>133 % (5)</v>
      </c>
    </row>
    <row r="29" spans="1:5" s="121" customFormat="1" x14ac:dyDescent="0.3">
      <c r="A29" s="120" t="s">
        <v>3948</v>
      </c>
      <c r="B29" s="120">
        <v>25</v>
      </c>
      <c r="C29" s="121" t="s">
        <v>4087</v>
      </c>
      <c r="D29" s="121" t="s">
        <v>4256</v>
      </c>
      <c r="E29" s="324" t="str">
        <f t="shared" si="0"/>
        <v>140 % (6)</v>
      </c>
    </row>
    <row r="30" spans="1:5" s="121" customFormat="1" x14ac:dyDescent="0.3">
      <c r="A30" s="120" t="s">
        <v>3948</v>
      </c>
      <c r="B30" s="120">
        <v>26</v>
      </c>
      <c r="C30" s="121" t="s">
        <v>4088</v>
      </c>
      <c r="D30" s="121" t="s">
        <v>4255</v>
      </c>
      <c r="E30" s="324" t="str">
        <f t="shared" si="0"/>
        <v>117 % (3)</v>
      </c>
    </row>
    <row r="31" spans="1:5" s="121" customFormat="1" x14ac:dyDescent="0.3">
      <c r="A31" s="120" t="s">
        <v>3948</v>
      </c>
      <c r="B31" s="120">
        <v>27</v>
      </c>
      <c r="C31" s="121" t="s">
        <v>4089</v>
      </c>
      <c r="D31" s="121" t="s">
        <v>4254</v>
      </c>
      <c r="E31" s="324" t="str">
        <f t="shared" si="0"/>
        <v>111 % (2)</v>
      </c>
    </row>
    <row r="32" spans="1:5" s="121" customFormat="1" x14ac:dyDescent="0.3">
      <c r="A32" s="120" t="s">
        <v>3948</v>
      </c>
      <c r="B32" s="120">
        <v>28</v>
      </c>
      <c r="C32" s="121" t="s">
        <v>4090</v>
      </c>
      <c r="D32" s="121" t="s">
        <v>4253</v>
      </c>
      <c r="E32" s="324" t="str">
        <f t="shared" si="0"/>
        <v>105 % (1)</v>
      </c>
    </row>
    <row r="33" spans="1:5" s="121" customFormat="1" x14ac:dyDescent="0.3">
      <c r="A33" s="120" t="s">
        <v>3948</v>
      </c>
      <c r="B33" s="120">
        <v>29</v>
      </c>
      <c r="C33" s="121" t="s">
        <v>4091</v>
      </c>
      <c r="D33" s="121" t="s">
        <v>4259</v>
      </c>
      <c r="E33" s="324" t="str">
        <f t="shared" si="0"/>
        <v>142 % (5)</v>
      </c>
    </row>
    <row r="34" spans="1:5" s="121" customFormat="1" x14ac:dyDescent="0.3">
      <c r="A34" s="120" t="s">
        <v>3948</v>
      </c>
      <c r="B34" s="120">
        <v>30</v>
      </c>
      <c r="C34" s="121" t="s">
        <v>4092</v>
      </c>
      <c r="D34" s="121" t="s">
        <v>4258</v>
      </c>
      <c r="E34" s="324" t="str">
        <f t="shared" si="0"/>
        <v/>
      </c>
    </row>
    <row r="35" spans="1:5" s="121" customFormat="1" x14ac:dyDescent="0.3">
      <c r="A35" s="120" t="s">
        <v>3948</v>
      </c>
      <c r="B35" s="120">
        <v>31</v>
      </c>
      <c r="C35" s="121" t="s">
        <v>4093</v>
      </c>
      <c r="D35" s="121" t="s">
        <v>4261</v>
      </c>
      <c r="E35" s="324" t="str">
        <f t="shared" si="0"/>
        <v>120 % (2)</v>
      </c>
    </row>
    <row r="36" spans="1:5" s="121" customFormat="1" x14ac:dyDescent="0.3">
      <c r="A36" s="120" t="s">
        <v>3948</v>
      </c>
      <c r="B36" s="120">
        <v>32</v>
      </c>
      <c r="C36" s="121" t="s">
        <v>4116</v>
      </c>
      <c r="D36" s="121" t="s">
        <v>4280</v>
      </c>
      <c r="E36" s="324" t="str">
        <f t="shared" si="0"/>
        <v>124 % (4)</v>
      </c>
    </row>
    <row r="37" spans="1:5" s="121" customFormat="1" x14ac:dyDescent="0.3">
      <c r="A37" s="120" t="s">
        <v>3948</v>
      </c>
      <c r="B37" s="120">
        <v>33</v>
      </c>
      <c r="C37" s="121" t="s">
        <v>4117</v>
      </c>
      <c r="D37" s="121" t="s">
        <v>4281</v>
      </c>
      <c r="E37" s="324" t="str">
        <f t="shared" ref="E37:E68" si="1">IF(LEN($C37)-LEN(D37)&lt;0,TEXT(LEN(D37)/LEN($C37),"0 %")&amp;" ("&amp;LEN(D37)-LEN($C37)&amp;")","")</f>
        <v/>
      </c>
    </row>
    <row r="38" spans="1:5" s="121" customFormat="1" x14ac:dyDescent="0.3">
      <c r="A38" s="120" t="s">
        <v>3948</v>
      </c>
      <c r="B38" s="120">
        <v>34</v>
      </c>
      <c r="C38" s="121" t="s">
        <v>4118</v>
      </c>
      <c r="D38" s="121" t="s">
        <v>4252</v>
      </c>
      <c r="E38" s="324" t="str">
        <f t="shared" si="1"/>
        <v/>
      </c>
    </row>
    <row r="39" spans="1:5" s="121" customFormat="1" x14ac:dyDescent="0.3">
      <c r="A39" s="120" t="s">
        <v>3948</v>
      </c>
      <c r="B39" s="120">
        <v>35</v>
      </c>
      <c r="C39" s="121" t="s">
        <v>4119</v>
      </c>
      <c r="D39" s="121" t="s">
        <v>4119</v>
      </c>
      <c r="E39" s="324" t="str">
        <f t="shared" si="1"/>
        <v/>
      </c>
    </row>
    <row r="40" spans="1:5" s="121" customFormat="1" x14ac:dyDescent="0.3">
      <c r="A40" s="120" t="s">
        <v>3948</v>
      </c>
      <c r="B40" s="120">
        <v>36</v>
      </c>
      <c r="C40" s="121" t="s">
        <v>4120</v>
      </c>
      <c r="D40" s="121" t="s">
        <v>4285</v>
      </c>
      <c r="E40" s="324" t="str">
        <f t="shared" si="1"/>
        <v>125 % (4)</v>
      </c>
    </row>
    <row r="41" spans="1:5" s="121" customFormat="1" x14ac:dyDescent="0.3">
      <c r="A41" s="120" t="s">
        <v>3948</v>
      </c>
      <c r="B41" s="120">
        <v>37</v>
      </c>
      <c r="C41" s="121" t="s">
        <v>4121</v>
      </c>
      <c r="D41" s="121" t="s">
        <v>4268</v>
      </c>
      <c r="E41" s="324" t="str">
        <f t="shared" si="1"/>
        <v>117 % (2)</v>
      </c>
    </row>
    <row r="42" spans="1:5" s="121" customFormat="1" x14ac:dyDescent="0.3">
      <c r="A42" s="120" t="s">
        <v>3948</v>
      </c>
      <c r="B42" s="120">
        <v>38</v>
      </c>
      <c r="C42" s="121" t="s">
        <v>4122</v>
      </c>
      <c r="D42" s="121" t="s">
        <v>4122</v>
      </c>
      <c r="E42" s="324" t="str">
        <f t="shared" si="1"/>
        <v/>
      </c>
    </row>
    <row r="43" spans="1:5" s="121" customFormat="1" x14ac:dyDescent="0.3">
      <c r="A43" s="120" t="s">
        <v>3948</v>
      </c>
      <c r="B43" s="120">
        <v>39</v>
      </c>
      <c r="C43" s="121" t="s">
        <v>4123</v>
      </c>
      <c r="D43" s="121" t="s">
        <v>4270</v>
      </c>
      <c r="E43" s="324" t="str">
        <f t="shared" si="1"/>
        <v/>
      </c>
    </row>
    <row r="44" spans="1:5" s="121" customFormat="1" x14ac:dyDescent="0.3">
      <c r="A44" s="120" t="s">
        <v>3948</v>
      </c>
      <c r="B44" s="120">
        <v>40</v>
      </c>
      <c r="C44" s="121" t="s">
        <v>4124</v>
      </c>
      <c r="D44" s="121" t="s">
        <v>4269</v>
      </c>
      <c r="E44" s="324" t="str">
        <f t="shared" si="1"/>
        <v/>
      </c>
    </row>
    <row r="45" spans="1:5" s="121" customFormat="1" x14ac:dyDescent="0.3">
      <c r="A45" s="120" t="s">
        <v>3948</v>
      </c>
      <c r="B45" s="120">
        <v>41</v>
      </c>
      <c r="C45" s="121" t="s">
        <v>4125</v>
      </c>
      <c r="D45" s="121" t="s">
        <v>4272</v>
      </c>
      <c r="E45" s="324" t="str">
        <f t="shared" si="1"/>
        <v/>
      </c>
    </row>
    <row r="46" spans="1:5" s="121" customFormat="1" x14ac:dyDescent="0.3">
      <c r="A46" s="120" t="s">
        <v>3948</v>
      </c>
      <c r="B46" s="120">
        <v>42</v>
      </c>
      <c r="C46" s="121" t="s">
        <v>4126</v>
      </c>
      <c r="D46" s="121" t="s">
        <v>4271</v>
      </c>
      <c r="E46" s="324" t="str">
        <f t="shared" si="1"/>
        <v/>
      </c>
    </row>
    <row r="47" spans="1:5" s="121" customFormat="1" x14ac:dyDescent="0.3">
      <c r="A47" s="120" t="s">
        <v>3948</v>
      </c>
      <c r="B47" s="120">
        <v>43</v>
      </c>
      <c r="C47" s="121" t="s">
        <v>4127</v>
      </c>
      <c r="D47" s="121" t="s">
        <v>4267</v>
      </c>
      <c r="E47" s="324" t="str">
        <f t="shared" si="1"/>
        <v/>
      </c>
    </row>
    <row r="48" spans="1:5" s="121" customFormat="1" x14ac:dyDescent="0.3">
      <c r="A48" s="120" t="s">
        <v>3948</v>
      </c>
      <c r="B48" s="120">
        <v>44</v>
      </c>
      <c r="C48" s="121" t="s">
        <v>4128</v>
      </c>
      <c r="D48" s="121" t="s">
        <v>4128</v>
      </c>
      <c r="E48" s="324" t="str">
        <f t="shared" si="1"/>
        <v/>
      </c>
    </row>
    <row r="49" spans="1:5" s="121" customFormat="1" x14ac:dyDescent="0.3">
      <c r="A49" s="120" t="s">
        <v>3948</v>
      </c>
      <c r="B49" s="120">
        <v>45</v>
      </c>
      <c r="C49" s="121" t="s">
        <v>4109</v>
      </c>
      <c r="D49" s="121" t="s">
        <v>4288</v>
      </c>
      <c r="E49" s="324" t="str">
        <f t="shared" si="1"/>
        <v/>
      </c>
    </row>
    <row r="50" spans="1:5" s="121" customFormat="1" x14ac:dyDescent="0.3">
      <c r="A50" s="120" t="s">
        <v>3948</v>
      </c>
      <c r="B50" s="120">
        <v>46</v>
      </c>
      <c r="C50" s="121" t="s">
        <v>4129</v>
      </c>
      <c r="D50" s="121" t="s">
        <v>4287</v>
      </c>
      <c r="E50" s="324" t="str">
        <f t="shared" si="1"/>
        <v>118 % (2)</v>
      </c>
    </row>
    <row r="51" spans="1:5" s="121" customFormat="1" x14ac:dyDescent="0.3">
      <c r="A51" s="120" t="s">
        <v>3948</v>
      </c>
      <c r="B51" s="120">
        <v>47</v>
      </c>
      <c r="C51" s="121" t="s">
        <v>4130</v>
      </c>
      <c r="D51" s="121" t="s">
        <v>4286</v>
      </c>
      <c r="E51" s="324" t="str">
        <f t="shared" si="1"/>
        <v>164 % (7)</v>
      </c>
    </row>
    <row r="52" spans="1:5" s="121" customFormat="1" x14ac:dyDescent="0.3">
      <c r="A52" s="120" t="s">
        <v>3948</v>
      </c>
      <c r="B52" s="120">
        <v>48</v>
      </c>
      <c r="C52" s="121" t="s">
        <v>4131</v>
      </c>
      <c r="D52" s="121" t="s">
        <v>4289</v>
      </c>
      <c r="E52" s="324" t="str">
        <f t="shared" si="1"/>
        <v>120 % (2)</v>
      </c>
    </row>
    <row r="53" spans="1:5" s="121" customFormat="1" x14ac:dyDescent="0.3">
      <c r="A53" s="120" t="s">
        <v>3948</v>
      </c>
      <c r="B53" s="120">
        <v>49</v>
      </c>
      <c r="C53" s="121" t="s">
        <v>4132</v>
      </c>
      <c r="D53" s="121" t="s">
        <v>4290</v>
      </c>
      <c r="E53" s="324" t="str">
        <f t="shared" si="1"/>
        <v>112 % (2)</v>
      </c>
    </row>
    <row r="54" spans="1:5" s="121" customFormat="1" x14ac:dyDescent="0.3">
      <c r="A54" s="120" t="s">
        <v>3948</v>
      </c>
      <c r="B54" s="120">
        <v>50</v>
      </c>
      <c r="C54" s="121" t="s">
        <v>4133</v>
      </c>
      <c r="D54" s="121" t="s">
        <v>4244</v>
      </c>
      <c r="E54" s="324" t="str">
        <f t="shared" si="1"/>
        <v/>
      </c>
    </row>
    <row r="55" spans="1:5" s="121" customFormat="1" x14ac:dyDescent="0.3">
      <c r="A55" s="120" t="s">
        <v>3948</v>
      </c>
      <c r="B55" s="120">
        <v>51</v>
      </c>
      <c r="C55" s="121" t="s">
        <v>4134</v>
      </c>
      <c r="D55" s="121" t="s">
        <v>4243</v>
      </c>
      <c r="E55" s="324" t="str">
        <f t="shared" si="1"/>
        <v/>
      </c>
    </row>
    <row r="56" spans="1:5" s="121" customFormat="1" x14ac:dyDescent="0.3">
      <c r="A56" s="120" t="s">
        <v>3948</v>
      </c>
      <c r="B56" s="120">
        <v>52</v>
      </c>
      <c r="C56" s="121" t="s">
        <v>4135</v>
      </c>
      <c r="D56" s="121" t="s">
        <v>4291</v>
      </c>
      <c r="E56" s="324" t="str">
        <f t="shared" si="1"/>
        <v/>
      </c>
    </row>
    <row r="57" spans="1:5" s="121" customFormat="1" x14ac:dyDescent="0.3">
      <c r="A57" s="120" t="s">
        <v>3948</v>
      </c>
      <c r="B57" s="120">
        <v>53</v>
      </c>
      <c r="C57" s="121" t="s">
        <v>4136</v>
      </c>
      <c r="D57" s="121" t="s">
        <v>4292</v>
      </c>
      <c r="E57" s="324" t="str">
        <f t="shared" si="1"/>
        <v/>
      </c>
    </row>
    <row r="58" spans="1:5" s="121" customFormat="1" x14ac:dyDescent="0.3">
      <c r="A58" s="120" t="s">
        <v>3948</v>
      </c>
      <c r="B58" s="120">
        <v>54</v>
      </c>
      <c r="C58" s="121" t="s">
        <v>4137</v>
      </c>
      <c r="D58" s="121" t="s">
        <v>4282</v>
      </c>
      <c r="E58" s="324" t="str">
        <f t="shared" si="1"/>
        <v>110 % (2)</v>
      </c>
    </row>
    <row r="59" spans="1:5" s="121" customFormat="1" x14ac:dyDescent="0.3">
      <c r="A59" s="120" t="s">
        <v>3948</v>
      </c>
      <c r="B59" s="120">
        <v>55</v>
      </c>
      <c r="C59" s="121" t="s">
        <v>4138</v>
      </c>
      <c r="D59" s="121" t="s">
        <v>4284</v>
      </c>
      <c r="E59" s="324" t="str">
        <f t="shared" si="1"/>
        <v>133 % (4)</v>
      </c>
    </row>
    <row r="60" spans="1:5" s="121" customFormat="1" x14ac:dyDescent="0.3">
      <c r="A60" s="120" t="s">
        <v>3948</v>
      </c>
      <c r="B60" s="120">
        <v>56</v>
      </c>
      <c r="C60" s="121" t="s">
        <v>4139</v>
      </c>
      <c r="D60" s="121" t="s">
        <v>4262</v>
      </c>
      <c r="E60" s="324" t="str">
        <f t="shared" si="1"/>
        <v>110 % (2)</v>
      </c>
    </row>
    <row r="61" spans="1:5" s="121" customFormat="1" x14ac:dyDescent="0.3">
      <c r="A61" s="120" t="s">
        <v>3948</v>
      </c>
      <c r="B61" s="120">
        <v>57</v>
      </c>
      <c r="C61" s="121" t="s">
        <v>4140</v>
      </c>
      <c r="D61" s="121" t="s">
        <v>4279</v>
      </c>
      <c r="E61" s="324" t="str">
        <f t="shared" si="1"/>
        <v/>
      </c>
    </row>
    <row r="62" spans="1:5" s="121" customFormat="1" x14ac:dyDescent="0.3">
      <c r="A62" s="120" t="s">
        <v>3948</v>
      </c>
      <c r="B62" s="120">
        <v>58</v>
      </c>
      <c r="C62" s="121" t="s">
        <v>4141</v>
      </c>
      <c r="D62" s="121" t="s">
        <v>4278</v>
      </c>
      <c r="E62" s="324" t="str">
        <f t="shared" si="1"/>
        <v/>
      </c>
    </row>
    <row r="63" spans="1:5" s="121" customFormat="1" x14ac:dyDescent="0.3">
      <c r="A63" s="120" t="s">
        <v>3948</v>
      </c>
      <c r="B63" s="120">
        <v>59</v>
      </c>
      <c r="C63" s="121" t="s">
        <v>4142</v>
      </c>
      <c r="D63" s="121" t="s">
        <v>4277</v>
      </c>
      <c r="E63" s="324" t="str">
        <f t="shared" si="1"/>
        <v/>
      </c>
    </row>
    <row r="64" spans="1:5" s="121" customFormat="1" x14ac:dyDescent="0.3">
      <c r="A64" s="120" t="s">
        <v>3948</v>
      </c>
      <c r="B64" s="120">
        <v>60</v>
      </c>
      <c r="C64" s="121" t="s">
        <v>4143</v>
      </c>
      <c r="D64" s="121" t="s">
        <v>4143</v>
      </c>
      <c r="E64" s="324" t="str">
        <f t="shared" si="1"/>
        <v/>
      </c>
    </row>
    <row r="65" spans="1:5" s="121" customFormat="1" x14ac:dyDescent="0.3">
      <c r="A65" s="120" t="s">
        <v>3948</v>
      </c>
      <c r="B65" s="120">
        <v>61</v>
      </c>
      <c r="C65" s="121" t="s">
        <v>4144</v>
      </c>
      <c r="D65" s="121" t="s">
        <v>4283</v>
      </c>
      <c r="E65" s="324" t="str">
        <f t="shared" si="1"/>
        <v/>
      </c>
    </row>
    <row r="66" spans="1:5" s="121" customFormat="1" x14ac:dyDescent="0.3">
      <c r="A66" s="120" t="s">
        <v>3948</v>
      </c>
      <c r="B66" s="120">
        <v>62</v>
      </c>
      <c r="C66" s="121" t="s">
        <v>4145</v>
      </c>
      <c r="D66" s="121" t="s">
        <v>4264</v>
      </c>
      <c r="E66" s="324" t="str">
        <f t="shared" si="1"/>
        <v>109 % (2)</v>
      </c>
    </row>
    <row r="67" spans="1:5" s="121" customFormat="1" x14ac:dyDescent="0.3">
      <c r="A67" s="120" t="s">
        <v>3948</v>
      </c>
      <c r="B67" s="120">
        <v>63</v>
      </c>
      <c r="C67" s="121" t="s">
        <v>4146</v>
      </c>
      <c r="D67" s="121" t="s">
        <v>4263</v>
      </c>
      <c r="E67" s="324" t="str">
        <f t="shared" si="1"/>
        <v/>
      </c>
    </row>
    <row r="68" spans="1:5" s="121" customFormat="1" x14ac:dyDescent="0.3">
      <c r="A68" s="120" t="s">
        <v>3948</v>
      </c>
      <c r="B68" s="120">
        <v>64</v>
      </c>
      <c r="C68" s="121" t="s">
        <v>4147</v>
      </c>
      <c r="D68" s="121" t="s">
        <v>4265</v>
      </c>
      <c r="E68" s="324" t="str">
        <f t="shared" si="1"/>
        <v/>
      </c>
    </row>
    <row r="69" spans="1:5" s="121" customFormat="1" x14ac:dyDescent="0.3">
      <c r="A69" s="120" t="s">
        <v>3948</v>
      </c>
      <c r="B69" s="120">
        <v>65</v>
      </c>
      <c r="C69" s="121" t="s">
        <v>4148</v>
      </c>
      <c r="D69" s="121" t="s">
        <v>4266</v>
      </c>
      <c r="E69" s="324" t="str">
        <f t="shared" ref="E69:E100" si="2">IF(LEN($C69)-LEN(D69)&lt;0,TEXT(LEN(D69)/LEN($C69),"0 %")&amp;" ("&amp;LEN(D69)-LEN($C69)&amp;")","")</f>
        <v/>
      </c>
    </row>
    <row r="70" spans="1:5" s="121" customFormat="1" x14ac:dyDescent="0.3">
      <c r="A70" s="120" t="s">
        <v>3948</v>
      </c>
      <c r="B70" s="120">
        <v>66</v>
      </c>
      <c r="C70" s="121" t="s">
        <v>4110</v>
      </c>
      <c r="D70" s="121" t="s">
        <v>4276</v>
      </c>
      <c r="E70" s="324" t="str">
        <f t="shared" si="2"/>
        <v/>
      </c>
    </row>
    <row r="71" spans="1:5" s="121" customFormat="1" x14ac:dyDescent="0.3">
      <c r="A71" s="120" t="s">
        <v>3948</v>
      </c>
      <c r="B71" s="120">
        <v>67</v>
      </c>
      <c r="C71" s="121" t="s">
        <v>4149</v>
      </c>
      <c r="D71" s="121" t="s">
        <v>4273</v>
      </c>
      <c r="E71" s="324" t="str">
        <f t="shared" si="2"/>
        <v/>
      </c>
    </row>
    <row r="72" spans="1:5" s="121" customFormat="1" x14ac:dyDescent="0.3">
      <c r="A72" s="120" t="s">
        <v>3948</v>
      </c>
      <c r="B72" s="120">
        <v>68</v>
      </c>
      <c r="C72" s="121" t="s">
        <v>4150</v>
      </c>
      <c r="D72" s="121" t="s">
        <v>4275</v>
      </c>
      <c r="E72" s="324" t="str">
        <f t="shared" si="2"/>
        <v/>
      </c>
    </row>
    <row r="73" spans="1:5" s="121" customFormat="1" x14ac:dyDescent="0.3">
      <c r="A73" s="120" t="s">
        <v>3948</v>
      </c>
      <c r="B73" s="120">
        <v>69</v>
      </c>
      <c r="C73" s="121" t="s">
        <v>4151</v>
      </c>
      <c r="D73" s="121" t="s">
        <v>4274</v>
      </c>
      <c r="E73" s="324" t="str">
        <f t="shared" si="2"/>
        <v/>
      </c>
    </row>
    <row r="74" spans="1:5" s="121" customFormat="1" x14ac:dyDescent="0.3">
      <c r="A74" s="120" t="s">
        <v>3948</v>
      </c>
      <c r="B74" s="120">
        <v>70</v>
      </c>
      <c r="C74" s="121" t="s">
        <v>4136</v>
      </c>
      <c r="D74" s="121" t="s">
        <v>4292</v>
      </c>
      <c r="E74" s="324" t="str">
        <f t="shared" si="2"/>
        <v/>
      </c>
    </row>
    <row r="75" spans="1:5" s="121" customFormat="1" x14ac:dyDescent="0.3">
      <c r="A75" s="120" t="s">
        <v>3948</v>
      </c>
      <c r="B75" s="120">
        <v>71</v>
      </c>
      <c r="C75" s="121" t="s">
        <v>4152</v>
      </c>
      <c r="D75" s="121" t="s">
        <v>4152</v>
      </c>
      <c r="E75" s="324" t="str">
        <f t="shared" si="2"/>
        <v/>
      </c>
    </row>
    <row r="76" spans="1:5" s="121" customFormat="1" x14ac:dyDescent="0.3">
      <c r="A76" s="120" t="s">
        <v>3948</v>
      </c>
      <c r="B76" s="120">
        <v>72</v>
      </c>
      <c r="C76" s="121" t="s">
        <v>4153</v>
      </c>
      <c r="D76" s="121" t="s">
        <v>4198</v>
      </c>
      <c r="E76" s="324" t="str">
        <f t="shared" si="2"/>
        <v>125 % (2)</v>
      </c>
    </row>
    <row r="77" spans="1:5" s="121" customFormat="1" x14ac:dyDescent="0.3">
      <c r="A77" s="120" t="s">
        <v>3948</v>
      </c>
      <c r="B77" s="120">
        <v>73</v>
      </c>
      <c r="C77" s="121" t="s">
        <v>4154</v>
      </c>
      <c r="D77" s="121" t="s">
        <v>4199</v>
      </c>
      <c r="E77" s="324" t="str">
        <f t="shared" si="2"/>
        <v/>
      </c>
    </row>
    <row r="78" spans="1:5" s="121" customFormat="1" x14ac:dyDescent="0.3">
      <c r="A78" s="120" t="s">
        <v>3948</v>
      </c>
      <c r="B78" s="120">
        <v>74</v>
      </c>
      <c r="C78" s="121" t="s">
        <v>4155</v>
      </c>
      <c r="D78" s="121" t="s">
        <v>4200</v>
      </c>
      <c r="E78" s="324" t="str">
        <f t="shared" si="2"/>
        <v/>
      </c>
    </row>
    <row r="79" spans="1:5" s="121" customFormat="1" x14ac:dyDescent="0.3">
      <c r="A79" s="120" t="s">
        <v>3948</v>
      </c>
      <c r="B79" s="120">
        <v>75</v>
      </c>
      <c r="C79" s="121" t="s">
        <v>4156</v>
      </c>
      <c r="D79" s="121" t="s">
        <v>4201</v>
      </c>
      <c r="E79" s="324" t="str">
        <f t="shared" si="2"/>
        <v>111 % (1)</v>
      </c>
    </row>
    <row r="80" spans="1:5" s="121" customFormat="1" x14ac:dyDescent="0.3">
      <c r="A80" s="120" t="s">
        <v>3948</v>
      </c>
      <c r="B80" s="120">
        <v>76</v>
      </c>
      <c r="C80" s="121" t="s">
        <v>4157</v>
      </c>
      <c r="D80" s="121" t="s">
        <v>4202</v>
      </c>
      <c r="E80" s="324" t="str">
        <f t="shared" si="2"/>
        <v>110 % (1)</v>
      </c>
    </row>
    <row r="81" spans="1:5" s="121" customFormat="1" x14ac:dyDescent="0.3">
      <c r="A81" s="120" t="s">
        <v>3948</v>
      </c>
      <c r="B81" s="120">
        <v>77</v>
      </c>
      <c r="C81" s="121" t="s">
        <v>4158</v>
      </c>
      <c r="D81" s="121" t="s">
        <v>4203</v>
      </c>
      <c r="E81" s="324" t="str">
        <f t="shared" si="2"/>
        <v/>
      </c>
    </row>
    <row r="82" spans="1:5" s="121" customFormat="1" x14ac:dyDescent="0.3">
      <c r="A82" s="120" t="s">
        <v>3948</v>
      </c>
      <c r="B82" s="120">
        <v>78</v>
      </c>
      <c r="C82" s="121" t="s">
        <v>4159</v>
      </c>
      <c r="D82" s="121" t="s">
        <v>4204</v>
      </c>
      <c r="E82" s="324" t="str">
        <f t="shared" si="2"/>
        <v/>
      </c>
    </row>
    <row r="83" spans="1:5" s="121" customFormat="1" x14ac:dyDescent="0.3">
      <c r="A83" s="120" t="s">
        <v>3948</v>
      </c>
      <c r="B83" s="120">
        <v>79</v>
      </c>
      <c r="C83" s="121" t="s">
        <v>4184</v>
      </c>
      <c r="D83" s="121" t="s">
        <v>4205</v>
      </c>
      <c r="E83" s="324" t="str">
        <f t="shared" si="2"/>
        <v>109 % (1)</v>
      </c>
    </row>
    <row r="84" spans="1:5" s="121" customFormat="1" x14ac:dyDescent="0.3">
      <c r="A84" s="120" t="s">
        <v>3948</v>
      </c>
      <c r="B84" s="120">
        <v>80</v>
      </c>
      <c r="C84" s="121" t="s">
        <v>4185</v>
      </c>
      <c r="D84" s="121" t="s">
        <v>4206</v>
      </c>
      <c r="E84" s="324" t="str">
        <f t="shared" si="2"/>
        <v/>
      </c>
    </row>
    <row r="85" spans="1:5" s="121" customFormat="1" x14ac:dyDescent="0.3">
      <c r="A85" s="120" t="s">
        <v>3948</v>
      </c>
      <c r="B85" s="120">
        <v>81</v>
      </c>
      <c r="C85" s="121" t="s">
        <v>4186</v>
      </c>
      <c r="D85" s="121" t="s">
        <v>4209</v>
      </c>
      <c r="E85" s="324" t="str">
        <f t="shared" si="2"/>
        <v>117 % (4)</v>
      </c>
    </row>
    <row r="86" spans="1:5" s="121" customFormat="1" x14ac:dyDescent="0.3">
      <c r="A86" s="120" t="s">
        <v>3948</v>
      </c>
      <c r="B86" s="120">
        <v>82</v>
      </c>
      <c r="C86" s="121" t="s">
        <v>4187</v>
      </c>
      <c r="D86" s="121" t="s">
        <v>4208</v>
      </c>
      <c r="E86" s="324" t="str">
        <f t="shared" si="2"/>
        <v/>
      </c>
    </row>
    <row r="87" spans="1:5" s="121" customFormat="1" x14ac:dyDescent="0.3">
      <c r="A87" s="120" t="s">
        <v>3948</v>
      </c>
      <c r="B87" s="120">
        <v>83</v>
      </c>
      <c r="C87" s="121" t="s">
        <v>4188</v>
      </c>
      <c r="D87" s="121" t="s">
        <v>4207</v>
      </c>
      <c r="E87" s="324" t="str">
        <f t="shared" si="2"/>
        <v/>
      </c>
    </row>
    <row r="88" spans="1:5" s="121" customFormat="1" x14ac:dyDescent="0.3">
      <c r="A88" s="120" t="s">
        <v>3948</v>
      </c>
      <c r="B88" s="120">
        <v>84</v>
      </c>
      <c r="C88" s="121" t="s">
        <v>4189</v>
      </c>
      <c r="D88" s="121" t="s">
        <v>4210</v>
      </c>
      <c r="E88" s="324" t="str">
        <f t="shared" si="2"/>
        <v>107 % (1)</v>
      </c>
    </row>
    <row r="89" spans="1:5" s="121" customFormat="1" x14ac:dyDescent="0.3">
      <c r="A89" s="120" t="s">
        <v>3948</v>
      </c>
      <c r="B89" s="120">
        <v>85</v>
      </c>
      <c r="C89" s="121" t="s">
        <v>4190</v>
      </c>
      <c r="D89" s="121" t="s">
        <v>4211</v>
      </c>
      <c r="E89" s="324" t="str">
        <f t="shared" si="2"/>
        <v/>
      </c>
    </row>
    <row r="90" spans="1:5" s="121" customFormat="1" x14ac:dyDescent="0.3">
      <c r="A90" s="120" t="s">
        <v>3948</v>
      </c>
      <c r="B90" s="120">
        <v>86</v>
      </c>
      <c r="C90" s="121" t="s">
        <v>4191</v>
      </c>
      <c r="D90" s="121" t="s">
        <v>4212</v>
      </c>
      <c r="E90" s="324" t="str">
        <f t="shared" si="2"/>
        <v/>
      </c>
    </row>
    <row r="91" spans="1:5" s="121" customFormat="1" x14ac:dyDescent="0.3">
      <c r="A91" s="120" t="s">
        <v>3948</v>
      </c>
      <c r="B91" s="120">
        <v>87</v>
      </c>
      <c r="C91" s="121" t="s">
        <v>4192</v>
      </c>
      <c r="D91" s="121" t="s">
        <v>4213</v>
      </c>
      <c r="E91" s="324" t="str">
        <f t="shared" si="2"/>
        <v>127 % (3)</v>
      </c>
    </row>
    <row r="92" spans="1:5" s="121" customFormat="1" x14ac:dyDescent="0.3">
      <c r="A92" s="120" t="s">
        <v>3948</v>
      </c>
      <c r="B92" s="120">
        <v>88</v>
      </c>
      <c r="C92" s="121" t="s">
        <v>4193</v>
      </c>
      <c r="D92" s="121" t="s">
        <v>4214</v>
      </c>
      <c r="E92" s="324" t="str">
        <f t="shared" si="2"/>
        <v/>
      </c>
    </row>
    <row r="93" spans="1:5" s="121" customFormat="1" x14ac:dyDescent="0.3">
      <c r="A93" s="120" t="s">
        <v>3948</v>
      </c>
      <c r="B93" s="120">
        <v>89</v>
      </c>
      <c r="C93" s="121" t="s">
        <v>4194</v>
      </c>
      <c r="D93" s="121" t="s">
        <v>4215</v>
      </c>
      <c r="E93" s="324" t="str">
        <f t="shared" si="2"/>
        <v>110 % (3)</v>
      </c>
    </row>
    <row r="94" spans="1:5" s="121" customFormat="1" x14ac:dyDescent="0.3">
      <c r="A94" s="120" t="s">
        <v>3948</v>
      </c>
      <c r="B94" s="120">
        <v>90</v>
      </c>
      <c r="C94" s="121" t="s">
        <v>4195</v>
      </c>
      <c r="D94" s="121" t="s">
        <v>4216</v>
      </c>
      <c r="E94" s="324" t="str">
        <f t="shared" si="2"/>
        <v/>
      </c>
    </row>
    <row r="95" spans="1:5" s="121" customFormat="1" x14ac:dyDescent="0.3">
      <c r="A95" s="120" t="s">
        <v>3948</v>
      </c>
      <c r="B95" s="120">
        <v>91</v>
      </c>
      <c r="C95" s="121" t="s">
        <v>4196</v>
      </c>
      <c r="D95" s="121" t="s">
        <v>4217</v>
      </c>
      <c r="E95" s="324" t="str">
        <f t="shared" si="2"/>
        <v>143 % (3)</v>
      </c>
    </row>
    <row r="96" spans="1:5" s="121" customFormat="1" x14ac:dyDescent="0.3">
      <c r="A96" s="120" t="s">
        <v>3948</v>
      </c>
      <c r="B96" s="120">
        <v>92</v>
      </c>
      <c r="C96" s="121" t="s">
        <v>4197</v>
      </c>
      <c r="D96" s="121" t="s">
        <v>4218</v>
      </c>
      <c r="E96" s="324" t="str">
        <f t="shared" si="2"/>
        <v>113 % (2)</v>
      </c>
    </row>
    <row r="97" spans="1:5" s="121" customFormat="1" x14ac:dyDescent="0.3">
      <c r="A97" s="120" t="s">
        <v>3948</v>
      </c>
      <c r="B97" s="120">
        <v>94</v>
      </c>
      <c r="C97" s="121" t="s">
        <v>4373</v>
      </c>
      <c r="D97" s="323" t="s">
        <v>4416</v>
      </c>
      <c r="E97" s="324" t="str">
        <f t="shared" si="2"/>
        <v/>
      </c>
    </row>
    <row r="98" spans="1:5" s="121" customFormat="1" x14ac:dyDescent="0.3">
      <c r="A98" s="120" t="s">
        <v>3948</v>
      </c>
      <c r="B98" s="120">
        <v>95</v>
      </c>
      <c r="C98" s="121" t="s">
        <v>4374</v>
      </c>
      <c r="D98" s="323" t="s">
        <v>4417</v>
      </c>
      <c r="E98" s="324" t="str">
        <f t="shared" si="2"/>
        <v/>
      </c>
    </row>
    <row r="99" spans="1:5" s="121" customFormat="1" x14ac:dyDescent="0.3">
      <c r="A99" s="120" t="s">
        <v>3948</v>
      </c>
      <c r="B99" s="120">
        <v>96</v>
      </c>
      <c r="C99" s="121" t="s">
        <v>4375</v>
      </c>
      <c r="D99" s="323" t="s">
        <v>4418</v>
      </c>
      <c r="E99" s="324" t="str">
        <f t="shared" si="2"/>
        <v/>
      </c>
    </row>
    <row r="100" spans="1:5" s="121" customFormat="1" x14ac:dyDescent="0.3">
      <c r="A100" s="120" t="s">
        <v>3948</v>
      </c>
      <c r="B100" s="120">
        <v>97</v>
      </c>
      <c r="C100" s="121" t="s">
        <v>4376</v>
      </c>
      <c r="D100" s="323" t="s">
        <v>4419</v>
      </c>
      <c r="E100" s="324" t="str">
        <f t="shared" si="2"/>
        <v/>
      </c>
    </row>
    <row r="101" spans="1:5" s="121" customFormat="1" x14ac:dyDescent="0.3">
      <c r="A101" s="120" t="s">
        <v>3948</v>
      </c>
      <c r="B101" s="120">
        <v>98</v>
      </c>
      <c r="C101" s="121" t="s">
        <v>4377</v>
      </c>
      <c r="D101" s="323" t="s">
        <v>4420</v>
      </c>
      <c r="E101" s="324" t="str">
        <f t="shared" ref="E101:E132" si="3">IF(LEN($C101)-LEN(D101)&lt;0,TEXT(LEN(D101)/LEN($C101),"0 %")&amp;" ("&amp;LEN(D101)-LEN($C101)&amp;")","")</f>
        <v/>
      </c>
    </row>
    <row r="102" spans="1:5" s="121" customFormat="1" x14ac:dyDescent="0.3">
      <c r="A102" s="120" t="s">
        <v>3948</v>
      </c>
      <c r="B102" s="120">
        <v>99</v>
      </c>
      <c r="C102" s="121" t="s">
        <v>4378</v>
      </c>
      <c r="D102" s="323" t="s">
        <v>4421</v>
      </c>
      <c r="E102" s="324" t="str">
        <f t="shared" si="3"/>
        <v/>
      </c>
    </row>
    <row r="103" spans="1:5" s="121" customFormat="1" x14ac:dyDescent="0.3">
      <c r="A103" s="120" t="s">
        <v>3948</v>
      </c>
      <c r="B103" s="120">
        <v>100</v>
      </c>
      <c r="C103" s="121" t="s">
        <v>4379</v>
      </c>
      <c r="D103" s="323" t="s">
        <v>4422</v>
      </c>
      <c r="E103" s="324" t="str">
        <f t="shared" si="3"/>
        <v/>
      </c>
    </row>
    <row r="104" spans="1:5" s="121" customFormat="1" x14ac:dyDescent="0.3">
      <c r="A104" s="120" t="s">
        <v>3948</v>
      </c>
      <c r="B104" s="120">
        <v>101</v>
      </c>
      <c r="C104" s="121" t="s">
        <v>4380</v>
      </c>
      <c r="D104" s="323" t="s">
        <v>4380</v>
      </c>
      <c r="E104" s="324" t="str">
        <f t="shared" si="3"/>
        <v/>
      </c>
    </row>
    <row r="105" spans="1:5" s="121" customFormat="1" x14ac:dyDescent="0.3">
      <c r="A105" s="120" t="s">
        <v>3948</v>
      </c>
      <c r="B105" s="120">
        <v>102</v>
      </c>
      <c r="C105" s="121" t="s">
        <v>4381</v>
      </c>
      <c r="D105" s="323" t="s">
        <v>4381</v>
      </c>
      <c r="E105" s="324" t="str">
        <f t="shared" si="3"/>
        <v/>
      </c>
    </row>
    <row r="106" spans="1:5" s="121" customFormat="1" x14ac:dyDescent="0.3">
      <c r="A106" s="120" t="s">
        <v>3948</v>
      </c>
      <c r="B106" s="120">
        <v>103</v>
      </c>
      <c r="C106" s="121" t="s">
        <v>4382</v>
      </c>
      <c r="D106" s="323" t="s">
        <v>4382</v>
      </c>
      <c r="E106" s="324" t="str">
        <f t="shared" si="3"/>
        <v/>
      </c>
    </row>
    <row r="107" spans="1:5" s="121" customFormat="1" x14ac:dyDescent="0.3">
      <c r="A107" s="120" t="s">
        <v>3948</v>
      </c>
      <c r="B107" s="120">
        <v>104</v>
      </c>
      <c r="C107" s="121" t="s">
        <v>4383</v>
      </c>
      <c r="D107" s="323" t="s">
        <v>4383</v>
      </c>
      <c r="E107" s="324" t="str">
        <f t="shared" si="3"/>
        <v/>
      </c>
    </row>
    <row r="108" spans="1:5" s="121" customFormat="1" x14ac:dyDescent="0.3">
      <c r="A108" s="120" t="s">
        <v>3948</v>
      </c>
      <c r="B108" s="120">
        <v>105</v>
      </c>
      <c r="C108" s="121" t="s">
        <v>4384</v>
      </c>
      <c r="D108" s="323" t="s">
        <v>4384</v>
      </c>
      <c r="E108" s="324" t="str">
        <f t="shared" si="3"/>
        <v/>
      </c>
    </row>
    <row r="109" spans="1:5" s="121" customFormat="1" x14ac:dyDescent="0.3">
      <c r="A109" s="120" t="s">
        <v>3948</v>
      </c>
      <c r="B109" s="120">
        <v>106</v>
      </c>
      <c r="C109" s="121" t="s">
        <v>4385</v>
      </c>
      <c r="D109" s="323" t="s">
        <v>4385</v>
      </c>
      <c r="E109" s="324" t="str">
        <f t="shared" si="3"/>
        <v/>
      </c>
    </row>
    <row r="110" spans="1:5" s="121" customFormat="1" x14ac:dyDescent="0.3">
      <c r="A110" s="120" t="s">
        <v>3948</v>
      </c>
      <c r="B110" s="120">
        <v>107</v>
      </c>
      <c r="C110" s="121" t="s">
        <v>4386</v>
      </c>
      <c r="D110" s="323" t="s">
        <v>4386</v>
      </c>
      <c r="E110" s="324" t="str">
        <f t="shared" si="3"/>
        <v/>
      </c>
    </row>
    <row r="111" spans="1:5" s="121" customFormat="1" x14ac:dyDescent="0.3">
      <c r="A111" s="120" t="s">
        <v>3948</v>
      </c>
      <c r="B111" s="120">
        <v>108</v>
      </c>
      <c r="C111" s="121" t="s">
        <v>4387</v>
      </c>
      <c r="D111" s="323" t="s">
        <v>4387</v>
      </c>
      <c r="E111" s="324" t="str">
        <f t="shared" si="3"/>
        <v/>
      </c>
    </row>
    <row r="112" spans="1:5" s="121" customFormat="1" x14ac:dyDescent="0.3">
      <c r="A112" s="120" t="s">
        <v>3948</v>
      </c>
      <c r="B112" s="120">
        <v>109</v>
      </c>
      <c r="C112" s="121" t="s">
        <v>4388</v>
      </c>
      <c r="D112" s="323" t="s">
        <v>4388</v>
      </c>
      <c r="E112" s="324" t="str">
        <f t="shared" si="3"/>
        <v/>
      </c>
    </row>
    <row r="113" spans="1:5" s="121" customFormat="1" x14ac:dyDescent="0.3">
      <c r="A113" s="120" t="s">
        <v>3948</v>
      </c>
      <c r="B113" s="120">
        <v>110</v>
      </c>
      <c r="C113" s="121" t="s">
        <v>4389</v>
      </c>
      <c r="D113" s="323" t="s">
        <v>4389</v>
      </c>
      <c r="E113" s="324" t="str">
        <f t="shared" si="3"/>
        <v/>
      </c>
    </row>
    <row r="114" spans="1:5" s="121" customFormat="1" x14ac:dyDescent="0.3">
      <c r="A114" s="120" t="s">
        <v>3948</v>
      </c>
      <c r="B114" s="120">
        <v>111</v>
      </c>
      <c r="C114" s="121" t="s">
        <v>4390</v>
      </c>
      <c r="D114" s="323" t="s">
        <v>4390</v>
      </c>
      <c r="E114" s="324" t="str">
        <f t="shared" si="3"/>
        <v/>
      </c>
    </row>
    <row r="115" spans="1:5" s="121" customFormat="1" x14ac:dyDescent="0.3">
      <c r="A115" s="120" t="s">
        <v>3948</v>
      </c>
      <c r="B115" s="120">
        <v>112</v>
      </c>
      <c r="C115" s="121" t="s">
        <v>4391</v>
      </c>
      <c r="D115" s="323" t="s">
        <v>4391</v>
      </c>
      <c r="E115" s="324" t="str">
        <f t="shared" si="3"/>
        <v/>
      </c>
    </row>
    <row r="116" spans="1:5" s="121" customFormat="1" x14ac:dyDescent="0.3">
      <c r="A116" s="120" t="s">
        <v>3948</v>
      </c>
      <c r="B116" s="120">
        <v>113</v>
      </c>
      <c r="C116" s="121" t="s">
        <v>4392</v>
      </c>
      <c r="D116" s="323" t="s">
        <v>4392</v>
      </c>
      <c r="E116" s="324" t="str">
        <f t="shared" si="3"/>
        <v/>
      </c>
    </row>
    <row r="117" spans="1:5" s="121" customFormat="1" x14ac:dyDescent="0.3">
      <c r="A117" s="120" t="s">
        <v>3948</v>
      </c>
      <c r="B117" s="120">
        <v>114</v>
      </c>
      <c r="C117" s="121" t="s">
        <v>4393</v>
      </c>
      <c r="D117" s="323" t="s">
        <v>4393</v>
      </c>
      <c r="E117" s="324" t="str">
        <f t="shared" si="3"/>
        <v/>
      </c>
    </row>
    <row r="118" spans="1:5" s="121" customFormat="1" x14ac:dyDescent="0.3">
      <c r="A118" s="120" t="s">
        <v>3948</v>
      </c>
      <c r="B118" s="120">
        <v>115</v>
      </c>
      <c r="C118" s="121" t="s">
        <v>4394</v>
      </c>
      <c r="D118" s="323" t="s">
        <v>4394</v>
      </c>
      <c r="E118" s="324" t="str">
        <f t="shared" si="3"/>
        <v/>
      </c>
    </row>
    <row r="119" spans="1:5" s="121" customFormat="1" x14ac:dyDescent="0.3">
      <c r="A119" s="120" t="s">
        <v>3948</v>
      </c>
      <c r="B119" s="120">
        <v>116</v>
      </c>
      <c r="C119" s="121" t="s">
        <v>2659</v>
      </c>
      <c r="D119" s="323" t="s">
        <v>2659</v>
      </c>
      <c r="E119" s="324" t="str">
        <f t="shared" si="3"/>
        <v/>
      </c>
    </row>
    <row r="120" spans="1:5" s="121" customFormat="1" x14ac:dyDescent="0.3">
      <c r="A120" s="120" t="s">
        <v>3948</v>
      </c>
      <c r="B120" s="120">
        <v>117</v>
      </c>
      <c r="C120" s="121" t="s">
        <v>4395</v>
      </c>
      <c r="D120" s="323" t="s">
        <v>4395</v>
      </c>
      <c r="E120" s="324" t="str">
        <f t="shared" si="3"/>
        <v/>
      </c>
    </row>
    <row r="121" spans="1:5" s="121" customFormat="1" x14ac:dyDescent="0.3">
      <c r="A121" s="120" t="s">
        <v>3948</v>
      </c>
      <c r="B121" s="120">
        <v>118</v>
      </c>
      <c r="C121" s="121" t="s">
        <v>4396</v>
      </c>
      <c r="D121" s="323" t="s">
        <v>4396</v>
      </c>
      <c r="E121" s="324" t="str">
        <f t="shared" si="3"/>
        <v/>
      </c>
    </row>
    <row r="122" spans="1:5" s="121" customFormat="1" x14ac:dyDescent="0.3">
      <c r="A122" s="120" t="s">
        <v>3948</v>
      </c>
      <c r="B122" s="120">
        <v>119</v>
      </c>
      <c r="C122" s="121" t="s">
        <v>4397</v>
      </c>
      <c r="D122" s="323" t="s">
        <v>4397</v>
      </c>
      <c r="E122" s="324" t="str">
        <f t="shared" si="3"/>
        <v/>
      </c>
    </row>
    <row r="123" spans="1:5" s="121" customFormat="1" x14ac:dyDescent="0.3">
      <c r="A123" s="120" t="s">
        <v>3948</v>
      </c>
      <c r="B123" s="120">
        <v>120</v>
      </c>
      <c r="C123" s="121" t="s">
        <v>4398</v>
      </c>
      <c r="D123" s="323" t="s">
        <v>4398</v>
      </c>
      <c r="E123" s="324" t="str">
        <f t="shared" si="3"/>
        <v/>
      </c>
    </row>
    <row r="124" spans="1:5" s="121" customFormat="1" x14ac:dyDescent="0.3">
      <c r="A124" s="120" t="s">
        <v>3948</v>
      </c>
      <c r="B124" s="120">
        <v>121</v>
      </c>
      <c r="C124" s="121" t="s">
        <v>4399</v>
      </c>
      <c r="D124" s="323" t="s">
        <v>4399</v>
      </c>
      <c r="E124" s="324" t="str">
        <f t="shared" si="3"/>
        <v/>
      </c>
    </row>
    <row r="125" spans="1:5" s="121" customFormat="1" x14ac:dyDescent="0.3">
      <c r="A125" s="120" t="s">
        <v>3948</v>
      </c>
      <c r="B125" s="120">
        <v>122</v>
      </c>
      <c r="C125" s="121" t="s">
        <v>4400</v>
      </c>
      <c r="D125" s="323" t="s">
        <v>4400</v>
      </c>
      <c r="E125" s="324" t="str">
        <f t="shared" si="3"/>
        <v/>
      </c>
    </row>
    <row r="126" spans="1:5" s="121" customFormat="1" x14ac:dyDescent="0.3">
      <c r="A126" s="120" t="s">
        <v>3948</v>
      </c>
      <c r="B126" s="120">
        <v>123</v>
      </c>
      <c r="C126" s="121" t="s">
        <v>4401</v>
      </c>
      <c r="D126" s="323" t="s">
        <v>4401</v>
      </c>
      <c r="E126" s="324" t="str">
        <f t="shared" si="3"/>
        <v/>
      </c>
    </row>
    <row r="127" spans="1:5" s="121" customFormat="1" x14ac:dyDescent="0.3">
      <c r="A127" s="120" t="s">
        <v>3948</v>
      </c>
      <c r="B127" s="120">
        <v>124</v>
      </c>
      <c r="C127" s="121" t="s">
        <v>4402</v>
      </c>
      <c r="D127" s="323" t="s">
        <v>4402</v>
      </c>
      <c r="E127" s="324" t="str">
        <f t="shared" si="3"/>
        <v/>
      </c>
    </row>
    <row r="128" spans="1:5" s="121" customFormat="1" x14ac:dyDescent="0.3">
      <c r="A128" s="120" t="s">
        <v>3948</v>
      </c>
      <c r="B128" s="120">
        <v>125</v>
      </c>
      <c r="C128" s="121" t="s">
        <v>4403</v>
      </c>
      <c r="D128" s="323" t="s">
        <v>4403</v>
      </c>
      <c r="E128" s="324" t="str">
        <f t="shared" si="3"/>
        <v/>
      </c>
    </row>
    <row r="129" spans="1:5" s="121" customFormat="1" x14ac:dyDescent="0.3">
      <c r="A129" s="120" t="s">
        <v>3948</v>
      </c>
      <c r="B129" s="120">
        <v>126</v>
      </c>
      <c r="C129" s="121" t="s">
        <v>4404</v>
      </c>
      <c r="D129" s="323" t="s">
        <v>4404</v>
      </c>
      <c r="E129" s="324" t="str">
        <f t="shared" si="3"/>
        <v/>
      </c>
    </row>
    <row r="130" spans="1:5" s="121" customFormat="1" x14ac:dyDescent="0.3">
      <c r="A130" s="120" t="s">
        <v>3948</v>
      </c>
      <c r="B130" s="120">
        <v>127</v>
      </c>
      <c r="C130" s="121" t="s">
        <v>4405</v>
      </c>
      <c r="D130" s="323" t="s">
        <v>4405</v>
      </c>
      <c r="E130" s="324" t="str">
        <f t="shared" si="3"/>
        <v/>
      </c>
    </row>
    <row r="131" spans="1:5" s="121" customFormat="1" x14ac:dyDescent="0.3">
      <c r="A131" s="120" t="s">
        <v>3948</v>
      </c>
      <c r="B131" s="120">
        <v>128</v>
      </c>
      <c r="C131" s="121" t="s">
        <v>4406</v>
      </c>
      <c r="D131" s="323" t="s">
        <v>4406</v>
      </c>
      <c r="E131" s="324" t="str">
        <f t="shared" si="3"/>
        <v/>
      </c>
    </row>
    <row r="132" spans="1:5" s="121" customFormat="1" x14ac:dyDescent="0.3">
      <c r="A132" s="120" t="s">
        <v>3948</v>
      </c>
      <c r="B132" s="120">
        <v>129</v>
      </c>
      <c r="C132" s="121" t="s">
        <v>4407</v>
      </c>
      <c r="D132" s="323" t="s">
        <v>4407</v>
      </c>
      <c r="E132" s="324" t="str">
        <f t="shared" si="3"/>
        <v/>
      </c>
    </row>
    <row r="133" spans="1:5" s="121" customFormat="1" x14ac:dyDescent="0.3">
      <c r="A133" s="120" t="s">
        <v>3948</v>
      </c>
      <c r="B133" s="120">
        <v>131</v>
      </c>
      <c r="C133" s="121" t="s">
        <v>4408</v>
      </c>
      <c r="D133" s="323" t="s">
        <v>4408</v>
      </c>
      <c r="E133" s="324" t="str">
        <f t="shared" ref="E133:E164" si="4">IF(LEN($C133)-LEN(D133)&lt;0,TEXT(LEN(D133)/LEN($C133),"0 %")&amp;" ("&amp;LEN(D133)-LEN($C133)&amp;")","")</f>
        <v/>
      </c>
    </row>
    <row r="134" spans="1:5" s="121" customFormat="1" x14ac:dyDescent="0.3">
      <c r="A134" s="120" t="s">
        <v>3948</v>
      </c>
      <c r="B134" s="120">
        <v>132</v>
      </c>
      <c r="C134" s="121" t="s">
        <v>4409</v>
      </c>
      <c r="D134" s="323" t="s">
        <v>4409</v>
      </c>
      <c r="E134" s="324" t="str">
        <f t="shared" si="4"/>
        <v/>
      </c>
    </row>
    <row r="135" spans="1:5" s="121" customFormat="1" x14ac:dyDescent="0.3">
      <c r="A135" s="120" t="s">
        <v>3948</v>
      </c>
      <c r="B135" s="120">
        <v>133</v>
      </c>
      <c r="C135" s="121" t="s">
        <v>4410</v>
      </c>
      <c r="D135" s="323" t="s">
        <v>4410</v>
      </c>
      <c r="E135" s="324" t="str">
        <f t="shared" si="4"/>
        <v/>
      </c>
    </row>
    <row r="136" spans="1:5" s="121" customFormat="1" x14ac:dyDescent="0.3">
      <c r="A136" s="120" t="s">
        <v>3948</v>
      </c>
      <c r="B136" s="120">
        <v>134</v>
      </c>
      <c r="C136" s="121" t="s">
        <v>4411</v>
      </c>
      <c r="D136" s="323" t="s">
        <v>4411</v>
      </c>
      <c r="E136" s="324" t="str">
        <f t="shared" si="4"/>
        <v/>
      </c>
    </row>
    <row r="137" spans="1:5" s="121" customFormat="1" x14ac:dyDescent="0.3">
      <c r="A137" s="120" t="s">
        <v>3948</v>
      </c>
      <c r="B137" s="120">
        <v>135</v>
      </c>
      <c r="C137" s="121" t="s">
        <v>4412</v>
      </c>
      <c r="D137" s="323" t="s">
        <v>4412</v>
      </c>
      <c r="E137" s="324" t="str">
        <f t="shared" si="4"/>
        <v/>
      </c>
    </row>
    <row r="138" spans="1:5" s="121" customFormat="1" x14ac:dyDescent="0.3">
      <c r="A138" s="120" t="s">
        <v>3948</v>
      </c>
      <c r="B138" s="120">
        <v>136</v>
      </c>
      <c r="C138" s="121" t="s">
        <v>4413</v>
      </c>
      <c r="D138" s="323" t="s">
        <v>4413</v>
      </c>
      <c r="E138" s="324" t="str">
        <f t="shared" si="4"/>
        <v/>
      </c>
    </row>
    <row r="139" spans="1:5" s="121" customFormat="1" x14ac:dyDescent="0.3">
      <c r="A139" s="120" t="s">
        <v>3948</v>
      </c>
      <c r="B139" s="120">
        <v>137</v>
      </c>
      <c r="C139" s="121" t="s">
        <v>4414</v>
      </c>
      <c r="D139" s="323" t="s">
        <v>4414</v>
      </c>
      <c r="E139" s="324" t="str">
        <f t="shared" si="4"/>
        <v/>
      </c>
    </row>
    <row r="140" spans="1:5" s="121" customFormat="1" x14ac:dyDescent="0.3">
      <c r="A140" s="120" t="s">
        <v>3948</v>
      </c>
      <c r="B140" s="120">
        <v>138</v>
      </c>
      <c r="C140" s="200" t="s">
        <v>4424</v>
      </c>
      <c r="D140" s="200" t="s">
        <v>4425</v>
      </c>
      <c r="E140" s="324"/>
    </row>
    <row r="141" spans="1:5" s="121" customFormat="1" x14ac:dyDescent="0.3">
      <c r="A141" s="120" t="s">
        <v>4094</v>
      </c>
      <c r="B141" s="120">
        <v>1</v>
      </c>
      <c r="C141" s="121" t="s">
        <v>4487</v>
      </c>
      <c r="D141" s="121" t="s">
        <v>4487</v>
      </c>
      <c r="E141" s="324" t="str">
        <f t="shared" ref="E141:E172" si="5">IF(LEN($C141)-LEN(D141)&lt;0,TEXT(LEN(D141)/LEN($C141),"0 %")&amp;" ("&amp;LEN(D141)-LEN($C141)&amp;")","")</f>
        <v/>
      </c>
    </row>
    <row r="142" spans="1:5" s="121" customFormat="1" x14ac:dyDescent="0.3">
      <c r="A142" s="120" t="s">
        <v>4094</v>
      </c>
      <c r="B142" s="120">
        <v>2</v>
      </c>
      <c r="C142" s="121" t="s">
        <v>4219</v>
      </c>
      <c r="D142" s="121" t="s">
        <v>4232</v>
      </c>
      <c r="E142" s="324" t="str">
        <f t="shared" si="5"/>
        <v/>
      </c>
    </row>
    <row r="143" spans="1:5" s="121" customFormat="1" x14ac:dyDescent="0.3">
      <c r="A143" s="120" t="s">
        <v>4094</v>
      </c>
      <c r="B143" s="120">
        <v>3</v>
      </c>
      <c r="C143" s="121" t="s">
        <v>4220</v>
      </c>
      <c r="D143" s="121" t="s">
        <v>4235</v>
      </c>
      <c r="E143" s="324" t="str">
        <f t="shared" si="5"/>
        <v/>
      </c>
    </row>
    <row r="144" spans="1:5" s="121" customFormat="1" x14ac:dyDescent="0.3">
      <c r="A144" s="120" t="s">
        <v>4094</v>
      </c>
      <c r="B144" s="120">
        <v>4</v>
      </c>
      <c r="C144" s="121" t="s">
        <v>4221</v>
      </c>
      <c r="D144" s="121" t="s">
        <v>4234</v>
      </c>
      <c r="E144" s="324" t="str">
        <f t="shared" si="5"/>
        <v/>
      </c>
    </row>
    <row r="145" spans="1:5" s="121" customFormat="1" x14ac:dyDescent="0.3">
      <c r="A145" s="120" t="s">
        <v>4094</v>
      </c>
      <c r="B145" s="120">
        <v>5</v>
      </c>
      <c r="C145" s="121" t="s">
        <v>4222</v>
      </c>
      <c r="D145" s="121" t="s">
        <v>4233</v>
      </c>
      <c r="E145" s="324" t="str">
        <f t="shared" si="5"/>
        <v/>
      </c>
    </row>
    <row r="146" spans="1:5" s="121" customFormat="1" x14ac:dyDescent="0.3">
      <c r="A146" s="120" t="s">
        <v>4094</v>
      </c>
      <c r="B146" s="120">
        <v>6</v>
      </c>
      <c r="C146" s="121" t="s">
        <v>4223</v>
      </c>
      <c r="D146" s="121" t="s">
        <v>4236</v>
      </c>
      <c r="E146" s="324" t="str">
        <f t="shared" si="5"/>
        <v/>
      </c>
    </row>
    <row r="147" spans="1:5" s="121" customFormat="1" x14ac:dyDescent="0.3">
      <c r="A147" s="120" t="s">
        <v>4094</v>
      </c>
      <c r="B147" s="120">
        <v>10</v>
      </c>
      <c r="C147" s="121" t="s">
        <v>4224</v>
      </c>
      <c r="D147" s="121" t="s">
        <v>4237</v>
      </c>
      <c r="E147" s="324" t="str">
        <f t="shared" si="5"/>
        <v/>
      </c>
    </row>
    <row r="148" spans="1:5" s="121" customFormat="1" x14ac:dyDescent="0.3">
      <c r="A148" s="120" t="s">
        <v>4094</v>
      </c>
      <c r="B148" s="120">
        <v>11</v>
      </c>
      <c r="C148" s="121" t="s">
        <v>4225</v>
      </c>
      <c r="D148" s="121" t="s">
        <v>4238</v>
      </c>
      <c r="E148" s="324" t="str">
        <f t="shared" si="5"/>
        <v/>
      </c>
    </row>
    <row r="149" spans="1:5" s="121" customFormat="1" x14ac:dyDescent="0.3">
      <c r="A149" s="120" t="s">
        <v>4094</v>
      </c>
      <c r="B149" s="120">
        <v>12</v>
      </c>
      <c r="C149" s="121" t="s">
        <v>4226</v>
      </c>
      <c r="D149" s="121" t="s">
        <v>4240</v>
      </c>
      <c r="E149" s="324" t="str">
        <f t="shared" si="5"/>
        <v/>
      </c>
    </row>
    <row r="150" spans="1:5" s="121" customFormat="1" x14ac:dyDescent="0.3">
      <c r="A150" s="120" t="s">
        <v>4094</v>
      </c>
      <c r="B150" s="120">
        <v>13</v>
      </c>
      <c r="C150" s="121" t="s">
        <v>4227</v>
      </c>
      <c r="D150" s="121" t="s">
        <v>4239</v>
      </c>
      <c r="E150" s="324" t="str">
        <f t="shared" si="5"/>
        <v/>
      </c>
    </row>
    <row r="151" spans="1:5" s="121" customFormat="1" x14ac:dyDescent="0.3">
      <c r="A151" s="120" t="s">
        <v>4094</v>
      </c>
      <c r="B151" s="120">
        <v>14</v>
      </c>
      <c r="C151" s="121" t="s">
        <v>3090</v>
      </c>
      <c r="D151" s="121" t="s">
        <v>4306</v>
      </c>
      <c r="E151" s="324" t="str">
        <f t="shared" si="5"/>
        <v>240 % (14)</v>
      </c>
    </row>
    <row r="152" spans="1:5" s="121" customFormat="1" x14ac:dyDescent="0.3">
      <c r="A152" s="120" t="s">
        <v>4094</v>
      </c>
      <c r="B152" s="120">
        <v>15</v>
      </c>
      <c r="C152" s="121" t="s">
        <v>3094</v>
      </c>
      <c r="D152" s="121" t="s">
        <v>4307</v>
      </c>
      <c r="E152" s="324" t="str">
        <f t="shared" si="5"/>
        <v>120 % (3)</v>
      </c>
    </row>
    <row r="153" spans="1:5" s="121" customFormat="1" x14ac:dyDescent="0.3">
      <c r="A153" s="120" t="s">
        <v>4094</v>
      </c>
      <c r="B153" s="120">
        <v>16</v>
      </c>
      <c r="C153" s="121" t="s">
        <v>3097</v>
      </c>
      <c r="D153" s="121" t="s">
        <v>4305</v>
      </c>
      <c r="E153" s="324" t="str">
        <f t="shared" si="5"/>
        <v/>
      </c>
    </row>
    <row r="154" spans="1:5" s="121" customFormat="1" x14ac:dyDescent="0.3">
      <c r="A154" s="120" t="s">
        <v>4094</v>
      </c>
      <c r="B154" s="120">
        <v>17</v>
      </c>
      <c r="C154" s="121" t="s">
        <v>3809</v>
      </c>
      <c r="D154" s="121" t="s">
        <v>4308</v>
      </c>
      <c r="E154" s="324" t="str">
        <f t="shared" si="5"/>
        <v/>
      </c>
    </row>
    <row r="155" spans="1:5" s="121" customFormat="1" x14ac:dyDescent="0.3">
      <c r="A155" s="120" t="s">
        <v>4094</v>
      </c>
      <c r="B155" s="120">
        <v>18</v>
      </c>
      <c r="C155" s="121" t="s">
        <v>3102</v>
      </c>
      <c r="D155" s="121" t="s">
        <v>4304</v>
      </c>
      <c r="E155" s="324" t="str">
        <f t="shared" si="5"/>
        <v/>
      </c>
    </row>
    <row r="156" spans="1:5" s="121" customFormat="1" x14ac:dyDescent="0.3">
      <c r="A156" s="120" t="s">
        <v>4094</v>
      </c>
      <c r="B156" s="120">
        <v>19</v>
      </c>
      <c r="C156" s="121" t="s">
        <v>4309</v>
      </c>
      <c r="D156" s="121" t="s">
        <v>4313</v>
      </c>
      <c r="E156" s="324" t="str">
        <f t="shared" si="5"/>
        <v/>
      </c>
    </row>
    <row r="157" spans="1:5" s="121" customFormat="1" x14ac:dyDescent="0.3">
      <c r="A157" s="120" t="s">
        <v>4094</v>
      </c>
      <c r="B157" s="120">
        <v>20</v>
      </c>
      <c r="C157" s="121" t="s">
        <v>4310</v>
      </c>
      <c r="D157" s="121" t="s">
        <v>4314</v>
      </c>
      <c r="E157" s="324" t="str">
        <f t="shared" si="5"/>
        <v/>
      </c>
    </row>
    <row r="158" spans="1:5" s="121" customFormat="1" x14ac:dyDescent="0.3">
      <c r="A158" s="120" t="s">
        <v>4094</v>
      </c>
      <c r="B158" s="120">
        <v>21</v>
      </c>
      <c r="C158" s="121" t="s">
        <v>4319</v>
      </c>
      <c r="D158" s="121" t="s">
        <v>3139</v>
      </c>
      <c r="E158" s="324" t="str">
        <f t="shared" si="5"/>
        <v/>
      </c>
    </row>
    <row r="159" spans="1:5" s="121" customFormat="1" x14ac:dyDescent="0.3">
      <c r="A159" s="120" t="s">
        <v>4094</v>
      </c>
      <c r="B159" s="120">
        <v>22</v>
      </c>
      <c r="C159" s="121" t="s">
        <v>4320</v>
      </c>
      <c r="D159" s="121" t="s">
        <v>4318</v>
      </c>
      <c r="E159" s="324" t="str">
        <f t="shared" si="5"/>
        <v/>
      </c>
    </row>
    <row r="160" spans="1:5" s="121" customFormat="1" x14ac:dyDescent="0.3">
      <c r="A160" s="120" t="s">
        <v>4094</v>
      </c>
      <c r="B160" s="120">
        <v>23</v>
      </c>
      <c r="C160" s="121" t="s">
        <v>4311</v>
      </c>
      <c r="D160" s="121" t="s">
        <v>4315</v>
      </c>
      <c r="E160" s="324" t="str">
        <f t="shared" si="5"/>
        <v>160 % (3)</v>
      </c>
    </row>
    <row r="161" spans="1:5" s="121" customFormat="1" x14ac:dyDescent="0.3">
      <c r="A161" s="120" t="s">
        <v>4094</v>
      </c>
      <c r="B161" s="120">
        <v>24</v>
      </c>
      <c r="C161" s="121" t="s">
        <v>4312</v>
      </c>
      <c r="D161" s="121" t="s">
        <v>4316</v>
      </c>
      <c r="E161" s="324" t="str">
        <f t="shared" si="5"/>
        <v/>
      </c>
    </row>
    <row r="162" spans="1:5" s="121" customFormat="1" x14ac:dyDescent="0.3">
      <c r="A162" s="120" t="s">
        <v>4094</v>
      </c>
      <c r="B162" s="120">
        <v>25</v>
      </c>
      <c r="C162" s="121" t="s">
        <v>3103</v>
      </c>
      <c r="D162" s="121" t="s">
        <v>4317</v>
      </c>
      <c r="E162" s="324" t="str">
        <f t="shared" si="5"/>
        <v/>
      </c>
    </row>
    <row r="163" spans="1:5" s="121" customFormat="1" x14ac:dyDescent="0.3">
      <c r="A163" s="120" t="s">
        <v>4094</v>
      </c>
      <c r="B163" s="120">
        <v>40</v>
      </c>
      <c r="C163" s="121" t="s">
        <v>4415</v>
      </c>
      <c r="D163" s="121" t="s">
        <v>4229</v>
      </c>
      <c r="E163" s="324" t="str">
        <f t="shared" si="5"/>
        <v>136 % (15)</v>
      </c>
    </row>
    <row r="164" spans="1:5" s="121" customFormat="1" x14ac:dyDescent="0.3">
      <c r="A164" s="120" t="s">
        <v>4094</v>
      </c>
      <c r="B164" s="120">
        <v>41</v>
      </c>
      <c r="C164" s="121" t="s">
        <v>4095</v>
      </c>
      <c r="D164" s="121" t="s">
        <v>4230</v>
      </c>
      <c r="E164" s="324" t="str">
        <f t="shared" si="5"/>
        <v/>
      </c>
    </row>
    <row r="165" spans="1:5" s="121" customFormat="1" x14ac:dyDescent="0.3">
      <c r="A165" s="120" t="s">
        <v>4094</v>
      </c>
      <c r="B165" s="120">
        <v>42</v>
      </c>
      <c r="C165" s="121" t="s">
        <v>4228</v>
      </c>
      <c r="D165" s="121" t="s">
        <v>4231</v>
      </c>
      <c r="E165" s="324" t="str">
        <f t="shared" si="5"/>
        <v/>
      </c>
    </row>
    <row r="166" spans="1:5" ht="15.6" x14ac:dyDescent="0.3">
      <c r="A166" s="116" t="str">
        <f>"! --- "&amp;INDEX(MLtextDivisions,2)</f>
        <v>! --- User Interface - Tooltip text</v>
      </c>
      <c r="E166" s="324" t="str">
        <f t="shared" si="5"/>
        <v/>
      </c>
    </row>
    <row r="167" spans="1:5" s="121" customFormat="1" x14ac:dyDescent="0.3">
      <c r="A167" s="120" t="s">
        <v>3958</v>
      </c>
      <c r="B167" s="120">
        <v>1</v>
      </c>
      <c r="C167" s="321" t="s">
        <v>3959</v>
      </c>
      <c r="D167" s="321" t="s">
        <v>3985</v>
      </c>
      <c r="E167" s="324" t="str">
        <f t="shared" si="5"/>
        <v>108 % (2)</v>
      </c>
    </row>
    <row r="168" spans="1:5" s="121" customFormat="1" x14ac:dyDescent="0.3">
      <c r="A168" s="120" t="s">
        <v>3958</v>
      </c>
      <c r="B168" s="120">
        <v>2</v>
      </c>
      <c r="C168" s="321" t="s">
        <v>3960</v>
      </c>
      <c r="D168" s="321" t="s">
        <v>3986</v>
      </c>
      <c r="E168" s="324" t="str">
        <f t="shared" si="5"/>
        <v/>
      </c>
    </row>
    <row r="169" spans="1:5" s="121" customFormat="1" x14ac:dyDescent="0.3">
      <c r="A169" s="120" t="s">
        <v>3958</v>
      </c>
      <c r="B169" s="120">
        <v>3</v>
      </c>
      <c r="C169" s="321" t="s">
        <v>3961</v>
      </c>
      <c r="D169" s="321" t="s">
        <v>3987</v>
      </c>
      <c r="E169" s="324" t="str">
        <f t="shared" si="5"/>
        <v>131 % (5)</v>
      </c>
    </row>
    <row r="170" spans="1:5" s="121" customFormat="1" x14ac:dyDescent="0.3">
      <c r="A170" s="120" t="s">
        <v>3958</v>
      </c>
      <c r="B170" s="120">
        <v>4</v>
      </c>
      <c r="C170" s="321" t="s">
        <v>3962</v>
      </c>
      <c r="D170" s="321" t="s">
        <v>3988</v>
      </c>
      <c r="E170" s="324" t="str">
        <f t="shared" si="5"/>
        <v>125 % (10)</v>
      </c>
    </row>
    <row r="171" spans="1:5" s="121" customFormat="1" x14ac:dyDescent="0.3">
      <c r="A171" s="120" t="s">
        <v>3958</v>
      </c>
      <c r="B171" s="120">
        <v>5</v>
      </c>
      <c r="C171" s="321" t="s">
        <v>3963</v>
      </c>
      <c r="D171" s="321" t="s">
        <v>3989</v>
      </c>
      <c r="E171" s="324" t="str">
        <f t="shared" si="5"/>
        <v>122 % (7)</v>
      </c>
    </row>
    <row r="172" spans="1:5" s="121" customFormat="1" x14ac:dyDescent="0.3">
      <c r="A172" s="120" t="s">
        <v>3958</v>
      </c>
      <c r="B172" s="120">
        <v>6</v>
      </c>
      <c r="C172" s="321" t="s">
        <v>3964</v>
      </c>
      <c r="D172" s="321" t="s">
        <v>3990</v>
      </c>
      <c r="E172" s="324" t="str">
        <f t="shared" si="5"/>
        <v/>
      </c>
    </row>
    <row r="173" spans="1:5" s="121" customFormat="1" x14ac:dyDescent="0.3">
      <c r="A173" s="120" t="s">
        <v>3958</v>
      </c>
      <c r="B173" s="120">
        <v>7</v>
      </c>
      <c r="C173" s="321" t="s">
        <v>3965</v>
      </c>
      <c r="D173" s="321" t="s">
        <v>3991</v>
      </c>
      <c r="E173" s="324" t="str">
        <f t="shared" ref="E173:E204" si="6">IF(LEN($C173)-LEN(D173)&lt;0,TEXT(LEN(D173)/LEN($C173),"0 %")&amp;" ("&amp;LEN(D173)-LEN($C173)&amp;")","")</f>
        <v/>
      </c>
    </row>
    <row r="174" spans="1:5" s="121" customFormat="1" x14ac:dyDescent="0.3">
      <c r="A174" s="120" t="s">
        <v>3958</v>
      </c>
      <c r="B174" s="120">
        <v>8</v>
      </c>
      <c r="C174" s="321" t="s">
        <v>3966</v>
      </c>
      <c r="D174" s="321" t="s">
        <v>3992</v>
      </c>
      <c r="E174" s="324" t="str">
        <f t="shared" si="6"/>
        <v/>
      </c>
    </row>
    <row r="175" spans="1:5" s="121" customFormat="1" x14ac:dyDescent="0.3">
      <c r="A175" s="120" t="s">
        <v>3958</v>
      </c>
      <c r="B175" s="120">
        <v>9</v>
      </c>
      <c r="C175" s="321" t="s">
        <v>3967</v>
      </c>
      <c r="D175" s="321" t="s">
        <v>3993</v>
      </c>
      <c r="E175" s="324" t="str">
        <f t="shared" si="6"/>
        <v/>
      </c>
    </row>
    <row r="176" spans="1:5" s="121" customFormat="1" x14ac:dyDescent="0.3">
      <c r="A176" s="120" t="s">
        <v>3958</v>
      </c>
      <c r="B176" s="120">
        <v>10</v>
      </c>
      <c r="C176" s="321" t="s">
        <v>221</v>
      </c>
      <c r="D176" s="321" t="s">
        <v>221</v>
      </c>
      <c r="E176" s="324" t="str">
        <f t="shared" si="6"/>
        <v/>
      </c>
    </row>
    <row r="177" spans="1:5" s="121" customFormat="1" x14ac:dyDescent="0.3">
      <c r="A177" s="120" t="s">
        <v>3958</v>
      </c>
      <c r="B177" s="120">
        <v>11</v>
      </c>
      <c r="C177" s="321" t="s">
        <v>4077</v>
      </c>
      <c r="D177" s="321" t="s">
        <v>4074</v>
      </c>
      <c r="E177" s="324" t="str">
        <f t="shared" si="6"/>
        <v/>
      </c>
    </row>
    <row r="178" spans="1:5" s="121" customFormat="1" x14ac:dyDescent="0.3">
      <c r="A178" s="120" t="s">
        <v>3958</v>
      </c>
      <c r="B178" s="120">
        <v>14</v>
      </c>
      <c r="C178" s="121" t="s">
        <v>4075</v>
      </c>
      <c r="D178" s="121" t="s">
        <v>4073</v>
      </c>
      <c r="E178" s="324" t="str">
        <f t="shared" si="6"/>
        <v>143 % (9)</v>
      </c>
    </row>
    <row r="179" spans="1:5" s="121" customFormat="1" x14ac:dyDescent="0.3">
      <c r="A179" s="120" t="s">
        <v>3958</v>
      </c>
      <c r="B179" s="120">
        <v>15</v>
      </c>
      <c r="C179" s="121" t="s">
        <v>3706</v>
      </c>
      <c r="D179" s="121" t="s">
        <v>3994</v>
      </c>
      <c r="E179" s="324" t="str">
        <f t="shared" si="6"/>
        <v/>
      </c>
    </row>
    <row r="180" spans="1:5" s="121" customFormat="1" x14ac:dyDescent="0.3">
      <c r="A180" s="120" t="s">
        <v>3958</v>
      </c>
      <c r="B180" s="120">
        <v>16</v>
      </c>
      <c r="C180" s="121" t="s">
        <v>4076</v>
      </c>
      <c r="D180" s="121" t="s">
        <v>3995</v>
      </c>
      <c r="E180" s="324" t="str">
        <f t="shared" si="6"/>
        <v>104 % (1)</v>
      </c>
    </row>
    <row r="181" spans="1:5" s="121" customFormat="1" x14ac:dyDescent="0.3">
      <c r="A181" s="120" t="s">
        <v>3958</v>
      </c>
      <c r="B181" s="120">
        <v>17</v>
      </c>
      <c r="C181" s="121" t="s">
        <v>3971</v>
      </c>
      <c r="D181" s="121" t="s">
        <v>4003</v>
      </c>
      <c r="E181" s="324" t="str">
        <f t="shared" si="6"/>
        <v/>
      </c>
    </row>
    <row r="182" spans="1:5" s="121" customFormat="1" x14ac:dyDescent="0.3">
      <c r="A182" s="120" t="s">
        <v>3958</v>
      </c>
      <c r="B182" s="120">
        <v>21</v>
      </c>
      <c r="C182" s="121" t="s">
        <v>278</v>
      </c>
      <c r="D182" s="121" t="s">
        <v>3996</v>
      </c>
      <c r="E182" s="324" t="str">
        <f t="shared" si="6"/>
        <v>123 % (5)</v>
      </c>
    </row>
    <row r="183" spans="1:5" s="121" customFormat="1" x14ac:dyDescent="0.3">
      <c r="A183" s="120" t="s">
        <v>3958</v>
      </c>
      <c r="B183" s="120">
        <v>22</v>
      </c>
      <c r="C183" s="121" t="s">
        <v>281</v>
      </c>
      <c r="D183" s="121" t="s">
        <v>3997</v>
      </c>
      <c r="E183" s="324" t="str">
        <f t="shared" si="6"/>
        <v>127 % (6)</v>
      </c>
    </row>
    <row r="184" spans="1:5" s="121" customFormat="1" x14ac:dyDescent="0.3">
      <c r="A184" s="120" t="s">
        <v>3958</v>
      </c>
      <c r="B184" s="120">
        <v>23</v>
      </c>
      <c r="C184" s="121" t="s">
        <v>283</v>
      </c>
      <c r="D184" s="121" t="s">
        <v>3998</v>
      </c>
      <c r="E184" s="324" t="str">
        <f t="shared" si="6"/>
        <v>122 % (5)</v>
      </c>
    </row>
    <row r="185" spans="1:5" s="121" customFormat="1" x14ac:dyDescent="0.3">
      <c r="A185" s="120" t="s">
        <v>3958</v>
      </c>
      <c r="B185" s="120">
        <v>24</v>
      </c>
      <c r="C185" s="121" t="s">
        <v>286</v>
      </c>
      <c r="D185" s="121" t="s">
        <v>3999</v>
      </c>
      <c r="E185" s="324" t="str">
        <f t="shared" si="6"/>
        <v>104 % (1)</v>
      </c>
    </row>
    <row r="186" spans="1:5" s="121" customFormat="1" x14ac:dyDescent="0.3">
      <c r="A186" s="120" t="s">
        <v>3958</v>
      </c>
      <c r="B186" s="120">
        <v>25</v>
      </c>
      <c r="C186" s="121" t="s">
        <v>288</v>
      </c>
      <c r="D186" s="121" t="s">
        <v>4005</v>
      </c>
      <c r="E186" s="324" t="str">
        <f t="shared" si="6"/>
        <v/>
      </c>
    </row>
    <row r="187" spans="1:5" s="121" customFormat="1" x14ac:dyDescent="0.3">
      <c r="A187" s="120" t="s">
        <v>3958</v>
      </c>
      <c r="B187" s="120">
        <v>26</v>
      </c>
      <c r="C187" s="121" t="s">
        <v>3968</v>
      </c>
      <c r="D187" s="121" t="s">
        <v>4000</v>
      </c>
      <c r="E187" s="324" t="str">
        <f t="shared" si="6"/>
        <v>136 % (8)</v>
      </c>
    </row>
    <row r="188" spans="1:5" s="121" customFormat="1" x14ac:dyDescent="0.3">
      <c r="A188" s="120" t="s">
        <v>3958</v>
      </c>
      <c r="B188" s="120">
        <v>27</v>
      </c>
      <c r="C188" s="121" t="s">
        <v>4096</v>
      </c>
      <c r="D188" s="121" t="s">
        <v>4001</v>
      </c>
      <c r="E188" s="324" t="str">
        <f t="shared" si="6"/>
        <v/>
      </c>
    </row>
    <row r="189" spans="1:5" s="121" customFormat="1" x14ac:dyDescent="0.3">
      <c r="A189" s="120" t="s">
        <v>3958</v>
      </c>
      <c r="B189" s="120">
        <v>28</v>
      </c>
      <c r="C189" s="121" t="s">
        <v>3972</v>
      </c>
      <c r="D189" s="121" t="s">
        <v>4002</v>
      </c>
      <c r="E189" s="324" t="str">
        <f t="shared" si="6"/>
        <v/>
      </c>
    </row>
    <row r="190" spans="1:5" s="121" customFormat="1" x14ac:dyDescent="0.3">
      <c r="A190" s="120" t="s">
        <v>3958</v>
      </c>
      <c r="B190" s="120">
        <v>29</v>
      </c>
      <c r="C190" s="121" t="s">
        <v>4097</v>
      </c>
      <c r="D190" s="323" t="s">
        <v>4097</v>
      </c>
      <c r="E190" s="324" t="str">
        <f t="shared" si="6"/>
        <v/>
      </c>
    </row>
    <row r="191" spans="1:5" s="121" customFormat="1" x14ac:dyDescent="0.3">
      <c r="A191" s="120" t="s">
        <v>3958</v>
      </c>
      <c r="B191" s="120">
        <v>30</v>
      </c>
      <c r="C191" s="121" t="s">
        <v>4098</v>
      </c>
      <c r="D191" s="323" t="s">
        <v>4098</v>
      </c>
      <c r="E191" s="324" t="str">
        <f t="shared" si="6"/>
        <v/>
      </c>
    </row>
    <row r="192" spans="1:5" s="121" customFormat="1" x14ac:dyDescent="0.3">
      <c r="A192" s="120" t="s">
        <v>3958</v>
      </c>
      <c r="B192" s="120">
        <v>31</v>
      </c>
      <c r="C192" s="121" t="s">
        <v>4099</v>
      </c>
      <c r="D192" s="323" t="s">
        <v>4099</v>
      </c>
      <c r="E192" s="324" t="str">
        <f t="shared" si="6"/>
        <v/>
      </c>
    </row>
    <row r="193" spans="1:5" s="121" customFormat="1" x14ac:dyDescent="0.3">
      <c r="A193" s="120" t="s">
        <v>3958</v>
      </c>
      <c r="B193" s="120">
        <v>32</v>
      </c>
      <c r="C193" s="121" t="s">
        <v>4100</v>
      </c>
      <c r="D193" s="323" t="s">
        <v>4100</v>
      </c>
      <c r="E193" s="324" t="str">
        <f t="shared" si="6"/>
        <v/>
      </c>
    </row>
    <row r="194" spans="1:5" s="121" customFormat="1" x14ac:dyDescent="0.3">
      <c r="A194" s="120" t="s">
        <v>3958</v>
      </c>
      <c r="B194" s="120">
        <v>33</v>
      </c>
      <c r="C194" s="121" t="s">
        <v>4101</v>
      </c>
      <c r="D194" s="323" t="s">
        <v>4101</v>
      </c>
      <c r="E194" s="324" t="str">
        <f t="shared" si="6"/>
        <v/>
      </c>
    </row>
    <row r="195" spans="1:5" s="121" customFormat="1" x14ac:dyDescent="0.3">
      <c r="A195" s="120" t="s">
        <v>3958</v>
      </c>
      <c r="B195" s="120">
        <v>34</v>
      </c>
      <c r="C195" s="121" t="s">
        <v>4102</v>
      </c>
      <c r="D195" s="323" t="s">
        <v>4102</v>
      </c>
      <c r="E195" s="324" t="str">
        <f t="shared" si="6"/>
        <v/>
      </c>
    </row>
    <row r="196" spans="1:5" s="121" customFormat="1" x14ac:dyDescent="0.3">
      <c r="A196" s="120" t="s">
        <v>3958</v>
      </c>
      <c r="B196" s="120">
        <v>35</v>
      </c>
      <c r="C196" s="121" t="s">
        <v>4103</v>
      </c>
      <c r="D196" s="323" t="s">
        <v>4103</v>
      </c>
      <c r="E196" s="324" t="str">
        <f t="shared" si="6"/>
        <v/>
      </c>
    </row>
    <row r="197" spans="1:5" s="121" customFormat="1" x14ac:dyDescent="0.3">
      <c r="A197" s="120" t="s">
        <v>3958</v>
      </c>
      <c r="B197" s="120">
        <v>36</v>
      </c>
      <c r="C197" s="121" t="s">
        <v>4104</v>
      </c>
      <c r="D197" s="323" t="s">
        <v>4104</v>
      </c>
      <c r="E197" s="324" t="str">
        <f t="shared" si="6"/>
        <v/>
      </c>
    </row>
    <row r="198" spans="1:5" s="121" customFormat="1" x14ac:dyDescent="0.3">
      <c r="A198" s="120" t="s">
        <v>3958</v>
      </c>
      <c r="B198" s="120">
        <v>37</v>
      </c>
      <c r="C198" s="121" t="s">
        <v>4105</v>
      </c>
      <c r="D198" s="323" t="s">
        <v>4105</v>
      </c>
      <c r="E198" s="324" t="str">
        <f t="shared" si="6"/>
        <v/>
      </c>
    </row>
    <row r="199" spans="1:5" s="121" customFormat="1" x14ac:dyDescent="0.3">
      <c r="A199" s="120" t="s">
        <v>3958</v>
      </c>
      <c r="B199" s="120">
        <v>38</v>
      </c>
      <c r="C199" s="121" t="s">
        <v>4160</v>
      </c>
      <c r="D199" s="323" t="s">
        <v>4160</v>
      </c>
      <c r="E199" s="324" t="str">
        <f t="shared" si="6"/>
        <v/>
      </c>
    </row>
    <row r="200" spans="1:5" s="121" customFormat="1" x14ac:dyDescent="0.3">
      <c r="A200" s="120" t="s">
        <v>3958</v>
      </c>
      <c r="B200" s="120">
        <v>39</v>
      </c>
      <c r="C200" s="121" t="s">
        <v>4172</v>
      </c>
      <c r="D200" s="323" t="s">
        <v>4172</v>
      </c>
      <c r="E200" s="324" t="str">
        <f t="shared" si="6"/>
        <v/>
      </c>
    </row>
    <row r="201" spans="1:5" s="121" customFormat="1" x14ac:dyDescent="0.3">
      <c r="A201" s="120" t="s">
        <v>3958</v>
      </c>
      <c r="B201" s="120">
        <v>40</v>
      </c>
      <c r="C201" s="121" t="s">
        <v>4173</v>
      </c>
      <c r="D201" s="323" t="s">
        <v>4173</v>
      </c>
      <c r="E201" s="324" t="str">
        <f t="shared" si="6"/>
        <v/>
      </c>
    </row>
    <row r="202" spans="1:5" s="121" customFormat="1" x14ac:dyDescent="0.3">
      <c r="A202" s="120" t="s">
        <v>3958</v>
      </c>
      <c r="B202" s="120">
        <v>41</v>
      </c>
      <c r="C202" s="121" t="s">
        <v>4174</v>
      </c>
      <c r="D202" s="323" t="s">
        <v>4174</v>
      </c>
      <c r="E202" s="324" t="str">
        <f t="shared" si="6"/>
        <v/>
      </c>
    </row>
    <row r="203" spans="1:5" s="121" customFormat="1" x14ac:dyDescent="0.3">
      <c r="A203" s="120" t="s">
        <v>3958</v>
      </c>
      <c r="B203" s="120">
        <v>42</v>
      </c>
      <c r="C203" s="121" t="s">
        <v>4175</v>
      </c>
      <c r="D203" s="323" t="s">
        <v>4175</v>
      </c>
      <c r="E203" s="324" t="str">
        <f t="shared" si="6"/>
        <v/>
      </c>
    </row>
    <row r="204" spans="1:5" s="121" customFormat="1" x14ac:dyDescent="0.3">
      <c r="A204" s="120" t="s">
        <v>3958</v>
      </c>
      <c r="B204" s="120">
        <v>43</v>
      </c>
      <c r="C204" s="121" t="s">
        <v>4176</v>
      </c>
      <c r="D204" s="323" t="s">
        <v>4176</v>
      </c>
      <c r="E204" s="324" t="str">
        <f t="shared" si="6"/>
        <v/>
      </c>
    </row>
    <row r="205" spans="1:5" s="121" customFormat="1" x14ac:dyDescent="0.3">
      <c r="A205" s="120" t="s">
        <v>3958</v>
      </c>
      <c r="B205" s="120">
        <v>44</v>
      </c>
      <c r="C205" s="121" t="s">
        <v>4161</v>
      </c>
      <c r="D205" s="323" t="s">
        <v>4161</v>
      </c>
      <c r="E205" s="324" t="str">
        <f t="shared" ref="E205:E236" si="7">IF(LEN($C205)-LEN(D205)&lt;0,TEXT(LEN(D205)/LEN($C205),"0 %")&amp;" ("&amp;LEN(D205)-LEN($C205)&amp;")","")</f>
        <v/>
      </c>
    </row>
    <row r="206" spans="1:5" s="121" customFormat="1" x14ac:dyDescent="0.3">
      <c r="A206" s="120" t="s">
        <v>3958</v>
      </c>
      <c r="B206" s="120">
        <v>45</v>
      </c>
      <c r="C206" s="121" t="s">
        <v>4177</v>
      </c>
      <c r="D206" s="323" t="s">
        <v>4177</v>
      </c>
      <c r="E206" s="324" t="str">
        <f t="shared" si="7"/>
        <v/>
      </c>
    </row>
    <row r="207" spans="1:5" s="121" customFormat="1" x14ac:dyDescent="0.3">
      <c r="A207" s="120" t="s">
        <v>3958</v>
      </c>
      <c r="B207" s="120">
        <v>46</v>
      </c>
      <c r="C207" s="121" t="s">
        <v>4178</v>
      </c>
      <c r="D207" s="323" t="s">
        <v>4178</v>
      </c>
      <c r="E207" s="324" t="str">
        <f t="shared" si="7"/>
        <v/>
      </c>
    </row>
    <row r="208" spans="1:5" s="121" customFormat="1" x14ac:dyDescent="0.3">
      <c r="A208" s="120" t="s">
        <v>3958</v>
      </c>
      <c r="B208" s="120">
        <v>47</v>
      </c>
      <c r="C208" s="121" t="s">
        <v>4179</v>
      </c>
      <c r="D208" s="323" t="s">
        <v>4179</v>
      </c>
      <c r="E208" s="324" t="str">
        <f t="shared" si="7"/>
        <v/>
      </c>
    </row>
    <row r="209" spans="1:5" s="121" customFormat="1" x14ac:dyDescent="0.3">
      <c r="A209" s="120" t="s">
        <v>3958</v>
      </c>
      <c r="B209" s="120">
        <v>48</v>
      </c>
      <c r="C209" s="121" t="s">
        <v>4180</v>
      </c>
      <c r="D209" s="323" t="s">
        <v>4180</v>
      </c>
      <c r="E209" s="324" t="str">
        <f t="shared" si="7"/>
        <v/>
      </c>
    </row>
    <row r="210" spans="1:5" s="121" customFormat="1" x14ac:dyDescent="0.3">
      <c r="A210" s="120" t="s">
        <v>3958</v>
      </c>
      <c r="B210" s="120">
        <v>49</v>
      </c>
      <c r="C210" s="121" t="s">
        <v>4162</v>
      </c>
      <c r="D210" s="323" t="s">
        <v>4162</v>
      </c>
      <c r="E210" s="324" t="str">
        <f t="shared" si="7"/>
        <v/>
      </c>
    </row>
    <row r="211" spans="1:5" s="121" customFormat="1" x14ac:dyDescent="0.3">
      <c r="A211" s="120" t="s">
        <v>3958</v>
      </c>
      <c r="B211" s="120">
        <v>50</v>
      </c>
      <c r="C211" s="121" t="s">
        <v>4181</v>
      </c>
      <c r="D211" s="323" t="s">
        <v>4181</v>
      </c>
      <c r="E211" s="324" t="str">
        <f t="shared" si="7"/>
        <v/>
      </c>
    </row>
    <row r="212" spans="1:5" s="121" customFormat="1" x14ac:dyDescent="0.3">
      <c r="A212" s="120" t="s">
        <v>3958</v>
      </c>
      <c r="B212" s="120">
        <v>51</v>
      </c>
      <c r="C212" s="121" t="s">
        <v>4182</v>
      </c>
      <c r="D212" s="323" t="s">
        <v>4182</v>
      </c>
      <c r="E212" s="324" t="str">
        <f t="shared" si="7"/>
        <v/>
      </c>
    </row>
    <row r="213" spans="1:5" s="121" customFormat="1" x14ac:dyDescent="0.3">
      <c r="A213" s="120" t="s">
        <v>3958</v>
      </c>
      <c r="B213" s="120">
        <v>52</v>
      </c>
      <c r="C213" s="121" t="s">
        <v>4183</v>
      </c>
      <c r="D213" s="323" t="s">
        <v>4183</v>
      </c>
      <c r="E213" s="324" t="str">
        <f t="shared" si="7"/>
        <v/>
      </c>
    </row>
    <row r="214" spans="1:5" s="121" customFormat="1" x14ac:dyDescent="0.3">
      <c r="A214" s="120" t="s">
        <v>3958</v>
      </c>
      <c r="B214" s="120">
        <v>53</v>
      </c>
      <c r="C214" s="121" t="s">
        <v>343</v>
      </c>
      <c r="D214" s="323" t="s">
        <v>343</v>
      </c>
      <c r="E214" s="324" t="str">
        <f t="shared" si="7"/>
        <v/>
      </c>
    </row>
    <row r="215" spans="1:5" s="121" customFormat="1" x14ac:dyDescent="0.3">
      <c r="A215" s="120" t="s">
        <v>3958</v>
      </c>
      <c r="B215" s="120">
        <v>54</v>
      </c>
      <c r="C215" s="121" t="s">
        <v>345</v>
      </c>
      <c r="D215" s="323" t="s">
        <v>345</v>
      </c>
      <c r="E215" s="324" t="str">
        <f t="shared" si="7"/>
        <v/>
      </c>
    </row>
    <row r="216" spans="1:5" s="121" customFormat="1" x14ac:dyDescent="0.3">
      <c r="A216" s="120" t="s">
        <v>3958</v>
      </c>
      <c r="B216" s="120">
        <v>55</v>
      </c>
      <c r="C216" s="121" t="s">
        <v>347</v>
      </c>
      <c r="D216" s="323" t="s">
        <v>347</v>
      </c>
      <c r="E216" s="324" t="str">
        <f t="shared" si="7"/>
        <v/>
      </c>
    </row>
    <row r="217" spans="1:5" s="121" customFormat="1" x14ac:dyDescent="0.3">
      <c r="A217" s="120" t="s">
        <v>3958</v>
      </c>
      <c r="B217" s="120">
        <v>56</v>
      </c>
      <c r="C217" s="121" t="s">
        <v>4163</v>
      </c>
      <c r="D217" s="323" t="s">
        <v>4163</v>
      </c>
      <c r="E217" s="324" t="str">
        <f t="shared" si="7"/>
        <v/>
      </c>
    </row>
    <row r="218" spans="1:5" s="121" customFormat="1" x14ac:dyDescent="0.3">
      <c r="A218" s="120" t="s">
        <v>3958</v>
      </c>
      <c r="B218" s="120">
        <v>57</v>
      </c>
      <c r="C218" s="121" t="s">
        <v>4164</v>
      </c>
      <c r="D218" s="323" t="s">
        <v>4164</v>
      </c>
      <c r="E218" s="324" t="str">
        <f t="shared" si="7"/>
        <v/>
      </c>
    </row>
    <row r="219" spans="1:5" s="121" customFormat="1" x14ac:dyDescent="0.3">
      <c r="A219" s="120" t="s">
        <v>3958</v>
      </c>
      <c r="B219" s="120">
        <v>58</v>
      </c>
      <c r="C219" s="121" t="s">
        <v>4165</v>
      </c>
      <c r="D219" s="323" t="s">
        <v>4165</v>
      </c>
      <c r="E219" s="324" t="str">
        <f t="shared" si="7"/>
        <v/>
      </c>
    </row>
    <row r="220" spans="1:5" s="121" customFormat="1" x14ac:dyDescent="0.3">
      <c r="A220" s="120" t="s">
        <v>3958</v>
      </c>
      <c r="B220" s="120">
        <v>59</v>
      </c>
      <c r="C220" s="121" t="s">
        <v>4166</v>
      </c>
      <c r="D220" s="323" t="s">
        <v>4166</v>
      </c>
      <c r="E220" s="324" t="str">
        <f t="shared" si="7"/>
        <v/>
      </c>
    </row>
    <row r="221" spans="1:5" s="121" customFormat="1" x14ac:dyDescent="0.3">
      <c r="A221" s="120" t="s">
        <v>3958</v>
      </c>
      <c r="B221" s="120">
        <v>60</v>
      </c>
      <c r="C221" s="121" t="s">
        <v>4167</v>
      </c>
      <c r="D221" s="323" t="s">
        <v>4167</v>
      </c>
      <c r="E221" s="324" t="str">
        <f t="shared" si="7"/>
        <v/>
      </c>
    </row>
    <row r="222" spans="1:5" s="121" customFormat="1" x14ac:dyDescent="0.3">
      <c r="A222" s="120" t="s">
        <v>3958</v>
      </c>
      <c r="B222" s="120">
        <v>61</v>
      </c>
      <c r="C222" s="121" t="s">
        <v>4168</v>
      </c>
      <c r="D222" s="323" t="s">
        <v>4168</v>
      </c>
      <c r="E222" s="324" t="str">
        <f t="shared" si="7"/>
        <v/>
      </c>
    </row>
    <row r="223" spans="1:5" s="121" customFormat="1" x14ac:dyDescent="0.3">
      <c r="A223" s="120" t="s">
        <v>3958</v>
      </c>
      <c r="B223" s="120">
        <v>62</v>
      </c>
      <c r="C223" s="121" t="s">
        <v>425</v>
      </c>
      <c r="D223" s="323" t="s">
        <v>425</v>
      </c>
      <c r="E223" s="324" t="str">
        <f t="shared" si="7"/>
        <v/>
      </c>
    </row>
    <row r="224" spans="1:5" s="121" customFormat="1" x14ac:dyDescent="0.3">
      <c r="A224" s="120" t="s">
        <v>3958</v>
      </c>
      <c r="B224" s="120">
        <v>63</v>
      </c>
      <c r="C224" s="121" t="s">
        <v>358</v>
      </c>
      <c r="D224" s="323" t="s">
        <v>358</v>
      </c>
      <c r="E224" s="324" t="str">
        <f t="shared" si="7"/>
        <v/>
      </c>
    </row>
    <row r="225" spans="1:5" s="121" customFormat="1" x14ac:dyDescent="0.3">
      <c r="A225" s="120" t="s">
        <v>3958</v>
      </c>
      <c r="B225" s="120">
        <v>64</v>
      </c>
      <c r="C225" s="121" t="s">
        <v>355</v>
      </c>
      <c r="D225" s="323" t="s">
        <v>355</v>
      </c>
      <c r="E225" s="324" t="str">
        <f t="shared" si="7"/>
        <v/>
      </c>
    </row>
    <row r="226" spans="1:5" s="121" customFormat="1" x14ac:dyDescent="0.3">
      <c r="A226" s="120" t="s">
        <v>3958</v>
      </c>
      <c r="B226" s="120">
        <v>65</v>
      </c>
      <c r="C226" s="121" t="s">
        <v>4169</v>
      </c>
      <c r="D226" s="323" t="s">
        <v>4303</v>
      </c>
      <c r="E226" s="324" t="str">
        <f t="shared" si="7"/>
        <v/>
      </c>
    </row>
    <row r="227" spans="1:5" s="121" customFormat="1" x14ac:dyDescent="0.3">
      <c r="A227" s="120" t="s">
        <v>3958</v>
      </c>
      <c r="B227" s="120">
        <v>66</v>
      </c>
      <c r="C227" s="121" t="s">
        <v>349</v>
      </c>
      <c r="D227" s="323" t="s">
        <v>349</v>
      </c>
      <c r="E227" s="324" t="str">
        <f t="shared" si="7"/>
        <v/>
      </c>
    </row>
    <row r="228" spans="1:5" s="121" customFormat="1" x14ac:dyDescent="0.3">
      <c r="A228" s="120" t="s">
        <v>3958</v>
      </c>
      <c r="B228" s="120">
        <v>67</v>
      </c>
      <c r="C228" s="121" t="s">
        <v>377</v>
      </c>
      <c r="D228" s="323" t="s">
        <v>377</v>
      </c>
      <c r="E228" s="324" t="str">
        <f t="shared" si="7"/>
        <v/>
      </c>
    </row>
    <row r="229" spans="1:5" s="121" customFormat="1" x14ac:dyDescent="0.3">
      <c r="A229" s="120" t="s">
        <v>3958</v>
      </c>
      <c r="B229" s="120">
        <v>68</v>
      </c>
      <c r="C229" s="121" t="s">
        <v>3879</v>
      </c>
      <c r="D229" s="323" t="s">
        <v>4294</v>
      </c>
      <c r="E229" s="324" t="str">
        <f t="shared" si="7"/>
        <v/>
      </c>
    </row>
    <row r="230" spans="1:5" s="121" customFormat="1" x14ac:dyDescent="0.3">
      <c r="A230" s="120" t="s">
        <v>3958</v>
      </c>
      <c r="B230" s="120">
        <v>69</v>
      </c>
      <c r="C230" s="121" t="s">
        <v>3880</v>
      </c>
      <c r="D230" s="323" t="s">
        <v>4295</v>
      </c>
      <c r="E230" s="324" t="str">
        <f t="shared" si="7"/>
        <v/>
      </c>
    </row>
    <row r="231" spans="1:5" s="121" customFormat="1" x14ac:dyDescent="0.3">
      <c r="A231" s="120" t="s">
        <v>3958</v>
      </c>
      <c r="B231" s="120">
        <v>70</v>
      </c>
      <c r="C231" s="121" t="s">
        <v>3881</v>
      </c>
      <c r="D231" s="323" t="s">
        <v>4293</v>
      </c>
      <c r="E231" s="324" t="str">
        <f t="shared" si="7"/>
        <v/>
      </c>
    </row>
    <row r="232" spans="1:5" s="121" customFormat="1" x14ac:dyDescent="0.3">
      <c r="A232" s="120" t="s">
        <v>3958</v>
      </c>
      <c r="B232" s="120">
        <v>71</v>
      </c>
      <c r="C232" s="121" t="s">
        <v>3882</v>
      </c>
      <c r="D232" s="323" t="s">
        <v>4296</v>
      </c>
      <c r="E232" s="324" t="str">
        <f t="shared" si="7"/>
        <v/>
      </c>
    </row>
    <row r="233" spans="1:5" s="121" customFormat="1" x14ac:dyDescent="0.3">
      <c r="A233" s="120" t="s">
        <v>3958</v>
      </c>
      <c r="B233" s="120">
        <v>72</v>
      </c>
      <c r="C233" s="121" t="s">
        <v>3883</v>
      </c>
      <c r="D233" s="323" t="s">
        <v>4297</v>
      </c>
      <c r="E233" s="324" t="str">
        <f t="shared" si="7"/>
        <v>109 % (2)</v>
      </c>
    </row>
    <row r="234" spans="1:5" s="121" customFormat="1" x14ac:dyDescent="0.3">
      <c r="A234" s="120" t="s">
        <v>3958</v>
      </c>
      <c r="B234" s="120">
        <v>73</v>
      </c>
      <c r="C234" s="121" t="s">
        <v>3884</v>
      </c>
      <c r="D234" s="323" t="s">
        <v>4299</v>
      </c>
      <c r="E234" s="324" t="str">
        <f t="shared" si="7"/>
        <v/>
      </c>
    </row>
    <row r="235" spans="1:5" s="121" customFormat="1" x14ac:dyDescent="0.3">
      <c r="A235" s="120" t="s">
        <v>3958</v>
      </c>
      <c r="B235" s="120">
        <v>74</v>
      </c>
      <c r="C235" s="121" t="s">
        <v>3885</v>
      </c>
      <c r="D235" s="323" t="s">
        <v>4298</v>
      </c>
      <c r="E235" s="324" t="str">
        <f t="shared" si="7"/>
        <v>135 % (6)</v>
      </c>
    </row>
    <row r="236" spans="1:5" s="121" customFormat="1" x14ac:dyDescent="0.3">
      <c r="A236" s="120" t="s">
        <v>3958</v>
      </c>
      <c r="B236" s="120">
        <v>75</v>
      </c>
      <c r="C236" s="121" t="s">
        <v>3886</v>
      </c>
      <c r="D236" s="323" t="s">
        <v>4300</v>
      </c>
      <c r="E236" s="324" t="str">
        <f t="shared" si="7"/>
        <v>112 % (2)</v>
      </c>
    </row>
    <row r="237" spans="1:5" s="121" customFormat="1" x14ac:dyDescent="0.3">
      <c r="A237" s="120" t="s">
        <v>3958</v>
      </c>
      <c r="B237" s="120">
        <v>76</v>
      </c>
      <c r="C237" s="121" t="s">
        <v>3887</v>
      </c>
      <c r="D237" s="323" t="s">
        <v>4301</v>
      </c>
      <c r="E237" s="324" t="str">
        <f t="shared" ref="E237:E268" si="8">IF(LEN($C237)-LEN(D237)&lt;0,TEXT(LEN(D237)/LEN($C237),"0 %")&amp;" ("&amp;LEN(D237)-LEN($C237)&amp;")","")</f>
        <v/>
      </c>
    </row>
    <row r="238" spans="1:5" s="121" customFormat="1" x14ac:dyDescent="0.3">
      <c r="A238" s="120" t="s">
        <v>3958</v>
      </c>
      <c r="B238" s="120">
        <v>77</v>
      </c>
      <c r="C238" s="121" t="s">
        <v>3888</v>
      </c>
      <c r="D238" s="323" t="s">
        <v>4302</v>
      </c>
      <c r="E238" s="324" t="str">
        <f t="shared" si="8"/>
        <v/>
      </c>
    </row>
    <row r="239" spans="1:5" s="121" customFormat="1" x14ac:dyDescent="0.3">
      <c r="A239" s="120" t="s">
        <v>3958</v>
      </c>
      <c r="B239" s="120">
        <v>78</v>
      </c>
      <c r="C239" s="121" t="s">
        <v>240</v>
      </c>
      <c r="D239" s="323" t="s">
        <v>240</v>
      </c>
      <c r="E239" s="324" t="str">
        <f t="shared" si="8"/>
        <v/>
      </c>
    </row>
    <row r="240" spans="1:5" s="121" customFormat="1" x14ac:dyDescent="0.3">
      <c r="A240" s="120" t="s">
        <v>3958</v>
      </c>
      <c r="B240" s="120">
        <v>79</v>
      </c>
      <c r="C240" s="121" t="s">
        <v>232</v>
      </c>
      <c r="D240" s="323" t="s">
        <v>232</v>
      </c>
      <c r="E240" s="324" t="str">
        <f t="shared" si="8"/>
        <v/>
      </c>
    </row>
    <row r="241" spans="1:5" s="121" customFormat="1" x14ac:dyDescent="0.3">
      <c r="A241" s="120" t="s">
        <v>3958</v>
      </c>
      <c r="B241" s="120">
        <v>80</v>
      </c>
      <c r="C241" s="121" t="s">
        <v>242</v>
      </c>
      <c r="D241" s="323" t="s">
        <v>242</v>
      </c>
      <c r="E241" s="324" t="str">
        <f t="shared" si="8"/>
        <v/>
      </c>
    </row>
    <row r="242" spans="1:5" s="121" customFormat="1" x14ac:dyDescent="0.3">
      <c r="A242" s="120" t="s">
        <v>3958</v>
      </c>
      <c r="B242" s="120">
        <v>81</v>
      </c>
      <c r="C242" s="121" t="s">
        <v>4170</v>
      </c>
      <c r="D242" s="323" t="s">
        <v>4170</v>
      </c>
      <c r="E242" s="324" t="str">
        <f t="shared" si="8"/>
        <v/>
      </c>
    </row>
    <row r="243" spans="1:5" s="121" customFormat="1" x14ac:dyDescent="0.3">
      <c r="A243" s="120" t="s">
        <v>3958</v>
      </c>
      <c r="B243" s="120">
        <v>82</v>
      </c>
      <c r="C243" s="121" t="s">
        <v>237</v>
      </c>
      <c r="D243" s="323" t="s">
        <v>237</v>
      </c>
      <c r="E243" s="324" t="str">
        <f t="shared" si="8"/>
        <v/>
      </c>
    </row>
    <row r="244" spans="1:5" s="121" customFormat="1" x14ac:dyDescent="0.3">
      <c r="A244" s="120" t="s">
        <v>3958</v>
      </c>
      <c r="B244" s="120">
        <v>83</v>
      </c>
      <c r="C244" s="121" t="s">
        <v>230</v>
      </c>
      <c r="D244" s="323" t="s">
        <v>230</v>
      </c>
      <c r="E244" s="324" t="str">
        <f t="shared" si="8"/>
        <v/>
      </c>
    </row>
    <row r="245" spans="1:5" s="121" customFormat="1" x14ac:dyDescent="0.3">
      <c r="A245" s="120" t="s">
        <v>3958</v>
      </c>
      <c r="B245" s="120">
        <v>84</v>
      </c>
      <c r="C245" s="121" t="s">
        <v>227</v>
      </c>
      <c r="D245" s="323" t="s">
        <v>227</v>
      </c>
      <c r="E245" s="324" t="str">
        <f t="shared" si="8"/>
        <v/>
      </c>
    </row>
    <row r="246" spans="1:5" s="121" customFormat="1" x14ac:dyDescent="0.3">
      <c r="A246" s="120" t="s">
        <v>3958</v>
      </c>
      <c r="B246" s="120">
        <v>85</v>
      </c>
      <c r="C246" s="121" t="s">
        <v>247</v>
      </c>
      <c r="D246" s="323" t="s">
        <v>247</v>
      </c>
      <c r="E246" s="324" t="str">
        <f t="shared" si="8"/>
        <v/>
      </c>
    </row>
    <row r="247" spans="1:5" s="121" customFormat="1" x14ac:dyDescent="0.3">
      <c r="A247" s="120" t="s">
        <v>3958</v>
      </c>
      <c r="B247" s="120">
        <v>86</v>
      </c>
      <c r="C247" s="121" t="s">
        <v>4171</v>
      </c>
      <c r="D247" s="323" t="s">
        <v>4171</v>
      </c>
      <c r="E247" s="324" t="str">
        <f t="shared" si="8"/>
        <v/>
      </c>
    </row>
    <row r="248" spans="1:5" s="121" customFormat="1" x14ac:dyDescent="0.3">
      <c r="A248" s="120" t="s">
        <v>3958</v>
      </c>
      <c r="B248" s="120">
        <v>87</v>
      </c>
      <c r="C248" s="121" t="s">
        <v>428</v>
      </c>
      <c r="D248" s="323" t="s">
        <v>428</v>
      </c>
      <c r="E248" s="324" t="str">
        <f t="shared" si="8"/>
        <v/>
      </c>
    </row>
    <row r="249" spans="1:5" s="121" customFormat="1" x14ac:dyDescent="0.3">
      <c r="A249" s="120" t="s">
        <v>3958</v>
      </c>
      <c r="B249" s="120">
        <v>88</v>
      </c>
      <c r="C249" s="121" t="s">
        <v>4321</v>
      </c>
      <c r="D249" s="323" t="s">
        <v>4321</v>
      </c>
      <c r="E249" s="324" t="str">
        <f t="shared" si="8"/>
        <v/>
      </c>
    </row>
    <row r="250" spans="1:5" s="121" customFormat="1" x14ac:dyDescent="0.3">
      <c r="A250" s="120" t="s">
        <v>3958</v>
      </c>
      <c r="B250" s="120">
        <v>89</v>
      </c>
      <c r="C250" s="121" t="s">
        <v>4322</v>
      </c>
      <c r="D250" s="323" t="s">
        <v>4322</v>
      </c>
      <c r="E250" s="324" t="str">
        <f t="shared" si="8"/>
        <v/>
      </c>
    </row>
    <row r="251" spans="1:5" s="121" customFormat="1" x14ac:dyDescent="0.3">
      <c r="A251" s="120" t="s">
        <v>3958</v>
      </c>
      <c r="B251" s="120">
        <v>90</v>
      </c>
      <c r="C251" s="121" t="s">
        <v>4323</v>
      </c>
      <c r="D251" s="323" t="s">
        <v>4323</v>
      </c>
      <c r="E251" s="324" t="str">
        <f t="shared" si="8"/>
        <v/>
      </c>
    </row>
    <row r="252" spans="1:5" s="121" customFormat="1" x14ac:dyDescent="0.3">
      <c r="A252" s="120" t="s">
        <v>3958</v>
      </c>
      <c r="B252" s="120">
        <v>91</v>
      </c>
      <c r="C252" s="121" t="s">
        <v>3107</v>
      </c>
      <c r="D252" s="323" t="s">
        <v>3107</v>
      </c>
      <c r="E252" s="324" t="str">
        <f t="shared" si="8"/>
        <v/>
      </c>
    </row>
    <row r="253" spans="1:5" s="121" customFormat="1" x14ac:dyDescent="0.3">
      <c r="A253" s="120" t="s">
        <v>3958</v>
      </c>
      <c r="B253" s="120">
        <v>92</v>
      </c>
      <c r="C253" s="121" t="s">
        <v>4324</v>
      </c>
      <c r="D253" s="323" t="s">
        <v>4324</v>
      </c>
      <c r="E253" s="324" t="str">
        <f t="shared" si="8"/>
        <v/>
      </c>
    </row>
    <row r="254" spans="1:5" s="121" customFormat="1" x14ac:dyDescent="0.3">
      <c r="A254" s="120" t="s">
        <v>3958</v>
      </c>
      <c r="B254" s="120">
        <v>93</v>
      </c>
      <c r="C254" s="121" t="s">
        <v>4325</v>
      </c>
      <c r="D254" s="323" t="s">
        <v>4325</v>
      </c>
      <c r="E254" s="324" t="str">
        <f t="shared" si="8"/>
        <v/>
      </c>
    </row>
    <row r="255" spans="1:5" s="121" customFormat="1" x14ac:dyDescent="0.3">
      <c r="A255" s="120" t="s">
        <v>3958</v>
      </c>
      <c r="B255" s="120">
        <v>93</v>
      </c>
      <c r="C255" s="121" t="s">
        <v>4326</v>
      </c>
      <c r="D255" s="323" t="s">
        <v>4326</v>
      </c>
      <c r="E255" s="324" t="str">
        <f t="shared" si="8"/>
        <v/>
      </c>
    </row>
    <row r="256" spans="1:5" s="121" customFormat="1" x14ac:dyDescent="0.3">
      <c r="A256" s="120" t="s">
        <v>3958</v>
      </c>
      <c r="B256" s="120">
        <v>94</v>
      </c>
      <c r="C256" s="121" t="s">
        <v>4327</v>
      </c>
      <c r="D256" s="323" t="s">
        <v>4327</v>
      </c>
      <c r="E256" s="324" t="str">
        <f t="shared" si="8"/>
        <v/>
      </c>
    </row>
    <row r="257" spans="1:5" s="121" customFormat="1" x14ac:dyDescent="0.3">
      <c r="A257" s="120" t="s">
        <v>3958</v>
      </c>
      <c r="B257" s="120">
        <v>95</v>
      </c>
      <c r="C257" s="121" t="s">
        <v>4328</v>
      </c>
      <c r="D257" s="323" t="s">
        <v>4328</v>
      </c>
      <c r="E257" s="324" t="str">
        <f t="shared" si="8"/>
        <v/>
      </c>
    </row>
    <row r="258" spans="1:5" s="121" customFormat="1" x14ac:dyDescent="0.3">
      <c r="A258" s="120" t="s">
        <v>3958</v>
      </c>
      <c r="B258" s="120">
        <v>96</v>
      </c>
      <c r="C258" s="121" t="s">
        <v>4329</v>
      </c>
      <c r="D258" s="323" t="s">
        <v>4329</v>
      </c>
      <c r="E258" s="324" t="str">
        <f t="shared" si="8"/>
        <v/>
      </c>
    </row>
    <row r="259" spans="1:5" s="121" customFormat="1" x14ac:dyDescent="0.3">
      <c r="A259" s="120" t="s">
        <v>3958</v>
      </c>
      <c r="B259" s="120">
        <v>97</v>
      </c>
      <c r="C259" s="121" t="s">
        <v>4330</v>
      </c>
      <c r="D259" s="323" t="s">
        <v>4330</v>
      </c>
      <c r="E259" s="324" t="str">
        <f t="shared" si="8"/>
        <v/>
      </c>
    </row>
    <row r="260" spans="1:5" s="121" customFormat="1" x14ac:dyDescent="0.3">
      <c r="A260" s="120" t="s">
        <v>3958</v>
      </c>
      <c r="B260" s="120">
        <v>98</v>
      </c>
      <c r="C260" s="121" t="s">
        <v>4331</v>
      </c>
      <c r="D260" s="323" t="s">
        <v>4331</v>
      </c>
      <c r="E260" s="324" t="str">
        <f t="shared" si="8"/>
        <v/>
      </c>
    </row>
    <row r="261" spans="1:5" s="121" customFormat="1" x14ac:dyDescent="0.3">
      <c r="A261" s="120" t="s">
        <v>3958</v>
      </c>
      <c r="B261" s="120">
        <v>99</v>
      </c>
      <c r="C261" s="121" t="s">
        <v>559</v>
      </c>
      <c r="D261" s="323" t="s">
        <v>559</v>
      </c>
      <c r="E261" s="324" t="str">
        <f t="shared" si="8"/>
        <v/>
      </c>
    </row>
    <row r="262" spans="1:5" s="121" customFormat="1" x14ac:dyDescent="0.3">
      <c r="A262" s="120" t="s">
        <v>3958</v>
      </c>
      <c r="B262" s="120">
        <v>99</v>
      </c>
      <c r="C262" s="121" t="s">
        <v>555</v>
      </c>
      <c r="D262" s="323" t="s">
        <v>555</v>
      </c>
      <c r="E262" s="324" t="str">
        <f t="shared" si="8"/>
        <v/>
      </c>
    </row>
    <row r="263" spans="1:5" s="121" customFormat="1" x14ac:dyDescent="0.3">
      <c r="A263" s="120" t="s">
        <v>3958</v>
      </c>
      <c r="B263" s="120">
        <v>100</v>
      </c>
      <c r="C263" s="121" t="s">
        <v>4332</v>
      </c>
      <c r="D263" s="323" t="s">
        <v>4332</v>
      </c>
      <c r="E263" s="324" t="str">
        <f t="shared" si="8"/>
        <v/>
      </c>
    </row>
    <row r="264" spans="1:5" s="121" customFormat="1" x14ac:dyDescent="0.3">
      <c r="A264" s="120" t="s">
        <v>3958</v>
      </c>
      <c r="B264" s="120">
        <v>101</v>
      </c>
      <c r="C264" s="121" t="s">
        <v>923</v>
      </c>
      <c r="D264" s="323" t="s">
        <v>923</v>
      </c>
      <c r="E264" s="324" t="str">
        <f t="shared" si="8"/>
        <v/>
      </c>
    </row>
    <row r="265" spans="1:5" s="121" customFormat="1" x14ac:dyDescent="0.3">
      <c r="A265" s="120" t="s">
        <v>3958</v>
      </c>
      <c r="B265" s="120">
        <v>102</v>
      </c>
      <c r="C265" s="121" t="s">
        <v>588</v>
      </c>
      <c r="D265" s="323" t="s">
        <v>588</v>
      </c>
      <c r="E265" s="324" t="str">
        <f t="shared" si="8"/>
        <v/>
      </c>
    </row>
    <row r="266" spans="1:5" s="121" customFormat="1" x14ac:dyDescent="0.3">
      <c r="A266" s="120" t="s">
        <v>3958</v>
      </c>
      <c r="B266" s="120">
        <v>103</v>
      </c>
      <c r="C266" s="121" t="s">
        <v>592</v>
      </c>
      <c r="D266" s="323" t="s">
        <v>592</v>
      </c>
      <c r="E266" s="324" t="str">
        <f t="shared" si="8"/>
        <v/>
      </c>
    </row>
    <row r="267" spans="1:5" s="121" customFormat="1" x14ac:dyDescent="0.3">
      <c r="A267" s="120" t="s">
        <v>3958</v>
      </c>
      <c r="B267" s="120">
        <v>104</v>
      </c>
      <c r="C267" s="121" t="s">
        <v>4333</v>
      </c>
      <c r="D267" s="323" t="s">
        <v>4333</v>
      </c>
      <c r="E267" s="324" t="str">
        <f t="shared" si="8"/>
        <v/>
      </c>
    </row>
    <row r="268" spans="1:5" s="121" customFormat="1" x14ac:dyDescent="0.3">
      <c r="A268" s="120" t="s">
        <v>3958</v>
      </c>
      <c r="B268" s="120">
        <v>105</v>
      </c>
      <c r="C268" s="121" t="s">
        <v>4334</v>
      </c>
      <c r="D268" s="323" t="s">
        <v>4334</v>
      </c>
      <c r="E268" s="324" t="str">
        <f t="shared" si="8"/>
        <v/>
      </c>
    </row>
    <row r="269" spans="1:5" s="121" customFormat="1" x14ac:dyDescent="0.3">
      <c r="A269" s="120" t="s">
        <v>3958</v>
      </c>
      <c r="B269" s="120">
        <v>106</v>
      </c>
      <c r="C269" s="121" t="s">
        <v>4335</v>
      </c>
      <c r="D269" s="323" t="s">
        <v>4335</v>
      </c>
      <c r="E269" s="324" t="str">
        <f t="shared" ref="E269:E300" si="9">IF(LEN($C269)-LEN(D269)&lt;0,TEXT(LEN(D269)/LEN($C269),"0 %")&amp;" ("&amp;LEN(D269)-LEN($C269)&amp;")","")</f>
        <v/>
      </c>
    </row>
    <row r="270" spans="1:5" s="121" customFormat="1" x14ac:dyDescent="0.3">
      <c r="A270" s="120" t="s">
        <v>3958</v>
      </c>
      <c r="B270" s="120">
        <v>107</v>
      </c>
      <c r="C270" s="121" t="s">
        <v>635</v>
      </c>
      <c r="D270" s="323" t="s">
        <v>635</v>
      </c>
      <c r="E270" s="324" t="str">
        <f t="shared" si="9"/>
        <v/>
      </c>
    </row>
    <row r="271" spans="1:5" s="121" customFormat="1" x14ac:dyDescent="0.3">
      <c r="A271" s="120" t="s">
        <v>3958</v>
      </c>
      <c r="B271" s="120">
        <v>108</v>
      </c>
      <c r="C271" s="121" t="s">
        <v>4336</v>
      </c>
      <c r="D271" s="323" t="s">
        <v>4336</v>
      </c>
      <c r="E271" s="324" t="str">
        <f t="shared" si="9"/>
        <v/>
      </c>
    </row>
    <row r="272" spans="1:5" s="121" customFormat="1" x14ac:dyDescent="0.3">
      <c r="A272" s="120" t="s">
        <v>3958</v>
      </c>
      <c r="B272" s="120">
        <v>109</v>
      </c>
      <c r="C272" s="121" t="s">
        <v>4337</v>
      </c>
      <c r="D272" s="323" t="s">
        <v>4337</v>
      </c>
      <c r="E272" s="324" t="str">
        <f t="shared" si="9"/>
        <v/>
      </c>
    </row>
    <row r="273" spans="1:5" s="121" customFormat="1" x14ac:dyDescent="0.3">
      <c r="A273" s="120" t="s">
        <v>3958</v>
      </c>
      <c r="B273" s="120">
        <v>110</v>
      </c>
      <c r="C273" s="121" t="s">
        <v>4338</v>
      </c>
      <c r="D273" s="323" t="s">
        <v>4338</v>
      </c>
      <c r="E273" s="324" t="str">
        <f t="shared" si="9"/>
        <v/>
      </c>
    </row>
    <row r="274" spans="1:5" s="121" customFormat="1" x14ac:dyDescent="0.3">
      <c r="A274" s="120" t="s">
        <v>3958</v>
      </c>
      <c r="B274" s="120">
        <v>111</v>
      </c>
      <c r="C274" s="121" t="s">
        <v>4339</v>
      </c>
      <c r="D274" s="323" t="s">
        <v>4339</v>
      </c>
      <c r="E274" s="324" t="str">
        <f t="shared" si="9"/>
        <v/>
      </c>
    </row>
    <row r="275" spans="1:5" s="121" customFormat="1" x14ac:dyDescent="0.3">
      <c r="A275" s="120" t="s">
        <v>3958</v>
      </c>
      <c r="B275" s="120">
        <v>113</v>
      </c>
      <c r="C275" s="121" t="s">
        <v>4340</v>
      </c>
      <c r="D275" s="323" t="s">
        <v>4340</v>
      </c>
      <c r="E275" s="324" t="str">
        <f t="shared" si="9"/>
        <v/>
      </c>
    </row>
    <row r="276" spans="1:5" s="121" customFormat="1" x14ac:dyDescent="0.3">
      <c r="A276" s="120" t="s">
        <v>3958</v>
      </c>
      <c r="B276" s="120">
        <v>114</v>
      </c>
      <c r="C276" s="121" t="s">
        <v>4341</v>
      </c>
      <c r="D276" s="323" t="s">
        <v>4341</v>
      </c>
      <c r="E276" s="324" t="str">
        <f t="shared" si="9"/>
        <v/>
      </c>
    </row>
    <row r="277" spans="1:5" s="121" customFormat="1" x14ac:dyDescent="0.3">
      <c r="A277" s="120" t="s">
        <v>3958</v>
      </c>
      <c r="B277" s="120">
        <v>115</v>
      </c>
      <c r="C277" s="121" t="s">
        <v>4342</v>
      </c>
      <c r="D277" s="323" t="s">
        <v>4342</v>
      </c>
      <c r="E277" s="324" t="str">
        <f t="shared" si="9"/>
        <v/>
      </c>
    </row>
    <row r="278" spans="1:5" s="121" customFormat="1" x14ac:dyDescent="0.3">
      <c r="A278" s="120" t="s">
        <v>3958</v>
      </c>
      <c r="B278" s="120">
        <v>116</v>
      </c>
      <c r="C278" s="121" t="s">
        <v>4343</v>
      </c>
      <c r="D278" s="323" t="s">
        <v>4343</v>
      </c>
      <c r="E278" s="324" t="str">
        <f t="shared" si="9"/>
        <v/>
      </c>
    </row>
    <row r="279" spans="1:5" s="121" customFormat="1" x14ac:dyDescent="0.3">
      <c r="A279" s="120" t="s">
        <v>3958</v>
      </c>
      <c r="B279" s="120">
        <v>117</v>
      </c>
      <c r="C279" s="121" t="s">
        <v>4344</v>
      </c>
      <c r="D279" s="323" t="s">
        <v>4344</v>
      </c>
      <c r="E279" s="324" t="str">
        <f t="shared" si="9"/>
        <v/>
      </c>
    </row>
    <row r="280" spans="1:5" s="121" customFormat="1" x14ac:dyDescent="0.3">
      <c r="A280" s="120" t="s">
        <v>3958</v>
      </c>
      <c r="B280" s="120">
        <v>118</v>
      </c>
      <c r="C280" s="121" t="s">
        <v>4345</v>
      </c>
      <c r="D280" s="323" t="s">
        <v>4345</v>
      </c>
      <c r="E280" s="324" t="str">
        <f t="shared" si="9"/>
        <v/>
      </c>
    </row>
    <row r="281" spans="1:5" s="121" customFormat="1" x14ac:dyDescent="0.3">
      <c r="A281" s="120" t="s">
        <v>3958</v>
      </c>
      <c r="B281" s="120">
        <v>119</v>
      </c>
      <c r="C281" s="121" t="s">
        <v>4346</v>
      </c>
      <c r="D281" s="323" t="s">
        <v>4346</v>
      </c>
      <c r="E281" s="324" t="str">
        <f t="shared" si="9"/>
        <v/>
      </c>
    </row>
    <row r="282" spans="1:5" s="121" customFormat="1" x14ac:dyDescent="0.3">
      <c r="A282" s="120" t="s">
        <v>3958</v>
      </c>
      <c r="B282" s="120">
        <v>120</v>
      </c>
      <c r="C282" s="121" t="s">
        <v>3489</v>
      </c>
      <c r="D282" s="323" t="s">
        <v>3489</v>
      </c>
      <c r="E282" s="324" t="str">
        <f t="shared" si="9"/>
        <v/>
      </c>
    </row>
    <row r="283" spans="1:5" s="121" customFormat="1" x14ac:dyDescent="0.3">
      <c r="A283" s="120" t="s">
        <v>3958</v>
      </c>
      <c r="B283" s="120">
        <v>121</v>
      </c>
      <c r="C283" s="121" t="s">
        <v>3494</v>
      </c>
      <c r="D283" s="323" t="s">
        <v>3494</v>
      </c>
      <c r="E283" s="324" t="str">
        <f t="shared" si="9"/>
        <v/>
      </c>
    </row>
    <row r="284" spans="1:5" s="121" customFormat="1" x14ac:dyDescent="0.3">
      <c r="A284" s="120" t="s">
        <v>3958</v>
      </c>
      <c r="B284" s="120">
        <v>122</v>
      </c>
      <c r="C284" s="121" t="s">
        <v>3493</v>
      </c>
      <c r="D284" s="323" t="s">
        <v>3493</v>
      </c>
      <c r="E284" s="324" t="str">
        <f t="shared" si="9"/>
        <v/>
      </c>
    </row>
    <row r="285" spans="1:5" s="121" customFormat="1" x14ac:dyDescent="0.3">
      <c r="A285" s="120" t="s">
        <v>3958</v>
      </c>
      <c r="B285" s="120">
        <v>123</v>
      </c>
      <c r="C285" s="121" t="s">
        <v>4347</v>
      </c>
      <c r="D285" s="323" t="s">
        <v>4347</v>
      </c>
      <c r="E285" s="324" t="str">
        <f t="shared" si="9"/>
        <v/>
      </c>
    </row>
    <row r="286" spans="1:5" s="121" customFormat="1" x14ac:dyDescent="0.3">
      <c r="A286" s="120" t="s">
        <v>3958</v>
      </c>
      <c r="B286" s="120">
        <v>124</v>
      </c>
      <c r="C286" s="121" t="s">
        <v>1479</v>
      </c>
      <c r="D286" s="323" t="s">
        <v>1479</v>
      </c>
      <c r="E286" s="324" t="str">
        <f t="shared" si="9"/>
        <v/>
      </c>
    </row>
    <row r="287" spans="1:5" s="121" customFormat="1" x14ac:dyDescent="0.3">
      <c r="A287" s="120" t="s">
        <v>3958</v>
      </c>
      <c r="B287" s="120">
        <v>125</v>
      </c>
      <c r="C287" s="121" t="s">
        <v>3724</v>
      </c>
      <c r="D287" s="323" t="s">
        <v>3724</v>
      </c>
      <c r="E287" s="324" t="str">
        <f t="shared" si="9"/>
        <v/>
      </c>
    </row>
    <row r="288" spans="1:5" s="121" customFormat="1" x14ac:dyDescent="0.3">
      <c r="A288" s="120" t="s">
        <v>3958</v>
      </c>
      <c r="B288" s="120">
        <v>125</v>
      </c>
      <c r="C288" s="121" t="s">
        <v>3723</v>
      </c>
      <c r="D288" s="323" t="s">
        <v>3723</v>
      </c>
      <c r="E288" s="324" t="str">
        <f t="shared" si="9"/>
        <v/>
      </c>
    </row>
    <row r="289" spans="1:5" s="121" customFormat="1" x14ac:dyDescent="0.3">
      <c r="A289" s="120" t="s">
        <v>3958</v>
      </c>
      <c r="B289" s="120">
        <v>127</v>
      </c>
      <c r="C289" s="121" t="s">
        <v>4348</v>
      </c>
      <c r="D289" s="323" t="s">
        <v>4348</v>
      </c>
      <c r="E289" s="324" t="str">
        <f t="shared" si="9"/>
        <v/>
      </c>
    </row>
    <row r="290" spans="1:5" s="121" customFormat="1" x14ac:dyDescent="0.3">
      <c r="A290" s="120" t="s">
        <v>3958</v>
      </c>
      <c r="B290" s="120">
        <v>129</v>
      </c>
      <c r="C290" s="121" t="s">
        <v>4349</v>
      </c>
      <c r="D290" s="323" t="s">
        <v>4349</v>
      </c>
      <c r="E290" s="324" t="str">
        <f t="shared" si="9"/>
        <v/>
      </c>
    </row>
    <row r="291" spans="1:5" s="121" customFormat="1" x14ac:dyDescent="0.3">
      <c r="A291" s="120" t="s">
        <v>3958</v>
      </c>
      <c r="B291" s="120">
        <v>130</v>
      </c>
      <c r="C291" s="121" t="s">
        <v>4350</v>
      </c>
      <c r="D291" s="323" t="s">
        <v>4350</v>
      </c>
      <c r="E291" s="324" t="str">
        <f t="shared" si="9"/>
        <v/>
      </c>
    </row>
    <row r="292" spans="1:5" s="121" customFormat="1" x14ac:dyDescent="0.3">
      <c r="A292" s="120" t="s">
        <v>3958</v>
      </c>
      <c r="B292" s="120">
        <v>131</v>
      </c>
      <c r="C292" s="121" t="s">
        <v>4351</v>
      </c>
      <c r="D292" s="323" t="s">
        <v>4351</v>
      </c>
      <c r="E292" s="324" t="str">
        <f t="shared" si="9"/>
        <v/>
      </c>
    </row>
    <row r="293" spans="1:5" s="121" customFormat="1" x14ac:dyDescent="0.3">
      <c r="A293" s="120" t="s">
        <v>3958</v>
      </c>
      <c r="B293" s="120">
        <v>132</v>
      </c>
      <c r="C293" s="121" t="s">
        <v>4352</v>
      </c>
      <c r="D293" s="323" t="s">
        <v>4352</v>
      </c>
      <c r="E293" s="324" t="str">
        <f t="shared" si="9"/>
        <v/>
      </c>
    </row>
    <row r="294" spans="1:5" s="121" customFormat="1" x14ac:dyDescent="0.3">
      <c r="A294" s="120" t="s">
        <v>3958</v>
      </c>
      <c r="B294" s="120">
        <v>133</v>
      </c>
      <c r="C294" s="121" t="s">
        <v>4353</v>
      </c>
      <c r="D294" s="323" t="s">
        <v>4353</v>
      </c>
      <c r="E294" s="324" t="str">
        <f t="shared" si="9"/>
        <v/>
      </c>
    </row>
    <row r="295" spans="1:5" s="121" customFormat="1" x14ac:dyDescent="0.3">
      <c r="A295" s="120" t="s">
        <v>3958</v>
      </c>
      <c r="B295" s="120">
        <v>134</v>
      </c>
      <c r="C295" s="121" t="s">
        <v>4354</v>
      </c>
      <c r="D295" s="323" t="s">
        <v>4354</v>
      </c>
      <c r="E295" s="324" t="str">
        <f t="shared" si="9"/>
        <v/>
      </c>
    </row>
    <row r="296" spans="1:5" s="121" customFormat="1" x14ac:dyDescent="0.3">
      <c r="A296" s="120" t="s">
        <v>3958</v>
      </c>
      <c r="B296" s="120">
        <v>135</v>
      </c>
      <c r="C296" s="121" t="s">
        <v>4355</v>
      </c>
      <c r="D296" s="323" t="s">
        <v>4355</v>
      </c>
      <c r="E296" s="324" t="str">
        <f t="shared" si="9"/>
        <v/>
      </c>
    </row>
    <row r="297" spans="1:5" s="121" customFormat="1" x14ac:dyDescent="0.3">
      <c r="A297" s="120" t="s">
        <v>3958</v>
      </c>
      <c r="B297" s="120">
        <v>136</v>
      </c>
      <c r="C297" s="121" t="s">
        <v>4356</v>
      </c>
      <c r="D297" s="323" t="s">
        <v>4356</v>
      </c>
      <c r="E297" s="324" t="str">
        <f t="shared" si="9"/>
        <v/>
      </c>
    </row>
    <row r="298" spans="1:5" s="121" customFormat="1" x14ac:dyDescent="0.3">
      <c r="A298" s="120" t="s">
        <v>3958</v>
      </c>
      <c r="B298" s="120">
        <v>137</v>
      </c>
      <c r="C298" s="121" t="s">
        <v>577</v>
      </c>
      <c r="D298" s="323" t="s">
        <v>577</v>
      </c>
      <c r="E298" s="324" t="str">
        <f t="shared" si="9"/>
        <v/>
      </c>
    </row>
    <row r="299" spans="1:5" s="121" customFormat="1" x14ac:dyDescent="0.3">
      <c r="A299" s="120" t="s">
        <v>3958</v>
      </c>
      <c r="B299" s="120">
        <v>138</v>
      </c>
      <c r="C299" s="121" t="s">
        <v>580</v>
      </c>
      <c r="D299" s="323" t="s">
        <v>580</v>
      </c>
      <c r="E299" s="324" t="str">
        <f t="shared" si="9"/>
        <v/>
      </c>
    </row>
    <row r="300" spans="1:5" s="121" customFormat="1" x14ac:dyDescent="0.3">
      <c r="A300" s="120" t="s">
        <v>3958</v>
      </c>
      <c r="B300" s="120">
        <v>139</v>
      </c>
      <c r="C300" s="121" t="s">
        <v>639</v>
      </c>
      <c r="D300" s="323" t="s">
        <v>639</v>
      </c>
      <c r="E300" s="324" t="str">
        <f t="shared" si="9"/>
        <v/>
      </c>
    </row>
    <row r="301" spans="1:5" s="121" customFormat="1" x14ac:dyDescent="0.3">
      <c r="A301" s="120" t="s">
        <v>3958</v>
      </c>
      <c r="B301" s="120">
        <v>140</v>
      </c>
      <c r="C301" s="121" t="s">
        <v>525</v>
      </c>
      <c r="D301" s="323" t="s">
        <v>525</v>
      </c>
      <c r="E301" s="324" t="str">
        <f t="shared" ref="E301:E332" si="10">IF(LEN($C301)-LEN(D301)&lt;0,TEXT(LEN(D301)/LEN($C301),"0 %")&amp;" ("&amp;LEN(D301)-LEN($C301)&amp;")","")</f>
        <v/>
      </c>
    </row>
    <row r="302" spans="1:5" s="121" customFormat="1" x14ac:dyDescent="0.3">
      <c r="A302" s="120" t="s">
        <v>3958</v>
      </c>
      <c r="B302" s="120">
        <v>141</v>
      </c>
      <c r="C302" s="121" t="s">
        <v>531</v>
      </c>
      <c r="D302" s="323" t="s">
        <v>531</v>
      </c>
      <c r="E302" s="324" t="str">
        <f t="shared" si="10"/>
        <v/>
      </c>
    </row>
    <row r="303" spans="1:5" s="121" customFormat="1" x14ac:dyDescent="0.3">
      <c r="A303" s="120" t="s">
        <v>3958</v>
      </c>
      <c r="B303" s="120">
        <v>142</v>
      </c>
      <c r="C303" s="121" t="s">
        <v>528</v>
      </c>
      <c r="D303" s="323" t="s">
        <v>528</v>
      </c>
      <c r="E303" s="324" t="str">
        <f t="shared" si="10"/>
        <v/>
      </c>
    </row>
    <row r="304" spans="1:5" s="121" customFormat="1" x14ac:dyDescent="0.3">
      <c r="A304" s="120" t="s">
        <v>3958</v>
      </c>
      <c r="B304" s="120">
        <v>143</v>
      </c>
      <c r="C304" s="121" t="s">
        <v>4357</v>
      </c>
      <c r="D304" s="323" t="s">
        <v>4357</v>
      </c>
      <c r="E304" s="324" t="str">
        <f t="shared" si="10"/>
        <v/>
      </c>
    </row>
    <row r="305" spans="1:5" s="121" customFormat="1" x14ac:dyDescent="0.3">
      <c r="A305" s="120" t="s">
        <v>3958</v>
      </c>
      <c r="B305" s="120">
        <v>144</v>
      </c>
      <c r="C305" s="121" t="s">
        <v>4358</v>
      </c>
      <c r="D305" s="323" t="s">
        <v>4358</v>
      </c>
      <c r="E305" s="324" t="str">
        <f t="shared" si="10"/>
        <v/>
      </c>
    </row>
    <row r="306" spans="1:5" s="121" customFormat="1" x14ac:dyDescent="0.3">
      <c r="A306" s="120" t="s">
        <v>3958</v>
      </c>
      <c r="B306" s="120">
        <v>145</v>
      </c>
      <c r="C306" s="121" t="s">
        <v>4359</v>
      </c>
      <c r="D306" s="323" t="s">
        <v>4359</v>
      </c>
      <c r="E306" s="324" t="str">
        <f t="shared" si="10"/>
        <v/>
      </c>
    </row>
    <row r="307" spans="1:5" s="121" customFormat="1" x14ac:dyDescent="0.3">
      <c r="A307" s="120" t="s">
        <v>3958</v>
      </c>
      <c r="B307" s="120">
        <v>146</v>
      </c>
      <c r="C307" s="121" t="s">
        <v>4360</v>
      </c>
      <c r="D307" s="323" t="s">
        <v>4360</v>
      </c>
      <c r="E307" s="324" t="str">
        <f t="shared" si="10"/>
        <v/>
      </c>
    </row>
    <row r="308" spans="1:5" s="121" customFormat="1" x14ac:dyDescent="0.3">
      <c r="A308" s="120" t="s">
        <v>3958</v>
      </c>
      <c r="B308" s="120">
        <v>147</v>
      </c>
      <c r="C308" s="121" t="s">
        <v>4361</v>
      </c>
      <c r="D308" s="323" t="s">
        <v>4361</v>
      </c>
      <c r="E308" s="324" t="str">
        <f t="shared" si="10"/>
        <v/>
      </c>
    </row>
    <row r="309" spans="1:5" s="121" customFormat="1" x14ac:dyDescent="0.3">
      <c r="A309" s="120" t="s">
        <v>3958</v>
      </c>
      <c r="B309" s="120">
        <v>148</v>
      </c>
      <c r="C309" s="121" t="s">
        <v>4362</v>
      </c>
      <c r="D309" s="323" t="s">
        <v>4362</v>
      </c>
      <c r="E309" s="324" t="str">
        <f t="shared" si="10"/>
        <v/>
      </c>
    </row>
    <row r="310" spans="1:5" s="121" customFormat="1" x14ac:dyDescent="0.3">
      <c r="A310" s="120" t="s">
        <v>3958</v>
      </c>
      <c r="B310" s="120">
        <v>149</v>
      </c>
      <c r="C310" s="121" t="s">
        <v>4363</v>
      </c>
      <c r="D310" s="323" t="s">
        <v>4363</v>
      </c>
      <c r="E310" s="324" t="str">
        <f t="shared" si="10"/>
        <v/>
      </c>
    </row>
    <row r="311" spans="1:5" s="121" customFormat="1" x14ac:dyDescent="0.3">
      <c r="A311" s="120" t="s">
        <v>3958</v>
      </c>
      <c r="B311" s="120">
        <v>150</v>
      </c>
      <c r="C311" s="121" t="s">
        <v>4364</v>
      </c>
      <c r="D311" s="323" t="s">
        <v>4364</v>
      </c>
      <c r="E311" s="324" t="str">
        <f t="shared" si="10"/>
        <v/>
      </c>
    </row>
    <row r="312" spans="1:5" s="121" customFormat="1" x14ac:dyDescent="0.3">
      <c r="A312" s="120" t="s">
        <v>3958</v>
      </c>
      <c r="B312" s="120">
        <v>151</v>
      </c>
      <c r="C312" s="121" t="s">
        <v>4365</v>
      </c>
      <c r="D312" s="323" t="s">
        <v>4365</v>
      </c>
      <c r="E312" s="324" t="str">
        <f t="shared" si="10"/>
        <v/>
      </c>
    </row>
    <row r="313" spans="1:5" s="121" customFormat="1" x14ac:dyDescent="0.3">
      <c r="A313" s="120" t="s">
        <v>3958</v>
      </c>
      <c r="B313" s="120">
        <v>152</v>
      </c>
      <c r="C313" s="121" t="s">
        <v>4366</v>
      </c>
      <c r="D313" s="323" t="s">
        <v>4366</v>
      </c>
      <c r="E313" s="324" t="str">
        <f t="shared" si="10"/>
        <v/>
      </c>
    </row>
    <row r="314" spans="1:5" s="121" customFormat="1" x14ac:dyDescent="0.3">
      <c r="A314" s="120" t="s">
        <v>3958</v>
      </c>
      <c r="B314" s="120">
        <v>153</v>
      </c>
      <c r="C314" s="121" t="s">
        <v>4367</v>
      </c>
      <c r="D314" s="323" t="s">
        <v>4367</v>
      </c>
      <c r="E314" s="324" t="str">
        <f t="shared" si="10"/>
        <v/>
      </c>
    </row>
    <row r="315" spans="1:5" s="121" customFormat="1" x14ac:dyDescent="0.3">
      <c r="A315" s="120" t="s">
        <v>3958</v>
      </c>
      <c r="B315" s="120">
        <v>154</v>
      </c>
      <c r="C315" s="121" t="s">
        <v>4368</v>
      </c>
      <c r="D315" s="323" t="s">
        <v>4368</v>
      </c>
      <c r="E315" s="324" t="str">
        <f t="shared" si="10"/>
        <v/>
      </c>
    </row>
    <row r="316" spans="1:5" s="121" customFormat="1" x14ac:dyDescent="0.3">
      <c r="A316" s="120" t="s">
        <v>3958</v>
      </c>
      <c r="B316" s="120">
        <v>155</v>
      </c>
      <c r="C316" s="121" t="s">
        <v>3498</v>
      </c>
      <c r="D316" s="323" t="s">
        <v>3498</v>
      </c>
      <c r="E316" s="324" t="str">
        <f t="shared" si="10"/>
        <v/>
      </c>
    </row>
    <row r="317" spans="1:5" s="121" customFormat="1" x14ac:dyDescent="0.3">
      <c r="A317" s="120" t="s">
        <v>3958</v>
      </c>
      <c r="B317" s="120">
        <v>156</v>
      </c>
      <c r="C317" s="121" t="s">
        <v>3496</v>
      </c>
      <c r="D317" s="323" t="s">
        <v>3496</v>
      </c>
      <c r="E317" s="324" t="str">
        <f t="shared" si="10"/>
        <v/>
      </c>
    </row>
    <row r="318" spans="1:5" s="121" customFormat="1" x14ac:dyDescent="0.3">
      <c r="A318" s="120" t="s">
        <v>3958</v>
      </c>
      <c r="B318" s="120">
        <v>157</v>
      </c>
      <c r="C318" s="121" t="s">
        <v>3500</v>
      </c>
      <c r="D318" s="323" t="s">
        <v>3500</v>
      </c>
      <c r="E318" s="324" t="str">
        <f t="shared" si="10"/>
        <v/>
      </c>
    </row>
    <row r="319" spans="1:5" s="121" customFormat="1" x14ac:dyDescent="0.3">
      <c r="A319" s="120" t="s">
        <v>3958</v>
      </c>
      <c r="B319" s="120">
        <v>158</v>
      </c>
      <c r="C319" s="121" t="s">
        <v>2608</v>
      </c>
      <c r="D319" s="323" t="s">
        <v>2608</v>
      </c>
      <c r="E319" s="324" t="str">
        <f t="shared" si="10"/>
        <v/>
      </c>
    </row>
    <row r="320" spans="1:5" s="121" customFormat="1" x14ac:dyDescent="0.3">
      <c r="A320" s="120" t="s">
        <v>3958</v>
      </c>
      <c r="B320" s="120">
        <v>159</v>
      </c>
      <c r="C320" s="121" t="s">
        <v>2610</v>
      </c>
      <c r="D320" s="323" t="s">
        <v>2610</v>
      </c>
      <c r="E320" s="324" t="str">
        <f t="shared" si="10"/>
        <v/>
      </c>
    </row>
    <row r="321" spans="1:5" s="121" customFormat="1" x14ac:dyDescent="0.3">
      <c r="A321" s="120" t="s">
        <v>3958</v>
      </c>
      <c r="B321" s="120">
        <v>160</v>
      </c>
      <c r="C321" s="121" t="s">
        <v>4044</v>
      </c>
      <c r="D321" s="323" t="s">
        <v>4044</v>
      </c>
      <c r="E321" s="324" t="str">
        <f t="shared" si="10"/>
        <v/>
      </c>
    </row>
    <row r="322" spans="1:5" s="121" customFormat="1" x14ac:dyDescent="0.3">
      <c r="A322" s="120" t="s">
        <v>3958</v>
      </c>
      <c r="B322" s="120">
        <v>161</v>
      </c>
      <c r="C322" s="121" t="s">
        <v>4369</v>
      </c>
      <c r="D322" s="323" t="s">
        <v>4369</v>
      </c>
      <c r="E322" s="324" t="str">
        <f t="shared" si="10"/>
        <v/>
      </c>
    </row>
    <row r="323" spans="1:5" s="121" customFormat="1" x14ac:dyDescent="0.3">
      <c r="A323" s="120" t="s">
        <v>3958</v>
      </c>
      <c r="B323" s="120">
        <v>162</v>
      </c>
      <c r="C323" s="121" t="s">
        <v>4043</v>
      </c>
      <c r="D323" s="323" t="s">
        <v>4043</v>
      </c>
      <c r="E323" s="324" t="str">
        <f t="shared" si="10"/>
        <v/>
      </c>
    </row>
    <row r="324" spans="1:5" s="121" customFormat="1" x14ac:dyDescent="0.3">
      <c r="A324" s="120" t="s">
        <v>3958</v>
      </c>
      <c r="B324" s="120">
        <v>163</v>
      </c>
      <c r="C324" s="121" t="s">
        <v>4370</v>
      </c>
      <c r="D324" s="323" t="s">
        <v>4370</v>
      </c>
      <c r="E324" s="324" t="str">
        <f t="shared" si="10"/>
        <v/>
      </c>
    </row>
    <row r="325" spans="1:5" s="121" customFormat="1" x14ac:dyDescent="0.3">
      <c r="A325" s="120" t="s">
        <v>3958</v>
      </c>
      <c r="B325" s="120">
        <v>164</v>
      </c>
      <c r="C325" s="121" t="s">
        <v>2775</v>
      </c>
      <c r="D325" s="323" t="s">
        <v>2775</v>
      </c>
      <c r="E325" s="324" t="str">
        <f t="shared" si="10"/>
        <v/>
      </c>
    </row>
    <row r="326" spans="1:5" s="121" customFormat="1" x14ac:dyDescent="0.3">
      <c r="A326" s="120" t="s">
        <v>3958</v>
      </c>
      <c r="B326" s="120">
        <v>165</v>
      </c>
      <c r="C326" s="121" t="s">
        <v>4042</v>
      </c>
      <c r="D326" s="323" t="s">
        <v>4042</v>
      </c>
      <c r="E326" s="324" t="str">
        <f t="shared" si="10"/>
        <v/>
      </c>
    </row>
    <row r="327" spans="1:5" s="121" customFormat="1" x14ac:dyDescent="0.3">
      <c r="A327" s="120" t="s">
        <v>3958</v>
      </c>
      <c r="B327" s="120">
        <v>166</v>
      </c>
      <c r="C327" s="121" t="s">
        <v>4371</v>
      </c>
      <c r="D327" s="323" t="s">
        <v>4371</v>
      </c>
      <c r="E327" s="324" t="str">
        <f t="shared" si="10"/>
        <v/>
      </c>
    </row>
    <row r="328" spans="1:5" s="121" customFormat="1" x14ac:dyDescent="0.3">
      <c r="A328" s="120" t="s">
        <v>3958</v>
      </c>
      <c r="B328" s="120">
        <v>167</v>
      </c>
      <c r="C328" s="121" t="s">
        <v>4041</v>
      </c>
      <c r="D328" s="323" t="s">
        <v>4041</v>
      </c>
      <c r="E328" s="324" t="str">
        <f t="shared" si="10"/>
        <v/>
      </c>
    </row>
    <row r="329" spans="1:5" s="121" customFormat="1" x14ac:dyDescent="0.3">
      <c r="A329" s="120" t="s">
        <v>3958</v>
      </c>
      <c r="B329" s="120">
        <v>168</v>
      </c>
      <c r="C329" s="121" t="s">
        <v>4372</v>
      </c>
      <c r="D329" s="323" t="s">
        <v>4372</v>
      </c>
      <c r="E329" s="324" t="str">
        <f t="shared" si="10"/>
        <v/>
      </c>
    </row>
    <row r="330" spans="1:5" s="121" customFormat="1" x14ac:dyDescent="0.3">
      <c r="A330" s="120" t="s">
        <v>3958</v>
      </c>
      <c r="B330" s="120">
        <v>169</v>
      </c>
      <c r="C330" s="121" t="s">
        <v>2771</v>
      </c>
      <c r="D330" s="323" t="s">
        <v>2771</v>
      </c>
      <c r="E330" s="324" t="str">
        <f t="shared" si="10"/>
        <v/>
      </c>
    </row>
    <row r="331" spans="1:5" s="121" customFormat="1" x14ac:dyDescent="0.3">
      <c r="A331" s="120" t="s">
        <v>3958</v>
      </c>
      <c r="B331" s="120">
        <v>170</v>
      </c>
      <c r="C331" s="200" t="s">
        <v>245</v>
      </c>
      <c r="D331" s="200" t="s">
        <v>245</v>
      </c>
      <c r="E331" s="324"/>
    </row>
    <row r="332" spans="1:5" ht="15.6" x14ac:dyDescent="0.3">
      <c r="A332" s="116" t="str">
        <f>"! --- "&amp;INDEX(MLtextDivisions,3)</f>
        <v>! --- Parameter Script - VALUES</v>
      </c>
      <c r="E332" s="324" t="str">
        <f t="shared" ref="E332:E338" si="11">IF(LEN($C332)-LEN(D332)&lt;0,TEXT(LEN(D332)/LEN($C332),"0 %")&amp;" ("&amp;LEN(D332)-LEN($C332)&amp;")","")</f>
        <v/>
      </c>
    </row>
    <row r="333" spans="1:5" s="121" customFormat="1" x14ac:dyDescent="0.3">
      <c r="A333" s="120"/>
      <c r="B333" s="120"/>
      <c r="E333" s="324" t="str">
        <f t="shared" si="11"/>
        <v/>
      </c>
    </row>
    <row r="334" spans="1:5" ht="15.6" x14ac:dyDescent="0.3">
      <c r="A334" s="116" t="str">
        <f>"! --- "&amp;INDEX(MLtextDivisions,4)</f>
        <v>! --- Common Text</v>
      </c>
      <c r="E334" s="324" t="str">
        <f t="shared" si="11"/>
        <v/>
      </c>
    </row>
    <row r="335" spans="1:5" x14ac:dyDescent="0.3">
      <c r="A335" s="120" t="s">
        <v>3974</v>
      </c>
      <c r="B335" s="225">
        <v>1</v>
      </c>
      <c r="C335" t="s">
        <v>3206</v>
      </c>
      <c r="D335" t="s">
        <v>4006</v>
      </c>
      <c r="E335" s="324" t="str">
        <f t="shared" si="11"/>
        <v/>
      </c>
    </row>
    <row r="336" spans="1:5" x14ac:dyDescent="0.3">
      <c r="A336" s="120" t="s">
        <v>3974</v>
      </c>
      <c r="B336" s="225">
        <v>2</v>
      </c>
      <c r="C336" t="s">
        <v>3975</v>
      </c>
      <c r="D336" t="s">
        <v>3975</v>
      </c>
      <c r="E336" s="324" t="str">
        <f t="shared" si="11"/>
        <v/>
      </c>
    </row>
    <row r="337" spans="1:5" x14ac:dyDescent="0.3">
      <c r="A337" s="120" t="s">
        <v>3974</v>
      </c>
      <c r="B337" s="225">
        <v>3</v>
      </c>
      <c r="C337" t="s">
        <v>3976</v>
      </c>
      <c r="D337" t="s">
        <v>4007</v>
      </c>
      <c r="E337" s="324" t="str">
        <f t="shared" si="11"/>
        <v/>
      </c>
    </row>
    <row r="338" spans="1:5" s="121" customFormat="1" x14ac:dyDescent="0.3">
      <c r="A338" s="120" t="s">
        <v>3974</v>
      </c>
      <c r="B338" s="225">
        <v>4</v>
      </c>
      <c r="C338" t="s">
        <v>4078</v>
      </c>
      <c r="D338" t="s">
        <v>4079</v>
      </c>
      <c r="E338" s="324" t="str">
        <f t="shared" si="11"/>
        <v/>
      </c>
    </row>
    <row r="339" spans="1:5" s="121" customFormat="1" ht="15.6" x14ac:dyDescent="0.3">
      <c r="A339" s="119"/>
      <c r="B339" s="120"/>
    </row>
    <row r="340" spans="1:5" ht="15.6" x14ac:dyDescent="0.3">
      <c r="A340" s="116" t="str">
        <f>"! --- END"</f>
        <v>! --- END</v>
      </c>
    </row>
  </sheetData>
  <sortState ref="A5:E168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W2" sqref="W2:W4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6" customFormat="1" ht="42.75" customHeight="1" x14ac:dyDescent="0.3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 x14ac:dyDescent="0.25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 x14ac:dyDescent="0.25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 x14ac:dyDescent="0.25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 x14ac:dyDescent="0.25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 x14ac:dyDescent="0.25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 x14ac:dyDescent="0.25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 x14ac:dyDescent="0.25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 x14ac:dyDescent="0.25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 x14ac:dyDescent="0.25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 x14ac:dyDescent="0.25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 x14ac:dyDescent="0.25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 x14ac:dyDescent="0.25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 x14ac:dyDescent="0.25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 x14ac:dyDescent="0.25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 x14ac:dyDescent="0.25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 x14ac:dyDescent="0.25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 x14ac:dyDescent="0.25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8"/>
      <c r="S57" s="8"/>
      <c r="T57" s="8"/>
    </row>
    <row r="58" spans="18:20" ht="21" customHeight="1" x14ac:dyDescent="0.25">
      <c r="R58" s="7"/>
    </row>
    <row r="59" spans="18:20" ht="21" customHeight="1" x14ac:dyDescent="0.25">
      <c r="R59" s="7"/>
    </row>
    <row r="60" spans="18:20" ht="21" customHeight="1" x14ac:dyDescent="0.25">
      <c r="R60" s="7"/>
    </row>
    <row r="61" spans="18:20" ht="21" customHeight="1" x14ac:dyDescent="0.25">
      <c r="R61" s="7"/>
    </row>
    <row r="62" spans="18:20" ht="21" customHeight="1" x14ac:dyDescent="0.25">
      <c r="R62" s="7"/>
    </row>
    <row r="63" spans="18:20" ht="21" customHeight="1" x14ac:dyDescent="0.25">
      <c r="R63" s="7"/>
    </row>
    <row r="64" spans="18:20" ht="21" customHeight="1" x14ac:dyDescent="0.25">
      <c r="R64" s="7"/>
    </row>
    <row r="65" spans="18:18" ht="21" customHeight="1" x14ac:dyDescent="0.25">
      <c r="R65" s="7"/>
    </row>
    <row r="66" spans="18:18" ht="21" customHeight="1" x14ac:dyDescent="0.25">
      <c r="R66" s="7"/>
    </row>
    <row r="67" spans="18:18" ht="21" customHeight="1" x14ac:dyDescent="0.25">
      <c r="R67" s="7"/>
    </row>
    <row r="68" spans="18:18" ht="21" customHeight="1" x14ac:dyDescent="0.25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 activePane="bottomLeft"/>
      <selection sqref="A1:B1"/>
      <selection pane="bottomLeft" activeCell="A13" sqref="A13"/>
    </sheetView>
  </sheetViews>
  <sheetFormatPr baseColWidth="10" defaultColWidth="11.44140625" defaultRowHeight="13.8" outlineLevelRow="1" x14ac:dyDescent="0.25"/>
  <cols>
    <col min="1" max="1" width="20" style="74" bestFit="1" customWidth="1"/>
    <col min="2" max="2" width="20.44140625" style="72" customWidth="1"/>
    <col min="3" max="4" width="4.5546875" style="73" customWidth="1"/>
    <col min="5" max="5" width="4.5546875" style="74" customWidth="1"/>
    <col min="6" max="6" width="18" style="71" customWidth="1"/>
    <col min="7" max="7" width="10.5546875" style="81" customWidth="1"/>
    <col min="8" max="16384" width="11.44140625" style="48"/>
  </cols>
  <sheetData>
    <row r="1" spans="1:7" ht="43.5" customHeight="1" thickBot="1" x14ac:dyDescent="0.3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5.8" outlineLevel="1" thickTop="1" x14ac:dyDescent="0.25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4.4" outlineLevel="1" x14ac:dyDescent="0.25">
      <c r="A3" s="87"/>
      <c r="B3" s="76"/>
      <c r="C3" s="75"/>
      <c r="D3" s="126"/>
      <c r="E3" s="88"/>
      <c r="F3" s="106"/>
      <c r="G3" s="105">
        <v>0</v>
      </c>
    </row>
    <row r="4" spans="1:7" s="77" customFormat="1" ht="14.4" outlineLevel="1" x14ac:dyDescent="0.25">
      <c r="A4" s="87"/>
      <c r="B4" s="75"/>
      <c r="C4" s="76"/>
      <c r="D4" s="76"/>
      <c r="E4" s="88"/>
      <c r="F4" s="106"/>
      <c r="G4" s="105">
        <v>0</v>
      </c>
    </row>
    <row r="5" spans="1:7" s="77" customFormat="1" ht="14.4" outlineLevel="1" x14ac:dyDescent="0.25">
      <c r="A5" s="87"/>
      <c r="B5" s="75"/>
      <c r="C5" s="75"/>
      <c r="D5" s="126"/>
      <c r="E5" s="88"/>
      <c r="F5" s="106"/>
      <c r="G5" s="105">
        <v>0</v>
      </c>
    </row>
    <row r="6" spans="1:7" s="77" customFormat="1" ht="14.4" outlineLevel="1" x14ac:dyDescent="0.25">
      <c r="A6" s="87"/>
      <c r="B6" s="75"/>
      <c r="C6" s="75"/>
      <c r="D6" s="126"/>
      <c r="E6" s="88"/>
      <c r="F6" s="106"/>
      <c r="G6" s="105">
        <v>0</v>
      </c>
    </row>
    <row r="7" spans="1:7" s="77" customFormat="1" ht="14.4" outlineLevel="1" x14ac:dyDescent="0.25">
      <c r="A7" s="87"/>
      <c r="B7" s="75"/>
      <c r="C7" s="75"/>
      <c r="D7" s="126"/>
      <c r="E7" s="88"/>
      <c r="F7" s="106"/>
      <c r="G7" s="105">
        <v>0</v>
      </c>
    </row>
    <row r="8" spans="1:7" s="77" customFormat="1" ht="14.4" outlineLevel="1" x14ac:dyDescent="0.25">
      <c r="A8" s="87"/>
      <c r="B8" s="75"/>
      <c r="C8" s="75"/>
      <c r="D8" s="126"/>
      <c r="E8" s="88"/>
      <c r="F8" s="106"/>
      <c r="G8" s="105">
        <v>0</v>
      </c>
    </row>
    <row r="9" spans="1:7" s="77" customFormat="1" ht="14.4" outlineLevel="1" x14ac:dyDescent="0.25">
      <c r="A9" s="87"/>
      <c r="B9" s="75"/>
      <c r="C9" s="75"/>
      <c r="D9" s="126"/>
      <c r="E9" s="88"/>
      <c r="F9" s="106"/>
      <c r="G9" s="105">
        <v>0</v>
      </c>
    </row>
    <row r="10" spans="1:7" s="77" customFormat="1" ht="14.4" outlineLevel="1" x14ac:dyDescent="0.25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" outlineLevel="1" thickBot="1" x14ac:dyDescent="0.3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 x14ac:dyDescent="0.3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 x14ac:dyDescent="0.25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 x14ac:dyDescent="0.25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 x14ac:dyDescent="0.25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 x14ac:dyDescent="0.25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 x14ac:dyDescent="0.25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 x14ac:dyDescent="0.25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 x14ac:dyDescent="0.25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 x14ac:dyDescent="0.25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 x14ac:dyDescent="0.25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 x14ac:dyDescent="0.25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 x14ac:dyDescent="0.25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 x14ac:dyDescent="0.25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 x14ac:dyDescent="0.25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 x14ac:dyDescent="0.25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 x14ac:dyDescent="0.25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 x14ac:dyDescent="0.25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 x14ac:dyDescent="0.25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 x14ac:dyDescent="0.25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 x14ac:dyDescent="0.25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 x14ac:dyDescent="0.25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 x14ac:dyDescent="0.25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 x14ac:dyDescent="0.25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 x14ac:dyDescent="0.25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 x14ac:dyDescent="0.25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 x14ac:dyDescent="0.25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 x14ac:dyDescent="0.25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 x14ac:dyDescent="0.25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 x14ac:dyDescent="0.25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 x14ac:dyDescent="0.25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 x14ac:dyDescent="0.25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 x14ac:dyDescent="0.25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 x14ac:dyDescent="0.25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 x14ac:dyDescent="0.25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 x14ac:dyDescent="0.25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 x14ac:dyDescent="0.25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 x14ac:dyDescent="0.25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 x14ac:dyDescent="0.25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 x14ac:dyDescent="0.25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 x14ac:dyDescent="0.25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 x14ac:dyDescent="0.25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 x14ac:dyDescent="0.25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 x14ac:dyDescent="0.25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 x14ac:dyDescent="0.25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 x14ac:dyDescent="0.25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 x14ac:dyDescent="0.25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 x14ac:dyDescent="0.25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 x14ac:dyDescent="0.25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 x14ac:dyDescent="0.25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 x14ac:dyDescent="0.25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 x14ac:dyDescent="0.25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 x14ac:dyDescent="0.25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 x14ac:dyDescent="0.25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 x14ac:dyDescent="0.25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 x14ac:dyDescent="0.25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 x14ac:dyDescent="0.25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 x14ac:dyDescent="0.25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 x14ac:dyDescent="0.25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 x14ac:dyDescent="0.25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 x14ac:dyDescent="0.25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 x14ac:dyDescent="0.25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 x14ac:dyDescent="0.25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 x14ac:dyDescent="0.25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 x14ac:dyDescent="0.25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 x14ac:dyDescent="0.25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 x14ac:dyDescent="0.25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 x14ac:dyDescent="0.25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 x14ac:dyDescent="0.25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 x14ac:dyDescent="0.25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 x14ac:dyDescent="0.25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 x14ac:dyDescent="0.25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 x14ac:dyDescent="0.25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 x14ac:dyDescent="0.25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 x14ac:dyDescent="0.25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 x14ac:dyDescent="0.25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 x14ac:dyDescent="0.25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 x14ac:dyDescent="0.25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 x14ac:dyDescent="0.25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 x14ac:dyDescent="0.25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 x14ac:dyDescent="0.25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 x14ac:dyDescent="0.25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 x14ac:dyDescent="0.25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 x14ac:dyDescent="0.25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 x14ac:dyDescent="0.25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 x14ac:dyDescent="0.25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 x14ac:dyDescent="0.25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 x14ac:dyDescent="0.25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 x14ac:dyDescent="0.25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 x14ac:dyDescent="0.25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 x14ac:dyDescent="0.25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 x14ac:dyDescent="0.25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 x14ac:dyDescent="0.25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 x14ac:dyDescent="0.25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 x14ac:dyDescent="0.25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 x14ac:dyDescent="0.25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 x14ac:dyDescent="0.25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 x14ac:dyDescent="0.25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 x14ac:dyDescent="0.25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 x14ac:dyDescent="0.25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 x14ac:dyDescent="0.25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 x14ac:dyDescent="0.25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 x14ac:dyDescent="0.25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 x14ac:dyDescent="0.25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 x14ac:dyDescent="0.25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 x14ac:dyDescent="0.25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 x14ac:dyDescent="0.25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 x14ac:dyDescent="0.25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 x14ac:dyDescent="0.25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 x14ac:dyDescent="0.25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 x14ac:dyDescent="0.25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4.4" thickBot="1" x14ac:dyDescent="0.3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4.4" thickTop="1" x14ac:dyDescent="0.25">
      <c r="A123" s="100"/>
      <c r="B123" s="100"/>
      <c r="C123" s="101"/>
      <c r="D123" s="101"/>
      <c r="E123" s="101"/>
    </row>
    <row r="124" spans="1:7" x14ac:dyDescent="0.25">
      <c r="A124" s="66"/>
      <c r="B124" s="66"/>
      <c r="C124" s="90"/>
      <c r="D124" s="117"/>
      <c r="E124" s="90"/>
      <c r="F124" s="66"/>
      <c r="G124" s="66"/>
    </row>
    <row r="125" spans="1:7" x14ac:dyDescent="0.25">
      <c r="A125" s="66"/>
      <c r="B125" s="66"/>
      <c r="C125" s="90"/>
      <c r="D125" s="117"/>
      <c r="E125" s="90"/>
      <c r="F125" s="66"/>
      <c r="G125" s="66"/>
    </row>
    <row r="126" spans="1:7" x14ac:dyDescent="0.25">
      <c r="A126" s="66"/>
      <c r="B126" s="66"/>
      <c r="C126" s="90"/>
      <c r="D126" s="117"/>
      <c r="E126" s="90"/>
      <c r="F126" s="66"/>
      <c r="G126" s="66"/>
    </row>
    <row r="127" spans="1:7" x14ac:dyDescent="0.25">
      <c r="A127" s="66"/>
      <c r="B127" s="66"/>
      <c r="C127" s="90"/>
      <c r="D127" s="117"/>
      <c r="E127" s="90"/>
      <c r="F127" s="66"/>
      <c r="G127" s="66"/>
    </row>
    <row r="128" spans="1:7" x14ac:dyDescent="0.25">
      <c r="A128" s="66"/>
      <c r="B128" s="66"/>
      <c r="C128" s="90"/>
      <c r="D128" s="117"/>
      <c r="E128" s="90"/>
      <c r="F128" s="66"/>
      <c r="G128" s="66"/>
    </row>
    <row r="129" spans="1:7" x14ac:dyDescent="0.25">
      <c r="A129" s="65"/>
      <c r="B129" s="66"/>
      <c r="C129" s="90"/>
      <c r="D129" s="117"/>
      <c r="E129" s="90"/>
      <c r="F129" s="66"/>
      <c r="G129" s="66"/>
    </row>
    <row r="130" spans="1:7" x14ac:dyDescent="0.25">
      <c r="A130" s="65"/>
      <c r="B130" s="66"/>
      <c r="C130" s="90"/>
      <c r="D130" s="117"/>
      <c r="E130" s="90"/>
      <c r="F130" s="66"/>
      <c r="G130" s="66"/>
    </row>
    <row r="131" spans="1:7" x14ac:dyDescent="0.25">
      <c r="A131" s="65"/>
      <c r="B131" s="66"/>
      <c r="C131" s="90"/>
      <c r="D131" s="117"/>
      <c r="E131" s="90"/>
      <c r="F131" s="66"/>
      <c r="G131" s="66"/>
    </row>
    <row r="132" spans="1:7" x14ac:dyDescent="0.25">
      <c r="A132" s="65"/>
      <c r="B132" s="66"/>
      <c r="C132" s="90"/>
      <c r="D132" s="117"/>
      <c r="E132" s="90"/>
      <c r="F132" s="66"/>
      <c r="G132" s="66"/>
    </row>
    <row r="133" spans="1:7" x14ac:dyDescent="0.25">
      <c r="A133" s="65"/>
      <c r="B133" s="66"/>
      <c r="C133" s="90"/>
      <c r="D133" s="117"/>
      <c r="E133" s="90"/>
      <c r="F133" s="66"/>
      <c r="G133" s="66"/>
    </row>
    <row r="134" spans="1:7" x14ac:dyDescent="0.25">
      <c r="A134" s="65"/>
      <c r="B134" s="66"/>
      <c r="C134" s="90"/>
      <c r="D134" s="117"/>
      <c r="E134" s="90"/>
      <c r="F134" s="66"/>
      <c r="G134" s="66"/>
    </row>
    <row r="135" spans="1:7" x14ac:dyDescent="0.25">
      <c r="A135" s="65"/>
      <c r="B135" s="66"/>
      <c r="C135" s="90"/>
      <c r="D135" s="117"/>
      <c r="E135" s="90"/>
      <c r="F135" s="66"/>
      <c r="G135" s="66"/>
    </row>
    <row r="136" spans="1:7" x14ac:dyDescent="0.25">
      <c r="A136" s="65"/>
      <c r="B136" s="66"/>
      <c r="C136" s="90"/>
      <c r="D136" s="117"/>
      <c r="E136" s="90"/>
      <c r="F136" s="66"/>
      <c r="G136" s="66"/>
    </row>
    <row r="137" spans="1:7" x14ac:dyDescent="0.25">
      <c r="A137" s="65"/>
      <c r="B137" s="66"/>
      <c r="C137" s="90"/>
      <c r="D137" s="117"/>
      <c r="E137" s="90"/>
      <c r="F137" s="66"/>
      <c r="G137" s="66"/>
    </row>
    <row r="138" spans="1:7" x14ac:dyDescent="0.25">
      <c r="A138" s="65"/>
      <c r="B138" s="66"/>
      <c r="C138" s="90"/>
      <c r="D138" s="117"/>
      <c r="E138" s="90"/>
      <c r="F138" s="66"/>
      <c r="G138" s="66"/>
    </row>
    <row r="139" spans="1:7" x14ac:dyDescent="0.25">
      <c r="A139" s="65"/>
      <c r="B139" s="66"/>
      <c r="C139" s="90"/>
      <c r="D139" s="117"/>
      <c r="E139" s="90"/>
      <c r="F139" s="66"/>
      <c r="G139" s="66"/>
    </row>
    <row r="140" spans="1:7" x14ac:dyDescent="0.25">
      <c r="A140" s="65"/>
      <c r="B140" s="66"/>
      <c r="C140" s="90"/>
      <c r="D140" s="117"/>
      <c r="E140" s="90"/>
      <c r="F140" s="66"/>
      <c r="G140" s="66"/>
    </row>
    <row r="141" spans="1:7" x14ac:dyDescent="0.25">
      <c r="A141" s="65"/>
      <c r="B141" s="66"/>
      <c r="C141" s="90"/>
      <c r="D141" s="117"/>
      <c r="E141" s="90"/>
      <c r="F141" s="66"/>
      <c r="G141" s="66"/>
    </row>
    <row r="142" spans="1:7" x14ac:dyDescent="0.25">
      <c r="A142" s="65"/>
      <c r="B142" s="66"/>
      <c r="C142" s="90"/>
      <c r="D142" s="117"/>
      <c r="E142" s="90"/>
      <c r="F142" s="66"/>
      <c r="G142" s="66"/>
    </row>
    <row r="143" spans="1:7" x14ac:dyDescent="0.25">
      <c r="A143" s="65"/>
      <c r="B143" s="66"/>
      <c r="C143" s="90"/>
      <c r="D143" s="117"/>
      <c r="E143" s="90"/>
      <c r="F143" s="66"/>
      <c r="G143" s="66"/>
    </row>
    <row r="144" spans="1:7" x14ac:dyDescent="0.25">
      <c r="A144" s="65"/>
      <c r="B144" s="66"/>
      <c r="C144" s="90"/>
      <c r="D144" s="117"/>
      <c r="E144" s="90"/>
      <c r="F144" s="66"/>
      <c r="G144" s="66"/>
    </row>
    <row r="145" spans="1:7" x14ac:dyDescent="0.25">
      <c r="A145" s="65"/>
      <c r="B145" s="66"/>
      <c r="C145" s="90"/>
      <c r="D145" s="117"/>
      <c r="E145" s="90"/>
      <c r="F145" s="66"/>
      <c r="G145" s="66"/>
    </row>
    <row r="146" spans="1:7" x14ac:dyDescent="0.25">
      <c r="A146" s="65"/>
      <c r="B146" s="66"/>
      <c r="C146" s="90"/>
      <c r="D146" s="117"/>
      <c r="E146" s="90"/>
      <c r="F146" s="66"/>
      <c r="G146" s="66"/>
    </row>
    <row r="147" spans="1:7" x14ac:dyDescent="0.25">
      <c r="A147" s="65"/>
      <c r="B147" s="66"/>
      <c r="C147" s="90"/>
      <c r="D147" s="117"/>
      <c r="E147" s="90"/>
      <c r="F147" s="66"/>
      <c r="G147" s="66"/>
    </row>
    <row r="148" spans="1:7" x14ac:dyDescent="0.25">
      <c r="A148" s="65"/>
      <c r="B148" s="66"/>
      <c r="C148" s="90"/>
      <c r="D148" s="117"/>
      <c r="E148" s="90"/>
      <c r="F148" s="66"/>
      <c r="G148" s="66"/>
    </row>
    <row r="149" spans="1:7" x14ac:dyDescent="0.25">
      <c r="A149" s="65"/>
      <c r="B149" s="66"/>
      <c r="C149" s="90"/>
      <c r="D149" s="117"/>
      <c r="E149" s="90"/>
      <c r="F149" s="66"/>
      <c r="G149" s="66"/>
    </row>
    <row r="150" spans="1:7" x14ac:dyDescent="0.25">
      <c r="A150" s="65"/>
      <c r="B150" s="66"/>
      <c r="C150" s="90"/>
      <c r="D150" s="117"/>
      <c r="E150" s="90"/>
      <c r="F150" s="66"/>
      <c r="G150" s="66"/>
    </row>
    <row r="151" spans="1:7" x14ac:dyDescent="0.25">
      <c r="A151" s="65"/>
      <c r="B151" s="66"/>
      <c r="C151" s="90"/>
      <c r="D151" s="117"/>
      <c r="E151" s="90"/>
      <c r="F151" s="66"/>
      <c r="G151" s="66"/>
    </row>
    <row r="152" spans="1:7" x14ac:dyDescent="0.25">
      <c r="A152" s="65"/>
      <c r="B152" s="66"/>
      <c r="C152" s="90"/>
      <c r="D152" s="117"/>
      <c r="E152" s="90"/>
      <c r="F152" s="66"/>
      <c r="G152" s="66"/>
    </row>
    <row r="153" spans="1:7" x14ac:dyDescent="0.25">
      <c r="A153" s="65"/>
      <c r="B153" s="66"/>
      <c r="C153" s="90"/>
      <c r="D153" s="117"/>
      <c r="E153" s="90"/>
      <c r="F153" s="66"/>
      <c r="G153" s="66"/>
    </row>
    <row r="154" spans="1:7" x14ac:dyDescent="0.25">
      <c r="A154" s="65"/>
      <c r="B154" s="66"/>
      <c r="C154" s="90"/>
      <c r="D154" s="117"/>
      <c r="E154" s="90"/>
      <c r="F154" s="66"/>
      <c r="G154" s="66"/>
    </row>
    <row r="155" spans="1:7" x14ac:dyDescent="0.25">
      <c r="A155" s="65"/>
      <c r="B155" s="66"/>
      <c r="C155" s="90"/>
      <c r="D155" s="117"/>
      <c r="E155" s="90"/>
      <c r="F155" s="66"/>
      <c r="G155" s="66"/>
    </row>
    <row r="156" spans="1:7" x14ac:dyDescent="0.25">
      <c r="A156" s="65"/>
      <c r="B156" s="66"/>
      <c r="C156" s="90"/>
      <c r="D156" s="117"/>
      <c r="E156" s="90"/>
      <c r="F156" s="66"/>
      <c r="G156" s="66"/>
    </row>
    <row r="157" spans="1:7" x14ac:dyDescent="0.25">
      <c r="A157" s="65"/>
      <c r="B157" s="66"/>
      <c r="C157" s="90"/>
      <c r="D157" s="117"/>
      <c r="E157" s="90"/>
      <c r="F157" s="66"/>
      <c r="G157" s="66"/>
    </row>
    <row r="158" spans="1:7" x14ac:dyDescent="0.25">
      <c r="A158" s="65"/>
      <c r="B158" s="66"/>
      <c r="C158" s="90"/>
      <c r="D158" s="117"/>
      <c r="E158" s="90"/>
      <c r="F158" s="66"/>
      <c r="G158" s="66"/>
    </row>
    <row r="159" spans="1:7" x14ac:dyDescent="0.25">
      <c r="A159" s="65"/>
      <c r="B159" s="66"/>
      <c r="C159" s="90"/>
      <c r="D159" s="117"/>
      <c r="E159" s="90"/>
      <c r="F159" s="66"/>
      <c r="G159" s="66"/>
    </row>
    <row r="160" spans="1:7" x14ac:dyDescent="0.25">
      <c r="A160" s="65"/>
      <c r="B160" s="66"/>
      <c r="C160" s="90"/>
      <c r="D160" s="117"/>
      <c r="E160" s="90"/>
      <c r="F160" s="66"/>
      <c r="G160" s="66"/>
    </row>
    <row r="161" spans="1:7" x14ac:dyDescent="0.25">
      <c r="A161" s="65"/>
      <c r="B161" s="66"/>
      <c r="C161" s="90"/>
      <c r="D161" s="117"/>
      <c r="E161" s="90"/>
      <c r="F161" s="66"/>
      <c r="G161" s="66"/>
    </row>
    <row r="162" spans="1:7" x14ac:dyDescent="0.25">
      <c r="A162" s="65"/>
      <c r="B162" s="66"/>
      <c r="C162" s="90"/>
      <c r="D162" s="117"/>
      <c r="E162" s="90"/>
      <c r="F162" s="66"/>
      <c r="G162" s="66"/>
    </row>
    <row r="163" spans="1:7" x14ac:dyDescent="0.25">
      <c r="A163" s="65"/>
      <c r="B163" s="66"/>
      <c r="C163" s="90"/>
      <c r="D163" s="117"/>
      <c r="E163" s="90"/>
      <c r="F163" s="66"/>
      <c r="G163" s="66"/>
    </row>
    <row r="164" spans="1:7" x14ac:dyDescent="0.25">
      <c r="A164" s="65"/>
      <c r="B164" s="66"/>
      <c r="C164" s="90"/>
      <c r="D164" s="117"/>
      <c r="E164" s="90"/>
      <c r="F164" s="66"/>
      <c r="G164" s="66"/>
    </row>
    <row r="165" spans="1:7" x14ac:dyDescent="0.25">
      <c r="A165" s="65"/>
      <c r="B165" s="66"/>
      <c r="C165" s="90"/>
      <c r="D165" s="117"/>
      <c r="E165" s="90"/>
      <c r="F165" s="66"/>
      <c r="G165" s="66"/>
    </row>
    <row r="166" spans="1:7" x14ac:dyDescent="0.25">
      <c r="A166" s="65"/>
      <c r="B166" s="66"/>
      <c r="C166" s="90"/>
      <c r="D166" s="117"/>
      <c r="E166" s="90"/>
      <c r="F166" s="66"/>
      <c r="G166" s="66"/>
    </row>
    <row r="167" spans="1:7" x14ac:dyDescent="0.25">
      <c r="A167" s="65"/>
      <c r="B167" s="66"/>
      <c r="C167" s="90"/>
      <c r="D167" s="117"/>
      <c r="E167" s="90"/>
      <c r="F167" s="66"/>
      <c r="G167" s="66"/>
    </row>
    <row r="168" spans="1:7" x14ac:dyDescent="0.25">
      <c r="A168" s="65"/>
      <c r="B168" s="66"/>
      <c r="C168" s="90"/>
      <c r="D168" s="117"/>
      <c r="E168" s="90"/>
      <c r="F168" s="66"/>
      <c r="G168" s="66"/>
    </row>
    <row r="169" spans="1:7" x14ac:dyDescent="0.25">
      <c r="A169" s="65"/>
      <c r="B169" s="66"/>
      <c r="C169" s="90"/>
      <c r="D169" s="117"/>
      <c r="E169" s="90"/>
      <c r="F169" s="66"/>
      <c r="G169" s="66"/>
    </row>
    <row r="170" spans="1:7" x14ac:dyDescent="0.25">
      <c r="A170" s="65"/>
      <c r="B170" s="66"/>
      <c r="C170" s="90"/>
      <c r="D170" s="117"/>
      <c r="E170" s="90"/>
      <c r="F170" s="66"/>
      <c r="G170" s="66"/>
    </row>
    <row r="171" spans="1:7" x14ac:dyDescent="0.25">
      <c r="A171" s="65"/>
      <c r="B171" s="66"/>
      <c r="C171" s="90"/>
      <c r="D171" s="117"/>
      <c r="E171" s="90"/>
      <c r="F171" s="66"/>
      <c r="G171" s="66"/>
    </row>
    <row r="172" spans="1:7" x14ac:dyDescent="0.25">
      <c r="A172" s="65"/>
      <c r="B172" s="66"/>
      <c r="C172" s="90"/>
      <c r="D172" s="117"/>
      <c r="E172" s="90"/>
      <c r="F172" s="66"/>
      <c r="G172" s="66"/>
    </row>
    <row r="173" spans="1:7" x14ac:dyDescent="0.25">
      <c r="A173" s="65"/>
      <c r="B173" s="66"/>
      <c r="C173" s="90"/>
      <c r="D173" s="117"/>
      <c r="E173" s="90"/>
      <c r="F173" s="66"/>
      <c r="G173" s="66"/>
    </row>
    <row r="174" spans="1:7" x14ac:dyDescent="0.25">
      <c r="A174" s="65"/>
      <c r="B174" s="66"/>
      <c r="C174" s="90"/>
      <c r="D174" s="117"/>
      <c r="E174" s="90"/>
      <c r="F174" s="66"/>
      <c r="G174" s="66"/>
    </row>
    <row r="175" spans="1:7" x14ac:dyDescent="0.25">
      <c r="A175" s="65"/>
      <c r="B175" s="66"/>
      <c r="C175" s="90"/>
      <c r="D175" s="117"/>
      <c r="E175" s="90"/>
      <c r="F175" s="66"/>
      <c r="G175" s="66"/>
    </row>
    <row r="176" spans="1:7" x14ac:dyDescent="0.25">
      <c r="A176" s="65"/>
      <c r="B176" s="66"/>
      <c r="C176" s="90"/>
      <c r="D176" s="117"/>
      <c r="E176" s="90"/>
      <c r="F176" s="66"/>
      <c r="G176" s="66"/>
    </row>
    <row r="177" spans="1:7" x14ac:dyDescent="0.25">
      <c r="A177" s="65"/>
      <c r="B177" s="66"/>
      <c r="C177" s="90"/>
      <c r="D177" s="117"/>
      <c r="E177" s="90"/>
      <c r="F177" s="66"/>
      <c r="G177" s="66"/>
    </row>
    <row r="178" spans="1:7" x14ac:dyDescent="0.25">
      <c r="A178" s="65"/>
      <c r="B178" s="66"/>
      <c r="C178" s="90"/>
      <c r="D178" s="117"/>
      <c r="E178" s="90"/>
      <c r="F178" s="66"/>
      <c r="G178" s="66"/>
    </row>
    <row r="179" spans="1:7" x14ac:dyDescent="0.25">
      <c r="A179" s="65"/>
      <c r="B179" s="66"/>
      <c r="C179" s="90"/>
      <c r="D179" s="117"/>
      <c r="E179" s="90"/>
      <c r="F179" s="66"/>
      <c r="G179" s="66"/>
    </row>
    <row r="180" spans="1:7" x14ac:dyDescent="0.25">
      <c r="A180" s="65"/>
      <c r="B180" s="66"/>
      <c r="C180" s="90"/>
      <c r="D180" s="117"/>
      <c r="E180" s="90"/>
      <c r="F180" s="66"/>
      <c r="G180" s="66"/>
    </row>
    <row r="181" spans="1:7" x14ac:dyDescent="0.25">
      <c r="A181" s="65"/>
      <c r="B181" s="66"/>
      <c r="C181" s="90"/>
      <c r="D181" s="117"/>
      <c r="E181" s="90"/>
      <c r="F181" s="66"/>
      <c r="G181" s="66"/>
    </row>
    <row r="182" spans="1:7" x14ac:dyDescent="0.25">
      <c r="A182" s="65"/>
      <c r="B182" s="66"/>
      <c r="C182" s="90"/>
      <c r="D182" s="117"/>
      <c r="E182" s="90"/>
      <c r="F182" s="66"/>
      <c r="G182" s="66"/>
    </row>
    <row r="183" spans="1:7" x14ac:dyDescent="0.25">
      <c r="A183" s="65"/>
      <c r="B183" s="66"/>
      <c r="C183" s="90"/>
      <c r="D183" s="117"/>
      <c r="E183" s="90"/>
      <c r="F183" s="66"/>
      <c r="G183" s="66"/>
    </row>
    <row r="184" spans="1:7" x14ac:dyDescent="0.25">
      <c r="A184" s="65"/>
      <c r="B184" s="66"/>
      <c r="C184" s="90"/>
      <c r="D184" s="117"/>
      <c r="E184" s="90"/>
      <c r="F184" s="66"/>
      <c r="G184" s="66"/>
    </row>
    <row r="185" spans="1:7" x14ac:dyDescent="0.25">
      <c r="A185" s="65"/>
      <c r="B185" s="66"/>
      <c r="C185" s="90"/>
      <c r="D185" s="117"/>
      <c r="E185" s="90"/>
      <c r="F185" s="66"/>
      <c r="G185" s="66"/>
    </row>
    <row r="186" spans="1:7" x14ac:dyDescent="0.25">
      <c r="A186" s="65"/>
      <c r="B186" s="66"/>
      <c r="C186" s="90"/>
      <c r="D186" s="117"/>
      <c r="E186" s="90"/>
      <c r="F186" s="66"/>
      <c r="G186" s="66"/>
    </row>
    <row r="187" spans="1:7" x14ac:dyDescent="0.25">
      <c r="A187" s="65"/>
      <c r="B187" s="66"/>
      <c r="C187" s="90"/>
      <c r="D187" s="117"/>
      <c r="E187" s="90"/>
      <c r="F187" s="66"/>
      <c r="G187" s="66"/>
    </row>
    <row r="188" spans="1:7" x14ac:dyDescent="0.25">
      <c r="A188" s="65"/>
      <c r="B188" s="66"/>
      <c r="C188" s="90"/>
      <c r="D188" s="117"/>
      <c r="E188" s="90"/>
      <c r="F188" s="66"/>
      <c r="G188" s="66"/>
    </row>
    <row r="189" spans="1:7" x14ac:dyDescent="0.25">
      <c r="A189" s="65"/>
      <c r="B189" s="66"/>
      <c r="C189" s="90"/>
      <c r="D189" s="117"/>
      <c r="E189" s="90"/>
      <c r="F189" s="66"/>
      <c r="G189" s="66"/>
    </row>
    <row r="190" spans="1:7" x14ac:dyDescent="0.25">
      <c r="A190" s="65"/>
      <c r="B190" s="66"/>
      <c r="C190" s="90"/>
      <c r="D190" s="117"/>
      <c r="E190" s="90"/>
      <c r="F190" s="66"/>
      <c r="G190" s="66"/>
    </row>
    <row r="191" spans="1:7" x14ac:dyDescent="0.25">
      <c r="A191" s="65"/>
      <c r="B191" s="66"/>
      <c r="C191" s="90"/>
      <c r="D191" s="117"/>
      <c r="E191" s="90"/>
      <c r="F191" s="66"/>
      <c r="G191" s="66"/>
    </row>
    <row r="192" spans="1:7" x14ac:dyDescent="0.25">
      <c r="A192" s="65"/>
      <c r="B192" s="66"/>
      <c r="C192" s="90"/>
      <c r="D192" s="117"/>
      <c r="E192" s="90"/>
      <c r="F192" s="66"/>
      <c r="G192" s="66"/>
    </row>
    <row r="193" spans="1:7" x14ac:dyDescent="0.25">
      <c r="A193" s="65"/>
      <c r="B193" s="66"/>
      <c r="C193" s="90"/>
      <c r="D193" s="117"/>
      <c r="E193" s="90"/>
      <c r="F193" s="66"/>
      <c r="G193" s="66"/>
    </row>
    <row r="194" spans="1:7" x14ac:dyDescent="0.25">
      <c r="A194" s="65"/>
      <c r="B194" s="66"/>
      <c r="C194" s="90"/>
      <c r="D194" s="117"/>
      <c r="E194" s="90"/>
      <c r="F194" s="66"/>
      <c r="G194" s="66"/>
    </row>
    <row r="195" spans="1:7" x14ac:dyDescent="0.25">
      <c r="A195" s="65"/>
      <c r="B195" s="66"/>
      <c r="C195" s="90"/>
      <c r="D195" s="117"/>
      <c r="E195" s="90"/>
      <c r="F195" s="66"/>
      <c r="G195" s="66"/>
    </row>
    <row r="196" spans="1:7" x14ac:dyDescent="0.25">
      <c r="A196" s="65"/>
      <c r="B196" s="66"/>
      <c r="C196" s="90"/>
      <c r="D196" s="117"/>
      <c r="E196" s="90"/>
      <c r="F196" s="66"/>
      <c r="G196" s="66"/>
    </row>
    <row r="197" spans="1:7" x14ac:dyDescent="0.25">
      <c r="A197" s="65"/>
      <c r="B197" s="66"/>
      <c r="C197" s="90"/>
      <c r="D197" s="117"/>
      <c r="E197" s="90"/>
      <c r="F197" s="66"/>
      <c r="G197" s="66"/>
    </row>
    <row r="198" spans="1:7" x14ac:dyDescent="0.25">
      <c r="A198" s="65"/>
      <c r="B198" s="66"/>
      <c r="C198" s="90"/>
      <c r="D198" s="117"/>
      <c r="E198" s="90"/>
      <c r="F198" s="66"/>
      <c r="G198" s="66"/>
    </row>
    <row r="199" spans="1:7" x14ac:dyDescent="0.25">
      <c r="A199" s="65"/>
      <c r="B199" s="66"/>
      <c r="C199" s="90"/>
      <c r="D199" s="117"/>
      <c r="E199" s="90"/>
      <c r="F199" s="66"/>
      <c r="G199" s="66"/>
    </row>
    <row r="200" spans="1:7" x14ac:dyDescent="0.25">
      <c r="A200" s="65"/>
      <c r="B200" s="66"/>
      <c r="C200" s="90"/>
      <c r="D200" s="117"/>
      <c r="E200" s="90"/>
      <c r="F200" s="66"/>
      <c r="G200" s="66"/>
    </row>
    <row r="201" spans="1:7" x14ac:dyDescent="0.25">
      <c r="A201" s="65"/>
      <c r="B201" s="66"/>
      <c r="C201" s="90"/>
      <c r="D201" s="117"/>
      <c r="E201" s="90"/>
      <c r="F201" s="66"/>
      <c r="G201" s="66"/>
    </row>
    <row r="202" spans="1:7" x14ac:dyDescent="0.25">
      <c r="A202" s="65"/>
      <c r="B202" s="66"/>
      <c r="C202" s="90"/>
      <c r="D202" s="117"/>
      <c r="E202" s="90"/>
      <c r="F202" s="66"/>
      <c r="G202" s="66"/>
    </row>
    <row r="203" spans="1:7" x14ac:dyDescent="0.25">
      <c r="A203" s="65"/>
      <c r="B203" s="66"/>
      <c r="C203" s="90"/>
      <c r="D203" s="117"/>
      <c r="E203" s="90"/>
      <c r="F203" s="66"/>
      <c r="G203" s="66"/>
    </row>
    <row r="204" spans="1:7" x14ac:dyDescent="0.25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4" activePane="bottomLeft"/>
      <selection activeCell="A2" sqref="A2"/>
      <selection pane="bottomLeft" activeCell="A4" sqref="A4"/>
    </sheetView>
  </sheetViews>
  <sheetFormatPr baseColWidth="10" defaultColWidth="11.44140625" defaultRowHeight="13.8" x14ac:dyDescent="0.25"/>
  <cols>
    <col min="1" max="1" width="24.44140625" style="74" bestFit="1" customWidth="1"/>
    <col min="2" max="2" width="27.109375" style="72" bestFit="1" customWidth="1"/>
    <col min="3" max="3" width="7.44140625" style="132" customWidth="1"/>
    <col min="4" max="5" width="7.44140625" style="135" customWidth="1"/>
    <col min="6" max="6" width="6.6640625" style="48" customWidth="1"/>
    <col min="7" max="7" width="7.44140625" style="48" customWidth="1"/>
    <col min="8" max="8" width="11.44140625" style="48"/>
    <col min="9" max="9" width="11" style="48" customWidth="1"/>
    <col min="10" max="16384" width="11.44140625" style="48"/>
  </cols>
  <sheetData>
    <row r="1" spans="1:9" ht="159" customHeight="1" x14ac:dyDescent="0.25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 x14ac:dyDescent="0.3">
      <c r="A2" s="78" t="s">
        <v>273</v>
      </c>
      <c r="B2" s="79" t="s">
        <v>194</v>
      </c>
      <c r="C2" s="129"/>
      <c r="D2" s="130"/>
      <c r="E2" s="130"/>
    </row>
    <row r="3" spans="1:9" s="71" customFormat="1" ht="14.4" thickTop="1" x14ac:dyDescent="0.25">
      <c r="A3" s="67"/>
      <c r="B3" s="68"/>
      <c r="C3" s="131"/>
      <c r="D3" s="86"/>
      <c r="E3" s="86"/>
    </row>
    <row r="4" spans="1:9" x14ac:dyDescent="0.25">
      <c r="A4" s="140"/>
      <c r="D4" s="86"/>
      <c r="E4" s="86"/>
      <c r="I4" s="81"/>
    </row>
    <row r="5" spans="1:9" x14ac:dyDescent="0.25">
      <c r="A5" s="140"/>
      <c r="D5" s="86"/>
      <c r="E5" s="86"/>
      <c r="I5" s="81"/>
    </row>
    <row r="6" spans="1:9" x14ac:dyDescent="0.25">
      <c r="A6" s="67"/>
      <c r="D6" s="86"/>
      <c r="E6" s="86"/>
      <c r="I6" s="81"/>
    </row>
    <row r="7" spans="1:9" x14ac:dyDescent="0.25">
      <c r="A7" s="67"/>
      <c r="D7" s="86"/>
      <c r="E7" s="86"/>
      <c r="I7" s="81"/>
    </row>
    <row r="8" spans="1:9" x14ac:dyDescent="0.25">
      <c r="A8" s="67"/>
      <c r="D8" s="86"/>
      <c r="E8" s="86"/>
      <c r="I8" s="81"/>
    </row>
    <row r="9" spans="1:9" x14ac:dyDescent="0.25">
      <c r="A9" s="67"/>
      <c r="D9" s="86"/>
      <c r="E9" s="86"/>
      <c r="I9" s="81"/>
    </row>
    <row r="10" spans="1:9" x14ac:dyDescent="0.25">
      <c r="A10" s="67"/>
      <c r="D10" s="86"/>
      <c r="E10" s="86"/>
      <c r="I10" s="81"/>
    </row>
    <row r="11" spans="1:9" x14ac:dyDescent="0.25">
      <c r="A11" s="67"/>
      <c r="D11" s="86"/>
      <c r="E11" s="86"/>
      <c r="I11" s="81"/>
    </row>
    <row r="12" spans="1:9" x14ac:dyDescent="0.25">
      <c r="A12" s="67"/>
      <c r="D12" s="86"/>
      <c r="E12" s="86"/>
      <c r="I12" s="81"/>
    </row>
    <row r="13" spans="1:9" x14ac:dyDescent="0.25">
      <c r="A13" s="67"/>
      <c r="D13" s="86"/>
      <c r="E13" s="86"/>
      <c r="I13" s="81"/>
    </row>
    <row r="14" spans="1:9" x14ac:dyDescent="0.25">
      <c r="A14" s="67"/>
      <c r="D14" s="86"/>
      <c r="E14" s="86"/>
      <c r="I14" s="81"/>
    </row>
    <row r="15" spans="1:9" x14ac:dyDescent="0.25">
      <c r="A15" s="67"/>
      <c r="D15" s="86"/>
      <c r="E15" s="86"/>
      <c r="I15" s="81"/>
    </row>
    <row r="16" spans="1:9" x14ac:dyDescent="0.25">
      <c r="A16" s="86"/>
      <c r="B16" s="85"/>
      <c r="D16" s="86"/>
      <c r="E16" s="86"/>
      <c r="I16" s="81"/>
    </row>
    <row r="17" spans="1:9" x14ac:dyDescent="0.25">
      <c r="A17" s="67"/>
      <c r="D17" s="86"/>
      <c r="E17" s="86"/>
      <c r="I17" s="81"/>
    </row>
    <row r="18" spans="1:9" x14ac:dyDescent="0.25">
      <c r="A18" s="67"/>
      <c r="D18" s="86"/>
      <c r="E18" s="86"/>
      <c r="I18" s="81"/>
    </row>
    <row r="19" spans="1:9" x14ac:dyDescent="0.25">
      <c r="A19" s="67"/>
      <c r="D19" s="86"/>
      <c r="E19" s="86"/>
      <c r="I19" s="81"/>
    </row>
    <row r="20" spans="1:9" x14ac:dyDescent="0.25">
      <c r="A20" s="67"/>
      <c r="D20" s="86"/>
      <c r="E20" s="86"/>
      <c r="I20" s="81"/>
    </row>
    <row r="21" spans="1:9" x14ac:dyDescent="0.25">
      <c r="A21" s="67"/>
      <c r="D21" s="86"/>
      <c r="E21" s="86"/>
      <c r="I21" s="81"/>
    </row>
    <row r="22" spans="1:9" x14ac:dyDescent="0.25">
      <c r="A22" s="67"/>
      <c r="D22" s="86"/>
      <c r="E22" s="86"/>
      <c r="I22" s="81"/>
    </row>
    <row r="23" spans="1:9" x14ac:dyDescent="0.25">
      <c r="A23" s="67"/>
      <c r="D23" s="86"/>
      <c r="E23" s="86"/>
      <c r="I23" s="81"/>
    </row>
    <row r="24" spans="1:9" x14ac:dyDescent="0.25">
      <c r="A24" s="67"/>
      <c r="D24" s="86"/>
      <c r="E24" s="86"/>
      <c r="I24" s="81"/>
    </row>
    <row r="25" spans="1:9" x14ac:dyDescent="0.25">
      <c r="A25" s="67"/>
      <c r="D25" s="86"/>
      <c r="E25" s="86"/>
      <c r="I25" s="81"/>
    </row>
    <row r="26" spans="1:9" x14ac:dyDescent="0.25">
      <c r="A26" s="67"/>
      <c r="D26" s="86"/>
      <c r="E26" s="86"/>
      <c r="I26" s="81"/>
    </row>
    <row r="27" spans="1:9" x14ac:dyDescent="0.25">
      <c r="A27" s="67"/>
      <c r="D27" s="86"/>
      <c r="E27" s="86"/>
      <c r="I27" s="81"/>
    </row>
    <row r="28" spans="1:9" x14ac:dyDescent="0.25">
      <c r="A28" s="67"/>
      <c r="D28" s="86"/>
      <c r="E28" s="86"/>
      <c r="I28" s="81"/>
    </row>
    <row r="29" spans="1:9" x14ac:dyDescent="0.25">
      <c r="A29" s="67"/>
      <c r="D29" s="86"/>
      <c r="E29" s="86"/>
      <c r="I29" s="81"/>
    </row>
    <row r="30" spans="1:9" x14ac:dyDescent="0.25">
      <c r="A30" s="67"/>
      <c r="D30" s="86"/>
      <c r="E30" s="86"/>
      <c r="I30" s="81"/>
    </row>
    <row r="31" spans="1:9" x14ac:dyDescent="0.25">
      <c r="A31" s="67"/>
      <c r="D31" s="86"/>
      <c r="E31" s="86"/>
      <c r="I31" s="81"/>
    </row>
    <row r="32" spans="1:9" x14ac:dyDescent="0.25">
      <c r="A32" s="67"/>
      <c r="D32" s="86"/>
      <c r="E32" s="86"/>
      <c r="I32" s="81"/>
    </row>
    <row r="33" spans="1:9" x14ac:dyDescent="0.25">
      <c r="A33" s="67"/>
      <c r="D33" s="86"/>
      <c r="E33" s="86"/>
      <c r="I33" s="81"/>
    </row>
    <row r="34" spans="1:9" x14ac:dyDescent="0.25">
      <c r="A34" s="67"/>
      <c r="D34" s="86"/>
      <c r="E34" s="86"/>
      <c r="I34" s="81"/>
    </row>
    <row r="35" spans="1:9" x14ac:dyDescent="0.25">
      <c r="A35" s="67"/>
      <c r="D35" s="86"/>
      <c r="E35" s="86"/>
      <c r="I35" s="81"/>
    </row>
    <row r="36" spans="1:9" x14ac:dyDescent="0.25">
      <c r="A36" s="67"/>
      <c r="D36" s="86"/>
      <c r="E36" s="86"/>
      <c r="I36" s="81"/>
    </row>
    <row r="37" spans="1:9" x14ac:dyDescent="0.25">
      <c r="A37" s="67"/>
      <c r="D37" s="86"/>
      <c r="E37" s="86"/>
      <c r="I37" s="81"/>
    </row>
    <row r="38" spans="1:9" x14ac:dyDescent="0.25">
      <c r="A38" s="67"/>
      <c r="D38" s="86"/>
      <c r="E38" s="86"/>
      <c r="I38" s="81"/>
    </row>
    <row r="39" spans="1:9" x14ac:dyDescent="0.25">
      <c r="A39" s="67"/>
      <c r="D39" s="86"/>
      <c r="E39" s="86"/>
      <c r="I39" s="81"/>
    </row>
    <row r="40" spans="1:9" x14ac:dyDescent="0.25">
      <c r="A40" s="67"/>
      <c r="D40" s="86"/>
      <c r="E40" s="86"/>
      <c r="I40" s="81"/>
    </row>
    <row r="41" spans="1:9" x14ac:dyDescent="0.25">
      <c r="A41" s="67"/>
      <c r="D41" s="86"/>
      <c r="E41" s="86"/>
      <c r="I41" s="81"/>
    </row>
    <row r="42" spans="1:9" x14ac:dyDescent="0.25">
      <c r="A42" s="67"/>
      <c r="D42" s="86"/>
      <c r="E42" s="86"/>
      <c r="I42" s="81"/>
    </row>
    <row r="43" spans="1:9" x14ac:dyDescent="0.25">
      <c r="A43" s="67"/>
      <c r="D43" s="86"/>
      <c r="E43" s="86"/>
      <c r="I43" s="81"/>
    </row>
    <row r="44" spans="1:9" x14ac:dyDescent="0.25">
      <c r="A44" s="67"/>
      <c r="D44" s="86"/>
      <c r="E44" s="86"/>
      <c r="I44" s="81"/>
    </row>
    <row r="45" spans="1:9" x14ac:dyDescent="0.25">
      <c r="A45" s="67"/>
      <c r="D45" s="86"/>
      <c r="E45" s="86"/>
      <c r="I45" s="81"/>
    </row>
    <row r="46" spans="1:9" x14ac:dyDescent="0.25">
      <c r="A46" s="67"/>
      <c r="D46" s="86"/>
      <c r="E46" s="86"/>
      <c r="I46" s="81"/>
    </row>
    <row r="47" spans="1:9" x14ac:dyDescent="0.25">
      <c r="A47" s="67"/>
      <c r="D47" s="86"/>
      <c r="E47" s="86"/>
      <c r="I47" s="81"/>
    </row>
    <row r="48" spans="1:9" x14ac:dyDescent="0.25">
      <c r="A48" s="67"/>
      <c r="D48" s="86"/>
      <c r="E48" s="86"/>
      <c r="I48" s="81"/>
    </row>
    <row r="49" spans="1:9" x14ac:dyDescent="0.25">
      <c r="A49" s="67"/>
      <c r="D49" s="86"/>
      <c r="E49" s="86"/>
      <c r="I49" s="81"/>
    </row>
    <row r="50" spans="1:9" x14ac:dyDescent="0.25">
      <c r="A50" s="67"/>
      <c r="D50" s="86"/>
      <c r="E50" s="86"/>
      <c r="I50" s="81"/>
    </row>
    <row r="51" spans="1:9" x14ac:dyDescent="0.25">
      <c r="A51" s="67"/>
      <c r="D51" s="86"/>
      <c r="E51" s="86"/>
      <c r="I51" s="81"/>
    </row>
    <row r="52" spans="1:9" x14ac:dyDescent="0.25">
      <c r="A52" s="67"/>
      <c r="D52" s="86"/>
      <c r="E52" s="86"/>
      <c r="I52" s="81"/>
    </row>
    <row r="53" spans="1:9" x14ac:dyDescent="0.25">
      <c r="A53" s="67"/>
      <c r="D53" s="86"/>
      <c r="E53" s="86"/>
      <c r="I53" s="81"/>
    </row>
    <row r="54" spans="1:9" x14ac:dyDescent="0.25">
      <c r="A54" s="67"/>
      <c r="D54" s="86"/>
      <c r="E54" s="86"/>
      <c r="I54" s="81"/>
    </row>
    <row r="55" spans="1:9" x14ac:dyDescent="0.25">
      <c r="A55" s="67"/>
      <c r="D55" s="86"/>
      <c r="E55" s="86"/>
      <c r="I55" s="81"/>
    </row>
    <row r="56" spans="1:9" x14ac:dyDescent="0.25">
      <c r="A56" s="67"/>
      <c r="D56" s="86"/>
      <c r="E56" s="86"/>
      <c r="I56" s="81"/>
    </row>
    <row r="57" spans="1:9" x14ac:dyDescent="0.25">
      <c r="A57" s="67"/>
      <c r="D57" s="86"/>
      <c r="E57" s="86"/>
      <c r="I57" s="81"/>
    </row>
    <row r="58" spans="1:9" x14ac:dyDescent="0.25">
      <c r="A58" s="67"/>
      <c r="D58" s="86"/>
      <c r="E58" s="86"/>
      <c r="I58" s="81"/>
    </row>
    <row r="59" spans="1:9" x14ac:dyDescent="0.25">
      <c r="A59" s="67"/>
      <c r="D59" s="86"/>
      <c r="E59" s="86"/>
      <c r="I59" s="81"/>
    </row>
    <row r="60" spans="1:9" x14ac:dyDescent="0.25">
      <c r="A60" s="67"/>
      <c r="D60" s="86"/>
      <c r="E60" s="86"/>
      <c r="I60" s="81"/>
    </row>
    <row r="61" spans="1:9" x14ac:dyDescent="0.25">
      <c r="A61" s="86"/>
      <c r="B61" s="85"/>
      <c r="D61" s="86"/>
      <c r="E61" s="86"/>
      <c r="I61" s="81"/>
    </row>
    <row r="62" spans="1:9" x14ac:dyDescent="0.25">
      <c r="A62" s="67"/>
      <c r="D62" s="86"/>
      <c r="E62" s="86"/>
      <c r="I62" s="81"/>
    </row>
    <row r="63" spans="1:9" x14ac:dyDescent="0.25">
      <c r="A63" s="67"/>
      <c r="D63" s="86"/>
      <c r="E63" s="86"/>
      <c r="I63" s="81"/>
    </row>
    <row r="64" spans="1:9" x14ac:dyDescent="0.25">
      <c r="A64" s="67"/>
      <c r="C64" s="131"/>
      <c r="D64" s="86"/>
      <c r="E64" s="86"/>
      <c r="I64" s="81"/>
    </row>
    <row r="65" spans="1:9" x14ac:dyDescent="0.25">
      <c r="A65" s="67"/>
      <c r="D65" s="86"/>
      <c r="E65" s="86"/>
      <c r="I65" s="81"/>
    </row>
    <row r="66" spans="1:9" x14ac:dyDescent="0.25">
      <c r="A66" s="67"/>
      <c r="B66" s="85"/>
      <c r="D66" s="86"/>
      <c r="E66" s="86"/>
      <c r="I66" s="81"/>
    </row>
    <row r="67" spans="1:9" x14ac:dyDescent="0.25">
      <c r="A67" s="67"/>
      <c r="C67" s="131"/>
      <c r="D67" s="86"/>
      <c r="E67" s="86"/>
      <c r="I67" s="81"/>
    </row>
    <row r="68" spans="1:9" x14ac:dyDescent="0.25">
      <c r="A68" s="67"/>
      <c r="D68" s="86"/>
      <c r="E68" s="86"/>
      <c r="I68" s="81"/>
    </row>
    <row r="69" spans="1:9" x14ac:dyDescent="0.25">
      <c r="A69" s="67"/>
      <c r="D69" s="86"/>
      <c r="E69" s="86"/>
      <c r="I69" s="81"/>
    </row>
    <row r="70" spans="1:9" x14ac:dyDescent="0.25">
      <c r="A70" s="67"/>
      <c r="D70" s="86"/>
      <c r="E70" s="86"/>
      <c r="I70" s="81"/>
    </row>
    <row r="71" spans="1:9" x14ac:dyDescent="0.25">
      <c r="A71" s="67"/>
      <c r="D71" s="86"/>
      <c r="E71" s="86"/>
      <c r="I71" s="81"/>
    </row>
    <row r="72" spans="1:9" x14ac:dyDescent="0.25">
      <c r="A72" s="67"/>
      <c r="D72" s="86"/>
      <c r="E72" s="86"/>
      <c r="I72" s="81"/>
    </row>
    <row r="73" spans="1:9" x14ac:dyDescent="0.25">
      <c r="A73" s="67"/>
      <c r="D73" s="86"/>
      <c r="E73" s="86"/>
      <c r="I73" s="81"/>
    </row>
    <row r="74" spans="1:9" x14ac:dyDescent="0.25">
      <c r="A74" s="67"/>
      <c r="D74" s="86"/>
      <c r="E74" s="86"/>
      <c r="I74" s="81"/>
    </row>
    <row r="75" spans="1:9" x14ac:dyDescent="0.25">
      <c r="A75" s="67"/>
      <c r="D75" s="86"/>
      <c r="E75" s="86"/>
      <c r="I75" s="81"/>
    </row>
    <row r="76" spans="1:9" x14ac:dyDescent="0.25">
      <c r="A76" s="67"/>
      <c r="D76" s="86"/>
      <c r="E76" s="86"/>
      <c r="I76" s="81"/>
    </row>
    <row r="77" spans="1:9" x14ac:dyDescent="0.25">
      <c r="A77" s="67"/>
      <c r="D77" s="86"/>
      <c r="E77" s="86"/>
      <c r="I77" s="81"/>
    </row>
    <row r="78" spans="1:9" x14ac:dyDescent="0.25">
      <c r="A78" s="67"/>
      <c r="D78" s="86"/>
      <c r="E78" s="86"/>
      <c r="I78" s="81"/>
    </row>
    <row r="79" spans="1:9" x14ac:dyDescent="0.25">
      <c r="A79" s="67"/>
      <c r="D79" s="86"/>
      <c r="E79" s="86"/>
      <c r="I79" s="81"/>
    </row>
    <row r="80" spans="1:9" x14ac:dyDescent="0.25">
      <c r="A80" s="67"/>
      <c r="D80" s="86"/>
      <c r="E80" s="86"/>
      <c r="I80" s="81"/>
    </row>
    <row r="81" spans="1:9" x14ac:dyDescent="0.25">
      <c r="A81" s="67"/>
      <c r="D81" s="86"/>
      <c r="E81" s="86"/>
      <c r="I81" s="81"/>
    </row>
    <row r="82" spans="1:9" x14ac:dyDescent="0.25">
      <c r="A82" s="67"/>
      <c r="D82" s="86"/>
      <c r="E82" s="86"/>
      <c r="I82" s="81"/>
    </row>
    <row r="83" spans="1:9" x14ac:dyDescent="0.25">
      <c r="A83" s="67"/>
      <c r="D83" s="86"/>
      <c r="E83" s="86"/>
      <c r="I83" s="81"/>
    </row>
    <row r="84" spans="1:9" x14ac:dyDescent="0.25">
      <c r="A84" s="67"/>
      <c r="D84" s="86"/>
      <c r="E84" s="86"/>
      <c r="I84" s="81"/>
    </row>
    <row r="85" spans="1:9" x14ac:dyDescent="0.25">
      <c r="A85" s="67"/>
      <c r="D85" s="86"/>
      <c r="E85" s="86"/>
      <c r="I85" s="81"/>
    </row>
    <row r="86" spans="1:9" x14ac:dyDescent="0.25">
      <c r="A86" s="67"/>
      <c r="D86" s="86"/>
      <c r="E86" s="86"/>
      <c r="I86" s="81"/>
    </row>
    <row r="87" spans="1:9" x14ac:dyDescent="0.25">
      <c r="A87" s="67"/>
      <c r="D87" s="86"/>
      <c r="E87" s="86"/>
      <c r="I87" s="81"/>
    </row>
    <row r="88" spans="1:9" x14ac:dyDescent="0.25">
      <c r="A88" s="67"/>
      <c r="D88" s="86"/>
      <c r="E88" s="86"/>
      <c r="I88" s="81"/>
    </row>
    <row r="89" spans="1:9" x14ac:dyDescent="0.25">
      <c r="A89" s="67"/>
      <c r="D89" s="86"/>
      <c r="E89" s="86"/>
      <c r="I89" s="81"/>
    </row>
    <row r="90" spans="1:9" x14ac:dyDescent="0.25">
      <c r="A90" s="67"/>
      <c r="D90" s="86"/>
      <c r="E90" s="86"/>
      <c r="I90" s="81"/>
    </row>
    <row r="91" spans="1:9" x14ac:dyDescent="0.25">
      <c r="A91" s="83"/>
      <c r="B91" s="84"/>
      <c r="D91" s="86"/>
      <c r="E91" s="86"/>
    </row>
    <row r="92" spans="1:9" x14ac:dyDescent="0.25">
      <c r="A92" s="83"/>
      <c r="B92" s="84"/>
      <c r="D92" s="86"/>
      <c r="E92" s="86"/>
    </row>
    <row r="93" spans="1:9" x14ac:dyDescent="0.25">
      <c r="A93" s="83"/>
      <c r="B93" s="84"/>
      <c r="D93" s="86"/>
      <c r="E93" s="86"/>
    </row>
    <row r="94" spans="1:9" x14ac:dyDescent="0.25">
      <c r="A94" s="83"/>
      <c r="B94" s="84"/>
      <c r="D94" s="86"/>
      <c r="E94" s="86"/>
    </row>
    <row r="95" spans="1:9" x14ac:dyDescent="0.25">
      <c r="A95" s="83"/>
      <c r="B95" s="84"/>
      <c r="D95" s="86"/>
      <c r="E95" s="86"/>
    </row>
    <row r="96" spans="1:9" x14ac:dyDescent="0.25">
      <c r="A96" s="83"/>
      <c r="B96" s="84"/>
      <c r="D96" s="133"/>
      <c r="E96" s="134"/>
    </row>
    <row r="97" spans="1:5" x14ac:dyDescent="0.25">
      <c r="A97" s="83"/>
      <c r="B97" s="84"/>
      <c r="D97" s="133"/>
      <c r="E97" s="134"/>
    </row>
    <row r="98" spans="1:5" x14ac:dyDescent="0.25">
      <c r="A98" s="83"/>
      <c r="B98" s="84"/>
      <c r="D98" s="133"/>
      <c r="E98" s="134"/>
    </row>
    <row r="99" spans="1:5" x14ac:dyDescent="0.25">
      <c r="A99" s="83"/>
      <c r="B99" s="84"/>
      <c r="D99" s="133"/>
      <c r="E99" s="134"/>
    </row>
    <row r="100" spans="1:5" x14ac:dyDescent="0.25">
      <c r="A100" s="83"/>
      <c r="B100" s="84"/>
      <c r="D100" s="133"/>
      <c r="E100" s="134"/>
    </row>
    <row r="101" spans="1:5" x14ac:dyDescent="0.25">
      <c r="A101" s="83"/>
      <c r="B101" s="84"/>
      <c r="D101" s="133"/>
      <c r="E101" s="134"/>
    </row>
    <row r="102" spans="1:5" x14ac:dyDescent="0.25">
      <c r="A102" s="83"/>
      <c r="B102" s="84"/>
      <c r="D102" s="133"/>
      <c r="E102" s="134"/>
    </row>
    <row r="103" spans="1:5" x14ac:dyDescent="0.25">
      <c r="A103" s="83"/>
      <c r="B103" s="84"/>
      <c r="D103" s="133"/>
      <c r="E103" s="134"/>
    </row>
    <row r="104" spans="1:5" x14ac:dyDescent="0.25">
      <c r="A104" s="83"/>
      <c r="B104" s="84"/>
      <c r="D104" s="133"/>
      <c r="E104" s="134"/>
    </row>
    <row r="105" spans="1:5" x14ac:dyDescent="0.25">
      <c r="A105" s="83"/>
      <c r="B105" s="84"/>
      <c r="D105" s="133"/>
      <c r="E105" s="134"/>
    </row>
    <row r="106" spans="1:5" x14ac:dyDescent="0.25">
      <c r="A106" s="83"/>
      <c r="B106" s="84"/>
      <c r="D106" s="133"/>
      <c r="E106" s="134"/>
    </row>
    <row r="107" spans="1:5" x14ac:dyDescent="0.25">
      <c r="A107" s="83"/>
      <c r="B107" s="84"/>
      <c r="D107" s="133"/>
    </row>
    <row r="108" spans="1:5" x14ac:dyDescent="0.25">
      <c r="A108" s="83"/>
      <c r="B108" s="84"/>
      <c r="D108" s="133"/>
    </row>
    <row r="109" spans="1:5" x14ac:dyDescent="0.25">
      <c r="A109" s="83"/>
      <c r="B109" s="84"/>
      <c r="D109" s="133"/>
    </row>
    <row r="110" spans="1:5" x14ac:dyDescent="0.25">
      <c r="A110" s="83"/>
      <c r="B110" s="84"/>
      <c r="D110" s="133"/>
    </row>
    <row r="111" spans="1:5" x14ac:dyDescent="0.25">
      <c r="A111" s="83"/>
      <c r="B111" s="84"/>
      <c r="D111" s="133"/>
    </row>
    <row r="112" spans="1:5" x14ac:dyDescent="0.25">
      <c r="A112" s="83"/>
      <c r="B112" s="84"/>
      <c r="D112" s="133"/>
    </row>
    <row r="113" spans="1:5" x14ac:dyDescent="0.25">
      <c r="A113" s="83"/>
      <c r="B113" s="84"/>
      <c r="D113" s="133"/>
    </row>
    <row r="114" spans="1:5" x14ac:dyDescent="0.25">
      <c r="A114" s="83"/>
      <c r="B114" s="84"/>
      <c r="D114" s="133"/>
    </row>
    <row r="115" spans="1:5" x14ac:dyDescent="0.25">
      <c r="A115" s="83"/>
      <c r="B115" s="84"/>
      <c r="D115" s="133"/>
    </row>
    <row r="116" spans="1:5" x14ac:dyDescent="0.25">
      <c r="A116" s="83"/>
      <c r="B116" s="84"/>
      <c r="D116" s="133"/>
    </row>
    <row r="117" spans="1:5" x14ac:dyDescent="0.25">
      <c r="A117" s="83"/>
      <c r="B117" s="84"/>
      <c r="D117" s="133"/>
    </row>
    <row r="118" spans="1:5" x14ac:dyDescent="0.25">
      <c r="A118" s="83"/>
      <c r="B118" s="84"/>
      <c r="D118" s="133"/>
      <c r="E118" s="133"/>
    </row>
    <row r="119" spans="1:5" x14ac:dyDescent="0.25">
      <c r="A119" s="83"/>
      <c r="B119" s="84"/>
      <c r="D119" s="133"/>
      <c r="E119" s="133"/>
    </row>
    <row r="120" spans="1:5" x14ac:dyDescent="0.25">
      <c r="A120" s="83"/>
      <c r="B120" s="84"/>
      <c r="D120" s="133"/>
      <c r="E120" s="133"/>
    </row>
    <row r="121" spans="1:5" x14ac:dyDescent="0.25">
      <c r="A121" s="83"/>
      <c r="D121" s="133"/>
      <c r="E121" s="133"/>
    </row>
    <row r="122" spans="1:5" x14ac:dyDescent="0.25">
      <c r="A122" s="83"/>
      <c r="D122" s="133"/>
      <c r="E122" s="133"/>
    </row>
    <row r="124" spans="1:5" x14ac:dyDescent="0.25">
      <c r="B124" s="84"/>
      <c r="D124" s="86"/>
      <c r="E124" s="86"/>
    </row>
    <row r="125" spans="1:5" x14ac:dyDescent="0.25">
      <c r="B125" s="84"/>
      <c r="D125" s="86"/>
      <c r="E125" s="86"/>
    </row>
    <row r="126" spans="1:5" x14ac:dyDescent="0.25">
      <c r="B126" s="84"/>
      <c r="D126" s="86"/>
      <c r="E126" s="86"/>
    </row>
    <row r="127" spans="1:5" x14ac:dyDescent="0.2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 x14ac:dyDescent="0.3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 x14ac:dyDescent="0.3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 x14ac:dyDescent="0.3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 x14ac:dyDescent="0.3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 x14ac:dyDescent="0.3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 x14ac:dyDescent="0.3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 x14ac:dyDescent="0.3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 x14ac:dyDescent="0.3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 x14ac:dyDescent="0.3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 x14ac:dyDescent="0.3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 x14ac:dyDescent="0.3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 x14ac:dyDescent="0.3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 x14ac:dyDescent="0.3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 x14ac:dyDescent="0.3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 x14ac:dyDescent="0.3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 x14ac:dyDescent="0.3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 x14ac:dyDescent="0.3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 x14ac:dyDescent="0.3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 x14ac:dyDescent="0.3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 x14ac:dyDescent="0.3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 x14ac:dyDescent="0.3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 x14ac:dyDescent="0.3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 x14ac:dyDescent="0.3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 x14ac:dyDescent="0.3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 x14ac:dyDescent="0.3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 x14ac:dyDescent="0.3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 x14ac:dyDescent="0.3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 x14ac:dyDescent="0.3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 x14ac:dyDescent="0.3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 x14ac:dyDescent="0.3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 x14ac:dyDescent="0.3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 x14ac:dyDescent="0.3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 x14ac:dyDescent="0.3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 x14ac:dyDescent="0.3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 x14ac:dyDescent="0.3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 x14ac:dyDescent="0.3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 x14ac:dyDescent="0.3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 x14ac:dyDescent="0.3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 x14ac:dyDescent="0.3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 x14ac:dyDescent="0.3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 x14ac:dyDescent="0.3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 x14ac:dyDescent="0.3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 x14ac:dyDescent="0.3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 x14ac:dyDescent="0.3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 x14ac:dyDescent="0.3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 x14ac:dyDescent="0.3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 x14ac:dyDescent="0.3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 x14ac:dyDescent="0.3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 x14ac:dyDescent="0.3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 x14ac:dyDescent="0.3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 x14ac:dyDescent="0.3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 x14ac:dyDescent="0.3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 x14ac:dyDescent="0.3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 x14ac:dyDescent="0.3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 x14ac:dyDescent="0.3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 x14ac:dyDescent="0.3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 x14ac:dyDescent="0.3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 x14ac:dyDescent="0.3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 x14ac:dyDescent="0.3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 x14ac:dyDescent="0.3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 x14ac:dyDescent="0.3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 x14ac:dyDescent="0.3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 x14ac:dyDescent="0.3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 x14ac:dyDescent="0.3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 x14ac:dyDescent="0.3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 x14ac:dyDescent="0.3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 x14ac:dyDescent="0.3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 x14ac:dyDescent="0.3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 x14ac:dyDescent="0.3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 x14ac:dyDescent="0.3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 x14ac:dyDescent="0.3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 x14ac:dyDescent="0.3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 x14ac:dyDescent="0.3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 x14ac:dyDescent="0.3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 x14ac:dyDescent="0.3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 x14ac:dyDescent="0.3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 x14ac:dyDescent="0.3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 x14ac:dyDescent="0.3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 x14ac:dyDescent="0.3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 x14ac:dyDescent="0.3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 x14ac:dyDescent="0.3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 x14ac:dyDescent="0.3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 x14ac:dyDescent="0.3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 x14ac:dyDescent="0.3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 x14ac:dyDescent="0.3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 x14ac:dyDescent="0.3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 x14ac:dyDescent="0.3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 x14ac:dyDescent="0.3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 x14ac:dyDescent="0.3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 x14ac:dyDescent="0.3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 x14ac:dyDescent="0.3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 x14ac:dyDescent="0.3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 x14ac:dyDescent="0.3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 x14ac:dyDescent="0.3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 x14ac:dyDescent="0.3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 x14ac:dyDescent="0.3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 x14ac:dyDescent="0.3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 x14ac:dyDescent="0.3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 x14ac:dyDescent="0.3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 x14ac:dyDescent="0.3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 x14ac:dyDescent="0.3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 x14ac:dyDescent="0.3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 x14ac:dyDescent="0.3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 x14ac:dyDescent="0.3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 x14ac:dyDescent="0.3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 x14ac:dyDescent="0.3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 x14ac:dyDescent="0.3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 x14ac:dyDescent="0.3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 x14ac:dyDescent="0.3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 x14ac:dyDescent="0.3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 x14ac:dyDescent="0.3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 x14ac:dyDescent="0.3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 x14ac:dyDescent="0.3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 x14ac:dyDescent="0.3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 x14ac:dyDescent="0.3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 x14ac:dyDescent="0.3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 x14ac:dyDescent="0.3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 x14ac:dyDescent="0.3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 x14ac:dyDescent="0.3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 x14ac:dyDescent="0.3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 x14ac:dyDescent="0.3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 x14ac:dyDescent="0.3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 x14ac:dyDescent="0.3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 x14ac:dyDescent="0.3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 x14ac:dyDescent="0.3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 x14ac:dyDescent="0.3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 x14ac:dyDescent="0.3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 x14ac:dyDescent="0.3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 x14ac:dyDescent="0.3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 x14ac:dyDescent="0.3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 x14ac:dyDescent="0.3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 x14ac:dyDescent="0.3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 x14ac:dyDescent="0.3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 x14ac:dyDescent="0.3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 x14ac:dyDescent="0.3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 x14ac:dyDescent="0.3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 x14ac:dyDescent="0.3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 x14ac:dyDescent="0.3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 x14ac:dyDescent="0.3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 x14ac:dyDescent="0.3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 x14ac:dyDescent="0.3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 x14ac:dyDescent="0.3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 x14ac:dyDescent="0.3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 x14ac:dyDescent="0.3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 x14ac:dyDescent="0.3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 x14ac:dyDescent="0.3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 x14ac:dyDescent="0.3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 x14ac:dyDescent="0.3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 x14ac:dyDescent="0.3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 x14ac:dyDescent="0.3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 x14ac:dyDescent="0.3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 x14ac:dyDescent="0.3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 x14ac:dyDescent="0.3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 x14ac:dyDescent="0.3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 x14ac:dyDescent="0.3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 x14ac:dyDescent="0.3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 x14ac:dyDescent="0.3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 x14ac:dyDescent="0.3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 x14ac:dyDescent="0.3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 x14ac:dyDescent="0.3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 x14ac:dyDescent="0.3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 x14ac:dyDescent="0.3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 x14ac:dyDescent="0.3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 x14ac:dyDescent="0.3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 x14ac:dyDescent="0.3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 x14ac:dyDescent="0.3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 x14ac:dyDescent="0.3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 x14ac:dyDescent="0.3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 x14ac:dyDescent="0.3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 x14ac:dyDescent="0.3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 x14ac:dyDescent="0.3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 x14ac:dyDescent="0.3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 x14ac:dyDescent="0.3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 x14ac:dyDescent="0.3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 x14ac:dyDescent="0.3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 x14ac:dyDescent="0.3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 x14ac:dyDescent="0.3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 x14ac:dyDescent="0.3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 x14ac:dyDescent="0.3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 x14ac:dyDescent="0.3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 x14ac:dyDescent="0.3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 x14ac:dyDescent="0.3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 x14ac:dyDescent="0.3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 x14ac:dyDescent="0.3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 x14ac:dyDescent="0.3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 x14ac:dyDescent="0.3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 x14ac:dyDescent="0.3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 x14ac:dyDescent="0.3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 x14ac:dyDescent="0.3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 x14ac:dyDescent="0.3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 x14ac:dyDescent="0.3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 x14ac:dyDescent="0.3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 x14ac:dyDescent="0.3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 x14ac:dyDescent="0.3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 x14ac:dyDescent="0.3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 x14ac:dyDescent="0.3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 x14ac:dyDescent="0.3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 x14ac:dyDescent="0.3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 x14ac:dyDescent="0.3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 x14ac:dyDescent="0.3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 x14ac:dyDescent="0.3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 x14ac:dyDescent="0.3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 x14ac:dyDescent="0.3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 x14ac:dyDescent="0.3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 x14ac:dyDescent="0.3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 x14ac:dyDescent="0.3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 x14ac:dyDescent="0.3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 x14ac:dyDescent="0.3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 x14ac:dyDescent="0.3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 x14ac:dyDescent="0.3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 x14ac:dyDescent="0.3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 x14ac:dyDescent="0.3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 x14ac:dyDescent="0.3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 x14ac:dyDescent="0.3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 x14ac:dyDescent="0.3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 x14ac:dyDescent="0.3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 x14ac:dyDescent="0.3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 x14ac:dyDescent="0.3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 x14ac:dyDescent="0.3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 x14ac:dyDescent="0.3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 x14ac:dyDescent="0.3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 x14ac:dyDescent="0.3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 x14ac:dyDescent="0.3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 x14ac:dyDescent="0.3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 x14ac:dyDescent="0.3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 x14ac:dyDescent="0.3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 x14ac:dyDescent="0.3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 x14ac:dyDescent="0.3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 x14ac:dyDescent="0.3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 x14ac:dyDescent="0.3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 x14ac:dyDescent="0.3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 x14ac:dyDescent="0.3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 x14ac:dyDescent="0.3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 x14ac:dyDescent="0.3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 x14ac:dyDescent="0.3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 x14ac:dyDescent="0.3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 x14ac:dyDescent="0.3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 x14ac:dyDescent="0.3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 x14ac:dyDescent="0.3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 x14ac:dyDescent="0.3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 x14ac:dyDescent="0.3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 x14ac:dyDescent="0.3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 x14ac:dyDescent="0.3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 x14ac:dyDescent="0.3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 x14ac:dyDescent="0.3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 x14ac:dyDescent="0.3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 x14ac:dyDescent="0.3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 x14ac:dyDescent="0.3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 x14ac:dyDescent="0.3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 x14ac:dyDescent="0.3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 x14ac:dyDescent="0.3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 x14ac:dyDescent="0.3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 x14ac:dyDescent="0.3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 x14ac:dyDescent="0.3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 x14ac:dyDescent="0.3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 x14ac:dyDescent="0.3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 x14ac:dyDescent="0.3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 x14ac:dyDescent="0.3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 x14ac:dyDescent="0.3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 x14ac:dyDescent="0.3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 x14ac:dyDescent="0.3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 x14ac:dyDescent="0.3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 x14ac:dyDescent="0.3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 x14ac:dyDescent="0.3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 x14ac:dyDescent="0.3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 x14ac:dyDescent="0.3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 x14ac:dyDescent="0.3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 x14ac:dyDescent="0.3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 x14ac:dyDescent="0.3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 x14ac:dyDescent="0.3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 x14ac:dyDescent="0.3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 x14ac:dyDescent="0.3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 x14ac:dyDescent="0.3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 x14ac:dyDescent="0.3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 x14ac:dyDescent="0.3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 x14ac:dyDescent="0.3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 x14ac:dyDescent="0.3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 x14ac:dyDescent="0.3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 x14ac:dyDescent="0.3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 x14ac:dyDescent="0.3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 x14ac:dyDescent="0.3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 x14ac:dyDescent="0.3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 x14ac:dyDescent="0.3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 x14ac:dyDescent="0.3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 x14ac:dyDescent="0.3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 x14ac:dyDescent="0.3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 x14ac:dyDescent="0.3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 x14ac:dyDescent="0.3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 x14ac:dyDescent="0.3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 x14ac:dyDescent="0.3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 x14ac:dyDescent="0.3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 x14ac:dyDescent="0.3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 x14ac:dyDescent="0.3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 x14ac:dyDescent="0.3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 x14ac:dyDescent="0.3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 x14ac:dyDescent="0.3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 x14ac:dyDescent="0.3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 x14ac:dyDescent="0.3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 x14ac:dyDescent="0.3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 x14ac:dyDescent="0.3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 x14ac:dyDescent="0.3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 x14ac:dyDescent="0.3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 x14ac:dyDescent="0.3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 x14ac:dyDescent="0.3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 x14ac:dyDescent="0.3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 x14ac:dyDescent="0.3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 x14ac:dyDescent="0.3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 x14ac:dyDescent="0.3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 x14ac:dyDescent="0.3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 x14ac:dyDescent="0.3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 x14ac:dyDescent="0.3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 x14ac:dyDescent="0.3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 x14ac:dyDescent="0.3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 x14ac:dyDescent="0.3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 x14ac:dyDescent="0.3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 x14ac:dyDescent="0.3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 x14ac:dyDescent="0.3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 x14ac:dyDescent="0.3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 x14ac:dyDescent="0.3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 x14ac:dyDescent="0.3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 x14ac:dyDescent="0.3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 x14ac:dyDescent="0.3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 x14ac:dyDescent="0.3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 x14ac:dyDescent="0.3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 x14ac:dyDescent="0.3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 x14ac:dyDescent="0.3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 x14ac:dyDescent="0.3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 x14ac:dyDescent="0.3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 x14ac:dyDescent="0.3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 x14ac:dyDescent="0.3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 x14ac:dyDescent="0.3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 x14ac:dyDescent="0.3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 x14ac:dyDescent="0.3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 x14ac:dyDescent="0.3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 x14ac:dyDescent="0.3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 x14ac:dyDescent="0.3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 x14ac:dyDescent="0.3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 x14ac:dyDescent="0.3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 x14ac:dyDescent="0.3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 x14ac:dyDescent="0.3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 x14ac:dyDescent="0.3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 x14ac:dyDescent="0.3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 x14ac:dyDescent="0.3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 x14ac:dyDescent="0.3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 x14ac:dyDescent="0.3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 x14ac:dyDescent="0.3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 x14ac:dyDescent="0.3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 x14ac:dyDescent="0.3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 x14ac:dyDescent="0.3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 x14ac:dyDescent="0.3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 x14ac:dyDescent="0.3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 x14ac:dyDescent="0.3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 x14ac:dyDescent="0.3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 x14ac:dyDescent="0.3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 x14ac:dyDescent="0.3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 x14ac:dyDescent="0.3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 x14ac:dyDescent="0.3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 x14ac:dyDescent="0.3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 x14ac:dyDescent="0.3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 x14ac:dyDescent="0.3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 x14ac:dyDescent="0.3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 x14ac:dyDescent="0.3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 x14ac:dyDescent="0.3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 x14ac:dyDescent="0.3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 x14ac:dyDescent="0.3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 x14ac:dyDescent="0.3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 x14ac:dyDescent="0.3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 x14ac:dyDescent="0.3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 x14ac:dyDescent="0.3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 x14ac:dyDescent="0.3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 x14ac:dyDescent="0.3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 x14ac:dyDescent="0.3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 x14ac:dyDescent="0.3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 x14ac:dyDescent="0.3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 x14ac:dyDescent="0.3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 x14ac:dyDescent="0.3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 x14ac:dyDescent="0.3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 x14ac:dyDescent="0.3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 x14ac:dyDescent="0.3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 x14ac:dyDescent="0.3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 x14ac:dyDescent="0.3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 x14ac:dyDescent="0.3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 x14ac:dyDescent="0.3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 x14ac:dyDescent="0.3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 x14ac:dyDescent="0.3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 x14ac:dyDescent="0.3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 x14ac:dyDescent="0.3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 x14ac:dyDescent="0.3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 x14ac:dyDescent="0.3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 x14ac:dyDescent="0.3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 x14ac:dyDescent="0.3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 x14ac:dyDescent="0.3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 x14ac:dyDescent="0.3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 x14ac:dyDescent="0.3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 x14ac:dyDescent="0.3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 x14ac:dyDescent="0.3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 x14ac:dyDescent="0.3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 x14ac:dyDescent="0.3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 x14ac:dyDescent="0.3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 x14ac:dyDescent="0.3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 x14ac:dyDescent="0.3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 x14ac:dyDescent="0.3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 x14ac:dyDescent="0.3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 x14ac:dyDescent="0.3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 x14ac:dyDescent="0.3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 x14ac:dyDescent="0.3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 x14ac:dyDescent="0.3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 x14ac:dyDescent="0.3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 x14ac:dyDescent="0.3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 x14ac:dyDescent="0.3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 x14ac:dyDescent="0.3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 x14ac:dyDescent="0.3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 x14ac:dyDescent="0.3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 x14ac:dyDescent="0.3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 x14ac:dyDescent="0.3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 x14ac:dyDescent="0.3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 x14ac:dyDescent="0.3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 x14ac:dyDescent="0.3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 x14ac:dyDescent="0.3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 x14ac:dyDescent="0.3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 x14ac:dyDescent="0.3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 x14ac:dyDescent="0.3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 x14ac:dyDescent="0.3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 x14ac:dyDescent="0.3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 x14ac:dyDescent="0.3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 x14ac:dyDescent="0.3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 x14ac:dyDescent="0.3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 x14ac:dyDescent="0.3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 x14ac:dyDescent="0.3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 x14ac:dyDescent="0.3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 x14ac:dyDescent="0.3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 x14ac:dyDescent="0.3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 x14ac:dyDescent="0.3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 x14ac:dyDescent="0.3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 x14ac:dyDescent="0.3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 x14ac:dyDescent="0.3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 x14ac:dyDescent="0.3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 x14ac:dyDescent="0.3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 x14ac:dyDescent="0.3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 x14ac:dyDescent="0.3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 x14ac:dyDescent="0.3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 x14ac:dyDescent="0.3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 x14ac:dyDescent="0.3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 x14ac:dyDescent="0.3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 x14ac:dyDescent="0.3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 x14ac:dyDescent="0.3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 x14ac:dyDescent="0.3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 x14ac:dyDescent="0.3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 x14ac:dyDescent="0.3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 x14ac:dyDescent="0.3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 x14ac:dyDescent="0.3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/>
  </sheetViews>
  <sheetFormatPr baseColWidth="10" defaultColWidth="11.5546875" defaultRowHeight="14.4" x14ac:dyDescent="0.3"/>
  <cols>
    <col min="1" max="5" width="3.44140625" style="145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00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6" customFormat="1" ht="40.799999999999997" x14ac:dyDescent="0.3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 x14ac:dyDescent="0.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 x14ac:dyDescent="0.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 x14ac:dyDescent="0.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 x14ac:dyDescent="0.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 x14ac:dyDescent="0.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 x14ac:dyDescent="0.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 x14ac:dyDescent="0.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 x14ac:dyDescent="0.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 x14ac:dyDescent="0.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 x14ac:dyDescent="0.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 x14ac:dyDescent="0.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 x14ac:dyDescent="0.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 x14ac:dyDescent="0.3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 x14ac:dyDescent="0.3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 x14ac:dyDescent="0.3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 x14ac:dyDescent="0.3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 x14ac:dyDescent="0.3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 x14ac:dyDescent="0.3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 x14ac:dyDescent="0.3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 x14ac:dyDescent="0.3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 x14ac:dyDescent="0.3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 x14ac:dyDescent="0.3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 x14ac:dyDescent="0.3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 x14ac:dyDescent="0.3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 x14ac:dyDescent="0.3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 x14ac:dyDescent="0.3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 x14ac:dyDescent="0.3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 x14ac:dyDescent="0.3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 x14ac:dyDescent="0.3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 x14ac:dyDescent="0.3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 x14ac:dyDescent="0.3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 x14ac:dyDescent="0.3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 x14ac:dyDescent="0.3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 x14ac:dyDescent="0.3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 x14ac:dyDescent="0.3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 x14ac:dyDescent="0.3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 x14ac:dyDescent="0.3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 x14ac:dyDescent="0.3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 x14ac:dyDescent="0.3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 x14ac:dyDescent="0.3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 x14ac:dyDescent="0.3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 x14ac:dyDescent="0.3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 x14ac:dyDescent="0.3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 x14ac:dyDescent="0.3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 x14ac:dyDescent="0.3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 x14ac:dyDescent="0.3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 x14ac:dyDescent="0.3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 x14ac:dyDescent="0.3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 x14ac:dyDescent="0.3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 x14ac:dyDescent="0.3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 x14ac:dyDescent="0.3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 x14ac:dyDescent="0.3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 x14ac:dyDescent="0.3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 x14ac:dyDescent="0.3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 x14ac:dyDescent="0.3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 x14ac:dyDescent="0.3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 x14ac:dyDescent="0.3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 x14ac:dyDescent="0.3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 x14ac:dyDescent="0.3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 x14ac:dyDescent="0.3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 x14ac:dyDescent="0.3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 x14ac:dyDescent="0.3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 x14ac:dyDescent="0.3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 x14ac:dyDescent="0.3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 x14ac:dyDescent="0.3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 x14ac:dyDescent="0.3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 x14ac:dyDescent="0.3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 x14ac:dyDescent="0.3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 x14ac:dyDescent="0.3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 x14ac:dyDescent="0.3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 x14ac:dyDescent="0.3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 x14ac:dyDescent="0.3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 x14ac:dyDescent="0.3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 x14ac:dyDescent="0.3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 x14ac:dyDescent="0.3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 x14ac:dyDescent="0.3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 x14ac:dyDescent="0.3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 x14ac:dyDescent="0.3">
      <c r="L672" s="200" t="str">
        <f>IFERROR(VLOOKUP($H672,PARAMETERS!$M$3:$M$1600,1,0),"---")</f>
        <v>---</v>
      </c>
    </row>
    <row r="673" spans="12:12" x14ac:dyDescent="0.3">
      <c r="L673" s="200" t="str">
        <f>IFERROR(VLOOKUP($H673,PARAMETERS!$M$3:$M$1600,1,0),"---")</f>
        <v>---</v>
      </c>
    </row>
    <row r="674" spans="12:12" x14ac:dyDescent="0.3">
      <c r="L674" s="200" t="str">
        <f>IFERROR(VLOOKUP($H674,PARAMETERS!$M$3:$M$1600,1,0),"---")</f>
        <v>---</v>
      </c>
    </row>
    <row r="675" spans="12:12" x14ac:dyDescent="0.3">
      <c r="L675" s="200" t="str">
        <f>IFERROR(VLOOKUP($H675,PARAMETERS!$M$3:$M$1600,1,0),"---")</f>
        <v>---</v>
      </c>
    </row>
    <row r="676" spans="12:12" x14ac:dyDescent="0.3">
      <c r="L676" s="200" t="str">
        <f>IFERROR(VLOOKUP($H676,PARAMETERS!$M$3:$M$1600,1,0),"---")</f>
        <v>---</v>
      </c>
    </row>
    <row r="677" spans="12:12" x14ac:dyDescent="0.3">
      <c r="L677" s="200" t="str">
        <f>IFERROR(VLOOKUP($H677,PARAMETERS!$M$3:$M$1600,1,0),"---")</f>
        <v>---</v>
      </c>
    </row>
    <row r="678" spans="12:12" x14ac:dyDescent="0.3">
      <c r="L678" s="200" t="str">
        <f>IFERROR(VLOOKUP($H678,PARAMETERS!$M$3:$M$1600,1,0),"---")</f>
        <v>---</v>
      </c>
    </row>
    <row r="679" spans="12:12" x14ac:dyDescent="0.3">
      <c r="L679" s="200" t="str">
        <f>IFERROR(VLOOKUP($H679,PARAMETERS!$M$3:$M$1600,1,0),"---")</f>
        <v>---</v>
      </c>
    </row>
    <row r="680" spans="12:12" x14ac:dyDescent="0.3">
      <c r="L680" s="200" t="str">
        <f>IFERROR(VLOOKUP($H680,PARAMETERS!$M$3:$M$1600,1,0),"---")</f>
        <v>---</v>
      </c>
    </row>
    <row r="681" spans="12:12" x14ac:dyDescent="0.3">
      <c r="L681" s="200" t="str">
        <f>IFERROR(VLOOKUP($H681,PARAMETERS!$M$3:$M$1600,1,0),"---")</f>
        <v>---</v>
      </c>
    </row>
    <row r="682" spans="12:12" x14ac:dyDescent="0.3">
      <c r="L682" s="200" t="str">
        <f>IFERROR(VLOOKUP($H682,PARAMETERS!$M$3:$M$1600,1,0),"---")</f>
        <v>---</v>
      </c>
    </row>
    <row r="683" spans="12:12" x14ac:dyDescent="0.3">
      <c r="L683" s="200" t="str">
        <f>IFERROR(VLOOKUP($H683,PARAMETERS!$M$3:$M$1600,1,0),"---")</f>
        <v>---</v>
      </c>
    </row>
    <row r="684" spans="12:12" x14ac:dyDescent="0.3">
      <c r="L684" s="200" t="str">
        <f>IFERROR(VLOOKUP($H684,PARAMETERS!$M$3:$M$1600,1,0),"---")</f>
        <v>---</v>
      </c>
    </row>
    <row r="685" spans="12:12" x14ac:dyDescent="0.3">
      <c r="L685" s="200" t="str">
        <f>IFERROR(VLOOKUP($H685,PARAMETERS!$M$3:$M$1600,1,0),"---")</f>
        <v>---</v>
      </c>
    </row>
    <row r="686" spans="12:12" x14ac:dyDescent="0.3">
      <c r="L686" s="200" t="str">
        <f>IFERROR(VLOOKUP($H686,PARAMETERS!$M$3:$M$1600,1,0),"---")</f>
        <v>---</v>
      </c>
    </row>
    <row r="687" spans="12:12" x14ac:dyDescent="0.3">
      <c r="L687" s="200" t="str">
        <f>IFERROR(VLOOKUP($H687,PARAMETERS!$M$3:$M$1600,1,0),"---")</f>
        <v>---</v>
      </c>
    </row>
    <row r="688" spans="12:12" x14ac:dyDescent="0.3">
      <c r="L688" s="200" t="str">
        <f>IFERROR(VLOOKUP($H688,PARAMETERS!$M$3:$M$1600,1,0),"---")</f>
        <v>---</v>
      </c>
    </row>
    <row r="689" spans="12:12" x14ac:dyDescent="0.3">
      <c r="L689" s="200" t="str">
        <f>IFERROR(VLOOKUP($H689,PARAMETERS!$M$3:$M$1600,1,0),"---")</f>
        <v>---</v>
      </c>
    </row>
    <row r="690" spans="12:12" x14ac:dyDescent="0.3">
      <c r="L690" s="200" t="str">
        <f>IFERROR(VLOOKUP($H690,PARAMETERS!$M$3:$M$1600,1,0),"---")</f>
        <v>---</v>
      </c>
    </row>
    <row r="691" spans="12:12" x14ac:dyDescent="0.3">
      <c r="L691" s="200" t="str">
        <f>IFERROR(VLOOKUP($H691,PARAMETERS!$M$3:$M$1600,1,0),"---")</f>
        <v>---</v>
      </c>
    </row>
    <row r="692" spans="12:12" x14ac:dyDescent="0.3">
      <c r="L692" s="200" t="str">
        <f>IFERROR(VLOOKUP($H692,PARAMETERS!$M$3:$M$1600,1,0),"---")</f>
        <v>---</v>
      </c>
    </row>
    <row r="693" spans="12:12" x14ac:dyDescent="0.3">
      <c r="L693" s="200" t="str">
        <f>IFERROR(VLOOKUP($H693,PARAMETERS!$M$3:$M$1600,1,0),"---")</f>
        <v>---</v>
      </c>
    </row>
    <row r="694" spans="12:12" x14ac:dyDescent="0.3">
      <c r="L694" s="200" t="str">
        <f>IFERROR(VLOOKUP($H694,PARAMETERS!$M$3:$M$1600,1,0),"---")</f>
        <v>---</v>
      </c>
    </row>
    <row r="695" spans="12:12" x14ac:dyDescent="0.3">
      <c r="L695" s="200" t="str">
        <f>IFERROR(VLOOKUP($H695,PARAMETERS!$M$3:$M$1600,1,0),"---")</f>
        <v>---</v>
      </c>
    </row>
    <row r="696" spans="12:12" x14ac:dyDescent="0.3">
      <c r="L696" s="200" t="str">
        <f>IFERROR(VLOOKUP($H696,PARAMETERS!$M$3:$M$1600,1,0),"---")</f>
        <v>---</v>
      </c>
    </row>
    <row r="697" spans="12:12" x14ac:dyDescent="0.3">
      <c r="L697" s="200" t="str">
        <f>IFERROR(VLOOKUP($H697,PARAMETERS!$M$3:$M$1600,1,0),"---")</f>
        <v>---</v>
      </c>
    </row>
    <row r="698" spans="12:12" x14ac:dyDescent="0.3">
      <c r="L698" s="200" t="str">
        <f>IFERROR(VLOOKUP($H698,PARAMETERS!$M$3:$M$1600,1,0),"---")</f>
        <v>---</v>
      </c>
    </row>
    <row r="699" spans="12:12" x14ac:dyDescent="0.3">
      <c r="L699" s="200" t="str">
        <f>IFERROR(VLOOKUP($H699,PARAMETERS!$M$3:$M$1600,1,0),"---")</f>
        <v>---</v>
      </c>
    </row>
    <row r="700" spans="12:12" x14ac:dyDescent="0.3">
      <c r="L700" s="200" t="str">
        <f>IFERROR(VLOOKUP($H700,PARAMETERS!$M$3:$M$1600,1,0),"---")</f>
        <v>---</v>
      </c>
    </row>
    <row r="701" spans="12:12" x14ac:dyDescent="0.3">
      <c r="L701" s="200" t="str">
        <f>IFERROR(VLOOKUP($H701,PARAMETERS!$M$3:$M$1600,1,0),"---")</f>
        <v>---</v>
      </c>
    </row>
    <row r="702" spans="12:12" x14ac:dyDescent="0.3">
      <c r="L702" s="200" t="str">
        <f>IFERROR(VLOOKUP($H702,PARAMETERS!$M$3:$M$1600,1,0),"---")</f>
        <v>---</v>
      </c>
    </row>
    <row r="703" spans="12:12" x14ac:dyDescent="0.3">
      <c r="L703" s="200" t="str">
        <f>IFERROR(VLOOKUP($H703,PARAMETERS!$M$3:$M$1600,1,0),"---")</f>
        <v>---</v>
      </c>
    </row>
    <row r="704" spans="12:12" x14ac:dyDescent="0.3">
      <c r="L704" s="200" t="str">
        <f>IFERROR(VLOOKUP($H704,PARAMETERS!$M$3:$M$1600,1,0),"---")</f>
        <v>---</v>
      </c>
    </row>
    <row r="705" spans="12:12" x14ac:dyDescent="0.3">
      <c r="L705" s="200" t="str">
        <f>IFERROR(VLOOKUP($H705,PARAMETERS!$M$3:$M$1600,1,0),"---")</f>
        <v>---</v>
      </c>
    </row>
    <row r="706" spans="12:12" x14ac:dyDescent="0.3">
      <c r="L706" s="200" t="str">
        <f>IFERROR(VLOOKUP($H706,PARAMETERS!$M$3:$M$1600,1,0),"---")</f>
        <v>---</v>
      </c>
    </row>
    <row r="707" spans="12:12" x14ac:dyDescent="0.3">
      <c r="L707" s="200" t="str">
        <f>IFERROR(VLOOKUP($H707,PARAMETERS!$M$3:$M$1600,1,0),"---")</f>
        <v>---</v>
      </c>
    </row>
    <row r="708" spans="12:12" x14ac:dyDescent="0.3">
      <c r="L708" s="200" t="str">
        <f>IFERROR(VLOOKUP($H708,PARAMETERS!$M$3:$M$1600,1,0),"---")</f>
        <v>---</v>
      </c>
    </row>
    <row r="709" spans="12:12" x14ac:dyDescent="0.3">
      <c r="L709" s="200" t="str">
        <f>IFERROR(VLOOKUP($H709,PARAMETERS!$M$3:$M$1600,1,0),"---")</f>
        <v>---</v>
      </c>
    </row>
    <row r="710" spans="12:12" x14ac:dyDescent="0.3">
      <c r="L710" s="200" t="str">
        <f>IFERROR(VLOOKUP($H710,PARAMETERS!$M$3:$M$1600,1,0),"---")</f>
        <v>---</v>
      </c>
    </row>
    <row r="711" spans="12:12" x14ac:dyDescent="0.3">
      <c r="L711" s="200" t="str">
        <f>IFERROR(VLOOKUP($H711,PARAMETERS!$M$3:$M$1600,1,0),"---")</f>
        <v>---</v>
      </c>
    </row>
    <row r="712" spans="12:12" x14ac:dyDescent="0.3">
      <c r="L712" s="200" t="str">
        <f>IFERROR(VLOOKUP($H712,PARAMETERS!$M$3:$M$1600,1,0),"---")</f>
        <v>---</v>
      </c>
    </row>
    <row r="713" spans="12:12" x14ac:dyDescent="0.3">
      <c r="L713" s="200" t="str">
        <f>IFERROR(VLOOKUP($H713,PARAMETERS!$M$3:$M$1600,1,0),"---")</f>
        <v>---</v>
      </c>
    </row>
    <row r="714" spans="12:12" x14ac:dyDescent="0.3">
      <c r="L714" s="200" t="str">
        <f>IFERROR(VLOOKUP($H714,PARAMETERS!$M$3:$M$1600,1,0),"---")</f>
        <v>---</v>
      </c>
    </row>
    <row r="715" spans="12:12" x14ac:dyDescent="0.3">
      <c r="L715" s="200" t="str">
        <f>IFERROR(VLOOKUP($H715,PARAMETERS!$M$3:$M$1600,1,0),"---")</f>
        <v>---</v>
      </c>
    </row>
    <row r="716" spans="12:12" x14ac:dyDescent="0.3">
      <c r="L716" s="200" t="str">
        <f>IFERROR(VLOOKUP($H716,PARAMETERS!$M$3:$M$1600,1,0),"---")</f>
        <v>---</v>
      </c>
    </row>
    <row r="717" spans="12:12" x14ac:dyDescent="0.3">
      <c r="L717" s="200" t="str">
        <f>IFERROR(VLOOKUP($H717,PARAMETERS!$M$3:$M$1600,1,0),"---")</f>
        <v>---</v>
      </c>
    </row>
    <row r="718" spans="12:12" x14ac:dyDescent="0.3">
      <c r="L718" s="200" t="str">
        <f>IFERROR(VLOOKUP($H718,PARAMETERS!$M$3:$M$1600,1,0),"---")</f>
        <v>---</v>
      </c>
    </row>
    <row r="719" spans="12:12" x14ac:dyDescent="0.3">
      <c r="L719" s="200" t="str">
        <f>IFERROR(VLOOKUP($H719,PARAMETERS!$M$3:$M$1600,1,0),"---")</f>
        <v>---</v>
      </c>
    </row>
    <row r="720" spans="12:12" x14ac:dyDescent="0.3">
      <c r="L720" s="200" t="str">
        <f>IFERROR(VLOOKUP($H720,PARAMETERS!$M$3:$M$1600,1,0),"---")</f>
        <v>---</v>
      </c>
    </row>
    <row r="721" spans="12:12" x14ac:dyDescent="0.3">
      <c r="L721" s="200" t="str">
        <f>IFERROR(VLOOKUP($H721,PARAMETERS!$M$3:$M$1600,1,0),"---")</f>
        <v>---</v>
      </c>
    </row>
    <row r="722" spans="12:12" x14ac:dyDescent="0.3">
      <c r="L722" s="200" t="str">
        <f>IFERROR(VLOOKUP($H722,PARAMETERS!$M$3:$M$1600,1,0),"---")</f>
        <v>---</v>
      </c>
    </row>
    <row r="723" spans="12:12" x14ac:dyDescent="0.3">
      <c r="L723" s="200" t="str">
        <f>IFERROR(VLOOKUP($H723,PARAMETERS!$M$3:$M$1600,1,0),"---")</f>
        <v>---</v>
      </c>
    </row>
    <row r="724" spans="12:12" x14ac:dyDescent="0.3">
      <c r="L724" s="200" t="str">
        <f>IFERROR(VLOOKUP($H724,PARAMETERS!$M$3:$M$1600,1,0),"---")</f>
        <v>---</v>
      </c>
    </row>
    <row r="725" spans="12:12" x14ac:dyDescent="0.3">
      <c r="L725" s="200" t="str">
        <f>IFERROR(VLOOKUP($H725,PARAMETERS!$M$3:$M$1600,1,0),"---")</f>
        <v>---</v>
      </c>
    </row>
    <row r="726" spans="12:12" x14ac:dyDescent="0.3">
      <c r="L726" s="200" t="str">
        <f>IFERROR(VLOOKUP($H726,PARAMETERS!$M$3:$M$1600,1,0),"---")</f>
        <v>---</v>
      </c>
    </row>
    <row r="727" spans="12:12" x14ac:dyDescent="0.3">
      <c r="L727" s="200" t="str">
        <f>IFERROR(VLOOKUP($H727,PARAMETERS!$M$3:$M$1600,1,0),"---")</f>
        <v>---</v>
      </c>
    </row>
    <row r="728" spans="12:12" x14ac:dyDescent="0.3">
      <c r="L728" s="200" t="str">
        <f>IFERROR(VLOOKUP($H728,PARAMETERS!$M$3:$M$1600,1,0),"---")</f>
        <v>---</v>
      </c>
    </row>
    <row r="729" spans="12:12" x14ac:dyDescent="0.3">
      <c r="L729" s="200" t="str">
        <f>IFERROR(VLOOKUP($H729,PARAMETERS!$M$3:$M$1600,1,0),"---")</f>
        <v>---</v>
      </c>
    </row>
    <row r="730" spans="12:12" x14ac:dyDescent="0.3">
      <c r="L730" s="200" t="str">
        <f>IFERROR(VLOOKUP($H730,PARAMETERS!$M$3:$M$1600,1,0),"---")</f>
        <v>---</v>
      </c>
    </row>
    <row r="731" spans="12:12" x14ac:dyDescent="0.3">
      <c r="L731" s="200" t="str">
        <f>IFERROR(VLOOKUP($H731,PARAMETERS!$M$3:$M$1600,1,0),"---")</f>
        <v>---</v>
      </c>
    </row>
    <row r="732" spans="12:12" x14ac:dyDescent="0.3">
      <c r="L732" s="200" t="str">
        <f>IFERROR(VLOOKUP($H732,PARAMETERS!$M$3:$M$1600,1,0),"---")</f>
        <v>---</v>
      </c>
    </row>
    <row r="733" spans="12:12" x14ac:dyDescent="0.3">
      <c r="L733" s="200" t="str">
        <f>IFERROR(VLOOKUP($H733,PARAMETERS!$M$3:$M$1600,1,0),"---")</f>
        <v>---</v>
      </c>
    </row>
    <row r="734" spans="12:12" x14ac:dyDescent="0.3">
      <c r="L734" s="200" t="str">
        <f>IFERROR(VLOOKUP($H734,PARAMETERS!$M$3:$M$1600,1,0),"---")</f>
        <v>---</v>
      </c>
    </row>
    <row r="735" spans="12:12" x14ac:dyDescent="0.3">
      <c r="L735" s="200" t="str">
        <f>IFERROR(VLOOKUP($H735,PARAMETERS!$M$3:$M$1600,1,0),"---")</f>
        <v>---</v>
      </c>
    </row>
    <row r="736" spans="12:12" x14ac:dyDescent="0.3">
      <c r="L736" s="200" t="str">
        <f>IFERROR(VLOOKUP($H736,PARAMETERS!$M$3:$M$1600,1,0),"---")</f>
        <v>---</v>
      </c>
    </row>
    <row r="737" spans="12:12" x14ac:dyDescent="0.3">
      <c r="L737" s="200" t="str">
        <f>IFERROR(VLOOKUP($H737,PARAMETERS!$M$3:$M$1600,1,0),"---")</f>
        <v>---</v>
      </c>
    </row>
    <row r="738" spans="12:12" x14ac:dyDescent="0.3">
      <c r="L738" s="200" t="str">
        <f>IFERROR(VLOOKUP($H738,PARAMETERS!$M$3:$M$1600,1,0),"---")</f>
        <v>---</v>
      </c>
    </row>
    <row r="739" spans="12:12" x14ac:dyDescent="0.3">
      <c r="L739" s="200" t="str">
        <f>IFERROR(VLOOKUP($H739,PARAMETERS!$M$3:$M$1600,1,0),"---")</f>
        <v>---</v>
      </c>
    </row>
    <row r="740" spans="12:12" x14ac:dyDescent="0.3">
      <c r="L740" s="200" t="str">
        <f>IFERROR(VLOOKUP($H740,PARAMETERS!$M$3:$M$1600,1,0),"---")</f>
        <v>---</v>
      </c>
    </row>
    <row r="741" spans="12:12" x14ac:dyDescent="0.3">
      <c r="L741" s="200" t="str">
        <f>IFERROR(VLOOKUP($H741,PARAMETERS!$M$3:$M$1600,1,0),"---")</f>
        <v>---</v>
      </c>
    </row>
    <row r="742" spans="12:12" x14ac:dyDescent="0.3">
      <c r="L742" s="200" t="str">
        <f>IFERROR(VLOOKUP($H742,PARAMETERS!$M$3:$M$1600,1,0),"---")</f>
        <v>---</v>
      </c>
    </row>
    <row r="743" spans="12:12" x14ac:dyDescent="0.3">
      <c r="L743" s="200" t="str">
        <f>IFERROR(VLOOKUP($H743,PARAMETERS!$M$3:$M$1600,1,0),"---")</f>
        <v>---</v>
      </c>
    </row>
    <row r="744" spans="12:12" x14ac:dyDescent="0.3">
      <c r="L744" s="200" t="str">
        <f>IFERROR(VLOOKUP($H744,PARAMETERS!$M$3:$M$1600,1,0),"---")</f>
        <v>---</v>
      </c>
    </row>
    <row r="745" spans="12:12" x14ac:dyDescent="0.3">
      <c r="L745" s="200" t="str">
        <f>IFERROR(VLOOKUP($H745,PARAMETERS!$M$3:$M$1600,1,0),"---")</f>
        <v>---</v>
      </c>
    </row>
    <row r="746" spans="12:12" x14ac:dyDescent="0.3">
      <c r="L746" s="200" t="str">
        <f>IFERROR(VLOOKUP($H746,PARAMETERS!$M$3:$M$1600,1,0),"---")</f>
        <v>---</v>
      </c>
    </row>
    <row r="747" spans="12:12" x14ac:dyDescent="0.3">
      <c r="L747" s="200" t="str">
        <f>IFERROR(VLOOKUP($H747,PARAMETERS!$M$3:$M$1600,1,0),"---")</f>
        <v>---</v>
      </c>
    </row>
    <row r="748" spans="12:12" x14ac:dyDescent="0.3">
      <c r="L748" s="200" t="str">
        <f>IFERROR(VLOOKUP($H748,PARAMETERS!$M$3:$M$1600,1,0),"---")</f>
        <v>---</v>
      </c>
    </row>
    <row r="749" spans="12:12" x14ac:dyDescent="0.3">
      <c r="L749" s="200" t="str">
        <f>IFERROR(VLOOKUP($H749,PARAMETERS!$M$3:$M$1600,1,0),"---")</f>
        <v>---</v>
      </c>
    </row>
    <row r="750" spans="12:12" x14ac:dyDescent="0.3">
      <c r="L750" s="200" t="str">
        <f>IFERROR(VLOOKUP($H750,PARAMETERS!$M$3:$M$1600,1,0),"---")</f>
        <v>---</v>
      </c>
    </row>
    <row r="751" spans="12:12" x14ac:dyDescent="0.3">
      <c r="L751" s="200" t="str">
        <f>IFERROR(VLOOKUP($H751,PARAMETERS!$M$3:$M$1600,1,0),"---")</f>
        <v>---</v>
      </c>
    </row>
    <row r="752" spans="12:12" x14ac:dyDescent="0.3">
      <c r="L752" s="200" t="str">
        <f>IFERROR(VLOOKUP($H752,PARAMETERS!$M$3:$M$1600,1,0),"---")</f>
        <v>---</v>
      </c>
    </row>
    <row r="753" spans="12:12" x14ac:dyDescent="0.3">
      <c r="L753" s="200" t="str">
        <f>IFERROR(VLOOKUP($H753,PARAMETERS!$M$3:$M$1600,1,0),"---")</f>
        <v>---</v>
      </c>
    </row>
    <row r="754" spans="12:12" x14ac:dyDescent="0.3">
      <c r="L754" s="200" t="str">
        <f>IFERROR(VLOOKUP($H754,PARAMETERS!$M$3:$M$1600,1,0),"---")</f>
        <v>---</v>
      </c>
    </row>
    <row r="755" spans="12:12" x14ac:dyDescent="0.3">
      <c r="L755" s="200" t="str">
        <f>IFERROR(VLOOKUP($H755,PARAMETERS!$M$3:$M$1600,1,0),"---")</f>
        <v>---</v>
      </c>
    </row>
    <row r="756" spans="12:12" x14ac:dyDescent="0.3">
      <c r="L756" s="200" t="str">
        <f>IFERROR(VLOOKUP($H756,PARAMETERS!$M$3:$M$1600,1,0),"---")</f>
        <v>---</v>
      </c>
    </row>
    <row r="757" spans="12:12" x14ac:dyDescent="0.3">
      <c r="L757" s="200" t="str">
        <f>IFERROR(VLOOKUP($H757,PARAMETERS!$M$3:$M$1600,1,0),"---")</f>
        <v>---</v>
      </c>
    </row>
    <row r="758" spans="12:12" x14ac:dyDescent="0.3">
      <c r="L758" s="200" t="str">
        <f>IFERROR(VLOOKUP($H758,PARAMETERS!$M$3:$M$1600,1,0),"---")</f>
        <v>---</v>
      </c>
    </row>
    <row r="759" spans="12:12" x14ac:dyDescent="0.3">
      <c r="L759" s="200" t="str">
        <f>IFERROR(VLOOKUP($H759,PARAMETERS!$M$3:$M$1600,1,0),"---")</f>
        <v>---</v>
      </c>
    </row>
    <row r="760" spans="12:12" x14ac:dyDescent="0.3">
      <c r="L760" s="200" t="str">
        <f>IFERROR(VLOOKUP($H760,PARAMETERS!$M$3:$M$1600,1,0),"---")</f>
        <v>---</v>
      </c>
    </row>
    <row r="761" spans="12:12" x14ac:dyDescent="0.3">
      <c r="L761" s="200" t="str">
        <f>IFERROR(VLOOKUP($H761,PARAMETERS!$M$3:$M$1600,1,0),"---")</f>
        <v>---</v>
      </c>
    </row>
    <row r="762" spans="12:12" x14ac:dyDescent="0.3">
      <c r="L762" s="200" t="str">
        <f>IFERROR(VLOOKUP($H762,PARAMETERS!$M$3:$M$1600,1,0),"---")</f>
        <v>---</v>
      </c>
    </row>
    <row r="763" spans="12:12" x14ac:dyDescent="0.3">
      <c r="L763" s="200" t="str">
        <f>IFERROR(VLOOKUP($H763,PARAMETERS!$M$3:$M$1600,1,0),"---")</f>
        <v>---</v>
      </c>
    </row>
    <row r="764" spans="12:12" x14ac:dyDescent="0.3">
      <c r="L764" s="200" t="str">
        <f>IFERROR(VLOOKUP($H764,PARAMETERS!$M$3:$M$1600,1,0),"---")</f>
        <v>---</v>
      </c>
    </row>
    <row r="765" spans="12:12" x14ac:dyDescent="0.3">
      <c r="L765" s="200" t="str">
        <f>IFERROR(VLOOKUP($H765,PARAMETERS!$M$3:$M$1600,1,0),"---")</f>
        <v>---</v>
      </c>
    </row>
    <row r="766" spans="12:12" x14ac:dyDescent="0.3">
      <c r="L766" s="200" t="str">
        <f>IFERROR(VLOOKUP($H766,PARAMETERS!$M$3:$M$1600,1,0),"---")</f>
        <v>---</v>
      </c>
    </row>
    <row r="767" spans="12:12" x14ac:dyDescent="0.3">
      <c r="L767" s="200" t="str">
        <f>IFERROR(VLOOKUP($H767,PARAMETERS!$M$3:$M$1600,1,0),"---")</f>
        <v>---</v>
      </c>
    </row>
    <row r="768" spans="12:12" x14ac:dyDescent="0.3">
      <c r="L768" s="200" t="str">
        <f>IFERROR(VLOOKUP($H768,PARAMETERS!$M$3:$M$1600,1,0),"---")</f>
        <v>---</v>
      </c>
    </row>
    <row r="769" spans="12:12" x14ac:dyDescent="0.3">
      <c r="L769" s="200" t="str">
        <f>IFERROR(VLOOKUP($H769,PARAMETERS!$M$3:$M$1600,1,0),"---")</f>
        <v>---</v>
      </c>
    </row>
    <row r="770" spans="12:12" x14ac:dyDescent="0.3">
      <c r="L770" s="200" t="str">
        <f>IFERROR(VLOOKUP($H770,PARAMETERS!$M$3:$M$1600,1,0),"---")</f>
        <v>---</v>
      </c>
    </row>
    <row r="771" spans="12:12" x14ac:dyDescent="0.3">
      <c r="L771" s="200" t="str">
        <f>IFERROR(VLOOKUP($H771,PARAMETERS!$M$3:$M$1600,1,0),"---")</f>
        <v>---</v>
      </c>
    </row>
    <row r="772" spans="12:12" x14ac:dyDescent="0.3">
      <c r="L772" s="200" t="str">
        <f>IFERROR(VLOOKUP($H772,PARAMETERS!$M$3:$M$1600,1,0),"---")</f>
        <v>---</v>
      </c>
    </row>
    <row r="773" spans="12:12" x14ac:dyDescent="0.3">
      <c r="L773" s="200" t="str">
        <f>IFERROR(VLOOKUP($H773,PARAMETERS!$M$3:$M$1600,1,0),"---")</f>
        <v>---</v>
      </c>
    </row>
    <row r="774" spans="12:12" x14ac:dyDescent="0.3">
      <c r="L774" s="200" t="str">
        <f>IFERROR(VLOOKUP($H774,PARAMETERS!$M$3:$M$1600,1,0),"---")</f>
        <v>---</v>
      </c>
    </row>
    <row r="775" spans="12:12" x14ac:dyDescent="0.3">
      <c r="L775" s="200" t="str">
        <f>IFERROR(VLOOKUP($H775,PARAMETERS!$M$3:$M$1600,1,0),"---")</f>
        <v>---</v>
      </c>
    </row>
    <row r="776" spans="12:12" x14ac:dyDescent="0.3">
      <c r="L776" s="200" t="str">
        <f>IFERROR(VLOOKUP($H776,PARAMETERS!$M$3:$M$1600,1,0),"---")</f>
        <v>---</v>
      </c>
    </row>
    <row r="777" spans="12:12" x14ac:dyDescent="0.3">
      <c r="L777" s="200" t="str">
        <f>IFERROR(VLOOKUP($H777,PARAMETERS!$M$3:$M$1600,1,0),"---")</f>
        <v>---</v>
      </c>
    </row>
    <row r="778" spans="12:12" x14ac:dyDescent="0.3">
      <c r="L778" s="200" t="str">
        <f>IFERROR(VLOOKUP($H778,PARAMETERS!$M$3:$M$1600,1,0),"---")</f>
        <v>---</v>
      </c>
    </row>
    <row r="779" spans="12:12" x14ac:dyDescent="0.3">
      <c r="L779" s="200" t="str">
        <f>IFERROR(VLOOKUP($H779,PARAMETERS!$M$3:$M$1600,1,0),"---")</f>
        <v>---</v>
      </c>
    </row>
    <row r="780" spans="12:12" x14ac:dyDescent="0.3">
      <c r="L780" s="200" t="str">
        <f>IFERROR(VLOOKUP($H780,PARAMETERS!$M$3:$M$1600,1,0),"---")</f>
        <v>---</v>
      </c>
    </row>
    <row r="781" spans="12:12" x14ac:dyDescent="0.3">
      <c r="L781" s="200" t="str">
        <f>IFERROR(VLOOKUP($H781,PARAMETERS!$M$3:$M$1600,1,0),"---")</f>
        <v>---</v>
      </c>
    </row>
    <row r="782" spans="12:12" x14ac:dyDescent="0.3">
      <c r="L782" s="200" t="str">
        <f>IFERROR(VLOOKUP($H782,PARAMETERS!$M$3:$M$1600,1,0),"---")</f>
        <v>---</v>
      </c>
    </row>
    <row r="783" spans="12:12" x14ac:dyDescent="0.3">
      <c r="L783" s="200" t="str">
        <f>IFERROR(VLOOKUP($H783,PARAMETERS!$M$3:$M$1600,1,0),"---")</f>
        <v>---</v>
      </c>
    </row>
    <row r="784" spans="12:12" x14ac:dyDescent="0.3">
      <c r="L784" s="200" t="str">
        <f>IFERROR(VLOOKUP($H784,PARAMETERS!$M$3:$M$1600,1,0),"---")</f>
        <v>---</v>
      </c>
    </row>
    <row r="785" spans="12:12" x14ac:dyDescent="0.3">
      <c r="L785" s="200" t="str">
        <f>IFERROR(VLOOKUP($H785,PARAMETERS!$M$3:$M$1600,1,0),"---")</f>
        <v>---</v>
      </c>
    </row>
    <row r="786" spans="12:12" x14ac:dyDescent="0.3">
      <c r="L786" s="200" t="str">
        <f>IFERROR(VLOOKUP($H786,PARAMETERS!$M$3:$M$1600,1,0),"---")</f>
        <v>---</v>
      </c>
    </row>
    <row r="787" spans="12:12" x14ac:dyDescent="0.3">
      <c r="L787" s="200" t="str">
        <f>IFERROR(VLOOKUP($H787,PARAMETERS!$M$3:$M$1600,1,0),"---")</f>
        <v>---</v>
      </c>
    </row>
    <row r="788" spans="12:12" x14ac:dyDescent="0.3">
      <c r="L788" s="200" t="str">
        <f>IFERROR(VLOOKUP($H788,PARAMETERS!$M$3:$M$1600,1,0),"---")</f>
        <v>---</v>
      </c>
    </row>
    <row r="789" spans="12:12" x14ac:dyDescent="0.3">
      <c r="L789" s="200" t="str">
        <f>IFERROR(VLOOKUP($H789,PARAMETERS!$M$3:$M$1600,1,0),"---")</f>
        <v>---</v>
      </c>
    </row>
    <row r="790" spans="12:12" x14ac:dyDescent="0.3">
      <c r="L790" s="200" t="str">
        <f>IFERROR(VLOOKUP($H790,PARAMETERS!$M$3:$M$1600,1,0),"---")</f>
        <v>---</v>
      </c>
    </row>
    <row r="791" spans="12:12" x14ac:dyDescent="0.3">
      <c r="L791" s="200" t="str">
        <f>IFERROR(VLOOKUP($H791,PARAMETERS!$M$3:$M$1600,1,0),"---")</f>
        <v>---</v>
      </c>
    </row>
    <row r="792" spans="12:12" x14ac:dyDescent="0.3">
      <c r="L792" s="200" t="str">
        <f>IFERROR(VLOOKUP($H792,PARAMETERS!$M$3:$M$1600,1,0),"---")</f>
        <v>---</v>
      </c>
    </row>
    <row r="793" spans="12:12" x14ac:dyDescent="0.3">
      <c r="L793" s="200" t="str">
        <f>IFERROR(VLOOKUP($H793,PARAMETERS!$M$3:$M$1600,1,0),"---")</f>
        <v>---</v>
      </c>
    </row>
    <row r="794" spans="12:12" x14ac:dyDescent="0.3">
      <c r="L794" s="200" t="str">
        <f>IFERROR(VLOOKUP($H794,PARAMETERS!$M$3:$M$1600,1,0),"---")</f>
        <v>---</v>
      </c>
    </row>
    <row r="795" spans="12:12" x14ac:dyDescent="0.3">
      <c r="L795" s="200" t="str">
        <f>IFERROR(VLOOKUP($H795,PARAMETERS!$M$3:$M$1600,1,0),"---")</f>
        <v>---</v>
      </c>
    </row>
    <row r="796" spans="12:12" x14ac:dyDescent="0.3">
      <c r="L796" s="200" t="str">
        <f>IFERROR(VLOOKUP($H796,PARAMETERS!$M$3:$M$1600,1,0),"---")</f>
        <v>---</v>
      </c>
    </row>
    <row r="797" spans="12:12" x14ac:dyDescent="0.3">
      <c r="L797" s="200" t="str">
        <f>IFERROR(VLOOKUP($H797,PARAMETERS!$M$3:$M$1600,1,0),"---")</f>
        <v>---</v>
      </c>
    </row>
    <row r="798" spans="12:12" x14ac:dyDescent="0.3">
      <c r="L798" s="200" t="str">
        <f>IFERROR(VLOOKUP($H798,PARAMETERS!$M$3:$M$1600,1,0),"---")</f>
        <v>---</v>
      </c>
    </row>
    <row r="799" spans="12:12" x14ac:dyDescent="0.3">
      <c r="L799" s="200" t="str">
        <f>IFERROR(VLOOKUP($H799,PARAMETERS!$M$3:$M$1600,1,0),"---")</f>
        <v>---</v>
      </c>
    </row>
    <row r="800" spans="12:12" x14ac:dyDescent="0.3">
      <c r="L800" s="200" t="str">
        <f>IFERROR(VLOOKUP($H800,PARAMETERS!$M$3:$M$1600,1,0),"---")</f>
        <v>---</v>
      </c>
    </row>
    <row r="801" spans="12:12" x14ac:dyDescent="0.3">
      <c r="L801" s="200" t="str">
        <f>IFERROR(VLOOKUP($H801,PARAMETERS!$M$3:$M$1600,1,0),"---")</f>
        <v>---</v>
      </c>
    </row>
    <row r="802" spans="12:12" x14ac:dyDescent="0.3">
      <c r="L802" s="200" t="str">
        <f>IFERROR(VLOOKUP($H802,PARAMETERS!$M$3:$M$1600,1,0),"---")</f>
        <v>---</v>
      </c>
    </row>
    <row r="803" spans="12:12" x14ac:dyDescent="0.3">
      <c r="L803" s="200" t="str">
        <f>IFERROR(VLOOKUP($H803,PARAMETERS!$M$3:$M$1600,1,0),"---")</f>
        <v>---</v>
      </c>
    </row>
    <row r="804" spans="12:12" x14ac:dyDescent="0.3">
      <c r="L804" s="200" t="str">
        <f>IFERROR(VLOOKUP($H804,PARAMETERS!$M$3:$M$1600,1,0),"---")</f>
        <v>---</v>
      </c>
    </row>
    <row r="805" spans="12:12" x14ac:dyDescent="0.3">
      <c r="L805" s="200" t="str">
        <f>IFERROR(VLOOKUP($H805,PARAMETERS!$M$3:$M$1600,1,0),"---")</f>
        <v>---</v>
      </c>
    </row>
    <row r="806" spans="12:12" x14ac:dyDescent="0.3">
      <c r="L806" s="200" t="str">
        <f>IFERROR(VLOOKUP($H806,PARAMETERS!$M$3:$M$1600,1,0),"---")</f>
        <v>---</v>
      </c>
    </row>
    <row r="807" spans="12:12" x14ac:dyDescent="0.3">
      <c r="L807" s="200" t="str">
        <f>IFERROR(VLOOKUP($H807,PARAMETERS!$M$3:$M$1600,1,0),"---")</f>
        <v>---</v>
      </c>
    </row>
    <row r="808" spans="12:12" x14ac:dyDescent="0.3">
      <c r="L808" s="200" t="str">
        <f>IFERROR(VLOOKUP($H808,PARAMETERS!$M$3:$M$1600,1,0),"---")</f>
        <v>---</v>
      </c>
    </row>
    <row r="809" spans="12:12" x14ac:dyDescent="0.3">
      <c r="L809" s="200" t="str">
        <f>IFERROR(VLOOKUP($H809,PARAMETERS!$M$3:$M$1600,1,0),"---")</f>
        <v>---</v>
      </c>
    </row>
    <row r="810" spans="12:12" x14ac:dyDescent="0.3">
      <c r="L810" s="200" t="str">
        <f>IFERROR(VLOOKUP($H810,PARAMETERS!$M$3:$M$1600,1,0),"---")</f>
        <v>---</v>
      </c>
    </row>
    <row r="811" spans="12:12" x14ac:dyDescent="0.3">
      <c r="L811" s="200" t="str">
        <f>IFERROR(VLOOKUP($H811,PARAMETERS!$M$3:$M$1600,1,0),"---")</f>
        <v>---</v>
      </c>
    </row>
    <row r="812" spans="12:12" x14ac:dyDescent="0.3">
      <c r="L812" s="200" t="str">
        <f>IFERROR(VLOOKUP($H812,PARAMETERS!$M$3:$M$1600,1,0),"---")</f>
        <v>---</v>
      </c>
    </row>
    <row r="813" spans="12:12" x14ac:dyDescent="0.3">
      <c r="L813" s="200" t="str">
        <f>IFERROR(VLOOKUP($H813,PARAMETERS!$M$3:$M$1600,1,0),"---")</f>
        <v>---</v>
      </c>
    </row>
    <row r="814" spans="12:12" x14ac:dyDescent="0.3">
      <c r="L814" s="200" t="str">
        <f>IFERROR(VLOOKUP($H814,PARAMETERS!$M$3:$M$1600,1,0),"---")</f>
        <v>---</v>
      </c>
    </row>
    <row r="815" spans="12:12" x14ac:dyDescent="0.3">
      <c r="L815" s="200" t="str">
        <f>IFERROR(VLOOKUP($H815,PARAMETERS!$M$3:$M$1600,1,0),"---")</f>
        <v>---</v>
      </c>
    </row>
    <row r="816" spans="12:12" x14ac:dyDescent="0.3">
      <c r="L816" s="200" t="str">
        <f>IFERROR(VLOOKUP($H816,PARAMETERS!$M$3:$M$1600,1,0),"---")</f>
        <v>---</v>
      </c>
    </row>
    <row r="817" spans="12:12" x14ac:dyDescent="0.3">
      <c r="L817" s="200" t="str">
        <f>IFERROR(VLOOKUP($H817,PARAMETERS!$M$3:$M$1600,1,0),"---")</f>
        <v>---</v>
      </c>
    </row>
    <row r="818" spans="12:12" x14ac:dyDescent="0.3">
      <c r="L818" s="200" t="str">
        <f>IFERROR(VLOOKUP($H818,PARAMETERS!$M$3:$M$1600,1,0),"---")</f>
        <v>---</v>
      </c>
    </row>
    <row r="819" spans="12:12" x14ac:dyDescent="0.3">
      <c r="L819" s="200" t="str">
        <f>IFERROR(VLOOKUP($H819,PARAMETERS!$M$3:$M$1600,1,0),"---")</f>
        <v>---</v>
      </c>
    </row>
    <row r="820" spans="12:12" x14ac:dyDescent="0.3">
      <c r="L820" s="200" t="str">
        <f>IFERROR(VLOOKUP($H820,PARAMETERS!$M$3:$M$1600,1,0),"---")</f>
        <v>---</v>
      </c>
    </row>
    <row r="821" spans="12:12" x14ac:dyDescent="0.3">
      <c r="L821" s="200" t="str">
        <f>IFERROR(VLOOKUP($H821,PARAMETERS!$M$3:$M$1600,1,0),"---")</f>
        <v>---</v>
      </c>
    </row>
    <row r="822" spans="12:12" x14ac:dyDescent="0.3">
      <c r="L822" s="200" t="str">
        <f>IFERROR(VLOOKUP($H822,PARAMETERS!$M$3:$M$1600,1,0),"---")</f>
        <v>---</v>
      </c>
    </row>
    <row r="823" spans="12:12" x14ac:dyDescent="0.3">
      <c r="L823" s="200" t="str">
        <f>IFERROR(VLOOKUP($H823,PARAMETERS!$M$3:$M$1600,1,0),"---")</f>
        <v>---</v>
      </c>
    </row>
    <row r="824" spans="12:12" x14ac:dyDescent="0.3">
      <c r="L824" s="200" t="str">
        <f>IFERROR(VLOOKUP($H824,PARAMETERS!$M$3:$M$1600,1,0),"---")</f>
        <v>---</v>
      </c>
    </row>
    <row r="825" spans="12:12" x14ac:dyDescent="0.3">
      <c r="L825" s="200" t="str">
        <f>IFERROR(VLOOKUP($H825,PARAMETERS!$M$3:$M$1600,1,0),"---")</f>
        <v>---</v>
      </c>
    </row>
    <row r="826" spans="12:12" x14ac:dyDescent="0.3">
      <c r="L826" s="200" t="str">
        <f>IFERROR(VLOOKUP($H826,PARAMETERS!$M$3:$M$1600,1,0),"---")</f>
        <v>---</v>
      </c>
    </row>
    <row r="827" spans="12:12" x14ac:dyDescent="0.3">
      <c r="L827" s="200" t="str">
        <f>IFERROR(VLOOKUP($H827,PARAMETERS!$M$3:$M$1600,1,0),"---")</f>
        <v>---</v>
      </c>
    </row>
    <row r="828" spans="12:12" x14ac:dyDescent="0.3">
      <c r="L828" s="200" t="str">
        <f>IFERROR(VLOOKUP($H828,PARAMETERS!$M$3:$M$1600,1,0),"---")</f>
        <v>---</v>
      </c>
    </row>
    <row r="829" spans="12:12" x14ac:dyDescent="0.3">
      <c r="L829" s="200" t="str">
        <f>IFERROR(VLOOKUP($H829,PARAMETERS!$M$3:$M$1600,1,0),"---")</f>
        <v>---</v>
      </c>
    </row>
    <row r="830" spans="12:12" x14ac:dyDescent="0.3">
      <c r="L830" s="200" t="str">
        <f>IFERROR(VLOOKUP($H830,PARAMETERS!$M$3:$M$1600,1,0),"---")</f>
        <v>---</v>
      </c>
    </row>
    <row r="831" spans="12:12" x14ac:dyDescent="0.3">
      <c r="L831" s="200" t="str">
        <f>IFERROR(VLOOKUP($H831,PARAMETERS!$M$3:$M$1600,1,0),"---")</f>
        <v>---</v>
      </c>
    </row>
    <row r="832" spans="12:12" x14ac:dyDescent="0.3">
      <c r="L832" s="200" t="str">
        <f>IFERROR(VLOOKUP($H832,PARAMETERS!$M$3:$M$1600,1,0),"---")</f>
        <v>---</v>
      </c>
    </row>
    <row r="833" spans="12:12" x14ac:dyDescent="0.3">
      <c r="L833" s="200" t="str">
        <f>IFERROR(VLOOKUP($H833,PARAMETERS!$M$3:$M$1600,1,0),"---")</f>
        <v>---</v>
      </c>
    </row>
    <row r="834" spans="12:12" x14ac:dyDescent="0.3">
      <c r="L834" s="200" t="str">
        <f>IFERROR(VLOOKUP($H834,PARAMETERS!$M$3:$M$1600,1,0),"---")</f>
        <v>---</v>
      </c>
    </row>
    <row r="835" spans="12:12" x14ac:dyDescent="0.3">
      <c r="L835" s="200" t="str">
        <f>IFERROR(VLOOKUP($H835,PARAMETERS!$M$3:$M$1600,1,0),"---")</f>
        <v>---</v>
      </c>
    </row>
    <row r="836" spans="12:12" x14ac:dyDescent="0.3">
      <c r="L836" s="200" t="str">
        <f>IFERROR(VLOOKUP($H836,PARAMETERS!$M$3:$M$1600,1,0),"---")</f>
        <v>---</v>
      </c>
    </row>
    <row r="837" spans="12:12" x14ac:dyDescent="0.3">
      <c r="L837" s="200" t="str">
        <f>IFERROR(VLOOKUP($H837,PARAMETERS!$M$3:$M$1600,1,0),"---")</f>
        <v>---</v>
      </c>
    </row>
    <row r="838" spans="12:12" x14ac:dyDescent="0.3">
      <c r="L838" s="200" t="str">
        <f>IFERROR(VLOOKUP($H838,PARAMETERS!$M$3:$M$1600,1,0),"---")</f>
        <v>---</v>
      </c>
    </row>
    <row r="839" spans="12:12" x14ac:dyDescent="0.3">
      <c r="L839" s="200" t="str">
        <f>IFERROR(VLOOKUP($H839,PARAMETERS!$M$3:$M$1600,1,0),"---")</f>
        <v>---</v>
      </c>
    </row>
    <row r="840" spans="12:12" x14ac:dyDescent="0.3">
      <c r="L840" s="200" t="str">
        <f>IFERROR(VLOOKUP($H840,PARAMETERS!$M$3:$M$1600,1,0),"---")</f>
        <v>---</v>
      </c>
    </row>
    <row r="841" spans="12:12" x14ac:dyDescent="0.3">
      <c r="L841" s="200" t="str">
        <f>IFERROR(VLOOKUP($H841,PARAMETERS!$M$3:$M$1600,1,0),"---")</f>
        <v>---</v>
      </c>
    </row>
    <row r="842" spans="12:12" x14ac:dyDescent="0.3">
      <c r="L842" s="200" t="str">
        <f>IFERROR(VLOOKUP($H842,PARAMETERS!$M$3:$M$1600,1,0),"---")</f>
        <v>---</v>
      </c>
    </row>
    <row r="843" spans="12:12" x14ac:dyDescent="0.3">
      <c r="L843" s="200" t="str">
        <f>IFERROR(VLOOKUP($H843,PARAMETERS!$M$3:$M$1600,1,0),"---")</f>
        <v>---</v>
      </c>
    </row>
    <row r="844" spans="12:12" x14ac:dyDescent="0.3">
      <c r="L844" s="200" t="str">
        <f>IFERROR(VLOOKUP($H844,PARAMETERS!$M$3:$M$1600,1,0),"---")</f>
        <v>---</v>
      </c>
    </row>
    <row r="845" spans="12:12" x14ac:dyDescent="0.3">
      <c r="L845" s="200" t="str">
        <f>IFERROR(VLOOKUP($H845,PARAMETERS!$M$3:$M$1600,1,0),"---")</f>
        <v>---</v>
      </c>
    </row>
    <row r="846" spans="12:12" x14ac:dyDescent="0.3">
      <c r="L846" s="200" t="str">
        <f>IFERROR(VLOOKUP($H846,PARAMETERS!$M$3:$M$1600,1,0),"---")</f>
        <v>---</v>
      </c>
    </row>
    <row r="847" spans="12:12" x14ac:dyDescent="0.3">
      <c r="L847" s="200" t="str">
        <f>IFERROR(VLOOKUP($H847,PARAMETERS!$M$3:$M$1600,1,0),"---")</f>
        <v>---</v>
      </c>
    </row>
    <row r="848" spans="12:12" x14ac:dyDescent="0.3">
      <c r="L848" s="200" t="str">
        <f>IFERROR(VLOOKUP($H848,PARAMETERS!$M$3:$M$1600,1,0),"---")</f>
        <v>---</v>
      </c>
    </row>
    <row r="849" spans="12:12" x14ac:dyDescent="0.3">
      <c r="L849" s="200" t="str">
        <f>IFERROR(VLOOKUP($H849,PARAMETERS!$M$3:$M$1600,1,0),"---")</f>
        <v>---</v>
      </c>
    </row>
    <row r="850" spans="12:12" x14ac:dyDescent="0.3">
      <c r="L850" s="200" t="str">
        <f>IFERROR(VLOOKUP($H850,PARAMETERS!$M$3:$M$1600,1,0),"---")</f>
        <v>---</v>
      </c>
    </row>
    <row r="851" spans="12:12" x14ac:dyDescent="0.3">
      <c r="L851" s="200" t="str">
        <f>IFERROR(VLOOKUP($H851,PARAMETERS!$M$3:$M$1600,1,0),"---")</f>
        <v>---</v>
      </c>
    </row>
    <row r="852" spans="12:12" x14ac:dyDescent="0.3">
      <c r="L852" s="200" t="str">
        <f>IFERROR(VLOOKUP($H852,PARAMETERS!$M$3:$M$1600,1,0),"---")</f>
        <v>---</v>
      </c>
    </row>
    <row r="853" spans="12:12" x14ac:dyDescent="0.3">
      <c r="L853" s="200" t="str">
        <f>IFERROR(VLOOKUP($H853,PARAMETERS!$M$3:$M$1600,1,0),"---")</f>
        <v>---</v>
      </c>
    </row>
    <row r="854" spans="12:12" x14ac:dyDescent="0.3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D915"/>
  <sheetViews>
    <sheetView workbookViewId="0"/>
  </sheetViews>
  <sheetFormatPr baseColWidth="10" defaultRowHeight="14.4" x14ac:dyDescent="0.3"/>
  <cols>
    <col min="2" max="2" width="32.109375" bestFit="1" customWidth="1"/>
    <col min="3" max="3" width="35.33203125" style="220" bestFit="1" customWidth="1"/>
    <col min="4" max="4" width="10.33203125" bestFit="1" customWidth="1"/>
  </cols>
  <sheetData>
    <row r="2" spans="2:4" x14ac:dyDescent="0.3">
      <c r="B2" t="s">
        <v>88</v>
      </c>
      <c r="C2" s="220">
        <v>0.76</v>
      </c>
      <c r="D2" t="s">
        <v>26</v>
      </c>
    </row>
    <row r="3" spans="2:4" x14ac:dyDescent="0.3">
      <c r="B3" t="s">
        <v>50</v>
      </c>
      <c r="C3" s="220">
        <v>2.1349999999999998</v>
      </c>
      <c r="D3" t="s">
        <v>26</v>
      </c>
    </row>
    <row r="4" spans="2:4" x14ac:dyDescent="0.3">
      <c r="B4" t="s">
        <v>92</v>
      </c>
      <c r="C4" s="220">
        <v>1</v>
      </c>
      <c r="D4" t="s">
        <v>26</v>
      </c>
    </row>
    <row r="5" spans="2:4" x14ac:dyDescent="0.3">
      <c r="B5" t="s">
        <v>1548</v>
      </c>
      <c r="D5" t="s">
        <v>59</v>
      </c>
    </row>
    <row r="6" spans="2:4" x14ac:dyDescent="0.3">
      <c r="B6" t="s">
        <v>1567</v>
      </c>
      <c r="D6" t="s">
        <v>59</v>
      </c>
    </row>
    <row r="7" spans="2:4" x14ac:dyDescent="0.3">
      <c r="B7" t="s">
        <v>1574</v>
      </c>
      <c r="D7" t="s">
        <v>20</v>
      </c>
    </row>
    <row r="8" spans="2:4" x14ac:dyDescent="0.3">
      <c r="B8" t="s">
        <v>1589</v>
      </c>
      <c r="C8" s="220">
        <v>1</v>
      </c>
      <c r="D8" t="s">
        <v>49</v>
      </c>
    </row>
    <row r="9" spans="2:4" x14ac:dyDescent="0.3">
      <c r="B9" t="s">
        <v>1602</v>
      </c>
      <c r="D9" t="s">
        <v>59</v>
      </c>
    </row>
    <row r="10" spans="2:4" x14ac:dyDescent="0.3">
      <c r="B10" t="s">
        <v>1604</v>
      </c>
      <c r="C10" s="220">
        <v>0</v>
      </c>
      <c r="D10" t="s">
        <v>46</v>
      </c>
    </row>
    <row r="11" spans="2:4" x14ac:dyDescent="0.3">
      <c r="B11" t="s">
        <v>1606</v>
      </c>
      <c r="C11" s="220">
        <v>3</v>
      </c>
      <c r="D11" t="s">
        <v>46</v>
      </c>
    </row>
    <row r="12" spans="2:4" x14ac:dyDescent="0.3">
      <c r="B12" t="s">
        <v>182</v>
      </c>
      <c r="C12" s="220">
        <v>0</v>
      </c>
      <c r="D12" t="s">
        <v>49</v>
      </c>
    </row>
    <row r="13" spans="2:4" x14ac:dyDescent="0.3">
      <c r="B13" t="s">
        <v>183</v>
      </c>
      <c r="C13" s="220">
        <v>1</v>
      </c>
      <c r="D13" t="s">
        <v>26</v>
      </c>
    </row>
    <row r="14" spans="2:4" x14ac:dyDescent="0.3">
      <c r="B14" t="s">
        <v>184</v>
      </c>
      <c r="C14" s="220">
        <v>0</v>
      </c>
      <c r="D14" t="s">
        <v>26</v>
      </c>
    </row>
    <row r="15" spans="2:4" x14ac:dyDescent="0.3">
      <c r="B15" t="s">
        <v>1611</v>
      </c>
      <c r="C15" s="220">
        <v>3</v>
      </c>
      <c r="D15" t="s">
        <v>46</v>
      </c>
    </row>
    <row r="16" spans="2:4" x14ac:dyDescent="0.3">
      <c r="B16" t="s">
        <v>1613</v>
      </c>
      <c r="C16" s="220">
        <v>0</v>
      </c>
      <c r="D16" t="s">
        <v>33</v>
      </c>
    </row>
    <row r="17" spans="2:4" x14ac:dyDescent="0.3">
      <c r="B17" t="s">
        <v>1615</v>
      </c>
      <c r="C17" s="220">
        <v>1</v>
      </c>
      <c r="D17" t="s">
        <v>49</v>
      </c>
    </row>
    <row r="18" spans="2:4" x14ac:dyDescent="0.3">
      <c r="B18" t="s">
        <v>1617</v>
      </c>
      <c r="C18" s="220">
        <v>0</v>
      </c>
      <c r="D18" t="s">
        <v>49</v>
      </c>
    </row>
    <row r="19" spans="2:4" x14ac:dyDescent="0.3">
      <c r="B19" t="s">
        <v>1619</v>
      </c>
      <c r="C19" s="220">
        <v>1</v>
      </c>
      <c r="D19" t="s">
        <v>46</v>
      </c>
    </row>
    <row r="20" spans="2:4" x14ac:dyDescent="0.3">
      <c r="B20" t="s">
        <v>1622</v>
      </c>
      <c r="C20" s="220" t="s">
        <v>35</v>
      </c>
      <c r="D20" t="s">
        <v>46</v>
      </c>
    </row>
    <row r="21" spans="2:4" x14ac:dyDescent="0.3">
      <c r="B21" t="s">
        <v>1624</v>
      </c>
      <c r="C21" s="220" t="s">
        <v>35</v>
      </c>
      <c r="D21" t="s">
        <v>26</v>
      </c>
    </row>
    <row r="22" spans="2:4" x14ac:dyDescent="0.3">
      <c r="B22" t="s">
        <v>1626</v>
      </c>
      <c r="C22" s="220">
        <v>0</v>
      </c>
      <c r="D22" t="s">
        <v>46</v>
      </c>
    </row>
    <row r="23" spans="2:4" x14ac:dyDescent="0.3">
      <c r="B23" t="s">
        <v>1628</v>
      </c>
      <c r="C23" s="220">
        <v>1</v>
      </c>
      <c r="D23" t="s">
        <v>46</v>
      </c>
    </row>
    <row r="24" spans="2:4" x14ac:dyDescent="0.3">
      <c r="B24" t="s">
        <v>1630</v>
      </c>
      <c r="C24" s="220">
        <v>1</v>
      </c>
      <c r="D24" t="s">
        <v>46</v>
      </c>
    </row>
    <row r="25" spans="2:4" x14ac:dyDescent="0.3">
      <c r="B25" t="s">
        <v>1632</v>
      </c>
      <c r="C25" s="220">
        <v>0</v>
      </c>
      <c r="D25" t="s">
        <v>26</v>
      </c>
    </row>
    <row r="26" spans="2:4" x14ac:dyDescent="0.3">
      <c r="B26" t="s">
        <v>1634</v>
      </c>
      <c r="C26" s="220">
        <v>1</v>
      </c>
      <c r="D26" t="s">
        <v>46</v>
      </c>
    </row>
    <row r="27" spans="2:4" x14ac:dyDescent="0.3">
      <c r="B27" t="s">
        <v>1636</v>
      </c>
      <c r="C27" s="220">
        <v>2</v>
      </c>
      <c r="D27" t="s">
        <v>46</v>
      </c>
    </row>
    <row r="28" spans="2:4" x14ac:dyDescent="0.3">
      <c r="B28" t="s">
        <v>1638</v>
      </c>
      <c r="C28" s="220">
        <v>0</v>
      </c>
      <c r="D28" t="s">
        <v>46</v>
      </c>
    </row>
    <row r="29" spans="2:4" x14ac:dyDescent="0.3">
      <c r="B29" t="s">
        <v>1640</v>
      </c>
      <c r="C29" s="220">
        <v>0</v>
      </c>
      <c r="D29" t="s">
        <v>49</v>
      </c>
    </row>
    <row r="30" spans="2:4" x14ac:dyDescent="0.3">
      <c r="B30" t="s">
        <v>1644</v>
      </c>
      <c r="C30" s="220" t="s">
        <v>136</v>
      </c>
      <c r="D30" t="s">
        <v>20</v>
      </c>
    </row>
    <row r="31" spans="2:4" x14ac:dyDescent="0.3">
      <c r="B31" t="s">
        <v>1647</v>
      </c>
      <c r="C31" s="220" t="s">
        <v>136</v>
      </c>
      <c r="D31" t="s">
        <v>20</v>
      </c>
    </row>
    <row r="32" spans="2:4" x14ac:dyDescent="0.3">
      <c r="B32" t="s">
        <v>1657</v>
      </c>
      <c r="C32" s="220">
        <v>0</v>
      </c>
      <c r="D32" t="s">
        <v>26</v>
      </c>
    </row>
    <row r="33" spans="2:4" x14ac:dyDescent="0.3">
      <c r="B33" t="s">
        <v>1664</v>
      </c>
      <c r="C33" s="220">
        <v>0</v>
      </c>
      <c r="D33" t="s">
        <v>26</v>
      </c>
    </row>
    <row r="34" spans="2:4" x14ac:dyDescent="0.3">
      <c r="B34" t="s">
        <v>1668</v>
      </c>
      <c r="C34" s="220">
        <v>0</v>
      </c>
      <c r="D34" t="s">
        <v>26</v>
      </c>
    </row>
    <row r="35" spans="2:4" x14ac:dyDescent="0.3">
      <c r="B35" t="s">
        <v>1695</v>
      </c>
      <c r="C35" s="220">
        <v>0</v>
      </c>
      <c r="D35" t="s">
        <v>49</v>
      </c>
    </row>
    <row r="36" spans="2:4" x14ac:dyDescent="0.3">
      <c r="B36" t="s">
        <v>1714</v>
      </c>
      <c r="D36" t="s">
        <v>59</v>
      </c>
    </row>
    <row r="37" spans="2:4" x14ac:dyDescent="0.3">
      <c r="B37" t="s">
        <v>1722</v>
      </c>
      <c r="C37" s="220">
        <v>3</v>
      </c>
      <c r="D37" t="s">
        <v>46</v>
      </c>
    </row>
    <row r="38" spans="2:4" x14ac:dyDescent="0.3">
      <c r="B38" t="s">
        <v>1724</v>
      </c>
      <c r="C38" s="220">
        <v>0</v>
      </c>
      <c r="D38" t="s">
        <v>26</v>
      </c>
    </row>
    <row r="39" spans="2:4" x14ac:dyDescent="0.3">
      <c r="B39" t="s">
        <v>1744</v>
      </c>
      <c r="D39" t="s">
        <v>59</v>
      </c>
    </row>
    <row r="40" spans="2:4" x14ac:dyDescent="0.3">
      <c r="B40" t="s">
        <v>1746</v>
      </c>
      <c r="C40" s="220">
        <v>0</v>
      </c>
      <c r="D40" t="s">
        <v>49</v>
      </c>
    </row>
    <row r="41" spans="2:4" x14ac:dyDescent="0.3">
      <c r="B41" t="s">
        <v>1748</v>
      </c>
      <c r="C41" s="220">
        <v>2</v>
      </c>
      <c r="D41" t="s">
        <v>46</v>
      </c>
    </row>
    <row r="42" spans="2:4" x14ac:dyDescent="0.3">
      <c r="B42" t="s">
        <v>1750</v>
      </c>
      <c r="C42" s="220" t="s">
        <v>1752</v>
      </c>
      <c r="D42" t="s">
        <v>20</v>
      </c>
    </row>
    <row r="43" spans="2:4" x14ac:dyDescent="0.3">
      <c r="B43" t="s">
        <v>1754</v>
      </c>
      <c r="C43" s="220">
        <v>1</v>
      </c>
      <c r="D43" t="s">
        <v>46</v>
      </c>
    </row>
    <row r="44" spans="2:4" x14ac:dyDescent="0.3">
      <c r="B44" t="s">
        <v>1756</v>
      </c>
      <c r="C44" s="220">
        <v>1</v>
      </c>
      <c r="D44" t="s">
        <v>49</v>
      </c>
    </row>
    <row r="45" spans="2:4" x14ac:dyDescent="0.3">
      <c r="B45" t="s">
        <v>1758</v>
      </c>
      <c r="C45" s="220">
        <v>0</v>
      </c>
      <c r="D45" t="s">
        <v>26</v>
      </c>
    </row>
    <row r="46" spans="2:4" x14ac:dyDescent="0.3">
      <c r="B46" t="s">
        <v>1760</v>
      </c>
      <c r="C46" s="220">
        <v>1</v>
      </c>
      <c r="D46" t="s">
        <v>49</v>
      </c>
    </row>
    <row r="47" spans="2:4" x14ac:dyDescent="0.3">
      <c r="B47" t="s">
        <v>1762</v>
      </c>
      <c r="C47" s="220">
        <v>0</v>
      </c>
      <c r="D47" t="s">
        <v>26</v>
      </c>
    </row>
    <row r="48" spans="2:4" x14ac:dyDescent="0.3">
      <c r="B48" t="s">
        <v>1764</v>
      </c>
      <c r="C48" s="220">
        <v>0</v>
      </c>
      <c r="D48" t="s">
        <v>26</v>
      </c>
    </row>
    <row r="49" spans="2:4" x14ac:dyDescent="0.3">
      <c r="B49" t="s">
        <v>1766</v>
      </c>
      <c r="C49" s="220">
        <v>0.03</v>
      </c>
      <c r="D49" t="s">
        <v>26</v>
      </c>
    </row>
    <row r="50" spans="2:4" x14ac:dyDescent="0.3">
      <c r="B50" t="s">
        <v>1768</v>
      </c>
      <c r="C50" s="220">
        <v>75</v>
      </c>
      <c r="D50" t="s">
        <v>33</v>
      </c>
    </row>
    <row r="51" spans="2:4" x14ac:dyDescent="0.3">
      <c r="B51" t="s">
        <v>1770</v>
      </c>
      <c r="C51" s="220">
        <v>0</v>
      </c>
      <c r="D51" t="s">
        <v>26</v>
      </c>
    </row>
    <row r="52" spans="2:4" x14ac:dyDescent="0.3">
      <c r="B52" t="s">
        <v>1772</v>
      </c>
      <c r="C52" s="220">
        <v>0.24</v>
      </c>
      <c r="D52" t="s">
        <v>26</v>
      </c>
    </row>
    <row r="53" spans="2:4" x14ac:dyDescent="0.3">
      <c r="B53" t="s">
        <v>1774</v>
      </c>
      <c r="C53" s="220">
        <v>0.115</v>
      </c>
      <c r="D53" t="s">
        <v>26</v>
      </c>
    </row>
    <row r="54" spans="2:4" x14ac:dyDescent="0.3">
      <c r="B54" t="s">
        <v>1776</v>
      </c>
      <c r="C54" s="220">
        <v>0</v>
      </c>
      <c r="D54" t="s">
        <v>26</v>
      </c>
    </row>
    <row r="55" spans="2:4" x14ac:dyDescent="0.3">
      <c r="B55" t="s">
        <v>1778</v>
      </c>
      <c r="C55" s="220">
        <v>5.1999999999999998E-2</v>
      </c>
      <c r="D55" t="s">
        <v>26</v>
      </c>
    </row>
    <row r="56" spans="2:4" x14ac:dyDescent="0.3">
      <c r="B56" t="s">
        <v>1779</v>
      </c>
      <c r="C56" s="220">
        <v>0.01</v>
      </c>
      <c r="D56" t="s">
        <v>26</v>
      </c>
    </row>
    <row r="57" spans="2:4" x14ac:dyDescent="0.3">
      <c r="B57" t="s">
        <v>1780</v>
      </c>
      <c r="C57" s="220">
        <v>0.1</v>
      </c>
      <c r="D57" t="s">
        <v>26</v>
      </c>
    </row>
    <row r="58" spans="2:4" x14ac:dyDescent="0.3">
      <c r="B58" t="s">
        <v>1782</v>
      </c>
      <c r="C58" s="220">
        <v>0</v>
      </c>
      <c r="D58" t="s">
        <v>26</v>
      </c>
    </row>
    <row r="59" spans="2:4" x14ac:dyDescent="0.3">
      <c r="B59" t="s">
        <v>1784</v>
      </c>
      <c r="C59" s="220">
        <v>0.01</v>
      </c>
      <c r="D59" t="s">
        <v>26</v>
      </c>
    </row>
    <row r="60" spans="2:4" x14ac:dyDescent="0.3">
      <c r="B60" t="s">
        <v>1786</v>
      </c>
      <c r="C60" s="220">
        <v>0</v>
      </c>
      <c r="D60" t="s">
        <v>49</v>
      </c>
    </row>
    <row r="61" spans="2:4" x14ac:dyDescent="0.3">
      <c r="B61" t="s">
        <v>1788</v>
      </c>
      <c r="C61" s="220">
        <v>7</v>
      </c>
      <c r="D61" t="s">
        <v>54</v>
      </c>
    </row>
    <row r="62" spans="2:4" x14ac:dyDescent="0.3">
      <c r="B62" t="s">
        <v>1790</v>
      </c>
      <c r="C62" s="220">
        <v>3</v>
      </c>
      <c r="D62" t="s">
        <v>55</v>
      </c>
    </row>
    <row r="63" spans="2:4" x14ac:dyDescent="0.3">
      <c r="B63" t="s">
        <v>1792</v>
      </c>
      <c r="C63" s="220">
        <v>91</v>
      </c>
      <c r="D63" t="s">
        <v>55</v>
      </c>
    </row>
    <row r="64" spans="2:4" x14ac:dyDescent="0.3">
      <c r="B64" t="s">
        <v>1794</v>
      </c>
      <c r="C64" s="220">
        <v>10</v>
      </c>
      <c r="D64" t="s">
        <v>55</v>
      </c>
    </row>
    <row r="65" spans="2:4" x14ac:dyDescent="0.3">
      <c r="B65" t="s">
        <v>1796</v>
      </c>
      <c r="C65" s="220">
        <v>35</v>
      </c>
      <c r="D65" t="s">
        <v>52</v>
      </c>
    </row>
    <row r="66" spans="2:4" x14ac:dyDescent="0.3">
      <c r="B66" t="s">
        <v>1798</v>
      </c>
      <c r="C66" s="220">
        <v>48</v>
      </c>
      <c r="D66" t="s">
        <v>52</v>
      </c>
    </row>
    <row r="67" spans="2:4" x14ac:dyDescent="0.3">
      <c r="B67" t="s">
        <v>1800</v>
      </c>
      <c r="C67" s="220">
        <v>5</v>
      </c>
      <c r="D67" t="s">
        <v>52</v>
      </c>
    </row>
    <row r="68" spans="2:4" x14ac:dyDescent="0.3">
      <c r="B68" t="s">
        <v>1802</v>
      </c>
      <c r="C68" s="220">
        <v>122</v>
      </c>
      <c r="D68" t="s">
        <v>52</v>
      </c>
    </row>
    <row r="69" spans="2:4" x14ac:dyDescent="0.3">
      <c r="B69" t="s">
        <v>1804</v>
      </c>
      <c r="D69" t="s">
        <v>59</v>
      </c>
    </row>
    <row r="70" spans="2:4" x14ac:dyDescent="0.3">
      <c r="B70" t="s">
        <v>1811</v>
      </c>
      <c r="C70" s="220">
        <v>0</v>
      </c>
      <c r="D70" t="s">
        <v>49</v>
      </c>
    </row>
    <row r="71" spans="2:4" x14ac:dyDescent="0.3">
      <c r="B71" t="s">
        <v>1872</v>
      </c>
      <c r="D71" t="s">
        <v>59</v>
      </c>
    </row>
    <row r="72" spans="2:4" x14ac:dyDescent="0.3">
      <c r="B72" t="s">
        <v>1875</v>
      </c>
      <c r="C72" s="220" t="s">
        <v>1873</v>
      </c>
      <c r="D72" t="s">
        <v>20</v>
      </c>
    </row>
    <row r="73" spans="2:4" x14ac:dyDescent="0.3">
      <c r="B73" t="s">
        <v>1878</v>
      </c>
      <c r="C73" s="220">
        <v>3</v>
      </c>
      <c r="D73" t="s">
        <v>46</v>
      </c>
    </row>
    <row r="74" spans="2:4" x14ac:dyDescent="0.3">
      <c r="B74" t="s">
        <v>1879</v>
      </c>
      <c r="C74" s="220" t="s">
        <v>1881</v>
      </c>
      <c r="D74" t="s">
        <v>20</v>
      </c>
    </row>
    <row r="75" spans="2:4" x14ac:dyDescent="0.3">
      <c r="B75" t="s">
        <v>1882</v>
      </c>
      <c r="C75" s="220">
        <v>2</v>
      </c>
      <c r="D75" t="s">
        <v>46</v>
      </c>
    </row>
    <row r="76" spans="2:4" x14ac:dyDescent="0.3">
      <c r="B76" t="s">
        <v>1883</v>
      </c>
      <c r="C76" s="220">
        <v>0</v>
      </c>
      <c r="D76" t="s">
        <v>26</v>
      </c>
    </row>
    <row r="77" spans="2:4" x14ac:dyDescent="0.3">
      <c r="B77" t="s">
        <v>1885</v>
      </c>
      <c r="C77" s="220">
        <v>0</v>
      </c>
      <c r="D77" t="s">
        <v>26</v>
      </c>
    </row>
    <row r="78" spans="2:4" x14ac:dyDescent="0.3">
      <c r="B78" t="s">
        <v>1886</v>
      </c>
      <c r="C78" s="220" t="s">
        <v>1873</v>
      </c>
      <c r="D78" t="s">
        <v>20</v>
      </c>
    </row>
    <row r="79" spans="2:4" x14ac:dyDescent="0.3">
      <c r="B79" t="s">
        <v>1889</v>
      </c>
      <c r="C79" s="220">
        <v>3</v>
      </c>
      <c r="D79" t="s">
        <v>46</v>
      </c>
    </row>
    <row r="80" spans="2:4" x14ac:dyDescent="0.3">
      <c r="B80" t="s">
        <v>1890</v>
      </c>
      <c r="C80" s="220" t="s">
        <v>1873</v>
      </c>
      <c r="D80" t="s">
        <v>20</v>
      </c>
    </row>
    <row r="81" spans="2:4" x14ac:dyDescent="0.3">
      <c r="B81" t="s">
        <v>1892</v>
      </c>
      <c r="C81" s="220">
        <v>3</v>
      </c>
      <c r="D81" t="s">
        <v>46</v>
      </c>
    </row>
    <row r="82" spans="2:4" x14ac:dyDescent="0.3">
      <c r="B82" t="s">
        <v>1893</v>
      </c>
      <c r="C82" s="220">
        <v>0</v>
      </c>
      <c r="D82" t="s">
        <v>49</v>
      </c>
    </row>
    <row r="83" spans="2:4" x14ac:dyDescent="0.3">
      <c r="B83" t="s">
        <v>1895</v>
      </c>
      <c r="C83" s="220">
        <v>5.5E-2</v>
      </c>
      <c r="D83" t="s">
        <v>26</v>
      </c>
    </row>
    <row r="84" spans="2:4" x14ac:dyDescent="0.3">
      <c r="B84" t="s">
        <v>1897</v>
      </c>
      <c r="C84" s="220">
        <v>5.5E-2</v>
      </c>
      <c r="D84" t="s">
        <v>26</v>
      </c>
    </row>
    <row r="85" spans="2:4" x14ac:dyDescent="0.3">
      <c r="B85" t="s">
        <v>1899</v>
      </c>
      <c r="C85" s="220">
        <v>0.06</v>
      </c>
      <c r="D85" t="s">
        <v>26</v>
      </c>
    </row>
    <row r="86" spans="2:4" x14ac:dyDescent="0.3">
      <c r="B86" t="s">
        <v>1901</v>
      </c>
      <c r="C86" s="220">
        <v>0.06</v>
      </c>
      <c r="D86" t="s">
        <v>26</v>
      </c>
    </row>
    <row r="87" spans="2:4" x14ac:dyDescent="0.3">
      <c r="B87" t="s">
        <v>1903</v>
      </c>
      <c r="C87" s="220">
        <v>5.5E-2</v>
      </c>
      <c r="D87" t="s">
        <v>26</v>
      </c>
    </row>
    <row r="88" spans="2:4" x14ac:dyDescent="0.3">
      <c r="B88" t="s">
        <v>1904</v>
      </c>
      <c r="C88" s="220">
        <v>5.5E-2</v>
      </c>
      <c r="D88" t="s">
        <v>26</v>
      </c>
    </row>
    <row r="89" spans="2:4" x14ac:dyDescent="0.3">
      <c r="B89" t="s">
        <v>1905</v>
      </c>
      <c r="C89" s="220">
        <v>5.5E-2</v>
      </c>
      <c r="D89" t="s">
        <v>26</v>
      </c>
    </row>
    <row r="90" spans="2:4" x14ac:dyDescent="0.3">
      <c r="B90" t="s">
        <v>1907</v>
      </c>
      <c r="C90" s="220">
        <v>5.5E-2</v>
      </c>
      <c r="D90" t="s">
        <v>26</v>
      </c>
    </row>
    <row r="91" spans="2:4" x14ac:dyDescent="0.3">
      <c r="B91" t="s">
        <v>1909</v>
      </c>
      <c r="C91" s="220">
        <v>0.06</v>
      </c>
      <c r="D91" t="s">
        <v>26</v>
      </c>
    </row>
    <row r="92" spans="2:4" x14ac:dyDescent="0.3">
      <c r="B92" t="s">
        <v>1911</v>
      </c>
      <c r="C92" s="220">
        <v>0</v>
      </c>
      <c r="D92" t="s">
        <v>26</v>
      </c>
    </row>
    <row r="93" spans="2:4" x14ac:dyDescent="0.3">
      <c r="B93" t="s">
        <v>1913</v>
      </c>
      <c r="C93" s="220">
        <v>5.5E-2</v>
      </c>
      <c r="D93" t="s">
        <v>26</v>
      </c>
    </row>
    <row r="94" spans="2:4" x14ac:dyDescent="0.3">
      <c r="B94" t="s">
        <v>1914</v>
      </c>
      <c r="C94" s="220">
        <v>5.5E-2</v>
      </c>
      <c r="D94" t="s">
        <v>26</v>
      </c>
    </row>
    <row r="95" spans="2:4" x14ac:dyDescent="0.3">
      <c r="B95" t="s">
        <v>1915</v>
      </c>
      <c r="C95" s="220">
        <v>0.05</v>
      </c>
      <c r="D95" t="s">
        <v>26</v>
      </c>
    </row>
    <row r="96" spans="2:4" x14ac:dyDescent="0.3">
      <c r="B96" t="s">
        <v>1917</v>
      </c>
      <c r="C96" s="220" t="s">
        <v>1919</v>
      </c>
      <c r="D96" t="s">
        <v>20</v>
      </c>
    </row>
    <row r="97" spans="2:4" x14ac:dyDescent="0.3">
      <c r="B97" t="s">
        <v>1920</v>
      </c>
      <c r="C97" s="220">
        <v>1</v>
      </c>
      <c r="D97" t="s">
        <v>46</v>
      </c>
    </row>
    <row r="98" spans="2:4" x14ac:dyDescent="0.3">
      <c r="B98" t="s">
        <v>1921</v>
      </c>
      <c r="C98" s="220">
        <v>20</v>
      </c>
      <c r="D98" t="s">
        <v>33</v>
      </c>
    </row>
    <row r="99" spans="2:4" x14ac:dyDescent="0.3">
      <c r="B99" t="s">
        <v>1923</v>
      </c>
      <c r="C99" s="220">
        <v>20</v>
      </c>
      <c r="D99" t="s">
        <v>33</v>
      </c>
    </row>
    <row r="100" spans="2:4" x14ac:dyDescent="0.3">
      <c r="B100" t="s">
        <v>1925</v>
      </c>
      <c r="C100" s="220">
        <v>20</v>
      </c>
      <c r="D100" t="s">
        <v>33</v>
      </c>
    </row>
    <row r="101" spans="2:4" x14ac:dyDescent="0.3">
      <c r="B101" t="s">
        <v>1927</v>
      </c>
      <c r="C101" s="220">
        <v>0</v>
      </c>
      <c r="D101" t="s">
        <v>33</v>
      </c>
    </row>
    <row r="102" spans="2:4" x14ac:dyDescent="0.3">
      <c r="B102" t="s">
        <v>1929</v>
      </c>
      <c r="C102" s="220">
        <v>-1</v>
      </c>
      <c r="D102" t="s">
        <v>26</v>
      </c>
    </row>
    <row r="103" spans="2:4" x14ac:dyDescent="0.3">
      <c r="B103" t="s">
        <v>1931</v>
      </c>
      <c r="C103" s="220">
        <v>-1</v>
      </c>
      <c r="D103" t="s">
        <v>26</v>
      </c>
    </row>
    <row r="104" spans="2:4" x14ac:dyDescent="0.3">
      <c r="B104" t="s">
        <v>1933</v>
      </c>
      <c r="C104" s="220">
        <v>-1</v>
      </c>
      <c r="D104" t="s">
        <v>26</v>
      </c>
    </row>
    <row r="105" spans="2:4" x14ac:dyDescent="0.3">
      <c r="B105" t="s">
        <v>1935</v>
      </c>
      <c r="C105" s="220">
        <v>-1</v>
      </c>
      <c r="D105" t="s">
        <v>26</v>
      </c>
    </row>
    <row r="106" spans="2:4" x14ac:dyDescent="0.3">
      <c r="B106" t="s">
        <v>1937</v>
      </c>
      <c r="C106" s="220">
        <v>20</v>
      </c>
      <c r="D106" t="s">
        <v>33</v>
      </c>
    </row>
    <row r="107" spans="2:4" x14ac:dyDescent="0.3">
      <c r="B107" t="s">
        <v>1939</v>
      </c>
      <c r="C107" s="220">
        <v>20</v>
      </c>
      <c r="D107" t="s">
        <v>33</v>
      </c>
    </row>
    <row r="108" spans="2:4" x14ac:dyDescent="0.3">
      <c r="B108" t="s">
        <v>1941</v>
      </c>
      <c r="C108" s="220">
        <v>20</v>
      </c>
      <c r="D108" t="s">
        <v>33</v>
      </c>
    </row>
    <row r="109" spans="2:4" x14ac:dyDescent="0.3">
      <c r="B109" t="s">
        <v>1943</v>
      </c>
      <c r="C109" s="220">
        <v>0</v>
      </c>
      <c r="D109" t="s">
        <v>33</v>
      </c>
    </row>
    <row r="110" spans="2:4" x14ac:dyDescent="0.3">
      <c r="B110" t="s">
        <v>1945</v>
      </c>
      <c r="C110" s="220">
        <v>0</v>
      </c>
      <c r="D110" t="s">
        <v>49</v>
      </c>
    </row>
    <row r="111" spans="2:4" x14ac:dyDescent="0.3">
      <c r="B111" t="s">
        <v>1946</v>
      </c>
      <c r="C111" s="220">
        <v>-1</v>
      </c>
      <c r="D111" t="s">
        <v>26</v>
      </c>
    </row>
    <row r="112" spans="2:4" x14ac:dyDescent="0.3">
      <c r="B112" t="s">
        <v>1948</v>
      </c>
      <c r="C112" s="220">
        <v>-1</v>
      </c>
      <c r="D112" t="s">
        <v>26</v>
      </c>
    </row>
    <row r="113" spans="2:4" x14ac:dyDescent="0.3">
      <c r="B113" t="s">
        <v>1950</v>
      </c>
      <c r="C113" s="220">
        <v>-1</v>
      </c>
      <c r="D113" t="s">
        <v>26</v>
      </c>
    </row>
    <row r="114" spans="2:4" x14ac:dyDescent="0.3">
      <c r="B114" t="s">
        <v>1952</v>
      </c>
      <c r="C114" s="220">
        <v>-1</v>
      </c>
      <c r="D114" t="s">
        <v>26</v>
      </c>
    </row>
    <row r="115" spans="2:4" x14ac:dyDescent="0.3">
      <c r="B115" t="s">
        <v>1954</v>
      </c>
      <c r="D115" t="s">
        <v>59</v>
      </c>
    </row>
    <row r="116" spans="2:4" x14ac:dyDescent="0.3">
      <c r="B116" t="s">
        <v>1956</v>
      </c>
      <c r="C116" s="220">
        <v>0</v>
      </c>
      <c r="D116" t="s">
        <v>49</v>
      </c>
    </row>
    <row r="117" spans="2:4" x14ac:dyDescent="0.3">
      <c r="B117" t="s">
        <v>1958</v>
      </c>
      <c r="C117" s="220">
        <v>0.04</v>
      </c>
      <c r="D117" t="s">
        <v>26</v>
      </c>
    </row>
    <row r="118" spans="2:4" x14ac:dyDescent="0.3">
      <c r="B118" t="s">
        <v>1960</v>
      </c>
      <c r="C118" s="220">
        <v>0</v>
      </c>
      <c r="D118" t="s">
        <v>49</v>
      </c>
    </row>
    <row r="119" spans="2:4" x14ac:dyDescent="0.3">
      <c r="B119" t="s">
        <v>1962</v>
      </c>
      <c r="C119" s="220">
        <v>0</v>
      </c>
      <c r="D119" t="s">
        <v>46</v>
      </c>
    </row>
    <row r="120" spans="2:4" x14ac:dyDescent="0.3">
      <c r="B120" t="s">
        <v>1964</v>
      </c>
      <c r="C120" s="220">
        <v>0</v>
      </c>
      <c r="D120" t="s">
        <v>49</v>
      </c>
    </row>
    <row r="121" spans="2:4" x14ac:dyDescent="0.3">
      <c r="B121" t="s">
        <v>1966</v>
      </c>
      <c r="C121" s="220">
        <v>0</v>
      </c>
      <c r="D121" t="s">
        <v>46</v>
      </c>
    </row>
    <row r="122" spans="2:4" x14ac:dyDescent="0.3">
      <c r="B122" t="s">
        <v>1968</v>
      </c>
      <c r="C122" s="220">
        <v>0</v>
      </c>
      <c r="D122" t="s">
        <v>49</v>
      </c>
    </row>
    <row r="123" spans="2:4" x14ac:dyDescent="0.3">
      <c r="B123" t="s">
        <v>1970</v>
      </c>
      <c r="C123" s="220">
        <v>0</v>
      </c>
      <c r="D123" t="s">
        <v>49</v>
      </c>
    </row>
    <row r="124" spans="2:4" x14ac:dyDescent="0.3">
      <c r="B124" t="s">
        <v>1972</v>
      </c>
      <c r="C124" s="220" t="s">
        <v>1973</v>
      </c>
      <c r="D124" t="s">
        <v>20</v>
      </c>
    </row>
    <row r="125" spans="2:4" x14ac:dyDescent="0.3">
      <c r="B125" t="s">
        <v>1974</v>
      </c>
      <c r="C125" s="220">
        <v>1</v>
      </c>
      <c r="D125" t="s">
        <v>46</v>
      </c>
    </row>
    <row r="126" spans="2:4" x14ac:dyDescent="0.3">
      <c r="B126" t="s">
        <v>1975</v>
      </c>
      <c r="C126" s="220" t="s">
        <v>1480</v>
      </c>
      <c r="D126" t="s">
        <v>20</v>
      </c>
    </row>
    <row r="127" spans="2:4" x14ac:dyDescent="0.3">
      <c r="B127" t="s">
        <v>1977</v>
      </c>
      <c r="C127" s="220">
        <v>1</v>
      </c>
      <c r="D127" t="s">
        <v>46</v>
      </c>
    </row>
    <row r="128" spans="2:4" x14ac:dyDescent="0.3">
      <c r="B128" t="s">
        <v>1978</v>
      </c>
      <c r="C128" s="220">
        <v>1</v>
      </c>
      <c r="D128" t="s">
        <v>46</v>
      </c>
    </row>
    <row r="129" spans="2:4" x14ac:dyDescent="0.3">
      <c r="B129" t="s">
        <v>1980</v>
      </c>
      <c r="C129" s="220" t="s">
        <v>1982</v>
      </c>
      <c r="D129" t="s">
        <v>20</v>
      </c>
    </row>
    <row r="130" spans="2:4" x14ac:dyDescent="0.3">
      <c r="B130" t="s">
        <v>1983</v>
      </c>
      <c r="C130" s="220">
        <v>1</v>
      </c>
      <c r="D130" t="s">
        <v>46</v>
      </c>
    </row>
    <row r="131" spans="2:4" x14ac:dyDescent="0.3">
      <c r="B131" t="s">
        <v>1984</v>
      </c>
      <c r="C131" s="220">
        <v>1</v>
      </c>
      <c r="D131" t="s">
        <v>49</v>
      </c>
    </row>
    <row r="132" spans="2:4" x14ac:dyDescent="0.3">
      <c r="B132" t="s">
        <v>1986</v>
      </c>
      <c r="C132" s="220">
        <v>1</v>
      </c>
      <c r="D132" t="s">
        <v>49</v>
      </c>
    </row>
    <row r="133" spans="2:4" x14ac:dyDescent="0.3">
      <c r="B133" t="s">
        <v>1988</v>
      </c>
      <c r="C133" s="220">
        <v>0</v>
      </c>
      <c r="D133" t="s">
        <v>49</v>
      </c>
    </row>
    <row r="134" spans="2:4" x14ac:dyDescent="0.3">
      <c r="B134" t="s">
        <v>1990</v>
      </c>
      <c r="C134" s="220">
        <v>0</v>
      </c>
      <c r="D134" t="s">
        <v>49</v>
      </c>
    </row>
    <row r="135" spans="2:4" x14ac:dyDescent="0.3">
      <c r="B135" t="s">
        <v>1992</v>
      </c>
      <c r="C135" s="220">
        <v>1</v>
      </c>
      <c r="D135" t="s">
        <v>46</v>
      </c>
    </row>
    <row r="136" spans="2:4" x14ac:dyDescent="0.3">
      <c r="B136" t="s">
        <v>1994</v>
      </c>
      <c r="D136" t="s">
        <v>20</v>
      </c>
    </row>
    <row r="137" spans="2:4" x14ac:dyDescent="0.3">
      <c r="B137" t="s">
        <v>1996</v>
      </c>
      <c r="C137" s="220">
        <v>1</v>
      </c>
      <c r="D137" t="s">
        <v>46</v>
      </c>
    </row>
    <row r="138" spans="2:4" x14ac:dyDescent="0.3">
      <c r="B138" t="s">
        <v>1997</v>
      </c>
      <c r="C138" s="220">
        <v>0</v>
      </c>
      <c r="D138" t="s">
        <v>49</v>
      </c>
    </row>
    <row r="139" spans="2:4" x14ac:dyDescent="0.3">
      <c r="B139" t="s">
        <v>1999</v>
      </c>
      <c r="C139" s="220">
        <v>0</v>
      </c>
      <c r="D139" t="s">
        <v>26</v>
      </c>
    </row>
    <row r="140" spans="2:4" x14ac:dyDescent="0.3">
      <c r="B140" t="s">
        <v>2001</v>
      </c>
      <c r="C140" s="220">
        <v>3.7999999999999999E-2</v>
      </c>
      <c r="D140" t="s">
        <v>26</v>
      </c>
    </row>
    <row r="141" spans="2:4" x14ac:dyDescent="0.3">
      <c r="B141" t="s">
        <v>2003</v>
      </c>
      <c r="C141" s="220">
        <v>0.1</v>
      </c>
      <c r="D141" t="s">
        <v>26</v>
      </c>
    </row>
    <row r="142" spans="2:4" x14ac:dyDescent="0.3">
      <c r="B142" t="s">
        <v>2005</v>
      </c>
      <c r="C142" s="220">
        <v>1</v>
      </c>
      <c r="D142" t="s">
        <v>49</v>
      </c>
    </row>
    <row r="143" spans="2:4" x14ac:dyDescent="0.3">
      <c r="B143" t="s">
        <v>2007</v>
      </c>
      <c r="C143" s="220">
        <v>1</v>
      </c>
      <c r="D143" t="s">
        <v>49</v>
      </c>
    </row>
    <row r="144" spans="2:4" x14ac:dyDescent="0.3">
      <c r="B144" t="s">
        <v>2009</v>
      </c>
      <c r="C144" s="220">
        <v>2.5000000000000001E-2</v>
      </c>
      <c r="D144" t="s">
        <v>26</v>
      </c>
    </row>
    <row r="145" spans="2:4" x14ac:dyDescent="0.3">
      <c r="B145" t="s">
        <v>2011</v>
      </c>
      <c r="C145" s="220">
        <v>100</v>
      </c>
      <c r="D145" t="s">
        <v>55</v>
      </c>
    </row>
    <row r="146" spans="2:4" x14ac:dyDescent="0.3">
      <c r="B146" t="s">
        <v>2013</v>
      </c>
      <c r="C146" s="220">
        <v>1</v>
      </c>
      <c r="D146" t="s">
        <v>53</v>
      </c>
    </row>
    <row r="147" spans="2:4" x14ac:dyDescent="0.3">
      <c r="B147" t="s">
        <v>2015</v>
      </c>
      <c r="C147" s="220">
        <v>65</v>
      </c>
      <c r="D147" t="s">
        <v>54</v>
      </c>
    </row>
    <row r="148" spans="2:4" x14ac:dyDescent="0.3">
      <c r="B148" t="s">
        <v>2017</v>
      </c>
      <c r="C148" s="220">
        <v>1</v>
      </c>
      <c r="D148" t="s">
        <v>55</v>
      </c>
    </row>
    <row r="149" spans="2:4" x14ac:dyDescent="0.3">
      <c r="B149" t="s">
        <v>2019</v>
      </c>
      <c r="C149" s="220">
        <v>93</v>
      </c>
      <c r="D149" t="s">
        <v>55</v>
      </c>
    </row>
    <row r="150" spans="2:4" x14ac:dyDescent="0.3">
      <c r="B150" t="s">
        <v>2020</v>
      </c>
      <c r="C150" s="220">
        <v>0</v>
      </c>
      <c r="D150" t="s">
        <v>49</v>
      </c>
    </row>
    <row r="151" spans="2:4" x14ac:dyDescent="0.3">
      <c r="B151" t="s">
        <v>2022</v>
      </c>
      <c r="C151" s="220">
        <v>15</v>
      </c>
      <c r="D151" t="s">
        <v>52</v>
      </c>
    </row>
    <row r="152" spans="2:4" x14ac:dyDescent="0.3">
      <c r="B152" t="s">
        <v>2024</v>
      </c>
      <c r="C152" s="220">
        <v>0.15</v>
      </c>
      <c r="D152" t="s">
        <v>26</v>
      </c>
    </row>
    <row r="153" spans="2:4" x14ac:dyDescent="0.3">
      <c r="B153" t="s">
        <v>2026</v>
      </c>
      <c r="C153" s="220">
        <v>100</v>
      </c>
      <c r="D153" t="s">
        <v>55</v>
      </c>
    </row>
    <row r="154" spans="2:4" x14ac:dyDescent="0.3">
      <c r="B154" t="s">
        <v>2027</v>
      </c>
      <c r="C154" s="220">
        <v>1</v>
      </c>
      <c r="D154" t="s">
        <v>53</v>
      </c>
    </row>
    <row r="155" spans="2:4" x14ac:dyDescent="0.3">
      <c r="B155" t="s">
        <v>2028</v>
      </c>
      <c r="C155" s="220">
        <v>65</v>
      </c>
      <c r="D155" t="s">
        <v>54</v>
      </c>
    </row>
    <row r="156" spans="2:4" x14ac:dyDescent="0.3">
      <c r="B156" t="s">
        <v>2029</v>
      </c>
      <c r="C156" s="220">
        <v>1</v>
      </c>
      <c r="D156" t="s">
        <v>55</v>
      </c>
    </row>
    <row r="157" spans="2:4" x14ac:dyDescent="0.3">
      <c r="B157" t="s">
        <v>2030</v>
      </c>
      <c r="C157" s="220">
        <v>93</v>
      </c>
      <c r="D157" t="s">
        <v>55</v>
      </c>
    </row>
    <row r="158" spans="2:4" x14ac:dyDescent="0.3">
      <c r="B158" t="s">
        <v>2031</v>
      </c>
      <c r="C158" s="220" t="s">
        <v>35</v>
      </c>
      <c r="D158" t="s">
        <v>26</v>
      </c>
    </row>
    <row r="159" spans="2:4" x14ac:dyDescent="0.3">
      <c r="B159" t="s">
        <v>2033</v>
      </c>
      <c r="C159" s="220" t="s">
        <v>35</v>
      </c>
      <c r="D159" t="s">
        <v>26</v>
      </c>
    </row>
    <row r="160" spans="2:4" x14ac:dyDescent="0.3">
      <c r="B160" t="s">
        <v>2035</v>
      </c>
      <c r="C160" s="220">
        <v>1</v>
      </c>
      <c r="D160" t="s">
        <v>46</v>
      </c>
    </row>
    <row r="161" spans="2:4" x14ac:dyDescent="0.3">
      <c r="B161" t="s">
        <v>2037</v>
      </c>
      <c r="C161" s="220">
        <v>1</v>
      </c>
      <c r="D161" t="s">
        <v>46</v>
      </c>
    </row>
    <row r="162" spans="2:4" x14ac:dyDescent="0.3">
      <c r="B162" t="s">
        <v>2039</v>
      </c>
      <c r="C162" s="220">
        <v>1</v>
      </c>
      <c r="D162" t="s">
        <v>46</v>
      </c>
    </row>
    <row r="163" spans="2:4" x14ac:dyDescent="0.3">
      <c r="B163" t="s">
        <v>2041</v>
      </c>
      <c r="C163" s="220">
        <v>1</v>
      </c>
      <c r="D163" t="s">
        <v>49</v>
      </c>
    </row>
    <row r="164" spans="2:4" x14ac:dyDescent="0.3">
      <c r="B164" t="s">
        <v>2043</v>
      </c>
      <c r="C164" s="220">
        <v>1</v>
      </c>
      <c r="D164" t="s">
        <v>49</v>
      </c>
    </row>
    <row r="165" spans="2:4" x14ac:dyDescent="0.3">
      <c r="B165" t="s">
        <v>2045</v>
      </c>
      <c r="C165" s="220">
        <v>1</v>
      </c>
      <c r="D165" t="s">
        <v>46</v>
      </c>
    </row>
    <row r="166" spans="2:4" x14ac:dyDescent="0.3">
      <c r="B166" t="s">
        <v>2047</v>
      </c>
      <c r="C166" s="220">
        <v>1.4999999999999999E-2</v>
      </c>
      <c r="D166" t="s">
        <v>26</v>
      </c>
    </row>
    <row r="167" spans="2:4" x14ac:dyDescent="0.3">
      <c r="B167" t="s">
        <v>2049</v>
      </c>
      <c r="C167" s="220">
        <v>1</v>
      </c>
      <c r="D167" t="s">
        <v>46</v>
      </c>
    </row>
    <row r="168" spans="2:4" x14ac:dyDescent="0.3">
      <c r="B168" t="s">
        <v>2051</v>
      </c>
      <c r="C168" s="220">
        <v>0</v>
      </c>
      <c r="D168" t="s">
        <v>49</v>
      </c>
    </row>
    <row r="169" spans="2:4" x14ac:dyDescent="0.3">
      <c r="B169" t="s">
        <v>2053</v>
      </c>
      <c r="C169" s="220">
        <v>1</v>
      </c>
      <c r="D169" t="s">
        <v>55</v>
      </c>
    </row>
    <row r="170" spans="2:4" x14ac:dyDescent="0.3">
      <c r="B170" t="s">
        <v>2055</v>
      </c>
      <c r="C170" s="220">
        <v>0</v>
      </c>
      <c r="D170" t="s">
        <v>26</v>
      </c>
    </row>
    <row r="171" spans="2:4" x14ac:dyDescent="0.3">
      <c r="B171" t="s">
        <v>2057</v>
      </c>
      <c r="C171" s="220">
        <v>0</v>
      </c>
      <c r="D171" t="s">
        <v>49</v>
      </c>
    </row>
    <row r="172" spans="2:4" x14ac:dyDescent="0.3">
      <c r="B172" t="s">
        <v>2059</v>
      </c>
      <c r="C172" s="220">
        <v>0</v>
      </c>
      <c r="D172" t="s">
        <v>49</v>
      </c>
    </row>
    <row r="173" spans="2:4" x14ac:dyDescent="0.3">
      <c r="B173" t="s">
        <v>2061</v>
      </c>
      <c r="D173" t="s">
        <v>59</v>
      </c>
    </row>
    <row r="174" spans="2:4" x14ac:dyDescent="0.3">
      <c r="B174" t="s">
        <v>2064</v>
      </c>
      <c r="C174" s="220">
        <v>0</v>
      </c>
      <c r="D174" t="s">
        <v>49</v>
      </c>
    </row>
    <row r="175" spans="2:4" x14ac:dyDescent="0.3">
      <c r="B175" t="s">
        <v>2066</v>
      </c>
      <c r="C175" s="220">
        <v>0</v>
      </c>
      <c r="D175" t="s">
        <v>49</v>
      </c>
    </row>
    <row r="176" spans="2:4" x14ac:dyDescent="0.3">
      <c r="B176" t="s">
        <v>2068</v>
      </c>
      <c r="C176" s="220">
        <v>0</v>
      </c>
      <c r="D176" t="s">
        <v>49</v>
      </c>
    </row>
    <row r="177" spans="2:4" x14ac:dyDescent="0.3">
      <c r="B177" t="s">
        <v>2070</v>
      </c>
      <c r="D177" t="s">
        <v>59</v>
      </c>
    </row>
    <row r="178" spans="2:4" x14ac:dyDescent="0.3">
      <c r="B178" t="s">
        <v>2072</v>
      </c>
      <c r="C178" s="220">
        <v>0</v>
      </c>
      <c r="D178" t="s">
        <v>49</v>
      </c>
    </row>
    <row r="179" spans="2:4" x14ac:dyDescent="0.3">
      <c r="B179" t="s">
        <v>2105</v>
      </c>
      <c r="D179" t="s">
        <v>59</v>
      </c>
    </row>
    <row r="180" spans="2:4" x14ac:dyDescent="0.3">
      <c r="B180" t="s">
        <v>2108</v>
      </c>
      <c r="C180" s="220">
        <v>0</v>
      </c>
      <c r="D180" t="s">
        <v>49</v>
      </c>
    </row>
    <row r="181" spans="2:4" x14ac:dyDescent="0.3">
      <c r="B181" t="s">
        <v>2109</v>
      </c>
      <c r="C181" s="220">
        <v>1</v>
      </c>
      <c r="D181" t="s">
        <v>49</v>
      </c>
    </row>
    <row r="182" spans="2:4" x14ac:dyDescent="0.3">
      <c r="B182" t="s">
        <v>2110</v>
      </c>
      <c r="C182" s="220">
        <v>2</v>
      </c>
      <c r="D182" t="s">
        <v>46</v>
      </c>
    </row>
    <row r="183" spans="2:4" x14ac:dyDescent="0.3">
      <c r="B183" t="s">
        <v>2112</v>
      </c>
      <c r="C183" s="220">
        <v>0</v>
      </c>
      <c r="D183" t="s">
        <v>49</v>
      </c>
    </row>
    <row r="184" spans="2:4" x14ac:dyDescent="0.3">
      <c r="B184" t="s">
        <v>2114</v>
      </c>
      <c r="C184" s="220">
        <v>0</v>
      </c>
      <c r="D184" t="s">
        <v>49</v>
      </c>
    </row>
    <row r="185" spans="2:4" x14ac:dyDescent="0.3">
      <c r="B185" t="s">
        <v>2116</v>
      </c>
      <c r="C185" s="220">
        <v>7.0000000000000007E-2</v>
      </c>
      <c r="D185" t="s">
        <v>26</v>
      </c>
    </row>
    <row r="186" spans="2:4" x14ac:dyDescent="0.3">
      <c r="B186" t="s">
        <v>2117</v>
      </c>
      <c r="C186" s="220">
        <v>0.3</v>
      </c>
      <c r="D186" t="s">
        <v>26</v>
      </c>
    </row>
    <row r="187" spans="2:4" x14ac:dyDescent="0.3">
      <c r="B187" t="s">
        <v>2119</v>
      </c>
      <c r="C187" s="220">
        <v>0.06</v>
      </c>
      <c r="D187" t="s">
        <v>26</v>
      </c>
    </row>
    <row r="188" spans="2:4" x14ac:dyDescent="0.3">
      <c r="B188" t="s">
        <v>2121</v>
      </c>
      <c r="C188" s="220">
        <v>0.06</v>
      </c>
      <c r="D188" t="s">
        <v>26</v>
      </c>
    </row>
    <row r="189" spans="2:4" x14ac:dyDescent="0.3">
      <c r="B189" t="s">
        <v>2123</v>
      </c>
      <c r="C189" s="220">
        <v>7.0000000000000007E-2</v>
      </c>
      <c r="D189" t="s">
        <v>26</v>
      </c>
    </row>
    <row r="190" spans="2:4" x14ac:dyDescent="0.3">
      <c r="B190" t="s">
        <v>2125</v>
      </c>
      <c r="C190" s="220">
        <v>7.0000000000000007E-2</v>
      </c>
      <c r="D190" t="s">
        <v>26</v>
      </c>
    </row>
    <row r="191" spans="2:4" x14ac:dyDescent="0.3">
      <c r="B191" t="s">
        <v>2127</v>
      </c>
      <c r="C191" s="220">
        <v>2.5000000000000001E-2</v>
      </c>
      <c r="D191" t="s">
        <v>26</v>
      </c>
    </row>
    <row r="192" spans="2:4" x14ac:dyDescent="0.3">
      <c r="B192" t="s">
        <v>2129</v>
      </c>
      <c r="C192" s="220">
        <v>0.05</v>
      </c>
      <c r="D192" t="s">
        <v>26</v>
      </c>
    </row>
    <row r="193" spans="2:4" x14ac:dyDescent="0.3">
      <c r="B193" t="s">
        <v>2131</v>
      </c>
      <c r="C193" s="220">
        <v>133</v>
      </c>
      <c r="D193" t="s">
        <v>52</v>
      </c>
    </row>
    <row r="194" spans="2:4" x14ac:dyDescent="0.3">
      <c r="B194" t="s">
        <v>2133</v>
      </c>
      <c r="C194" s="220">
        <v>1</v>
      </c>
      <c r="D194" t="s">
        <v>55</v>
      </c>
    </row>
    <row r="195" spans="2:4" x14ac:dyDescent="0.3">
      <c r="B195" t="s">
        <v>2135</v>
      </c>
      <c r="C195" s="220">
        <v>1</v>
      </c>
      <c r="D195" t="s">
        <v>55</v>
      </c>
    </row>
    <row r="196" spans="2:4" x14ac:dyDescent="0.3">
      <c r="B196" t="s">
        <v>2137</v>
      </c>
      <c r="C196" s="220">
        <v>1</v>
      </c>
      <c r="D196" t="s">
        <v>55</v>
      </c>
    </row>
    <row r="197" spans="2:4" x14ac:dyDescent="0.3">
      <c r="B197" t="s">
        <v>2139</v>
      </c>
      <c r="C197" s="220">
        <v>1</v>
      </c>
      <c r="D197" t="s">
        <v>55</v>
      </c>
    </row>
    <row r="198" spans="2:4" x14ac:dyDescent="0.3">
      <c r="B198" t="s">
        <v>2140</v>
      </c>
      <c r="C198" s="220">
        <v>1</v>
      </c>
      <c r="D198" t="s">
        <v>55</v>
      </c>
    </row>
    <row r="199" spans="2:4" x14ac:dyDescent="0.3">
      <c r="B199" t="s">
        <v>2141</v>
      </c>
      <c r="C199" s="220">
        <v>64</v>
      </c>
      <c r="D199" t="s">
        <v>54</v>
      </c>
    </row>
    <row r="200" spans="2:4" x14ac:dyDescent="0.3">
      <c r="B200" t="s">
        <v>2143</v>
      </c>
      <c r="C200" s="220">
        <v>65</v>
      </c>
      <c r="D200" t="s">
        <v>54</v>
      </c>
    </row>
    <row r="201" spans="2:4" x14ac:dyDescent="0.3">
      <c r="B201" t="s">
        <v>2145</v>
      </c>
      <c r="C201" s="220">
        <v>16</v>
      </c>
      <c r="D201" t="s">
        <v>54</v>
      </c>
    </row>
    <row r="202" spans="2:4" x14ac:dyDescent="0.3">
      <c r="B202" t="s">
        <v>2146</v>
      </c>
      <c r="C202" s="220">
        <v>65</v>
      </c>
      <c r="D202" t="s">
        <v>54</v>
      </c>
    </row>
    <row r="203" spans="2:4" x14ac:dyDescent="0.3">
      <c r="B203" t="s">
        <v>2148</v>
      </c>
      <c r="C203" s="220">
        <v>65</v>
      </c>
      <c r="D203" t="s">
        <v>54</v>
      </c>
    </row>
    <row r="204" spans="2:4" x14ac:dyDescent="0.3">
      <c r="B204" t="s">
        <v>2150</v>
      </c>
      <c r="C204" s="220">
        <v>65</v>
      </c>
      <c r="D204" t="s">
        <v>54</v>
      </c>
    </row>
    <row r="205" spans="2:4" x14ac:dyDescent="0.3">
      <c r="B205" t="s">
        <v>2152</v>
      </c>
      <c r="C205" s="220">
        <v>1</v>
      </c>
      <c r="D205" t="s">
        <v>53</v>
      </c>
    </row>
    <row r="206" spans="2:4" x14ac:dyDescent="0.3">
      <c r="B206" t="s">
        <v>2154</v>
      </c>
      <c r="D206" t="s">
        <v>59</v>
      </c>
    </row>
    <row r="207" spans="2:4" x14ac:dyDescent="0.3">
      <c r="B207" t="s">
        <v>2157</v>
      </c>
      <c r="C207" s="220">
        <v>0</v>
      </c>
      <c r="D207" t="s">
        <v>49</v>
      </c>
    </row>
    <row r="208" spans="2:4" x14ac:dyDescent="0.3">
      <c r="B208" t="s">
        <v>2158</v>
      </c>
      <c r="C208" s="220">
        <v>1</v>
      </c>
      <c r="D208" t="s">
        <v>46</v>
      </c>
    </row>
    <row r="209" spans="2:4" x14ac:dyDescent="0.3">
      <c r="B209" t="s">
        <v>2160</v>
      </c>
      <c r="C209" s="220">
        <v>254</v>
      </c>
      <c r="D209" t="s">
        <v>46</v>
      </c>
    </row>
    <row r="210" spans="2:4" x14ac:dyDescent="0.3">
      <c r="B210" t="s">
        <v>277</v>
      </c>
      <c r="C210" s="220">
        <v>0</v>
      </c>
      <c r="D210" t="s">
        <v>46</v>
      </c>
    </row>
    <row r="211" spans="2:4" x14ac:dyDescent="0.3">
      <c r="B211" t="s">
        <v>280</v>
      </c>
      <c r="C211" s="220">
        <v>0</v>
      </c>
      <c r="D211" t="s">
        <v>46</v>
      </c>
    </row>
    <row r="212" spans="2:4" x14ac:dyDescent="0.3">
      <c r="B212" t="s">
        <v>282</v>
      </c>
      <c r="C212" s="220">
        <v>0</v>
      </c>
      <c r="D212" t="s">
        <v>46</v>
      </c>
    </row>
    <row r="213" spans="2:4" x14ac:dyDescent="0.3">
      <c r="B213" t="s">
        <v>284</v>
      </c>
      <c r="C213" s="220">
        <v>0</v>
      </c>
      <c r="D213" t="s">
        <v>46</v>
      </c>
    </row>
    <row r="214" spans="2:4" x14ac:dyDescent="0.3">
      <c r="B214" t="s">
        <v>287</v>
      </c>
      <c r="C214" s="220">
        <v>0</v>
      </c>
      <c r="D214" t="s">
        <v>46</v>
      </c>
    </row>
    <row r="215" spans="2:4" x14ac:dyDescent="0.3">
      <c r="B215" t="s">
        <v>289</v>
      </c>
      <c r="C215" s="220">
        <v>0</v>
      </c>
      <c r="D215" t="s">
        <v>46</v>
      </c>
    </row>
    <row r="216" spans="2:4" x14ac:dyDescent="0.3">
      <c r="B216" t="s">
        <v>292</v>
      </c>
      <c r="C216" s="220">
        <v>0</v>
      </c>
      <c r="D216" t="s">
        <v>46</v>
      </c>
    </row>
    <row r="217" spans="2:4" x14ac:dyDescent="0.3">
      <c r="B217" t="s">
        <v>297</v>
      </c>
      <c r="C217" s="220" t="s">
        <v>136</v>
      </c>
      <c r="D217" t="s">
        <v>20</v>
      </c>
    </row>
    <row r="218" spans="2:4" x14ac:dyDescent="0.3">
      <c r="B218" t="s">
        <v>301</v>
      </c>
      <c r="C218" s="220" t="s">
        <v>136</v>
      </c>
      <c r="D218" t="s">
        <v>20</v>
      </c>
    </row>
    <row r="219" spans="2:4" x14ac:dyDescent="0.3">
      <c r="B219" t="s">
        <v>304</v>
      </c>
      <c r="C219" s="220" t="s">
        <v>136</v>
      </c>
      <c r="D219" t="s">
        <v>20</v>
      </c>
    </row>
    <row r="220" spans="2:4" x14ac:dyDescent="0.3">
      <c r="B220" t="s">
        <v>307</v>
      </c>
      <c r="C220" s="220" t="s">
        <v>136</v>
      </c>
      <c r="D220" t="s">
        <v>20</v>
      </c>
    </row>
    <row r="221" spans="2:4" x14ac:dyDescent="0.3">
      <c r="B221" t="s">
        <v>311</v>
      </c>
      <c r="C221" s="220" t="s">
        <v>136</v>
      </c>
      <c r="D221" t="s">
        <v>20</v>
      </c>
    </row>
    <row r="222" spans="2:4" x14ac:dyDescent="0.3">
      <c r="B222" t="s">
        <v>314</v>
      </c>
      <c r="C222" s="220" t="s">
        <v>136</v>
      </c>
      <c r="D222" t="s">
        <v>20</v>
      </c>
    </row>
    <row r="223" spans="2:4" x14ac:dyDescent="0.3">
      <c r="B223" t="s">
        <v>317</v>
      </c>
      <c r="C223" s="220" t="s">
        <v>136</v>
      </c>
      <c r="D223" t="s">
        <v>20</v>
      </c>
    </row>
    <row r="224" spans="2:4" x14ac:dyDescent="0.3">
      <c r="B224" t="s">
        <v>320</v>
      </c>
      <c r="C224" s="220" t="s">
        <v>136</v>
      </c>
      <c r="D224" t="s">
        <v>20</v>
      </c>
    </row>
    <row r="225" spans="2:4" x14ac:dyDescent="0.3">
      <c r="B225" t="s">
        <v>323</v>
      </c>
      <c r="C225" s="220" t="s">
        <v>136</v>
      </c>
      <c r="D225" t="s">
        <v>20</v>
      </c>
    </row>
    <row r="226" spans="2:4" x14ac:dyDescent="0.3">
      <c r="B226" t="s">
        <v>326</v>
      </c>
      <c r="C226" s="220" t="s">
        <v>136</v>
      </c>
      <c r="D226" t="s">
        <v>20</v>
      </c>
    </row>
    <row r="227" spans="2:4" x14ac:dyDescent="0.3">
      <c r="B227" t="s">
        <v>329</v>
      </c>
      <c r="C227" s="220" t="s">
        <v>136</v>
      </c>
      <c r="D227" t="s">
        <v>20</v>
      </c>
    </row>
    <row r="228" spans="2:4" x14ac:dyDescent="0.3">
      <c r="B228" t="s">
        <v>332</v>
      </c>
      <c r="C228" s="220" t="s">
        <v>136</v>
      </c>
      <c r="D228" t="s">
        <v>20</v>
      </c>
    </row>
    <row r="229" spans="2:4" x14ac:dyDescent="0.3">
      <c r="B229" t="s">
        <v>338</v>
      </c>
      <c r="C229" s="220" t="s">
        <v>136</v>
      </c>
      <c r="D229" t="s">
        <v>20</v>
      </c>
    </row>
    <row r="230" spans="2:4" x14ac:dyDescent="0.3">
      <c r="B230" t="s">
        <v>342</v>
      </c>
      <c r="C230" s="220">
        <v>0.8</v>
      </c>
      <c r="D230" t="s">
        <v>26</v>
      </c>
    </row>
    <row r="231" spans="2:4" x14ac:dyDescent="0.3">
      <c r="B231" t="s">
        <v>344</v>
      </c>
      <c r="C231" s="220">
        <v>2</v>
      </c>
      <c r="D231" t="s">
        <v>26</v>
      </c>
    </row>
    <row r="232" spans="2:4" x14ac:dyDescent="0.3">
      <c r="B232" t="s">
        <v>346</v>
      </c>
      <c r="C232" s="220">
        <v>90</v>
      </c>
      <c r="D232" t="s">
        <v>33</v>
      </c>
    </row>
    <row r="233" spans="2:4" x14ac:dyDescent="0.3">
      <c r="B233" t="s">
        <v>348</v>
      </c>
      <c r="C233" s="220">
        <v>0</v>
      </c>
      <c r="D233" t="s">
        <v>26</v>
      </c>
    </row>
    <row r="234" spans="2:4" x14ac:dyDescent="0.3">
      <c r="B234" t="s">
        <v>351</v>
      </c>
      <c r="C234" s="220" t="s">
        <v>136</v>
      </c>
      <c r="D234" t="s">
        <v>20</v>
      </c>
    </row>
    <row r="235" spans="2:4" x14ac:dyDescent="0.3">
      <c r="B235" t="s">
        <v>354</v>
      </c>
      <c r="C235" s="220" t="s">
        <v>136</v>
      </c>
      <c r="D235" t="s">
        <v>20</v>
      </c>
    </row>
    <row r="236" spans="2:4" x14ac:dyDescent="0.3">
      <c r="B236" t="s">
        <v>357</v>
      </c>
      <c r="C236" s="220" t="s">
        <v>136</v>
      </c>
      <c r="D236" t="s">
        <v>20</v>
      </c>
    </row>
    <row r="237" spans="2:4" x14ac:dyDescent="0.3">
      <c r="B237" t="s">
        <v>360</v>
      </c>
      <c r="C237" s="220" t="s">
        <v>136</v>
      </c>
      <c r="D237" t="s">
        <v>20</v>
      </c>
    </row>
    <row r="238" spans="2:4" x14ac:dyDescent="0.3">
      <c r="B238" t="s">
        <v>363</v>
      </c>
      <c r="C238" s="220" t="s">
        <v>136</v>
      </c>
      <c r="D238" t="s">
        <v>20</v>
      </c>
    </row>
    <row r="239" spans="2:4" x14ac:dyDescent="0.3">
      <c r="B239" t="s">
        <v>366</v>
      </c>
      <c r="C239" s="220" t="s">
        <v>136</v>
      </c>
      <c r="D239" t="s">
        <v>20</v>
      </c>
    </row>
    <row r="240" spans="2:4" x14ac:dyDescent="0.3">
      <c r="B240" t="s">
        <v>369</v>
      </c>
      <c r="C240" s="220" t="s">
        <v>136</v>
      </c>
      <c r="D240" t="s">
        <v>20</v>
      </c>
    </row>
    <row r="241" spans="2:4" x14ac:dyDescent="0.3">
      <c r="B241" t="s">
        <v>372</v>
      </c>
      <c r="C241" s="220" t="s">
        <v>136</v>
      </c>
      <c r="D241" t="s">
        <v>20</v>
      </c>
    </row>
    <row r="242" spans="2:4" x14ac:dyDescent="0.3">
      <c r="B242" t="s">
        <v>373</v>
      </c>
      <c r="C242" s="220" t="s">
        <v>136</v>
      </c>
      <c r="D242" t="s">
        <v>20</v>
      </c>
    </row>
    <row r="243" spans="2:4" x14ac:dyDescent="0.3">
      <c r="B243" t="s">
        <v>376</v>
      </c>
      <c r="C243" s="220" t="s">
        <v>136</v>
      </c>
      <c r="D243" t="s">
        <v>20</v>
      </c>
    </row>
    <row r="244" spans="2:4" x14ac:dyDescent="0.3">
      <c r="B244" t="s">
        <v>379</v>
      </c>
      <c r="C244" s="220" t="s">
        <v>136</v>
      </c>
      <c r="D244" t="s">
        <v>20</v>
      </c>
    </row>
    <row r="245" spans="2:4" x14ac:dyDescent="0.3">
      <c r="B245" t="s">
        <v>382</v>
      </c>
      <c r="C245" s="220" t="s">
        <v>136</v>
      </c>
      <c r="D245" t="s">
        <v>20</v>
      </c>
    </row>
    <row r="246" spans="2:4" x14ac:dyDescent="0.3">
      <c r="B246" t="s">
        <v>385</v>
      </c>
      <c r="C246" s="220" t="s">
        <v>136</v>
      </c>
      <c r="D246" t="s">
        <v>20</v>
      </c>
    </row>
    <row r="247" spans="2:4" x14ac:dyDescent="0.3">
      <c r="B247" t="s">
        <v>388</v>
      </c>
      <c r="C247" s="220" t="s">
        <v>136</v>
      </c>
      <c r="D247" t="s">
        <v>20</v>
      </c>
    </row>
    <row r="248" spans="2:4" x14ac:dyDescent="0.3">
      <c r="B248" t="s">
        <v>391</v>
      </c>
      <c r="C248" s="220" t="s">
        <v>136</v>
      </c>
      <c r="D248" t="s">
        <v>20</v>
      </c>
    </row>
    <row r="249" spans="2:4" x14ac:dyDescent="0.3">
      <c r="B249" t="s">
        <v>393</v>
      </c>
      <c r="C249" s="220" t="s">
        <v>136</v>
      </c>
      <c r="D249" t="s">
        <v>20</v>
      </c>
    </row>
    <row r="250" spans="2:4" x14ac:dyDescent="0.3">
      <c r="B250" t="s">
        <v>399</v>
      </c>
      <c r="C250" s="220" t="s">
        <v>136</v>
      </c>
      <c r="D250" t="s">
        <v>20</v>
      </c>
    </row>
    <row r="251" spans="2:4" x14ac:dyDescent="0.3">
      <c r="B251" t="s">
        <v>403</v>
      </c>
      <c r="C251" s="220" t="s">
        <v>136</v>
      </c>
      <c r="D251" t="s">
        <v>20</v>
      </c>
    </row>
    <row r="252" spans="2:4" x14ac:dyDescent="0.3">
      <c r="B252" t="s">
        <v>406</v>
      </c>
      <c r="C252" s="220" t="s">
        <v>136</v>
      </c>
      <c r="D252" t="s">
        <v>20</v>
      </c>
    </row>
    <row r="253" spans="2:4" x14ac:dyDescent="0.3">
      <c r="B253" t="s">
        <v>409</v>
      </c>
      <c r="C253" s="220" t="s">
        <v>136</v>
      </c>
      <c r="D253" t="s">
        <v>20</v>
      </c>
    </row>
    <row r="254" spans="2:4" x14ac:dyDescent="0.3">
      <c r="B254" t="s">
        <v>414</v>
      </c>
      <c r="C254" s="220" t="s">
        <v>118</v>
      </c>
      <c r="D254" t="s">
        <v>20</v>
      </c>
    </row>
    <row r="255" spans="2:4" x14ac:dyDescent="0.3">
      <c r="B255" t="s">
        <v>417</v>
      </c>
      <c r="C255" s="220" t="s">
        <v>118</v>
      </c>
      <c r="D255" t="s">
        <v>20</v>
      </c>
    </row>
    <row r="256" spans="2:4" x14ac:dyDescent="0.3">
      <c r="B256" t="s">
        <v>419</v>
      </c>
      <c r="C256" s="220" t="s">
        <v>118</v>
      </c>
      <c r="D256" t="s">
        <v>20</v>
      </c>
    </row>
    <row r="257" spans="2:4" x14ac:dyDescent="0.3">
      <c r="B257" t="s">
        <v>422</v>
      </c>
      <c r="C257" s="220" t="s">
        <v>118</v>
      </c>
      <c r="D257" t="s">
        <v>20</v>
      </c>
    </row>
    <row r="258" spans="2:4" x14ac:dyDescent="0.3">
      <c r="B258" t="s">
        <v>424</v>
      </c>
      <c r="C258" s="220" t="s">
        <v>118</v>
      </c>
      <c r="D258" t="s">
        <v>20</v>
      </c>
    </row>
    <row r="259" spans="2:4" x14ac:dyDescent="0.3">
      <c r="B259" t="s">
        <v>427</v>
      </c>
      <c r="C259" s="220" t="s">
        <v>118</v>
      </c>
      <c r="D259" t="s">
        <v>20</v>
      </c>
    </row>
    <row r="260" spans="2:4" x14ac:dyDescent="0.3">
      <c r="B260" t="s">
        <v>430</v>
      </c>
      <c r="C260" s="220" t="s">
        <v>136</v>
      </c>
      <c r="D260" t="s">
        <v>20</v>
      </c>
    </row>
    <row r="261" spans="2:4" x14ac:dyDescent="0.3">
      <c r="B261" t="s">
        <v>434</v>
      </c>
      <c r="D261" t="s">
        <v>59</v>
      </c>
    </row>
    <row r="262" spans="2:4" x14ac:dyDescent="0.3">
      <c r="B262" t="s">
        <v>436</v>
      </c>
      <c r="C262" s="220" t="s">
        <v>3121</v>
      </c>
      <c r="D262" t="s">
        <v>20</v>
      </c>
    </row>
    <row r="263" spans="2:4" x14ac:dyDescent="0.3">
      <c r="B263" t="s">
        <v>441</v>
      </c>
      <c r="C263" s="220" t="s">
        <v>3122</v>
      </c>
      <c r="D263" t="s">
        <v>20</v>
      </c>
    </row>
    <row r="264" spans="2:4" x14ac:dyDescent="0.3">
      <c r="B264" t="s">
        <v>446</v>
      </c>
      <c r="C264" s="220">
        <v>0</v>
      </c>
      <c r="D264" t="s">
        <v>49</v>
      </c>
    </row>
    <row r="265" spans="2:4" x14ac:dyDescent="0.3">
      <c r="B265" t="s">
        <v>448</v>
      </c>
      <c r="C265" s="220">
        <v>1</v>
      </c>
      <c r="D265" t="s">
        <v>46</v>
      </c>
    </row>
    <row r="266" spans="2:4" x14ac:dyDescent="0.3">
      <c r="B266" t="s">
        <v>862</v>
      </c>
      <c r="C266" s="220">
        <v>0</v>
      </c>
      <c r="D266" t="s">
        <v>49</v>
      </c>
    </row>
    <row r="267" spans="2:4" x14ac:dyDescent="0.3">
      <c r="B267" t="s">
        <v>459</v>
      </c>
      <c r="C267" s="220" t="s">
        <v>3192</v>
      </c>
      <c r="D267" t="s">
        <v>20</v>
      </c>
    </row>
    <row r="268" spans="2:4" x14ac:dyDescent="0.3">
      <c r="B268" t="s">
        <v>474</v>
      </c>
      <c r="C268" s="220">
        <v>0</v>
      </c>
      <c r="D268" t="s">
        <v>46</v>
      </c>
    </row>
    <row r="269" spans="2:4" x14ac:dyDescent="0.3">
      <c r="B269" t="s">
        <v>476</v>
      </c>
      <c r="C269" s="220" t="s">
        <v>478</v>
      </c>
      <c r="D269" t="s">
        <v>20</v>
      </c>
    </row>
    <row r="270" spans="2:4" x14ac:dyDescent="0.3">
      <c r="B270" t="s">
        <v>481</v>
      </c>
      <c r="C270" s="220">
        <v>0</v>
      </c>
      <c r="D270" t="s">
        <v>49</v>
      </c>
    </row>
    <row r="271" spans="2:4" x14ac:dyDescent="0.3">
      <c r="B271" t="s">
        <v>485</v>
      </c>
      <c r="C271" s="220">
        <v>0</v>
      </c>
      <c r="D271" t="s">
        <v>49</v>
      </c>
    </row>
    <row r="272" spans="2:4" x14ac:dyDescent="0.3">
      <c r="B272" t="s">
        <v>487</v>
      </c>
      <c r="C272" s="220">
        <v>0</v>
      </c>
      <c r="D272" t="s">
        <v>49</v>
      </c>
    </row>
    <row r="273" spans="2:4" x14ac:dyDescent="0.3">
      <c r="B273" t="s">
        <v>522</v>
      </c>
      <c r="D273" t="s">
        <v>59</v>
      </c>
    </row>
    <row r="274" spans="2:4" x14ac:dyDescent="0.3">
      <c r="B274" t="s">
        <v>524</v>
      </c>
      <c r="C274" s="220">
        <v>5.0000000000000001E-3</v>
      </c>
      <c r="D274" t="s">
        <v>26</v>
      </c>
    </row>
    <row r="275" spans="2:4" x14ac:dyDescent="0.3">
      <c r="B275" t="s">
        <v>527</v>
      </c>
      <c r="C275" s="220">
        <v>5.0000000000000001E-3</v>
      </c>
      <c r="D275" t="s">
        <v>26</v>
      </c>
    </row>
    <row r="276" spans="2:4" x14ac:dyDescent="0.3">
      <c r="B276" t="s">
        <v>530</v>
      </c>
      <c r="C276" s="220">
        <v>0.01</v>
      </c>
      <c r="D276" t="s">
        <v>26</v>
      </c>
    </row>
    <row r="277" spans="2:4" x14ac:dyDescent="0.3">
      <c r="B277" t="s">
        <v>533</v>
      </c>
      <c r="C277" s="220">
        <v>0</v>
      </c>
      <c r="D277" t="s">
        <v>26</v>
      </c>
    </row>
    <row r="278" spans="2:4" x14ac:dyDescent="0.3">
      <c r="B278" t="s">
        <v>3603</v>
      </c>
      <c r="C278" s="220">
        <v>1</v>
      </c>
      <c r="D278" t="s">
        <v>46</v>
      </c>
    </row>
    <row r="279" spans="2:4" x14ac:dyDescent="0.3">
      <c r="B279" t="s">
        <v>554</v>
      </c>
      <c r="C279" s="220">
        <v>0.76</v>
      </c>
      <c r="D279" t="s">
        <v>26</v>
      </c>
    </row>
    <row r="280" spans="2:4" x14ac:dyDescent="0.3">
      <c r="B280" t="s">
        <v>558</v>
      </c>
      <c r="C280" s="220">
        <v>2.1349999999999998</v>
      </c>
      <c r="D280" t="s">
        <v>26</v>
      </c>
    </row>
    <row r="281" spans="2:4" x14ac:dyDescent="0.3">
      <c r="B281" t="s">
        <v>562</v>
      </c>
      <c r="C281" s="220">
        <v>2.1349999999999998</v>
      </c>
      <c r="D281" t="s">
        <v>26</v>
      </c>
    </row>
    <row r="282" spans="2:4" x14ac:dyDescent="0.3">
      <c r="B282" t="s">
        <v>563</v>
      </c>
      <c r="C282" s="220">
        <v>0.76</v>
      </c>
      <c r="D282" t="s">
        <v>26</v>
      </c>
    </row>
    <row r="283" spans="2:4" x14ac:dyDescent="0.3">
      <c r="B283" t="s">
        <v>565</v>
      </c>
      <c r="C283" s="220">
        <v>2.1349999999999998</v>
      </c>
      <c r="D283" t="s">
        <v>26</v>
      </c>
    </row>
    <row r="284" spans="2:4" x14ac:dyDescent="0.3">
      <c r="B284" t="s">
        <v>567</v>
      </c>
      <c r="C284" s="220">
        <v>2.1349999999999998</v>
      </c>
      <c r="D284" t="s">
        <v>26</v>
      </c>
    </row>
    <row r="285" spans="2:4" x14ac:dyDescent="0.3">
      <c r="B285" t="s">
        <v>568</v>
      </c>
      <c r="C285" s="220">
        <v>0.75</v>
      </c>
      <c r="D285" t="s">
        <v>26</v>
      </c>
    </row>
    <row r="286" spans="2:4" x14ac:dyDescent="0.3">
      <c r="B286" t="s">
        <v>570</v>
      </c>
      <c r="C286" s="220">
        <v>2.125</v>
      </c>
      <c r="D286" t="s">
        <v>26</v>
      </c>
    </row>
    <row r="287" spans="2:4" x14ac:dyDescent="0.3">
      <c r="B287" t="s">
        <v>572</v>
      </c>
      <c r="C287" s="220">
        <v>0.75</v>
      </c>
      <c r="D287" t="s">
        <v>26</v>
      </c>
    </row>
    <row r="288" spans="2:4" x14ac:dyDescent="0.3">
      <c r="B288" t="s">
        <v>574</v>
      </c>
      <c r="C288" s="220">
        <v>2.125</v>
      </c>
      <c r="D288" t="s">
        <v>26</v>
      </c>
    </row>
    <row r="289" spans="2:4" x14ac:dyDescent="0.3">
      <c r="B289" t="s">
        <v>3588</v>
      </c>
      <c r="C289" s="220">
        <v>0.72</v>
      </c>
      <c r="D289" t="s">
        <v>26</v>
      </c>
    </row>
    <row r="290" spans="2:4" x14ac:dyDescent="0.3">
      <c r="B290" t="s">
        <v>3589</v>
      </c>
      <c r="C290" s="220">
        <v>2.11</v>
      </c>
      <c r="D290" t="s">
        <v>26</v>
      </c>
    </row>
    <row r="291" spans="2:4" x14ac:dyDescent="0.3">
      <c r="B291" t="s">
        <v>576</v>
      </c>
      <c r="C291" s="220">
        <v>0.69</v>
      </c>
      <c r="D291" t="s">
        <v>26</v>
      </c>
    </row>
    <row r="292" spans="2:4" x14ac:dyDescent="0.3">
      <c r="B292" t="s">
        <v>579</v>
      </c>
      <c r="C292" s="220">
        <v>2.0950000000000002</v>
      </c>
      <c r="D292" t="s">
        <v>26</v>
      </c>
    </row>
    <row r="293" spans="2:4" x14ac:dyDescent="0.3">
      <c r="B293" t="s">
        <v>582</v>
      </c>
      <c r="C293" s="220">
        <v>0.8</v>
      </c>
      <c r="D293" t="s">
        <v>26</v>
      </c>
    </row>
    <row r="294" spans="2:4" x14ac:dyDescent="0.3">
      <c r="B294" t="s">
        <v>585</v>
      </c>
      <c r="C294" s="220">
        <v>2.0499999999999998</v>
      </c>
      <c r="D294" t="s">
        <v>26</v>
      </c>
    </row>
    <row r="295" spans="2:4" x14ac:dyDescent="0.3">
      <c r="B295" t="s">
        <v>587</v>
      </c>
      <c r="C295" s="220">
        <v>0.746</v>
      </c>
      <c r="D295" t="s">
        <v>26</v>
      </c>
    </row>
    <row r="296" spans="2:4" x14ac:dyDescent="0.3">
      <c r="B296" t="s">
        <v>591</v>
      </c>
      <c r="C296" s="220">
        <v>2.1179999999999999</v>
      </c>
      <c r="D296" t="s">
        <v>26</v>
      </c>
    </row>
    <row r="297" spans="2:4" x14ac:dyDescent="0.3">
      <c r="B297" t="s">
        <v>595</v>
      </c>
      <c r="C297" s="220">
        <v>1</v>
      </c>
      <c r="D297" t="s">
        <v>46</v>
      </c>
    </row>
    <row r="298" spans="2:4" x14ac:dyDescent="0.3">
      <c r="B298" t="s">
        <v>597</v>
      </c>
      <c r="C298" s="220">
        <v>0</v>
      </c>
      <c r="D298" t="s">
        <v>49</v>
      </c>
    </row>
    <row r="299" spans="2:4" x14ac:dyDescent="0.3">
      <c r="B299" t="s">
        <v>599</v>
      </c>
      <c r="C299" s="220">
        <v>1</v>
      </c>
      <c r="D299" t="s">
        <v>49</v>
      </c>
    </row>
    <row r="300" spans="2:4" x14ac:dyDescent="0.3">
      <c r="B300" t="s">
        <v>601</v>
      </c>
      <c r="C300" s="220">
        <v>0</v>
      </c>
      <c r="D300" t="s">
        <v>49</v>
      </c>
    </row>
    <row r="301" spans="2:4" x14ac:dyDescent="0.3">
      <c r="B301" t="s">
        <v>603</v>
      </c>
      <c r="C301" s="220">
        <v>0</v>
      </c>
      <c r="D301" t="s">
        <v>49</v>
      </c>
    </row>
    <row r="302" spans="2:4" x14ac:dyDescent="0.3">
      <c r="B302" t="s">
        <v>605</v>
      </c>
      <c r="C302" s="220">
        <v>0</v>
      </c>
      <c r="D302" t="s">
        <v>49</v>
      </c>
    </row>
    <row r="303" spans="2:4" x14ac:dyDescent="0.3">
      <c r="B303" t="s">
        <v>607</v>
      </c>
      <c r="C303" s="220">
        <v>0</v>
      </c>
      <c r="D303" t="s">
        <v>49</v>
      </c>
    </row>
    <row r="304" spans="2:4" x14ac:dyDescent="0.3">
      <c r="B304" t="s">
        <v>3594</v>
      </c>
      <c r="C304" s="220">
        <v>1</v>
      </c>
      <c r="D304" t="s">
        <v>49</v>
      </c>
    </row>
    <row r="305" spans="2:4" x14ac:dyDescent="0.3">
      <c r="B305" t="s">
        <v>609</v>
      </c>
      <c r="C305" s="220">
        <v>1</v>
      </c>
      <c r="D305" t="s">
        <v>49</v>
      </c>
    </row>
    <row r="306" spans="2:4" x14ac:dyDescent="0.3">
      <c r="B306" t="s">
        <v>3338</v>
      </c>
      <c r="C306" s="220">
        <v>-0.01</v>
      </c>
      <c r="D306" t="s">
        <v>26</v>
      </c>
    </row>
    <row r="307" spans="2:4" x14ac:dyDescent="0.3">
      <c r="B307" t="s">
        <v>3339</v>
      </c>
      <c r="C307" s="220">
        <v>0.14499999999999999</v>
      </c>
      <c r="D307" t="s">
        <v>26</v>
      </c>
    </row>
    <row r="308" spans="2:4" x14ac:dyDescent="0.3">
      <c r="B308" t="s">
        <v>611</v>
      </c>
      <c r="D308" t="s">
        <v>59</v>
      </c>
    </row>
    <row r="309" spans="2:4" x14ac:dyDescent="0.3">
      <c r="B309" t="s">
        <v>612</v>
      </c>
      <c r="C309" s="220" t="s">
        <v>614</v>
      </c>
      <c r="D309" t="s">
        <v>20</v>
      </c>
    </row>
    <row r="310" spans="2:4" x14ac:dyDescent="0.3">
      <c r="B310" t="s">
        <v>615</v>
      </c>
      <c r="C310" s="220">
        <v>2</v>
      </c>
      <c r="D310" t="s">
        <v>46</v>
      </c>
    </row>
    <row r="311" spans="2:4" x14ac:dyDescent="0.3">
      <c r="B311" t="s">
        <v>616</v>
      </c>
      <c r="C311" s="220">
        <v>1</v>
      </c>
      <c r="D311" t="s">
        <v>46</v>
      </c>
    </row>
    <row r="312" spans="2:4" x14ac:dyDescent="0.3">
      <c r="B312" t="s">
        <v>618</v>
      </c>
      <c r="C312" s="220">
        <v>0</v>
      </c>
      <c r="D312" t="s">
        <v>49</v>
      </c>
    </row>
    <row r="313" spans="2:4" x14ac:dyDescent="0.3">
      <c r="B313" t="s">
        <v>620</v>
      </c>
      <c r="C313" s="220">
        <v>0.02</v>
      </c>
      <c r="D313" t="s">
        <v>26</v>
      </c>
    </row>
    <row r="314" spans="2:4" x14ac:dyDescent="0.3">
      <c r="B314" t="s">
        <v>623</v>
      </c>
      <c r="C314" s="220">
        <v>0.02</v>
      </c>
      <c r="D314" t="s">
        <v>26</v>
      </c>
    </row>
    <row r="315" spans="2:4" x14ac:dyDescent="0.3">
      <c r="B315" t="s">
        <v>624</v>
      </c>
      <c r="C315" s="220">
        <v>0.02</v>
      </c>
      <c r="D315" t="s">
        <v>26</v>
      </c>
    </row>
    <row r="316" spans="2:4" x14ac:dyDescent="0.3">
      <c r="B316" t="s">
        <v>626</v>
      </c>
      <c r="C316" s="220">
        <v>0.02</v>
      </c>
      <c r="D316" t="s">
        <v>26</v>
      </c>
    </row>
    <row r="317" spans="2:4" x14ac:dyDescent="0.3">
      <c r="B317" t="s">
        <v>628</v>
      </c>
      <c r="C317" s="220">
        <v>1</v>
      </c>
      <c r="D317" t="s">
        <v>49</v>
      </c>
    </row>
    <row r="318" spans="2:4" x14ac:dyDescent="0.3">
      <c r="B318" t="s">
        <v>630</v>
      </c>
      <c r="C318" s="220">
        <v>1</v>
      </c>
      <c r="D318" t="s">
        <v>55</v>
      </c>
    </row>
    <row r="319" spans="2:4" x14ac:dyDescent="0.3">
      <c r="B319" t="s">
        <v>632</v>
      </c>
      <c r="C319" s="220">
        <v>1</v>
      </c>
      <c r="D319" t="s">
        <v>53</v>
      </c>
    </row>
    <row r="320" spans="2:4" x14ac:dyDescent="0.3">
      <c r="B320" t="s">
        <v>634</v>
      </c>
      <c r="C320" s="220" t="s">
        <v>636</v>
      </c>
      <c r="D320" t="s">
        <v>20</v>
      </c>
    </row>
    <row r="321" spans="2:4" x14ac:dyDescent="0.3">
      <c r="B321" t="s">
        <v>637</v>
      </c>
      <c r="C321" s="220">
        <v>1</v>
      </c>
      <c r="D321" t="s">
        <v>46</v>
      </c>
    </row>
    <row r="322" spans="2:4" x14ac:dyDescent="0.3">
      <c r="B322" t="s">
        <v>638</v>
      </c>
      <c r="C322" s="220">
        <v>0.05</v>
      </c>
      <c r="D322" t="s">
        <v>26</v>
      </c>
    </row>
    <row r="323" spans="2:4" x14ac:dyDescent="0.3">
      <c r="B323" t="s">
        <v>640</v>
      </c>
      <c r="C323" s="220" t="s">
        <v>642</v>
      </c>
      <c r="D323" t="s">
        <v>20</v>
      </c>
    </row>
    <row r="324" spans="2:4" x14ac:dyDescent="0.3">
      <c r="B324" t="s">
        <v>643</v>
      </c>
      <c r="C324" s="220">
        <v>0</v>
      </c>
      <c r="D324" t="s">
        <v>46</v>
      </c>
    </row>
    <row r="325" spans="2:4" x14ac:dyDescent="0.3">
      <c r="B325" t="s">
        <v>644</v>
      </c>
      <c r="C325" s="220">
        <v>0</v>
      </c>
      <c r="D325" t="s">
        <v>49</v>
      </c>
    </row>
    <row r="326" spans="2:4" x14ac:dyDescent="0.3">
      <c r="B326" t="s">
        <v>646</v>
      </c>
      <c r="C326" s="220">
        <v>0</v>
      </c>
      <c r="D326" t="s">
        <v>26</v>
      </c>
    </row>
    <row r="327" spans="2:4" x14ac:dyDescent="0.3">
      <c r="B327" t="s">
        <v>648</v>
      </c>
      <c r="C327" s="220">
        <v>0</v>
      </c>
      <c r="D327" t="s">
        <v>26</v>
      </c>
    </row>
    <row r="328" spans="2:4" x14ac:dyDescent="0.3">
      <c r="B328" t="s">
        <v>649</v>
      </c>
      <c r="C328" s="220">
        <v>0</v>
      </c>
      <c r="D328" t="s">
        <v>26</v>
      </c>
    </row>
    <row r="329" spans="2:4" x14ac:dyDescent="0.3">
      <c r="B329" t="s">
        <v>650</v>
      </c>
      <c r="C329" s="220" t="s">
        <v>651</v>
      </c>
      <c r="D329" t="s">
        <v>20</v>
      </c>
    </row>
    <row r="330" spans="2:4" x14ac:dyDescent="0.3">
      <c r="B330" t="s">
        <v>652</v>
      </c>
      <c r="C330" s="220">
        <v>1</v>
      </c>
      <c r="D330" t="s">
        <v>46</v>
      </c>
    </row>
    <row r="331" spans="2:4" x14ac:dyDescent="0.3">
      <c r="B331" t="s">
        <v>653</v>
      </c>
      <c r="C331" s="220" t="s">
        <v>655</v>
      </c>
      <c r="D331" t="s">
        <v>20</v>
      </c>
    </row>
    <row r="332" spans="2:4" x14ac:dyDescent="0.3">
      <c r="B332" t="s">
        <v>656</v>
      </c>
      <c r="C332" s="220">
        <v>1</v>
      </c>
      <c r="D332" t="s">
        <v>46</v>
      </c>
    </row>
    <row r="333" spans="2:4" x14ac:dyDescent="0.3">
      <c r="B333" t="s">
        <v>657</v>
      </c>
      <c r="C333" s="220">
        <v>15</v>
      </c>
      <c r="D333" t="s">
        <v>52</v>
      </c>
    </row>
    <row r="334" spans="2:4" x14ac:dyDescent="0.3">
      <c r="B334" t="s">
        <v>659</v>
      </c>
      <c r="C334" s="220">
        <v>45</v>
      </c>
      <c r="D334" t="s">
        <v>52</v>
      </c>
    </row>
    <row r="335" spans="2:4" x14ac:dyDescent="0.3">
      <c r="B335" t="s">
        <v>661</v>
      </c>
      <c r="C335" s="220">
        <v>15</v>
      </c>
      <c r="D335" t="s">
        <v>52</v>
      </c>
    </row>
    <row r="336" spans="2:4" x14ac:dyDescent="0.3">
      <c r="B336" t="s">
        <v>663</v>
      </c>
      <c r="D336" t="s">
        <v>59</v>
      </c>
    </row>
    <row r="337" spans="2:4" x14ac:dyDescent="0.3">
      <c r="B337" t="s">
        <v>665</v>
      </c>
      <c r="C337" s="220">
        <v>1</v>
      </c>
      <c r="D337" t="s">
        <v>49</v>
      </c>
    </row>
    <row r="338" spans="2:4" x14ac:dyDescent="0.3">
      <c r="B338" t="s">
        <v>667</v>
      </c>
      <c r="C338" s="220">
        <v>11</v>
      </c>
      <c r="D338" t="s">
        <v>46</v>
      </c>
    </row>
    <row r="339" spans="2:4" x14ac:dyDescent="0.3">
      <c r="B339" t="s">
        <v>669</v>
      </c>
      <c r="C339" s="220">
        <v>0.14499999999999999</v>
      </c>
      <c r="D339" t="s">
        <v>26</v>
      </c>
    </row>
    <row r="340" spans="2:4" x14ac:dyDescent="0.3">
      <c r="B340" t="s">
        <v>671</v>
      </c>
      <c r="C340" s="220">
        <v>0.01</v>
      </c>
      <c r="D340" t="s">
        <v>26</v>
      </c>
    </row>
    <row r="341" spans="2:4" x14ac:dyDescent="0.3">
      <c r="B341" t="s">
        <v>673</v>
      </c>
      <c r="C341" s="220">
        <v>0.01</v>
      </c>
      <c r="D341" t="s">
        <v>26</v>
      </c>
    </row>
    <row r="342" spans="2:4" x14ac:dyDescent="0.3">
      <c r="B342" t="s">
        <v>675</v>
      </c>
      <c r="C342" s="220">
        <v>0.05</v>
      </c>
      <c r="D342" t="s">
        <v>26</v>
      </c>
    </row>
    <row r="343" spans="2:4" x14ac:dyDescent="0.3">
      <c r="B343" t="s">
        <v>677</v>
      </c>
      <c r="C343" s="220">
        <v>0.03</v>
      </c>
      <c r="D343" t="s">
        <v>26</v>
      </c>
    </row>
    <row r="344" spans="2:4" x14ac:dyDescent="0.3">
      <c r="B344" t="s">
        <v>679</v>
      </c>
      <c r="C344" s="220">
        <v>5.0000000000000001E-3</v>
      </c>
      <c r="D344" t="s">
        <v>26</v>
      </c>
    </row>
    <row r="345" spans="2:4" x14ac:dyDescent="0.3">
      <c r="B345" t="s">
        <v>681</v>
      </c>
      <c r="C345" s="220">
        <v>0.02</v>
      </c>
      <c r="D345" t="s">
        <v>26</v>
      </c>
    </row>
    <row r="346" spans="2:4" x14ac:dyDescent="0.3">
      <c r="B346" t="s">
        <v>683</v>
      </c>
      <c r="C346" s="220">
        <v>0.03</v>
      </c>
      <c r="D346" t="s">
        <v>26</v>
      </c>
    </row>
    <row r="347" spans="2:4" x14ac:dyDescent="0.3">
      <c r="B347" t="s">
        <v>685</v>
      </c>
      <c r="C347" s="220">
        <v>0.03</v>
      </c>
      <c r="D347" t="s">
        <v>26</v>
      </c>
    </row>
    <row r="348" spans="2:4" x14ac:dyDescent="0.3">
      <c r="B348" t="s">
        <v>687</v>
      </c>
      <c r="C348" s="220">
        <v>3</v>
      </c>
      <c r="D348" t="s">
        <v>33</v>
      </c>
    </row>
    <row r="349" spans="2:4" x14ac:dyDescent="0.3">
      <c r="B349" t="s">
        <v>689</v>
      </c>
      <c r="C349" s="220">
        <v>0</v>
      </c>
      <c r="D349" t="s">
        <v>26</v>
      </c>
    </row>
    <row r="350" spans="2:4" x14ac:dyDescent="0.3">
      <c r="B350" t="s">
        <v>691</v>
      </c>
      <c r="C350" s="220">
        <v>0</v>
      </c>
      <c r="D350" t="s">
        <v>26</v>
      </c>
    </row>
    <row r="351" spans="2:4" x14ac:dyDescent="0.3">
      <c r="B351" t="s">
        <v>693</v>
      </c>
      <c r="C351" s="220">
        <v>0</v>
      </c>
      <c r="D351" t="s">
        <v>26</v>
      </c>
    </row>
    <row r="352" spans="2:4" x14ac:dyDescent="0.3">
      <c r="B352" t="s">
        <v>695</v>
      </c>
      <c r="C352" s="220">
        <v>0</v>
      </c>
      <c r="D352" t="s">
        <v>26</v>
      </c>
    </row>
    <row r="353" spans="2:4" x14ac:dyDescent="0.3">
      <c r="B353" t="s">
        <v>697</v>
      </c>
      <c r="C353" s="220">
        <v>0</v>
      </c>
      <c r="D353" t="s">
        <v>26</v>
      </c>
    </row>
    <row r="354" spans="2:4" x14ac:dyDescent="0.3">
      <c r="B354" t="s">
        <v>699</v>
      </c>
      <c r="C354" s="220">
        <v>1</v>
      </c>
      <c r="D354" t="s">
        <v>49</v>
      </c>
    </row>
    <row r="355" spans="2:4" x14ac:dyDescent="0.3">
      <c r="B355" t="s">
        <v>701</v>
      </c>
      <c r="C355" s="220">
        <v>1</v>
      </c>
      <c r="D355" t="s">
        <v>49</v>
      </c>
    </row>
    <row r="356" spans="2:4" x14ac:dyDescent="0.3">
      <c r="B356" t="s">
        <v>703</v>
      </c>
      <c r="C356" s="220">
        <v>0</v>
      </c>
      <c r="D356" t="s">
        <v>49</v>
      </c>
    </row>
    <row r="357" spans="2:4" x14ac:dyDescent="0.3">
      <c r="B357" t="s">
        <v>705</v>
      </c>
      <c r="C357" s="220">
        <v>1</v>
      </c>
      <c r="D357" t="s">
        <v>46</v>
      </c>
    </row>
    <row r="358" spans="2:4" x14ac:dyDescent="0.3">
      <c r="B358" t="s">
        <v>707</v>
      </c>
      <c r="C358" s="220">
        <v>6.5000000000000002E-2</v>
      </c>
      <c r="D358" t="s">
        <v>26</v>
      </c>
    </row>
    <row r="359" spans="2:4" x14ac:dyDescent="0.3">
      <c r="B359" t="s">
        <v>709</v>
      </c>
      <c r="C359" s="220">
        <v>1.4999999999999999E-2</v>
      </c>
      <c r="D359" t="s">
        <v>26</v>
      </c>
    </row>
    <row r="360" spans="2:4" x14ac:dyDescent="0.3">
      <c r="B360" t="s">
        <v>710</v>
      </c>
      <c r="C360" s="220">
        <v>1</v>
      </c>
      <c r="D360" t="s">
        <v>55</v>
      </c>
    </row>
    <row r="361" spans="2:4" x14ac:dyDescent="0.3">
      <c r="B361" t="s">
        <v>712</v>
      </c>
      <c r="C361" s="220">
        <v>1</v>
      </c>
      <c r="D361" t="s">
        <v>55</v>
      </c>
    </row>
    <row r="362" spans="2:4" x14ac:dyDescent="0.3">
      <c r="B362" t="s">
        <v>714</v>
      </c>
      <c r="C362" s="220">
        <v>65</v>
      </c>
      <c r="D362" t="s">
        <v>54</v>
      </c>
    </row>
    <row r="363" spans="2:4" x14ac:dyDescent="0.3">
      <c r="B363" t="s">
        <v>716</v>
      </c>
      <c r="C363" s="220">
        <v>19</v>
      </c>
      <c r="D363" t="s">
        <v>55</v>
      </c>
    </row>
    <row r="364" spans="2:4" x14ac:dyDescent="0.3">
      <c r="B364" t="s">
        <v>718</v>
      </c>
      <c r="C364" s="220">
        <v>19</v>
      </c>
      <c r="D364" t="s">
        <v>55</v>
      </c>
    </row>
    <row r="365" spans="2:4" x14ac:dyDescent="0.3">
      <c r="B365" t="s">
        <v>720</v>
      </c>
      <c r="C365" s="220">
        <v>1</v>
      </c>
      <c r="D365" t="s">
        <v>55</v>
      </c>
    </row>
    <row r="366" spans="2:4" x14ac:dyDescent="0.3">
      <c r="B366" t="s">
        <v>722</v>
      </c>
      <c r="C366" s="220">
        <v>17</v>
      </c>
      <c r="D366" t="s">
        <v>54</v>
      </c>
    </row>
    <row r="367" spans="2:4" x14ac:dyDescent="0.3">
      <c r="B367" t="s">
        <v>724</v>
      </c>
      <c r="C367" s="220">
        <v>1</v>
      </c>
      <c r="D367" t="s">
        <v>55</v>
      </c>
    </row>
    <row r="368" spans="2:4" x14ac:dyDescent="0.3">
      <c r="B368" t="s">
        <v>726</v>
      </c>
      <c r="C368" s="220">
        <v>19</v>
      </c>
      <c r="D368" t="s">
        <v>55</v>
      </c>
    </row>
    <row r="369" spans="2:4" x14ac:dyDescent="0.3">
      <c r="B369" t="s">
        <v>728</v>
      </c>
      <c r="C369" s="220">
        <v>1</v>
      </c>
      <c r="D369" t="s">
        <v>52</v>
      </c>
    </row>
    <row r="370" spans="2:4" x14ac:dyDescent="0.3">
      <c r="B370" t="s">
        <v>730</v>
      </c>
      <c r="C370" s="220">
        <v>2</v>
      </c>
      <c r="D370" t="s">
        <v>52</v>
      </c>
    </row>
    <row r="371" spans="2:4" x14ac:dyDescent="0.3">
      <c r="B371" t="s">
        <v>732</v>
      </c>
      <c r="D371" t="s">
        <v>59</v>
      </c>
    </row>
    <row r="372" spans="2:4" x14ac:dyDescent="0.3">
      <c r="B372" t="s">
        <v>733</v>
      </c>
      <c r="C372" s="220">
        <v>0.05</v>
      </c>
      <c r="D372" t="s">
        <v>26</v>
      </c>
    </row>
    <row r="373" spans="2:4" x14ac:dyDescent="0.3">
      <c r="B373" t="s">
        <v>735</v>
      </c>
      <c r="C373" s="220">
        <v>0.06</v>
      </c>
      <c r="D373" t="s">
        <v>26</v>
      </c>
    </row>
    <row r="374" spans="2:4" x14ac:dyDescent="0.3">
      <c r="B374" t="s">
        <v>737</v>
      </c>
      <c r="C374" s="220">
        <v>0.06</v>
      </c>
      <c r="D374" t="s">
        <v>26</v>
      </c>
    </row>
    <row r="375" spans="2:4" x14ac:dyDescent="0.3">
      <c r="B375" t="s">
        <v>739</v>
      </c>
      <c r="C375" s="220">
        <v>0.06</v>
      </c>
      <c r="D375" t="s">
        <v>26</v>
      </c>
    </row>
    <row r="376" spans="2:4" x14ac:dyDescent="0.3">
      <c r="B376" t="s">
        <v>741</v>
      </c>
      <c r="C376" s="220">
        <v>0.06</v>
      </c>
      <c r="D376" t="s">
        <v>26</v>
      </c>
    </row>
    <row r="377" spans="2:4" x14ac:dyDescent="0.3">
      <c r="B377" t="s">
        <v>743</v>
      </c>
      <c r="C377" s="220">
        <v>1</v>
      </c>
      <c r="D377" t="s">
        <v>55</v>
      </c>
    </row>
    <row r="378" spans="2:4" x14ac:dyDescent="0.3">
      <c r="B378" t="s">
        <v>745</v>
      </c>
      <c r="C378" s="220">
        <v>1</v>
      </c>
      <c r="D378" t="s">
        <v>55</v>
      </c>
    </row>
    <row r="379" spans="2:4" x14ac:dyDescent="0.3">
      <c r="B379" t="s">
        <v>747</v>
      </c>
      <c r="C379" s="220">
        <v>65</v>
      </c>
      <c r="D379" t="s">
        <v>54</v>
      </c>
    </row>
    <row r="380" spans="2:4" x14ac:dyDescent="0.3">
      <c r="B380" t="s">
        <v>749</v>
      </c>
      <c r="C380" s="220">
        <v>19</v>
      </c>
      <c r="D380" t="s">
        <v>55</v>
      </c>
    </row>
    <row r="381" spans="2:4" x14ac:dyDescent="0.3">
      <c r="B381" t="s">
        <v>751</v>
      </c>
      <c r="C381" s="220">
        <v>19</v>
      </c>
      <c r="D381" t="s">
        <v>55</v>
      </c>
    </row>
    <row r="382" spans="2:4" x14ac:dyDescent="0.3">
      <c r="B382" t="s">
        <v>753</v>
      </c>
      <c r="C382" s="220">
        <v>15</v>
      </c>
      <c r="D382" t="s">
        <v>52</v>
      </c>
    </row>
    <row r="383" spans="2:4" x14ac:dyDescent="0.3">
      <c r="B383" t="s">
        <v>755</v>
      </c>
      <c r="D383" t="s">
        <v>59</v>
      </c>
    </row>
    <row r="384" spans="2:4" x14ac:dyDescent="0.3">
      <c r="B384" t="s">
        <v>759</v>
      </c>
      <c r="C384" s="220" t="s">
        <v>3677</v>
      </c>
      <c r="D384" t="s">
        <v>20</v>
      </c>
    </row>
    <row r="385" spans="2:4" x14ac:dyDescent="0.3">
      <c r="B385" t="s">
        <v>763</v>
      </c>
      <c r="C385" s="220">
        <v>1</v>
      </c>
      <c r="D385" t="s">
        <v>46</v>
      </c>
    </row>
    <row r="386" spans="2:4" x14ac:dyDescent="0.3">
      <c r="B386" t="s">
        <v>3382</v>
      </c>
      <c r="D386" t="s">
        <v>20</v>
      </c>
    </row>
    <row r="387" spans="2:4" x14ac:dyDescent="0.3">
      <c r="B387" t="s">
        <v>3384</v>
      </c>
      <c r="C387" s="220" t="s">
        <v>3155</v>
      </c>
      <c r="D387" t="s">
        <v>20</v>
      </c>
    </row>
    <row r="388" spans="2:4" x14ac:dyDescent="0.3">
      <c r="B388" t="s">
        <v>3533</v>
      </c>
      <c r="C388" s="220">
        <v>3</v>
      </c>
      <c r="D388" t="s">
        <v>46</v>
      </c>
    </row>
    <row r="389" spans="2:4" x14ac:dyDescent="0.3">
      <c r="B389" t="s">
        <v>3386</v>
      </c>
      <c r="C389" s="220" t="s">
        <v>3678</v>
      </c>
      <c r="D389" t="s">
        <v>20</v>
      </c>
    </row>
    <row r="390" spans="2:4" x14ac:dyDescent="0.3">
      <c r="B390" t="s">
        <v>768</v>
      </c>
      <c r="C390" s="220">
        <v>1</v>
      </c>
      <c r="D390" t="s">
        <v>49</v>
      </c>
    </row>
    <row r="391" spans="2:4" x14ac:dyDescent="0.3">
      <c r="B391" t="s">
        <v>770</v>
      </c>
      <c r="C391" s="220">
        <v>0.03</v>
      </c>
      <c r="D391" t="s">
        <v>26</v>
      </c>
    </row>
    <row r="392" spans="2:4" x14ac:dyDescent="0.3">
      <c r="B392" t="s">
        <v>772</v>
      </c>
      <c r="C392" s="220">
        <v>0.03</v>
      </c>
      <c r="D392" t="s">
        <v>26</v>
      </c>
    </row>
    <row r="393" spans="2:4" x14ac:dyDescent="0.3">
      <c r="B393" t="s">
        <v>774</v>
      </c>
      <c r="C393" s="220">
        <v>0.03</v>
      </c>
      <c r="D393" t="s">
        <v>26</v>
      </c>
    </row>
    <row r="394" spans="2:4" x14ac:dyDescent="0.3">
      <c r="B394" t="s">
        <v>776</v>
      </c>
      <c r="C394" s="220">
        <v>0.06</v>
      </c>
      <c r="D394" t="s">
        <v>26</v>
      </c>
    </row>
    <row r="395" spans="2:4" x14ac:dyDescent="0.3">
      <c r="B395" t="s">
        <v>778</v>
      </c>
      <c r="C395" s="220">
        <v>0.06</v>
      </c>
      <c r="D395" t="s">
        <v>26</v>
      </c>
    </row>
    <row r="396" spans="2:4" x14ac:dyDescent="0.3">
      <c r="B396" t="s">
        <v>780</v>
      </c>
      <c r="C396" s="220">
        <v>0.03</v>
      </c>
      <c r="D396" t="s">
        <v>26</v>
      </c>
    </row>
    <row r="397" spans="2:4" x14ac:dyDescent="0.3">
      <c r="B397" t="s">
        <v>782</v>
      </c>
      <c r="C397" s="220">
        <v>0.06</v>
      </c>
      <c r="D397" t="s">
        <v>26</v>
      </c>
    </row>
    <row r="398" spans="2:4" x14ac:dyDescent="0.3">
      <c r="B398" t="s">
        <v>784</v>
      </c>
      <c r="C398" s="220">
        <v>0.06</v>
      </c>
      <c r="D398" t="s">
        <v>26</v>
      </c>
    </row>
    <row r="399" spans="2:4" x14ac:dyDescent="0.3">
      <c r="B399" t="s">
        <v>786</v>
      </c>
      <c r="C399" s="220">
        <v>0.155</v>
      </c>
      <c r="D399" t="s">
        <v>26</v>
      </c>
    </row>
    <row r="400" spans="2:4" x14ac:dyDescent="0.3">
      <c r="B400" t="s">
        <v>3521</v>
      </c>
      <c r="C400" s="220">
        <v>1</v>
      </c>
      <c r="D400" t="s">
        <v>49</v>
      </c>
    </row>
    <row r="401" spans="2:4" x14ac:dyDescent="0.3">
      <c r="B401" t="s">
        <v>3528</v>
      </c>
      <c r="C401" s="220">
        <v>7.0000000000000007E-2</v>
      </c>
      <c r="D401" t="s">
        <v>26</v>
      </c>
    </row>
    <row r="402" spans="2:4" x14ac:dyDescent="0.3">
      <c r="B402" t="s">
        <v>3529</v>
      </c>
      <c r="C402" s="220">
        <v>0.155</v>
      </c>
      <c r="D402" t="s">
        <v>26</v>
      </c>
    </row>
    <row r="403" spans="2:4" x14ac:dyDescent="0.3">
      <c r="B403" t="s">
        <v>3530</v>
      </c>
      <c r="C403" s="220">
        <v>7.0000000000000007E-2</v>
      </c>
      <c r="D403" t="s">
        <v>26</v>
      </c>
    </row>
    <row r="404" spans="2:4" x14ac:dyDescent="0.3">
      <c r="B404" t="s">
        <v>3531</v>
      </c>
      <c r="C404" s="220">
        <v>7.0000000000000007E-2</v>
      </c>
      <c r="D404" t="s">
        <v>26</v>
      </c>
    </row>
    <row r="405" spans="2:4" x14ac:dyDescent="0.3">
      <c r="B405" t="s">
        <v>3532</v>
      </c>
      <c r="C405" s="220">
        <v>0.155</v>
      </c>
      <c r="D405" t="s">
        <v>26</v>
      </c>
    </row>
    <row r="406" spans="2:4" x14ac:dyDescent="0.3">
      <c r="B406" t="s">
        <v>3546</v>
      </c>
      <c r="C406" s="220">
        <v>4.4999999999999998E-2</v>
      </c>
      <c r="D406" t="s">
        <v>26</v>
      </c>
    </row>
    <row r="407" spans="2:4" x14ac:dyDescent="0.3">
      <c r="B407" t="s">
        <v>3547</v>
      </c>
      <c r="C407" s="220">
        <v>0.06</v>
      </c>
      <c r="D407" t="s">
        <v>26</v>
      </c>
    </row>
    <row r="408" spans="2:4" x14ac:dyDescent="0.3">
      <c r="B408" t="s">
        <v>3548</v>
      </c>
      <c r="C408" s="220">
        <v>4.4999999999999998E-2</v>
      </c>
      <c r="D408" t="s">
        <v>26</v>
      </c>
    </row>
    <row r="409" spans="2:4" x14ac:dyDescent="0.3">
      <c r="B409" t="s">
        <v>3551</v>
      </c>
      <c r="C409" s="220">
        <v>8.5000000000000006E-2</v>
      </c>
      <c r="D409" t="s">
        <v>26</v>
      </c>
    </row>
    <row r="410" spans="2:4" x14ac:dyDescent="0.3">
      <c r="B410" t="s">
        <v>3599</v>
      </c>
      <c r="C410" s="220">
        <v>1.0349999999999999</v>
      </c>
      <c r="D410" t="s">
        <v>26</v>
      </c>
    </row>
    <row r="411" spans="2:4" x14ac:dyDescent="0.3">
      <c r="B411" t="s">
        <v>3600</v>
      </c>
      <c r="C411" s="220">
        <v>2.0350000000000001</v>
      </c>
      <c r="D411" t="s">
        <v>26</v>
      </c>
    </row>
    <row r="412" spans="2:4" x14ac:dyDescent="0.3">
      <c r="B412" t="s">
        <v>801</v>
      </c>
      <c r="C412" s="220">
        <v>2</v>
      </c>
      <c r="D412" t="s">
        <v>46</v>
      </c>
    </row>
    <row r="413" spans="2:4" x14ac:dyDescent="0.3">
      <c r="B413" t="s">
        <v>804</v>
      </c>
      <c r="C413" s="220">
        <v>1.4999999999999999E-2</v>
      </c>
      <c r="D413" t="s">
        <v>26</v>
      </c>
    </row>
    <row r="414" spans="2:4" x14ac:dyDescent="0.3">
      <c r="B414" t="s">
        <v>807</v>
      </c>
      <c r="C414" s="220">
        <v>0.04</v>
      </c>
      <c r="D414" t="s">
        <v>26</v>
      </c>
    </row>
    <row r="415" spans="2:4" x14ac:dyDescent="0.3">
      <c r="B415" t="s">
        <v>3549</v>
      </c>
      <c r="C415" s="220">
        <v>0</v>
      </c>
      <c r="D415" t="s">
        <v>26</v>
      </c>
    </row>
    <row r="416" spans="2:4" x14ac:dyDescent="0.3">
      <c r="B416" t="s">
        <v>809</v>
      </c>
      <c r="C416" s="220" t="s">
        <v>35</v>
      </c>
      <c r="D416" t="s">
        <v>26</v>
      </c>
    </row>
    <row r="417" spans="2:4" x14ac:dyDescent="0.3">
      <c r="B417" t="s">
        <v>813</v>
      </c>
      <c r="C417" s="220">
        <v>1</v>
      </c>
      <c r="D417" t="s">
        <v>49</v>
      </c>
    </row>
    <row r="418" spans="2:4" x14ac:dyDescent="0.3">
      <c r="B418" t="s">
        <v>815</v>
      </c>
      <c r="C418" s="220">
        <v>0.05</v>
      </c>
      <c r="D418" t="s">
        <v>26</v>
      </c>
    </row>
    <row r="419" spans="2:4" x14ac:dyDescent="0.3">
      <c r="B419" t="s">
        <v>817</v>
      </c>
      <c r="C419" s="220">
        <v>0.06</v>
      </c>
      <c r="D419" t="s">
        <v>26</v>
      </c>
    </row>
    <row r="420" spans="2:4" x14ac:dyDescent="0.3">
      <c r="B420" t="s">
        <v>819</v>
      </c>
      <c r="C420" s="220">
        <v>0.01</v>
      </c>
      <c r="D420" t="s">
        <v>26</v>
      </c>
    </row>
    <row r="421" spans="2:4" x14ac:dyDescent="0.3">
      <c r="B421" t="s">
        <v>821</v>
      </c>
      <c r="C421" s="220">
        <v>0.01</v>
      </c>
      <c r="D421" t="s">
        <v>26</v>
      </c>
    </row>
    <row r="422" spans="2:4" x14ac:dyDescent="0.3">
      <c r="B422" t="s">
        <v>823</v>
      </c>
      <c r="C422" s="220">
        <v>0.01</v>
      </c>
      <c r="D422" t="s">
        <v>26</v>
      </c>
    </row>
    <row r="423" spans="2:4" x14ac:dyDescent="0.3">
      <c r="B423" t="s">
        <v>825</v>
      </c>
      <c r="C423" s="220">
        <v>133</v>
      </c>
      <c r="D423" t="s">
        <v>52</v>
      </c>
    </row>
    <row r="424" spans="2:4" x14ac:dyDescent="0.3">
      <c r="B424" t="s">
        <v>3425</v>
      </c>
      <c r="C424" s="220" t="s">
        <v>828</v>
      </c>
      <c r="D424" t="s">
        <v>20</v>
      </c>
    </row>
    <row r="425" spans="2:4" x14ac:dyDescent="0.3">
      <c r="B425" t="s">
        <v>3426</v>
      </c>
      <c r="C425" s="220" t="s">
        <v>828</v>
      </c>
      <c r="D425" t="s">
        <v>20</v>
      </c>
    </row>
    <row r="426" spans="2:4" x14ac:dyDescent="0.3">
      <c r="B426" t="s">
        <v>3427</v>
      </c>
      <c r="C426" s="220" t="s">
        <v>3429</v>
      </c>
      <c r="D426" t="s">
        <v>20</v>
      </c>
    </row>
    <row r="427" spans="2:4" x14ac:dyDescent="0.3">
      <c r="B427" t="s">
        <v>3428</v>
      </c>
      <c r="C427" s="220" t="s">
        <v>3429</v>
      </c>
      <c r="D427" t="s">
        <v>20</v>
      </c>
    </row>
    <row r="428" spans="2:4" x14ac:dyDescent="0.3">
      <c r="B428" t="s">
        <v>3387</v>
      </c>
      <c r="C428" s="220">
        <v>0.15</v>
      </c>
      <c r="D428" t="s">
        <v>26</v>
      </c>
    </row>
    <row r="429" spans="2:4" x14ac:dyDescent="0.3">
      <c r="B429" t="s">
        <v>3389</v>
      </c>
      <c r="C429" s="220">
        <v>1</v>
      </c>
      <c r="D429" t="s">
        <v>46</v>
      </c>
    </row>
    <row r="430" spans="2:4" x14ac:dyDescent="0.3">
      <c r="B430" t="s">
        <v>3391</v>
      </c>
      <c r="C430" s="220">
        <v>0.02</v>
      </c>
      <c r="D430" t="s">
        <v>26</v>
      </c>
    </row>
    <row r="431" spans="2:4" x14ac:dyDescent="0.3">
      <c r="B431" t="s">
        <v>3517</v>
      </c>
      <c r="C431" s="220">
        <v>0</v>
      </c>
      <c r="D431" t="s">
        <v>26</v>
      </c>
    </row>
    <row r="432" spans="2:4" x14ac:dyDescent="0.3">
      <c r="B432" t="s">
        <v>3519</v>
      </c>
      <c r="C432" s="220">
        <v>0</v>
      </c>
      <c r="D432" t="s">
        <v>26</v>
      </c>
    </row>
    <row r="433" spans="2:4" x14ac:dyDescent="0.3">
      <c r="B433" t="s">
        <v>834</v>
      </c>
      <c r="D433" t="s">
        <v>59</v>
      </c>
    </row>
    <row r="434" spans="2:4" x14ac:dyDescent="0.3">
      <c r="B434" t="s">
        <v>836</v>
      </c>
      <c r="C434" s="220">
        <v>0</v>
      </c>
      <c r="D434" t="s">
        <v>49</v>
      </c>
    </row>
    <row r="435" spans="2:4" x14ac:dyDescent="0.3">
      <c r="B435" t="s">
        <v>838</v>
      </c>
      <c r="C435" s="220">
        <v>1.1499999999999999</v>
      </c>
      <c r="D435" t="s">
        <v>26</v>
      </c>
    </row>
    <row r="436" spans="2:4" x14ac:dyDescent="0.3">
      <c r="B436" t="s">
        <v>840</v>
      </c>
      <c r="C436" s="220">
        <v>0.59</v>
      </c>
      <c r="D436" t="s">
        <v>26</v>
      </c>
    </row>
    <row r="437" spans="2:4" x14ac:dyDescent="0.3">
      <c r="B437" t="s">
        <v>3606</v>
      </c>
      <c r="C437" s="220">
        <v>0.63500000000000001</v>
      </c>
      <c r="D437" t="s">
        <v>26</v>
      </c>
    </row>
    <row r="438" spans="2:4" x14ac:dyDescent="0.3">
      <c r="B438" t="s">
        <v>847</v>
      </c>
      <c r="C438" s="220">
        <v>0.63500000000000001</v>
      </c>
      <c r="D438" t="s">
        <v>26</v>
      </c>
    </row>
    <row r="439" spans="2:4" x14ac:dyDescent="0.3">
      <c r="B439" t="s">
        <v>849</v>
      </c>
      <c r="C439" s="220">
        <v>2.395</v>
      </c>
      <c r="D439" t="s">
        <v>26</v>
      </c>
    </row>
    <row r="440" spans="2:4" x14ac:dyDescent="0.3">
      <c r="B440" t="s">
        <v>3609</v>
      </c>
      <c r="C440" s="220">
        <v>2.0950000000000002</v>
      </c>
      <c r="D440" t="s">
        <v>26</v>
      </c>
    </row>
    <row r="441" spans="2:4" x14ac:dyDescent="0.3">
      <c r="B441" t="s">
        <v>851</v>
      </c>
      <c r="C441" s="220">
        <v>0</v>
      </c>
      <c r="D441" t="s">
        <v>46</v>
      </c>
    </row>
    <row r="442" spans="2:4" x14ac:dyDescent="0.3">
      <c r="B442" t="s">
        <v>853</v>
      </c>
      <c r="C442" s="220">
        <v>0</v>
      </c>
      <c r="D442" t="s">
        <v>46</v>
      </c>
    </row>
    <row r="443" spans="2:4" x14ac:dyDescent="0.3">
      <c r="B443" t="s">
        <v>855</v>
      </c>
      <c r="C443" s="220">
        <v>0.06</v>
      </c>
      <c r="D443" t="s">
        <v>26</v>
      </c>
    </row>
    <row r="444" spans="2:4" x14ac:dyDescent="0.3">
      <c r="B444" t="s">
        <v>857</v>
      </c>
      <c r="C444" s="220">
        <v>0.1</v>
      </c>
      <c r="D444" t="s">
        <v>26</v>
      </c>
    </row>
    <row r="445" spans="2:4" x14ac:dyDescent="0.3">
      <c r="B445" t="s">
        <v>3335</v>
      </c>
      <c r="C445" s="220">
        <v>8.0000000000000002E-3</v>
      </c>
      <c r="D445" t="s">
        <v>26</v>
      </c>
    </row>
    <row r="446" spans="2:4" x14ac:dyDescent="0.3">
      <c r="B446" t="s">
        <v>3336</v>
      </c>
      <c r="C446" s="220">
        <v>8.0000000000000002E-3</v>
      </c>
      <c r="D446" t="s">
        <v>26</v>
      </c>
    </row>
    <row r="447" spans="2:4" x14ac:dyDescent="0.3">
      <c r="B447" t="s">
        <v>3596</v>
      </c>
      <c r="C447" s="220" t="s">
        <v>35</v>
      </c>
      <c r="D447" t="s">
        <v>20</v>
      </c>
    </row>
    <row r="448" spans="2:4" x14ac:dyDescent="0.3">
      <c r="B448" t="s">
        <v>861</v>
      </c>
      <c r="D448" t="s">
        <v>59</v>
      </c>
    </row>
    <row r="449" spans="2:4" x14ac:dyDescent="0.3">
      <c r="B449" t="s">
        <v>864</v>
      </c>
      <c r="C449" s="220">
        <v>0.4</v>
      </c>
      <c r="D449" t="s">
        <v>26</v>
      </c>
    </row>
    <row r="450" spans="2:4" x14ac:dyDescent="0.3">
      <c r="B450" t="s">
        <v>866</v>
      </c>
      <c r="C450" s="220">
        <v>0</v>
      </c>
      <c r="D450" t="s">
        <v>46</v>
      </c>
    </row>
    <row r="451" spans="2:4" x14ac:dyDescent="0.3">
      <c r="B451" t="s">
        <v>3337</v>
      </c>
      <c r="C451" s="220">
        <v>8.0000000000000002E-3</v>
      </c>
      <c r="D451" t="s">
        <v>26</v>
      </c>
    </row>
    <row r="452" spans="2:4" x14ac:dyDescent="0.3">
      <c r="B452" t="s">
        <v>874</v>
      </c>
      <c r="D452" t="s">
        <v>59</v>
      </c>
    </row>
    <row r="453" spans="2:4" x14ac:dyDescent="0.3">
      <c r="B453" t="s">
        <v>876</v>
      </c>
      <c r="C453" s="220" t="s">
        <v>3393</v>
      </c>
      <c r="D453" t="s">
        <v>20</v>
      </c>
    </row>
    <row r="454" spans="2:4" x14ac:dyDescent="0.3">
      <c r="B454" t="s">
        <v>889</v>
      </c>
      <c r="C454" s="220">
        <v>27</v>
      </c>
      <c r="D454" t="s">
        <v>46</v>
      </c>
    </row>
    <row r="455" spans="2:4" x14ac:dyDescent="0.3">
      <c r="B455" t="s">
        <v>890</v>
      </c>
      <c r="C455" s="220">
        <v>1</v>
      </c>
      <c r="D455" t="s">
        <v>46</v>
      </c>
    </row>
    <row r="456" spans="2:4" x14ac:dyDescent="0.3">
      <c r="B456" t="s">
        <v>3394</v>
      </c>
      <c r="C456" s="220" t="s">
        <v>3395</v>
      </c>
      <c r="D456" t="s">
        <v>20</v>
      </c>
    </row>
    <row r="457" spans="2:4" x14ac:dyDescent="0.3">
      <c r="B457" t="s">
        <v>3396</v>
      </c>
      <c r="D457" t="s">
        <v>20</v>
      </c>
    </row>
    <row r="458" spans="2:4" x14ac:dyDescent="0.3">
      <c r="B458" t="s">
        <v>882</v>
      </c>
      <c r="D458" t="s">
        <v>20</v>
      </c>
    </row>
    <row r="459" spans="2:4" x14ac:dyDescent="0.3">
      <c r="B459" t="s">
        <v>884</v>
      </c>
      <c r="D459" t="s">
        <v>20</v>
      </c>
    </row>
    <row r="460" spans="2:4" x14ac:dyDescent="0.3">
      <c r="B460" t="s">
        <v>3397</v>
      </c>
      <c r="C460" s="220" t="s">
        <v>3155</v>
      </c>
      <c r="D460" t="s">
        <v>20</v>
      </c>
    </row>
    <row r="461" spans="2:4" x14ac:dyDescent="0.3">
      <c r="B461" t="s">
        <v>3400</v>
      </c>
      <c r="C461" s="220">
        <v>3</v>
      </c>
      <c r="D461" t="s">
        <v>46</v>
      </c>
    </row>
    <row r="462" spans="2:4" x14ac:dyDescent="0.3">
      <c r="B462" t="s">
        <v>3401</v>
      </c>
      <c r="C462" s="220">
        <v>0</v>
      </c>
      <c r="D462" t="s">
        <v>46</v>
      </c>
    </row>
    <row r="463" spans="2:4" x14ac:dyDescent="0.3">
      <c r="B463" t="s">
        <v>3403</v>
      </c>
      <c r="C463" s="220" t="s">
        <v>35</v>
      </c>
      <c r="D463" t="s">
        <v>46</v>
      </c>
    </row>
    <row r="464" spans="2:4" x14ac:dyDescent="0.3">
      <c r="B464" t="s">
        <v>3405</v>
      </c>
      <c r="C464" s="220" t="s">
        <v>35</v>
      </c>
      <c r="D464" t="s">
        <v>46</v>
      </c>
    </row>
    <row r="465" spans="2:4" x14ac:dyDescent="0.3">
      <c r="B465" t="s">
        <v>3407</v>
      </c>
      <c r="C465" s="220" t="s">
        <v>35</v>
      </c>
      <c r="D465" t="s">
        <v>20</v>
      </c>
    </row>
    <row r="466" spans="2:4" x14ac:dyDescent="0.3">
      <c r="B466" t="s">
        <v>3409</v>
      </c>
      <c r="C466" s="220">
        <v>0</v>
      </c>
      <c r="D466" t="s">
        <v>46</v>
      </c>
    </row>
    <row r="467" spans="2:4" x14ac:dyDescent="0.3">
      <c r="B467" t="s">
        <v>3410</v>
      </c>
      <c r="C467" s="220" t="s">
        <v>3679</v>
      </c>
      <c r="D467" t="s">
        <v>20</v>
      </c>
    </row>
    <row r="468" spans="2:4" x14ac:dyDescent="0.3">
      <c r="B468" t="s">
        <v>3411</v>
      </c>
      <c r="C468" s="220" t="s">
        <v>828</v>
      </c>
      <c r="D468" t="s">
        <v>20</v>
      </c>
    </row>
    <row r="469" spans="2:4" x14ac:dyDescent="0.3">
      <c r="B469" t="s">
        <v>3423</v>
      </c>
      <c r="C469" s="220" t="s">
        <v>3680</v>
      </c>
      <c r="D469" t="s">
        <v>20</v>
      </c>
    </row>
    <row r="470" spans="2:4" x14ac:dyDescent="0.3">
      <c r="B470" t="s">
        <v>3424</v>
      </c>
      <c r="C470" s="220" t="s">
        <v>3429</v>
      </c>
      <c r="D470" t="s">
        <v>20</v>
      </c>
    </row>
    <row r="471" spans="2:4" x14ac:dyDescent="0.3">
      <c r="B471" t="s">
        <v>3448</v>
      </c>
      <c r="C471" s="220">
        <v>3</v>
      </c>
      <c r="D471" t="s">
        <v>46</v>
      </c>
    </row>
    <row r="472" spans="2:4" x14ac:dyDescent="0.3">
      <c r="B472" t="s">
        <v>3449</v>
      </c>
      <c r="C472" s="220">
        <v>0</v>
      </c>
      <c r="D472" t="s">
        <v>46</v>
      </c>
    </row>
    <row r="473" spans="2:4" x14ac:dyDescent="0.3">
      <c r="B473" t="s">
        <v>3450</v>
      </c>
      <c r="C473" s="220" t="s">
        <v>35</v>
      </c>
      <c r="D473" t="s">
        <v>46</v>
      </c>
    </row>
    <row r="474" spans="2:4" x14ac:dyDescent="0.3">
      <c r="B474" t="s">
        <v>3451</v>
      </c>
      <c r="C474" s="220" t="s">
        <v>35</v>
      </c>
      <c r="D474" t="s">
        <v>46</v>
      </c>
    </row>
    <row r="475" spans="2:4" x14ac:dyDescent="0.3">
      <c r="B475" t="s">
        <v>3437</v>
      </c>
      <c r="C475" s="220" t="s">
        <v>35</v>
      </c>
      <c r="D475" t="s">
        <v>20</v>
      </c>
    </row>
    <row r="476" spans="2:4" x14ac:dyDescent="0.3">
      <c r="B476" t="s">
        <v>3473</v>
      </c>
      <c r="C476" s="220">
        <v>0</v>
      </c>
      <c r="D476" t="s">
        <v>46</v>
      </c>
    </row>
    <row r="477" spans="2:4" x14ac:dyDescent="0.3">
      <c r="B477" t="s">
        <v>3452</v>
      </c>
      <c r="C477" s="220" t="s">
        <v>3679</v>
      </c>
      <c r="D477" t="s">
        <v>20</v>
      </c>
    </row>
    <row r="478" spans="2:4" x14ac:dyDescent="0.3">
      <c r="B478" t="s">
        <v>3453</v>
      </c>
      <c r="C478" s="220" t="s">
        <v>828</v>
      </c>
      <c r="D478" t="s">
        <v>20</v>
      </c>
    </row>
    <row r="479" spans="2:4" x14ac:dyDescent="0.3">
      <c r="B479" t="s">
        <v>3454</v>
      </c>
      <c r="C479" s="220" t="s">
        <v>3680</v>
      </c>
      <c r="D479" t="s">
        <v>20</v>
      </c>
    </row>
    <row r="480" spans="2:4" x14ac:dyDescent="0.3">
      <c r="B480" t="s">
        <v>3455</v>
      </c>
      <c r="C480" s="220" t="s">
        <v>3429</v>
      </c>
      <c r="D480" t="s">
        <v>20</v>
      </c>
    </row>
    <row r="481" spans="2:4" x14ac:dyDescent="0.3">
      <c r="B481" t="s">
        <v>931</v>
      </c>
      <c r="D481" t="s">
        <v>59</v>
      </c>
    </row>
    <row r="482" spans="2:4" x14ac:dyDescent="0.3">
      <c r="B482" t="s">
        <v>885</v>
      </c>
      <c r="C482" s="220">
        <v>0</v>
      </c>
      <c r="D482" t="s">
        <v>49</v>
      </c>
    </row>
    <row r="483" spans="2:4" x14ac:dyDescent="0.3">
      <c r="B483" t="s">
        <v>887</v>
      </c>
      <c r="C483" s="220">
        <v>0</v>
      </c>
      <c r="D483" t="s">
        <v>49</v>
      </c>
    </row>
    <row r="484" spans="2:4" x14ac:dyDescent="0.3">
      <c r="B484" t="s">
        <v>892</v>
      </c>
      <c r="C484" s="220">
        <v>0</v>
      </c>
      <c r="D484" t="s">
        <v>49</v>
      </c>
    </row>
    <row r="485" spans="2:4" x14ac:dyDescent="0.3">
      <c r="B485" t="s">
        <v>894</v>
      </c>
      <c r="C485" s="220">
        <v>0</v>
      </c>
      <c r="D485" t="s">
        <v>26</v>
      </c>
    </row>
    <row r="486" spans="2:4" x14ac:dyDescent="0.3">
      <c r="B486" t="s">
        <v>3474</v>
      </c>
      <c r="C486" s="220">
        <v>0.85</v>
      </c>
      <c r="D486" t="s">
        <v>26</v>
      </c>
    </row>
    <row r="487" spans="2:4" x14ac:dyDescent="0.3">
      <c r="B487" t="s">
        <v>3476</v>
      </c>
      <c r="C487" s="220">
        <v>1.3</v>
      </c>
      <c r="D487" t="s">
        <v>26</v>
      </c>
    </row>
    <row r="488" spans="2:4" x14ac:dyDescent="0.3">
      <c r="B488" t="s">
        <v>3398</v>
      </c>
      <c r="C488" s="220">
        <v>1</v>
      </c>
      <c r="D488" t="s">
        <v>46</v>
      </c>
    </row>
    <row r="489" spans="2:4" x14ac:dyDescent="0.3">
      <c r="B489" t="s">
        <v>3434</v>
      </c>
      <c r="C489" s="220">
        <v>1</v>
      </c>
      <c r="D489" t="s">
        <v>46</v>
      </c>
    </row>
    <row r="490" spans="2:4" x14ac:dyDescent="0.3">
      <c r="B490" t="s">
        <v>922</v>
      </c>
      <c r="C490" s="220">
        <v>5.0000000000000001E-3</v>
      </c>
      <c r="D490" t="s">
        <v>26</v>
      </c>
    </row>
    <row r="491" spans="2:4" x14ac:dyDescent="0.3">
      <c r="B491" t="s">
        <v>896</v>
      </c>
      <c r="C491" s="220">
        <v>5.8000000000000003E-2</v>
      </c>
      <c r="D491" t="s">
        <v>26</v>
      </c>
    </row>
    <row r="492" spans="2:4" x14ac:dyDescent="0.3">
      <c r="B492" t="s">
        <v>3433</v>
      </c>
      <c r="C492" s="220" t="s">
        <v>35</v>
      </c>
      <c r="D492" t="s">
        <v>26</v>
      </c>
    </row>
    <row r="493" spans="2:4" x14ac:dyDescent="0.3">
      <c r="B493" t="s">
        <v>900</v>
      </c>
      <c r="C493" s="220">
        <v>0</v>
      </c>
      <c r="D493" t="s">
        <v>26</v>
      </c>
    </row>
    <row r="494" spans="2:4" x14ac:dyDescent="0.3">
      <c r="B494" t="s">
        <v>902</v>
      </c>
      <c r="C494" s="220">
        <v>1.2999999999999999E-2</v>
      </c>
      <c r="D494" t="s">
        <v>26</v>
      </c>
    </row>
    <row r="495" spans="2:4" x14ac:dyDescent="0.3">
      <c r="B495" t="s">
        <v>3413</v>
      </c>
      <c r="C495" s="220">
        <v>1.7999999999999999E-2</v>
      </c>
      <c r="D495" t="s">
        <v>26</v>
      </c>
    </row>
    <row r="496" spans="2:4" x14ac:dyDescent="0.3">
      <c r="B496" t="s">
        <v>926</v>
      </c>
      <c r="C496" s="220">
        <v>0</v>
      </c>
      <c r="D496" t="s">
        <v>26</v>
      </c>
    </row>
    <row r="497" spans="2:4" x14ac:dyDescent="0.3">
      <c r="B497" t="s">
        <v>929</v>
      </c>
      <c r="C497" s="220">
        <v>0</v>
      </c>
      <c r="D497" t="s">
        <v>26</v>
      </c>
    </row>
    <row r="498" spans="2:4" x14ac:dyDescent="0.3">
      <c r="B498" t="s">
        <v>932</v>
      </c>
      <c r="C498" s="220">
        <v>0.02</v>
      </c>
      <c r="D498" t="s">
        <v>26</v>
      </c>
    </row>
    <row r="499" spans="2:4" x14ac:dyDescent="0.3">
      <c r="B499" t="s">
        <v>3415</v>
      </c>
      <c r="C499" s="220" t="s">
        <v>35</v>
      </c>
      <c r="D499" t="s">
        <v>26</v>
      </c>
    </row>
    <row r="500" spans="2:4" x14ac:dyDescent="0.3">
      <c r="B500" t="s">
        <v>998</v>
      </c>
      <c r="C500" s="220">
        <v>0.16</v>
      </c>
      <c r="D500" t="s">
        <v>26</v>
      </c>
    </row>
    <row r="501" spans="2:4" x14ac:dyDescent="0.3">
      <c r="B501" t="s">
        <v>1002</v>
      </c>
      <c r="C501" s="220">
        <v>0.16</v>
      </c>
      <c r="D501" t="s">
        <v>26</v>
      </c>
    </row>
    <row r="502" spans="2:4" x14ac:dyDescent="0.3">
      <c r="B502" t="s">
        <v>1006</v>
      </c>
      <c r="C502" s="220">
        <v>0.22</v>
      </c>
      <c r="D502" t="s">
        <v>26</v>
      </c>
    </row>
    <row r="503" spans="2:4" x14ac:dyDescent="0.3">
      <c r="B503" t="s">
        <v>1010</v>
      </c>
      <c r="C503" s="220">
        <v>0.16</v>
      </c>
      <c r="D503" t="s">
        <v>26</v>
      </c>
    </row>
    <row r="504" spans="2:4" x14ac:dyDescent="0.3">
      <c r="B504" t="s">
        <v>1014</v>
      </c>
      <c r="C504" s="220">
        <v>3</v>
      </c>
      <c r="D504" t="s">
        <v>46</v>
      </c>
    </row>
    <row r="505" spans="2:4" x14ac:dyDescent="0.3">
      <c r="B505" t="s">
        <v>1018</v>
      </c>
      <c r="C505" s="220">
        <v>2</v>
      </c>
      <c r="D505" t="s">
        <v>46</v>
      </c>
    </row>
    <row r="506" spans="2:4" x14ac:dyDescent="0.3">
      <c r="B506" t="s">
        <v>1022</v>
      </c>
      <c r="C506" s="220">
        <v>2.1999999999999999E-2</v>
      </c>
      <c r="D506" t="s">
        <v>26</v>
      </c>
    </row>
    <row r="507" spans="2:4" x14ac:dyDescent="0.3">
      <c r="B507" t="s">
        <v>1026</v>
      </c>
      <c r="C507" s="220">
        <v>1.2500000000000001E-2</v>
      </c>
      <c r="D507" t="s">
        <v>26</v>
      </c>
    </row>
    <row r="508" spans="2:4" x14ac:dyDescent="0.3">
      <c r="B508" t="s">
        <v>1030</v>
      </c>
      <c r="C508" s="220">
        <v>0.2</v>
      </c>
      <c r="D508" t="s">
        <v>26</v>
      </c>
    </row>
    <row r="509" spans="2:4" x14ac:dyDescent="0.3">
      <c r="B509" t="s">
        <v>1034</v>
      </c>
      <c r="C509" s="220">
        <v>0.35</v>
      </c>
      <c r="D509" t="s">
        <v>26</v>
      </c>
    </row>
    <row r="510" spans="2:4" x14ac:dyDescent="0.3">
      <c r="B510" t="s">
        <v>1038</v>
      </c>
      <c r="C510" s="220">
        <v>0.315</v>
      </c>
      <c r="D510" t="s">
        <v>26</v>
      </c>
    </row>
    <row r="511" spans="2:4" x14ac:dyDescent="0.3">
      <c r="B511" t="s">
        <v>1042</v>
      </c>
      <c r="C511" s="220">
        <v>1.4</v>
      </c>
      <c r="D511" t="s">
        <v>26</v>
      </c>
    </row>
    <row r="512" spans="2:4" x14ac:dyDescent="0.3">
      <c r="B512" t="s">
        <v>1046</v>
      </c>
      <c r="C512" s="220">
        <v>0.51500000000000001</v>
      </c>
      <c r="D512" t="s">
        <v>26</v>
      </c>
    </row>
    <row r="513" spans="2:4" x14ac:dyDescent="0.3">
      <c r="B513" t="s">
        <v>3417</v>
      </c>
      <c r="C513" s="220">
        <v>0.16</v>
      </c>
      <c r="D513" t="s">
        <v>26</v>
      </c>
    </row>
    <row r="514" spans="2:4" x14ac:dyDescent="0.3">
      <c r="B514" t="s">
        <v>3419</v>
      </c>
      <c r="C514" s="220">
        <v>0.16</v>
      </c>
      <c r="D514" t="s">
        <v>26</v>
      </c>
    </row>
    <row r="515" spans="2:4" x14ac:dyDescent="0.3">
      <c r="B515" t="s">
        <v>3421</v>
      </c>
      <c r="C515" s="220">
        <v>0</v>
      </c>
      <c r="D515" t="s">
        <v>26</v>
      </c>
    </row>
    <row r="516" spans="2:4" x14ac:dyDescent="0.3">
      <c r="B516" t="s">
        <v>3431</v>
      </c>
      <c r="C516" s="220">
        <v>1</v>
      </c>
      <c r="D516" t="s">
        <v>46</v>
      </c>
    </row>
    <row r="517" spans="2:4" x14ac:dyDescent="0.3">
      <c r="B517" t="s">
        <v>3510</v>
      </c>
      <c r="C517" s="220">
        <v>4.0000000000000001E-3</v>
      </c>
      <c r="D517" t="s">
        <v>26</v>
      </c>
    </row>
    <row r="518" spans="2:4" x14ac:dyDescent="0.3">
      <c r="B518" t="s">
        <v>3512</v>
      </c>
      <c r="C518" s="220">
        <v>6.0000000000000001E-3</v>
      </c>
      <c r="D518" t="s">
        <v>26</v>
      </c>
    </row>
    <row r="519" spans="2:4" x14ac:dyDescent="0.3">
      <c r="B519" t="s">
        <v>936</v>
      </c>
      <c r="C519" s="220">
        <v>54</v>
      </c>
      <c r="D519" t="s">
        <v>52</v>
      </c>
    </row>
    <row r="520" spans="2:4" x14ac:dyDescent="0.3">
      <c r="B520" t="s">
        <v>3477</v>
      </c>
      <c r="C520" s="220">
        <v>0.85</v>
      </c>
      <c r="D520" t="s">
        <v>26</v>
      </c>
    </row>
    <row r="521" spans="2:4" x14ac:dyDescent="0.3">
      <c r="B521" t="s">
        <v>3478</v>
      </c>
      <c r="C521" s="220">
        <v>1.3</v>
      </c>
      <c r="D521" t="s">
        <v>26</v>
      </c>
    </row>
    <row r="522" spans="2:4" x14ac:dyDescent="0.3">
      <c r="B522" t="s">
        <v>934</v>
      </c>
      <c r="C522" s="220">
        <v>0.02</v>
      </c>
      <c r="D522" t="s">
        <v>26</v>
      </c>
    </row>
    <row r="523" spans="2:4" x14ac:dyDescent="0.3">
      <c r="B523" t="s">
        <v>3438</v>
      </c>
      <c r="C523" s="220" t="s">
        <v>35</v>
      </c>
      <c r="D523" t="s">
        <v>26</v>
      </c>
    </row>
    <row r="524" spans="2:4" x14ac:dyDescent="0.3">
      <c r="B524" t="s">
        <v>1000</v>
      </c>
      <c r="C524" s="220">
        <v>0.16</v>
      </c>
      <c r="D524" t="s">
        <v>26</v>
      </c>
    </row>
    <row r="525" spans="2:4" x14ac:dyDescent="0.3">
      <c r="B525" t="s">
        <v>1004</v>
      </c>
      <c r="C525" s="220">
        <v>0.16</v>
      </c>
      <c r="D525" t="s">
        <v>26</v>
      </c>
    </row>
    <row r="526" spans="2:4" x14ac:dyDescent="0.3">
      <c r="B526" t="s">
        <v>1008</v>
      </c>
      <c r="C526" s="220">
        <v>0.16</v>
      </c>
      <c r="D526" t="s">
        <v>26</v>
      </c>
    </row>
    <row r="527" spans="2:4" x14ac:dyDescent="0.3">
      <c r="B527" t="s">
        <v>1012</v>
      </c>
      <c r="C527" s="220">
        <v>0.16</v>
      </c>
      <c r="D527" t="s">
        <v>26</v>
      </c>
    </row>
    <row r="528" spans="2:4" x14ac:dyDescent="0.3">
      <c r="B528" t="s">
        <v>1016</v>
      </c>
      <c r="C528" s="220">
        <v>3</v>
      </c>
      <c r="D528" t="s">
        <v>46</v>
      </c>
    </row>
    <row r="529" spans="2:4" x14ac:dyDescent="0.3">
      <c r="B529" t="s">
        <v>1020</v>
      </c>
      <c r="C529" s="220">
        <v>2</v>
      </c>
      <c r="D529" t="s">
        <v>46</v>
      </c>
    </row>
    <row r="530" spans="2:4" x14ac:dyDescent="0.3">
      <c r="B530" t="s">
        <v>1024</v>
      </c>
      <c r="C530" s="220">
        <v>2.5000000000000001E-2</v>
      </c>
      <c r="D530" t="s">
        <v>26</v>
      </c>
    </row>
    <row r="531" spans="2:4" x14ac:dyDescent="0.3">
      <c r="B531" t="s">
        <v>1028</v>
      </c>
      <c r="C531" s="220">
        <v>2.5000000000000001E-2</v>
      </c>
      <c r="D531" t="s">
        <v>26</v>
      </c>
    </row>
    <row r="532" spans="2:4" x14ac:dyDescent="0.3">
      <c r="B532" t="s">
        <v>1032</v>
      </c>
      <c r="C532" s="220">
        <v>0.2</v>
      </c>
      <c r="D532" t="s">
        <v>26</v>
      </c>
    </row>
    <row r="533" spans="2:4" x14ac:dyDescent="0.3">
      <c r="B533" t="s">
        <v>1036</v>
      </c>
      <c r="C533" s="220">
        <v>0.35</v>
      </c>
      <c r="D533" t="s">
        <v>26</v>
      </c>
    </row>
    <row r="534" spans="2:4" x14ac:dyDescent="0.3">
      <c r="B534" t="s">
        <v>1040</v>
      </c>
      <c r="C534" s="220">
        <v>0.315</v>
      </c>
      <c r="D534" t="s">
        <v>26</v>
      </c>
    </row>
    <row r="535" spans="2:4" x14ac:dyDescent="0.3">
      <c r="B535" t="s">
        <v>1044</v>
      </c>
      <c r="C535" s="220">
        <v>1.4</v>
      </c>
      <c r="D535" t="s">
        <v>26</v>
      </c>
    </row>
    <row r="536" spans="2:4" x14ac:dyDescent="0.3">
      <c r="B536" t="s">
        <v>1048</v>
      </c>
      <c r="C536" s="220">
        <v>0.51500000000000001</v>
      </c>
      <c r="D536" t="s">
        <v>26</v>
      </c>
    </row>
    <row r="537" spans="2:4" x14ac:dyDescent="0.3">
      <c r="B537" t="s">
        <v>3482</v>
      </c>
      <c r="C537" s="220">
        <v>0.16</v>
      </c>
      <c r="D537" t="s">
        <v>26</v>
      </c>
    </row>
    <row r="538" spans="2:4" x14ac:dyDescent="0.3">
      <c r="B538" t="s">
        <v>3483</v>
      </c>
      <c r="C538" s="220">
        <v>0.16</v>
      </c>
      <c r="D538" t="s">
        <v>26</v>
      </c>
    </row>
    <row r="539" spans="2:4" x14ac:dyDescent="0.3">
      <c r="B539" t="s">
        <v>3484</v>
      </c>
      <c r="C539" s="220">
        <v>0.1</v>
      </c>
      <c r="D539" t="s">
        <v>26</v>
      </c>
    </row>
    <row r="540" spans="2:4" x14ac:dyDescent="0.3">
      <c r="B540" t="s">
        <v>983</v>
      </c>
      <c r="D540" t="s">
        <v>59</v>
      </c>
    </row>
    <row r="541" spans="2:4" x14ac:dyDescent="0.3">
      <c r="B541" t="s">
        <v>496</v>
      </c>
      <c r="D541" t="s">
        <v>59</v>
      </c>
    </row>
    <row r="542" spans="2:4" x14ac:dyDescent="0.3">
      <c r="B542" t="s">
        <v>497</v>
      </c>
      <c r="C542" s="220" t="s">
        <v>498</v>
      </c>
      <c r="D542" t="s">
        <v>20</v>
      </c>
    </row>
    <row r="543" spans="2:4" x14ac:dyDescent="0.3">
      <c r="B543" t="s">
        <v>1070</v>
      </c>
      <c r="D543" t="s">
        <v>59</v>
      </c>
    </row>
    <row r="544" spans="2:4" x14ac:dyDescent="0.3">
      <c r="B544" t="s">
        <v>1071</v>
      </c>
      <c r="D544" t="s">
        <v>59</v>
      </c>
    </row>
    <row r="545" spans="2:4" x14ac:dyDescent="0.3">
      <c r="B545" t="s">
        <v>1073</v>
      </c>
      <c r="C545" s="220" t="s">
        <v>1075</v>
      </c>
      <c r="D545" t="s">
        <v>20</v>
      </c>
    </row>
    <row r="546" spans="2:4" x14ac:dyDescent="0.3">
      <c r="B546" t="s">
        <v>1076</v>
      </c>
      <c r="C546" s="220" t="s">
        <v>1078</v>
      </c>
      <c r="D546" t="s">
        <v>20</v>
      </c>
    </row>
    <row r="547" spans="2:4" x14ac:dyDescent="0.3">
      <c r="B547" t="s">
        <v>1083</v>
      </c>
      <c r="C547" s="220">
        <v>8100</v>
      </c>
      <c r="D547" t="s">
        <v>20</v>
      </c>
    </row>
    <row r="548" spans="2:4" x14ac:dyDescent="0.3">
      <c r="B548" t="s">
        <v>1088</v>
      </c>
      <c r="D548" t="s">
        <v>20</v>
      </c>
    </row>
    <row r="549" spans="2:4" x14ac:dyDescent="0.3">
      <c r="B549" t="s">
        <v>1089</v>
      </c>
      <c r="C549" s="220" t="s">
        <v>1091</v>
      </c>
      <c r="D549" t="s">
        <v>20</v>
      </c>
    </row>
    <row r="550" spans="2:4" x14ac:dyDescent="0.3">
      <c r="B550" t="s">
        <v>1092</v>
      </c>
      <c r="D550" t="s">
        <v>20</v>
      </c>
    </row>
    <row r="551" spans="2:4" x14ac:dyDescent="0.3">
      <c r="B551" t="s">
        <v>1094</v>
      </c>
      <c r="C551" s="220" t="s">
        <v>1096</v>
      </c>
      <c r="D551" t="s">
        <v>20</v>
      </c>
    </row>
    <row r="552" spans="2:4" x14ac:dyDescent="0.3">
      <c r="B552" t="s">
        <v>1099</v>
      </c>
      <c r="C552" s="220" t="s">
        <v>124</v>
      </c>
      <c r="D552" t="s">
        <v>20</v>
      </c>
    </row>
    <row r="553" spans="2:4" x14ac:dyDescent="0.3">
      <c r="B553" t="s">
        <v>1103</v>
      </c>
      <c r="C553" s="220" t="s">
        <v>1078</v>
      </c>
      <c r="D553" t="s">
        <v>20</v>
      </c>
    </row>
    <row r="554" spans="2:4" x14ac:dyDescent="0.3">
      <c r="B554" t="s">
        <v>1109</v>
      </c>
      <c r="C554" s="220">
        <v>8100</v>
      </c>
      <c r="D554" t="s">
        <v>20</v>
      </c>
    </row>
    <row r="555" spans="2:4" x14ac:dyDescent="0.3">
      <c r="B555" t="s">
        <v>1113</v>
      </c>
      <c r="D555" t="s">
        <v>20</v>
      </c>
    </row>
    <row r="556" spans="2:4" x14ac:dyDescent="0.3">
      <c r="B556" t="s">
        <v>1114</v>
      </c>
      <c r="C556" s="220" t="s">
        <v>1091</v>
      </c>
      <c r="D556" t="s">
        <v>20</v>
      </c>
    </row>
    <row r="557" spans="2:4" x14ac:dyDescent="0.3">
      <c r="B557" t="s">
        <v>1116</v>
      </c>
      <c r="D557" t="s">
        <v>20</v>
      </c>
    </row>
    <row r="558" spans="2:4" x14ac:dyDescent="0.3">
      <c r="B558" t="s">
        <v>1118</v>
      </c>
      <c r="C558" s="220" t="s">
        <v>1096</v>
      </c>
      <c r="D558" t="s">
        <v>20</v>
      </c>
    </row>
    <row r="559" spans="2:4" x14ac:dyDescent="0.3">
      <c r="B559" t="s">
        <v>1122</v>
      </c>
      <c r="C559" s="220" t="s">
        <v>124</v>
      </c>
      <c r="D559" t="s">
        <v>20</v>
      </c>
    </row>
    <row r="560" spans="2:4" x14ac:dyDescent="0.3">
      <c r="B560" t="s">
        <v>1126</v>
      </c>
      <c r="C560" s="220" t="s">
        <v>1078</v>
      </c>
      <c r="D560" t="s">
        <v>20</v>
      </c>
    </row>
    <row r="561" spans="2:4" x14ac:dyDescent="0.3">
      <c r="B561" t="s">
        <v>1128</v>
      </c>
      <c r="C561" s="220">
        <v>8100</v>
      </c>
      <c r="D561" t="s">
        <v>20</v>
      </c>
    </row>
    <row r="562" spans="2:4" x14ac:dyDescent="0.3">
      <c r="B562" t="s">
        <v>1130</v>
      </c>
      <c r="D562" t="s">
        <v>20</v>
      </c>
    </row>
    <row r="563" spans="2:4" x14ac:dyDescent="0.3">
      <c r="B563" t="s">
        <v>1131</v>
      </c>
      <c r="C563" s="220">
        <v>1</v>
      </c>
      <c r="D563" t="s">
        <v>46</v>
      </c>
    </row>
    <row r="564" spans="2:4" x14ac:dyDescent="0.3">
      <c r="B564" t="s">
        <v>1133</v>
      </c>
      <c r="C564" s="220" t="s">
        <v>1091</v>
      </c>
      <c r="D564" t="s">
        <v>20</v>
      </c>
    </row>
    <row r="565" spans="2:4" x14ac:dyDescent="0.3">
      <c r="B565" t="s">
        <v>1135</v>
      </c>
      <c r="C565" s="220" t="s">
        <v>1096</v>
      </c>
      <c r="D565" t="s">
        <v>20</v>
      </c>
    </row>
    <row r="566" spans="2:4" x14ac:dyDescent="0.3">
      <c r="B566" t="s">
        <v>1137</v>
      </c>
      <c r="C566" s="220" t="s">
        <v>21</v>
      </c>
      <c r="D566" t="s">
        <v>20</v>
      </c>
    </row>
    <row r="567" spans="2:4" x14ac:dyDescent="0.3">
      <c r="B567" t="s">
        <v>1146</v>
      </c>
      <c r="C567" s="220">
        <v>1.05</v>
      </c>
      <c r="D567" t="s">
        <v>26</v>
      </c>
    </row>
    <row r="568" spans="2:4" x14ac:dyDescent="0.3">
      <c r="B568" t="s">
        <v>1150</v>
      </c>
      <c r="C568" s="220">
        <v>1.05</v>
      </c>
      <c r="D568" t="s">
        <v>26</v>
      </c>
    </row>
    <row r="569" spans="2:4" x14ac:dyDescent="0.3">
      <c r="B569" t="s">
        <v>1152</v>
      </c>
      <c r="C569" s="220">
        <v>1</v>
      </c>
      <c r="D569" t="s">
        <v>55</v>
      </c>
    </row>
    <row r="570" spans="2:4" x14ac:dyDescent="0.3">
      <c r="B570" t="s">
        <v>1154</v>
      </c>
      <c r="C570" s="220">
        <v>20</v>
      </c>
      <c r="D570" t="s">
        <v>55</v>
      </c>
    </row>
    <row r="571" spans="2:4" x14ac:dyDescent="0.3">
      <c r="B571" t="s">
        <v>1156</v>
      </c>
      <c r="C571" s="220">
        <v>40</v>
      </c>
      <c r="D571" t="s">
        <v>52</v>
      </c>
    </row>
    <row r="572" spans="2:4" x14ac:dyDescent="0.3">
      <c r="B572" t="s">
        <v>1193</v>
      </c>
      <c r="D572" t="s">
        <v>59</v>
      </c>
    </row>
    <row r="573" spans="2:4" x14ac:dyDescent="0.3">
      <c r="B573" t="s">
        <v>1195</v>
      </c>
      <c r="D573" t="s">
        <v>20</v>
      </c>
    </row>
    <row r="574" spans="2:4" x14ac:dyDescent="0.3">
      <c r="B574" t="s">
        <v>1196</v>
      </c>
      <c r="C574" s="220" t="s">
        <v>3681</v>
      </c>
      <c r="D574" t="s">
        <v>20</v>
      </c>
    </row>
    <row r="575" spans="2:4" x14ac:dyDescent="0.3">
      <c r="B575" t="s">
        <v>1201</v>
      </c>
      <c r="C575" s="220" t="s">
        <v>1085</v>
      </c>
      <c r="D575" t="s">
        <v>20</v>
      </c>
    </row>
    <row r="576" spans="2:4" x14ac:dyDescent="0.3">
      <c r="B576" t="s">
        <v>1204</v>
      </c>
      <c r="C576" s="220" t="s">
        <v>1206</v>
      </c>
      <c r="D576" t="s">
        <v>20</v>
      </c>
    </row>
    <row r="577" spans="2:4" x14ac:dyDescent="0.3">
      <c r="B577" t="s">
        <v>1209</v>
      </c>
      <c r="C577" s="220" t="s">
        <v>124</v>
      </c>
      <c r="D577" t="s">
        <v>20</v>
      </c>
    </row>
    <row r="578" spans="2:4" x14ac:dyDescent="0.3">
      <c r="B578" t="s">
        <v>1211</v>
      </c>
      <c r="C578" s="220" t="s">
        <v>124</v>
      </c>
      <c r="D578" t="s">
        <v>20</v>
      </c>
    </row>
    <row r="579" spans="2:4" x14ac:dyDescent="0.3">
      <c r="B579" t="s">
        <v>1213</v>
      </c>
      <c r="C579" s="220" t="s">
        <v>3681</v>
      </c>
      <c r="D579" t="s">
        <v>20</v>
      </c>
    </row>
    <row r="580" spans="2:4" x14ac:dyDescent="0.3">
      <c r="B580" t="s">
        <v>1217</v>
      </c>
      <c r="C580" s="220" t="s">
        <v>1085</v>
      </c>
      <c r="D580" t="s">
        <v>20</v>
      </c>
    </row>
    <row r="581" spans="2:4" x14ac:dyDescent="0.3">
      <c r="B581" t="s">
        <v>1219</v>
      </c>
      <c r="C581" s="220" t="s">
        <v>1206</v>
      </c>
      <c r="D581" t="s">
        <v>20</v>
      </c>
    </row>
    <row r="582" spans="2:4" x14ac:dyDescent="0.3">
      <c r="B582" t="s">
        <v>1221</v>
      </c>
      <c r="C582" s="220" t="s">
        <v>124</v>
      </c>
      <c r="D582" t="s">
        <v>20</v>
      </c>
    </row>
    <row r="583" spans="2:4" x14ac:dyDescent="0.3">
      <c r="B583" t="s">
        <v>1223</v>
      </c>
      <c r="C583" s="220" t="s">
        <v>124</v>
      </c>
      <c r="D583" t="s">
        <v>20</v>
      </c>
    </row>
    <row r="584" spans="2:4" x14ac:dyDescent="0.3">
      <c r="B584" t="s">
        <v>1225</v>
      </c>
      <c r="C584" s="220" t="s">
        <v>3682</v>
      </c>
      <c r="D584" t="s">
        <v>20</v>
      </c>
    </row>
    <row r="585" spans="2:4" x14ac:dyDescent="0.3">
      <c r="B585" t="s">
        <v>1227</v>
      </c>
      <c r="C585" s="220" t="s">
        <v>1085</v>
      </c>
      <c r="D585" t="s">
        <v>20</v>
      </c>
    </row>
    <row r="586" spans="2:4" x14ac:dyDescent="0.3">
      <c r="B586" t="s">
        <v>1229</v>
      </c>
      <c r="C586" s="220" t="s">
        <v>3192</v>
      </c>
      <c r="D586" t="s">
        <v>20</v>
      </c>
    </row>
    <row r="587" spans="2:4" x14ac:dyDescent="0.3">
      <c r="B587" t="s">
        <v>1231</v>
      </c>
      <c r="C587" s="220" t="s">
        <v>124</v>
      </c>
      <c r="D587" t="s">
        <v>20</v>
      </c>
    </row>
    <row r="588" spans="2:4" x14ac:dyDescent="0.3">
      <c r="B588" t="s">
        <v>1233</v>
      </c>
      <c r="C588" s="220" t="s">
        <v>124</v>
      </c>
      <c r="D588" t="s">
        <v>20</v>
      </c>
    </row>
    <row r="589" spans="2:4" x14ac:dyDescent="0.3">
      <c r="B589" t="s">
        <v>1238</v>
      </c>
      <c r="C589" s="220">
        <v>40</v>
      </c>
      <c r="D589" t="s">
        <v>52</v>
      </c>
    </row>
    <row r="590" spans="2:4" x14ac:dyDescent="0.3">
      <c r="B590" t="s">
        <v>1243</v>
      </c>
      <c r="D590" t="s">
        <v>59</v>
      </c>
    </row>
    <row r="591" spans="2:4" x14ac:dyDescent="0.3">
      <c r="B591" t="s">
        <v>1245</v>
      </c>
      <c r="C591" s="220">
        <v>0.06</v>
      </c>
      <c r="D591" t="s">
        <v>26</v>
      </c>
    </row>
    <row r="592" spans="2:4" x14ac:dyDescent="0.3">
      <c r="B592" t="s">
        <v>1247</v>
      </c>
      <c r="C592" s="220">
        <v>8.0000000000000002E-3</v>
      </c>
      <c r="D592" t="s">
        <v>26</v>
      </c>
    </row>
    <row r="593" spans="2:4" x14ac:dyDescent="0.3">
      <c r="B593" t="s">
        <v>1249</v>
      </c>
      <c r="C593" s="220">
        <v>7.1999999999999995E-2</v>
      </c>
      <c r="D593" t="s">
        <v>26</v>
      </c>
    </row>
    <row r="594" spans="2:4" x14ac:dyDescent="0.3">
      <c r="B594" t="s">
        <v>1251</v>
      </c>
      <c r="C594" s="220">
        <v>0.06</v>
      </c>
      <c r="D594" t="s">
        <v>26</v>
      </c>
    </row>
    <row r="595" spans="2:4" x14ac:dyDescent="0.3">
      <c r="B595" t="s">
        <v>1253</v>
      </c>
      <c r="C595" s="220">
        <v>8.0000000000000002E-3</v>
      </c>
      <c r="D595" t="s">
        <v>26</v>
      </c>
    </row>
    <row r="596" spans="2:4" x14ac:dyDescent="0.3">
      <c r="B596" t="s">
        <v>1255</v>
      </c>
      <c r="C596" s="220">
        <v>7.1999999999999995E-2</v>
      </c>
      <c r="D596" t="s">
        <v>26</v>
      </c>
    </row>
    <row r="597" spans="2:4" x14ac:dyDescent="0.3">
      <c r="B597" t="s">
        <v>1257</v>
      </c>
      <c r="D597" t="s">
        <v>59</v>
      </c>
    </row>
    <row r="598" spans="2:4" x14ac:dyDescent="0.3">
      <c r="B598" t="s">
        <v>1275</v>
      </c>
      <c r="D598" t="s">
        <v>59</v>
      </c>
    </row>
    <row r="599" spans="2:4" x14ac:dyDescent="0.3">
      <c r="B599" t="s">
        <v>1277</v>
      </c>
      <c r="C599" s="220" t="s">
        <v>3625</v>
      </c>
      <c r="D599" t="s">
        <v>20</v>
      </c>
    </row>
    <row r="600" spans="2:4" x14ac:dyDescent="0.3">
      <c r="B600" t="s">
        <v>3626</v>
      </c>
      <c r="C600" s="220" t="s">
        <v>86</v>
      </c>
      <c r="D600" t="s">
        <v>20</v>
      </c>
    </row>
    <row r="601" spans="2:4" x14ac:dyDescent="0.3">
      <c r="B601" t="s">
        <v>3628</v>
      </c>
      <c r="C601" s="220" t="s">
        <v>3630</v>
      </c>
      <c r="D601" t="s">
        <v>20</v>
      </c>
    </row>
    <row r="602" spans="2:4" x14ac:dyDescent="0.3">
      <c r="B602" t="s">
        <v>3673</v>
      </c>
      <c r="C602" s="220">
        <v>1</v>
      </c>
      <c r="D602" t="s">
        <v>46</v>
      </c>
    </row>
    <row r="603" spans="2:4" x14ac:dyDescent="0.3">
      <c r="B603" t="s">
        <v>3631</v>
      </c>
      <c r="C603" s="220" t="s">
        <v>3683</v>
      </c>
      <c r="D603" t="s">
        <v>20</v>
      </c>
    </row>
    <row r="604" spans="2:4" x14ac:dyDescent="0.3">
      <c r="B604" t="s">
        <v>3661</v>
      </c>
      <c r="C604" s="220" t="s">
        <v>3683</v>
      </c>
      <c r="D604" t="s">
        <v>20</v>
      </c>
    </row>
    <row r="605" spans="2:4" x14ac:dyDescent="0.3">
      <c r="B605" t="s">
        <v>3632</v>
      </c>
      <c r="C605" s="220" t="s">
        <v>3130</v>
      </c>
      <c r="D605" t="s">
        <v>20</v>
      </c>
    </row>
    <row r="606" spans="2:4" x14ac:dyDescent="0.3">
      <c r="B606" t="s">
        <v>3663</v>
      </c>
      <c r="D606" t="s">
        <v>20</v>
      </c>
    </row>
    <row r="607" spans="2:4" x14ac:dyDescent="0.3">
      <c r="B607" t="s">
        <v>3634</v>
      </c>
      <c r="C607" s="220" t="s">
        <v>105</v>
      </c>
      <c r="D607" t="s">
        <v>20</v>
      </c>
    </row>
    <row r="608" spans="2:4" x14ac:dyDescent="0.3">
      <c r="B608" t="s">
        <v>3665</v>
      </c>
      <c r="C608" s="220" t="s">
        <v>105</v>
      </c>
      <c r="D608" t="s">
        <v>20</v>
      </c>
    </row>
    <row r="609" spans="2:4" x14ac:dyDescent="0.3">
      <c r="B609" t="s">
        <v>3637</v>
      </c>
      <c r="C609" s="220" t="s">
        <v>21</v>
      </c>
      <c r="D609" t="s">
        <v>20</v>
      </c>
    </row>
    <row r="610" spans="2:4" x14ac:dyDescent="0.3">
      <c r="B610" t="s">
        <v>3667</v>
      </c>
      <c r="C610" s="220" t="s">
        <v>21</v>
      </c>
      <c r="D610" t="s">
        <v>20</v>
      </c>
    </row>
    <row r="611" spans="2:4" x14ac:dyDescent="0.3">
      <c r="B611" t="s">
        <v>3639</v>
      </c>
      <c r="C611" s="220">
        <v>4</v>
      </c>
      <c r="D611" t="s">
        <v>46</v>
      </c>
    </row>
    <row r="612" spans="2:4" x14ac:dyDescent="0.3">
      <c r="B612" t="s">
        <v>3641</v>
      </c>
      <c r="C612" s="220">
        <v>4</v>
      </c>
      <c r="D612" t="s">
        <v>46</v>
      </c>
    </row>
    <row r="613" spans="2:4" x14ac:dyDescent="0.3">
      <c r="B613" t="s">
        <v>3643</v>
      </c>
      <c r="C613" s="220" t="s">
        <v>3192</v>
      </c>
      <c r="D613" t="s">
        <v>20</v>
      </c>
    </row>
    <row r="614" spans="2:4" x14ac:dyDescent="0.3">
      <c r="B614" t="s">
        <v>3645</v>
      </c>
      <c r="C614" s="220">
        <v>0</v>
      </c>
      <c r="D614" t="s">
        <v>49</v>
      </c>
    </row>
    <row r="615" spans="2:4" x14ac:dyDescent="0.3">
      <c r="B615" t="s">
        <v>3646</v>
      </c>
      <c r="C615" s="220">
        <v>0</v>
      </c>
      <c r="D615" t="s">
        <v>49</v>
      </c>
    </row>
    <row r="616" spans="2:4" x14ac:dyDescent="0.3">
      <c r="B616" t="s">
        <v>3669</v>
      </c>
      <c r="C616" s="220">
        <v>0</v>
      </c>
      <c r="D616" t="s">
        <v>49</v>
      </c>
    </row>
    <row r="617" spans="2:4" x14ac:dyDescent="0.3">
      <c r="B617" t="s">
        <v>3647</v>
      </c>
      <c r="C617" s="220">
        <v>1</v>
      </c>
      <c r="D617" t="s">
        <v>49</v>
      </c>
    </row>
    <row r="618" spans="2:4" x14ac:dyDescent="0.3">
      <c r="B618" t="s">
        <v>3675</v>
      </c>
      <c r="C618" s="220">
        <v>1</v>
      </c>
      <c r="D618" t="s">
        <v>49</v>
      </c>
    </row>
    <row r="619" spans="2:4" x14ac:dyDescent="0.3">
      <c r="B619" t="s">
        <v>3648</v>
      </c>
      <c r="C619" s="220">
        <v>0</v>
      </c>
      <c r="D619" t="s">
        <v>49</v>
      </c>
    </row>
    <row r="620" spans="2:4" x14ac:dyDescent="0.3">
      <c r="B620" t="s">
        <v>3660</v>
      </c>
      <c r="D620" t="s">
        <v>20</v>
      </c>
    </row>
    <row r="621" spans="2:4" x14ac:dyDescent="0.3">
      <c r="B621" t="s">
        <v>3649</v>
      </c>
      <c r="C621" s="220" t="s">
        <v>3192</v>
      </c>
      <c r="D621" t="s">
        <v>20</v>
      </c>
    </row>
    <row r="622" spans="2:4" x14ac:dyDescent="0.3">
      <c r="B622" t="s">
        <v>3651</v>
      </c>
      <c r="C622" s="220" t="s">
        <v>3192</v>
      </c>
      <c r="D622" t="s">
        <v>20</v>
      </c>
    </row>
    <row r="623" spans="2:4" x14ac:dyDescent="0.3">
      <c r="B623" t="s">
        <v>3653</v>
      </c>
      <c r="C623" s="220" t="s">
        <v>1096</v>
      </c>
      <c r="D623" t="s">
        <v>20</v>
      </c>
    </row>
    <row r="624" spans="2:4" x14ac:dyDescent="0.3">
      <c r="B624" t="s">
        <v>3671</v>
      </c>
      <c r="C624" s="220" t="s">
        <v>1096</v>
      </c>
      <c r="D624" t="s">
        <v>20</v>
      </c>
    </row>
    <row r="625" spans="2:4" x14ac:dyDescent="0.3">
      <c r="B625" t="s">
        <v>3656</v>
      </c>
      <c r="C625" s="220" t="s">
        <v>3130</v>
      </c>
      <c r="D625" t="s">
        <v>20</v>
      </c>
    </row>
    <row r="626" spans="2:4" x14ac:dyDescent="0.3">
      <c r="B626" t="s">
        <v>3658</v>
      </c>
      <c r="D626" t="s">
        <v>20</v>
      </c>
    </row>
    <row r="627" spans="2:4" x14ac:dyDescent="0.3">
      <c r="B627" t="s">
        <v>1314</v>
      </c>
      <c r="D627" t="s">
        <v>59</v>
      </c>
    </row>
    <row r="628" spans="2:4" x14ac:dyDescent="0.3">
      <c r="B628" t="s">
        <v>3566</v>
      </c>
      <c r="C628" s="220" t="s">
        <v>3684</v>
      </c>
      <c r="D628" t="s">
        <v>20</v>
      </c>
    </row>
    <row r="629" spans="2:4" x14ac:dyDescent="0.3">
      <c r="B629" t="s">
        <v>3567</v>
      </c>
      <c r="D629" t="s">
        <v>20</v>
      </c>
    </row>
    <row r="630" spans="2:4" x14ac:dyDescent="0.3">
      <c r="B630" t="s">
        <v>3569</v>
      </c>
      <c r="D630" t="s">
        <v>20</v>
      </c>
    </row>
    <row r="631" spans="2:4" x14ac:dyDescent="0.3">
      <c r="B631" t="s">
        <v>3587</v>
      </c>
      <c r="D631" t="s">
        <v>20</v>
      </c>
    </row>
    <row r="632" spans="2:4" x14ac:dyDescent="0.3">
      <c r="B632" t="s">
        <v>3570</v>
      </c>
      <c r="C632" s="220" t="s">
        <v>3206</v>
      </c>
      <c r="D632" t="s">
        <v>20</v>
      </c>
    </row>
    <row r="633" spans="2:4" x14ac:dyDescent="0.3">
      <c r="B633" t="s">
        <v>3571</v>
      </c>
      <c r="D633" t="s">
        <v>20</v>
      </c>
    </row>
    <row r="634" spans="2:4" x14ac:dyDescent="0.3">
      <c r="B634" t="s">
        <v>3572</v>
      </c>
      <c r="C634" s="220" t="s">
        <v>3192</v>
      </c>
      <c r="D634" t="s">
        <v>20</v>
      </c>
    </row>
    <row r="635" spans="2:4" x14ac:dyDescent="0.3">
      <c r="B635" t="s">
        <v>3573</v>
      </c>
      <c r="C635" s="220">
        <v>2</v>
      </c>
      <c r="D635" t="s">
        <v>46</v>
      </c>
    </row>
    <row r="636" spans="2:4" x14ac:dyDescent="0.3">
      <c r="B636" t="s">
        <v>3574</v>
      </c>
      <c r="C636" s="220">
        <v>0.02</v>
      </c>
      <c r="D636" t="s">
        <v>26</v>
      </c>
    </row>
    <row r="637" spans="2:4" x14ac:dyDescent="0.3">
      <c r="B637" t="s">
        <v>3584</v>
      </c>
      <c r="C637" s="220">
        <v>0.35</v>
      </c>
      <c r="D637" t="s">
        <v>26</v>
      </c>
    </row>
    <row r="638" spans="2:4" x14ac:dyDescent="0.3">
      <c r="B638" t="s">
        <v>3585</v>
      </c>
      <c r="C638" s="220">
        <v>0.35</v>
      </c>
      <c r="D638" t="s">
        <v>26</v>
      </c>
    </row>
    <row r="639" spans="2:4" x14ac:dyDescent="0.3">
      <c r="B639" t="s">
        <v>3576</v>
      </c>
      <c r="C639" s="220">
        <v>0.04</v>
      </c>
      <c r="D639" t="s">
        <v>26</v>
      </c>
    </row>
    <row r="640" spans="2:4" x14ac:dyDescent="0.3">
      <c r="B640" t="s">
        <v>3578</v>
      </c>
      <c r="C640" s="220">
        <v>0</v>
      </c>
      <c r="D640" t="s">
        <v>46</v>
      </c>
    </row>
    <row r="641" spans="2:4" x14ac:dyDescent="0.3">
      <c r="B641" t="s">
        <v>3579</v>
      </c>
      <c r="C641" s="220">
        <v>0.05</v>
      </c>
      <c r="D641" t="s">
        <v>26</v>
      </c>
    </row>
    <row r="642" spans="2:4" x14ac:dyDescent="0.3">
      <c r="B642" t="s">
        <v>3581</v>
      </c>
      <c r="C642" s="220">
        <v>0.03</v>
      </c>
      <c r="D642" t="s">
        <v>26</v>
      </c>
    </row>
    <row r="643" spans="2:4" x14ac:dyDescent="0.3">
      <c r="B643" t="s">
        <v>1331</v>
      </c>
      <c r="C643" s="220">
        <v>3.9064269999999998E-2</v>
      </c>
      <c r="D643" t="s">
        <v>26</v>
      </c>
    </row>
    <row r="644" spans="2:4" x14ac:dyDescent="0.3">
      <c r="B644" t="s">
        <v>1333</v>
      </c>
      <c r="C644" s="220">
        <v>1.121955E-2</v>
      </c>
      <c r="D644" t="s">
        <v>26</v>
      </c>
    </row>
    <row r="645" spans="2:4" x14ac:dyDescent="0.3">
      <c r="B645" t="s">
        <v>1335</v>
      </c>
      <c r="D645" t="s">
        <v>59</v>
      </c>
    </row>
    <row r="646" spans="2:4" x14ac:dyDescent="0.3">
      <c r="B646" t="s">
        <v>1336</v>
      </c>
      <c r="D646" t="s">
        <v>59</v>
      </c>
    </row>
    <row r="647" spans="2:4" x14ac:dyDescent="0.3">
      <c r="B647" t="s">
        <v>1338</v>
      </c>
      <c r="C647" s="220" t="s">
        <v>498</v>
      </c>
      <c r="D647" t="s">
        <v>20</v>
      </c>
    </row>
    <row r="648" spans="2:4" x14ac:dyDescent="0.3">
      <c r="B648" t="s">
        <v>1372</v>
      </c>
      <c r="D648" t="s">
        <v>59</v>
      </c>
    </row>
    <row r="649" spans="2:4" x14ac:dyDescent="0.3">
      <c r="B649" t="s">
        <v>1459</v>
      </c>
      <c r="D649" t="s">
        <v>59</v>
      </c>
    </row>
    <row r="650" spans="2:4" x14ac:dyDescent="0.3">
      <c r="B650" t="s">
        <v>2377</v>
      </c>
      <c r="D650" t="s">
        <v>20</v>
      </c>
    </row>
    <row r="651" spans="2:4" x14ac:dyDescent="0.3">
      <c r="B651" t="s">
        <v>2394</v>
      </c>
      <c r="D651" t="s">
        <v>20</v>
      </c>
    </row>
    <row r="652" spans="2:4" x14ac:dyDescent="0.3">
      <c r="B652" t="s">
        <v>198</v>
      </c>
      <c r="D652" t="s">
        <v>59</v>
      </c>
    </row>
    <row r="653" spans="2:4" x14ac:dyDescent="0.3">
      <c r="B653" t="s">
        <v>200</v>
      </c>
      <c r="D653" t="s">
        <v>59</v>
      </c>
    </row>
    <row r="654" spans="2:4" x14ac:dyDescent="0.3">
      <c r="B654" t="s">
        <v>202</v>
      </c>
      <c r="C654" s="220" t="s">
        <v>35</v>
      </c>
      <c r="D654" t="s">
        <v>54</v>
      </c>
    </row>
    <row r="655" spans="2:4" x14ac:dyDescent="0.3">
      <c r="B655" t="s">
        <v>205</v>
      </c>
      <c r="D655" t="s">
        <v>59</v>
      </c>
    </row>
    <row r="656" spans="2:4" x14ac:dyDescent="0.3">
      <c r="B656" t="s">
        <v>207</v>
      </c>
      <c r="C656" s="220" t="s">
        <v>35</v>
      </c>
      <c r="D656" t="s">
        <v>55</v>
      </c>
    </row>
    <row r="657" spans="2:4" x14ac:dyDescent="0.3">
      <c r="B657" t="s">
        <v>209</v>
      </c>
      <c r="C657" s="220" t="s">
        <v>35</v>
      </c>
      <c r="D657" t="s">
        <v>55</v>
      </c>
    </row>
    <row r="658" spans="2:4" x14ac:dyDescent="0.3">
      <c r="B658" t="s">
        <v>211</v>
      </c>
      <c r="C658" s="220" t="s">
        <v>35</v>
      </c>
      <c r="D658" t="s">
        <v>55</v>
      </c>
    </row>
    <row r="659" spans="2:4" x14ac:dyDescent="0.3">
      <c r="B659" t="s">
        <v>2497</v>
      </c>
      <c r="C659" s="220">
        <v>2</v>
      </c>
      <c r="D659" t="s">
        <v>55</v>
      </c>
    </row>
    <row r="660" spans="2:4" x14ac:dyDescent="0.3">
      <c r="B660" t="s">
        <v>2499</v>
      </c>
      <c r="C660" s="220">
        <v>2</v>
      </c>
      <c r="D660" t="s">
        <v>55</v>
      </c>
    </row>
    <row r="661" spans="2:4" x14ac:dyDescent="0.3">
      <c r="B661" t="s">
        <v>2501</v>
      </c>
      <c r="C661" s="220">
        <v>65</v>
      </c>
      <c r="D661" t="s">
        <v>54</v>
      </c>
    </row>
    <row r="662" spans="2:4" x14ac:dyDescent="0.3">
      <c r="B662" t="s">
        <v>2503</v>
      </c>
      <c r="C662" s="220">
        <v>19</v>
      </c>
      <c r="D662" t="s">
        <v>55</v>
      </c>
    </row>
    <row r="663" spans="2:4" x14ac:dyDescent="0.3">
      <c r="B663" t="s">
        <v>2505</v>
      </c>
      <c r="C663" s="220">
        <v>19</v>
      </c>
      <c r="D663" t="s">
        <v>55</v>
      </c>
    </row>
    <row r="664" spans="2:4" x14ac:dyDescent="0.3">
      <c r="B664" t="s">
        <v>2507</v>
      </c>
      <c r="C664" s="220">
        <v>2</v>
      </c>
      <c r="D664" t="s">
        <v>55</v>
      </c>
    </row>
    <row r="665" spans="2:4" x14ac:dyDescent="0.3">
      <c r="B665" t="s">
        <v>213</v>
      </c>
      <c r="D665" t="s">
        <v>59</v>
      </c>
    </row>
    <row r="666" spans="2:4" x14ac:dyDescent="0.3">
      <c r="B666" t="s">
        <v>2509</v>
      </c>
      <c r="C666" s="220">
        <v>16</v>
      </c>
      <c r="D666" t="s">
        <v>54</v>
      </c>
    </row>
    <row r="667" spans="2:4" x14ac:dyDescent="0.3">
      <c r="B667" t="s">
        <v>2511</v>
      </c>
      <c r="C667" s="220">
        <v>19</v>
      </c>
      <c r="D667" t="s">
        <v>55</v>
      </c>
    </row>
    <row r="668" spans="2:4" x14ac:dyDescent="0.3">
      <c r="B668" t="s">
        <v>2513</v>
      </c>
      <c r="C668" s="220">
        <v>19</v>
      </c>
      <c r="D668" t="s">
        <v>55</v>
      </c>
    </row>
    <row r="669" spans="2:4" x14ac:dyDescent="0.3">
      <c r="B669" t="s">
        <v>2515</v>
      </c>
      <c r="C669" s="220">
        <v>2</v>
      </c>
      <c r="D669" t="s">
        <v>55</v>
      </c>
    </row>
    <row r="670" spans="2:4" x14ac:dyDescent="0.3">
      <c r="B670" t="s">
        <v>2517</v>
      </c>
      <c r="C670" s="220">
        <v>65</v>
      </c>
      <c r="D670" t="s">
        <v>54</v>
      </c>
    </row>
    <row r="671" spans="2:4" x14ac:dyDescent="0.3">
      <c r="B671" t="s">
        <v>2519</v>
      </c>
      <c r="C671" s="220">
        <v>19</v>
      </c>
      <c r="D671" t="s">
        <v>55</v>
      </c>
    </row>
    <row r="672" spans="2:4" x14ac:dyDescent="0.3">
      <c r="B672" t="s">
        <v>2521</v>
      </c>
      <c r="C672" s="220">
        <v>19</v>
      </c>
      <c r="D672" t="s">
        <v>55</v>
      </c>
    </row>
    <row r="673" spans="2:4" x14ac:dyDescent="0.3">
      <c r="B673" t="s">
        <v>2523</v>
      </c>
      <c r="C673" s="220">
        <v>2</v>
      </c>
      <c r="D673" t="s">
        <v>55</v>
      </c>
    </row>
    <row r="674" spans="2:4" x14ac:dyDescent="0.3">
      <c r="B674" t="s">
        <v>2525</v>
      </c>
      <c r="C674" s="220">
        <v>65</v>
      </c>
      <c r="D674" t="s">
        <v>54</v>
      </c>
    </row>
    <row r="675" spans="2:4" x14ac:dyDescent="0.3">
      <c r="B675" t="s">
        <v>2527</v>
      </c>
      <c r="C675" s="220">
        <v>19</v>
      </c>
      <c r="D675" t="s">
        <v>55</v>
      </c>
    </row>
    <row r="676" spans="2:4" x14ac:dyDescent="0.3">
      <c r="B676" t="s">
        <v>2529</v>
      </c>
      <c r="D676" t="s">
        <v>59</v>
      </c>
    </row>
    <row r="677" spans="2:4" x14ac:dyDescent="0.3">
      <c r="B677" t="s">
        <v>2531</v>
      </c>
      <c r="C677" s="220">
        <v>1</v>
      </c>
      <c r="D677" t="s">
        <v>55</v>
      </c>
    </row>
    <row r="678" spans="2:4" x14ac:dyDescent="0.3">
      <c r="B678" t="s">
        <v>2533</v>
      </c>
      <c r="C678" s="220">
        <v>1</v>
      </c>
      <c r="D678" t="s">
        <v>55</v>
      </c>
    </row>
    <row r="679" spans="2:4" x14ac:dyDescent="0.3">
      <c r="B679" t="s">
        <v>2535</v>
      </c>
      <c r="C679" s="220" t="s">
        <v>2537</v>
      </c>
      <c r="D679" t="s">
        <v>20</v>
      </c>
    </row>
    <row r="680" spans="2:4" x14ac:dyDescent="0.3">
      <c r="B680" t="s">
        <v>2538</v>
      </c>
      <c r="C680" s="220">
        <v>1</v>
      </c>
      <c r="D680" t="s">
        <v>38</v>
      </c>
    </row>
    <row r="681" spans="2:4" x14ac:dyDescent="0.3">
      <c r="B681" t="s">
        <v>2540</v>
      </c>
      <c r="C681" s="220">
        <v>0</v>
      </c>
      <c r="D681" t="s">
        <v>49</v>
      </c>
    </row>
    <row r="682" spans="2:4" x14ac:dyDescent="0.3">
      <c r="B682" t="s">
        <v>2542</v>
      </c>
      <c r="C682" s="220" t="s">
        <v>2311</v>
      </c>
      <c r="D682" t="s">
        <v>20</v>
      </c>
    </row>
    <row r="683" spans="2:4" x14ac:dyDescent="0.3">
      <c r="B683" t="s">
        <v>2544</v>
      </c>
      <c r="C683" s="220">
        <v>1</v>
      </c>
      <c r="D683" t="s">
        <v>46</v>
      </c>
    </row>
    <row r="684" spans="2:4" x14ac:dyDescent="0.3">
      <c r="B684" t="s">
        <v>2545</v>
      </c>
      <c r="C684" s="220">
        <v>1</v>
      </c>
      <c r="D684" t="s">
        <v>46</v>
      </c>
    </row>
    <row r="685" spans="2:4" x14ac:dyDescent="0.3">
      <c r="B685" t="s">
        <v>2547</v>
      </c>
      <c r="C685" s="220">
        <v>1</v>
      </c>
      <c r="D685" t="s">
        <v>49</v>
      </c>
    </row>
    <row r="686" spans="2:4" x14ac:dyDescent="0.3">
      <c r="B686" t="s">
        <v>2549</v>
      </c>
      <c r="C686" s="220">
        <v>1</v>
      </c>
      <c r="D686" t="s">
        <v>46</v>
      </c>
    </row>
    <row r="687" spans="2:4" x14ac:dyDescent="0.3">
      <c r="B687" t="s">
        <v>2551</v>
      </c>
      <c r="C687" s="220">
        <v>0.02</v>
      </c>
      <c r="D687" t="s">
        <v>26</v>
      </c>
    </row>
    <row r="688" spans="2:4" x14ac:dyDescent="0.3">
      <c r="B688" t="s">
        <v>2553</v>
      </c>
      <c r="C688" s="220">
        <v>1</v>
      </c>
      <c r="D688" t="s">
        <v>49</v>
      </c>
    </row>
    <row r="689" spans="2:4" x14ac:dyDescent="0.3">
      <c r="B689" t="s">
        <v>2555</v>
      </c>
      <c r="C689" s="220">
        <v>1</v>
      </c>
      <c r="D689" t="s">
        <v>49</v>
      </c>
    </row>
    <row r="690" spans="2:4" x14ac:dyDescent="0.3">
      <c r="B690" t="s">
        <v>2557</v>
      </c>
      <c r="C690" s="220">
        <v>0.05</v>
      </c>
      <c r="D690" t="s">
        <v>26</v>
      </c>
    </row>
    <row r="691" spans="2:4" x14ac:dyDescent="0.3">
      <c r="B691" t="s">
        <v>2559</v>
      </c>
      <c r="C691" s="220">
        <v>0.05</v>
      </c>
      <c r="D691" t="s">
        <v>26</v>
      </c>
    </row>
    <row r="692" spans="2:4" x14ac:dyDescent="0.3">
      <c r="B692" t="s">
        <v>2561</v>
      </c>
      <c r="C692" s="220">
        <v>0.05</v>
      </c>
      <c r="D692" t="s">
        <v>26</v>
      </c>
    </row>
    <row r="693" spans="2:4" x14ac:dyDescent="0.3">
      <c r="B693" t="s">
        <v>2562</v>
      </c>
      <c r="C693" s="220">
        <v>1.9E-2</v>
      </c>
      <c r="D693" t="s">
        <v>26</v>
      </c>
    </row>
    <row r="694" spans="2:4" x14ac:dyDescent="0.3">
      <c r="B694" t="s">
        <v>2564</v>
      </c>
      <c r="C694" s="220">
        <v>2.5000000000000001E-2</v>
      </c>
      <c r="D694" t="s">
        <v>26</v>
      </c>
    </row>
    <row r="695" spans="2:4" x14ac:dyDescent="0.3">
      <c r="B695" t="s">
        <v>2566</v>
      </c>
      <c r="C695" s="220">
        <v>0</v>
      </c>
      <c r="D695" t="s">
        <v>26</v>
      </c>
    </row>
    <row r="696" spans="2:4" x14ac:dyDescent="0.3">
      <c r="B696" t="s">
        <v>2568</v>
      </c>
      <c r="C696" s="220">
        <v>0.05</v>
      </c>
      <c r="D696" t="s">
        <v>26</v>
      </c>
    </row>
    <row r="697" spans="2:4" x14ac:dyDescent="0.3">
      <c r="B697" t="s">
        <v>2570</v>
      </c>
      <c r="C697" s="220">
        <v>0.1</v>
      </c>
      <c r="D697" t="s">
        <v>26</v>
      </c>
    </row>
    <row r="698" spans="2:4" x14ac:dyDescent="0.3">
      <c r="B698" t="s">
        <v>2572</v>
      </c>
      <c r="C698" s="220">
        <v>1</v>
      </c>
      <c r="D698" t="s">
        <v>55</v>
      </c>
    </row>
    <row r="699" spans="2:4" x14ac:dyDescent="0.3">
      <c r="B699" t="s">
        <v>2574</v>
      </c>
      <c r="C699" s="220">
        <v>65</v>
      </c>
      <c r="D699" t="s">
        <v>54</v>
      </c>
    </row>
    <row r="700" spans="2:4" x14ac:dyDescent="0.3">
      <c r="B700" t="s">
        <v>2576</v>
      </c>
      <c r="C700" s="220">
        <v>19</v>
      </c>
      <c r="D700" t="s">
        <v>55</v>
      </c>
    </row>
    <row r="701" spans="2:4" x14ac:dyDescent="0.3">
      <c r="B701" t="s">
        <v>2578</v>
      </c>
      <c r="C701" s="220">
        <v>19</v>
      </c>
      <c r="D701" t="s">
        <v>55</v>
      </c>
    </row>
    <row r="702" spans="2:4" x14ac:dyDescent="0.3">
      <c r="B702" t="s">
        <v>2580</v>
      </c>
      <c r="C702" s="220">
        <v>0</v>
      </c>
      <c r="D702" t="s">
        <v>49</v>
      </c>
    </row>
    <row r="703" spans="2:4" x14ac:dyDescent="0.3">
      <c r="B703" t="s">
        <v>2582</v>
      </c>
      <c r="C703" s="220" t="s">
        <v>2311</v>
      </c>
      <c r="D703" t="s">
        <v>20</v>
      </c>
    </row>
    <row r="704" spans="2:4" x14ac:dyDescent="0.3">
      <c r="B704" t="s">
        <v>2584</v>
      </c>
      <c r="C704" s="220">
        <v>1</v>
      </c>
      <c r="D704" t="s">
        <v>46</v>
      </c>
    </row>
    <row r="705" spans="2:4" x14ac:dyDescent="0.3">
      <c r="B705" t="s">
        <v>2585</v>
      </c>
      <c r="C705" s="220">
        <v>1</v>
      </c>
      <c r="D705" t="s">
        <v>49</v>
      </c>
    </row>
    <row r="706" spans="2:4" x14ac:dyDescent="0.3">
      <c r="B706" t="s">
        <v>2586</v>
      </c>
      <c r="C706" s="220">
        <v>1</v>
      </c>
      <c r="D706" t="s">
        <v>49</v>
      </c>
    </row>
    <row r="707" spans="2:4" x14ac:dyDescent="0.3">
      <c r="B707" t="s">
        <v>2587</v>
      </c>
      <c r="C707" s="220">
        <v>0.05</v>
      </c>
      <c r="D707" t="s">
        <v>26</v>
      </c>
    </row>
    <row r="708" spans="2:4" x14ac:dyDescent="0.3">
      <c r="B708" t="s">
        <v>2588</v>
      </c>
      <c r="C708" s="220">
        <v>0.05</v>
      </c>
      <c r="D708" t="s">
        <v>26</v>
      </c>
    </row>
    <row r="709" spans="2:4" x14ac:dyDescent="0.3">
      <c r="B709" t="s">
        <v>2589</v>
      </c>
      <c r="C709" s="220">
        <v>0.05</v>
      </c>
      <c r="D709" t="s">
        <v>26</v>
      </c>
    </row>
    <row r="710" spans="2:4" x14ac:dyDescent="0.3">
      <c r="B710" t="s">
        <v>2590</v>
      </c>
      <c r="C710" s="220">
        <v>1.9E-2</v>
      </c>
      <c r="D710" t="s">
        <v>26</v>
      </c>
    </row>
    <row r="711" spans="2:4" x14ac:dyDescent="0.3">
      <c r="B711" t="s">
        <v>2591</v>
      </c>
      <c r="C711" s="220">
        <v>2.5000000000000001E-2</v>
      </c>
      <c r="D711" t="s">
        <v>26</v>
      </c>
    </row>
    <row r="712" spans="2:4" x14ac:dyDescent="0.3">
      <c r="B712" t="s">
        <v>2592</v>
      </c>
      <c r="C712" s="220">
        <v>0</v>
      </c>
      <c r="D712" t="s">
        <v>26</v>
      </c>
    </row>
    <row r="713" spans="2:4" x14ac:dyDescent="0.3">
      <c r="B713" t="s">
        <v>2593</v>
      </c>
      <c r="C713" s="220">
        <v>0.03</v>
      </c>
      <c r="D713" t="s">
        <v>26</v>
      </c>
    </row>
    <row r="714" spans="2:4" x14ac:dyDescent="0.3">
      <c r="B714" t="s">
        <v>2594</v>
      </c>
      <c r="C714" s="220">
        <v>0.1</v>
      </c>
      <c r="D714" t="s">
        <v>26</v>
      </c>
    </row>
    <row r="715" spans="2:4" x14ac:dyDescent="0.3">
      <c r="B715" t="s">
        <v>2595</v>
      </c>
      <c r="C715" s="220">
        <v>65</v>
      </c>
      <c r="D715" t="s">
        <v>54</v>
      </c>
    </row>
    <row r="716" spans="2:4" x14ac:dyDescent="0.3">
      <c r="B716" t="s">
        <v>2597</v>
      </c>
      <c r="C716" s="220">
        <v>19</v>
      </c>
      <c r="D716" t="s">
        <v>55</v>
      </c>
    </row>
    <row r="717" spans="2:4" x14ac:dyDescent="0.3">
      <c r="B717" t="s">
        <v>2599</v>
      </c>
      <c r="C717" s="220">
        <v>19</v>
      </c>
      <c r="D717" t="s">
        <v>55</v>
      </c>
    </row>
    <row r="718" spans="2:4" x14ac:dyDescent="0.3">
      <c r="B718" t="s">
        <v>2601</v>
      </c>
      <c r="C718" s="220">
        <v>19</v>
      </c>
      <c r="D718" t="s">
        <v>55</v>
      </c>
    </row>
    <row r="719" spans="2:4" x14ac:dyDescent="0.3">
      <c r="B719" t="s">
        <v>2603</v>
      </c>
      <c r="D719" t="s">
        <v>59</v>
      </c>
    </row>
    <row r="720" spans="2:4" x14ac:dyDescent="0.3">
      <c r="B720" t="s">
        <v>3488</v>
      </c>
      <c r="C720" s="220">
        <v>1</v>
      </c>
      <c r="D720" t="s">
        <v>46</v>
      </c>
    </row>
    <row r="721" spans="2:4" x14ac:dyDescent="0.3">
      <c r="B721" t="s">
        <v>3491</v>
      </c>
      <c r="C721" s="220">
        <v>1</v>
      </c>
      <c r="D721" t="s">
        <v>46</v>
      </c>
    </row>
    <row r="722" spans="2:4" x14ac:dyDescent="0.3">
      <c r="B722" t="s">
        <v>3492</v>
      </c>
      <c r="C722" s="220">
        <v>1</v>
      </c>
      <c r="D722" t="s">
        <v>46</v>
      </c>
    </row>
    <row r="723" spans="2:4" x14ac:dyDescent="0.3">
      <c r="B723" t="s">
        <v>2605</v>
      </c>
      <c r="C723" s="220">
        <v>2</v>
      </c>
      <c r="D723" t="s">
        <v>46</v>
      </c>
    </row>
    <row r="724" spans="2:4" x14ac:dyDescent="0.3">
      <c r="B724" t="s">
        <v>2607</v>
      </c>
      <c r="C724" s="220">
        <v>90</v>
      </c>
      <c r="D724" t="s">
        <v>33</v>
      </c>
    </row>
    <row r="725" spans="2:4" x14ac:dyDescent="0.3">
      <c r="B725" t="s">
        <v>2609</v>
      </c>
      <c r="C725" s="220">
        <v>90</v>
      </c>
      <c r="D725" t="s">
        <v>33</v>
      </c>
    </row>
    <row r="726" spans="2:4" x14ac:dyDescent="0.3">
      <c r="B726" t="s">
        <v>2611</v>
      </c>
      <c r="C726" s="220">
        <v>0</v>
      </c>
      <c r="D726" t="s">
        <v>33</v>
      </c>
    </row>
    <row r="727" spans="2:4" x14ac:dyDescent="0.3">
      <c r="B727" t="s">
        <v>2613</v>
      </c>
      <c r="C727" s="220">
        <v>0</v>
      </c>
      <c r="D727" t="s">
        <v>33</v>
      </c>
    </row>
    <row r="728" spans="2:4" x14ac:dyDescent="0.3">
      <c r="B728" t="s">
        <v>3504</v>
      </c>
      <c r="C728" s="220" t="s">
        <v>35</v>
      </c>
      <c r="D728" t="s">
        <v>33</v>
      </c>
    </row>
    <row r="729" spans="2:4" x14ac:dyDescent="0.3">
      <c r="B729" t="s">
        <v>2615</v>
      </c>
      <c r="C729" s="220">
        <v>1</v>
      </c>
      <c r="D729" t="s">
        <v>49</v>
      </c>
    </row>
    <row r="730" spans="2:4" x14ac:dyDescent="0.3">
      <c r="B730" t="s">
        <v>2617</v>
      </c>
      <c r="C730" s="220">
        <v>0</v>
      </c>
      <c r="D730" t="s">
        <v>49</v>
      </c>
    </row>
    <row r="731" spans="2:4" x14ac:dyDescent="0.3">
      <c r="B731" t="s">
        <v>2619</v>
      </c>
      <c r="C731" s="220">
        <v>1</v>
      </c>
      <c r="D731" t="s">
        <v>49</v>
      </c>
    </row>
    <row r="732" spans="2:4" x14ac:dyDescent="0.3">
      <c r="B732" t="s">
        <v>2621</v>
      </c>
      <c r="C732" s="220">
        <v>1</v>
      </c>
      <c r="D732" t="s">
        <v>53</v>
      </c>
    </row>
    <row r="733" spans="2:4" x14ac:dyDescent="0.3">
      <c r="B733" t="s">
        <v>2623</v>
      </c>
      <c r="C733" s="220">
        <v>4</v>
      </c>
      <c r="D733" t="s">
        <v>53</v>
      </c>
    </row>
    <row r="734" spans="2:4" x14ac:dyDescent="0.3">
      <c r="B734" t="s">
        <v>2625</v>
      </c>
      <c r="C734" s="220" t="s">
        <v>2627</v>
      </c>
      <c r="D734" t="s">
        <v>20</v>
      </c>
    </row>
    <row r="735" spans="2:4" x14ac:dyDescent="0.3">
      <c r="B735" t="s">
        <v>2628</v>
      </c>
      <c r="C735" s="220">
        <v>1</v>
      </c>
      <c r="D735" t="s">
        <v>46</v>
      </c>
    </row>
    <row r="736" spans="2:4" x14ac:dyDescent="0.3">
      <c r="B736" t="s">
        <v>2629</v>
      </c>
      <c r="C736" s="220" t="s">
        <v>2630</v>
      </c>
      <c r="D736" t="s">
        <v>20</v>
      </c>
    </row>
    <row r="737" spans="2:4" x14ac:dyDescent="0.3">
      <c r="B737" t="s">
        <v>2631</v>
      </c>
      <c r="C737" s="220">
        <v>0</v>
      </c>
      <c r="D737" t="s">
        <v>46</v>
      </c>
    </row>
    <row r="738" spans="2:4" x14ac:dyDescent="0.3">
      <c r="B738" t="s">
        <v>3495</v>
      </c>
      <c r="C738" s="220">
        <v>1</v>
      </c>
      <c r="D738" t="s">
        <v>46</v>
      </c>
    </row>
    <row r="739" spans="2:4" x14ac:dyDescent="0.3">
      <c r="B739" t="s">
        <v>3497</v>
      </c>
      <c r="C739" s="220">
        <v>1</v>
      </c>
      <c r="D739" t="s">
        <v>46</v>
      </c>
    </row>
    <row r="740" spans="2:4" x14ac:dyDescent="0.3">
      <c r="B740" t="s">
        <v>3499</v>
      </c>
      <c r="C740" s="220">
        <v>2</v>
      </c>
      <c r="D740" t="s">
        <v>46</v>
      </c>
    </row>
    <row r="741" spans="2:4" x14ac:dyDescent="0.3">
      <c r="B741" t="s">
        <v>2632</v>
      </c>
      <c r="C741" s="220">
        <v>1</v>
      </c>
      <c r="D741" t="s">
        <v>55</v>
      </c>
    </row>
    <row r="742" spans="2:4" x14ac:dyDescent="0.3">
      <c r="B742" t="s">
        <v>2634</v>
      </c>
      <c r="C742" s="220">
        <v>1</v>
      </c>
      <c r="D742" t="s">
        <v>46</v>
      </c>
    </row>
    <row r="743" spans="2:4" x14ac:dyDescent="0.3">
      <c r="B743" t="s">
        <v>2635</v>
      </c>
      <c r="C743" s="220">
        <v>1</v>
      </c>
      <c r="D743" t="s">
        <v>49</v>
      </c>
    </row>
    <row r="744" spans="2:4" x14ac:dyDescent="0.3">
      <c r="B744" t="s">
        <v>2637</v>
      </c>
      <c r="C744" s="220">
        <v>1</v>
      </c>
      <c r="D744" t="s">
        <v>49</v>
      </c>
    </row>
    <row r="745" spans="2:4" x14ac:dyDescent="0.3">
      <c r="B745" t="s">
        <v>2639</v>
      </c>
      <c r="C745" s="220" t="s">
        <v>2641</v>
      </c>
      <c r="D745" t="s">
        <v>20</v>
      </c>
    </row>
    <row r="746" spans="2:4" x14ac:dyDescent="0.3">
      <c r="B746" t="s">
        <v>2642</v>
      </c>
      <c r="C746" s="220">
        <v>0</v>
      </c>
      <c r="D746" t="s">
        <v>46</v>
      </c>
    </row>
    <row r="747" spans="2:4" x14ac:dyDescent="0.3">
      <c r="B747" t="s">
        <v>2643</v>
      </c>
      <c r="C747" s="220" t="s">
        <v>2645</v>
      </c>
      <c r="D747" t="s">
        <v>20</v>
      </c>
    </row>
    <row r="748" spans="2:4" x14ac:dyDescent="0.3">
      <c r="B748" t="s">
        <v>2646</v>
      </c>
      <c r="C748" s="220">
        <v>1</v>
      </c>
      <c r="D748" t="s">
        <v>46</v>
      </c>
    </row>
    <row r="749" spans="2:4" x14ac:dyDescent="0.3">
      <c r="B749" t="s">
        <v>2647</v>
      </c>
      <c r="C749" s="220" t="s">
        <v>2645</v>
      </c>
      <c r="D749" t="s">
        <v>20</v>
      </c>
    </row>
    <row r="750" spans="2:4" x14ac:dyDescent="0.3">
      <c r="B750" t="s">
        <v>2649</v>
      </c>
      <c r="C750" s="220">
        <v>1</v>
      </c>
      <c r="D750" t="s">
        <v>46</v>
      </c>
    </row>
    <row r="751" spans="2:4" x14ac:dyDescent="0.3">
      <c r="B751" t="s">
        <v>2651</v>
      </c>
      <c r="C751" s="220" t="s">
        <v>1157</v>
      </c>
      <c r="D751" t="s">
        <v>20</v>
      </c>
    </row>
    <row r="752" spans="2:4" x14ac:dyDescent="0.3">
      <c r="B752" t="s">
        <v>2653</v>
      </c>
      <c r="C752" s="220">
        <v>1</v>
      </c>
      <c r="D752" t="s">
        <v>46</v>
      </c>
    </row>
    <row r="753" spans="2:4" x14ac:dyDescent="0.3">
      <c r="B753" t="s">
        <v>2654</v>
      </c>
      <c r="D753" t="s">
        <v>59</v>
      </c>
    </row>
    <row r="754" spans="2:4" x14ac:dyDescent="0.3">
      <c r="B754" t="s">
        <v>2656</v>
      </c>
      <c r="C754" s="220">
        <v>1</v>
      </c>
      <c r="D754" t="s">
        <v>46</v>
      </c>
    </row>
    <row r="755" spans="2:4" x14ac:dyDescent="0.3">
      <c r="B755" t="s">
        <v>2658</v>
      </c>
      <c r="C755" s="220">
        <v>2</v>
      </c>
      <c r="D755" t="s">
        <v>46</v>
      </c>
    </row>
    <row r="756" spans="2:4" x14ac:dyDescent="0.3">
      <c r="B756" t="s">
        <v>2660</v>
      </c>
      <c r="C756" s="220">
        <v>1</v>
      </c>
      <c r="D756" t="s">
        <v>46</v>
      </c>
    </row>
    <row r="757" spans="2:4" x14ac:dyDescent="0.3">
      <c r="B757" t="s">
        <v>2662</v>
      </c>
      <c r="C757" s="220">
        <v>1</v>
      </c>
      <c r="D757" t="s">
        <v>46</v>
      </c>
    </row>
    <row r="758" spans="2:4" x14ac:dyDescent="0.3">
      <c r="B758" t="s">
        <v>2664</v>
      </c>
      <c r="C758" s="220">
        <v>0</v>
      </c>
      <c r="D758" t="s">
        <v>49</v>
      </c>
    </row>
    <row r="759" spans="2:4" x14ac:dyDescent="0.3">
      <c r="B759" t="s">
        <v>2666</v>
      </c>
      <c r="C759" s="220">
        <v>65</v>
      </c>
      <c r="D759" t="s">
        <v>54</v>
      </c>
    </row>
    <row r="760" spans="2:4" x14ac:dyDescent="0.3">
      <c r="B760" t="s">
        <v>2667</v>
      </c>
      <c r="C760" s="220">
        <v>1</v>
      </c>
      <c r="D760" t="s">
        <v>55</v>
      </c>
    </row>
    <row r="761" spans="2:4" x14ac:dyDescent="0.3">
      <c r="B761" t="s">
        <v>2668</v>
      </c>
      <c r="C761" s="220">
        <v>91</v>
      </c>
      <c r="D761" t="s">
        <v>55</v>
      </c>
    </row>
    <row r="762" spans="2:4" x14ac:dyDescent="0.3">
      <c r="B762" t="s">
        <v>2669</v>
      </c>
      <c r="C762" s="220">
        <v>0</v>
      </c>
      <c r="D762" t="s">
        <v>49</v>
      </c>
    </row>
    <row r="763" spans="2:4" x14ac:dyDescent="0.3">
      <c r="B763" t="s">
        <v>2671</v>
      </c>
      <c r="C763" s="220" t="s">
        <v>2673</v>
      </c>
      <c r="D763" t="s">
        <v>20</v>
      </c>
    </row>
    <row r="764" spans="2:4" x14ac:dyDescent="0.3">
      <c r="B764" t="s">
        <v>2674</v>
      </c>
      <c r="C764" s="220">
        <v>3</v>
      </c>
      <c r="D764" t="s">
        <v>46</v>
      </c>
    </row>
    <row r="765" spans="2:4" x14ac:dyDescent="0.3">
      <c r="B765" t="s">
        <v>2675</v>
      </c>
      <c r="C765" s="220">
        <v>1</v>
      </c>
      <c r="D765" t="s">
        <v>46</v>
      </c>
    </row>
    <row r="766" spans="2:4" x14ac:dyDescent="0.3">
      <c r="B766" t="s">
        <v>2677</v>
      </c>
      <c r="C766" s="220" t="s">
        <v>2676</v>
      </c>
      <c r="D766" t="s">
        <v>20</v>
      </c>
    </row>
    <row r="767" spans="2:4" x14ac:dyDescent="0.3">
      <c r="B767" t="s">
        <v>2679</v>
      </c>
      <c r="C767" s="220">
        <v>0</v>
      </c>
      <c r="D767" t="s">
        <v>26</v>
      </c>
    </row>
    <row r="768" spans="2:4" x14ac:dyDescent="0.3">
      <c r="B768" t="s">
        <v>2681</v>
      </c>
      <c r="C768" s="220">
        <v>1</v>
      </c>
      <c r="D768" t="s">
        <v>46</v>
      </c>
    </row>
    <row r="769" spans="2:4" x14ac:dyDescent="0.3">
      <c r="B769" t="s">
        <v>2683</v>
      </c>
      <c r="C769" s="220" t="s">
        <v>2682</v>
      </c>
      <c r="D769" t="s">
        <v>20</v>
      </c>
    </row>
    <row r="770" spans="2:4" x14ac:dyDescent="0.3">
      <c r="B770" t="s">
        <v>2685</v>
      </c>
      <c r="C770" s="220">
        <v>0</v>
      </c>
      <c r="D770" t="s">
        <v>26</v>
      </c>
    </row>
    <row r="771" spans="2:4" x14ac:dyDescent="0.3">
      <c r="B771" t="s">
        <v>2687</v>
      </c>
      <c r="C771" s="220">
        <v>1</v>
      </c>
      <c r="D771" t="s">
        <v>46</v>
      </c>
    </row>
    <row r="772" spans="2:4" x14ac:dyDescent="0.3">
      <c r="B772" t="s">
        <v>2689</v>
      </c>
      <c r="C772" s="220" t="s">
        <v>2688</v>
      </c>
      <c r="D772" t="s">
        <v>20</v>
      </c>
    </row>
    <row r="773" spans="2:4" x14ac:dyDescent="0.3">
      <c r="B773" t="s">
        <v>2691</v>
      </c>
      <c r="C773" s="220">
        <v>0</v>
      </c>
      <c r="D773" t="s">
        <v>26</v>
      </c>
    </row>
    <row r="774" spans="2:4" x14ac:dyDescent="0.3">
      <c r="B774" t="s">
        <v>2692</v>
      </c>
      <c r="C774" s="220">
        <v>1</v>
      </c>
      <c r="D774" t="s">
        <v>46</v>
      </c>
    </row>
    <row r="775" spans="2:4" x14ac:dyDescent="0.3">
      <c r="B775" t="s">
        <v>2693</v>
      </c>
      <c r="C775" s="220" t="s">
        <v>486</v>
      </c>
      <c r="D775" t="s">
        <v>20</v>
      </c>
    </row>
    <row r="776" spans="2:4" x14ac:dyDescent="0.3">
      <c r="B776" t="s">
        <v>2695</v>
      </c>
      <c r="C776" s="220">
        <v>0</v>
      </c>
      <c r="D776" t="s">
        <v>26</v>
      </c>
    </row>
    <row r="777" spans="2:4" x14ac:dyDescent="0.3">
      <c r="B777" t="s">
        <v>2697</v>
      </c>
      <c r="C777" s="220" t="s">
        <v>2699</v>
      </c>
      <c r="D777" t="s">
        <v>20</v>
      </c>
    </row>
    <row r="778" spans="2:4" x14ac:dyDescent="0.3">
      <c r="B778" t="s">
        <v>2700</v>
      </c>
      <c r="C778" s="220">
        <v>2</v>
      </c>
      <c r="D778" t="s">
        <v>46</v>
      </c>
    </row>
    <row r="779" spans="2:4" x14ac:dyDescent="0.3">
      <c r="B779" t="s">
        <v>2702</v>
      </c>
      <c r="C779" s="220" t="s">
        <v>2537</v>
      </c>
      <c r="D779" t="s">
        <v>20</v>
      </c>
    </row>
    <row r="780" spans="2:4" x14ac:dyDescent="0.3">
      <c r="B780" t="s">
        <v>2704</v>
      </c>
      <c r="C780" s="220">
        <v>7.4999999999999997E-2</v>
      </c>
      <c r="D780" t="s">
        <v>26</v>
      </c>
    </row>
    <row r="781" spans="2:4" x14ac:dyDescent="0.3">
      <c r="B781" t="s">
        <v>2706</v>
      </c>
      <c r="C781" s="220">
        <v>1.5</v>
      </c>
      <c r="D781" t="s">
        <v>38</v>
      </c>
    </row>
    <row r="782" spans="2:4" x14ac:dyDescent="0.3">
      <c r="B782" t="s">
        <v>2708</v>
      </c>
      <c r="C782" s="220">
        <v>1</v>
      </c>
      <c r="D782" t="s">
        <v>55</v>
      </c>
    </row>
    <row r="783" spans="2:4" x14ac:dyDescent="0.3">
      <c r="B783" t="s">
        <v>2710</v>
      </c>
      <c r="C783" s="220">
        <v>0</v>
      </c>
      <c r="D783" t="s">
        <v>26</v>
      </c>
    </row>
    <row r="784" spans="2:4" x14ac:dyDescent="0.3">
      <c r="B784" t="s">
        <v>2712</v>
      </c>
      <c r="C784" s="220">
        <v>0</v>
      </c>
      <c r="D784" t="s">
        <v>38</v>
      </c>
    </row>
    <row r="785" spans="2:4" x14ac:dyDescent="0.3">
      <c r="B785" t="s">
        <v>2714</v>
      </c>
      <c r="C785" s="220">
        <v>0</v>
      </c>
      <c r="D785" t="s">
        <v>38</v>
      </c>
    </row>
    <row r="786" spans="2:4" x14ac:dyDescent="0.3">
      <c r="B786" t="s">
        <v>2716</v>
      </c>
      <c r="C786" s="220">
        <v>0.4</v>
      </c>
      <c r="D786" t="s">
        <v>26</v>
      </c>
    </row>
    <row r="787" spans="2:4" x14ac:dyDescent="0.3">
      <c r="B787" t="s">
        <v>2718</v>
      </c>
      <c r="C787" s="220">
        <v>0</v>
      </c>
      <c r="D787" t="s">
        <v>38</v>
      </c>
    </row>
    <row r="788" spans="2:4" x14ac:dyDescent="0.3">
      <c r="B788" t="s">
        <v>2720</v>
      </c>
      <c r="C788" s="220">
        <v>2</v>
      </c>
      <c r="D788" t="s">
        <v>38</v>
      </c>
    </row>
    <row r="789" spans="2:4" x14ac:dyDescent="0.3">
      <c r="B789" t="s">
        <v>2722</v>
      </c>
      <c r="C789" s="220">
        <v>0</v>
      </c>
      <c r="D789" t="s">
        <v>49</v>
      </c>
    </row>
    <row r="790" spans="2:4" x14ac:dyDescent="0.3">
      <c r="B790" t="s">
        <v>2724</v>
      </c>
      <c r="C790" s="220">
        <v>0.05</v>
      </c>
      <c r="D790" t="s">
        <v>26</v>
      </c>
    </row>
    <row r="791" spans="2:4" x14ac:dyDescent="0.3">
      <c r="B791" t="s">
        <v>2726</v>
      </c>
      <c r="C791" s="220">
        <v>1</v>
      </c>
      <c r="D791" t="s">
        <v>38</v>
      </c>
    </row>
    <row r="792" spans="2:4" x14ac:dyDescent="0.3">
      <c r="B792" t="s">
        <v>2728</v>
      </c>
      <c r="C792" s="220">
        <v>0</v>
      </c>
      <c r="D792" t="s">
        <v>26</v>
      </c>
    </row>
    <row r="793" spans="2:4" x14ac:dyDescent="0.3">
      <c r="B793" t="s">
        <v>2730</v>
      </c>
      <c r="C793" s="220">
        <v>0</v>
      </c>
      <c r="D793" t="s">
        <v>33</v>
      </c>
    </row>
    <row r="794" spans="2:4" x14ac:dyDescent="0.3">
      <c r="B794" t="s">
        <v>2732</v>
      </c>
      <c r="C794" s="220">
        <v>0</v>
      </c>
      <c r="D794" t="s">
        <v>49</v>
      </c>
    </row>
    <row r="795" spans="2:4" x14ac:dyDescent="0.3">
      <c r="B795" t="s">
        <v>2734</v>
      </c>
      <c r="C795" s="220">
        <v>1</v>
      </c>
      <c r="D795" t="s">
        <v>46</v>
      </c>
    </row>
    <row r="796" spans="2:4" x14ac:dyDescent="0.3">
      <c r="B796" t="s">
        <v>2736</v>
      </c>
      <c r="C796" s="220">
        <v>1</v>
      </c>
      <c r="D796" t="s">
        <v>49</v>
      </c>
    </row>
    <row r="797" spans="2:4" x14ac:dyDescent="0.3">
      <c r="B797" t="s">
        <v>2738</v>
      </c>
      <c r="C797" s="220" t="s">
        <v>2740</v>
      </c>
      <c r="D797" t="s">
        <v>20</v>
      </c>
    </row>
    <row r="798" spans="2:4" x14ac:dyDescent="0.3">
      <c r="B798" t="s">
        <v>2741</v>
      </c>
      <c r="C798" s="220">
        <v>1</v>
      </c>
      <c r="D798" t="s">
        <v>49</v>
      </c>
    </row>
    <row r="799" spans="2:4" x14ac:dyDescent="0.3">
      <c r="B799" t="s">
        <v>2743</v>
      </c>
      <c r="C799" s="220">
        <v>1</v>
      </c>
      <c r="D799" t="s">
        <v>49</v>
      </c>
    </row>
    <row r="800" spans="2:4" x14ac:dyDescent="0.3">
      <c r="B800" t="s">
        <v>2745</v>
      </c>
      <c r="C800" s="220">
        <v>0</v>
      </c>
      <c r="D800" t="s">
        <v>26</v>
      </c>
    </row>
    <row r="801" spans="2:4" x14ac:dyDescent="0.3">
      <c r="B801" t="s">
        <v>2747</v>
      </c>
      <c r="C801" s="220">
        <v>0.4</v>
      </c>
      <c r="D801" t="s">
        <v>26</v>
      </c>
    </row>
    <row r="802" spans="2:4" x14ac:dyDescent="0.3">
      <c r="B802" t="s">
        <v>2749</v>
      </c>
      <c r="C802" s="220">
        <v>0</v>
      </c>
      <c r="D802" t="s">
        <v>38</v>
      </c>
    </row>
    <row r="803" spans="2:4" x14ac:dyDescent="0.3">
      <c r="B803" t="s">
        <v>2751</v>
      </c>
      <c r="C803" s="220">
        <v>8</v>
      </c>
      <c r="D803" t="s">
        <v>38</v>
      </c>
    </row>
    <row r="804" spans="2:4" x14ac:dyDescent="0.3">
      <c r="B804" t="s">
        <v>2753</v>
      </c>
      <c r="C804" s="220" t="s">
        <v>2699</v>
      </c>
      <c r="D804" t="s">
        <v>20</v>
      </c>
    </row>
    <row r="805" spans="2:4" x14ac:dyDescent="0.3">
      <c r="B805" t="s">
        <v>2754</v>
      </c>
      <c r="C805" s="220">
        <v>2</v>
      </c>
      <c r="D805" t="s">
        <v>46</v>
      </c>
    </row>
    <row r="806" spans="2:4" x14ac:dyDescent="0.3">
      <c r="B806" t="s">
        <v>2755</v>
      </c>
      <c r="C806" s="220">
        <v>2</v>
      </c>
      <c r="D806" t="s">
        <v>38</v>
      </c>
    </row>
    <row r="807" spans="2:4" x14ac:dyDescent="0.3">
      <c r="B807" t="s">
        <v>2756</v>
      </c>
      <c r="C807" s="220">
        <v>0.1</v>
      </c>
      <c r="D807" t="s">
        <v>26</v>
      </c>
    </row>
    <row r="808" spans="2:4" x14ac:dyDescent="0.3">
      <c r="B808" t="s">
        <v>2757</v>
      </c>
      <c r="C808" s="220" t="s">
        <v>2537</v>
      </c>
      <c r="D808" t="s">
        <v>20</v>
      </c>
    </row>
    <row r="809" spans="2:4" x14ac:dyDescent="0.3">
      <c r="B809" t="s">
        <v>2758</v>
      </c>
      <c r="C809" s="220">
        <v>1</v>
      </c>
      <c r="D809" t="s">
        <v>55</v>
      </c>
    </row>
    <row r="810" spans="2:4" x14ac:dyDescent="0.3">
      <c r="B810" t="s">
        <v>2760</v>
      </c>
      <c r="C810" s="220">
        <v>1</v>
      </c>
      <c r="D810" t="s">
        <v>49</v>
      </c>
    </row>
    <row r="811" spans="2:4" x14ac:dyDescent="0.3">
      <c r="B811" t="s">
        <v>2762</v>
      </c>
      <c r="C811" s="220">
        <v>21</v>
      </c>
      <c r="D811" t="s">
        <v>53</v>
      </c>
    </row>
    <row r="812" spans="2:4" x14ac:dyDescent="0.3">
      <c r="B812" t="s">
        <v>2764</v>
      </c>
      <c r="C812" s="220">
        <v>6</v>
      </c>
      <c r="D812" t="s">
        <v>55</v>
      </c>
    </row>
    <row r="813" spans="2:4" x14ac:dyDescent="0.3">
      <c r="B813" t="s">
        <v>2766</v>
      </c>
      <c r="D813" t="s">
        <v>59</v>
      </c>
    </row>
    <row r="814" spans="2:4" x14ac:dyDescent="0.3">
      <c r="B814" t="s">
        <v>2768</v>
      </c>
      <c r="C814" s="220">
        <v>0.1</v>
      </c>
      <c r="D814" t="s">
        <v>26</v>
      </c>
    </row>
    <row r="815" spans="2:4" x14ac:dyDescent="0.3">
      <c r="B815" t="s">
        <v>2769</v>
      </c>
      <c r="C815" s="220">
        <v>0.1</v>
      </c>
      <c r="D815" t="s">
        <v>26</v>
      </c>
    </row>
    <row r="816" spans="2:4" x14ac:dyDescent="0.3">
      <c r="B816" t="s">
        <v>2770</v>
      </c>
      <c r="C816" s="220">
        <v>1.8</v>
      </c>
      <c r="D816" t="s">
        <v>26</v>
      </c>
    </row>
    <row r="817" spans="2:4" x14ac:dyDescent="0.3">
      <c r="B817" t="s">
        <v>2772</v>
      </c>
      <c r="C817" s="220">
        <v>0.1</v>
      </c>
      <c r="D817" t="s">
        <v>26</v>
      </c>
    </row>
    <row r="818" spans="2:4" x14ac:dyDescent="0.3">
      <c r="B818" t="s">
        <v>2773</v>
      </c>
      <c r="C818" s="220">
        <v>0.1</v>
      </c>
      <c r="D818" t="s">
        <v>26</v>
      </c>
    </row>
    <row r="819" spans="2:4" x14ac:dyDescent="0.3">
      <c r="B819" t="s">
        <v>2774</v>
      </c>
      <c r="C819" s="220">
        <v>1.2</v>
      </c>
      <c r="D819" t="s">
        <v>26</v>
      </c>
    </row>
    <row r="820" spans="2:4" x14ac:dyDescent="0.3">
      <c r="B820" t="s">
        <v>3616</v>
      </c>
      <c r="C820" s="220">
        <v>0</v>
      </c>
      <c r="D820" t="s">
        <v>26</v>
      </c>
    </row>
    <row r="821" spans="2:4" x14ac:dyDescent="0.3">
      <c r="B821" t="s">
        <v>3617</v>
      </c>
      <c r="C821" s="220">
        <v>0</v>
      </c>
      <c r="D821" t="s">
        <v>26</v>
      </c>
    </row>
    <row r="822" spans="2:4" x14ac:dyDescent="0.3">
      <c r="B822" t="s">
        <v>2776</v>
      </c>
      <c r="C822" s="220">
        <v>0</v>
      </c>
      <c r="D822" t="s">
        <v>46</v>
      </c>
    </row>
    <row r="823" spans="2:4" x14ac:dyDescent="0.3">
      <c r="B823" t="s">
        <v>2779</v>
      </c>
      <c r="D823" t="s">
        <v>59</v>
      </c>
    </row>
    <row r="824" spans="2:4" x14ac:dyDescent="0.3">
      <c r="B824" t="s">
        <v>215</v>
      </c>
      <c r="C824" s="220" t="s">
        <v>35</v>
      </c>
      <c r="D824" t="s">
        <v>52</v>
      </c>
    </row>
    <row r="825" spans="2:4" x14ac:dyDescent="0.3">
      <c r="B825" t="s">
        <v>1461</v>
      </c>
      <c r="C825" s="220">
        <v>133</v>
      </c>
      <c r="D825" t="s">
        <v>52</v>
      </c>
    </row>
    <row r="826" spans="2:4" x14ac:dyDescent="0.3">
      <c r="B826" t="s">
        <v>1463</v>
      </c>
      <c r="C826" s="220">
        <v>24</v>
      </c>
      <c r="D826" t="s">
        <v>52</v>
      </c>
    </row>
    <row r="827" spans="2:4" x14ac:dyDescent="0.3">
      <c r="B827" t="s">
        <v>1465</v>
      </c>
      <c r="C827" s="220">
        <v>40</v>
      </c>
      <c r="D827" t="s">
        <v>52</v>
      </c>
    </row>
    <row r="828" spans="2:4" x14ac:dyDescent="0.3">
      <c r="B828" t="s">
        <v>1467</v>
      </c>
      <c r="C828" s="220">
        <v>133</v>
      </c>
      <c r="D828" t="s">
        <v>52</v>
      </c>
    </row>
    <row r="829" spans="2:4" x14ac:dyDescent="0.3">
      <c r="B829" t="s">
        <v>1469</v>
      </c>
      <c r="C829" s="220">
        <v>1</v>
      </c>
      <c r="D829" t="s">
        <v>49</v>
      </c>
    </row>
    <row r="830" spans="2:4" x14ac:dyDescent="0.3">
      <c r="B830" t="s">
        <v>1471</v>
      </c>
      <c r="C830" s="220" t="s">
        <v>35</v>
      </c>
      <c r="D830" t="s">
        <v>46</v>
      </c>
    </row>
    <row r="831" spans="2:4" x14ac:dyDescent="0.3">
      <c r="B831" t="s">
        <v>1472</v>
      </c>
      <c r="C831" s="220">
        <v>133</v>
      </c>
      <c r="D831" t="s">
        <v>52</v>
      </c>
    </row>
    <row r="832" spans="2:4" x14ac:dyDescent="0.3">
      <c r="B832" t="s">
        <v>1474</v>
      </c>
      <c r="C832" s="220">
        <v>133</v>
      </c>
      <c r="D832" t="s">
        <v>52</v>
      </c>
    </row>
    <row r="833" spans="2:4" x14ac:dyDescent="0.3">
      <c r="B833" t="s">
        <v>1476</v>
      </c>
      <c r="D833" t="s">
        <v>59</v>
      </c>
    </row>
    <row r="834" spans="2:4" x14ac:dyDescent="0.3">
      <c r="B834" t="s">
        <v>1478</v>
      </c>
      <c r="C834" s="220" t="s">
        <v>1480</v>
      </c>
      <c r="D834" t="s">
        <v>20</v>
      </c>
    </row>
    <row r="835" spans="2:4" x14ac:dyDescent="0.3">
      <c r="B835" t="s">
        <v>1481</v>
      </c>
      <c r="C835" s="220">
        <v>1</v>
      </c>
      <c r="D835" t="s">
        <v>46</v>
      </c>
    </row>
    <row r="836" spans="2:4" x14ac:dyDescent="0.3">
      <c r="B836" t="s">
        <v>1482</v>
      </c>
      <c r="C836" s="220" t="s">
        <v>1484</v>
      </c>
      <c r="D836" t="s">
        <v>20</v>
      </c>
    </row>
    <row r="837" spans="2:4" x14ac:dyDescent="0.3">
      <c r="B837" t="s">
        <v>1485</v>
      </c>
      <c r="C837" s="220">
        <v>4</v>
      </c>
      <c r="D837" t="s">
        <v>46</v>
      </c>
    </row>
    <row r="838" spans="2:4" x14ac:dyDescent="0.3">
      <c r="B838" t="s">
        <v>1486</v>
      </c>
      <c r="C838" s="220">
        <v>0</v>
      </c>
      <c r="D838" t="s">
        <v>49</v>
      </c>
    </row>
    <row r="839" spans="2:4" x14ac:dyDescent="0.3">
      <c r="B839" t="s">
        <v>1488</v>
      </c>
      <c r="C839" s="220">
        <v>1</v>
      </c>
      <c r="D839" t="s">
        <v>49</v>
      </c>
    </row>
    <row r="840" spans="2:4" x14ac:dyDescent="0.3">
      <c r="B840" t="s">
        <v>1490</v>
      </c>
      <c r="C840" s="220">
        <v>1</v>
      </c>
      <c r="D840" t="s">
        <v>49</v>
      </c>
    </row>
    <row r="841" spans="2:4" x14ac:dyDescent="0.3">
      <c r="B841" t="s">
        <v>1492</v>
      </c>
      <c r="C841" s="220">
        <v>1</v>
      </c>
      <c r="D841" t="s">
        <v>53</v>
      </c>
    </row>
    <row r="842" spans="2:4" x14ac:dyDescent="0.3">
      <c r="B842" t="s">
        <v>1494</v>
      </c>
      <c r="C842" s="220">
        <v>1</v>
      </c>
      <c r="D842" t="s">
        <v>53</v>
      </c>
    </row>
    <row r="843" spans="2:4" x14ac:dyDescent="0.3">
      <c r="B843" t="s">
        <v>1496</v>
      </c>
      <c r="C843" s="220">
        <v>1</v>
      </c>
      <c r="D843" t="s">
        <v>49</v>
      </c>
    </row>
    <row r="844" spans="2:4" x14ac:dyDescent="0.3">
      <c r="B844" t="s">
        <v>1498</v>
      </c>
      <c r="C844" s="220">
        <v>1</v>
      </c>
      <c r="D844" t="s">
        <v>49</v>
      </c>
    </row>
    <row r="845" spans="2:4" x14ac:dyDescent="0.3">
      <c r="B845" t="s">
        <v>1500</v>
      </c>
      <c r="C845" s="220">
        <v>1</v>
      </c>
      <c r="D845" t="s">
        <v>53</v>
      </c>
    </row>
    <row r="846" spans="2:4" x14ac:dyDescent="0.3">
      <c r="B846" t="s">
        <v>1502</v>
      </c>
      <c r="C846" s="220">
        <v>1</v>
      </c>
      <c r="D846" t="s">
        <v>53</v>
      </c>
    </row>
    <row r="847" spans="2:4" x14ac:dyDescent="0.3">
      <c r="B847" t="s">
        <v>1504</v>
      </c>
      <c r="C847" s="220">
        <v>1</v>
      </c>
      <c r="D847" t="s">
        <v>55</v>
      </c>
    </row>
    <row r="848" spans="2:4" x14ac:dyDescent="0.3">
      <c r="B848" t="s">
        <v>1506</v>
      </c>
      <c r="C848" s="220">
        <v>1</v>
      </c>
      <c r="D848" t="s">
        <v>55</v>
      </c>
    </row>
    <row r="849" spans="2:4" x14ac:dyDescent="0.3">
      <c r="B849" t="s">
        <v>1508</v>
      </c>
      <c r="D849" t="s">
        <v>59</v>
      </c>
    </row>
    <row r="850" spans="2:4" x14ac:dyDescent="0.3">
      <c r="B850" t="s">
        <v>1510</v>
      </c>
      <c r="C850" s="220">
        <v>0</v>
      </c>
      <c r="D850" t="s">
        <v>46</v>
      </c>
    </row>
    <row r="851" spans="2:4" x14ac:dyDescent="0.3">
      <c r="B851" t="s">
        <v>1512</v>
      </c>
      <c r="C851" s="220">
        <v>0</v>
      </c>
      <c r="D851" t="s">
        <v>46</v>
      </c>
    </row>
    <row r="852" spans="2:4" x14ac:dyDescent="0.3">
      <c r="B852" t="s">
        <v>1514</v>
      </c>
      <c r="C852" s="220">
        <v>0</v>
      </c>
      <c r="D852" t="s">
        <v>49</v>
      </c>
    </row>
    <row r="853" spans="2:4" x14ac:dyDescent="0.3">
      <c r="B853" t="s">
        <v>1516</v>
      </c>
      <c r="C853" s="220">
        <v>0</v>
      </c>
      <c r="D853" t="s">
        <v>26</v>
      </c>
    </row>
    <row r="854" spans="2:4" x14ac:dyDescent="0.3">
      <c r="B854" t="s">
        <v>1518</v>
      </c>
      <c r="C854" s="220">
        <v>0</v>
      </c>
      <c r="D854" t="s">
        <v>26</v>
      </c>
    </row>
    <row r="855" spans="2:4" x14ac:dyDescent="0.3">
      <c r="B855" t="s">
        <v>1520</v>
      </c>
      <c r="C855" s="220">
        <v>0.04</v>
      </c>
      <c r="D855" t="s">
        <v>26</v>
      </c>
    </row>
    <row r="856" spans="2:4" x14ac:dyDescent="0.3">
      <c r="B856" t="s">
        <v>1522</v>
      </c>
      <c r="C856" s="220">
        <v>0.05</v>
      </c>
      <c r="D856" t="s">
        <v>26</v>
      </c>
    </row>
    <row r="857" spans="2:4" x14ac:dyDescent="0.3">
      <c r="B857" t="s">
        <v>1524</v>
      </c>
      <c r="C857" s="220">
        <v>0.01</v>
      </c>
      <c r="D857" t="s">
        <v>26</v>
      </c>
    </row>
    <row r="858" spans="2:4" x14ac:dyDescent="0.3">
      <c r="B858" t="s">
        <v>1526</v>
      </c>
      <c r="C858" s="220">
        <v>0.01</v>
      </c>
      <c r="D858" t="s">
        <v>26</v>
      </c>
    </row>
    <row r="859" spans="2:4" x14ac:dyDescent="0.3">
      <c r="B859" t="s">
        <v>1528</v>
      </c>
      <c r="C859" s="220">
        <v>1</v>
      </c>
      <c r="D859" t="s">
        <v>55</v>
      </c>
    </row>
    <row r="860" spans="2:4" x14ac:dyDescent="0.3">
      <c r="B860" t="s">
        <v>1530</v>
      </c>
      <c r="C860" s="220">
        <v>1</v>
      </c>
      <c r="D860" t="s">
        <v>53</v>
      </c>
    </row>
    <row r="861" spans="2:4" x14ac:dyDescent="0.3">
      <c r="B861" t="s">
        <v>1532</v>
      </c>
      <c r="C861" s="220">
        <v>65</v>
      </c>
      <c r="D861" t="s">
        <v>54</v>
      </c>
    </row>
    <row r="862" spans="2:4" x14ac:dyDescent="0.3">
      <c r="B862" t="s">
        <v>1534</v>
      </c>
      <c r="C862" s="220">
        <v>2</v>
      </c>
      <c r="D862" t="s">
        <v>55</v>
      </c>
    </row>
    <row r="863" spans="2:4" x14ac:dyDescent="0.3">
      <c r="B863" t="s">
        <v>1536</v>
      </c>
      <c r="C863" s="220">
        <v>19</v>
      </c>
      <c r="D863" t="s">
        <v>55</v>
      </c>
    </row>
    <row r="864" spans="2:4" x14ac:dyDescent="0.3">
      <c r="B864" t="s">
        <v>1538</v>
      </c>
      <c r="C864" s="220">
        <v>1</v>
      </c>
      <c r="D864" t="s">
        <v>55</v>
      </c>
    </row>
    <row r="865" spans="2:4" x14ac:dyDescent="0.3">
      <c r="B865" t="s">
        <v>1540</v>
      </c>
      <c r="C865" s="220">
        <v>1</v>
      </c>
      <c r="D865" t="s">
        <v>53</v>
      </c>
    </row>
    <row r="866" spans="2:4" x14ac:dyDescent="0.3">
      <c r="B866" t="s">
        <v>1542</v>
      </c>
      <c r="C866" s="220">
        <v>64</v>
      </c>
      <c r="D866" t="s">
        <v>54</v>
      </c>
    </row>
    <row r="867" spans="2:4" x14ac:dyDescent="0.3">
      <c r="B867" t="s">
        <v>1544</v>
      </c>
      <c r="C867" s="220">
        <v>2</v>
      </c>
      <c r="D867" t="s">
        <v>55</v>
      </c>
    </row>
    <row r="868" spans="2:4" x14ac:dyDescent="0.3">
      <c r="B868" t="s">
        <v>1545</v>
      </c>
      <c r="C868" s="220">
        <v>19</v>
      </c>
      <c r="D868" t="s">
        <v>55</v>
      </c>
    </row>
    <row r="869" spans="2:4" x14ac:dyDescent="0.3">
      <c r="B869" t="s">
        <v>2782</v>
      </c>
      <c r="D869" t="s">
        <v>59</v>
      </c>
    </row>
    <row r="870" spans="2:4" x14ac:dyDescent="0.3">
      <c r="B870" t="s">
        <v>2983</v>
      </c>
      <c r="D870" t="s">
        <v>59</v>
      </c>
    </row>
    <row r="871" spans="2:4" x14ac:dyDescent="0.3">
      <c r="B871" t="s">
        <v>2985</v>
      </c>
      <c r="C871" s="220" t="s">
        <v>2987</v>
      </c>
      <c r="D871" t="s">
        <v>20</v>
      </c>
    </row>
    <row r="872" spans="2:4" x14ac:dyDescent="0.3">
      <c r="B872" t="s">
        <v>2988</v>
      </c>
      <c r="C872" s="220">
        <v>2</v>
      </c>
      <c r="D872" t="s">
        <v>46</v>
      </c>
    </row>
    <row r="873" spans="2:4" x14ac:dyDescent="0.3">
      <c r="B873" t="s">
        <v>2989</v>
      </c>
      <c r="C873" s="220">
        <v>0</v>
      </c>
      <c r="D873" t="s">
        <v>26</v>
      </c>
    </row>
    <row r="874" spans="2:4" x14ac:dyDescent="0.3">
      <c r="B874" t="s">
        <v>2990</v>
      </c>
      <c r="C874" s="220">
        <v>0</v>
      </c>
      <c r="D874" t="s">
        <v>26</v>
      </c>
    </row>
    <row r="875" spans="2:4" x14ac:dyDescent="0.3">
      <c r="B875" t="s">
        <v>2991</v>
      </c>
      <c r="C875" s="220">
        <v>0</v>
      </c>
      <c r="D875" t="s">
        <v>26</v>
      </c>
    </row>
    <row r="876" spans="2:4" x14ac:dyDescent="0.3">
      <c r="B876" t="s">
        <v>2992</v>
      </c>
      <c r="C876" s="220">
        <v>0</v>
      </c>
      <c r="D876" t="s">
        <v>26</v>
      </c>
    </row>
    <row r="877" spans="2:4" x14ac:dyDescent="0.3">
      <c r="B877" t="s">
        <v>2993</v>
      </c>
      <c r="C877" s="220">
        <v>0</v>
      </c>
      <c r="D877" t="s">
        <v>26</v>
      </c>
    </row>
    <row r="878" spans="2:4" x14ac:dyDescent="0.3">
      <c r="B878" t="s">
        <v>2994</v>
      </c>
      <c r="C878" s="220">
        <v>0</v>
      </c>
      <c r="D878" t="s">
        <v>26</v>
      </c>
    </row>
    <row r="879" spans="2:4" x14ac:dyDescent="0.3">
      <c r="B879" t="s">
        <v>2995</v>
      </c>
      <c r="C879" s="220">
        <v>0</v>
      </c>
      <c r="D879" t="s">
        <v>26</v>
      </c>
    </row>
    <row r="880" spans="2:4" x14ac:dyDescent="0.3">
      <c r="B880" t="s">
        <v>2996</v>
      </c>
      <c r="C880" s="220">
        <v>0</v>
      </c>
      <c r="D880" t="s">
        <v>26</v>
      </c>
    </row>
    <row r="881" spans="2:4" x14ac:dyDescent="0.3">
      <c r="B881" t="s">
        <v>2997</v>
      </c>
      <c r="C881" s="220">
        <v>0</v>
      </c>
      <c r="D881" t="s">
        <v>26</v>
      </c>
    </row>
    <row r="882" spans="2:4" x14ac:dyDescent="0.3">
      <c r="B882" t="s">
        <v>2998</v>
      </c>
      <c r="C882" s="220">
        <v>0</v>
      </c>
      <c r="D882" t="s">
        <v>26</v>
      </c>
    </row>
    <row r="883" spans="2:4" x14ac:dyDescent="0.3">
      <c r="B883" t="s">
        <v>2999</v>
      </c>
      <c r="C883" s="220" t="s">
        <v>35</v>
      </c>
      <c r="D883" t="s">
        <v>26</v>
      </c>
    </row>
    <row r="884" spans="2:4" x14ac:dyDescent="0.3">
      <c r="B884" t="s">
        <v>218</v>
      </c>
      <c r="D884" t="s">
        <v>59</v>
      </c>
    </row>
    <row r="885" spans="2:4" x14ac:dyDescent="0.3">
      <c r="B885" t="s">
        <v>220</v>
      </c>
      <c r="C885" s="220">
        <v>6</v>
      </c>
      <c r="D885" t="s">
        <v>46</v>
      </c>
    </row>
    <row r="886" spans="2:4" x14ac:dyDescent="0.3">
      <c r="B886" t="s">
        <v>222</v>
      </c>
      <c r="C886" s="220" t="s">
        <v>35</v>
      </c>
      <c r="D886" t="s">
        <v>46</v>
      </c>
    </row>
    <row r="887" spans="2:4" x14ac:dyDescent="0.3">
      <c r="B887" t="s">
        <v>224</v>
      </c>
      <c r="D887" t="s">
        <v>59</v>
      </c>
    </row>
    <row r="888" spans="2:4" x14ac:dyDescent="0.3">
      <c r="B888" t="s">
        <v>226</v>
      </c>
      <c r="C888" s="220" t="s">
        <v>3153</v>
      </c>
      <c r="D888" t="s">
        <v>20</v>
      </c>
    </row>
    <row r="889" spans="2:4" x14ac:dyDescent="0.3">
      <c r="B889" t="s">
        <v>229</v>
      </c>
      <c r="C889" s="220" t="s">
        <v>228</v>
      </c>
      <c r="D889" t="s">
        <v>20</v>
      </c>
    </row>
    <row r="890" spans="2:4" x14ac:dyDescent="0.3">
      <c r="B890" t="s">
        <v>231</v>
      </c>
      <c r="C890" s="220" t="s">
        <v>228</v>
      </c>
      <c r="D890" t="s">
        <v>20</v>
      </c>
    </row>
    <row r="891" spans="2:4" x14ac:dyDescent="0.3">
      <c r="B891" t="s">
        <v>233</v>
      </c>
      <c r="C891" s="220" t="s">
        <v>235</v>
      </c>
      <c r="D891" t="s">
        <v>20</v>
      </c>
    </row>
    <row r="892" spans="2:4" x14ac:dyDescent="0.3">
      <c r="B892" t="s">
        <v>236</v>
      </c>
      <c r="C892" s="220" t="s">
        <v>238</v>
      </c>
      <c r="D892" t="s">
        <v>20</v>
      </c>
    </row>
    <row r="893" spans="2:4" x14ac:dyDescent="0.3">
      <c r="B893" t="s">
        <v>239</v>
      </c>
      <c r="C893" s="220" t="s">
        <v>228</v>
      </c>
      <c r="D893" t="s">
        <v>20</v>
      </c>
    </row>
    <row r="894" spans="2:4" x14ac:dyDescent="0.3">
      <c r="B894" t="s">
        <v>241</v>
      </c>
      <c r="C894" s="220" t="s">
        <v>243</v>
      </c>
      <c r="D894" t="s">
        <v>20</v>
      </c>
    </row>
    <row r="895" spans="2:4" x14ac:dyDescent="0.3">
      <c r="B895" t="s">
        <v>244</v>
      </c>
      <c r="C895" s="220" t="s">
        <v>228</v>
      </c>
      <c r="D895" t="s">
        <v>20</v>
      </c>
    </row>
    <row r="896" spans="2:4" x14ac:dyDescent="0.3">
      <c r="B896" t="s">
        <v>246</v>
      </c>
      <c r="C896" s="220" t="s">
        <v>228</v>
      </c>
      <c r="D896" t="s">
        <v>20</v>
      </c>
    </row>
    <row r="897" spans="2:4" x14ac:dyDescent="0.3">
      <c r="B897" t="s">
        <v>248</v>
      </c>
      <c r="C897" s="220" t="s">
        <v>228</v>
      </c>
      <c r="D897" t="s">
        <v>20</v>
      </c>
    </row>
    <row r="898" spans="2:4" x14ac:dyDescent="0.3">
      <c r="B898" t="s">
        <v>250</v>
      </c>
      <c r="D898" t="s">
        <v>59</v>
      </c>
    </row>
    <row r="899" spans="2:4" x14ac:dyDescent="0.3">
      <c r="B899" t="s">
        <v>252</v>
      </c>
      <c r="C899" s="220" t="s">
        <v>254</v>
      </c>
      <c r="D899" t="s">
        <v>20</v>
      </c>
    </row>
    <row r="900" spans="2:4" x14ac:dyDescent="0.3">
      <c r="B900" t="s">
        <v>180</v>
      </c>
      <c r="C900" s="220">
        <v>1</v>
      </c>
      <c r="D900" t="s">
        <v>46</v>
      </c>
    </row>
    <row r="901" spans="2:4" x14ac:dyDescent="0.3">
      <c r="B901" t="s">
        <v>255</v>
      </c>
      <c r="C901" s="220">
        <v>1</v>
      </c>
      <c r="D901" t="s">
        <v>46</v>
      </c>
    </row>
    <row r="902" spans="2:4" x14ac:dyDescent="0.3">
      <c r="B902" t="s">
        <v>257</v>
      </c>
      <c r="C902" s="220">
        <v>1</v>
      </c>
      <c r="D902" t="s">
        <v>46</v>
      </c>
    </row>
    <row r="903" spans="2:4" x14ac:dyDescent="0.3">
      <c r="B903" t="s">
        <v>259</v>
      </c>
      <c r="C903" s="220">
        <v>1</v>
      </c>
      <c r="D903" t="s">
        <v>46</v>
      </c>
    </row>
    <row r="904" spans="2:4" x14ac:dyDescent="0.3">
      <c r="B904" t="s">
        <v>261</v>
      </c>
      <c r="C904" s="220">
        <v>1</v>
      </c>
      <c r="D904" t="s">
        <v>46</v>
      </c>
    </row>
    <row r="905" spans="2:4" x14ac:dyDescent="0.3">
      <c r="B905" t="s">
        <v>262</v>
      </c>
      <c r="C905" s="220">
        <v>0</v>
      </c>
      <c r="D905" t="s">
        <v>46</v>
      </c>
    </row>
    <row r="906" spans="2:4" x14ac:dyDescent="0.3">
      <c r="B906" t="s">
        <v>264</v>
      </c>
      <c r="C906" s="220">
        <v>1</v>
      </c>
      <c r="D906" t="s">
        <v>46</v>
      </c>
    </row>
    <row r="907" spans="2:4" x14ac:dyDescent="0.3">
      <c r="B907" t="s">
        <v>265</v>
      </c>
      <c r="D907" t="s">
        <v>20</v>
      </c>
    </row>
    <row r="908" spans="2:4" x14ac:dyDescent="0.3">
      <c r="B908" t="s">
        <v>267</v>
      </c>
      <c r="C908" s="220">
        <v>2</v>
      </c>
      <c r="D908" t="s">
        <v>46</v>
      </c>
    </row>
    <row r="909" spans="2:4" x14ac:dyDescent="0.3">
      <c r="B909" t="s">
        <v>269</v>
      </c>
      <c r="C909" s="220">
        <v>1</v>
      </c>
      <c r="D909" t="s">
        <v>49</v>
      </c>
    </row>
    <row r="910" spans="2:4" x14ac:dyDescent="0.3">
      <c r="B910" t="s">
        <v>271</v>
      </c>
      <c r="C910" s="220">
        <v>0</v>
      </c>
      <c r="D910" t="s">
        <v>46</v>
      </c>
    </row>
    <row r="911" spans="2:4" x14ac:dyDescent="0.3">
      <c r="B911" t="s">
        <v>3000</v>
      </c>
      <c r="D911" t="s">
        <v>59</v>
      </c>
    </row>
    <row r="912" spans="2:4" x14ac:dyDescent="0.3">
      <c r="B912" t="s">
        <v>3003</v>
      </c>
      <c r="C912" s="220">
        <v>0</v>
      </c>
      <c r="D912" t="s">
        <v>26</v>
      </c>
    </row>
    <row r="913" spans="2:4" x14ac:dyDescent="0.3">
      <c r="B913" t="s">
        <v>3005</v>
      </c>
      <c r="C913" s="220">
        <v>0</v>
      </c>
      <c r="D913" t="s">
        <v>26</v>
      </c>
    </row>
    <row r="914" spans="2:4" x14ac:dyDescent="0.3">
      <c r="B914" t="s">
        <v>3007</v>
      </c>
      <c r="C914" s="220">
        <v>0</v>
      </c>
      <c r="D914" t="s">
        <v>26</v>
      </c>
    </row>
    <row r="915" spans="2:4" x14ac:dyDescent="0.3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2025-09-25T10:48:18Z</dcterms:modified>
</cp:coreProperties>
</file>