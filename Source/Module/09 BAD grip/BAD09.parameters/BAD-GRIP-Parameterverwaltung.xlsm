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9 BAD grip\BAD09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PARAMETERS!$Z$2:$Z$451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PARAMETERS!$O$2:$O$452</definedName>
    <definedName name="PARAMETERLISTE">PARAMETERS!$A$2:$Q$452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PARAMETERS!$AA$2:$AA$451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/>
</workbook>
</file>

<file path=xl/calcChain.xml><?xml version="1.0" encoding="utf-8"?>
<calcChain xmlns="http://schemas.openxmlformats.org/spreadsheetml/2006/main"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B8" i="1"/>
  <c r="C423" i="6"/>
  <c r="Z423" i="6"/>
  <c r="AA423" i="6"/>
  <c r="AC423" i="6"/>
  <c r="AB423" i="6"/>
  <c r="B423" i="6"/>
  <c r="C223" i="6"/>
  <c r="Z223" i="6"/>
  <c r="AA223" i="6"/>
  <c r="AC223" i="6"/>
  <c r="AB223" i="6"/>
  <c r="AB227" i="6"/>
  <c r="AA227" i="6"/>
  <c r="Z227" i="6"/>
  <c r="C227" i="6"/>
  <c r="AB226" i="6"/>
  <c r="AA226" i="6"/>
  <c r="AC226" i="6"/>
  <c r="Z226" i="6"/>
  <c r="C226" i="6"/>
  <c r="C230" i="6"/>
  <c r="Z230" i="6"/>
  <c r="AA230" i="6"/>
  <c r="AC230" i="6"/>
  <c r="AB230" i="6"/>
  <c r="C224" i="6"/>
  <c r="Z224" i="6"/>
  <c r="AA224" i="6"/>
  <c r="AC224" i="6"/>
  <c r="AB224" i="6"/>
  <c r="C225" i="6"/>
  <c r="Z225" i="6"/>
  <c r="AA225" i="6"/>
  <c r="AB225" i="6"/>
  <c r="C228" i="6"/>
  <c r="Z228" i="6"/>
  <c r="AA228" i="6"/>
  <c r="AB228" i="6"/>
  <c r="C229" i="6"/>
  <c r="Z229" i="6"/>
  <c r="AA229" i="6"/>
  <c r="AB229" i="6"/>
  <c r="C231" i="6"/>
  <c r="Z231" i="6"/>
  <c r="AA231" i="6"/>
  <c r="AC231" i="6"/>
  <c r="AB231" i="6"/>
  <c r="B228" i="6"/>
  <c r="B227" i="6"/>
  <c r="B223" i="6"/>
  <c r="AC227" i="6"/>
  <c r="B226" i="6"/>
  <c r="B229" i="6"/>
  <c r="B225" i="6"/>
  <c r="B230" i="6"/>
  <c r="AC229" i="6"/>
  <c r="B231" i="6"/>
  <c r="B224" i="6"/>
  <c r="AC228" i="6"/>
  <c r="AC225" i="6"/>
  <c r="AB222" i="6"/>
  <c r="AA222" i="6"/>
  <c r="AC222" i="6"/>
  <c r="Z222" i="6"/>
  <c r="C222" i="6"/>
  <c r="AB221" i="6"/>
  <c r="AA221" i="6"/>
  <c r="AC221" i="6"/>
  <c r="Z221" i="6"/>
  <c r="C221" i="6"/>
  <c r="AB220" i="6"/>
  <c r="AA220" i="6"/>
  <c r="Z220" i="6"/>
  <c r="C220" i="6"/>
  <c r="AB219" i="6"/>
  <c r="AA219" i="6"/>
  <c r="Z219" i="6"/>
  <c r="C219" i="6"/>
  <c r="AB218" i="6"/>
  <c r="AA218" i="6"/>
  <c r="Z218" i="6"/>
  <c r="C218" i="6"/>
  <c r="AB217" i="6"/>
  <c r="AA217" i="6"/>
  <c r="Z217" i="6"/>
  <c r="C217" i="6"/>
  <c r="AB216" i="6"/>
  <c r="AA216" i="6"/>
  <c r="Z216" i="6"/>
  <c r="C216" i="6"/>
  <c r="AB215" i="6"/>
  <c r="AA215" i="6"/>
  <c r="Z215" i="6"/>
  <c r="C215" i="6"/>
  <c r="AB214" i="6"/>
  <c r="AA214" i="6"/>
  <c r="Z214" i="6"/>
  <c r="C214" i="6"/>
  <c r="AB213" i="6"/>
  <c r="AA213" i="6"/>
  <c r="Z213" i="6"/>
  <c r="C213" i="6"/>
  <c r="AB212" i="6"/>
  <c r="AA212" i="6"/>
  <c r="AC212" i="6"/>
  <c r="Z212" i="6"/>
  <c r="C212" i="6"/>
  <c r="A8" i="5"/>
  <c r="F1" i="8"/>
  <c r="C1" i="8"/>
  <c r="D1" i="8"/>
  <c r="E1" i="8"/>
  <c r="G1" i="8"/>
  <c r="D3" i="8"/>
  <c r="D2" i="8"/>
  <c r="F3" i="8"/>
  <c r="F2" i="8"/>
  <c r="T1" i="8"/>
  <c r="U1" i="8"/>
  <c r="F3" i="7"/>
  <c r="G3" i="7"/>
  <c r="G2" i="7"/>
  <c r="G4" i="7"/>
  <c r="B3" i="7"/>
  <c r="C3" i="7"/>
  <c r="C4" i="7"/>
  <c r="D4" i="7"/>
  <c r="E4" i="7"/>
  <c r="BA3" i="7"/>
  <c r="BA2" i="7"/>
  <c r="BB3" i="7"/>
  <c r="BB2" i="7"/>
  <c r="BC3" i="7"/>
  <c r="BC2" i="7"/>
  <c r="BE3" i="7"/>
  <c r="BE2" i="7"/>
  <c r="BG3" i="7"/>
  <c r="BG2" i="7"/>
  <c r="BI3" i="7"/>
  <c r="BI2" i="7"/>
  <c r="BK3" i="7"/>
  <c r="BK2" i="7"/>
  <c r="BL3" i="7"/>
  <c r="BL2" i="7"/>
  <c r="BM3" i="7"/>
  <c r="BM2" i="7"/>
  <c r="BN3" i="7"/>
  <c r="BN2" i="7"/>
  <c r="BO3" i="7"/>
  <c r="BO2" i="7"/>
  <c r="BQ3" i="7"/>
  <c r="BQ2" i="7"/>
  <c r="BR3" i="7"/>
  <c r="BS3" i="7"/>
  <c r="BS2" i="7"/>
  <c r="BT3" i="7"/>
  <c r="BT2" i="7"/>
  <c r="BU3" i="7"/>
  <c r="BU2" i="7"/>
  <c r="BA4" i="7"/>
  <c r="BB4" i="7"/>
  <c r="BD4" i="7"/>
  <c r="BF4" i="7"/>
  <c r="BH4" i="7"/>
  <c r="BJ4" i="7"/>
  <c r="BP4" i="7"/>
  <c r="BQ4" i="7"/>
  <c r="BS4" i="7"/>
  <c r="BT4" i="7"/>
  <c r="AA211" i="6"/>
  <c r="C211" i="6"/>
  <c r="AA210" i="6"/>
  <c r="C210" i="6"/>
  <c r="AA209" i="6"/>
  <c r="C209" i="6"/>
  <c r="AA208" i="6"/>
  <c r="C208" i="6"/>
  <c r="AA207" i="6"/>
  <c r="C207" i="6"/>
  <c r="AA206" i="6"/>
  <c r="C206" i="6"/>
  <c r="AA205" i="6"/>
  <c r="C205" i="6"/>
  <c r="B222" i="6"/>
  <c r="B215" i="6"/>
  <c r="B216" i="6"/>
  <c r="AC216" i="6"/>
  <c r="B218" i="6"/>
  <c r="B212" i="6"/>
  <c r="B214" i="6"/>
  <c r="B217" i="6"/>
  <c r="AC217" i="6"/>
  <c r="B213" i="6"/>
  <c r="B219" i="6"/>
  <c r="F2" i="7"/>
  <c r="B221" i="6"/>
  <c r="B2" i="7"/>
  <c r="B220" i="6"/>
  <c r="G3" i="8"/>
  <c r="G2" i="8"/>
  <c r="E3" i="8"/>
  <c r="E2" i="8"/>
  <c r="D3" i="7"/>
  <c r="C2" i="7"/>
  <c r="BJ3" i="7"/>
  <c r="BJ2" i="7"/>
  <c r="BD3" i="7"/>
  <c r="BD2" i="7"/>
  <c r="BR2" i="7"/>
  <c r="BF3" i="7"/>
  <c r="BF2" i="7"/>
  <c r="BP3" i="7"/>
  <c r="BP2" i="7"/>
  <c r="BH3" i="7"/>
  <c r="BH2" i="7"/>
  <c r="B208" i="6"/>
  <c r="B211" i="6"/>
  <c r="B206" i="6"/>
  <c r="B207" i="6"/>
  <c r="B209" i="6"/>
  <c r="B205" i="6"/>
  <c r="B210" i="6"/>
  <c r="E3" i="7"/>
  <c r="E2" i="7"/>
  <c r="D2" i="7"/>
  <c r="C269" i="6"/>
  <c r="C268" i="6"/>
  <c r="AB269" i="6"/>
  <c r="AA269" i="6"/>
  <c r="AC269" i="6"/>
  <c r="Z269" i="6"/>
  <c r="AB268" i="6"/>
  <c r="AA268" i="6"/>
  <c r="AC268" i="6"/>
  <c r="Z268" i="6"/>
  <c r="CH3" i="7"/>
  <c r="CH2" i="7"/>
  <c r="CF3" i="7"/>
  <c r="CG3" i="7"/>
  <c r="CG2" i="7"/>
  <c r="CG4" i="7"/>
  <c r="CE3" i="7"/>
  <c r="CE4" i="7"/>
  <c r="B269" i="6"/>
  <c r="B268" i="6"/>
  <c r="CF2" i="7"/>
  <c r="CE2" i="7"/>
  <c r="C426" i="6"/>
  <c r="C425" i="6"/>
  <c r="AB425" i="6"/>
  <c r="AA425" i="6"/>
  <c r="AC425" i="6"/>
  <c r="Z425" i="6"/>
  <c r="C424" i="6"/>
  <c r="AB426" i="6"/>
  <c r="AA426" i="6"/>
  <c r="Z426" i="6"/>
  <c r="AB424" i="6"/>
  <c r="AA424" i="6"/>
  <c r="AC424" i="6"/>
  <c r="Z424" i="6"/>
  <c r="B426" i="6"/>
  <c r="B425" i="6"/>
  <c r="B424" i="6"/>
  <c r="AC426" i="6"/>
  <c r="AA110" i="6"/>
  <c r="AC110" i="6"/>
  <c r="AB110" i="6"/>
  <c r="Z110" i="6"/>
  <c r="C110" i="6"/>
  <c r="AA109" i="6"/>
  <c r="AC109" i="6"/>
  <c r="AB109" i="6"/>
  <c r="Z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B3" i="8"/>
  <c r="C3" i="8"/>
  <c r="C2" i="8"/>
  <c r="B1" i="8"/>
  <c r="AC213" i="6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E1" i="13"/>
  <c r="E2" i="13"/>
  <c r="D1" i="13"/>
  <c r="D2" i="13"/>
  <c r="C1" i="13"/>
  <c r="C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C15" i="5"/>
  <c r="C14" i="5"/>
  <c r="T13" i="5"/>
  <c r="C13" i="5"/>
  <c r="C12" i="5"/>
  <c r="C11" i="5"/>
  <c r="Q9" i="5"/>
  <c r="BZ4" i="7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44" i="15"/>
  <c r="A38" i="15"/>
  <c r="A35" i="15"/>
  <c r="A16" i="15"/>
  <c r="A4" i="15"/>
  <c r="BR3" i="8"/>
  <c r="BR2" i="8"/>
  <c r="BQ3" i="8"/>
  <c r="BQ2" i="8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L2" i="8"/>
  <c r="AK3" i="8"/>
  <c r="AK2" i="8"/>
  <c r="AJ3" i="8"/>
  <c r="AJ2" i="8"/>
  <c r="AI3" i="8"/>
  <c r="AI2" i="8"/>
  <c r="AH3" i="8"/>
  <c r="AH2" i="8"/>
  <c r="AG3" i="8"/>
  <c r="AG2" i="8"/>
  <c r="AF3" i="8"/>
  <c r="AF2" i="8"/>
  <c r="AB3" i="8"/>
  <c r="AB2" i="8"/>
  <c r="Z3" i="8"/>
  <c r="Z2" i="8"/>
  <c r="N3" i="8"/>
  <c r="N2" i="8"/>
  <c r="M3" i="8"/>
  <c r="M2" i="8"/>
  <c r="L3" i="8"/>
  <c r="L2" i="8"/>
  <c r="K3" i="8"/>
  <c r="K2" i="8"/>
  <c r="J3" i="8"/>
  <c r="J2" i="8"/>
  <c r="H3" i="8"/>
  <c r="I3" i="8"/>
  <c r="I2" i="8"/>
  <c r="BI2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S1" i="8"/>
  <c r="R1" i="8"/>
  <c r="Q1" i="8"/>
  <c r="P1" i="8"/>
  <c r="O1" i="8"/>
  <c r="N1" i="8"/>
  <c r="M1" i="8"/>
  <c r="AC219" i="6"/>
  <c r="L1" i="8"/>
  <c r="AC218" i="6"/>
  <c r="K1" i="8"/>
  <c r="AC215" i="6"/>
  <c r="J1" i="8"/>
  <c r="AC214" i="6"/>
  <c r="I1" i="8"/>
  <c r="H1" i="8"/>
  <c r="AC220" i="6"/>
  <c r="CI4" i="7"/>
  <c r="CD4" i="7"/>
  <c r="CC4" i="7"/>
  <c r="CA4" i="7"/>
  <c r="BY4" i="7"/>
  <c r="BV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CI3" i="7"/>
  <c r="CI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X2" i="7"/>
  <c r="BW3" i="7"/>
  <c r="BW2" i="7"/>
  <c r="BV3" i="7"/>
  <c r="BV2" i="7"/>
  <c r="AZ3" i="7"/>
  <c r="AZ2" i="7"/>
  <c r="AY3" i="7"/>
  <c r="AX3" i="7"/>
  <c r="AW3" i="7"/>
  <c r="AW2" i="7"/>
  <c r="AV3" i="7"/>
  <c r="AV2" i="7"/>
  <c r="AU3" i="7"/>
  <c r="AU2" i="7"/>
  <c r="AT3" i="7"/>
  <c r="AS3" i="7"/>
  <c r="AS2" i="7"/>
  <c r="AR3" i="7"/>
  <c r="AR2" i="7"/>
  <c r="AQ3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H3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Z3" i="7"/>
  <c r="Y3" i="7"/>
  <c r="Y2" i="7"/>
  <c r="X3" i="7"/>
  <c r="X2" i="7"/>
  <c r="W3" i="7"/>
  <c r="W2" i="7"/>
  <c r="V3" i="7"/>
  <c r="U3" i="7"/>
  <c r="U2" i="7"/>
  <c r="T3" i="7"/>
  <c r="T2" i="7"/>
  <c r="S3" i="7"/>
  <c r="R3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I3" i="7"/>
  <c r="I2" i="7"/>
  <c r="H3" i="7"/>
  <c r="H2" i="7"/>
  <c r="AY2" i="7"/>
  <c r="AX2" i="7"/>
  <c r="AT2" i="7"/>
  <c r="AQ2" i="7"/>
  <c r="AI2" i="7"/>
  <c r="AH2" i="7"/>
  <c r="AA2" i="7"/>
  <c r="Z2" i="7"/>
  <c r="V2" i="7"/>
  <c r="S2" i="7"/>
  <c r="R2" i="7"/>
  <c r="J2" i="7"/>
  <c r="B453" i="6"/>
  <c r="AA452" i="6"/>
  <c r="AC452" i="6"/>
  <c r="AB452" i="6"/>
  <c r="Z452" i="6"/>
  <c r="C452" i="6"/>
  <c r="AA451" i="6"/>
  <c r="AC451" i="6"/>
  <c r="AB451" i="6"/>
  <c r="Z451" i="6"/>
  <c r="C451" i="6"/>
  <c r="AA450" i="6"/>
  <c r="AC450" i="6"/>
  <c r="AB450" i="6"/>
  <c r="Z450" i="6"/>
  <c r="C450" i="6"/>
  <c r="AA449" i="6"/>
  <c r="AC449" i="6"/>
  <c r="AB449" i="6"/>
  <c r="Z449" i="6"/>
  <c r="C449" i="6"/>
  <c r="AA448" i="6"/>
  <c r="AC448" i="6"/>
  <c r="AB448" i="6"/>
  <c r="Z448" i="6"/>
  <c r="C448" i="6"/>
  <c r="AA447" i="6"/>
  <c r="AC447" i="6"/>
  <c r="AB447" i="6"/>
  <c r="Z447" i="6"/>
  <c r="C447" i="6"/>
  <c r="AA446" i="6"/>
  <c r="AC446" i="6"/>
  <c r="AB446" i="6"/>
  <c r="Z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C443" i="6"/>
  <c r="AA442" i="6"/>
  <c r="AC442" i="6"/>
  <c r="AB442" i="6"/>
  <c r="Z442" i="6"/>
  <c r="C442" i="6"/>
  <c r="AA441" i="6"/>
  <c r="AC441" i="6"/>
  <c r="AB441" i="6"/>
  <c r="Z441" i="6"/>
  <c r="C441" i="6"/>
  <c r="AA440" i="6"/>
  <c r="B440" i="6"/>
  <c r="AB440" i="6"/>
  <c r="Z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AB437" i="6"/>
  <c r="Z437" i="6"/>
  <c r="W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C430" i="6"/>
  <c r="AA429" i="6"/>
  <c r="AC429" i="6"/>
  <c r="AB429" i="6"/>
  <c r="Z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2" i="6"/>
  <c r="AC422" i="6"/>
  <c r="AB422" i="6"/>
  <c r="Z422" i="6"/>
  <c r="C422" i="6"/>
  <c r="AA421" i="6"/>
  <c r="AC421" i="6"/>
  <c r="AB421" i="6"/>
  <c r="Z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W409" i="6"/>
  <c r="C409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C349" i="6"/>
  <c r="AB349" i="6"/>
  <c r="Z349" i="6"/>
  <c r="W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C334" i="6"/>
  <c r="AA333" i="6"/>
  <c r="AC333" i="6"/>
  <c r="AB333" i="6"/>
  <c r="Z333" i="6"/>
  <c r="C333" i="6"/>
  <c r="AA332" i="6"/>
  <c r="AC332" i="6"/>
  <c r="AB332" i="6"/>
  <c r="Z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AC285" i="6"/>
  <c r="AB285" i="6"/>
  <c r="Z285" i="6"/>
  <c r="W285" i="6"/>
  <c r="C285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7" i="6"/>
  <c r="AC267" i="6"/>
  <c r="AB267" i="6"/>
  <c r="Z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C261" i="6"/>
  <c r="AA260" i="6"/>
  <c r="AC260" i="6"/>
  <c r="AB260" i="6"/>
  <c r="Z260" i="6"/>
  <c r="W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B249" i="6"/>
  <c r="Z249" i="6"/>
  <c r="W249" i="6"/>
  <c r="C249" i="6"/>
  <c r="AA248" i="6"/>
  <c r="AB248" i="6"/>
  <c r="Z248" i="6"/>
  <c r="W248" i="6"/>
  <c r="C248" i="6"/>
  <c r="AA247" i="6"/>
  <c r="AB247" i="6"/>
  <c r="Z247" i="6"/>
  <c r="W247" i="6"/>
  <c r="C247" i="6"/>
  <c r="AA246" i="6"/>
  <c r="AB246" i="6"/>
  <c r="Z246" i="6"/>
  <c r="C246" i="6"/>
  <c r="AA245" i="6"/>
  <c r="AC245" i="6"/>
  <c r="AB245" i="6"/>
  <c r="Z245" i="6"/>
  <c r="W245" i="6"/>
  <c r="C245" i="6"/>
  <c r="AA244" i="6"/>
  <c r="AB244" i="6"/>
  <c r="Z244" i="6"/>
  <c r="C244" i="6"/>
  <c r="AA243" i="6"/>
  <c r="AB243" i="6"/>
  <c r="Z243" i="6"/>
  <c r="C243" i="6"/>
  <c r="AA242" i="6"/>
  <c r="AB242" i="6"/>
  <c r="Z242" i="6"/>
  <c r="C242" i="6"/>
  <c r="AA241" i="6"/>
  <c r="AB241" i="6"/>
  <c r="Z241" i="6"/>
  <c r="C241" i="6"/>
  <c r="AA240" i="6"/>
  <c r="AB240" i="6"/>
  <c r="Z240" i="6"/>
  <c r="W240" i="6"/>
  <c r="C240" i="6"/>
  <c r="AA239" i="6"/>
  <c r="AB239" i="6"/>
  <c r="Z239" i="6"/>
  <c r="W239" i="6"/>
  <c r="C239" i="6"/>
  <c r="AA238" i="6"/>
  <c r="AB238" i="6"/>
  <c r="Z238" i="6"/>
  <c r="C238" i="6"/>
  <c r="AA237" i="6"/>
  <c r="AB237" i="6"/>
  <c r="Z237" i="6"/>
  <c r="W237" i="6"/>
  <c r="C237" i="6"/>
  <c r="AA236" i="6"/>
  <c r="AB236" i="6"/>
  <c r="Z236" i="6"/>
  <c r="C236" i="6"/>
  <c r="AA235" i="6"/>
  <c r="AB235" i="6"/>
  <c r="Z235" i="6"/>
  <c r="W235" i="6"/>
  <c r="C235" i="6"/>
  <c r="AA234" i="6"/>
  <c r="AC234" i="6"/>
  <c r="AB234" i="6"/>
  <c r="Z234" i="6"/>
  <c r="W234" i="6"/>
  <c r="C234" i="6"/>
  <c r="AA233" i="6"/>
  <c r="AB233" i="6"/>
  <c r="Z233" i="6"/>
  <c r="W233" i="6"/>
  <c r="C233" i="6"/>
  <c r="AA232" i="6"/>
  <c r="AC232" i="6"/>
  <c r="AB232" i="6"/>
  <c r="Z232" i="6"/>
  <c r="W232" i="6"/>
  <c r="C232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I4" i="7"/>
  <c r="BG4" i="7"/>
  <c r="BO4" i="7"/>
  <c r="B4" i="7"/>
  <c r="BN4" i="7"/>
  <c r="BE4" i="7"/>
  <c r="BM4" i="7"/>
  <c r="BU4" i="7"/>
  <c r="BL4" i="7"/>
  <c r="BC4" i="7"/>
  <c r="BK4" i="7"/>
  <c r="F4" i="7"/>
  <c r="BR4" i="7"/>
  <c r="CH4" i="7"/>
  <c r="CF4" i="7"/>
  <c r="Q10" i="5"/>
  <c r="BX4" i="7"/>
  <c r="BW4" i="7"/>
  <c r="CB4" i="7"/>
  <c r="B240" i="6"/>
  <c r="AC240" i="6"/>
  <c r="B242" i="6"/>
  <c r="B244" i="6"/>
  <c r="B241" i="6"/>
  <c r="B239" i="6"/>
  <c r="B248" i="6"/>
  <c r="Y3" i="8"/>
  <c r="Y2" i="8"/>
  <c r="AA3" i="8"/>
  <c r="AA2" i="8"/>
  <c r="AC3" i="8"/>
  <c r="H2" i="8"/>
  <c r="B2" i="8"/>
  <c r="O3" i="8"/>
  <c r="AC248" i="6"/>
  <c r="B233" i="6"/>
  <c r="AC233" i="6"/>
  <c r="B237" i="6"/>
  <c r="AC237" i="6"/>
  <c r="B404" i="6"/>
  <c r="B109" i="6"/>
  <c r="B116" i="6"/>
  <c r="B414" i="6"/>
  <c r="B417" i="6"/>
  <c r="B65" i="6"/>
  <c r="B263" i="6"/>
  <c r="B38" i="6"/>
  <c r="B98" i="6"/>
  <c r="B55" i="6"/>
  <c r="B102" i="6"/>
  <c r="B120" i="6"/>
  <c r="B199" i="6"/>
  <c r="B264" i="6"/>
  <c r="B401" i="6"/>
  <c r="B39" i="6"/>
  <c r="B90" i="6"/>
  <c r="B106" i="6"/>
  <c r="B327" i="6"/>
  <c r="B157" i="6"/>
  <c r="B94" i="6"/>
  <c r="B112" i="6"/>
  <c r="B328" i="6"/>
  <c r="B331" i="6"/>
  <c r="B431" i="6"/>
  <c r="B70" i="6"/>
  <c r="B141" i="6"/>
  <c r="B34" i="6"/>
  <c r="B42" i="6"/>
  <c r="B67" i="6"/>
  <c r="B78" i="6"/>
  <c r="B82" i="6"/>
  <c r="B86" i="6"/>
  <c r="B11" i="6"/>
  <c r="B19" i="6"/>
  <c r="B27" i="6"/>
  <c r="B79" i="6"/>
  <c r="B83" i="6"/>
  <c r="B87" i="6"/>
  <c r="B91" i="6"/>
  <c r="B95" i="6"/>
  <c r="B99" i="6"/>
  <c r="B103" i="6"/>
  <c r="B107" i="6"/>
  <c r="B113" i="6"/>
  <c r="B117" i="6"/>
  <c r="B121" i="6"/>
  <c r="B145" i="6"/>
  <c r="B71" i="6"/>
  <c r="B256" i="6"/>
  <c r="B30" i="6"/>
  <c r="B58" i="6"/>
  <c r="B416" i="6"/>
  <c r="B447" i="6"/>
  <c r="B81" i="6"/>
  <c r="B85" i="6"/>
  <c r="B89" i="6"/>
  <c r="B93" i="6"/>
  <c r="B97" i="6"/>
  <c r="B101" i="6"/>
  <c r="B105" i="6"/>
  <c r="B111" i="6"/>
  <c r="B115" i="6"/>
  <c r="B119" i="6"/>
  <c r="B123" i="6"/>
  <c r="B410" i="6"/>
  <c r="B257" i="6"/>
  <c r="B59" i="6"/>
  <c r="B162" i="6"/>
  <c r="B166" i="6"/>
  <c r="B170" i="6"/>
  <c r="B270" i="6"/>
  <c r="B274" i="6"/>
  <c r="B278" i="6"/>
  <c r="B282" i="6"/>
  <c r="B286" i="6"/>
  <c r="B290" i="6"/>
  <c r="B294" i="6"/>
  <c r="B298" i="6"/>
  <c r="B302" i="6"/>
  <c r="B306" i="6"/>
  <c r="B310" i="6"/>
  <c r="B314" i="6"/>
  <c r="B318" i="6"/>
  <c r="B322" i="6"/>
  <c r="B326" i="6"/>
  <c r="B330" i="6"/>
  <c r="B405" i="6"/>
  <c r="B333" i="6"/>
  <c r="B413" i="6"/>
  <c r="B51" i="6"/>
  <c r="B54" i="6"/>
  <c r="B74" i="6"/>
  <c r="B77" i="6"/>
  <c r="B160" i="6"/>
  <c r="B163" i="6"/>
  <c r="B167" i="6"/>
  <c r="B271" i="6"/>
  <c r="B275" i="6"/>
  <c r="B279" i="6"/>
  <c r="B283" i="6"/>
  <c r="B287" i="6"/>
  <c r="B291" i="6"/>
  <c r="B295" i="6"/>
  <c r="B299" i="6"/>
  <c r="B303" i="6"/>
  <c r="B307" i="6"/>
  <c r="B311" i="6"/>
  <c r="B315" i="6"/>
  <c r="B319" i="6"/>
  <c r="B323" i="6"/>
  <c r="B400" i="6"/>
  <c r="B450" i="6"/>
  <c r="B452" i="6"/>
  <c r="B35" i="6"/>
  <c r="B43" i="6"/>
  <c r="B46" i="6"/>
  <c r="B66" i="6"/>
  <c r="B69" i="6"/>
  <c r="B75" i="6"/>
  <c r="Z126" i="6"/>
  <c r="B164" i="6"/>
  <c r="B168" i="6"/>
  <c r="B267" i="6"/>
  <c r="B272" i="6"/>
  <c r="B276" i="6"/>
  <c r="B280" i="6"/>
  <c r="B284" i="6"/>
  <c r="B288" i="6"/>
  <c r="B292" i="6"/>
  <c r="B296" i="6"/>
  <c r="B300" i="6"/>
  <c r="B304" i="6"/>
  <c r="B308" i="6"/>
  <c r="B312" i="6"/>
  <c r="B316" i="6"/>
  <c r="B320" i="6"/>
  <c r="B324" i="6"/>
  <c r="B130" i="6"/>
  <c r="B143" i="6"/>
  <c r="B174" i="6"/>
  <c r="B273" i="6"/>
  <c r="B277" i="6"/>
  <c r="B281" i="6"/>
  <c r="B285" i="6"/>
  <c r="B289" i="6"/>
  <c r="B293" i="6"/>
  <c r="B297" i="6"/>
  <c r="B301" i="6"/>
  <c r="B305" i="6"/>
  <c r="B309" i="6"/>
  <c r="B313" i="6"/>
  <c r="B317" i="6"/>
  <c r="B321" i="6"/>
  <c r="B325" i="6"/>
  <c r="B329" i="6"/>
  <c r="B418" i="6"/>
  <c r="B15" i="6"/>
  <c r="B23" i="6"/>
  <c r="B47" i="6"/>
  <c r="B50" i="6"/>
  <c r="B62" i="6"/>
  <c r="B73" i="6"/>
  <c r="B253" i="6"/>
  <c r="B409" i="6"/>
  <c r="B412" i="6"/>
  <c r="B427" i="6"/>
  <c r="B449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37" i="6"/>
  <c r="B341" i="6"/>
  <c r="B345" i="6"/>
  <c r="B349" i="6"/>
  <c r="B353" i="6"/>
  <c r="B357" i="6"/>
  <c r="B361" i="6"/>
  <c r="B365" i="6"/>
  <c r="B369" i="6"/>
  <c r="B373" i="6"/>
  <c r="B377" i="6"/>
  <c r="B381" i="6"/>
  <c r="B385" i="6"/>
  <c r="B389" i="6"/>
  <c r="B393" i="6"/>
  <c r="B397" i="6"/>
  <c r="B147" i="6"/>
  <c r="B165" i="6"/>
  <c r="B169" i="6"/>
  <c r="B172" i="6"/>
  <c r="B191" i="6"/>
  <c r="B261" i="6"/>
  <c r="B265" i="6"/>
  <c r="B441" i="6"/>
  <c r="B448" i="6"/>
  <c r="B8" i="6"/>
  <c r="B12" i="6"/>
  <c r="B20" i="6"/>
  <c r="B28" i="6"/>
  <c r="B64" i="6"/>
  <c r="B68" i="6"/>
  <c r="B72" i="6"/>
  <c r="B76" i="6"/>
  <c r="B80" i="6"/>
  <c r="B84" i="6"/>
  <c r="B88" i="6"/>
  <c r="B92" i="6"/>
  <c r="B96" i="6"/>
  <c r="B100" i="6"/>
  <c r="B104" i="6"/>
  <c r="B108" i="6"/>
  <c r="B114" i="6"/>
  <c r="B118" i="6"/>
  <c r="B122" i="6"/>
  <c r="B10" i="6"/>
  <c r="B14" i="6"/>
  <c r="B18" i="6"/>
  <c r="B22" i="6"/>
  <c r="B26" i="6"/>
  <c r="B33" i="6"/>
  <c r="B37" i="6"/>
  <c r="B41" i="6"/>
  <c r="B45" i="6"/>
  <c r="B49" i="6"/>
  <c r="B53" i="6"/>
  <c r="B57" i="6"/>
  <c r="B61" i="6"/>
  <c r="B131" i="6"/>
  <c r="B135" i="6"/>
  <c r="B139" i="6"/>
  <c r="B142" i="6"/>
  <c r="B151" i="6"/>
  <c r="B155" i="6"/>
  <c r="B159" i="6"/>
  <c r="B175" i="6"/>
  <c r="B185" i="6"/>
  <c r="B250" i="6"/>
  <c r="B254" i="6"/>
  <c r="B258" i="6"/>
  <c r="B334" i="6"/>
  <c r="B338" i="6"/>
  <c r="B342" i="6"/>
  <c r="B346" i="6"/>
  <c r="B350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1" i="6"/>
  <c r="B415" i="6"/>
  <c r="B439" i="6"/>
  <c r="B451" i="6"/>
  <c r="B126" i="6"/>
  <c r="B262" i="6"/>
  <c r="B266" i="6"/>
  <c r="B446" i="6"/>
  <c r="B7" i="6"/>
  <c r="B127" i="6"/>
  <c r="B132" i="6"/>
  <c r="B136" i="6"/>
  <c r="B140" i="6"/>
  <c r="B148" i="6"/>
  <c r="B152" i="6"/>
  <c r="B156" i="6"/>
  <c r="B173" i="6"/>
  <c r="B176" i="6"/>
  <c r="B180" i="6"/>
  <c r="B232" i="6"/>
  <c r="B251" i="6"/>
  <c r="B255" i="6"/>
  <c r="B259" i="6"/>
  <c r="B332" i="6"/>
  <c r="B335" i="6"/>
  <c r="B339" i="6"/>
  <c r="B343" i="6"/>
  <c r="B34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34" i="6"/>
  <c r="B110" i="6"/>
  <c r="B190" i="6"/>
  <c r="B420" i="6"/>
  <c r="B16" i="6"/>
  <c r="B24" i="6"/>
  <c r="B31" i="6"/>
  <c r="B128" i="6"/>
  <c r="B133" i="6"/>
  <c r="B137" i="6"/>
  <c r="B146" i="6"/>
  <c r="B149" i="6"/>
  <c r="B153" i="6"/>
  <c r="B171" i="6"/>
  <c r="B177" i="6"/>
  <c r="B252" i="6"/>
  <c r="B336" i="6"/>
  <c r="B340" i="6"/>
  <c r="B344" i="6"/>
  <c r="B348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234" i="6"/>
  <c r="B186" i="6"/>
  <c r="B198" i="6"/>
  <c r="B193" i="6"/>
  <c r="B196" i="6"/>
  <c r="B189" i="6"/>
  <c r="B194" i="6"/>
  <c r="B182" i="6"/>
  <c r="B187" i="6"/>
  <c r="AC241" i="6"/>
  <c r="B437" i="6"/>
  <c r="B445" i="6"/>
  <c r="B444" i="6"/>
  <c r="B442" i="6"/>
  <c r="B443" i="6"/>
  <c r="B430" i="6"/>
  <c r="B428" i="6"/>
  <c r="B435" i="6"/>
  <c r="B421" i="6"/>
  <c r="B422" i="6"/>
  <c r="AC437" i="6"/>
  <c r="B432" i="6"/>
  <c r="B436" i="6"/>
  <c r="B429" i="6"/>
  <c r="B433" i="6"/>
  <c r="B438" i="6"/>
  <c r="B203" i="6"/>
  <c r="B179" i="6"/>
  <c r="B178" i="6"/>
  <c r="B245" i="6"/>
  <c r="B4" i="6"/>
  <c r="B197" i="6"/>
  <c r="B5" i="6"/>
  <c r="B124" i="6"/>
  <c r="B192" i="6"/>
  <c r="AC4" i="6"/>
  <c r="B3" i="6"/>
  <c r="B200" i="6"/>
  <c r="B202" i="6"/>
  <c r="AC440" i="6"/>
  <c r="B183" i="6"/>
  <c r="B188" i="6"/>
  <c r="B204" i="6"/>
  <c r="B184" i="6"/>
  <c r="B235" i="6"/>
  <c r="B236" i="6"/>
  <c r="AC236" i="6"/>
  <c r="B249" i="6"/>
  <c r="AC249" i="6"/>
  <c r="B243" i="6"/>
  <c r="AC243" i="6"/>
  <c r="AC239" i="6"/>
  <c r="AC235" i="6"/>
  <c r="AC204" i="6"/>
  <c r="B195" i="6"/>
  <c r="AC184" i="6"/>
  <c r="B181" i="6"/>
  <c r="B201" i="6"/>
  <c r="AC183" i="6"/>
  <c r="AC188" i="6"/>
  <c r="AC197" i="6"/>
  <c r="AC192" i="6"/>
  <c r="AC242" i="6"/>
  <c r="B238" i="6"/>
  <c r="AC238" i="6"/>
  <c r="B246" i="6"/>
  <c r="AC246" i="6"/>
  <c r="B247" i="6"/>
  <c r="AC247" i="6"/>
  <c r="AC244" i="6"/>
  <c r="AC2" i="8"/>
  <c r="AD3" i="8"/>
  <c r="O2" i="8"/>
  <c r="P3" i="8"/>
  <c r="AD2" i="8"/>
  <c r="AE3" i="8"/>
  <c r="AE2" i="8"/>
  <c r="P2" i="8"/>
  <c r="Q3" i="8"/>
  <c r="Q2" i="8"/>
  <c r="R3" i="8"/>
  <c r="R2" i="8"/>
  <c r="S3" i="8"/>
  <c r="T3" i="8"/>
  <c r="T2" i="8"/>
  <c r="U3" i="8"/>
  <c r="S2" i="8"/>
  <c r="U2" i="8"/>
  <c r="V3" i="8"/>
  <c r="V2" i="8"/>
  <c r="W3" i="8"/>
  <c r="W2" i="8"/>
  <c r="X3" i="8"/>
  <c r="X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<sst xmlns="http://schemas.openxmlformats.org/spreadsheetml/2006/main" count="4922" uniqueCount="1343">
  <si>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</si>
  <si>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</si>
  <si>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</si>
  <si>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</si>
  <si>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</si>
  <si>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</si>
  <si>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</si>
  <si>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</si>
  <si>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</si>
  <si>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</si>
  <si>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</si>
  <si>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</si>
  <si>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</si>
  <si>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</si>
  <si>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</si>
  <si>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</si>
  <si>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</si>
  <si>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</si>
  <si>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</si>
  <si>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</si>
  <si>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</si>
  <si>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</si>
  <si>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</si>
  <si>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</si>
  <si>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</si>
  <si>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</si>
  <si>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</si>
  <si>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</si>
  <si>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</si>
  <si>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</si>
  <si>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</si>
  <si>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</si>
  <si>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</si>
  <si>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</si>
  <si>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</si>
  <si>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</si>
  <si>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</si>
  <si>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</si>
  <si>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</si>
  <si>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</si>
  <si>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</si>
  <si>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</si>
  <si>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</si>
  <si>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</si>
  <si>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</si>
  <si>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</si>
  <si>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</si>
  <si>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</si>
  <si>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</si>
  <si>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</si>
  <si>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</si>
  <si>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</si>
  <si>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</si>
  <si>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</si>
  <si>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</si>
  <si>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</si>
  <si>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</si>
  <si>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</si>
  <si>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</si>
  <si>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</si>
  <si>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</si>
  <si>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</si>
  <si>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</si>
  <si>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</si>
  <si>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</si>
  <si>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</si>
  <si>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</si>
  <si>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</si>
  <si>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</si>
  <si>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</si>
  <si>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</si>
  <si>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</si>
  <si>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</si>
  <si>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</si>
  <si>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</si>
  <si>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</si>
  <si>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</si>
  <si>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</si>
  <si>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</si>
  <si>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</si>
  <si>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</si>
  <si>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</si>
  <si>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</si>
  <si>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</si>
  <si>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</si>
  <si>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</si>
  <si>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</si>
  <si>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</si>
  <si>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</si>
  <si>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</si>
  <si>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</si>
  <si>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</si>
  <si>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</si>
  <si>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</si>
  <si>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</si>
  <si>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</si>
  <si>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</si>
  <si>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</si>
  <si>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</si>
  <si>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</si>
  <si>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</si>
  <si>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</si>
  <si>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</si>
  <si>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</si>
  <si>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</si>
  <si>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</si>
  <si>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</si>
  <si>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</si>
  <si>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</si>
  <si>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</si>
  <si>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</si>
  <si>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</si>
  <si>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</si>
  <si>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</si>
  <si>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</si>
  <si>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</si>
  <si>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</si>
  <si>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</si>
  <si>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</si>
  <si>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</si>
  <si>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</si>
  <si>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</si>
  <si>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</si>
  <si>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</si>
  <si>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</si>
  <si>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</si>
  <si>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</si>
  <si>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</si>
  <si>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</si>
  <si>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</si>
  <si>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</si>
  <si>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</si>
  <si>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</si>
  <si>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</si>
  <si>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</si>
  <si>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</si>
  <si>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</si>
  <si>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</si>
  <si>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</si>
  <si>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</si>
  <si>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</si>
  <si>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</si>
  <si>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</si>
  <si>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</si>
  <si>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</si>
  <si>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</si>
  <si>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</si>
  <si>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</si>
  <si>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</si>
  <si>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</si>
  <si>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</si>
  <si>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</si>
  <si>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</si>
  <si>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</si>
  <si>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</si>
  <si>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</si>
  <si>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</si>
  <si>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</si>
  <si>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</si>
  <si>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</si>
  <si>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</si>
  <si>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</si>
  <si>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</si>
  <si>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</si>
  <si>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</si>
  <si>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</si>
  <si>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</si>
  <si>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</si>
  <si>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</si>
  <si>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</si>
  <si>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</si>
  <si>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</si>
  <si>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</si>
  <si>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</si>
  <si>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</si>
  <si>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</si>
  <si>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</si>
  <si>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</si>
  <si>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</si>
  <si>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</si>
  <si>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</si>
  <si>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</si>
  <si>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</si>
  <si>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</si>
  <si>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</si>
  <si>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</si>
  <si>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</si>
  <si>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</si>
  <si>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</si>
  <si>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</si>
  <si>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</si>
  <si>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</si>
  <si>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</si>
  <si>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</si>
  <si>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</si>
  <si>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</si>
  <si>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</si>
  <si>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</si>
  <si>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</si>
  <si>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</si>
  <si>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</si>
  <si>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</si>
  <si>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</si>
  <si>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</si>
  <si>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</si>
  <si>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</si>
  <si>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</si>
  <si>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</si>
  <si>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</si>
  <si>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</si>
  <si>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</si>
  <si>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</si>
  <si>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</si>
  <si>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</si>
  <si>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</si>
  <si>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</si>
  <si>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</si>
  <si>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</si>
  <si>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</si>
  <si>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</si>
  <si>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</si>
  <si>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</si>
  <si>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</si>
  <si>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</si>
  <si>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</si>
  <si>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</si>
  <si>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</si>
  <si>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</si>
  <si>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</si>
  <si>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</si>
  <si>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</si>
  <si>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</si>
  <si>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</si>
  <si>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</si>
  <si>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</si>
  <si>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</si>
  <si>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</si>
  <si>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</si>
  <si>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</si>
  <si>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</si>
  <si>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</si>
  <si>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</si>
  <si>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</si>
  <si>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</si>
  <si>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</si>
  <si>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</si>
  <si>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</si>
  <si>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</si>
  <si>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</si>
  <si>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</si>
  <si>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</si>
  <si>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</si>
  <si>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</si>
  <si>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</si>
  <si>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</si>
  <si>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</si>
  <si>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</si>
  <si>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</si>
  <si>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</si>
  <si>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</si>
  <si>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</si>
  <si>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</si>
  <si>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</si>
  <si>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</si>
  <si>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</si>
  <si>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</si>
  <si>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</si>
  <si>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</si>
  <si>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</si>
  <si>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</si>
  <si>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</si>
  <si>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</si>
  <si>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</si>
  <si>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</si>
  <si>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</si>
  <si>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</si>
  <si>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</si>
  <si>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</si>
  <si>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</si>
  <si>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</si>
  <si>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</si>
  <si>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</si>
  <si>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</si>
  <si>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</si>
  <si>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</si>
  <si>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</si>
  <si>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</si>
  <si>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</si>
  <si>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</si>
  <si>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</si>
  <si>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</si>
  <si>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</si>
  <si>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</si>
  <si>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</si>
  <si>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</si>
  <si>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</si>
  <si>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</si>
  <si>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</si>
  <si>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</si>
  <si>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</si>
  <si>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</si>
  <si>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</si>
  <si>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</si>
  <si>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</si>
  <si>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</si>
  <si>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</si>
  <si>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</si>
  <si>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</si>
  <si>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</si>
  <si>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</si>
  <si>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</si>
  <si>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</si>
  <si>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</si>
  <si>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</si>
  <si>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</si>
  <si>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</si>
  <si>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</si>
  <si>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</si>
  <si>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</si>
  <si>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</si>
  <si>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</si>
  <si>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</si>
  <si>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</si>
  <si>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</si>
  <si>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</si>
  <si>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</si>
  <si>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</si>
  <si>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</si>
  <si>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</si>
  <si>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</si>
  <si>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</si>
  <si>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</si>
  <si>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</si>
  <si>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</si>
  <si>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</si>
  <si>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</si>
  <si>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</si>
  <si>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</si>
  <si>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</si>
  <si>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</si>
  <si>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</si>
  <si>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</si>
  <si>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</si>
  <si>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</si>
  <si>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</si>
  <si>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</si>
  <si>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</si>
  <si>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</si>
  <si>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</si>
  <si>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</si>
  <si>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</si>
  <si>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</si>
  <si>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</si>
  <si>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</si>
  <si>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</si>
  <si>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</si>
  <si>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</si>
  <si>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</si>
  <si>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</si>
  <si>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</si>
  <si>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</si>
  <si>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</si>
  <si>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</si>
  <si>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</si>
  <si>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</si>
  <si>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</si>
  <si>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</si>
  <si>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</si>
  <si>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</si>
  <si>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</si>
  <si>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</si>
  <si>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</si>
  <si>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</si>
  <si>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</si>
  <si>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</si>
  <si>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</si>
  <si>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</si>
  <si>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</si>
  <si>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</si>
  <si>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</si>
  <si>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</si>
  <si>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</si>
  <si>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</si>
  <si>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</si>
  <si>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</si>
  <si>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</si>
  <si>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</si>
  <si>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</si>
  <si>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</si>
  <si>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</si>
  <si>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</si>
  <si>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</si>
  <si>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</si>
  <si>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</si>
  <si>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</si>
  <si>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</si>
  <si>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</si>
  <si>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</si>
  <si>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</si>
  <si>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</si>
  <si>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</si>
  <si>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</si>
  <si>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</si>
  <si>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</si>
  <si>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</si>
  <si>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</si>
  <si>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</si>
  <si>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</si>
  <si>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</si>
  <si>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</si>
  <si>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</si>
  <si>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</si>
  <si>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</si>
  <si>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</si>
  <si>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</si>
  <si>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</si>
  <si>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</si>
  <si>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</si>
  <si>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</si>
  <si>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</si>
  <si>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</si>
  <si>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</si>
  <si>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</si>
  <si>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</si>
  <si>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</si>
  <si>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</si>
  <si>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</si>
  <si>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</si>
  <si>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</si>
  <si>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</si>
  <si>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</si>
  <si>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</si>
  <si>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</si>
  <si>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</si>
  <si>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</si>
  <si>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</si>
  <si>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</si>
  <si>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</si>
  <si>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</si>
  <si>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</si>
  <si>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</si>
  <si>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</si>
  <si>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</si>
  <si>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</si>
  <si>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</si>
  <si>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</si>
  <si>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</si>
  <si>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</si>
  <si>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</si>
  <si>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</si>
  <si>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</si>
  <si>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</si>
  <si>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</si>
  <si>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</si>
  <si>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</si>
  <si>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</si>
  <si>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</si>
  <si>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</si>
  <si>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</si>
  <si>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</si>
  <si>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</si>
  <si>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</si>
  <si>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</si>
  <si>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</si>
  <si>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</si>
  <si>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</si>
  <si>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</si>
  <si>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</si>
  <si>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</si>
  <si>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</si>
  <si>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</si>
  <si>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</si>
  <si>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</si>
  <si>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</si>
  <si>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</si>
  <si>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</si>
  <si>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</si>
  <si>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</si>
  <si>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</si>
  <si>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</si>
  <si>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</si>
  <si>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</si>
  <si>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</si>
  <si>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</si>
  <si>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</si>
  <si>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</si>
  <si>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</si>
  <si>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</si>
  <si>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</si>
  <si>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</si>
  <si>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</si>
  <si>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</si>
  <si>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</si>
  <si>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</si>
  <si>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</si>
  <si>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</si>
  <si>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</si>
  <si>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</si>
  <si>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</si>
  <si>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</si>
  <si>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</si>
  <si>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</si>
  <si>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</si>
  <si>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</si>
  <si>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</si>
  <si>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</si>
  <si>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</si>
  <si>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</si>
  <si>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</si>
  <si>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</si>
  <si>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</si>
  <si>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</si>
  <si>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</si>
  <si>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</si>
  <si>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</si>
  <si>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</si>
  <si>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</si>
  <si>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</si>
  <si>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</si>
  <si>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</si>
  <si>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</si>
  <si>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</si>
  <si>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</si>
  <si>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</si>
  <si>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</si>
  <si>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</si>
  <si>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</si>
  <si>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</si>
  <si>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</si>
  <si>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</si>
  <si>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</si>
  <si>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</si>
  <si>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</si>
  <si>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</si>
  <si>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</si>
  <si>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</si>
  <si>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</si>
  <si>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</si>
  <si>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</si>
  <si>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</si>
  <si>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</si>
  <si>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</si>
  <si>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</si>
  <si>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</si>
  <si>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</si>
  <si>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</si>
  <si>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</si>
  <si>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</si>
  <si>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</si>
  <si>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</si>
  <si>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</si>
  <si>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</si>
  <si>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</si>
  <si>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</si>
  <si>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</si>
  <si>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</si>
  <si>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</si>
  <si>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</si>
  <si>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</si>
  <si>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</si>
  <si>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</si>
  <si>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</si>
  <si>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</si>
  <si>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</si>
  <si>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</si>
  <si>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</si>
  <si>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</si>
  <si>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</si>
  <si>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</si>
  <si>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</si>
  <si>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</si>
  <si>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</si>
  <si>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</si>
  <si>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</si>
  <si>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</si>
  <si>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</si>
  <si>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</si>
  <si>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</si>
  <si>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</si>
  <si>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</si>
  <si>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</si>
  <si>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</si>
  <si>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</si>
  <si>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</si>
  <si>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</si>
  <si>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</si>
  <si>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</si>
  <si>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</si>
  <si>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</si>
  <si>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</si>
  <si>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</si>
  <si>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</si>
  <si>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</si>
  <si>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</si>
  <si>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</si>
  <si>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</si>
  <si>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</si>
  <si>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</si>
  <si>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</si>
  <si>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</si>
  <si>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</si>
  <si>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</si>
  <si>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</si>
  <si>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</si>
  <si>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</si>
  <si>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</si>
  <si>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</si>
  <si>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</si>
  <si>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</si>
  <si>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</si>
  <si>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</si>
  <si>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</si>
  <si>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</si>
  <si>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</si>
  <si>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</si>
  <si>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</si>
  <si>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</si>
  <si>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</si>
  <si>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</si>
  <si>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</si>
  <si>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</si>
  <si>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</si>
  <si>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</si>
  <si>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</si>
  <si>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</si>
  <si>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</si>
  <si>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</si>
  <si>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</si>
  <si>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</si>
  <si>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</si>
  <si>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</si>
  <si>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</si>
  <si>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</si>
  <si>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</si>
  <si>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</si>
  <si>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</si>
  <si>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</si>
  <si>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</si>
  <si>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</si>
  <si>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</si>
  <si>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</si>
  <si>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</si>
  <si>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</si>
  <si>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</si>
  <si>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</si>
  <si>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</si>
  <si>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</si>
  <si>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</si>
  <si>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</si>
  <si>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</si>
  <si>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</si>
  <si>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</si>
  <si>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</si>
  <si>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</si>
  <si>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</si>
  <si>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</si>
  <si>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</si>
  <si>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</si>
  <si>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</si>
  <si>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</si>
  <si>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</si>
  <si>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</si>
  <si>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</si>
  <si>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</si>
  <si>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</si>
  <si>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</si>
  <si>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</si>
  <si>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</si>
  <si>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</si>
  <si>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</si>
  <si>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</si>
  <si>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</si>
  <si>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</si>
  <si>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</si>
  <si>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</si>
  <si>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</si>
  <si>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</si>
  <si>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</si>
  <si>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</si>
  <si>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</si>
  <si>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</si>
  <si>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</si>
  <si>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</si>
  <si>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</si>
  <si>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</si>
  <si>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</si>
  <si>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</si>
  <si>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</si>
  <si>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</si>
  <si>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</si>
  <si>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</si>
  <si>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</si>
  <si>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</si>
  <si>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</si>
  <si>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</si>
  <si>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</si>
  <si>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</si>
  <si>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</si>
  <si>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</si>
  <si>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</si>
  <si>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</si>
  <si>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</si>
  <si>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</si>
  <si>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</si>
  <si>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</si>
  <si>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</si>
  <si>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</si>
  <si>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</si>
  <si>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</si>
  <si>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</si>
  <si>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</si>
  <si>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</si>
  <si>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</si>
  <si>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</si>
  <si>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</si>
  <si>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</si>
  <si>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</si>
  <si>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</si>
  <si>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</si>
  <si>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</si>
  <si>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</si>
  <si>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</si>
  <si>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</si>
  <si>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</si>
  <si>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</si>
  <si>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</si>
  <si>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</si>
  <si>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</si>
  <si>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</si>
  <si>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</si>
  <si>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</si>
  <si>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</si>
  <si>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</si>
  <si>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</si>
  <si>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</si>
  <si>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</si>
  <si>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</si>
  <si>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</si>
  <si>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</si>
  <si>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</si>
  <si>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</si>
  <si>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</si>
  <si>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</si>
  <si>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</si>
  <si>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</si>
  <si>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</si>
  <si>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</si>
  <si>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</si>
  <si>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</si>
  <si>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</si>
  <si>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</si>
  <si>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</si>
  <si>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</si>
  <si>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</si>
  <si>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</si>
  <si>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</si>
  <si>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</si>
  <si>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</si>
  <si>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</si>
  <si>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</si>
  <si>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</si>
  <si>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</si>
  <si>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</si>
  <si>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</si>
  <si>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</si>
  <si>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</si>
  <si>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</si>
  <si>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</si>
  <si>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</si>
  <si>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</si>
  <si>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</si>
  <si>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</si>
  <si>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</si>
  <si>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</si>
  <si>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</si>
  <si>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</si>
  <si>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</si>
  <si>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</si>
  <si>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</si>
  <si>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</si>
  <si>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</si>
  <si>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</si>
  <si>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</si>
  <si>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</si>
  <si>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</si>
  <si>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</si>
  <si>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</si>
  <si>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</si>
  <si>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</si>
  <si>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</si>
  <si>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</si>
  <si>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</si>
  <si>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</si>
  <si>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</si>
  <si>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</si>
  <si>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</si>
  <si>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</si>
  <si>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</si>
  <si>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</si>
  <si>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</si>
  <si>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</si>
  <si>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</si>
  <si>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</si>
  <si>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</si>
  <si>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</si>
  <si>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</si>
  <si>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</si>
  <si>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</si>
  <si>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</si>
  <si>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</si>
  <si>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</si>
  <si>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</si>
  <si>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</si>
  <si>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</si>
  <si>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</si>
  <si>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</si>
  <si>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</si>
  <si>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</si>
  <si>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</si>
  <si>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</si>
  <si>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</si>
  <si>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</si>
  <si>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</si>
  <si>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</si>
  <si>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</si>
  <si>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</si>
  <si>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</si>
  <si>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</si>
  <si>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</si>
  <si>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</si>
  <si>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</si>
  <si>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</si>
  <si>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</si>
  <si>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</si>
  <si>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</si>
  <si>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</si>
  <si>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</si>
  <si>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</si>
  <si>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</si>
  <si>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</si>
  <si>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</si>
  <si>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</si>
  <si>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</si>
  <si>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</si>
  <si>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</si>
  <si>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</si>
  <si>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</si>
  <si>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</si>
  <si>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</si>
  <si>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</si>
  <si>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</si>
  <si>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</si>
  <si>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</si>
  <si>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</si>
  <si>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</si>
  <si>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</si>
  <si>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</si>
  <si>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</si>
  <si>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</si>
  <si>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</si>
  <si>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</si>
  <si>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</si>
  <si>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</si>
  <si>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</si>
  <si>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</si>
  <si>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</si>
  <si>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</si>
  <si>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</si>
  <si>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</si>
  <si>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</si>
  <si>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</si>
  <si>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</si>
  <si>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</si>
  <si>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</si>
  <si>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</si>
  <si>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</si>
  <si>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</si>
  <si>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</si>
  <si>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</si>
  <si>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</si>
  <si>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</si>
  <si>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</si>
  <si>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</si>
  <si>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</si>
  <si>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</si>
  <si>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</si>
  <si>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</si>
  <si>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</si>
  <si>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</si>
  <si>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</si>
  <si>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</si>
  <si>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</si>
  <si>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</si>
  <si>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</si>
  <si>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</si>
  <si>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</si>
  <si>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</si>
  <si>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</si>
  <si>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</si>
  <si>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</si>
  <si>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</si>
  <si>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</si>
  <si>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</si>
  <si>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</si>
  <si>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</si>
  <si>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</si>
  <si>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</si>
  <si>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</si>
  <si>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</si>
  <si>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</si>
  <si>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</si>
  <si>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</si>
  <si>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</si>
  <si>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</si>
  <si>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</si>
  <si>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</si>
  <si>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</si>
  <si>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</si>
  <si>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</si>
  <si>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</si>
  <si>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</si>
  <si>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</si>
  <si>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</si>
  <si>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</si>
  <si>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</si>
  <si>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</si>
  <si>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</si>
  <si>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</si>
  <si>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</si>
  <si>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</si>
  <si>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</si>
  <si>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</si>
  <si>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</si>
  <si>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</si>
  <si>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</si>
  <si>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</si>
  <si>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</si>
  <si>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</si>
  <si>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</si>
  <si>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</si>
  <si>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</si>
  <si>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</si>
  <si>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</si>
  <si>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</si>
  <si>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</si>
  <si>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</si>
  <si>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</si>
  <si>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</si>
  <si>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</si>
  <si>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</si>
  <si>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</si>
  <si>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</si>
  <si>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</si>
  <si>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</si>
  <si>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</si>
  <si>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</si>
  <si>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</si>
  <si>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</si>
  <si>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</si>
  <si>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</si>
  <si>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</si>
  <si>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</si>
  <si>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</si>
  <si>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</si>
  <si>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</si>
  <si>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</si>
  <si>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</si>
  <si>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</si>
  <si>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</si>
  <si>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</si>
  <si>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</si>
  <si>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</si>
  <si>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</si>
  <si>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</si>
  <si>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</si>
  <si>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</si>
  <si>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</si>
  <si>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</si>
  <si>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</si>
  <si>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</si>
  <si>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</si>
  <si>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</si>
  <si>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</si>
  <si>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</si>
  <si>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</si>
  <si>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</si>
  <si>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</si>
  <si>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</si>
  <si>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</si>
  <si>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</si>
  <si>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</si>
  <si>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</si>
  <si>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</si>
  <si>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</si>
  <si>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</si>
  <si>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</si>
  <si>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</si>
  <si>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</si>
  <si>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</si>
  <si>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</si>
  <si>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</si>
  <si>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</si>
  <si>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</si>
  <si>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</si>
  <si>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</si>
  <si>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</si>
  <si>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</si>
  <si>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</si>
  <si>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</si>
  <si>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</si>
  <si>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</si>
  <si>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</si>
  <si>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</si>
  <si>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</si>
  <si>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</si>
  <si>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</si>
  <si>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</si>
  <si>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</si>
  <si>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</si>
  <si>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</si>
  <si>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</si>
  <si>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</si>
  <si>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</si>
  <si>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</si>
  <si>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</si>
  <si>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</si>
  <si>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</si>
  <si>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</si>
  <si>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</si>
  <si>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</si>
  <si>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</si>
  <si>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</si>
  <si>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</si>
  <si>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</si>
  <si>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</si>
  <si>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</si>
  <si>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</si>
  <si>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</si>
  <si>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</si>
  <si>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</si>
  <si>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</si>
  <si>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</si>
  <si>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</si>
  <si>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</si>
  <si>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</si>
  <si>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</si>
  <si>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</si>
  <si>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</si>
  <si>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</si>
  <si>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</si>
  <si>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</si>
  <si>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</si>
  <si>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</si>
  <si>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</si>
  <si>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</si>
  <si>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</si>
  <si>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</si>
  <si>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</si>
  <si>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</si>
  <si>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</si>
  <si>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</si>
  <si>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</si>
  <si>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</si>
  <si>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</si>
  <si>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</si>
  <si>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</si>
  <si>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</si>
  <si>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</si>
  <si>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</si>
  <si>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</si>
  <si>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</si>
  <si>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</si>
  <si>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</si>
  <si>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</si>
  <si>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</si>
  <si>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</si>
  <si>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</si>
  <si>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</si>
  <si>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</si>
  <si>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</si>
  <si>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</si>
  <si>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</si>
  <si>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</si>
  <si>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</si>
  <si>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</si>
  <si>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</si>
  <si>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</si>
  <si>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</si>
  <si>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</si>
  <si>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</si>
  <si>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</si>
  <si>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</si>
  <si>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</si>
  <si>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</si>
  <si>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</si>
  <si>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</si>
  <si>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</si>
  <si>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</si>
  <si>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</si>
  <si>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</si>
  <si>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</si>
  <si>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</si>
  <si>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</si>
  <si>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</si>
  <si>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</si>
  <si>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</si>
  <si>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</si>
  <si>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</si>
  <si>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</si>
  <si>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</si>
  <si>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</si>
  <si>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</si>
  <si>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</si>
  <si>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</si>
  <si>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</si>
  <si>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</si>
  <si>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</si>
  <si>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</si>
  <si>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</si>
  <si>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</si>
  <si>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</si>
  <si>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</si>
  <si>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</si>
  <si>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</si>
  <si>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</si>
  <si>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</si>
  <si>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</si>
  <si>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</si>
  <si>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</si>
  <si>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</si>
  <si>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</si>
  <si>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</si>
  <si>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</si>
  <si>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</si>
  <si>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</si>
  <si>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</si>
  <si>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</si>
  <si>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</si>
  <si>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</si>
  <si>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</si>
  <si>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</si>
  <si>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</si>
  <si>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</si>
  <si>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</si>
  <si>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</si>
  <si>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</si>
  <si>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</si>
  <si>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</si>
  <si>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</si>
  <si>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</si>
  <si>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</si>
  <si>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</si>
  <si>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</si>
  <si>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</si>
  <si>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</si>
  <si>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</si>
  <si>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</si>
  <si>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</si>
  <si>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</si>
  <si>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</si>
  <si>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</si>
  <si>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</si>
  <si>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</si>
  <si>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</si>
  <si>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</si>
  <si>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</si>
  <si>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</si>
  <si>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</si>
  <si>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</si>
  <si>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</si>
  <si>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</si>
  <si>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</si>
  <si>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</si>
  <si>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</si>
  <si>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</si>
  <si>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</si>
  <si>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</si>
  <si>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</si>
  <si>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</si>
  <si>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</si>
  <si>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</si>
  <si>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</si>
  <si>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</si>
  <si>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</si>
  <si>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</si>
  <si>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</si>
  <si>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</si>
  <si>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</si>
  <si>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</si>
  <si>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</si>
  <si>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</si>
  <si>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</si>
  <si>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</si>
  <si>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</si>
  <si>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</si>
  <si>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</si>
  <si>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</si>
  <si>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</si>
  <si>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</si>
  <si>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</si>
  <si>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</si>
  <si>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</si>
  <si>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</si>
  <si>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</si>
  <si>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</si>
  <si>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</si>
  <si>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</si>
  <si>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</si>
  <si>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</si>
  <si>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</si>
  <si>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</si>
  <si>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</si>
  <si>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</si>
  <si>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</si>
  <si>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</si>
  <si>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</si>
  <si>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</si>
  <si>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</si>
  <si>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</si>
  <si>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</si>
  <si>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</si>
  <si>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dka_automation_mat</t>
  </si>
  <si>
    <t>dka_grip_mat_BS1</t>
  </si>
  <si>
    <t>dka_grip_mat_BS2</t>
  </si>
  <si>
    <t>dka_grip_mat_BGS1</t>
  </si>
  <si>
    <t>dka_grip_mat_BGS2</t>
  </si>
  <si>
    <t>bs_door_pushbar</t>
  </si>
  <si>
    <t>Stoßgriff</t>
  </si>
  <si>
    <t>Stoßgriff Typ BS</t>
  </si>
  <si>
    <t>Stoßgriff Typ OS</t>
  </si>
  <si>
    <t>Stoßgriff vertikale Position BS</t>
  </si>
  <si>
    <t>Stoßgriff vertikale Position OS</t>
  </si>
  <si>
    <t>Stoßgriff horizontale Position BS</t>
  </si>
  <si>
    <t>Stoßgriff horizontale Position OS</t>
  </si>
  <si>
    <t>Stossgriff Oberfläche BS</t>
  </si>
  <si>
    <t>Stossgriff Oberfläche OS</t>
  </si>
  <si>
    <t>Stoßgriff Typ BGS</t>
  </si>
  <si>
    <t>Stoßgriff Typ SS</t>
  </si>
  <si>
    <t>Stoßgriff horizontale Position BGS</t>
  </si>
  <si>
    <t>Stoßgriff horizontale Position SS</t>
  </si>
  <si>
    <t>Stoßgriff vertikale Position BGS</t>
  </si>
  <si>
    <t>Stoßgriff vertikale Position SS</t>
  </si>
  <si>
    <t>Stossgriff Oberfläche BGS</t>
  </si>
  <si>
    <t>Stossgriff Oberfläche SS</t>
  </si>
  <si>
    <t>Stossgriff auf Standflügel</t>
  </si>
  <si>
    <t>SV</t>
  </si>
  <si>
    <t>SH</t>
  </si>
  <si>
    <t>BH</t>
  </si>
  <si>
    <t>Stange vertikal</t>
  </si>
  <si>
    <t>Brett horizontal</t>
  </si>
  <si>
    <t>Griff mit Brett</t>
  </si>
  <si>
    <t>GB</t>
  </si>
  <si>
    <t>bs_pushbar_surface_BS</t>
  </si>
  <si>
    <t>bs_pushbar_surface_BGS</t>
  </si>
  <si>
    <t>dk_pushbar_diameter</t>
  </si>
  <si>
    <t>dk_pushbar_distance_top</t>
  </si>
  <si>
    <t>dk_pushbar_distance_bottom</t>
  </si>
  <si>
    <t>dk_pushbar_width</t>
  </si>
  <si>
    <t>dk_pushbar_thk</t>
  </si>
  <si>
    <t>dk_pushbar_distance_left</t>
  </si>
  <si>
    <t>dk_pushbar_distance_right</t>
  </si>
  <si>
    <t>Durchmesser Stange</t>
  </si>
  <si>
    <t>Abstand oben</t>
  </si>
  <si>
    <t>Abstand unten</t>
  </si>
  <si>
    <t>Breite Brett</t>
  </si>
  <si>
    <t>Dicke Brett</t>
  </si>
  <si>
    <t>Abstand links</t>
  </si>
  <si>
    <t>Abstand rechts</t>
  </si>
  <si>
    <t>dk_pushbar_distance_surface</t>
  </si>
  <si>
    <t>maximale Ausladung</t>
  </si>
  <si>
    <t>dk_pushbar_plate_thk</t>
  </si>
  <si>
    <t>Dicke Anschlussbleche</t>
  </si>
  <si>
    <t>dk_pushbar_pipe_thk</t>
  </si>
  <si>
    <t>Wandungsstärke Stange</t>
  </si>
  <si>
    <t>bs_pushbar_BS</t>
  </si>
  <si>
    <t>bs_pushbar_posX_BS</t>
  </si>
  <si>
    <t>bs_pushbar_posY_BS</t>
  </si>
  <si>
    <t>bs_pushbar_BGS</t>
  </si>
  <si>
    <t>bs_pushbar_posX_BGS</t>
  </si>
  <si>
    <t>bs_pushbar_posY_BGS</t>
  </si>
  <si>
    <t>bs_pushbar_SF</t>
  </si>
  <si>
    <t>Stange horizontal</t>
  </si>
  <si>
    <t>Aus</t>
  </si>
  <si>
    <t>dk_visibleLeaf</t>
  </si>
  <si>
    <t>Türblatt sichtbar?</t>
  </si>
  <si>
    <t>dka_panel_bandings_mat</t>
  </si>
  <si>
    <t>dka_panel2_bandings_mat</t>
  </si>
  <si>
    <t>dka_closer_mat</t>
  </si>
  <si>
    <t>context</t>
  </si>
  <si>
    <t>Steel</t>
  </si>
  <si>
    <t>Aluminium</t>
  </si>
  <si>
    <t>Holz</t>
  </si>
  <si>
    <t>Wood</t>
  </si>
  <si>
    <t>Kunststoff</t>
  </si>
  <si>
    <t>Plastic</t>
  </si>
  <si>
    <t>uiTXT</t>
  </si>
  <si>
    <t>STOSSGRIFF</t>
  </si>
  <si>
    <t>PUSH BAR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</si>
  <si>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</si>
  <si>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</si>
  <si>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</si>
  <si>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</si>
  <si>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</si>
  <si>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</si>
  <si>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</si>
  <si>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</si>
  <si>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</si>
  <si>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</si>
  <si>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</si>
  <si>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Englisch</t>
  </si>
  <si>
    <t>babel</t>
  </si>
  <si>
    <t>Typ:</t>
  </si>
  <si>
    <t>Typ + Anordnung:</t>
  </si>
  <si>
    <t>Oberfläche:</t>
  </si>
  <si>
    <t>Position X / Y:</t>
  </si>
  <si>
    <t>Bandseite:</t>
  </si>
  <si>
    <t>Bandgegenseite:</t>
  </si>
  <si>
    <t>BANDSEITE:</t>
  </si>
  <si>
    <t>BANDGEGENSEITE:</t>
  </si>
  <si>
    <t>DARSTELLUNG:</t>
  </si>
  <si>
    <t>STANDFLÜGEL:</t>
  </si>
  <si>
    <t>bubble</t>
  </si>
  <si>
    <t>Konturstift 3D, Schnitte und Ansichten</t>
  </si>
  <si>
    <t>Konturstift Grundriss</t>
  </si>
  <si>
    <t>Material in 3D</t>
  </si>
  <si>
    <t>Oberflächenmaterial  für 3D und Rendering</t>
  </si>
  <si>
    <t>Schraffurstift Hintergrund</t>
  </si>
  <si>
    <t>Schraffurstift Vordergrund</t>
  </si>
  <si>
    <t>Schraffurtyp</t>
  </si>
  <si>
    <t>Stossgriff auf Standflügel wie Gangflügel</t>
  </si>
  <si>
    <t>Stoßgriff horizontale Position Bandgegenseite</t>
  </si>
  <si>
    <t>Stoßgriff horizontale Position Bandseite</t>
  </si>
  <si>
    <t>Stossgriff Oberfläche Bandgegenseite</t>
  </si>
  <si>
    <t>Stossgriff Oberfläche Bandseite</t>
  </si>
  <si>
    <t>Stoßgriff Typ Bandgegenseite</t>
  </si>
  <si>
    <t>Stoßgriff Typ Bandseite</t>
  </si>
  <si>
    <t>Stoßgriff vertikale Position Bandgegenseite</t>
  </si>
  <si>
    <t>Stoßgriff vertikale Position Bandseite</t>
  </si>
  <si>
    <t>D:\Daten (sync)\github\bim-all-doors\Source\Module\09 BAD grip\source.Generic_grip_macro\list of multilingual text.xlsx_x000D_
D:\Daten (sync)\github\bim-all-doors\Source\Module\09 BAD grip\source.Generic_grip_macro\list of multilingual tooltip.xlsx</t>
  </si>
  <si>
    <t>D:\Daten (sync)\github\bim-all-doors\Source\Module\09 BAD grip\source.Generic_grip_macro\</t>
  </si>
  <si>
    <t>prepare for open source</t>
  </si>
  <si>
    <t>1.90</t>
  </si>
  <si>
    <t>bim-all-doors.grip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</si>
</sst>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1" fillId="8" borderId="0" xfId="0" applyFont="1" applyFill="1"/>
    <xf numFmtId="0" fontId="37" fillId="8" borderId="0" xfId="0" applyFont="1" applyFill="1" applyAlignment="1">
      <alignment vertical="center"/>
    </xf>
    <xf numFmtId="164" fontId="40" fillId="0" borderId="0" xfId="0" applyNumberFormat="1" applyFont="1" applyFill="1"/>
    <xf numFmtId="0" fontId="15" fillId="7" borderId="0" xfId="0" applyFont="1" applyFill="1"/>
    <xf numFmtId="0" fontId="18" fillId="7" borderId="0" xfId="0" applyFont="1" applyFill="1"/>
    <xf numFmtId="0" fontId="39" fillId="7" borderId="0" xfId="0" applyFont="1" applyFill="1" applyAlignment="1">
      <alignment vertical="center"/>
    </xf>
    <xf numFmtId="0" fontId="28" fillId="7" borderId="0" xfId="0" applyFont="1" applyFill="1"/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6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8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243840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06">
          <cell r="M106" t="str">
            <v>gs_masonry_arch_proj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B2" sqref="B2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6.33203125" style="3" customWidth="1"/>
    <col min="6" max="6" width="34.8867187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3" t="s">
        <v>1342</v>
      </c>
      <c r="C1" s="243"/>
      <c r="D1" s="4"/>
    </row>
    <row r="2" spans="1:8" ht="36.7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4" customHeight="1" x14ac:dyDescent="0.3">
      <c r="A3" s="1" t="s">
        <v>159</v>
      </c>
      <c r="B3" s="109" t="s">
        <v>1339</v>
      </c>
      <c r="C3" s="109"/>
      <c r="D3" s="109"/>
      <c r="E3" s="6"/>
      <c r="F3" s="6"/>
      <c r="G3" s="6"/>
      <c r="H3" s="6"/>
    </row>
    <row r="4" spans="1:8" ht="24" customHeight="1" x14ac:dyDescent="0.3">
      <c r="A4" s="1" t="s">
        <v>1</v>
      </c>
      <c r="B4" s="244" t="s">
        <v>1340</v>
      </c>
      <c r="C4" s="244"/>
      <c r="D4" s="4"/>
    </row>
    <row r="5" spans="1:8" ht="24" customHeight="1" x14ac:dyDescent="0.3">
      <c r="A5" s="1" t="s">
        <v>97</v>
      </c>
      <c r="B5" s="245" t="s">
        <v>1341</v>
      </c>
      <c r="C5" s="245"/>
      <c r="D5" s="4"/>
    </row>
    <row r="6" spans="1:8" ht="24" customHeight="1" x14ac:dyDescent="0.3">
      <c r="A6" s="1" t="s">
        <v>2</v>
      </c>
      <c r="B6" s="246">
        <v>45908</v>
      </c>
      <c r="C6" s="246"/>
      <c r="D6" s="4"/>
    </row>
    <row r="7" spans="1:8" ht="24" customHeight="1" x14ac:dyDescent="0.3">
      <c r="A7" s="1" t="s">
        <v>3</v>
      </c>
      <c r="B7" s="244">
        <v>28</v>
      </c>
      <c r="C7" s="244"/>
      <c r="D7" s="55"/>
    </row>
    <row r="8" spans="1:8" ht="24" customHeight="1" x14ac:dyDescent="0.3">
      <c r="A8" s="1" t="s">
        <v>4</v>
      </c>
      <c r="B8" s="244" t="str">
        <f>"max. "&amp;TEXT(ROWS(PARAMETERS!$A$2:$A$452),"0")&amp;" / "&amp;TEXT(ROWS(PARAMETERLISTE),"0")&amp;" (input/output GDL)"</f>
        <v>max. 451 / 451 (input/output GDL)</v>
      </c>
      <c r="C8" s="244"/>
      <c r="D8" s="4" t="s">
        <v>5</v>
      </c>
    </row>
    <row r="9" spans="1:8" ht="24" customHeight="1" x14ac:dyDescent="0.3">
      <c r="A9" s="1"/>
      <c r="B9" s="244" t="str">
        <f>TEXT(COUNTIF(PARAMETERS!$A$2:$A$452,"G"),"0")&amp;" (GDL) /  "&amp;TEXT(COUNTIF(PARAMETERS!$A$2:$A$452,"P"),"0")&amp;" (Properties)"</f>
        <v>387 (GDL) /  0 (Properties)</v>
      </c>
      <c r="C9" s="244"/>
      <c r="D9" s="4"/>
    </row>
    <row r="10" spans="1:8" ht="24" customHeight="1" x14ac:dyDescent="0.3">
      <c r="A10" s="1" t="s">
        <v>7</v>
      </c>
      <c r="B10" s="244" t="str">
        <f>"for max. "&amp;TEXT(ROWS(VALUESLIST),"0")&amp;" parameters"</f>
        <v>for max. 92 parameters</v>
      </c>
      <c r="C10" s="244"/>
      <c r="D10" s="4" t="s">
        <v>6</v>
      </c>
    </row>
    <row r="11" spans="1:8" ht="24" customHeight="1" x14ac:dyDescent="0.3">
      <c r="A11" s="1" t="s">
        <v>8</v>
      </c>
      <c r="B11" s="244" t="str">
        <f>"max. "&amp;TEXT(ROWS(VALUESval),"0")&amp;" items for value list (per parameter)"</f>
        <v>max. 91 items for value list (per parameter)</v>
      </c>
      <c r="C11" s="244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40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1298</v>
      </c>
      <c r="B14" s="14" t="s">
        <v>1299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1300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1301</v>
      </c>
      <c r="C16" s="14"/>
      <c r="F16" s="241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1302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1303</v>
      </c>
      <c r="B22" s="14" t="s">
        <v>1304</v>
      </c>
      <c r="C22" s="14"/>
      <c r="F22" s="95" t="s">
        <v>167</v>
      </c>
    </row>
    <row r="23" spans="1:6" ht="24" customHeight="1" x14ac:dyDescent="0.25">
      <c r="A23" s="7"/>
      <c r="B23" s="14" t="s">
        <v>1305</v>
      </c>
      <c r="C23" s="14"/>
      <c r="D23" s="5" t="s">
        <v>122</v>
      </c>
      <c r="F23" s="95" t="s">
        <v>1338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1306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.75" customHeight="1" x14ac:dyDescent="0.25">
      <c r="A28" s="7" t="s">
        <v>1307</v>
      </c>
      <c r="B28" s="17" t="s">
        <v>1308</v>
      </c>
      <c r="C28" s="14"/>
      <c r="D28" s="5" t="s">
        <v>122</v>
      </c>
      <c r="F28" s="95" t="s">
        <v>184</v>
      </c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27</xdr:row>
                <xdr:rowOff>243840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58"/>
  <sheetViews>
    <sheetView zoomScaleNormal="100" workbookViewId="0">
      <pane ySplit="2148" topLeftCell="A28" activePane="bottomLeft"/>
      <selection activeCell="G1" sqref="G1:J1048576"/>
      <selection pane="bottomLeft" activeCell="A66" sqref="A66"/>
    </sheetView>
  </sheetViews>
  <sheetFormatPr baseColWidth="10" defaultColWidth="11.44140625" defaultRowHeight="17.399999999999999" outlineLevelRow="2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674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674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674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674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674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674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674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674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458</v>
      </c>
      <c r="N85" s="41" t="s">
        <v>459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460</v>
      </c>
      <c r="N86" s="14" t="s">
        <v>461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462</v>
      </c>
      <c r="N87" s="14" t="s">
        <v>463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464</v>
      </c>
      <c r="N88" s="14" t="s">
        <v>465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466</v>
      </c>
      <c r="N89" s="14" t="s">
        <v>467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468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468</v>
      </c>
      <c r="W90" s="194" t="str">
        <f>IF(IFERROR(VLOOKUP($M90,#REF!,1,0),"-")="-","","GS")</f>
        <v/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469</v>
      </c>
      <c r="N91" s="14" t="s">
        <v>470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471</v>
      </c>
      <c r="N92" s="14" t="s">
        <v>472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473</v>
      </c>
      <c r="N93" s="14" t="s">
        <v>474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475</v>
      </c>
      <c r="N94" s="14" t="s">
        <v>476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477</v>
      </c>
      <c r="N95" s="14" t="s">
        <v>478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479</v>
      </c>
      <c r="N96" s="14" t="s">
        <v>480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481</v>
      </c>
      <c r="N97" s="14" t="s">
        <v>482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483</v>
      </c>
      <c r="N98" s="14" t="s">
        <v>484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485</v>
      </c>
      <c r="N99" s="14" t="s">
        <v>486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487</v>
      </c>
      <c r="W99" s="15" t="str">
        <f>IF(IFERROR(VLOOKUP($M99,#REF!,1,0),"-")="-","","GS")</f>
        <v/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488</v>
      </c>
      <c r="N100" s="14" t="s">
        <v>489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490</v>
      </c>
      <c r="W100" s="15" t="str">
        <f>IF(IFERROR(VLOOKUP($M100,#REF!,1,0),"-")="-","","GS")</f>
        <v/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491</v>
      </c>
      <c r="N101" s="14" t="s">
        <v>489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492</v>
      </c>
      <c r="N102" s="14" t="s">
        <v>493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494</v>
      </c>
      <c r="N103" s="14" t="s">
        <v>495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496</v>
      </c>
      <c r="N104" s="14" t="s">
        <v>495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497</v>
      </c>
      <c r="N105" s="14" t="s">
        <v>498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499</v>
      </c>
      <c r="N106" s="14" t="s">
        <v>500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501</v>
      </c>
      <c r="N107" s="14" t="s">
        <v>502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503</v>
      </c>
      <c r="N108" s="14" t="s">
        <v>504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1173</v>
      </c>
      <c r="N109" s="53" t="s">
        <v>1174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1175</v>
      </c>
      <c r="N110" s="53" t="s">
        <v>1176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3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505</v>
      </c>
      <c r="N111" s="14" t="s">
        <v>506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507</v>
      </c>
      <c r="N112" s="14" t="s">
        <v>508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509</v>
      </c>
      <c r="N113" s="159" t="s">
        <v>510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511</v>
      </c>
      <c r="N114" s="159" t="s">
        <v>512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513</v>
      </c>
      <c r="N115" s="14" t="s">
        <v>514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515</v>
      </c>
      <c r="W115" s="15" t="str">
        <f>IF(IFERROR(VLOOKUP($M115,#REF!,1,0),"-")="-","","GS")</f>
        <v/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516</v>
      </c>
      <c r="N116" s="14" t="s">
        <v>517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518</v>
      </c>
      <c r="W116" s="15" t="str">
        <f>IF(IFERROR(VLOOKUP($M116,#REF!,1,0),"-")="-","","GS")</f>
        <v/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519</v>
      </c>
      <c r="N117" s="14" t="s">
        <v>520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521</v>
      </c>
      <c r="N118" s="204" t="s">
        <v>522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523</v>
      </c>
      <c r="N119" s="204" t="s">
        <v>524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525</v>
      </c>
      <c r="N120" s="204" t="s">
        <v>526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527</v>
      </c>
      <c r="N121" s="204" t="s">
        <v>528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529</v>
      </c>
      <c r="N122" s="204" t="s">
        <v>530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531</v>
      </c>
      <c r="N123" s="204" t="s">
        <v>532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533</v>
      </c>
      <c r="N124" s="14" t="s">
        <v>534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535</v>
      </c>
      <c r="N125" s="41" t="s">
        <v>536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537</v>
      </c>
      <c r="N126" s="53" t="s">
        <v>538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539</v>
      </c>
      <c r="N127" s="14" t="s">
        <v>540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541</v>
      </c>
      <c r="W127" s="15" t="str">
        <f>IF(IFERROR(VLOOKUP($M127,#REF!,1,0),"-")="-","","GS")</f>
        <v/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542</v>
      </c>
      <c r="N128" s="14" t="s">
        <v>540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1116</v>
      </c>
      <c r="N129" s="14" t="s">
        <v>1117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543</v>
      </c>
      <c r="W129" s="15" t="str">
        <f>IF(IFERROR(VLOOKUP($M129,#REF!,1,0),"-")="-","","GS")</f>
        <v/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1172</v>
      </c>
      <c r="N130" s="166" t="s">
        <v>544</v>
      </c>
      <c r="O130" s="166" t="s">
        <v>1141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544</v>
      </c>
      <c r="W130" s="15" t="str">
        <f>IF(IFERROR(VLOOKUP($M130,#REF!,1,0),"-")="-","","GS")</f>
        <v/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545</v>
      </c>
      <c r="N131" s="14" t="s">
        <v>546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547</v>
      </c>
      <c r="N132" s="14" t="s">
        <v>548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549</v>
      </c>
      <c r="N133" s="14" t="s">
        <v>550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551</v>
      </c>
      <c r="N134" s="14" t="s">
        <v>552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553</v>
      </c>
      <c r="N135" s="14" t="s">
        <v>554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555</v>
      </c>
      <c r="N136" s="14" t="s">
        <v>556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557</v>
      </c>
      <c r="N137" s="14" t="s">
        <v>558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559</v>
      </c>
      <c r="N138" s="14" t="s">
        <v>560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561</v>
      </c>
      <c r="N139" s="14" t="s">
        <v>562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563</v>
      </c>
      <c r="N140" s="14" t="s">
        <v>564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1093</v>
      </c>
      <c r="N141" s="53" t="s">
        <v>1094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1095</v>
      </c>
      <c r="N142" s="53" t="s">
        <v>1096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1097</v>
      </c>
      <c r="N143" s="53" t="s">
        <v>1098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1099</v>
      </c>
      <c r="N144" s="53" t="s">
        <v>1100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1101</v>
      </c>
      <c r="N145" s="53" t="s">
        <v>1102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1103</v>
      </c>
      <c r="N146" s="53" t="s">
        <v>1104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1105</v>
      </c>
      <c r="N147" s="53" t="s">
        <v>1106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1107</v>
      </c>
      <c r="N148" s="53" t="s">
        <v>1108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1113</v>
      </c>
      <c r="N149" s="166" t="s">
        <v>565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565</v>
      </c>
      <c r="W149" s="15" t="str">
        <f>IF(IFERROR(VLOOKUP($M149,#REF!,1,0),"-")="-","","GS")</f>
        <v/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1114</v>
      </c>
      <c r="N150" s="159" t="s">
        <v>566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566</v>
      </c>
      <c r="W150" s="15" t="str">
        <f>IF(IFERROR(VLOOKUP($M150,#REF!,1,0),"-")="-","","GS")</f>
        <v/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1115</v>
      </c>
      <c r="N151" s="159" t="s">
        <v>567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567</v>
      </c>
      <c r="W151" s="15" t="str">
        <f>IF(IFERROR(VLOOKUP($M151,#REF!,1,0),"-")="-","","GS")</f>
        <v/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1120</v>
      </c>
      <c r="N152" s="159" t="s">
        <v>568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568</v>
      </c>
      <c r="W152" s="15" t="str">
        <f>IF(IFERROR(VLOOKUP($M152,#REF!,1,0),"-")="-","","GS")</f>
        <v/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569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569</v>
      </c>
      <c r="W153" s="15" t="str">
        <f>IF(IFERROR(VLOOKUP($M153,#REF!,1,0),"-")="-","","GS")</f>
        <v/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570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570</v>
      </c>
      <c r="W154" s="15" t="str">
        <f>IF(IFERROR(VLOOKUP($M154,#REF!,1,0),"-")="-","","GS")</f>
        <v/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571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571</v>
      </c>
      <c r="W155" s="15" t="str">
        <f>IF(IFERROR(VLOOKUP($M155,#REF!,1,0),"-")="-","","GS")</f>
        <v/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572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572</v>
      </c>
      <c r="W156" s="15" t="str">
        <f>IF(IFERROR(VLOOKUP($M156,#REF!,1,0),"-")="-","","GS")</f>
        <v/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573</v>
      </c>
      <c r="N157" s="166" t="s">
        <v>574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574</v>
      </c>
      <c r="W157" s="15" t="str">
        <f>IF(IFERROR(VLOOKUP($M157,#REF!,1,0),"-")="-","","GS")</f>
        <v/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575</v>
      </c>
      <c r="N158" s="14" t="s">
        <v>576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577</v>
      </c>
      <c r="N159" s="14" t="s">
        <v>578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1118</v>
      </c>
      <c r="N160" s="53" t="s">
        <v>1119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579</v>
      </c>
      <c r="N161" s="159" t="s">
        <v>580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1079</v>
      </c>
      <c r="N162" s="53" t="s">
        <v>1081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581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581</v>
      </c>
      <c r="W163" s="15" t="str">
        <f>IF(IFERROR(VLOOKUP($M163,#REF!,1,0),"-")="-","","GS")</f>
        <v/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582</v>
      </c>
      <c r="N164" s="14" t="s">
        <v>583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584</v>
      </c>
      <c r="N165" s="14" t="s">
        <v>585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586</v>
      </c>
      <c r="N166" s="14" t="s">
        <v>587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588</v>
      </c>
      <c r="N167" s="14" t="s">
        <v>589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590</v>
      </c>
      <c r="N168" s="14" t="s">
        <v>591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592</v>
      </c>
      <c r="N169" s="14" t="s">
        <v>593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594</v>
      </c>
      <c r="N170" s="14" t="s">
        <v>595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1083</v>
      </c>
      <c r="N171" s="53" t="s">
        <v>1084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1085</v>
      </c>
      <c r="N172" s="53" t="s">
        <v>1086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1087</v>
      </c>
      <c r="N173" s="53" t="s">
        <v>1088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1089</v>
      </c>
      <c r="N174" s="53" t="s">
        <v>1090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1091</v>
      </c>
      <c r="N175" s="53" t="s">
        <v>1092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596</v>
      </c>
      <c r="N176" s="41" t="s">
        <v>597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598</v>
      </c>
      <c r="N177" s="53" t="s">
        <v>597</v>
      </c>
      <c r="O177" s="155" t="s">
        <v>951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599</v>
      </c>
      <c r="W177" s="15" t="str">
        <f>IF(IFERROR(VLOOKUP(#REF!,#REF!,1,0),"-")="-","","GS")</f>
        <v/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953</v>
      </c>
      <c r="N178" s="53" t="s">
        <v>952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1169</v>
      </c>
      <c r="N179" s="166" t="s">
        <v>1170</v>
      </c>
      <c r="O179" s="166" t="s">
        <v>1171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1170</v>
      </c>
      <c r="W179" s="15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620</v>
      </c>
      <c r="N180" s="41" t="s">
        <v>957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600</v>
      </c>
      <c r="N181" s="14" t="s">
        <v>601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602</v>
      </c>
      <c r="N182" s="14" t="s">
        <v>603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>IF($M182="","",IFERROR(MATCH($M182,VALUESnames,0),""))</f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604</v>
      </c>
      <c r="N183" s="14" t="s">
        <v>605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606</v>
      </c>
      <c r="N184" s="14" t="s">
        <v>607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1036</v>
      </c>
      <c r="N185" s="159" t="s">
        <v>1037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1038</v>
      </c>
      <c r="N186" s="159" t="s">
        <v>1039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25">
      <c r="A187" s="22" t="s">
        <v>84</v>
      </c>
      <c r="B187" s="41" t="str">
        <f t="shared" ref="B187:B194" si="14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1002</v>
      </c>
      <c r="N187" s="53" t="s">
        <v>1005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Z187" s="59" t="str">
        <f>IF(OR($M187="",NOT($O187="{array}")),"",IFERROR(MATCH(PARAMETERS!$M187,DEFAULT!$B$5:$CI$5,0),""))</f>
        <v/>
      </c>
      <c r="AA187" s="56" t="str">
        <f t="shared" ref="AA187:AA194" si="15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25">
      <c r="A188" s="22" t="s">
        <v>84</v>
      </c>
      <c r="B188" s="41" t="str">
        <f t="shared" si="14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1012</v>
      </c>
      <c r="N188" s="53" t="s">
        <v>1013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Z188" s="59" t="str">
        <f>IF(OR($M188="",NOT($O188="{array}")),"",IFERROR(MATCH(PARAMETERS!$M188,DEFAULT!$B$5:$CI$5,0),""))</f>
        <v/>
      </c>
      <c r="AA188" s="56" t="str">
        <f t="shared" si="15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1075</v>
      </c>
      <c r="N189" s="53" t="s">
        <v>1076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Z189" s="59" t="str">
        <f>IF(OR($M189="",NOT($O189="{array}")),"",IFERROR(MATCH(PARAMETERS!$M189,DEFAULT!$B$5:$CI$5,0),""))</f>
        <v/>
      </c>
      <c r="AA189" s="56" t="str">
        <f t="shared" si="15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1003</v>
      </c>
      <c r="N190" s="53" t="s">
        <v>1004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Z190" s="59" t="str">
        <f>IF(OR($M190="",NOT($O190="{array}")),"",IFERROR(MATCH(PARAMETERS!$M190,DEFAULT!$B$5:$CI$5,0),""))</f>
        <v/>
      </c>
      <c r="AA190" s="56" t="str">
        <f t="shared" si="15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1006</v>
      </c>
      <c r="N191" s="53" t="s">
        <v>1007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Z191" s="59" t="str">
        <f>IF(OR($M191="",NOT($O191="{array}")),"",IFERROR(MATCH(PARAMETERS!$M191,DEFAULT!$B$5:$CI$5,0),""))</f>
        <v/>
      </c>
      <c r="AA191" s="56" t="str">
        <f t="shared" si="15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1077</v>
      </c>
      <c r="N192" s="53" t="s">
        <v>1078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Z192" s="59" t="str">
        <f>IF(OR($M192="",NOT($O192="{array}")),"",IFERROR(MATCH(PARAMETERS!$M192,DEFAULT!$B$5:$CI$5,0),""))</f>
        <v/>
      </c>
      <c r="AA192" s="56" t="str">
        <f t="shared" si="15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1080</v>
      </c>
      <c r="N193" s="53" t="s">
        <v>1082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Z193" s="59" t="str">
        <f>IF(OR($M193="",NOT($O193="{array}")),"",IFERROR(MATCH(PARAMETERS!$M193,DEFAULT!$B$5:$CI$5,0),""))</f>
        <v/>
      </c>
      <c r="AA193" s="56" t="str">
        <f t="shared" si="15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613</v>
      </c>
      <c r="N194" s="14" t="s">
        <v>614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615</v>
      </c>
      <c r="W194" s="15" t="str">
        <f>IF(IFERROR(VLOOKUP($M194,#REF!,1,0),"-")="-","","GS")</f>
        <v/>
      </c>
      <c r="Z194" s="59" t="str">
        <f>IF(OR($M194="",NOT($O194="{array}")),"",IFERROR(MATCH(PARAMETERS!$M194,DEFAULT!$B$5:$CI$5,0),""))</f>
        <v/>
      </c>
      <c r="AA194" s="56" t="str">
        <f t="shared" si="15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608</v>
      </c>
      <c r="N195" s="14" t="s">
        <v>609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610</v>
      </c>
      <c r="W195" s="15" t="str">
        <f>IF(IFERROR(VLOOKUP($M195,#REF!,1,0),"-")="-","","GS")</f>
        <v/>
      </c>
      <c r="Z195" s="59" t="str">
        <f>IF(OR($M195="",NOT($O195="{array}")),"",IFERROR(MATCH(PARAMETERS!$M195,DEFAULT!$B$5:$CI$5,0),""))</f>
        <v/>
      </c>
      <c r="AA195" s="56" t="str">
        <f>IF($M195="","",IFERROR(MATCH($M195,VALUESnames,0),""))</f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1008</v>
      </c>
      <c r="N196" s="159" t="s">
        <v>1014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611</v>
      </c>
      <c r="N197" s="159" t="s">
        <v>612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Z197" s="59" t="str">
        <f>IF(OR($M197="",NOT($O197="{array}")),"",IFERROR(MATCH(PARAMETERS!$M197,DEFAULT!$B$5:$CI$5,0),""))</f>
        <v/>
      </c>
      <c r="AA197" s="56" t="str">
        <f t="shared" ref="AA197:AA202" si="16"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31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998</v>
      </c>
      <c r="N198" s="159" t="s">
        <v>999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Z198" s="59" t="str">
        <f>IF(OR($M198="",NOT($O198="{array}")),"",IFERROR(MATCH(PARAMETERS!$M198,DEFAULT!$B$5:$CI$5,0),""))</f>
        <v/>
      </c>
      <c r="AA198" s="56" t="str">
        <f t="shared" si="16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616</v>
      </c>
      <c r="N199" s="53" t="s">
        <v>617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Z199" s="59" t="str">
        <f>IF(OR($M199="",NOT($O199="{array}")),"",IFERROR(MATCH(PARAMETERS!$M199,DEFAULT!$B$5:$CI$5,0),""))</f>
        <v/>
      </c>
      <c r="AA199" s="56" t="str">
        <f t="shared" si="16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618</v>
      </c>
      <c r="N200" s="53" t="s">
        <v>619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Z200" s="59" t="str">
        <f>IF(OR($M200="",NOT($O200="{array}")),"",IFERROR(MATCH(PARAMETERS!$M200,DEFAULT!$B$5:$CI$5,0),""))</f>
        <v/>
      </c>
      <c r="AA200" s="56" t="str">
        <f t="shared" si="16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621</v>
      </c>
      <c r="N201" s="14" t="s">
        <v>622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 t="shared" si="16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625</v>
      </c>
      <c r="N202" s="14" t="s">
        <v>626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 t="shared" si="16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623</v>
      </c>
      <c r="N203" s="14" t="s">
        <v>624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627</v>
      </c>
      <c r="N204" s="14" t="s">
        <v>628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collapsed="1" x14ac:dyDescent="0.3">
      <c r="A205" s="22" t="s">
        <v>84</v>
      </c>
      <c r="B205" s="41" t="str">
        <f t="shared" ref="B205:B231" si="18">IF($A205="P",IF(NOT($Z205=""),"A",IF(NOT($AA205=""),"I","")),IF(NOT($AA205=""),IF($A205="G","V","X"),IF(NOT($Z205=""),"A","")))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1201</v>
      </c>
      <c r="N205" s="41" t="s">
        <v>1202</v>
      </c>
      <c r="R205" s="38" t="s">
        <v>103</v>
      </c>
      <c r="S205" s="38"/>
      <c r="T205" s="38"/>
      <c r="W205" s="15" t="s">
        <v>264</v>
      </c>
      <c r="Z205" s="59" t="s">
        <v>264</v>
      </c>
      <c r="AA205" s="56" t="str">
        <f t="shared" ref="AA205:AA231" si="19">IF($M205="","",IFERROR(MATCH($M205,VALUESnames,0),""))</f>
        <v/>
      </c>
      <c r="AB205" s="63" t="s">
        <v>264</v>
      </c>
      <c r="AC205" s="17" t="s">
        <v>264</v>
      </c>
    </row>
    <row r="206" spans="1:29" hidden="1" outlineLevel="1" x14ac:dyDescent="0.25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1" t="s">
        <v>630</v>
      </c>
      <c r="N206" s="53" t="s">
        <v>1203</v>
      </c>
      <c r="O206" s="43">
        <v>0.06</v>
      </c>
      <c r="Q206" s="171" t="s">
        <v>9</v>
      </c>
      <c r="R206" s="38" t="s">
        <v>104</v>
      </c>
      <c r="S206" s="38"/>
      <c r="T206" s="38"/>
      <c r="W206" s="15"/>
      <c r="Z206" s="59" t="s">
        <v>264</v>
      </c>
      <c r="AA206" s="56" t="str">
        <f t="shared" si="19"/>
        <v/>
      </c>
      <c r="AB206" s="63" t="s">
        <v>264</v>
      </c>
      <c r="AC206" s="17" t="s">
        <v>264</v>
      </c>
    </row>
    <row r="207" spans="1:29" hidden="1" outlineLevel="1" x14ac:dyDescent="0.25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14" t="s">
        <v>24</v>
      </c>
      <c r="L207" s="14" t="s">
        <v>27</v>
      </c>
      <c r="M207" s="157" t="s">
        <v>1204</v>
      </c>
      <c r="N207" s="53" t="s">
        <v>1205</v>
      </c>
      <c r="O207" s="43">
        <v>8.0000000000000002E-3</v>
      </c>
      <c r="Q207" s="171" t="s">
        <v>9</v>
      </c>
      <c r="R207" s="38" t="s">
        <v>104</v>
      </c>
      <c r="S207" s="38"/>
      <c r="T207" s="38"/>
      <c r="W207" s="15"/>
      <c r="Z207" s="59" t="s">
        <v>264</v>
      </c>
      <c r="AA207" s="56" t="str">
        <f t="shared" si="19"/>
        <v/>
      </c>
      <c r="AB207" s="63" t="s">
        <v>264</v>
      </c>
      <c r="AC207" s="17" t="s">
        <v>264</v>
      </c>
    </row>
    <row r="208" spans="1:29" hidden="1" outlineLevel="1" x14ac:dyDescent="0.25">
      <c r="A208" s="22" t="s">
        <v>84</v>
      </c>
      <c r="B208" s="41" t="str">
        <f t="shared" si="18"/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4" t="s">
        <v>24</v>
      </c>
      <c r="L208" s="14" t="s">
        <v>27</v>
      </c>
      <c r="M208" s="157" t="s">
        <v>1206</v>
      </c>
      <c r="N208" s="53" t="s">
        <v>1207</v>
      </c>
      <c r="O208" s="43">
        <v>7.1999999999999995E-2</v>
      </c>
      <c r="Q208" s="171" t="s">
        <v>9</v>
      </c>
      <c r="R208" s="38" t="s">
        <v>104</v>
      </c>
      <c r="S208" s="38"/>
      <c r="T208" s="38"/>
      <c r="W208" s="15"/>
      <c r="Z208" s="59" t="s">
        <v>264</v>
      </c>
      <c r="AA208" s="56" t="str">
        <f t="shared" si="19"/>
        <v/>
      </c>
      <c r="AB208" s="63" t="s">
        <v>264</v>
      </c>
      <c r="AC208" s="17" t="s">
        <v>264</v>
      </c>
    </row>
    <row r="209" spans="1:29" hidden="1" outlineLevel="1" x14ac:dyDescent="0.25">
      <c r="A209" s="22" t="s">
        <v>84</v>
      </c>
      <c r="B209" s="41" t="str">
        <f t="shared" si="18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151" t="s">
        <v>631</v>
      </c>
      <c r="N209" s="53" t="s">
        <v>1208</v>
      </c>
      <c r="O209" s="43">
        <v>0.06</v>
      </c>
      <c r="Q209" s="171" t="s">
        <v>9</v>
      </c>
      <c r="R209" s="38" t="s">
        <v>104</v>
      </c>
      <c r="S209" s="38"/>
      <c r="T209" s="38"/>
      <c r="W209" s="15"/>
      <c r="Z209" s="59" t="s">
        <v>264</v>
      </c>
      <c r="AA209" s="56" t="str">
        <f t="shared" si="19"/>
        <v/>
      </c>
      <c r="AB209" s="63" t="s">
        <v>264</v>
      </c>
      <c r="AC209" s="17" t="s">
        <v>264</v>
      </c>
    </row>
    <row r="210" spans="1:29" hidden="1" outlineLevel="1" x14ac:dyDescent="0.25">
      <c r="A210" s="22" t="s">
        <v>84</v>
      </c>
      <c r="B210" s="41" t="str">
        <f t="shared" si="18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157" t="s">
        <v>1209</v>
      </c>
      <c r="N210" s="53" t="s">
        <v>1210</v>
      </c>
      <c r="O210" s="43">
        <v>8.0000000000000002E-3</v>
      </c>
      <c r="Q210" s="171" t="s">
        <v>9</v>
      </c>
      <c r="R210" s="38" t="s">
        <v>104</v>
      </c>
      <c r="S210" s="38"/>
      <c r="T210" s="38"/>
      <c r="W210" s="15"/>
      <c r="Z210" s="59" t="s">
        <v>264</v>
      </c>
      <c r="AA210" s="56" t="str">
        <f t="shared" si="19"/>
        <v/>
      </c>
      <c r="AB210" s="63" t="s">
        <v>264</v>
      </c>
      <c r="AC210" s="17" t="s">
        <v>264</v>
      </c>
    </row>
    <row r="211" spans="1:29" hidden="1" outlineLevel="1" x14ac:dyDescent="0.25">
      <c r="A211" s="22" t="s">
        <v>84</v>
      </c>
      <c r="B211" s="41" t="str">
        <f t="shared" si="18"/>
        <v/>
      </c>
      <c r="C211" s="42">
        <f t="shared" si="17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157" t="s">
        <v>1211</v>
      </c>
      <c r="N211" s="53" t="s">
        <v>1212</v>
      </c>
      <c r="O211" s="43">
        <v>7.1999999999999995E-2</v>
      </c>
      <c r="Q211" s="171" t="s">
        <v>9</v>
      </c>
      <c r="R211" s="38" t="s">
        <v>104</v>
      </c>
      <c r="S211" s="38"/>
      <c r="T211" s="38"/>
      <c r="W211" s="15"/>
      <c r="Z211" s="59" t="s">
        <v>264</v>
      </c>
      <c r="AA211" s="56" t="str">
        <f t="shared" si="19"/>
        <v/>
      </c>
      <c r="AB211" s="63" t="s">
        <v>264</v>
      </c>
      <c r="AC211" s="17" t="s">
        <v>264</v>
      </c>
    </row>
    <row r="212" spans="1:29" collapsed="1" x14ac:dyDescent="0.3">
      <c r="A212" s="22"/>
      <c r="B212" s="41" t="str">
        <f t="shared" si="18"/>
        <v/>
      </c>
      <c r="C212" s="42">
        <f t="shared" si="17"/>
        <v>211</v>
      </c>
      <c r="D212" s="38"/>
      <c r="E212" s="38"/>
      <c r="F212" s="38"/>
      <c r="G212" s="38"/>
      <c r="H212" s="38"/>
      <c r="I212" s="38"/>
      <c r="J212" s="38"/>
      <c r="K212" s="14" t="s">
        <v>57</v>
      </c>
      <c r="L212" s="14" t="s">
        <v>38</v>
      </c>
      <c r="M212" s="48" t="s">
        <v>1226</v>
      </c>
      <c r="N212" s="41" t="s">
        <v>1227</v>
      </c>
      <c r="R212" s="38" t="s">
        <v>103</v>
      </c>
      <c r="S212" s="38"/>
      <c r="T212" s="38"/>
      <c r="Z212" s="59" t="str">
        <f>IF(OR($M212="",NOT($O212="{array}")),"",IFERROR(MATCH(PARAMETERS!$M212,DEFAULT!$B$5:$CI$5,0),""))</f>
        <v/>
      </c>
      <c r="AA212" s="56" t="str">
        <f t="shared" si="19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/>
      </c>
    </row>
    <row r="213" spans="1:29" hidden="1" outlineLevel="2" x14ac:dyDescent="0.25">
      <c r="A213" s="22" t="s">
        <v>84</v>
      </c>
      <c r="B213" s="41" t="str">
        <f t="shared" si="18"/>
        <v>V</v>
      </c>
      <c r="C213" s="42">
        <f t="shared" si="17"/>
        <v>212</v>
      </c>
      <c r="D213" s="38"/>
      <c r="E213" s="38"/>
      <c r="F213" s="38"/>
      <c r="G213" s="38"/>
      <c r="H213" s="38"/>
      <c r="I213" s="38" t="s">
        <v>9</v>
      </c>
      <c r="J213" s="38"/>
      <c r="K213" s="166" t="s">
        <v>18</v>
      </c>
      <c r="L213" s="167" t="s">
        <v>27</v>
      </c>
      <c r="M213" s="203" t="s">
        <v>1274</v>
      </c>
      <c r="N213" s="166" t="s">
        <v>1228</v>
      </c>
      <c r="O213" s="235" t="s">
        <v>1145</v>
      </c>
      <c r="P213" s="160" t="s">
        <v>264</v>
      </c>
      <c r="Q213" s="171"/>
      <c r="R213" s="171" t="s">
        <v>103</v>
      </c>
      <c r="S213" s="171" t="s">
        <v>112</v>
      </c>
      <c r="T213" s="166" t="s">
        <v>264</v>
      </c>
      <c r="U213" s="166" t="s">
        <v>264</v>
      </c>
      <c r="V213" s="166" t="s">
        <v>1229</v>
      </c>
      <c r="Z213" s="59" t="str">
        <f>IF(OR($M213="",NOT($O213="{array}")),"",IFERROR(MATCH(PARAMETERS!$M213,DEFAULT!$B$5:$CI$5,0),""))</f>
        <v/>
      </c>
      <c r="AA213" s="56">
        <f t="shared" si="19"/>
        <v>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>- | SV | SH | BH | GB</v>
      </c>
    </row>
    <row r="214" spans="1:29" hidden="1" outlineLevel="2" x14ac:dyDescent="0.25">
      <c r="A214" s="22" t="s">
        <v>84</v>
      </c>
      <c r="B214" s="41" t="str">
        <f t="shared" si="18"/>
        <v>V</v>
      </c>
      <c r="C214" s="42">
        <f t="shared" si="17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24</v>
      </c>
      <c r="L214" s="167" t="s">
        <v>27</v>
      </c>
      <c r="M214" s="203" t="s">
        <v>1275</v>
      </c>
      <c r="N214" s="166" t="s">
        <v>1230</v>
      </c>
      <c r="O214" s="166">
        <v>0.85</v>
      </c>
      <c r="P214" s="160" t="s">
        <v>264</v>
      </c>
      <c r="Q214" s="171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1231</v>
      </c>
      <c r="Z214" s="59" t="str">
        <f>IF(OR($M214="",NOT($O214="{array}")),"",IFERROR(MATCH(PARAMETERS!$M214,DEFAULT!$B$5:$CI$5,0),""))</f>
        <v/>
      </c>
      <c r="AA214" s="56">
        <f t="shared" si="19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0,1 | 0,15 | 0,2 | 0,25</v>
      </c>
    </row>
    <row r="215" spans="1:29" hidden="1" outlineLevel="2" x14ac:dyDescent="0.25">
      <c r="A215" s="22" t="s">
        <v>84</v>
      </c>
      <c r="B215" s="41" t="str">
        <f t="shared" si="18"/>
        <v>V</v>
      </c>
      <c r="C215" s="42">
        <f t="shared" si="17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24</v>
      </c>
      <c r="L215" s="167" t="s">
        <v>27</v>
      </c>
      <c r="M215" s="203" t="s">
        <v>1276</v>
      </c>
      <c r="N215" s="166" t="s">
        <v>1232</v>
      </c>
      <c r="O215" s="166">
        <v>0.2</v>
      </c>
      <c r="P215" s="160" t="s">
        <v>264</v>
      </c>
      <c r="Q215" s="171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 t="s">
        <v>1233</v>
      </c>
      <c r="Z215" s="59" t="str">
        <f>IF(OR($M215="",NOT($O215="{array}")),"",IFERROR(MATCH(PARAMETERS!$M215,DEFAULT!$B$5:$CI$5,0),""))</f>
        <v/>
      </c>
      <c r="AA215" s="56">
        <f t="shared" si="19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0,85 | 1,05 | 1,2</v>
      </c>
    </row>
    <row r="216" spans="1:29" hidden="1" outlineLevel="2" x14ac:dyDescent="0.25">
      <c r="A216" s="22" t="s">
        <v>84</v>
      </c>
      <c r="B216" s="41" t="str">
        <f t="shared" si="18"/>
        <v>V</v>
      </c>
      <c r="C216" s="42">
        <f t="shared" si="17"/>
        <v>215</v>
      </c>
      <c r="D216" s="38"/>
      <c r="E216" s="38"/>
      <c r="F216" s="38"/>
      <c r="G216" s="38"/>
      <c r="H216" s="38"/>
      <c r="I216" s="38" t="s">
        <v>9</v>
      </c>
      <c r="J216" s="38"/>
      <c r="K216" s="166" t="s">
        <v>18</v>
      </c>
      <c r="L216" s="167" t="s">
        <v>27</v>
      </c>
      <c r="M216" s="203" t="s">
        <v>1252</v>
      </c>
      <c r="N216" s="166" t="s">
        <v>1234</v>
      </c>
      <c r="O216" s="166" t="s">
        <v>29</v>
      </c>
      <c r="P216" s="160" t="s">
        <v>264</v>
      </c>
      <c r="Q216" s="171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1235</v>
      </c>
      <c r="Z216" s="59" t="str">
        <f>IF(OR($M216="",NOT($O216="{array}")),"",IFERROR(MATCH(PARAMETERS!$M216,DEFAULT!$B$5:$CI$5,0),""))</f>
        <v/>
      </c>
      <c r="AA216" s="56">
        <f t="shared" si="19"/>
        <v>5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 xml:space="preserve">  | - | B | S | T | P | N | L | ...</v>
      </c>
    </row>
    <row r="217" spans="1:29" hidden="1" outlineLevel="2" x14ac:dyDescent="0.25">
      <c r="A217" s="22" t="s">
        <v>84</v>
      </c>
      <c r="B217" s="41" t="str">
        <f t="shared" si="18"/>
        <v>V</v>
      </c>
      <c r="C217" s="42">
        <f t="shared" si="17"/>
        <v>216</v>
      </c>
      <c r="D217" s="38"/>
      <c r="E217" s="38"/>
      <c r="F217" s="38"/>
      <c r="G217" s="38"/>
      <c r="H217" s="38"/>
      <c r="I217" s="38" t="s">
        <v>9</v>
      </c>
      <c r="J217" s="38"/>
      <c r="K217" s="166" t="s">
        <v>18</v>
      </c>
      <c r="L217" s="167" t="s">
        <v>27</v>
      </c>
      <c r="M217" s="203" t="s">
        <v>1277</v>
      </c>
      <c r="N217" s="166" t="s">
        <v>1236</v>
      </c>
      <c r="O217" s="166" t="s">
        <v>1145</v>
      </c>
      <c r="P217" s="160" t="s">
        <v>264</v>
      </c>
      <c r="Q217" s="171"/>
      <c r="R217" s="171" t="s">
        <v>103</v>
      </c>
      <c r="S217" s="171" t="s">
        <v>112</v>
      </c>
      <c r="T217" s="166" t="s">
        <v>264</v>
      </c>
      <c r="U217" s="166" t="s">
        <v>264</v>
      </c>
      <c r="V217" s="166" t="s">
        <v>1237</v>
      </c>
      <c r="Z217" s="59" t="str">
        <f>IF(OR($M217="",NOT($O217="{array}")),"",IFERROR(MATCH(PARAMETERS!$M217,DEFAULT!$B$5:$CI$5,0),""))</f>
        <v/>
      </c>
      <c r="AA217" s="56">
        <f t="shared" si="19"/>
        <v>3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>- | SV | SH | BH | GB</v>
      </c>
    </row>
    <row r="218" spans="1:29" hidden="1" outlineLevel="2" x14ac:dyDescent="0.25">
      <c r="A218" s="22" t="s">
        <v>84</v>
      </c>
      <c r="B218" s="41" t="str">
        <f t="shared" si="18"/>
        <v>V</v>
      </c>
      <c r="C218" s="42">
        <f t="shared" si="17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24</v>
      </c>
      <c r="L218" s="167" t="s">
        <v>27</v>
      </c>
      <c r="M218" s="203" t="s">
        <v>1278</v>
      </c>
      <c r="N218" s="166" t="s">
        <v>1238</v>
      </c>
      <c r="O218" s="166">
        <v>0.2</v>
      </c>
      <c r="P218" s="160" t="s">
        <v>264</v>
      </c>
      <c r="Q218" s="171" t="s">
        <v>9</v>
      </c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1239</v>
      </c>
      <c r="Z218" s="59" t="str">
        <f>IF(OR($M218="",NOT($O218="{array}")),"",IFERROR(MATCH(PARAMETERS!$M218,DEFAULT!$B$5:$CI$5,0),""))</f>
        <v/>
      </c>
      <c r="AA218" s="56">
        <f t="shared" si="19"/>
        <v>11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0,1 | 0,15 | 0,2 | 0,25</v>
      </c>
    </row>
    <row r="219" spans="1:29" hidden="1" outlineLevel="2" x14ac:dyDescent="0.25">
      <c r="A219" s="22" t="s">
        <v>84</v>
      </c>
      <c r="B219" s="41" t="str">
        <f t="shared" si="18"/>
        <v>V</v>
      </c>
      <c r="C219" s="42">
        <f t="shared" si="17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24</v>
      </c>
      <c r="L219" s="167" t="s">
        <v>27</v>
      </c>
      <c r="M219" s="203" t="s">
        <v>1279</v>
      </c>
      <c r="N219" s="166" t="s">
        <v>1240</v>
      </c>
      <c r="O219" s="166">
        <v>0.85</v>
      </c>
      <c r="P219" s="160" t="s">
        <v>264</v>
      </c>
      <c r="Q219" s="171" t="s">
        <v>9</v>
      </c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1241</v>
      </c>
      <c r="Z219" s="59" t="str">
        <f>IF(OR($M219="",NOT($O219="{array}")),"",IFERROR(MATCH(PARAMETERS!$M219,DEFAULT!$B$5:$CI$5,0),""))</f>
        <v/>
      </c>
      <c r="AA219" s="56">
        <f t="shared" si="19"/>
        <v>12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0,85 | 1,05 | 1,2</v>
      </c>
    </row>
    <row r="220" spans="1:29" hidden="1" outlineLevel="2" x14ac:dyDescent="0.25">
      <c r="A220" s="22" t="s">
        <v>84</v>
      </c>
      <c r="B220" s="41" t="str">
        <f t="shared" si="18"/>
        <v>V</v>
      </c>
      <c r="C220" s="42">
        <f t="shared" si="17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27</v>
      </c>
      <c r="M220" s="203" t="s">
        <v>1253</v>
      </c>
      <c r="N220" s="166" t="s">
        <v>1242</v>
      </c>
      <c r="O220" s="166" t="s">
        <v>29</v>
      </c>
      <c r="P220" s="160" t="s">
        <v>264</v>
      </c>
      <c r="Q220" s="171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 t="s">
        <v>1243</v>
      </c>
      <c r="Z220" s="59" t="str">
        <f>IF(OR($M220="",NOT($O220="{array}")),"",IFERROR(MATCH(PARAMETERS!$M220,DEFAULT!$B$5:$CI$5,0),""))</f>
        <v/>
      </c>
      <c r="AA220" s="56">
        <f t="shared" si="19"/>
        <v>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 xml:space="preserve">  | - | B | S | T | P | N | L | ...</v>
      </c>
    </row>
    <row r="221" spans="1:29" hidden="1" outlineLevel="2" x14ac:dyDescent="0.25">
      <c r="A221" s="22" t="s">
        <v>84</v>
      </c>
      <c r="B221" s="41" t="str">
        <f t="shared" si="18"/>
        <v/>
      </c>
      <c r="C221" s="42">
        <f t="shared" si="17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47</v>
      </c>
      <c r="L221" s="167" t="s">
        <v>27</v>
      </c>
      <c r="M221" s="203" t="s">
        <v>1280</v>
      </c>
      <c r="N221" s="166" t="s">
        <v>1244</v>
      </c>
      <c r="O221" s="166">
        <v>0</v>
      </c>
      <c r="P221" s="160" t="s">
        <v>264</v>
      </c>
      <c r="Q221" s="171"/>
      <c r="R221" s="171" t="s">
        <v>195</v>
      </c>
      <c r="S221" s="171" t="s">
        <v>112</v>
      </c>
      <c r="T221" s="166" t="s">
        <v>264</v>
      </c>
      <c r="U221" s="166"/>
      <c r="V221" s="166"/>
      <c r="Z221" s="59" t="str">
        <f>IF(OR($M221="",NOT($O221="{array}")),"",IFERROR(MATCH(PARAMETERS!$M221,DEFAULT!$B$5:$CI$5,0),""))</f>
        <v/>
      </c>
      <c r="AA221" s="56" t="str">
        <f t="shared" si="19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/>
      </c>
    </row>
    <row r="222" spans="1:29" hidden="1" outlineLevel="2" x14ac:dyDescent="0.25">
      <c r="A222" s="22" t="s">
        <v>84</v>
      </c>
      <c r="B222" s="41" t="str">
        <f t="shared" si="18"/>
        <v/>
      </c>
      <c r="C222" s="42">
        <f t="shared" si="17"/>
        <v>221</v>
      </c>
      <c r="D222" s="38"/>
      <c r="E222" s="38"/>
      <c r="F222" s="38"/>
      <c r="G222" s="38"/>
      <c r="H222" s="38"/>
      <c r="I222" s="38" t="s">
        <v>9</v>
      </c>
      <c r="J222" s="38"/>
      <c r="K222" s="236" t="s">
        <v>24</v>
      </c>
      <c r="L222" s="237" t="s">
        <v>27</v>
      </c>
      <c r="M222" s="238" t="s">
        <v>1254</v>
      </c>
      <c r="N222" s="236" t="s">
        <v>1261</v>
      </c>
      <c r="O222" s="239">
        <v>4.4999999999999998E-2</v>
      </c>
      <c r="P222" s="160" t="s">
        <v>264</v>
      </c>
      <c r="Q222" s="171" t="s">
        <v>9</v>
      </c>
      <c r="R222" s="171" t="s">
        <v>195</v>
      </c>
      <c r="S222" s="171" t="s">
        <v>112</v>
      </c>
      <c r="T222" s="166" t="s">
        <v>264</v>
      </c>
      <c r="U222" s="166"/>
      <c r="V222" s="166"/>
      <c r="Z222" s="59" t="str">
        <f>IF(OR($M222="",NOT($O222="{array}")),"",IFERROR(MATCH(PARAMETERS!$M222,DEFAULT!$B$5:$CI$5,0),""))</f>
        <v/>
      </c>
      <c r="AA222" s="56" t="str">
        <f t="shared" si="19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/>
      </c>
    </row>
    <row r="223" spans="1:29" hidden="1" outlineLevel="2" x14ac:dyDescent="0.25">
      <c r="A223" s="22" t="s">
        <v>84</v>
      </c>
      <c r="B223" s="41" t="str">
        <f t="shared" si="18"/>
        <v/>
      </c>
      <c r="C223" s="42">
        <f t="shared" si="17"/>
        <v>222</v>
      </c>
      <c r="D223" s="38"/>
      <c r="E223" s="38"/>
      <c r="F223" s="38"/>
      <c r="G223" s="38"/>
      <c r="H223" s="38"/>
      <c r="I223" s="38" t="s">
        <v>9</v>
      </c>
      <c r="J223" s="38"/>
      <c r="K223" s="236" t="s">
        <v>24</v>
      </c>
      <c r="L223" s="237" t="s">
        <v>27</v>
      </c>
      <c r="M223" s="238" t="s">
        <v>1272</v>
      </c>
      <c r="N223" s="236" t="s">
        <v>1273</v>
      </c>
      <c r="O223" s="239">
        <v>7.0000000000000001E-3</v>
      </c>
      <c r="P223" s="160" t="s">
        <v>264</v>
      </c>
      <c r="Q223" s="171" t="s">
        <v>9</v>
      </c>
      <c r="R223" s="171" t="s">
        <v>195</v>
      </c>
      <c r="S223" s="171" t="s">
        <v>112</v>
      </c>
      <c r="T223" s="166" t="s">
        <v>264</v>
      </c>
      <c r="U223" s="166"/>
      <c r="V223" s="166"/>
      <c r="Z223" s="59" t="str">
        <f>IF(OR($M223="",NOT($O223="{array}")),"",IFERROR(MATCH(PARAMETERS!$M223,DEFAULT!$B$5:$CI$5,0),""))</f>
        <v/>
      </c>
      <c r="AA223" s="56" t="str">
        <f t="shared" si="1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2" x14ac:dyDescent="0.25">
      <c r="A224" s="22" t="s">
        <v>84</v>
      </c>
      <c r="B224" s="41" t="str">
        <f t="shared" si="18"/>
        <v/>
      </c>
      <c r="C224" s="42">
        <f t="shared" si="17"/>
        <v>223</v>
      </c>
      <c r="D224" s="38"/>
      <c r="E224" s="38"/>
      <c r="F224" s="38"/>
      <c r="G224" s="38"/>
      <c r="H224" s="38"/>
      <c r="I224" s="38" t="s">
        <v>9</v>
      </c>
      <c r="J224" s="38"/>
      <c r="K224" s="236" t="s">
        <v>24</v>
      </c>
      <c r="L224" s="237" t="s">
        <v>27</v>
      </c>
      <c r="M224" s="238" t="s">
        <v>1255</v>
      </c>
      <c r="N224" s="236" t="s">
        <v>1262</v>
      </c>
      <c r="O224" s="239">
        <v>2.5000000000000001E-2</v>
      </c>
      <c r="P224" s="160" t="s">
        <v>264</v>
      </c>
      <c r="Q224" s="171" t="s">
        <v>9</v>
      </c>
      <c r="R224" s="171" t="s">
        <v>195</v>
      </c>
      <c r="S224" s="171" t="s">
        <v>112</v>
      </c>
      <c r="T224" s="166" t="s">
        <v>264</v>
      </c>
      <c r="U224" s="166"/>
      <c r="V224" s="166"/>
      <c r="Z224" s="59" t="str">
        <f>IF(OR($M224="",NOT($O224="{array}")),"",IFERROR(MATCH(PARAMETERS!$M224,DEFAULT!$B$5:$CI$5,0),""))</f>
        <v/>
      </c>
      <c r="AA224" s="56" t="str">
        <f t="shared" si="19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/>
      </c>
    </row>
    <row r="225" spans="1:29" hidden="1" outlineLevel="2" x14ac:dyDescent="0.25">
      <c r="A225" s="22" t="s">
        <v>84</v>
      </c>
      <c r="B225" s="41" t="str">
        <f t="shared" si="18"/>
        <v/>
      </c>
      <c r="C225" s="42">
        <f t="shared" si="17"/>
        <v>224</v>
      </c>
      <c r="D225" s="38"/>
      <c r="E225" s="38"/>
      <c r="F225" s="38"/>
      <c r="G225" s="38"/>
      <c r="H225" s="38"/>
      <c r="I225" s="38" t="s">
        <v>9</v>
      </c>
      <c r="J225" s="38"/>
      <c r="K225" s="236" t="s">
        <v>24</v>
      </c>
      <c r="L225" s="237" t="s">
        <v>27</v>
      </c>
      <c r="M225" s="238" t="s">
        <v>1256</v>
      </c>
      <c r="N225" s="236" t="s">
        <v>1263</v>
      </c>
      <c r="O225" s="239">
        <v>0.05</v>
      </c>
      <c r="P225" s="160" t="s">
        <v>264</v>
      </c>
      <c r="Q225" s="171" t="s">
        <v>9</v>
      </c>
      <c r="R225" s="171" t="s">
        <v>195</v>
      </c>
      <c r="S225" s="171" t="s">
        <v>112</v>
      </c>
      <c r="T225" s="166" t="s">
        <v>264</v>
      </c>
      <c r="U225" s="166"/>
      <c r="V225" s="166"/>
      <c r="Z225" s="59" t="str">
        <f>IF(OR($M225="",NOT($O225="{array}")),"",IFERROR(MATCH(PARAMETERS!$M225,DEFAULT!$B$5:$CI$5,0),""))</f>
        <v/>
      </c>
      <c r="AA225" s="56" t="str">
        <f t="shared" si="1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/>
      </c>
    </row>
    <row r="226" spans="1:29" hidden="1" outlineLevel="2" x14ac:dyDescent="0.25">
      <c r="A226" s="22" t="s">
        <v>84</v>
      </c>
      <c r="B226" s="41" t="str">
        <f t="shared" si="18"/>
        <v/>
      </c>
      <c r="C226" s="42">
        <f t="shared" si="17"/>
        <v>225</v>
      </c>
      <c r="D226" s="38"/>
      <c r="E226" s="38"/>
      <c r="F226" s="38"/>
      <c r="G226" s="38"/>
      <c r="H226" s="38"/>
      <c r="I226" s="38" t="s">
        <v>9</v>
      </c>
      <c r="J226" s="38"/>
      <c r="K226" s="236" t="s">
        <v>24</v>
      </c>
      <c r="L226" s="237" t="s">
        <v>27</v>
      </c>
      <c r="M226" s="238" t="s">
        <v>1259</v>
      </c>
      <c r="N226" s="236" t="s">
        <v>1266</v>
      </c>
      <c r="O226" s="239">
        <v>0.03</v>
      </c>
      <c r="P226" s="160" t="s">
        <v>264</v>
      </c>
      <c r="Q226" s="171" t="s">
        <v>9</v>
      </c>
      <c r="R226" s="171" t="s">
        <v>195</v>
      </c>
      <c r="S226" s="171" t="s">
        <v>112</v>
      </c>
      <c r="T226" s="166" t="s">
        <v>264</v>
      </c>
      <c r="U226" s="166"/>
      <c r="V226" s="166"/>
      <c r="Z226" s="59" t="str">
        <f>IF(OR($M226="",NOT($O226="{array}")),"",IFERROR(MATCH(PARAMETERS!$M226,DEFAULT!$B$5:$CI$5,0),""))</f>
        <v/>
      </c>
      <c r="AA226" s="56" t="str">
        <f t="shared" si="1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/>
      </c>
    </row>
    <row r="227" spans="1:29" hidden="1" outlineLevel="2" x14ac:dyDescent="0.25">
      <c r="A227" s="22" t="s">
        <v>84</v>
      </c>
      <c r="B227" s="41" t="str">
        <f t="shared" si="18"/>
        <v/>
      </c>
      <c r="C227" s="42">
        <f t="shared" si="17"/>
        <v>226</v>
      </c>
      <c r="D227" s="38"/>
      <c r="E227" s="38"/>
      <c r="F227" s="38"/>
      <c r="G227" s="38"/>
      <c r="H227" s="38"/>
      <c r="I227" s="38" t="s">
        <v>9</v>
      </c>
      <c r="J227" s="38"/>
      <c r="K227" s="236" t="s">
        <v>24</v>
      </c>
      <c r="L227" s="237" t="s">
        <v>27</v>
      </c>
      <c r="M227" s="238" t="s">
        <v>1260</v>
      </c>
      <c r="N227" s="236" t="s">
        <v>1267</v>
      </c>
      <c r="O227" s="239">
        <v>0.03</v>
      </c>
      <c r="P227" s="160" t="s">
        <v>264</v>
      </c>
      <c r="Q227" s="171" t="s">
        <v>9</v>
      </c>
      <c r="R227" s="171" t="s">
        <v>195</v>
      </c>
      <c r="S227" s="171" t="s">
        <v>112</v>
      </c>
      <c r="T227" s="166" t="s">
        <v>264</v>
      </c>
      <c r="U227" s="166"/>
      <c r="V227" s="166"/>
      <c r="Z227" s="59" t="str">
        <f>IF(OR($M227="",NOT($O227="{array}")),"",IFERROR(MATCH(PARAMETERS!$M227,DEFAULT!$B$5:$CI$5,0),""))</f>
        <v/>
      </c>
      <c r="AA227" s="56" t="str">
        <f t="shared" si="1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/>
      </c>
    </row>
    <row r="228" spans="1:29" hidden="1" outlineLevel="2" x14ac:dyDescent="0.25">
      <c r="A228" s="22" t="s">
        <v>84</v>
      </c>
      <c r="B228" s="41" t="str">
        <f t="shared" si="18"/>
        <v/>
      </c>
      <c r="C228" s="42">
        <f t="shared" si="17"/>
        <v>227</v>
      </c>
      <c r="D228" s="38"/>
      <c r="E228" s="38"/>
      <c r="F228" s="38"/>
      <c r="G228" s="38"/>
      <c r="H228" s="38"/>
      <c r="I228" s="38" t="s">
        <v>9</v>
      </c>
      <c r="J228" s="38"/>
      <c r="K228" s="236" t="s">
        <v>24</v>
      </c>
      <c r="L228" s="237" t="s">
        <v>27</v>
      </c>
      <c r="M228" s="238" t="s">
        <v>1257</v>
      </c>
      <c r="N228" s="236" t="s">
        <v>1264</v>
      </c>
      <c r="O228" s="239">
        <v>0.16</v>
      </c>
      <c r="P228" s="160" t="s">
        <v>264</v>
      </c>
      <c r="Q228" s="171" t="s">
        <v>9</v>
      </c>
      <c r="R228" s="171" t="s">
        <v>195</v>
      </c>
      <c r="S228" s="171" t="s">
        <v>112</v>
      </c>
      <c r="T228" s="166" t="s">
        <v>264</v>
      </c>
      <c r="U228" s="166"/>
      <c r="V228" s="166"/>
      <c r="Z228" s="59" t="str">
        <f>IF(OR($M228="",NOT($O228="{array}")),"",IFERROR(MATCH(PARAMETERS!$M228,DEFAULT!$B$5:$CI$5,0),""))</f>
        <v/>
      </c>
      <c r="AA228" s="56" t="str">
        <f t="shared" si="1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hidden="1" outlineLevel="2" x14ac:dyDescent="0.25">
      <c r="A229" s="22" t="s">
        <v>84</v>
      </c>
      <c r="B229" s="41" t="str">
        <f t="shared" si="18"/>
        <v/>
      </c>
      <c r="C229" s="42">
        <f t="shared" si="17"/>
        <v>228</v>
      </c>
      <c r="D229" s="38"/>
      <c r="E229" s="38"/>
      <c r="F229" s="38"/>
      <c r="G229" s="38"/>
      <c r="H229" s="38"/>
      <c r="I229" s="38" t="s">
        <v>9</v>
      </c>
      <c r="J229" s="38"/>
      <c r="K229" s="236" t="s">
        <v>24</v>
      </c>
      <c r="L229" s="237" t="s">
        <v>27</v>
      </c>
      <c r="M229" s="238" t="s">
        <v>1258</v>
      </c>
      <c r="N229" s="236" t="s">
        <v>1265</v>
      </c>
      <c r="O229" s="239">
        <v>3.5000000000000003E-2</v>
      </c>
      <c r="P229" s="160" t="s">
        <v>264</v>
      </c>
      <c r="Q229" s="171" t="s">
        <v>9</v>
      </c>
      <c r="R229" s="171" t="s">
        <v>195</v>
      </c>
      <c r="S229" s="171" t="s">
        <v>112</v>
      </c>
      <c r="T229" s="166" t="s">
        <v>264</v>
      </c>
      <c r="U229" s="166"/>
      <c r="V229" s="166"/>
      <c r="Z229" s="59" t="str">
        <f>IF(OR($M229="",NOT($O229="{array}")),"",IFERROR(MATCH(PARAMETERS!$M229,DEFAULT!$B$5:$CI$5,0),""))</f>
        <v/>
      </c>
      <c r="AA229" s="56" t="str">
        <f t="shared" si="1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hidden="1" outlineLevel="2" x14ac:dyDescent="0.25">
      <c r="A230" s="22" t="s">
        <v>84</v>
      </c>
      <c r="B230" s="41" t="str">
        <f t="shared" si="18"/>
        <v/>
      </c>
      <c r="C230" s="42">
        <f t="shared" si="17"/>
        <v>229</v>
      </c>
      <c r="D230" s="38"/>
      <c r="E230" s="38"/>
      <c r="F230" s="38"/>
      <c r="G230" s="38"/>
      <c r="H230" s="38"/>
      <c r="I230" s="38" t="s">
        <v>9</v>
      </c>
      <c r="J230" s="38"/>
      <c r="K230" s="236" t="s">
        <v>24</v>
      </c>
      <c r="L230" s="237" t="s">
        <v>27</v>
      </c>
      <c r="M230" s="238" t="s">
        <v>1270</v>
      </c>
      <c r="N230" s="236" t="s">
        <v>1271</v>
      </c>
      <c r="O230" s="239">
        <v>8.0000000000000002E-3</v>
      </c>
      <c r="P230" s="160" t="s">
        <v>264</v>
      </c>
      <c r="Q230" s="171" t="s">
        <v>9</v>
      </c>
      <c r="R230" s="171" t="s">
        <v>195</v>
      </c>
      <c r="S230" s="171" t="s">
        <v>112</v>
      </c>
      <c r="T230" s="166" t="s">
        <v>264</v>
      </c>
      <c r="U230" s="166"/>
      <c r="V230" s="166"/>
      <c r="Z230" s="59" t="str">
        <f>IF(OR($M230="",NOT($O230="{array}")),"",IFERROR(MATCH(PARAMETERS!$M230,DEFAULT!$B$5:$CI$5,0),""))</f>
        <v/>
      </c>
      <c r="AA230" s="56" t="str">
        <f t="shared" si="1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hidden="1" outlineLevel="2" x14ac:dyDescent="0.25">
      <c r="A231" s="22" t="s">
        <v>84</v>
      </c>
      <c r="B231" s="41" t="str">
        <f t="shared" si="18"/>
        <v/>
      </c>
      <c r="C231" s="42">
        <f t="shared" si="17"/>
        <v>230</v>
      </c>
      <c r="D231" s="38"/>
      <c r="E231" s="38"/>
      <c r="F231" s="38"/>
      <c r="G231" s="38"/>
      <c r="H231" s="38"/>
      <c r="I231" s="38" t="s">
        <v>9</v>
      </c>
      <c r="J231" s="38"/>
      <c r="K231" s="236" t="s">
        <v>24</v>
      </c>
      <c r="L231" s="237" t="s">
        <v>27</v>
      </c>
      <c r="M231" s="238" t="s">
        <v>1268</v>
      </c>
      <c r="N231" s="236" t="s">
        <v>1269</v>
      </c>
      <c r="O231" s="239">
        <v>9.5000000000000001E-2</v>
      </c>
      <c r="P231" s="160" t="s">
        <v>264</v>
      </c>
      <c r="Q231" s="171" t="s">
        <v>9</v>
      </c>
      <c r="R231" s="171" t="s">
        <v>195</v>
      </c>
      <c r="S231" s="171" t="s">
        <v>112</v>
      </c>
      <c r="T231" s="166" t="s">
        <v>264</v>
      </c>
      <c r="U231" s="166"/>
      <c r="V231" s="166"/>
      <c r="Z231" s="59" t="str">
        <f>IF(OR($M231="",NOT($O231="{array}")),"",IFERROR(MATCH(PARAMETERS!$M231,DEFAULT!$B$5:$CI$5,0),""))</f>
        <v/>
      </c>
      <c r="AA231" s="56" t="str">
        <f t="shared" si="1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collapsed="1" x14ac:dyDescent="0.3">
      <c r="A232" s="22" t="s">
        <v>84</v>
      </c>
      <c r="B232" s="41" t="str">
        <f t="shared" ref="B232:B249" si="20">IF($A232="P",IF(NOT($Z232=""),"A",IF(NOT($AA232=""),"I","")),IF(NOT($AA232=""),IF($A232="G","V","X"),IF(NOT($Z232=""),"A","")))</f>
        <v/>
      </c>
      <c r="C232" s="42">
        <f t="shared" ref="C232:C249" si="21">(ROW()-1)</f>
        <v>231</v>
      </c>
      <c r="D232" s="38"/>
      <c r="E232" s="38"/>
      <c r="F232" s="38"/>
      <c r="G232" s="38"/>
      <c r="H232" s="38"/>
      <c r="I232" s="38"/>
      <c r="J232" s="38"/>
      <c r="K232" s="14" t="s">
        <v>57</v>
      </c>
      <c r="L232" s="14" t="s">
        <v>38</v>
      </c>
      <c r="M232" s="48" t="s">
        <v>632</v>
      </c>
      <c r="N232" s="41" t="s">
        <v>633</v>
      </c>
      <c r="R232" s="38" t="s">
        <v>103</v>
      </c>
      <c r="S232" s="38"/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IF(OR($M232="",NOT($O232="{array}")),"",IFERROR(MATCH(PARAMETERS!$M232,DEFAULT!$B$5:$CI$5,0),""))</f>
        <v/>
      </c>
      <c r="AA232" s="56" t="str">
        <f t="shared" ref="AA232:AA259" si="22">IF($M232="","",IFERROR(MATCH($M232,VALUESnames,0),""))</f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hidden="1" outlineLevel="1" x14ac:dyDescent="0.3">
      <c r="A233" s="22" t="s">
        <v>84</v>
      </c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59" t="s">
        <v>18</v>
      </c>
      <c r="L233" s="167" t="s">
        <v>21</v>
      </c>
      <c r="M233" s="233" t="s">
        <v>1126</v>
      </c>
      <c r="N233" s="166" t="s">
        <v>634</v>
      </c>
      <c r="O233" s="166" t="s">
        <v>34</v>
      </c>
      <c r="P233" s="160" t="s">
        <v>264</v>
      </c>
      <c r="Q233" s="171"/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634</v>
      </c>
      <c r="W233" s="15" t="str">
        <f>IF(IFERROR(VLOOKUP($M233,#REF!,1,0),"-")="-","","GS")</f>
        <v/>
      </c>
      <c r="X233" s="160" t="s">
        <v>264</v>
      </c>
      <c r="Y233" s="166" t="s">
        <v>635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hidden="1" outlineLevel="1" x14ac:dyDescent="0.3">
      <c r="A234" s="22"/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59" t="s">
        <v>18</v>
      </c>
      <c r="L234" s="167" t="s">
        <v>21</v>
      </c>
      <c r="M234" s="233" t="s">
        <v>1124</v>
      </c>
      <c r="N234" s="159" t="s">
        <v>1123</v>
      </c>
      <c r="O234" s="166" t="s">
        <v>264</v>
      </c>
      <c r="P234" s="160" t="s">
        <v>264</v>
      </c>
      <c r="Q234" s="178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/>
      <c r="W234" s="15" t="str">
        <f>IF(IFERROR(VLOOKUP($M234,#REF!,1,0),"-")="-","","GS")</f>
        <v/>
      </c>
      <c r="X234" s="160" t="s">
        <v>264</v>
      </c>
      <c r="Y234" s="166" t="s">
        <v>264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hidden="1" outlineLevel="1" x14ac:dyDescent="0.3">
      <c r="A235" s="22"/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59" t="s">
        <v>18</v>
      </c>
      <c r="L235" s="167" t="s">
        <v>21</v>
      </c>
      <c r="M235" s="233" t="s">
        <v>1125</v>
      </c>
      <c r="N235" s="166" t="s">
        <v>647</v>
      </c>
      <c r="O235" s="166" t="s">
        <v>264</v>
      </c>
      <c r="P235" s="160" t="s">
        <v>264</v>
      </c>
      <c r="Q235" s="178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647</v>
      </c>
      <c r="W235" s="15" t="str">
        <f>IF(IFERROR(VLOOKUP($M235,#REF!,1,0),"-")="-","","GS")</f>
        <v/>
      </c>
      <c r="X235" s="160" t="s">
        <v>264</v>
      </c>
      <c r="Y235" s="166" t="s">
        <v>264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hidden="1" outlineLevel="1" x14ac:dyDescent="0.3">
      <c r="A236" s="22"/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59" t="s">
        <v>18</v>
      </c>
      <c r="L236" s="167" t="s">
        <v>21</v>
      </c>
      <c r="M236" s="233" t="s">
        <v>1166</v>
      </c>
      <c r="N236" s="166" t="s">
        <v>1167</v>
      </c>
      <c r="O236" s="166" t="s">
        <v>264</v>
      </c>
      <c r="P236" s="160" t="s">
        <v>264</v>
      </c>
      <c r="Q236" s="178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/>
      <c r="W236" s="15"/>
      <c r="X236" s="160"/>
      <c r="Y236" s="166"/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hidden="1" outlineLevel="1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59" t="s">
        <v>18</v>
      </c>
      <c r="L237" s="167" t="s">
        <v>21</v>
      </c>
      <c r="M237" s="233" t="s">
        <v>1128</v>
      </c>
      <c r="N237" s="166" t="s">
        <v>636</v>
      </c>
      <c r="O237" s="166" t="s">
        <v>1144</v>
      </c>
      <c r="P237" s="160" t="s">
        <v>264</v>
      </c>
      <c r="Q237" s="178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636</v>
      </c>
      <c r="W237" s="15" t="str">
        <f>IF(IFERROR(VLOOKUP($M237,#REF!,1,0),"-")="-","","GS")</f>
        <v/>
      </c>
      <c r="X237" s="160" t="s">
        <v>264</v>
      </c>
      <c r="Y237" s="166" t="s">
        <v>637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hidden="1" outlineLevel="1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59" t="s">
        <v>18</v>
      </c>
      <c r="L238" s="167" t="s">
        <v>21</v>
      </c>
      <c r="M238" s="233" t="s">
        <v>1132</v>
      </c>
      <c r="N238" s="159" t="s">
        <v>644</v>
      </c>
      <c r="O238" s="166" t="s">
        <v>264</v>
      </c>
      <c r="P238" s="160" t="s">
        <v>264</v>
      </c>
      <c r="Q238" s="178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/>
      <c r="W238" s="15"/>
      <c r="X238" s="160"/>
      <c r="Y238" s="166"/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hidden="1" outlineLevel="1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59" t="s">
        <v>18</v>
      </c>
      <c r="L239" s="167" t="s">
        <v>21</v>
      </c>
      <c r="M239" s="232" t="s">
        <v>1129</v>
      </c>
      <c r="N239" s="166" t="s">
        <v>638</v>
      </c>
      <c r="O239" s="166" t="s">
        <v>1158</v>
      </c>
      <c r="P239" s="160" t="s">
        <v>264</v>
      </c>
      <c r="Q239" s="178"/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638</v>
      </c>
      <c r="W239" s="15" t="str">
        <f>IF(IFERROR(VLOOKUP($M239,#REF!,1,0),"-")="-","","GS")</f>
        <v/>
      </c>
      <c r="X239" s="160" t="s">
        <v>264</v>
      </c>
      <c r="Y239" s="166" t="s">
        <v>639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hidden="1" outlineLevel="1" x14ac:dyDescent="0.3">
      <c r="A240" s="22" t="s">
        <v>84</v>
      </c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59" t="s">
        <v>44</v>
      </c>
      <c r="L240" s="53" t="s">
        <v>27</v>
      </c>
      <c r="M240" s="232" t="s">
        <v>1130</v>
      </c>
      <c r="N240" s="166" t="s">
        <v>640</v>
      </c>
      <c r="O240" s="166">
        <v>2</v>
      </c>
      <c r="P240" s="160" t="s">
        <v>264</v>
      </c>
      <c r="Q240" s="178"/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640</v>
      </c>
      <c r="W240" s="15" t="str">
        <f>IF(IFERROR(VLOOKUP($M240,#REF!,1,0),"-")="-","","GS")</f>
        <v/>
      </c>
      <c r="X240" s="160" t="s">
        <v>264</v>
      </c>
      <c r="Y240" s="166" t="s">
        <v>641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hidden="1" outlineLevel="1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59" t="s">
        <v>24</v>
      </c>
      <c r="L241" s="53" t="s">
        <v>27</v>
      </c>
      <c r="M241" s="232" t="s">
        <v>1131</v>
      </c>
      <c r="N241" s="166" t="s">
        <v>1127</v>
      </c>
      <c r="O241" s="166">
        <v>0.02</v>
      </c>
      <c r="P241" s="160" t="s">
        <v>264</v>
      </c>
      <c r="Q241" s="178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/>
      <c r="W241" s="15"/>
      <c r="X241" s="160"/>
      <c r="Y241" s="166"/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hidden="1" outlineLevel="1" x14ac:dyDescent="0.3">
      <c r="A242" s="22" t="s">
        <v>84</v>
      </c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24</v>
      </c>
      <c r="L242" s="53" t="s">
        <v>27</v>
      </c>
      <c r="M242" s="233" t="s">
        <v>1163</v>
      </c>
      <c r="N242" s="159" t="s">
        <v>1159</v>
      </c>
      <c r="O242" s="166">
        <v>0.35</v>
      </c>
      <c r="P242" s="160" t="s">
        <v>264</v>
      </c>
      <c r="Q242" s="178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X242" s="14"/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hidden="1" outlineLevel="1" x14ac:dyDescent="0.3">
      <c r="A243" s="22" t="s">
        <v>84</v>
      </c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24</v>
      </c>
      <c r="L243" s="53" t="s">
        <v>27</v>
      </c>
      <c r="M243" s="233" t="s">
        <v>1164</v>
      </c>
      <c r="N243" s="159" t="s">
        <v>1165</v>
      </c>
      <c r="O243" s="166">
        <v>0.35</v>
      </c>
      <c r="P243" s="160" t="s">
        <v>264</v>
      </c>
      <c r="Q243" s="178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X243" s="14"/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hidden="1" outlineLevel="1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24</v>
      </c>
      <c r="L244" s="53" t="s">
        <v>27</v>
      </c>
      <c r="M244" s="232" t="s">
        <v>1133</v>
      </c>
      <c r="N244" s="159" t="s">
        <v>1134</v>
      </c>
      <c r="O244" s="166">
        <v>0.04</v>
      </c>
      <c r="P244" s="160" t="s">
        <v>264</v>
      </c>
      <c r="Q244" s="178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/>
      <c r="W244" s="15"/>
      <c r="X244" s="160"/>
      <c r="Y244" s="166"/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hidden="1" outlineLevel="1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44</v>
      </c>
      <c r="L245" s="53" t="s">
        <v>27</v>
      </c>
      <c r="M245" s="232" t="s">
        <v>1135</v>
      </c>
      <c r="N245" s="166" t="s">
        <v>645</v>
      </c>
      <c r="O245" s="166">
        <v>0</v>
      </c>
      <c r="P245" s="160" t="s">
        <v>264</v>
      </c>
      <c r="Q245" s="178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645</v>
      </c>
      <c r="W245" s="15" t="str">
        <f>IF(IFERROR(VLOOKUP($M246,#REF!,1,0),"-")="-","","GS")</f>
        <v/>
      </c>
      <c r="X245" s="160" t="s">
        <v>264</v>
      </c>
      <c r="Y245" s="166" t="s">
        <v>646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hidden="1" outlineLevel="1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59" t="s">
        <v>24</v>
      </c>
      <c r="L246" s="53" t="s">
        <v>27</v>
      </c>
      <c r="M246" s="232" t="s">
        <v>1137</v>
      </c>
      <c r="N246" s="159" t="s">
        <v>1136</v>
      </c>
      <c r="O246" s="166">
        <v>0.05</v>
      </c>
      <c r="P246" s="160" t="s">
        <v>264</v>
      </c>
      <c r="Q246" s="178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4" t="s">
        <v>1160</v>
      </c>
      <c r="X246" s="14"/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hidden="1" outlineLevel="1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59" t="s">
        <v>24</v>
      </c>
      <c r="L247" s="53" t="s">
        <v>27</v>
      </c>
      <c r="M247" s="232" t="s">
        <v>1139</v>
      </c>
      <c r="N247" s="159" t="s">
        <v>1138</v>
      </c>
      <c r="O247" s="166">
        <v>0.03</v>
      </c>
      <c r="P247" s="160" t="s">
        <v>264</v>
      </c>
      <c r="Q247" s="178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4" t="s">
        <v>1160</v>
      </c>
      <c r="W247" s="15" t="str">
        <f>IF(IFERROR(VLOOKUP($M247,#REF!,1,0),"-")="-","","GS")</f>
        <v/>
      </c>
      <c r="X247" s="160" t="s">
        <v>264</v>
      </c>
      <c r="Y247" s="166" t="s">
        <v>264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hidden="1" outlineLevel="1" x14ac:dyDescent="0.25">
      <c r="A248" s="22" t="s">
        <v>84</v>
      </c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53" t="s">
        <v>24</v>
      </c>
      <c r="L248" s="53" t="s">
        <v>27</v>
      </c>
      <c r="M248" s="234" t="s">
        <v>648</v>
      </c>
      <c r="N248" s="53" t="s">
        <v>649</v>
      </c>
      <c r="O248" s="155">
        <v>0</v>
      </c>
      <c r="P248" s="53"/>
      <c r="Q248" s="171" t="s">
        <v>9</v>
      </c>
      <c r="R248" s="38" t="s">
        <v>195</v>
      </c>
      <c r="S248" s="38"/>
      <c r="T248" s="38"/>
      <c r="V248" s="166" t="s">
        <v>642</v>
      </c>
      <c r="W248" s="15" t="str">
        <f>IF(IFERROR(VLOOKUP($M242,#REF!,1,0),"-")="-","","GS")</f>
        <v/>
      </c>
      <c r="X248" s="160" t="s">
        <v>264</v>
      </c>
      <c r="Y248" s="166" t="s">
        <v>643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hidden="1" outlineLevel="1" x14ac:dyDescent="0.25">
      <c r="A249" s="22" t="s">
        <v>84</v>
      </c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53" t="s">
        <v>24</v>
      </c>
      <c r="L249" s="53" t="s">
        <v>27</v>
      </c>
      <c r="M249" s="234" t="s">
        <v>650</v>
      </c>
      <c r="N249" s="53" t="s">
        <v>651</v>
      </c>
      <c r="O249" s="155">
        <v>1.7999999999999999E-2</v>
      </c>
      <c r="P249" s="53"/>
      <c r="Q249" s="171" t="s">
        <v>9</v>
      </c>
      <c r="R249" s="38" t="s">
        <v>195</v>
      </c>
      <c r="S249" s="38"/>
      <c r="T249" s="38"/>
      <c r="V249" s="166" t="s">
        <v>642</v>
      </c>
      <c r="W249" s="15" t="str">
        <f>IF(IFERROR(VLOOKUP($M244,#REF!,1,0),"-")="-","","GS")</f>
        <v/>
      </c>
      <c r="X249" s="160" t="s">
        <v>264</v>
      </c>
      <c r="Y249" s="166" t="s">
        <v>643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collapsed="1" x14ac:dyDescent="0.3">
      <c r="A250" s="22"/>
      <c r="B250" s="41" t="str">
        <f t="shared" ref="B250:B259" si="23">IF($A250="P",IF(NOT($Z250=""),"A",IF(NOT($AA250=""),"I","")),IF(NOT($AA250=""),IF($A250="G","V","X"),IF(NOT($Z250=""),"A","")))</f>
        <v/>
      </c>
      <c r="C250" s="42">
        <f t="shared" ref="C250:C259" si="24">(ROW()-1)</f>
        <v>249</v>
      </c>
      <c r="D250" s="38"/>
      <c r="E250" s="38"/>
      <c r="F250" s="38"/>
      <c r="G250" s="38"/>
      <c r="H250" s="38"/>
      <c r="I250" s="38"/>
      <c r="J250" s="38"/>
      <c r="K250" s="14" t="s">
        <v>57</v>
      </c>
      <c r="L250" s="14" t="s">
        <v>38</v>
      </c>
      <c r="M250" s="48" t="s">
        <v>652</v>
      </c>
      <c r="N250" s="41" t="s">
        <v>653</v>
      </c>
      <c r="R250" s="38" t="s">
        <v>103</v>
      </c>
      <c r="S250" s="38"/>
      <c r="T250" s="38"/>
      <c r="W250" s="15" t="str">
        <f>IF(IFERROR(VLOOKUP($M250,#REF!,1,0),"-")="-","","GS")</f>
        <v/>
      </c>
      <c r="Y250" s="53"/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hidden="1" outlineLevel="1" x14ac:dyDescent="0.3">
      <c r="A251" s="22" t="s">
        <v>84</v>
      </c>
      <c r="B251" s="41" t="str">
        <f t="shared" si="23"/>
        <v/>
      </c>
      <c r="C251" s="42">
        <f t="shared" si="24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18</v>
      </c>
      <c r="L251" s="14" t="s">
        <v>21</v>
      </c>
      <c r="M251" s="20" t="s">
        <v>675</v>
      </c>
      <c r="N251" s="14" t="s">
        <v>676</v>
      </c>
      <c r="Q251" s="38" t="s">
        <v>9</v>
      </c>
      <c r="R251" s="38" t="s">
        <v>104</v>
      </c>
      <c r="S251" s="38"/>
      <c r="T251" s="38"/>
      <c r="W251" s="15" t="str">
        <f>IF(IFERROR(VLOOKUP($M251,#REF!,1,0),"-")="-","","GS")</f>
        <v/>
      </c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hidden="1" outlineLevel="1" x14ac:dyDescent="0.25">
      <c r="A252" s="22"/>
      <c r="B252" s="41" t="str">
        <f t="shared" si="23"/>
        <v/>
      </c>
      <c r="C252" s="42">
        <f t="shared" si="24"/>
        <v>251</v>
      </c>
      <c r="D252" s="38"/>
      <c r="E252" s="38"/>
      <c r="F252" s="38"/>
      <c r="G252" s="38"/>
      <c r="H252" s="38"/>
      <c r="I252" s="38" t="s">
        <v>9</v>
      </c>
      <c r="J252" s="38"/>
      <c r="K252" s="166" t="s">
        <v>18</v>
      </c>
      <c r="L252" s="167" t="s">
        <v>21</v>
      </c>
      <c r="M252" s="166" t="s">
        <v>677</v>
      </c>
      <c r="N252" s="166" t="s">
        <v>264</v>
      </c>
      <c r="O252" s="166" t="s">
        <v>264</v>
      </c>
      <c r="P252" s="160" t="s">
        <v>264</v>
      </c>
      <c r="Q252" s="160" t="s">
        <v>9</v>
      </c>
      <c r="R252" s="160" t="s">
        <v>103</v>
      </c>
      <c r="S252" s="160" t="s">
        <v>112</v>
      </c>
      <c r="T252" s="166" t="s">
        <v>264</v>
      </c>
      <c r="U252" s="166" t="s">
        <v>264</v>
      </c>
      <c r="V252" s="166" t="s">
        <v>677</v>
      </c>
      <c r="W252" s="15" t="str">
        <f>IF(IFERROR(VLOOKUP($M252,#REF!,1,0),"-")="-","","GS")</f>
        <v/>
      </c>
      <c r="X252" s="160" t="s">
        <v>264</v>
      </c>
      <c r="Y252" s="166" t="s">
        <v>678</v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hidden="1" outlineLevel="1" x14ac:dyDescent="0.25">
      <c r="A253" s="22"/>
      <c r="B253" s="41" t="str">
        <f t="shared" si="23"/>
        <v/>
      </c>
      <c r="C253" s="42">
        <f t="shared" si="24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100</v>
      </c>
      <c r="L253" s="167" t="s">
        <v>21</v>
      </c>
      <c r="M253" s="166" t="s">
        <v>679</v>
      </c>
      <c r="N253" s="166" t="s">
        <v>264</v>
      </c>
      <c r="O253" s="166" t="s">
        <v>680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679</v>
      </c>
      <c r="W253" s="15" t="str">
        <f>IF(IFERROR(VLOOKUP($M253,#REF!,1,0),"-")="-","","GS")</f>
        <v/>
      </c>
      <c r="X253" s="160" t="s">
        <v>264</v>
      </c>
      <c r="Y253" s="166" t="s">
        <v>681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hidden="1" outlineLevel="1" x14ac:dyDescent="0.25">
      <c r="A254" s="22"/>
      <c r="B254" s="41" t="str">
        <f t="shared" si="23"/>
        <v/>
      </c>
      <c r="C254" s="42">
        <f t="shared" si="24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682</v>
      </c>
      <c r="N254" s="166" t="s">
        <v>264</v>
      </c>
      <c r="O254" s="166" t="s">
        <v>683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682</v>
      </c>
      <c r="W254" s="15" t="str">
        <f>IF(IFERROR(VLOOKUP($M254,#REF!,1,0),"-")="-","","GS")</f>
        <v/>
      </c>
      <c r="X254" s="160" t="s">
        <v>264</v>
      </c>
      <c r="Y254" s="166" t="s">
        <v>681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hidden="1" outlineLevel="1" x14ac:dyDescent="0.25">
      <c r="A255" s="22"/>
      <c r="B255" s="41" t="str">
        <f t="shared" si="23"/>
        <v/>
      </c>
      <c r="C255" s="42">
        <f t="shared" si="24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47</v>
      </c>
      <c r="L255" s="167" t="s">
        <v>21</v>
      </c>
      <c r="M255" s="166" t="s">
        <v>684</v>
      </c>
      <c r="N255" s="166" t="s">
        <v>264</v>
      </c>
      <c r="O255" s="166" t="s">
        <v>264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684</v>
      </c>
      <c r="W255" s="15" t="str">
        <f>IF(IFERROR(VLOOKUP($M255,#REF!,1,0),"-")="-","","GS")</f>
        <v/>
      </c>
      <c r="X255" s="160" t="s">
        <v>264</v>
      </c>
      <c r="Y255" s="166" t="s">
        <v>685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hidden="1" outlineLevel="1" x14ac:dyDescent="0.25">
      <c r="A256" s="22"/>
      <c r="B256" s="41" t="str">
        <f t="shared" si="23"/>
        <v/>
      </c>
      <c r="C256" s="42">
        <f t="shared" si="24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686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686</v>
      </c>
      <c r="W256" s="15" t="str">
        <f>IF(IFERROR(VLOOKUP($M256,#REF!,1,0),"-")="-","","GS")</f>
        <v/>
      </c>
      <c r="X256" s="160" t="s">
        <v>264</v>
      </c>
      <c r="Y256" s="166" t="s">
        <v>687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hidden="1" outlineLevel="1" x14ac:dyDescent="0.25">
      <c r="A257" s="22"/>
      <c r="B257" s="41" t="str">
        <f t="shared" si="23"/>
        <v/>
      </c>
      <c r="C257" s="42">
        <f t="shared" si="24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100</v>
      </c>
      <c r="L257" s="167" t="s">
        <v>21</v>
      </c>
      <c r="M257" s="166" t="s">
        <v>688</v>
      </c>
      <c r="N257" s="166" t="s">
        <v>264</v>
      </c>
      <c r="O257" s="166" t="s">
        <v>689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688</v>
      </c>
      <c r="W257" s="15" t="str">
        <f>IF(IFERROR(VLOOKUP($M257,#REF!,1,0),"-")="-","","GS")</f>
        <v/>
      </c>
      <c r="X257" s="160" t="s">
        <v>264</v>
      </c>
      <c r="Y257" s="166" t="s">
        <v>690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hidden="1" outlineLevel="1" x14ac:dyDescent="0.25">
      <c r="A258" s="22"/>
      <c r="B258" s="41" t="str">
        <f t="shared" si="23"/>
        <v/>
      </c>
      <c r="C258" s="42">
        <f t="shared" si="24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47</v>
      </c>
      <c r="L258" s="167" t="s">
        <v>21</v>
      </c>
      <c r="M258" s="166" t="s">
        <v>691</v>
      </c>
      <c r="N258" s="166" t="s">
        <v>264</v>
      </c>
      <c r="O258" s="166" t="s">
        <v>264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691</v>
      </c>
      <c r="W258" s="15" t="str">
        <f>IF(IFERROR(VLOOKUP($M258,#REF!,1,0),"-")="-","","GS")</f>
        <v/>
      </c>
      <c r="X258" s="160" t="s">
        <v>264</v>
      </c>
      <c r="Y258" s="166" t="s">
        <v>264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hidden="1" outlineLevel="1" x14ac:dyDescent="0.3">
      <c r="A259" s="22"/>
      <c r="B259" s="41" t="str">
        <f t="shared" si="23"/>
        <v/>
      </c>
      <c r="C259" s="42">
        <f t="shared" si="24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18</v>
      </c>
      <c r="L259" s="14" t="s">
        <v>21</v>
      </c>
      <c r="M259" s="20" t="s">
        <v>692</v>
      </c>
      <c r="N259" s="14" t="s">
        <v>693</v>
      </c>
      <c r="Q259" s="38" t="s">
        <v>9</v>
      </c>
      <c r="R259" s="38" t="s">
        <v>104</v>
      </c>
      <c r="S259" s="38"/>
      <c r="T259" s="38"/>
      <c r="W259" s="15" t="str">
        <f>IF(IFERROR(VLOOKUP($M259,#REF!,1,0),"-")="-","","GS")</f>
        <v/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collapsed="1" x14ac:dyDescent="0.3">
      <c r="A260" s="22" t="s">
        <v>188</v>
      </c>
      <c r="B260" s="41"/>
      <c r="C260" s="42"/>
      <c r="D260" s="38"/>
      <c r="E260" s="38"/>
      <c r="F260" s="38"/>
      <c r="G260" s="38"/>
      <c r="H260" s="38"/>
      <c r="I260" s="38"/>
      <c r="J260" s="38"/>
      <c r="R260" s="38"/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ref="AA260:AA277" si="25">IF($M260="","",IFERROR(MATCH($M260,VALUESnames,0),""))</f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 t="s">
        <v>84</v>
      </c>
      <c r="B261" s="41" t="str">
        <f t="shared" ref="B261:B296" si="26">IF($A261="P",IF(NOT($Z261=""),"A",IF(NOT($AA261=""),"I","")),IF(NOT($AA261=""),IF($A261="G","V","X"),IF(NOT($Z261=""),"A","")))</f>
        <v/>
      </c>
      <c r="C261" s="42">
        <f t="shared" ref="C261:C278" si="27">(ROW()-1)</f>
        <v>260</v>
      </c>
      <c r="D261" s="38"/>
      <c r="E261" s="38"/>
      <c r="F261" s="38" t="s">
        <v>9</v>
      </c>
      <c r="G261" s="38" t="s">
        <v>9</v>
      </c>
      <c r="H261" s="38"/>
      <c r="I261" s="38"/>
      <c r="J261" s="38"/>
      <c r="K261" s="14" t="s">
        <v>57</v>
      </c>
      <c r="L261" s="14" t="s">
        <v>38</v>
      </c>
      <c r="M261" s="48" t="s">
        <v>189</v>
      </c>
      <c r="N261" s="41" t="s">
        <v>190</v>
      </c>
      <c r="R261" s="38" t="s">
        <v>104</v>
      </c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si="25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 t="s">
        <v>84</v>
      </c>
      <c r="B262" s="41" t="str">
        <f t="shared" si="26"/>
        <v/>
      </c>
      <c r="C262" s="42">
        <f t="shared" si="27"/>
        <v>261</v>
      </c>
      <c r="D262" s="38"/>
      <c r="E262" s="38"/>
      <c r="F262" s="38" t="s">
        <v>9</v>
      </c>
      <c r="G262" s="38"/>
      <c r="H262" s="38"/>
      <c r="I262" s="38"/>
      <c r="J262" s="38"/>
      <c r="K262" s="14" t="s">
        <v>57</v>
      </c>
      <c r="L262" s="14" t="s">
        <v>38</v>
      </c>
      <c r="M262" s="48" t="s">
        <v>191</v>
      </c>
      <c r="N262" s="41" t="s">
        <v>192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hidden="1" outlineLevel="1" x14ac:dyDescent="0.3">
      <c r="A263" s="22" t="s">
        <v>84</v>
      </c>
      <c r="B263" s="41" t="str">
        <f t="shared" si="26"/>
        <v>A</v>
      </c>
      <c r="C263" s="42">
        <f t="shared" si="27"/>
        <v>262</v>
      </c>
      <c r="D263" s="38"/>
      <c r="E263" s="38"/>
      <c r="F263" s="38"/>
      <c r="G263" s="38"/>
      <c r="H263" s="38"/>
      <c r="I263" s="38" t="s">
        <v>9</v>
      </c>
      <c r="J263" s="38"/>
      <c r="K263" s="14" t="s">
        <v>52</v>
      </c>
      <c r="L263" s="14" t="s">
        <v>27</v>
      </c>
      <c r="M263" s="151" t="s">
        <v>193</v>
      </c>
      <c r="N263" s="14" t="s">
        <v>194</v>
      </c>
      <c r="O263" s="43" t="s">
        <v>33</v>
      </c>
      <c r="R263" s="38" t="s">
        <v>195</v>
      </c>
      <c r="S263" s="38"/>
      <c r="T263" s="38"/>
      <c r="W263" s="15" t="str">
        <f>IF(IFERROR(VLOOKUP($M263,#REF!,1,0),"-")="-","","GS")</f>
        <v/>
      </c>
      <c r="Z263" s="59">
        <f>IF(OR($M263="",NOT($O263="{array}")),"",IFERROR(MATCH(PARAMETERS!$M263,DEFAULT!$B$5:$CI$5,0),""))</f>
        <v>81</v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collapsed="1" x14ac:dyDescent="0.3">
      <c r="A264" s="22" t="s">
        <v>84</v>
      </c>
      <c r="B264" s="41" t="str">
        <f t="shared" si="26"/>
        <v/>
      </c>
      <c r="C264" s="42">
        <f t="shared" si="27"/>
        <v>263</v>
      </c>
      <c r="D264" s="38"/>
      <c r="E264" s="38"/>
      <c r="F264" s="38" t="s">
        <v>9</v>
      </c>
      <c r="G264" s="38"/>
      <c r="H264" s="38"/>
      <c r="I264" s="38"/>
      <c r="J264" s="38"/>
      <c r="K264" s="14" t="s">
        <v>57</v>
      </c>
      <c r="L264" s="14" t="s">
        <v>38</v>
      </c>
      <c r="M264" s="48" t="s">
        <v>196</v>
      </c>
      <c r="N264" s="41" t="s">
        <v>197</v>
      </c>
      <c r="R264" s="38" t="s">
        <v>104</v>
      </c>
      <c r="S264" s="38"/>
      <c r="T264" s="38"/>
      <c r="W264" s="15" t="str">
        <f>IF(IFERROR(VLOOKUP($M264,#REF!,1,0),"-")="-","","GS")</f>
        <v/>
      </c>
      <c r="Z264" s="59" t="str">
        <f>IF(OR($M264="",NOT($O264="{array}")),"",IFERROR(MATCH(PARAMETERS!$M264,DEFAULT!$B$5:$CI$5,0),""))</f>
        <v/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hidden="1" outlineLevel="1" x14ac:dyDescent="0.3">
      <c r="A265" s="22" t="s">
        <v>84</v>
      </c>
      <c r="B265" s="41" t="str">
        <f t="shared" si="26"/>
        <v>A</v>
      </c>
      <c r="C265" s="42">
        <f t="shared" si="27"/>
        <v>264</v>
      </c>
      <c r="D265" s="38"/>
      <c r="E265" s="38"/>
      <c r="F265" s="38"/>
      <c r="G265" s="38"/>
      <c r="H265" s="38"/>
      <c r="I265" s="38" t="s">
        <v>9</v>
      </c>
      <c r="J265" s="38"/>
      <c r="K265" s="14" t="s">
        <v>53</v>
      </c>
      <c r="L265" s="14" t="s">
        <v>27</v>
      </c>
      <c r="M265" s="151" t="s">
        <v>198</v>
      </c>
      <c r="N265" s="14" t="s">
        <v>199</v>
      </c>
      <c r="O265" s="43" t="s">
        <v>33</v>
      </c>
      <c r="R265" s="38" t="s">
        <v>195</v>
      </c>
      <c r="S265" s="38"/>
      <c r="T265" s="38"/>
      <c r="W265" s="15" t="str">
        <f>IF(IFERROR(VLOOKUP($M265,#REF!,1,0),"-")="-","","GS")</f>
        <v/>
      </c>
      <c r="Z265" s="59">
        <f>IF(OR($M265="",NOT($O265="{array}")),"",IFERROR(MATCH(PARAMETERS!$M265,DEFAULT!$B$5:$CI$5,0),""))</f>
        <v>75</v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200</v>
      </c>
      <c r="N266" s="14" t="s">
        <v>201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77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202</v>
      </c>
      <c r="N267" s="14" t="s">
        <v>203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79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collapsed="1" x14ac:dyDescent="0.3">
      <c r="A268" s="22" t="s">
        <v>84</v>
      </c>
      <c r="B268" s="41" t="str">
        <f t="shared" si="26"/>
        <v/>
      </c>
      <c r="C268" s="42">
        <f t="shared" si="27"/>
        <v>267</v>
      </c>
      <c r="D268" s="38"/>
      <c r="E268" s="38"/>
      <c r="F268" s="38"/>
      <c r="G268" s="38"/>
      <c r="H268" s="38"/>
      <c r="I268" s="38"/>
      <c r="J268" s="38"/>
      <c r="K268" s="14" t="s">
        <v>57</v>
      </c>
      <c r="L268" s="14" t="s">
        <v>38</v>
      </c>
      <c r="M268" s="48" t="s">
        <v>1198</v>
      </c>
      <c r="N268" s="41" t="s">
        <v>1199</v>
      </c>
      <c r="R268" s="38" t="s">
        <v>104</v>
      </c>
      <c r="S268" s="38"/>
      <c r="T268" s="38"/>
      <c r="Z268" s="59" t="str">
        <f>IF(OR($M268="",NOT($O268="{array}")),"",IFERROR(MATCH(PARAMETERS!$M268,DEFAULT!$B$5:$CI$5,0),""))</f>
        <v/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x14ac:dyDescent="0.3">
      <c r="A269" s="22" t="s">
        <v>84</v>
      </c>
      <c r="B269" s="41" t="str">
        <f t="shared" si="26"/>
        <v>A</v>
      </c>
      <c r="C269" s="42">
        <f t="shared" si="27"/>
        <v>268</v>
      </c>
      <c r="D269" s="38"/>
      <c r="E269" s="38"/>
      <c r="F269" s="38"/>
      <c r="G269" s="38"/>
      <c r="H269" s="38"/>
      <c r="I269" s="38" t="s">
        <v>9</v>
      </c>
      <c r="J269" s="38"/>
      <c r="K269" s="14" t="s">
        <v>51</v>
      </c>
      <c r="L269" s="14" t="s">
        <v>27</v>
      </c>
      <c r="M269" s="151" t="s">
        <v>1196</v>
      </c>
      <c r="N269" s="14" t="s">
        <v>1200</v>
      </c>
      <c r="O269" s="43" t="s">
        <v>33</v>
      </c>
      <c r="R269" s="38" t="s">
        <v>195</v>
      </c>
      <c r="S269" s="38"/>
      <c r="T269" s="38"/>
      <c r="Z269" s="59">
        <f>IF(OR($M269="",NOT($O269="{array}")),"",IFERROR(MATCH(PARAMETERS!$M269,DEFAULT!$B$5:$CI$5,0),""))</f>
        <v>83</v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collapsed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/>
      <c r="G270" s="38"/>
      <c r="H270" s="38"/>
      <c r="I270" s="38"/>
      <c r="J270" s="38"/>
      <c r="K270" s="14" t="s">
        <v>57</v>
      </c>
      <c r="L270" s="14" t="s">
        <v>38</v>
      </c>
      <c r="M270" s="48" t="s">
        <v>694</v>
      </c>
      <c r="N270" s="41" t="s">
        <v>695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 t="s">
        <v>9</v>
      </c>
      <c r="G271" s="38"/>
      <c r="H271" s="38"/>
      <c r="I271" s="38" t="s">
        <v>9</v>
      </c>
      <c r="J271" s="38"/>
      <c r="K271" s="14" t="s">
        <v>53</v>
      </c>
      <c r="L271" s="14" t="s">
        <v>27</v>
      </c>
      <c r="M271" s="20" t="s">
        <v>696</v>
      </c>
      <c r="N271" s="14" t="s">
        <v>697</v>
      </c>
      <c r="O271" s="43">
        <v>1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698</v>
      </c>
      <c r="N272" s="14" t="s">
        <v>699</v>
      </c>
      <c r="O272" s="43">
        <v>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27</v>
      </c>
      <c r="M273" s="20" t="s">
        <v>700</v>
      </c>
      <c r="N273" s="14" t="s">
        <v>701</v>
      </c>
      <c r="O273" s="43" t="s">
        <v>702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36</v>
      </c>
      <c r="L274" s="14" t="s">
        <v>27</v>
      </c>
      <c r="M274" s="20" t="s">
        <v>703</v>
      </c>
      <c r="N274" s="14" t="s">
        <v>704</v>
      </c>
      <c r="O274" s="43">
        <v>1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 t="s">
        <v>9</v>
      </c>
      <c r="G275" s="38"/>
      <c r="H275" s="38" t="s">
        <v>9</v>
      </c>
      <c r="I275" s="38"/>
      <c r="J275" s="38"/>
      <c r="K275" s="14" t="s">
        <v>47</v>
      </c>
      <c r="L275" s="14" t="s">
        <v>27</v>
      </c>
      <c r="M275" s="20" t="s">
        <v>705</v>
      </c>
      <c r="N275" s="14" t="s">
        <v>706</v>
      </c>
      <c r="O275" s="43">
        <v>0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18</v>
      </c>
      <c r="L276" s="14" t="s">
        <v>27</v>
      </c>
      <c r="M276" s="20" t="s">
        <v>707</v>
      </c>
      <c r="N276" s="14" t="s">
        <v>708</v>
      </c>
      <c r="O276" s="43" t="s">
        <v>673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709</v>
      </c>
      <c r="N277" s="14" t="s">
        <v>708</v>
      </c>
      <c r="O277" s="43">
        <v>1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44</v>
      </c>
      <c r="L278" s="14" t="s">
        <v>27</v>
      </c>
      <c r="M278" s="20" t="s">
        <v>710</v>
      </c>
      <c r="N278" s="14" t="s">
        <v>711</v>
      </c>
      <c r="O278" s="43">
        <v>1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ref="AA278:AA309" si="28">IF($M278="","",IFERROR(MATCH($M278,VALUESnames,0),""))</f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ref="C279:C310" si="29">(ROW()-1)</f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47</v>
      </c>
      <c r="L279" s="14" t="s">
        <v>27</v>
      </c>
      <c r="M279" s="20" t="s">
        <v>712</v>
      </c>
      <c r="N279" s="14" t="s">
        <v>713</v>
      </c>
      <c r="O279" s="43">
        <v>1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8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9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714</v>
      </c>
      <c r="N280" s="14" t="s">
        <v>715</v>
      </c>
      <c r="O280" s="43">
        <v>1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8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9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14" t="s">
        <v>24</v>
      </c>
      <c r="L281" s="14" t="s">
        <v>27</v>
      </c>
      <c r="M281" s="20" t="s">
        <v>716</v>
      </c>
      <c r="N281" s="14" t="s">
        <v>717</v>
      </c>
      <c r="O281" s="43">
        <v>0.02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8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9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14" t="s">
        <v>47</v>
      </c>
      <c r="L282" s="14" t="s">
        <v>27</v>
      </c>
      <c r="M282" s="20" t="s">
        <v>718</v>
      </c>
      <c r="N282" s="14" t="s">
        <v>719</v>
      </c>
      <c r="O282" s="43">
        <v>1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8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9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720</v>
      </c>
      <c r="N283" s="14" t="s">
        <v>721</v>
      </c>
      <c r="O283" s="43">
        <v>1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8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9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14" t="s">
        <v>24</v>
      </c>
      <c r="L284" s="14" t="s">
        <v>27</v>
      </c>
      <c r="M284" s="20" t="s">
        <v>722</v>
      </c>
      <c r="N284" s="14" t="s">
        <v>723</v>
      </c>
      <c r="O284" s="43">
        <v>0.05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8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hidden="1" outlineLevel="1" x14ac:dyDescent="0.3">
      <c r="A285" s="22" t="s">
        <v>84</v>
      </c>
      <c r="B285" s="41" t="str">
        <f t="shared" si="26"/>
        <v/>
      </c>
      <c r="C285" s="42">
        <f t="shared" si="29"/>
        <v>284</v>
      </c>
      <c r="D285" s="38"/>
      <c r="E285" s="38"/>
      <c r="F285" s="38" t="s">
        <v>9</v>
      </c>
      <c r="G285" s="38"/>
      <c r="H285" s="38"/>
      <c r="I285" s="38" t="s">
        <v>9</v>
      </c>
      <c r="J285" s="38"/>
      <c r="K285" s="14" t="s">
        <v>24</v>
      </c>
      <c r="L285" s="14" t="s">
        <v>27</v>
      </c>
      <c r="M285" s="20" t="s">
        <v>724</v>
      </c>
      <c r="N285" s="14" t="s">
        <v>725</v>
      </c>
      <c r="O285" s="43">
        <v>0.05</v>
      </c>
      <c r="R285" s="38" t="s">
        <v>104</v>
      </c>
      <c r="S285" s="38"/>
      <c r="T285" s="38"/>
      <c r="W285" s="15" t="str">
        <f>IF(IFERROR(VLOOKUP($M285,#REF!,1,0),"-")="-","","GS")</f>
        <v/>
      </c>
      <c r="Z285" s="59" t="str">
        <f>IF(OR($M285="",NOT($O285="{array}")),"",IFERROR(MATCH(PARAMETERS!$M285,DEFAULT!$B$5:$CI$5,0),""))</f>
        <v/>
      </c>
      <c r="AA285" s="56" t="str">
        <f t="shared" si="28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6"/>
        <v/>
      </c>
      <c r="C286" s="42">
        <f t="shared" si="29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24</v>
      </c>
      <c r="L286" s="14" t="s">
        <v>27</v>
      </c>
      <c r="M286" s="20" t="s">
        <v>726</v>
      </c>
      <c r="N286" s="14" t="s">
        <v>672</v>
      </c>
      <c r="O286" s="43">
        <v>0.05</v>
      </c>
      <c r="R286" s="38" t="s">
        <v>104</v>
      </c>
      <c r="S286" s="38"/>
      <c r="T286" s="38"/>
      <c r="W286" s="15" t="str">
        <f>IF(IFERROR(VLOOKUP($M286,#REF!,1,0),"-")="-","","GS")</f>
        <v/>
      </c>
      <c r="Z286" s="59" t="str">
        <f>IF(OR($M286="",NOT($O286="{array}")),"",IFERROR(MATCH(PARAMETERS!$M286,DEFAULT!$B$5:$CI$5,0),""))</f>
        <v/>
      </c>
      <c r="AA286" s="56" t="str">
        <f t="shared" si="28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3">
      <c r="A287" s="22" t="s">
        <v>84</v>
      </c>
      <c r="B287" s="41" t="str">
        <f t="shared" si="26"/>
        <v/>
      </c>
      <c r="C287" s="42">
        <f t="shared" si="29"/>
        <v>286</v>
      </c>
      <c r="D287" s="38"/>
      <c r="E287" s="38"/>
      <c r="F287" s="38" t="s">
        <v>9</v>
      </c>
      <c r="G287" s="38"/>
      <c r="H287" s="38"/>
      <c r="I287" s="38" t="s">
        <v>9</v>
      </c>
      <c r="J287" s="38"/>
      <c r="K287" s="14" t="s">
        <v>24</v>
      </c>
      <c r="L287" s="14" t="s">
        <v>27</v>
      </c>
      <c r="M287" s="20" t="s">
        <v>727</v>
      </c>
      <c r="N287" s="14" t="s">
        <v>728</v>
      </c>
      <c r="O287" s="43">
        <v>1.9E-2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8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9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24</v>
      </c>
      <c r="L288" s="14" t="s">
        <v>27</v>
      </c>
      <c r="M288" s="20" t="s">
        <v>729</v>
      </c>
      <c r="N288" s="14" t="s">
        <v>730</v>
      </c>
      <c r="O288" s="43">
        <v>2.5000000000000001E-2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8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9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24</v>
      </c>
      <c r="L289" s="14" t="s">
        <v>27</v>
      </c>
      <c r="M289" s="20" t="s">
        <v>731</v>
      </c>
      <c r="N289" s="14" t="s">
        <v>732</v>
      </c>
      <c r="O289" s="43">
        <v>0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8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9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24</v>
      </c>
      <c r="L290" s="14" t="s">
        <v>27</v>
      </c>
      <c r="M290" s="20" t="s">
        <v>733</v>
      </c>
      <c r="N290" s="14" t="s">
        <v>734</v>
      </c>
      <c r="O290" s="43">
        <v>0.05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8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9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24</v>
      </c>
      <c r="L291" s="14" t="s">
        <v>27</v>
      </c>
      <c r="M291" s="20" t="s">
        <v>735</v>
      </c>
      <c r="N291" s="14" t="s">
        <v>736</v>
      </c>
      <c r="O291" s="43">
        <v>0.1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8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9"/>
        <v>291</v>
      </c>
      <c r="D292" s="38"/>
      <c r="E292" s="38"/>
      <c r="F292" s="38" t="s">
        <v>9</v>
      </c>
      <c r="G292" s="38"/>
      <c r="H292" s="38"/>
      <c r="I292" s="38" t="s">
        <v>9</v>
      </c>
      <c r="J292" s="38"/>
      <c r="K292" s="14" t="s">
        <v>53</v>
      </c>
      <c r="L292" s="14" t="s">
        <v>27</v>
      </c>
      <c r="M292" s="20" t="s">
        <v>737</v>
      </c>
      <c r="N292" s="14" t="s">
        <v>738</v>
      </c>
      <c r="O292" s="43">
        <v>1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8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9"/>
        <v>292</v>
      </c>
      <c r="D293" s="38"/>
      <c r="E293" s="38"/>
      <c r="F293" s="38" t="s">
        <v>9</v>
      </c>
      <c r="G293" s="38"/>
      <c r="H293" s="38"/>
      <c r="I293" s="38" t="s">
        <v>9</v>
      </c>
      <c r="J293" s="38"/>
      <c r="K293" s="14" t="s">
        <v>52</v>
      </c>
      <c r="L293" s="14" t="s">
        <v>27</v>
      </c>
      <c r="M293" s="20" t="s">
        <v>739</v>
      </c>
      <c r="N293" s="14" t="s">
        <v>740</v>
      </c>
      <c r="O293" s="43">
        <v>65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8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9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53</v>
      </c>
      <c r="L294" s="14" t="s">
        <v>27</v>
      </c>
      <c r="M294" s="20" t="s">
        <v>741</v>
      </c>
      <c r="N294" s="14" t="s">
        <v>742</v>
      </c>
      <c r="O294" s="43">
        <v>19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8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9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53</v>
      </c>
      <c r="L295" s="14" t="s">
        <v>27</v>
      </c>
      <c r="M295" s="20" t="s">
        <v>743</v>
      </c>
      <c r="N295" s="14" t="s">
        <v>744</v>
      </c>
      <c r="O295" s="43">
        <v>19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si="28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si="29"/>
        <v>295</v>
      </c>
      <c r="D296" s="38"/>
      <c r="E296" s="38"/>
      <c r="F296" s="38" t="s">
        <v>9</v>
      </c>
      <c r="G296" s="38"/>
      <c r="H296" s="38" t="s">
        <v>9</v>
      </c>
      <c r="I296" s="38"/>
      <c r="J296" s="38"/>
      <c r="K296" s="14" t="s">
        <v>47</v>
      </c>
      <c r="L296" s="14" t="s">
        <v>27</v>
      </c>
      <c r="M296" s="20" t="s">
        <v>745</v>
      </c>
      <c r="N296" s="14" t="s">
        <v>746</v>
      </c>
      <c r="O296" s="43">
        <v>0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hidden="1" outlineLevel="1" x14ac:dyDescent="0.3">
      <c r="A297" s="22" t="s">
        <v>84</v>
      </c>
      <c r="B297" s="41" t="str">
        <f t="shared" ref="B297:B367" si="30">IF($A297="P",IF(NOT($Z297=""),"A",IF(NOT($AA297=""),"I","")),IF(NOT($AA297=""),IF($A297="G","V","X"),IF(NOT($Z297=""),"A","")))</f>
        <v/>
      </c>
      <c r="C297" s="42">
        <f t="shared" si="29"/>
        <v>296</v>
      </c>
      <c r="D297" s="38"/>
      <c r="E297" s="38"/>
      <c r="F297" s="38" t="s">
        <v>9</v>
      </c>
      <c r="G297" s="38" t="s">
        <v>9</v>
      </c>
      <c r="H297" s="38"/>
      <c r="I297" s="38" t="s">
        <v>9</v>
      </c>
      <c r="J297" s="38"/>
      <c r="K297" s="14" t="s">
        <v>18</v>
      </c>
      <c r="L297" s="14" t="s">
        <v>27</v>
      </c>
      <c r="M297" s="20" t="s">
        <v>747</v>
      </c>
      <c r="N297" s="14" t="s">
        <v>748</v>
      </c>
      <c r="O297" s="43" t="s">
        <v>673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30"/>
        <v/>
      </c>
      <c r="C298" s="42">
        <f t="shared" si="29"/>
        <v>297</v>
      </c>
      <c r="D298" s="38"/>
      <c r="E298" s="38"/>
      <c r="F298" s="38" t="s">
        <v>9</v>
      </c>
      <c r="G298" s="38" t="s">
        <v>9</v>
      </c>
      <c r="H298" s="38"/>
      <c r="I298" s="38" t="s">
        <v>9</v>
      </c>
      <c r="J298" s="38"/>
      <c r="K298" s="14" t="s">
        <v>44</v>
      </c>
      <c r="L298" s="14" t="s">
        <v>27</v>
      </c>
      <c r="M298" s="20" t="s">
        <v>749</v>
      </c>
      <c r="N298" s="14" t="s">
        <v>748</v>
      </c>
      <c r="O298" s="43">
        <v>1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hidden="1" outlineLevel="1" x14ac:dyDescent="0.3">
      <c r="A299" s="22" t="s">
        <v>84</v>
      </c>
      <c r="B299" s="41" t="str">
        <f t="shared" si="30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750</v>
      </c>
      <c r="N299" s="14" t="s">
        <v>719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30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751</v>
      </c>
      <c r="N300" s="14" t="s">
        <v>721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30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752</v>
      </c>
      <c r="N301" s="14" t="s">
        <v>723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30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753</v>
      </c>
      <c r="N302" s="14" t="s">
        <v>725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30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754</v>
      </c>
      <c r="N303" s="14" t="s">
        <v>672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30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755</v>
      </c>
      <c r="N304" s="14" t="s">
        <v>728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30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756</v>
      </c>
      <c r="N305" s="14" t="s">
        <v>730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30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757</v>
      </c>
      <c r="N306" s="14" t="s">
        <v>732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30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758</v>
      </c>
      <c r="N307" s="14" t="s">
        <v>734</v>
      </c>
      <c r="O307" s="43">
        <v>0.03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30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759</v>
      </c>
      <c r="N308" s="14" t="s">
        <v>736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30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760</v>
      </c>
      <c r="N309" s="14" t="s">
        <v>761</v>
      </c>
      <c r="O309" s="43">
        <v>65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30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762</v>
      </c>
      <c r="N310" s="14" t="s">
        <v>763</v>
      </c>
      <c r="O310" s="43">
        <v>19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ref="AA310:AA341" si="31">IF($M310="","",IFERROR(MATCH($M310,VALUESnames,0),""))</f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30"/>
        <v/>
      </c>
      <c r="C311" s="42">
        <f t="shared" ref="C311:C342" si="32">(ROW()-1)</f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764</v>
      </c>
      <c r="N311" s="14" t="s">
        <v>765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3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30"/>
        <v/>
      </c>
      <c r="C312" s="42">
        <f t="shared" si="32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766</v>
      </c>
      <c r="N312" s="14" t="s">
        <v>767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31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collapsed="1" x14ac:dyDescent="0.3">
      <c r="A313" s="22" t="s">
        <v>84</v>
      </c>
      <c r="B313" s="41" t="str">
        <f t="shared" si="30"/>
        <v/>
      </c>
      <c r="C313" s="42">
        <f t="shared" si="32"/>
        <v>312</v>
      </c>
      <c r="D313" s="38"/>
      <c r="E313" s="38"/>
      <c r="F313" s="38" t="s">
        <v>9</v>
      </c>
      <c r="G313" s="38"/>
      <c r="H313" s="38"/>
      <c r="I313" s="38"/>
      <c r="J313" s="38"/>
      <c r="K313" s="14" t="s">
        <v>57</v>
      </c>
      <c r="L313" s="14" t="s">
        <v>38</v>
      </c>
      <c r="M313" s="48" t="s">
        <v>768</v>
      </c>
      <c r="N313" s="41" t="s">
        <v>769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3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30"/>
        <v/>
      </c>
      <c r="C314" s="42">
        <f t="shared" si="32"/>
        <v>313</v>
      </c>
      <c r="D314" s="38"/>
      <c r="E314" s="38"/>
      <c r="F314" s="38"/>
      <c r="G314" s="38"/>
      <c r="H314" s="38"/>
      <c r="I314" s="38" t="s">
        <v>9</v>
      </c>
      <c r="J314" s="38"/>
      <c r="K314" s="53" t="s">
        <v>44</v>
      </c>
      <c r="L314" s="53" t="s">
        <v>27</v>
      </c>
      <c r="M314" s="157" t="s">
        <v>1040</v>
      </c>
      <c r="N314" s="53" t="s">
        <v>1041</v>
      </c>
      <c r="O314" s="155">
        <v>4</v>
      </c>
      <c r="P314" s="53"/>
      <c r="Q314" s="208"/>
      <c r="R314" s="208" t="s">
        <v>195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31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32"/>
        <v>314</v>
      </c>
      <c r="D315" s="38"/>
      <c r="E315" s="38"/>
      <c r="F315" s="38"/>
      <c r="G315" s="38"/>
      <c r="H315" s="38"/>
      <c r="I315" s="38" t="s">
        <v>9</v>
      </c>
      <c r="J315" s="38"/>
      <c r="K315" s="53" t="s">
        <v>44</v>
      </c>
      <c r="L315" s="53" t="s">
        <v>27</v>
      </c>
      <c r="M315" s="157" t="s">
        <v>1054</v>
      </c>
      <c r="N315" s="53" t="s">
        <v>1055</v>
      </c>
      <c r="O315" s="155">
        <v>4</v>
      </c>
      <c r="P315" s="53"/>
      <c r="Q315" s="208"/>
      <c r="R315" s="208" t="s">
        <v>195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31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32"/>
        <v>315</v>
      </c>
      <c r="D316" s="38"/>
      <c r="E316" s="38"/>
      <c r="F316" s="38"/>
      <c r="G316" s="38"/>
      <c r="H316" s="38"/>
      <c r="I316" s="38" t="s">
        <v>9</v>
      </c>
      <c r="J316" s="38"/>
      <c r="K316" s="53" t="s">
        <v>44</v>
      </c>
      <c r="L316" s="53" t="s">
        <v>27</v>
      </c>
      <c r="M316" s="157" t="s">
        <v>1052</v>
      </c>
      <c r="N316" s="53" t="s">
        <v>1053</v>
      </c>
      <c r="O316" s="155">
        <v>4</v>
      </c>
      <c r="P316" s="53"/>
      <c r="Q316" s="208"/>
      <c r="R316" s="208" t="s">
        <v>195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31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32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44</v>
      </c>
      <c r="L317" s="14" t="s">
        <v>27</v>
      </c>
      <c r="M317" s="20" t="s">
        <v>770</v>
      </c>
      <c r="N317" s="14" t="s">
        <v>771</v>
      </c>
      <c r="O317" s="43">
        <v>2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31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32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31</v>
      </c>
      <c r="L318" s="14" t="s">
        <v>27</v>
      </c>
      <c r="M318" s="151" t="s">
        <v>772</v>
      </c>
      <c r="N318" s="14" t="s">
        <v>773</v>
      </c>
      <c r="O318" s="43">
        <v>90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31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32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31</v>
      </c>
      <c r="L319" s="14" t="s">
        <v>27</v>
      </c>
      <c r="M319" s="151" t="s">
        <v>774</v>
      </c>
      <c r="N319" s="14" t="s">
        <v>775</v>
      </c>
      <c r="O319" s="43">
        <v>90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31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32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212" t="s">
        <v>31</v>
      </c>
      <c r="L320" s="212" t="s">
        <v>27</v>
      </c>
      <c r="M320" s="229" t="s">
        <v>776</v>
      </c>
      <c r="N320" s="212" t="s">
        <v>777</v>
      </c>
      <c r="O320" s="213">
        <v>0</v>
      </c>
      <c r="P320" s="212"/>
      <c r="Q320" s="214"/>
      <c r="R320" s="214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31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32"/>
        <v>320</v>
      </c>
      <c r="D321" s="38"/>
      <c r="E321" s="38"/>
      <c r="F321" s="38"/>
      <c r="G321" s="38"/>
      <c r="H321" s="38"/>
      <c r="I321" s="38" t="s">
        <v>9</v>
      </c>
      <c r="J321" s="38"/>
      <c r="K321" s="212" t="s">
        <v>31</v>
      </c>
      <c r="L321" s="212" t="s">
        <v>27</v>
      </c>
      <c r="M321" s="229" t="s">
        <v>778</v>
      </c>
      <c r="N321" s="212" t="s">
        <v>779</v>
      </c>
      <c r="O321" s="213">
        <v>0</v>
      </c>
      <c r="P321" s="212"/>
      <c r="Q321" s="214"/>
      <c r="R321" s="214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31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30"/>
        <v>A</v>
      </c>
      <c r="C322" s="42">
        <f t="shared" si="32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53" t="s">
        <v>31</v>
      </c>
      <c r="L322" s="53" t="s">
        <v>27</v>
      </c>
      <c r="M322" s="157" t="s">
        <v>1065</v>
      </c>
      <c r="N322" s="53" t="s">
        <v>1066</v>
      </c>
      <c r="O322" s="155" t="s">
        <v>33</v>
      </c>
      <c r="P322" s="53"/>
      <c r="Q322" s="208"/>
      <c r="R322" s="208" t="s">
        <v>195</v>
      </c>
      <c r="S322" s="38"/>
      <c r="T322" s="38"/>
      <c r="W322" s="15" t="str">
        <f>IF(IFERROR(VLOOKUP($M322,#REF!,1,0),"-")="-","","GS")</f>
        <v/>
      </c>
      <c r="Z322" s="59">
        <f>IF(OR($M322="",NOT($O322="{array}")),"",IFERROR(MATCH(PARAMETERS!$M322,DEFAULT!$B$5:$CI$5,0),""))</f>
        <v>72</v>
      </c>
      <c r="AA322" s="56" t="str">
        <f t="shared" si="31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32"/>
        <v>322</v>
      </c>
      <c r="D323" s="38"/>
      <c r="E323" s="38"/>
      <c r="F323" s="38"/>
      <c r="G323" s="38"/>
      <c r="H323" s="38"/>
      <c r="I323" s="38" t="s">
        <v>9</v>
      </c>
      <c r="J323" s="38"/>
      <c r="K323" s="14" t="s">
        <v>47</v>
      </c>
      <c r="L323" s="14" t="s">
        <v>27</v>
      </c>
      <c r="M323" s="20" t="s">
        <v>780</v>
      </c>
      <c r="N323" s="14" t="s">
        <v>781</v>
      </c>
      <c r="O323" s="43">
        <v>1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31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32"/>
        <v>323</v>
      </c>
      <c r="D324" s="38"/>
      <c r="E324" s="38"/>
      <c r="F324" s="38" t="s">
        <v>9</v>
      </c>
      <c r="G324" s="38"/>
      <c r="H324" s="38" t="s">
        <v>9</v>
      </c>
      <c r="I324" s="38" t="s">
        <v>9</v>
      </c>
      <c r="J324" s="38"/>
      <c r="K324" s="14" t="s">
        <v>47</v>
      </c>
      <c r="L324" s="14" t="s">
        <v>27</v>
      </c>
      <c r="M324" s="20" t="s">
        <v>782</v>
      </c>
      <c r="N324" s="14" t="s">
        <v>783</v>
      </c>
      <c r="O324" s="43">
        <v>0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31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32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47</v>
      </c>
      <c r="L325" s="14" t="s">
        <v>27</v>
      </c>
      <c r="M325" s="20" t="s">
        <v>784</v>
      </c>
      <c r="N325" s="14" t="s">
        <v>785</v>
      </c>
      <c r="O325" s="43">
        <v>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31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32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51</v>
      </c>
      <c r="L326" s="14" t="s">
        <v>27</v>
      </c>
      <c r="M326" s="151" t="s">
        <v>786</v>
      </c>
      <c r="N326" s="14" t="s">
        <v>787</v>
      </c>
      <c r="O326" s="43">
        <v>1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31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32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51</v>
      </c>
      <c r="L327" s="14" t="s">
        <v>27</v>
      </c>
      <c r="M327" s="151" t="s">
        <v>788</v>
      </c>
      <c r="N327" s="14" t="s">
        <v>789</v>
      </c>
      <c r="O327" s="43">
        <v>4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si="31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si="32"/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18</v>
      </c>
      <c r="L328" s="14" t="s">
        <v>27</v>
      </c>
      <c r="M328" s="20" t="s">
        <v>790</v>
      </c>
      <c r="N328" s="14" t="s">
        <v>791</v>
      </c>
      <c r="O328" s="43" t="s">
        <v>792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 t="s">
        <v>9</v>
      </c>
      <c r="G329" s="38" t="s">
        <v>9</v>
      </c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793</v>
      </c>
      <c r="N329" s="14" t="s">
        <v>791</v>
      </c>
      <c r="O329" s="43">
        <v>1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18</v>
      </c>
      <c r="L330" s="14" t="s">
        <v>27</v>
      </c>
      <c r="M330" s="20" t="s">
        <v>794</v>
      </c>
      <c r="N330" s="14" t="s">
        <v>791</v>
      </c>
      <c r="O330" s="43" t="s">
        <v>795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 t="s">
        <v>9</v>
      </c>
      <c r="G331" s="38" t="s">
        <v>9</v>
      </c>
      <c r="H331" s="38"/>
      <c r="I331" s="38" t="s">
        <v>9</v>
      </c>
      <c r="J331" s="38"/>
      <c r="K331" s="14" t="s">
        <v>44</v>
      </c>
      <c r="L331" s="14" t="s">
        <v>27</v>
      </c>
      <c r="M331" s="20" t="s">
        <v>796</v>
      </c>
      <c r="N331" s="14" t="s">
        <v>791</v>
      </c>
      <c r="O331" s="43">
        <v>0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1059</v>
      </c>
      <c r="N332" s="53" t="s">
        <v>1056</v>
      </c>
      <c r="O332" s="155">
        <v>1</v>
      </c>
      <c r="P332" s="53"/>
      <c r="Q332" s="208"/>
      <c r="R332" s="208" t="s">
        <v>195</v>
      </c>
      <c r="S332" s="38"/>
      <c r="T332" s="38"/>
      <c r="W332" s="15"/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1060</v>
      </c>
      <c r="N333" s="53" t="s">
        <v>1057</v>
      </c>
      <c r="O333" s="155">
        <v>1</v>
      </c>
      <c r="P333" s="53"/>
      <c r="Q333" s="208"/>
      <c r="R333" s="208" t="s">
        <v>195</v>
      </c>
      <c r="S333" s="38"/>
      <c r="T333" s="38"/>
      <c r="W333" s="15"/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53" t="s">
        <v>44</v>
      </c>
      <c r="L334" s="53" t="s">
        <v>27</v>
      </c>
      <c r="M334" s="157" t="s">
        <v>1061</v>
      </c>
      <c r="N334" s="53" t="s">
        <v>1058</v>
      </c>
      <c r="O334" s="155">
        <v>1</v>
      </c>
      <c r="P334" s="53"/>
      <c r="Q334" s="208"/>
      <c r="R334" s="208" t="s">
        <v>195</v>
      </c>
      <c r="S334" s="38"/>
      <c r="T334" s="38"/>
      <c r="W334" s="15"/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53</v>
      </c>
      <c r="L335" s="14" t="s">
        <v>27</v>
      </c>
      <c r="M335" s="218" t="s">
        <v>797</v>
      </c>
      <c r="N335" s="14" t="s">
        <v>798</v>
      </c>
      <c r="O335" s="43">
        <v>1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 t="s">
        <v>9</v>
      </c>
      <c r="G336" s="38" t="s">
        <v>9</v>
      </c>
      <c r="H336" s="38"/>
      <c r="I336" s="38" t="s">
        <v>9</v>
      </c>
      <c r="J336" s="38"/>
      <c r="K336" s="14" t="s">
        <v>44</v>
      </c>
      <c r="L336" s="14" t="s">
        <v>27</v>
      </c>
      <c r="M336" s="218" t="s">
        <v>799</v>
      </c>
      <c r="N336" s="14" t="s">
        <v>798</v>
      </c>
      <c r="O336" s="43">
        <v>1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 t="s">
        <v>9</v>
      </c>
      <c r="I337" s="38" t="s">
        <v>9</v>
      </c>
      <c r="J337" s="38"/>
      <c r="K337" s="14" t="s">
        <v>47</v>
      </c>
      <c r="L337" s="14" t="s">
        <v>27</v>
      </c>
      <c r="M337" s="20" t="s">
        <v>800</v>
      </c>
      <c r="N337" s="14" t="s">
        <v>801</v>
      </c>
      <c r="O337" s="43">
        <v>1</v>
      </c>
      <c r="R337" s="38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47</v>
      </c>
      <c r="L338" s="14" t="s">
        <v>27</v>
      </c>
      <c r="M338" s="20" t="s">
        <v>802</v>
      </c>
      <c r="N338" s="14" t="s">
        <v>803</v>
      </c>
      <c r="O338" s="43">
        <v>1</v>
      </c>
      <c r="R338" s="38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30"/>
        <v/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18</v>
      </c>
      <c r="L339" s="14" t="s">
        <v>27</v>
      </c>
      <c r="M339" s="20" t="s">
        <v>804</v>
      </c>
      <c r="N339" s="14" t="s">
        <v>805</v>
      </c>
      <c r="O339" s="43" t="s">
        <v>806</v>
      </c>
      <c r="R339" s="38" t="s">
        <v>104</v>
      </c>
      <c r="S339" s="38"/>
      <c r="T339" s="38"/>
      <c r="W339" s="15" t="str">
        <f>IF(IFERROR(VLOOKUP($M339,#REF!,1,0),"-")="-","","GS")</f>
        <v/>
      </c>
      <c r="Z339" s="59" t="str">
        <f>IF(OR($M339="",NOT($O339="{array}")),"",IFERROR(MATCH(PARAMETERS!$M339,DEFAULT!$B$5:$CI$5,0),""))</f>
        <v/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 t="s">
        <v>9</v>
      </c>
      <c r="G340" s="38" t="s">
        <v>9</v>
      </c>
      <c r="H340" s="38"/>
      <c r="I340" s="38" t="s">
        <v>9</v>
      </c>
      <c r="J340" s="38"/>
      <c r="K340" s="14" t="s">
        <v>44</v>
      </c>
      <c r="L340" s="14" t="s">
        <v>27</v>
      </c>
      <c r="M340" s="218" t="s">
        <v>807</v>
      </c>
      <c r="N340" s="14" t="s">
        <v>805</v>
      </c>
      <c r="O340" s="43">
        <v>0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18</v>
      </c>
      <c r="L341" s="14" t="s">
        <v>27</v>
      </c>
      <c r="M341" s="20" t="s">
        <v>808</v>
      </c>
      <c r="N341" s="14" t="s">
        <v>809</v>
      </c>
      <c r="O341" s="43" t="s">
        <v>810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 t="s">
        <v>9</v>
      </c>
      <c r="H342" s="38"/>
      <c r="I342" s="38" t="s">
        <v>9</v>
      </c>
      <c r="J342" s="38"/>
      <c r="K342" s="14" t="s">
        <v>44</v>
      </c>
      <c r="L342" s="14" t="s">
        <v>27</v>
      </c>
      <c r="M342" s="218" t="s">
        <v>811</v>
      </c>
      <c r="N342" s="14" t="s">
        <v>809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ref="AA342:AA373" si="33">IF($M342="","",IFERROR(MATCH($M342,VALUESnames,0),""))</f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ref="C343:C374" si="34">(ROW()-1)</f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18</v>
      </c>
      <c r="L343" s="14" t="s">
        <v>27</v>
      </c>
      <c r="M343" s="20" t="s">
        <v>812</v>
      </c>
      <c r="N343" s="14" t="s">
        <v>813</v>
      </c>
      <c r="O343" s="43" t="s">
        <v>810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3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4"/>
        <v>343</v>
      </c>
      <c r="D344" s="38"/>
      <c r="E344" s="38"/>
      <c r="F344" s="38" t="s">
        <v>9</v>
      </c>
      <c r="G344" s="38" t="s">
        <v>9</v>
      </c>
      <c r="H344" s="38"/>
      <c r="I344" s="38" t="s">
        <v>9</v>
      </c>
      <c r="J344" s="38"/>
      <c r="K344" s="14" t="s">
        <v>44</v>
      </c>
      <c r="L344" s="14" t="s">
        <v>27</v>
      </c>
      <c r="M344" s="218" t="s">
        <v>814</v>
      </c>
      <c r="N344" s="14" t="s">
        <v>815</v>
      </c>
      <c r="O344" s="43">
        <v>1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3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4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816</v>
      </c>
      <c r="N345" s="14" t="s">
        <v>817</v>
      </c>
      <c r="O345" s="43" t="s">
        <v>629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3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4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818</v>
      </c>
      <c r="N346" s="14" t="s">
        <v>817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3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collapsed="1" x14ac:dyDescent="0.3">
      <c r="A347" s="22" t="s">
        <v>84</v>
      </c>
      <c r="B347" s="41" t="str">
        <f t="shared" si="30"/>
        <v/>
      </c>
      <c r="C347" s="42">
        <f t="shared" si="34"/>
        <v>346</v>
      </c>
      <c r="D347" s="38"/>
      <c r="E347" s="38"/>
      <c r="F347" s="38" t="s">
        <v>9</v>
      </c>
      <c r="G347" s="38"/>
      <c r="H347" s="38"/>
      <c r="I347" s="38"/>
      <c r="J347" s="38"/>
      <c r="K347" s="14" t="s">
        <v>57</v>
      </c>
      <c r="L347" s="14" t="s">
        <v>38</v>
      </c>
      <c r="M347" s="48" t="s">
        <v>819</v>
      </c>
      <c r="N347" s="41" t="s">
        <v>820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3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4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821</v>
      </c>
      <c r="N348" s="14" t="s">
        <v>822</v>
      </c>
      <c r="O348" s="43">
        <v>1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3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4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44</v>
      </c>
      <c r="L349" s="14" t="s">
        <v>27</v>
      </c>
      <c r="M349" s="20" t="s">
        <v>823</v>
      </c>
      <c r="N349" s="14" t="s">
        <v>824</v>
      </c>
      <c r="O349" s="43">
        <v>2</v>
      </c>
      <c r="R349" s="38" t="s">
        <v>104</v>
      </c>
      <c r="S349" s="38"/>
      <c r="T349" s="38"/>
      <c r="W349" s="15" t="str">
        <f>IF(IFERROR(VLOOKUP($M349,#REF!,1,0),"-")="-","","GS")</f>
        <v/>
      </c>
      <c r="Z349" s="59" t="str">
        <f>IF(OR($M349="",NOT($O349="{array}")),"",IFERROR(MATCH(PARAMETERS!$M349,DEFAULT!$B$5:$CI$5,0),""))</f>
        <v/>
      </c>
      <c r="AA349" s="56" t="str">
        <f t="shared" si="33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4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44</v>
      </c>
      <c r="L350" s="14" t="s">
        <v>27</v>
      </c>
      <c r="M350" s="20" t="s">
        <v>825</v>
      </c>
      <c r="N350" s="14" t="s">
        <v>826</v>
      </c>
      <c r="O350" s="43">
        <v>1</v>
      </c>
      <c r="R350" s="38" t="s">
        <v>104</v>
      </c>
      <c r="S350" s="38"/>
      <c r="T350" s="38"/>
      <c r="W350" s="15" t="str">
        <f>IF(IFERROR(VLOOKUP($M350,#REF!,1,0),"-")="-","","GS")</f>
        <v/>
      </c>
      <c r="Z350" s="59" t="str">
        <f>IF(OR($M350="",NOT($O350="{array}")),"",IFERROR(MATCH(PARAMETERS!$M350,DEFAULT!$B$5:$CI$5,0),""))</f>
        <v/>
      </c>
      <c r="AA350" s="56" t="str">
        <f t="shared" si="33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4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44</v>
      </c>
      <c r="L351" s="14" t="s">
        <v>27</v>
      </c>
      <c r="M351" s="20" t="s">
        <v>827</v>
      </c>
      <c r="N351" s="14" t="s">
        <v>828</v>
      </c>
      <c r="O351" s="43">
        <v>1</v>
      </c>
      <c r="R351" s="38" t="s">
        <v>104</v>
      </c>
      <c r="S351" s="38"/>
      <c r="T351" s="38"/>
      <c r="W351" s="15" t="str">
        <f>IF(IFERROR(VLOOKUP($M351,#REF!,1,0),"-")="-","","GS")</f>
        <v/>
      </c>
      <c r="Z351" s="59" t="str">
        <f>IF(OR($M351="",NOT($O351="{array}")),"",IFERROR(MATCH(PARAMETERS!$M351,DEFAULT!$B$5:$CI$5,0),""))</f>
        <v/>
      </c>
      <c r="AA351" s="56" t="str">
        <f t="shared" si="33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4"/>
        <v>351</v>
      </c>
      <c r="D352" s="38"/>
      <c r="E352" s="38"/>
      <c r="F352" s="38" t="s">
        <v>9</v>
      </c>
      <c r="G352" s="38"/>
      <c r="H352" s="38" t="s">
        <v>9</v>
      </c>
      <c r="I352" s="38"/>
      <c r="J352" s="38"/>
      <c r="K352" s="14" t="s">
        <v>47</v>
      </c>
      <c r="L352" s="14" t="s">
        <v>27</v>
      </c>
      <c r="M352" s="20" t="s">
        <v>829</v>
      </c>
      <c r="N352" s="14" t="s">
        <v>830</v>
      </c>
      <c r="O352" s="43">
        <v>0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3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4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52</v>
      </c>
      <c r="L353" s="14" t="s">
        <v>27</v>
      </c>
      <c r="M353" s="20" t="s">
        <v>831</v>
      </c>
      <c r="N353" s="14" t="s">
        <v>670</v>
      </c>
      <c r="O353" s="43">
        <v>65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3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4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53</v>
      </c>
      <c r="L354" s="14" t="s">
        <v>27</v>
      </c>
      <c r="M354" s="20" t="s">
        <v>832</v>
      </c>
      <c r="N354" s="14" t="s">
        <v>671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3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4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53</v>
      </c>
      <c r="L355" s="14" t="s">
        <v>27</v>
      </c>
      <c r="M355" s="20" t="s">
        <v>833</v>
      </c>
      <c r="N355" s="14" t="s">
        <v>669</v>
      </c>
      <c r="O355" s="43">
        <v>91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3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4"/>
        <v>355</v>
      </c>
      <c r="D356" s="38"/>
      <c r="E356" s="38"/>
      <c r="F356" s="38" t="s">
        <v>9</v>
      </c>
      <c r="G356" s="38"/>
      <c r="H356" s="38" t="s">
        <v>9</v>
      </c>
      <c r="I356" s="38"/>
      <c r="J356" s="38"/>
      <c r="K356" s="14" t="s">
        <v>47</v>
      </c>
      <c r="L356" s="14" t="s">
        <v>27</v>
      </c>
      <c r="M356" s="20" t="s">
        <v>834</v>
      </c>
      <c r="N356" s="14" t="s">
        <v>835</v>
      </c>
      <c r="O356" s="43">
        <v>0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3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4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18</v>
      </c>
      <c r="L357" s="14" t="s">
        <v>27</v>
      </c>
      <c r="M357" s="20" t="s">
        <v>836</v>
      </c>
      <c r="N357" s="14" t="s">
        <v>837</v>
      </c>
      <c r="O357" s="43" t="s">
        <v>838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3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4"/>
        <v>357</v>
      </c>
      <c r="D358" s="38"/>
      <c r="E358" s="38"/>
      <c r="F358" s="38" t="s">
        <v>9</v>
      </c>
      <c r="G358" s="38" t="s">
        <v>9</v>
      </c>
      <c r="H358" s="38"/>
      <c r="I358" s="38" t="s">
        <v>9</v>
      </c>
      <c r="J358" s="38"/>
      <c r="K358" s="14" t="s">
        <v>44</v>
      </c>
      <c r="L358" s="14" t="s">
        <v>27</v>
      </c>
      <c r="M358" s="20" t="s">
        <v>839</v>
      </c>
      <c r="N358" s="14" t="s">
        <v>837</v>
      </c>
      <c r="O358" s="43">
        <v>3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3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4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44</v>
      </c>
      <c r="L359" s="14" t="s">
        <v>27</v>
      </c>
      <c r="M359" s="20" t="s">
        <v>840</v>
      </c>
      <c r="N359" s="14" t="s">
        <v>841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si="33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si="34"/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842</v>
      </c>
      <c r="N360" s="14" t="s">
        <v>843</v>
      </c>
      <c r="O360" s="43" t="s">
        <v>841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/>
      <c r="H361" s="38"/>
      <c r="I361" s="38" t="s">
        <v>9</v>
      </c>
      <c r="J361" s="38"/>
      <c r="K361" s="14" t="s">
        <v>24</v>
      </c>
      <c r="L361" s="14" t="s">
        <v>27</v>
      </c>
      <c r="M361" s="20" t="s">
        <v>844</v>
      </c>
      <c r="N361" s="14" t="s">
        <v>845</v>
      </c>
      <c r="O361" s="43">
        <v>0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44</v>
      </c>
      <c r="L362" s="14" t="s">
        <v>27</v>
      </c>
      <c r="M362" s="20" t="s">
        <v>846</v>
      </c>
      <c r="N362" s="14" t="s">
        <v>847</v>
      </c>
      <c r="O362" s="43">
        <v>1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/>
      <c r="H363" s="38"/>
      <c r="I363" s="38" t="s">
        <v>9</v>
      </c>
      <c r="J363" s="38"/>
      <c r="K363" s="14" t="s">
        <v>18</v>
      </c>
      <c r="L363" s="14" t="s">
        <v>27</v>
      </c>
      <c r="M363" s="20" t="s">
        <v>848</v>
      </c>
      <c r="N363" s="14" t="s">
        <v>849</v>
      </c>
      <c r="O363" s="43" t="s">
        <v>847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 t="s">
        <v>9</v>
      </c>
      <c r="J364" s="38"/>
      <c r="K364" s="14" t="s">
        <v>24</v>
      </c>
      <c r="L364" s="14" t="s">
        <v>27</v>
      </c>
      <c r="M364" s="20" t="s">
        <v>850</v>
      </c>
      <c r="N364" s="14" t="s">
        <v>851</v>
      </c>
      <c r="O364" s="43">
        <v>0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852</v>
      </c>
      <c r="N365" s="14" t="s">
        <v>853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18</v>
      </c>
      <c r="L366" s="14" t="s">
        <v>27</v>
      </c>
      <c r="M366" s="20" t="s">
        <v>854</v>
      </c>
      <c r="N366" s="14" t="s">
        <v>855</v>
      </c>
      <c r="O366" s="43" t="s">
        <v>853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24</v>
      </c>
      <c r="L367" s="14" t="s">
        <v>27</v>
      </c>
      <c r="M367" s="20" t="s">
        <v>856</v>
      </c>
      <c r="N367" s="14" t="s">
        <v>851</v>
      </c>
      <c r="O367" s="43">
        <v>0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ref="B368:B407" si="35">IF($A368="P",IF(NOT($Z368=""),"A",IF(NOT($AA368=""),"I","")),IF(NOT($AA368=""),IF($A368="G","V","X"),IF(NOT($Z368=""),"A","")))</f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857</v>
      </c>
      <c r="N368" s="14" t="s">
        <v>455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5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14" t="s">
        <v>18</v>
      </c>
      <c r="L369" s="14" t="s">
        <v>27</v>
      </c>
      <c r="M369" s="20" t="s">
        <v>858</v>
      </c>
      <c r="N369" s="14" t="s">
        <v>859</v>
      </c>
      <c r="O369" s="43" t="s">
        <v>455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5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24</v>
      </c>
      <c r="L370" s="14" t="s">
        <v>27</v>
      </c>
      <c r="M370" s="20" t="s">
        <v>860</v>
      </c>
      <c r="N370" s="14" t="s">
        <v>861</v>
      </c>
      <c r="O370" s="43">
        <v>0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5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18</v>
      </c>
      <c r="L371" s="14" t="s">
        <v>27</v>
      </c>
      <c r="M371" s="20" t="s">
        <v>862</v>
      </c>
      <c r="N371" s="14" t="s">
        <v>863</v>
      </c>
      <c r="O371" s="43" t="s">
        <v>864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5"/>
        <v/>
      </c>
      <c r="C372" s="42">
        <f t="shared" si="34"/>
        <v>371</v>
      </c>
      <c r="D372" s="38"/>
      <c r="E372" s="38"/>
      <c r="F372" s="38" t="s">
        <v>9</v>
      </c>
      <c r="G372" s="38" t="s">
        <v>9</v>
      </c>
      <c r="H372" s="38"/>
      <c r="I372" s="38" t="s">
        <v>9</v>
      </c>
      <c r="J372" s="38"/>
      <c r="K372" s="14" t="s">
        <v>44</v>
      </c>
      <c r="L372" s="14" t="s">
        <v>27</v>
      </c>
      <c r="M372" s="20" t="s">
        <v>865</v>
      </c>
      <c r="N372" s="14" t="s">
        <v>866</v>
      </c>
      <c r="O372" s="43">
        <v>2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5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/>
      <c r="I373" s="38" t="s">
        <v>9</v>
      </c>
      <c r="J373" s="38"/>
      <c r="K373" s="14" t="s">
        <v>18</v>
      </c>
      <c r="L373" s="14" t="s">
        <v>27</v>
      </c>
      <c r="M373" s="20" t="s">
        <v>867</v>
      </c>
      <c r="N373" s="14" t="s">
        <v>868</v>
      </c>
      <c r="O373" s="43" t="s">
        <v>702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5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24</v>
      </c>
      <c r="L374" s="14" t="s">
        <v>27</v>
      </c>
      <c r="M374" s="20" t="s">
        <v>869</v>
      </c>
      <c r="N374" s="14" t="s">
        <v>870</v>
      </c>
      <c r="O374" s="43">
        <v>7.4999999999999997E-2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ref="AA374:AA407" si="36">IF($M374="","",IFERROR(MATCH($M374,VALUESnames,0),""))</f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5"/>
        <v/>
      </c>
      <c r="C375" s="42">
        <f t="shared" ref="C375:C407" si="37">(ROW()-1)</f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36</v>
      </c>
      <c r="L375" s="14" t="s">
        <v>27</v>
      </c>
      <c r="M375" s="20" t="s">
        <v>871</v>
      </c>
      <c r="N375" s="14" t="s">
        <v>872</v>
      </c>
      <c r="O375" s="43">
        <v>1.5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6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5"/>
        <v/>
      </c>
      <c r="C376" s="42">
        <f t="shared" si="37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53</v>
      </c>
      <c r="L376" s="14" t="s">
        <v>27</v>
      </c>
      <c r="M376" s="20" t="s">
        <v>873</v>
      </c>
      <c r="N376" s="14" t="s">
        <v>874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6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5"/>
        <v/>
      </c>
      <c r="C377" s="42">
        <f t="shared" si="37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24</v>
      </c>
      <c r="L377" s="14" t="s">
        <v>27</v>
      </c>
      <c r="M377" s="20" t="s">
        <v>875</v>
      </c>
      <c r="N377" s="14" t="s">
        <v>876</v>
      </c>
      <c r="O377" s="43">
        <v>0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6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5"/>
        <v/>
      </c>
      <c r="C378" s="42">
        <f t="shared" si="37"/>
        <v>377</v>
      </c>
      <c r="D378" s="38"/>
      <c r="E378" s="38"/>
      <c r="F378" s="38"/>
      <c r="G378" s="38" t="s">
        <v>9</v>
      </c>
      <c r="H378" s="38"/>
      <c r="I378" s="38" t="s">
        <v>9</v>
      </c>
      <c r="J378" s="38"/>
      <c r="K378" s="14" t="s">
        <v>36</v>
      </c>
      <c r="L378" s="14" t="s">
        <v>27</v>
      </c>
      <c r="M378" s="20" t="s">
        <v>877</v>
      </c>
      <c r="N378" s="14" t="s">
        <v>878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6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5"/>
        <v/>
      </c>
      <c r="C379" s="42">
        <f t="shared" si="37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36</v>
      </c>
      <c r="L379" s="14" t="s">
        <v>27</v>
      </c>
      <c r="M379" s="20" t="s">
        <v>879</v>
      </c>
      <c r="N379" s="14" t="s">
        <v>880</v>
      </c>
      <c r="O379" s="43">
        <v>0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6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5"/>
        <v/>
      </c>
      <c r="C380" s="42">
        <f t="shared" si="37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24</v>
      </c>
      <c r="L380" s="14" t="s">
        <v>27</v>
      </c>
      <c r="M380" s="20" t="s">
        <v>881</v>
      </c>
      <c r="N380" s="14" t="s">
        <v>882</v>
      </c>
      <c r="O380" s="43">
        <v>0.4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6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5"/>
        <v/>
      </c>
      <c r="C381" s="42">
        <f t="shared" si="37"/>
        <v>380</v>
      </c>
      <c r="D381" s="38"/>
      <c r="E381" s="38"/>
      <c r="F381" s="38"/>
      <c r="G381" s="38" t="s">
        <v>9</v>
      </c>
      <c r="H381" s="38"/>
      <c r="I381" s="38" t="s">
        <v>9</v>
      </c>
      <c r="J381" s="38"/>
      <c r="K381" s="14" t="s">
        <v>36</v>
      </c>
      <c r="L381" s="14" t="s">
        <v>27</v>
      </c>
      <c r="M381" s="20" t="s">
        <v>883</v>
      </c>
      <c r="N381" s="14" t="s">
        <v>884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6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5"/>
        <v/>
      </c>
      <c r="C382" s="42">
        <f t="shared" si="37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36</v>
      </c>
      <c r="L382" s="14" t="s">
        <v>27</v>
      </c>
      <c r="M382" s="20" t="s">
        <v>885</v>
      </c>
      <c r="N382" s="14" t="s">
        <v>886</v>
      </c>
      <c r="O382" s="43">
        <v>2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6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5"/>
        <v/>
      </c>
      <c r="C383" s="42">
        <f t="shared" si="37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47</v>
      </c>
      <c r="L383" s="14" t="s">
        <v>27</v>
      </c>
      <c r="M383" s="20" t="s">
        <v>887</v>
      </c>
      <c r="N383" s="14" t="s">
        <v>888</v>
      </c>
      <c r="O383" s="43">
        <v>0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6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5"/>
        <v/>
      </c>
      <c r="C384" s="42">
        <f t="shared" si="37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889</v>
      </c>
      <c r="N384" s="14" t="s">
        <v>890</v>
      </c>
      <c r="O384" s="43">
        <v>0.05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6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5"/>
        <v/>
      </c>
      <c r="C385" s="42">
        <f t="shared" si="37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36</v>
      </c>
      <c r="L385" s="14" t="s">
        <v>27</v>
      </c>
      <c r="M385" s="20" t="s">
        <v>891</v>
      </c>
      <c r="N385" s="14" t="s">
        <v>892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6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7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24</v>
      </c>
      <c r="L386" s="14" t="s">
        <v>27</v>
      </c>
      <c r="M386" s="20" t="s">
        <v>893</v>
      </c>
      <c r="N386" s="14" t="s">
        <v>894</v>
      </c>
      <c r="O386" s="43">
        <v>0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6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7"/>
        <v>386</v>
      </c>
      <c r="D387" s="38"/>
      <c r="E387" s="38"/>
      <c r="F387" s="38"/>
      <c r="G387" s="38" t="s">
        <v>9</v>
      </c>
      <c r="H387" s="38"/>
      <c r="I387" s="38" t="s">
        <v>9</v>
      </c>
      <c r="J387" s="38"/>
      <c r="K387" s="14" t="s">
        <v>31</v>
      </c>
      <c r="L387" s="14" t="s">
        <v>27</v>
      </c>
      <c r="M387" s="20" t="s">
        <v>895</v>
      </c>
      <c r="N387" s="14" t="s">
        <v>896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6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7"/>
        <v>387</v>
      </c>
      <c r="D388" s="38"/>
      <c r="E388" s="38"/>
      <c r="F388" s="38" t="s">
        <v>9</v>
      </c>
      <c r="G388" s="38"/>
      <c r="H388" s="38" t="s">
        <v>9</v>
      </c>
      <c r="I388" s="38"/>
      <c r="J388" s="38"/>
      <c r="K388" s="14" t="s">
        <v>47</v>
      </c>
      <c r="L388" s="14" t="s">
        <v>27</v>
      </c>
      <c r="M388" s="20" t="s">
        <v>897</v>
      </c>
      <c r="N388" s="14" t="s">
        <v>898</v>
      </c>
      <c r="O388" s="43">
        <v>0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6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7"/>
        <v>388</v>
      </c>
      <c r="D389" s="38"/>
      <c r="E389" s="38"/>
      <c r="F389" s="38" t="s">
        <v>9</v>
      </c>
      <c r="G389" s="38"/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899</v>
      </c>
      <c r="N389" s="14" t="s">
        <v>900</v>
      </c>
      <c r="O389" s="43">
        <v>1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6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7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47</v>
      </c>
      <c r="L390" s="14" t="s">
        <v>27</v>
      </c>
      <c r="M390" s="20" t="s">
        <v>901</v>
      </c>
      <c r="N390" s="14" t="s">
        <v>902</v>
      </c>
      <c r="O390" s="43">
        <v>1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6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7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18</v>
      </c>
      <c r="L391" s="14" t="s">
        <v>27</v>
      </c>
      <c r="M391" s="20" t="s">
        <v>903</v>
      </c>
      <c r="N391" s="14" t="s">
        <v>904</v>
      </c>
      <c r="O391" s="43" t="s">
        <v>905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si="36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si="37"/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47</v>
      </c>
      <c r="L392" s="14" t="s">
        <v>27</v>
      </c>
      <c r="M392" s="20" t="s">
        <v>906</v>
      </c>
      <c r="N392" s="14" t="s">
        <v>907</v>
      </c>
      <c r="O392" s="43">
        <v>1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47</v>
      </c>
      <c r="L393" s="14" t="s">
        <v>27</v>
      </c>
      <c r="M393" s="20" t="s">
        <v>908</v>
      </c>
      <c r="N393" s="14" t="s">
        <v>909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910</v>
      </c>
      <c r="N394" s="14" t="s">
        <v>911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 t="s">
        <v>9</v>
      </c>
      <c r="G395" s="38"/>
      <c r="H395" s="38"/>
      <c r="I395" s="38" t="s">
        <v>9</v>
      </c>
      <c r="J395" s="38"/>
      <c r="K395" s="14" t="s">
        <v>24</v>
      </c>
      <c r="L395" s="14" t="s">
        <v>27</v>
      </c>
      <c r="M395" s="20" t="s">
        <v>912</v>
      </c>
      <c r="N395" s="14" t="s">
        <v>913</v>
      </c>
      <c r="O395" s="43">
        <v>0.4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914</v>
      </c>
      <c r="N396" s="14" t="s">
        <v>915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36</v>
      </c>
      <c r="L397" s="14" t="s">
        <v>27</v>
      </c>
      <c r="M397" s="20" t="s">
        <v>916</v>
      </c>
      <c r="N397" s="14" t="s">
        <v>917</v>
      </c>
      <c r="O397" s="43">
        <v>8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18</v>
      </c>
      <c r="L398" s="14" t="s">
        <v>27</v>
      </c>
      <c r="M398" s="20" t="s">
        <v>918</v>
      </c>
      <c r="N398" s="14" t="s">
        <v>863</v>
      </c>
      <c r="O398" s="43" t="s">
        <v>864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 t="s">
        <v>9</v>
      </c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919</v>
      </c>
      <c r="N399" s="14" t="s">
        <v>866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36</v>
      </c>
      <c r="L400" s="14" t="s">
        <v>27</v>
      </c>
      <c r="M400" s="20" t="s">
        <v>920</v>
      </c>
      <c r="N400" s="14" t="s">
        <v>872</v>
      </c>
      <c r="O400" s="43">
        <v>2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921</v>
      </c>
      <c r="N401" s="14" t="s">
        <v>870</v>
      </c>
      <c r="O401" s="43">
        <v>0.1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18</v>
      </c>
      <c r="L402" s="14" t="s">
        <v>27</v>
      </c>
      <c r="M402" s="20" t="s">
        <v>922</v>
      </c>
      <c r="N402" s="14" t="s">
        <v>868</v>
      </c>
      <c r="O402" s="43" t="s">
        <v>702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923</v>
      </c>
      <c r="N403" s="14" t="s">
        <v>924</v>
      </c>
      <c r="O403" s="43">
        <v>1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 t="s">
        <v>9</v>
      </c>
      <c r="G404" s="38"/>
      <c r="H404" s="38" t="s">
        <v>9</v>
      </c>
      <c r="I404" s="38"/>
      <c r="J404" s="38"/>
      <c r="K404" s="14" t="s">
        <v>47</v>
      </c>
      <c r="L404" s="14" t="s">
        <v>27</v>
      </c>
      <c r="M404" s="20" t="s">
        <v>925</v>
      </c>
      <c r="N404" s="14" t="s">
        <v>926</v>
      </c>
      <c r="O404" s="43">
        <v>1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/>
      <c r="I405" s="38" t="s">
        <v>9</v>
      </c>
      <c r="J405" s="38"/>
      <c r="K405" s="14" t="s">
        <v>51</v>
      </c>
      <c r="L405" s="14" t="s">
        <v>27</v>
      </c>
      <c r="M405" s="20" t="s">
        <v>927</v>
      </c>
      <c r="N405" s="14" t="s">
        <v>928</v>
      </c>
      <c r="O405" s="43">
        <v>21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53</v>
      </c>
      <c r="L406" s="14" t="s">
        <v>27</v>
      </c>
      <c r="M406" s="20" t="s">
        <v>929</v>
      </c>
      <c r="N406" s="14" t="s">
        <v>930</v>
      </c>
      <c r="O406" s="43">
        <v>6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collapsed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 t="s">
        <v>9</v>
      </c>
      <c r="H407" s="38"/>
      <c r="I407" s="38"/>
      <c r="J407" s="38"/>
      <c r="K407" s="14" t="s">
        <v>57</v>
      </c>
      <c r="L407" s="14" t="s">
        <v>38</v>
      </c>
      <c r="M407" s="48" t="s">
        <v>931</v>
      </c>
      <c r="N407" s="41" t="s">
        <v>190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9" spans="1:29" hidden="1" outlineLevel="1" x14ac:dyDescent="0.3">
      <c r="A409" s="22"/>
      <c r="B409" s="41" t="str">
        <f t="shared" ref="B409:B418" si="38">IF($A409="P",IF(NOT($Z409=""),"A",IF(NOT($AA409=""),"I","")),IF(NOT($AA409=""),IF($A409="G","V","X"),IF(NOT($Z409=""),"A","")))</f>
        <v/>
      </c>
      <c r="C409" s="42">
        <f t="shared" ref="C409:C418" si="39">(ROW()-1)</f>
        <v>408</v>
      </c>
      <c r="D409" s="38"/>
      <c r="E409" s="38"/>
      <c r="F409" s="38" t="s">
        <v>9</v>
      </c>
      <c r="G409" s="38"/>
      <c r="H409" s="38"/>
      <c r="I409" s="38"/>
      <c r="J409" s="38"/>
      <c r="K409" s="14" t="s">
        <v>57</v>
      </c>
      <c r="L409" s="14" t="s">
        <v>38</v>
      </c>
      <c r="M409" s="48" t="s">
        <v>204</v>
      </c>
      <c r="N409" s="41" t="s">
        <v>205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ref="AA409:AA452" si="40">IF($M409="","",IFERROR(MATCH($M409,VALUESnames,0),""))</f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8"/>
        <v>A</v>
      </c>
      <c r="C410" s="42">
        <f t="shared" si="39"/>
        <v>409</v>
      </c>
      <c r="D410" s="38"/>
      <c r="E410" s="38"/>
      <c r="F410" s="38"/>
      <c r="G410" s="38"/>
      <c r="H410" s="38"/>
      <c r="I410" s="38" t="s">
        <v>9</v>
      </c>
      <c r="J410" s="38"/>
      <c r="K410" s="14" t="s">
        <v>50</v>
      </c>
      <c r="L410" s="14" t="s">
        <v>27</v>
      </c>
      <c r="M410" s="151" t="s">
        <v>206</v>
      </c>
      <c r="N410" s="14" t="s">
        <v>207</v>
      </c>
      <c r="O410" s="43" t="s">
        <v>33</v>
      </c>
      <c r="R410" s="38" t="s">
        <v>195</v>
      </c>
      <c r="S410" s="38"/>
      <c r="T410" s="38"/>
      <c r="W410" s="15" t="str">
        <f>IF(IFERROR(VLOOKUP($M410,#REF!,1,0),"-")="-","","GS")</f>
        <v/>
      </c>
      <c r="Z410" s="59">
        <f>IF(OR($M410="",NOT($O410="{array}")),"",IFERROR(MATCH(PARAMETERS!$M410,DEFAULT!$B$5:$CI$5,0),""))</f>
        <v>85</v>
      </c>
      <c r="AA410" s="56" t="str">
        <f t="shared" si="40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8"/>
        <v/>
      </c>
      <c r="C411" s="42">
        <f t="shared" si="39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50</v>
      </c>
      <c r="L411" s="14" t="s">
        <v>27</v>
      </c>
      <c r="M411" s="20" t="s">
        <v>654</v>
      </c>
      <c r="N411" s="14" t="s">
        <v>655</v>
      </c>
      <c r="O411" s="43">
        <v>133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40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8"/>
        <v/>
      </c>
      <c r="C412" s="42">
        <f t="shared" si="39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50</v>
      </c>
      <c r="L412" s="14" t="s">
        <v>27</v>
      </c>
      <c r="M412" s="20" t="s">
        <v>656</v>
      </c>
      <c r="N412" s="14" t="s">
        <v>657</v>
      </c>
      <c r="O412" s="43">
        <v>24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40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8"/>
        <v/>
      </c>
      <c r="C413" s="42">
        <f t="shared" si="39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50</v>
      </c>
      <c r="L413" s="14" t="s">
        <v>27</v>
      </c>
      <c r="M413" s="20" t="s">
        <v>658</v>
      </c>
      <c r="N413" s="14" t="s">
        <v>659</v>
      </c>
      <c r="O413" s="43">
        <v>40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40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8"/>
        <v/>
      </c>
      <c r="C414" s="42">
        <f t="shared" si="39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50</v>
      </c>
      <c r="L414" s="14" t="s">
        <v>27</v>
      </c>
      <c r="M414" s="20" t="s">
        <v>660</v>
      </c>
      <c r="N414" s="14" t="s">
        <v>661</v>
      </c>
      <c r="O414" s="43">
        <v>133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40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8"/>
        <v/>
      </c>
      <c r="C415" s="42">
        <f t="shared" si="39"/>
        <v>414</v>
      </c>
      <c r="D415" s="38"/>
      <c r="E415" s="38"/>
      <c r="F415" s="38"/>
      <c r="G415" s="38"/>
      <c r="H415" s="38"/>
      <c r="I415" s="38" t="s">
        <v>9</v>
      </c>
      <c r="J415" s="38"/>
      <c r="K415" s="14" t="s">
        <v>47</v>
      </c>
      <c r="L415" s="14" t="s">
        <v>27</v>
      </c>
      <c r="M415" s="20" t="s">
        <v>662</v>
      </c>
      <c r="N415" s="14" t="s">
        <v>663</v>
      </c>
      <c r="O415" s="43">
        <v>1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40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/>
      <c r="B416" s="41" t="str">
        <f t="shared" si="38"/>
        <v>A</v>
      </c>
      <c r="C416" s="42">
        <f t="shared" si="39"/>
        <v>415</v>
      </c>
      <c r="D416" s="38"/>
      <c r="E416" s="38"/>
      <c r="F416" s="38"/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664</v>
      </c>
      <c r="O416" s="43" t="s">
        <v>33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>
        <f>IF(OR($M416="",NOT($O416="{array}")),"",IFERROR(MATCH(PARAMETERS!$M416,DEFAULT!$B$5:$CI$5,0),""))</f>
        <v>74</v>
      </c>
      <c r="AA416" s="56" t="str">
        <f t="shared" si="40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si="38"/>
        <v/>
      </c>
      <c r="C417" s="42">
        <f t="shared" si="39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50</v>
      </c>
      <c r="L417" s="14" t="s">
        <v>27</v>
      </c>
      <c r="M417" s="20" t="s">
        <v>665</v>
      </c>
      <c r="N417" s="14" t="s">
        <v>666</v>
      </c>
      <c r="O417" s="43">
        <v>133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40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8"/>
        <v/>
      </c>
      <c r="C418" s="42">
        <f t="shared" si="39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50</v>
      </c>
      <c r="L418" s="14" t="s">
        <v>27</v>
      </c>
      <c r="M418" s="20" t="s">
        <v>667</v>
      </c>
      <c r="N418" s="14" t="s">
        <v>668</v>
      </c>
      <c r="O418" s="43">
        <v>133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40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collapsed="1" x14ac:dyDescent="0.3">
      <c r="A419" s="22" t="s">
        <v>208</v>
      </c>
      <c r="B419" s="41"/>
      <c r="C419" s="42"/>
      <c r="D419" s="38"/>
      <c r="E419" s="38"/>
      <c r="F419" s="38"/>
      <c r="G419" s="38"/>
      <c r="H419" s="38"/>
      <c r="I419" s="38"/>
      <c r="J419" s="38"/>
      <c r="L419" s="152"/>
      <c r="M419" s="14"/>
      <c r="R419" s="38"/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40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x14ac:dyDescent="0.3">
      <c r="A420" s="22" t="s">
        <v>84</v>
      </c>
      <c r="B420" s="41" t="str">
        <f t="shared" ref="B420:B445" si="41">IF($A420="P",IF(NOT($Z420=""),"A",IF(NOT($AA420=""),"I","")),IF(NOT($AA420=""),IF($A420="G","V","X"),IF(NOT($Z420=""),"A","")))</f>
        <v/>
      </c>
      <c r="C420" s="42">
        <f t="shared" ref="C420:C452" si="42">(ROW()-1)</f>
        <v>419</v>
      </c>
      <c r="D420" s="38"/>
      <c r="E420" s="38"/>
      <c r="F420" s="38"/>
      <c r="G420" s="38"/>
      <c r="H420" s="38"/>
      <c r="I420" s="38"/>
      <c r="J420" s="38"/>
      <c r="K420" s="53" t="s">
        <v>57</v>
      </c>
      <c r="L420" s="53" t="s">
        <v>38</v>
      </c>
      <c r="M420" s="153" t="s">
        <v>209</v>
      </c>
      <c r="N420" s="154" t="s">
        <v>210</v>
      </c>
      <c r="O420" s="155"/>
      <c r="R420" s="38" t="s">
        <v>195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40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outlineLevel="1" x14ac:dyDescent="0.3">
      <c r="A421" s="22" t="s">
        <v>84</v>
      </c>
      <c r="B421" s="41" t="str">
        <f t="shared" si="41"/>
        <v/>
      </c>
      <c r="C421" s="42">
        <f t="shared" si="42"/>
        <v>420</v>
      </c>
      <c r="D421" s="38"/>
      <c r="E421" s="38"/>
      <c r="F421" s="38"/>
      <c r="G421" s="38"/>
      <c r="H421" s="38"/>
      <c r="I421" s="38" t="s">
        <v>9</v>
      </c>
      <c r="J421" s="38"/>
      <c r="K421" s="53" t="s">
        <v>44</v>
      </c>
      <c r="L421" s="53" t="s">
        <v>32</v>
      </c>
      <c r="M421" s="156" t="s">
        <v>211</v>
      </c>
      <c r="N421" s="53" t="s">
        <v>212</v>
      </c>
      <c r="O421" s="155">
        <v>1</v>
      </c>
      <c r="R421" s="38" t="s">
        <v>195</v>
      </c>
      <c r="S421" s="38"/>
      <c r="T421" s="38"/>
      <c r="W421" s="15"/>
      <c r="Z421" s="59" t="str">
        <f>IF(OR($M421="",NOT($O421="{array}")),"",IFERROR(MATCH(PARAMETERS!$M421,DEFAULT!$B$5:$CI$5,0),""))</f>
        <v/>
      </c>
      <c r="AA421" s="56" t="str">
        <f t="shared" si="40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outlineLevel="1" x14ac:dyDescent="0.3">
      <c r="A422" s="22" t="s">
        <v>84</v>
      </c>
      <c r="B422" s="41" t="str">
        <f t="shared" si="41"/>
        <v/>
      </c>
      <c r="C422" s="42">
        <f t="shared" si="42"/>
        <v>421</v>
      </c>
      <c r="D422" s="38"/>
      <c r="E422" s="38"/>
      <c r="F422" s="38"/>
      <c r="G422" s="38"/>
      <c r="H422" s="38"/>
      <c r="I422" s="38" t="s">
        <v>9</v>
      </c>
      <c r="J422" s="38"/>
      <c r="K422" s="53" t="s">
        <v>44</v>
      </c>
      <c r="L422" s="53" t="s">
        <v>32</v>
      </c>
      <c r="M422" s="156" t="s">
        <v>213</v>
      </c>
      <c r="N422" s="53" t="s">
        <v>214</v>
      </c>
      <c r="O422" s="155">
        <v>0</v>
      </c>
      <c r="R422" s="38" t="s">
        <v>195</v>
      </c>
      <c r="S422" s="38"/>
      <c r="T422" s="38"/>
      <c r="W422" s="15"/>
      <c r="Z422" s="59" t="str">
        <f>IF(OR($M422="",NOT($O422="{array}")),"",IFERROR(MATCH(PARAMETERS!$M422,DEFAULT!$B$5:$CI$5,0),""))</f>
        <v/>
      </c>
      <c r="AA422" s="56" t="str">
        <f t="shared" si="40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outlineLevel="1" x14ac:dyDescent="0.3">
      <c r="A423" s="22" t="s">
        <v>84</v>
      </c>
      <c r="B423" s="41" t="str">
        <f t="shared" si="41"/>
        <v/>
      </c>
      <c r="C423" s="42">
        <f t="shared" si="42"/>
        <v>422</v>
      </c>
      <c r="D423" s="38"/>
      <c r="E423" s="38"/>
      <c r="F423" s="38"/>
      <c r="G423" s="38"/>
      <c r="H423" s="38"/>
      <c r="I423" s="38" t="s">
        <v>9</v>
      </c>
      <c r="J423" s="38"/>
      <c r="K423" s="53" t="s">
        <v>47</v>
      </c>
      <c r="L423" s="53" t="s">
        <v>32</v>
      </c>
      <c r="M423" s="156" t="s">
        <v>1283</v>
      </c>
      <c r="N423" s="53" t="s">
        <v>1284</v>
      </c>
      <c r="O423" s="155">
        <v>1</v>
      </c>
      <c r="R423" s="38" t="s">
        <v>195</v>
      </c>
      <c r="S423" s="38"/>
      <c r="T423" s="38"/>
      <c r="W423" s="15"/>
      <c r="Z423" s="59" t="str">
        <f>IF(OR($M423="",NOT($O423="{array}")),"",IFERROR(MATCH(PARAMETERS!$M423,DEFAULT!$B$5:$CI$5,0),""))</f>
        <v/>
      </c>
      <c r="AA423" s="56" t="str">
        <f t="shared" si="40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x14ac:dyDescent="0.3">
      <c r="A424" s="22" t="s">
        <v>84</v>
      </c>
      <c r="B424" s="41" t="str">
        <f t="shared" si="41"/>
        <v/>
      </c>
      <c r="C424" s="42">
        <f t="shared" si="42"/>
        <v>423</v>
      </c>
      <c r="D424" s="38"/>
      <c r="E424" s="38"/>
      <c r="F424" s="38"/>
      <c r="G424" s="38" t="s">
        <v>9</v>
      </c>
      <c r="H424" s="38"/>
      <c r="I424" s="38"/>
      <c r="J424" s="38"/>
      <c r="K424" s="53" t="s">
        <v>57</v>
      </c>
      <c r="L424" s="53" t="s">
        <v>38</v>
      </c>
      <c r="M424" s="153" t="s">
        <v>1183</v>
      </c>
      <c r="N424" s="154" t="s">
        <v>1184</v>
      </c>
      <c r="O424" s="155"/>
      <c r="R424" s="38" t="s">
        <v>195</v>
      </c>
      <c r="S424" s="38"/>
      <c r="T424" s="38"/>
      <c r="Z424" s="59" t="str">
        <f>IF(OR($M424="",NOT($O424="{array}")),"",IFERROR(MATCH(PARAMETERS!$M424,DEFAULT!$B$5:$CI$5,0),""))</f>
        <v/>
      </c>
      <c r="AA424" s="56" t="str">
        <f t="shared" si="40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x14ac:dyDescent="0.3">
      <c r="A425" s="22" t="s">
        <v>84</v>
      </c>
      <c r="B425" s="41" t="str">
        <f t="shared" si="41"/>
        <v/>
      </c>
      <c r="C425" s="42">
        <f t="shared" si="42"/>
        <v>424</v>
      </c>
      <c r="D425" s="38"/>
      <c r="E425" s="38"/>
      <c r="F425" s="38"/>
      <c r="G425" s="38" t="s">
        <v>9</v>
      </c>
      <c r="H425" s="38"/>
      <c r="I425" s="38" t="s">
        <v>9</v>
      </c>
      <c r="J425" s="38"/>
      <c r="K425" s="53" t="s">
        <v>18</v>
      </c>
      <c r="L425" s="53" t="s">
        <v>32</v>
      </c>
      <c r="M425" s="156" t="s">
        <v>1185</v>
      </c>
      <c r="N425" s="53" t="s">
        <v>1186</v>
      </c>
      <c r="O425" s="155" t="s">
        <v>215</v>
      </c>
      <c r="R425" s="38" t="s">
        <v>195</v>
      </c>
      <c r="S425" s="38"/>
      <c r="T425" s="38"/>
      <c r="Z425" s="59" t="str">
        <f>IF(OR($M425="",NOT($O425="{array}")),"",IFERROR(MATCH(PARAMETERS!$M425,DEFAULT!$B$5:$CI$5,0),""))</f>
        <v/>
      </c>
      <c r="AA425" s="56" t="str">
        <f t="shared" si="40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x14ac:dyDescent="0.3">
      <c r="A426" s="22" t="s">
        <v>84</v>
      </c>
      <c r="B426" s="41" t="str">
        <f t="shared" si="41"/>
        <v/>
      </c>
      <c r="C426" s="42">
        <f t="shared" si="42"/>
        <v>425</v>
      </c>
      <c r="D426" s="38"/>
      <c r="E426" s="38"/>
      <c r="F426" s="38"/>
      <c r="G426" s="38" t="s">
        <v>9</v>
      </c>
      <c r="H426" s="38"/>
      <c r="I426" s="38" t="s">
        <v>9</v>
      </c>
      <c r="J426" s="38"/>
      <c r="K426" s="53" t="s">
        <v>18</v>
      </c>
      <c r="L426" s="53" t="s">
        <v>32</v>
      </c>
      <c r="M426" s="156" t="s">
        <v>1187</v>
      </c>
      <c r="N426" s="53" t="s">
        <v>1188</v>
      </c>
      <c r="O426" s="155" t="s">
        <v>1189</v>
      </c>
      <c r="R426" s="38" t="s">
        <v>195</v>
      </c>
      <c r="S426" s="38"/>
      <c r="T426" s="38"/>
      <c r="Z426" s="59" t="str">
        <f>IF(OR($M426="",NOT($O426="{array}")),"",IFERROR(MATCH(PARAMETERS!$M426,DEFAULT!$B$5:$CI$5,0),""))</f>
        <v/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x14ac:dyDescent="0.3">
      <c r="A427" s="22" t="s">
        <v>84</v>
      </c>
      <c r="B427" s="41" t="str">
        <f t="shared" si="41"/>
        <v/>
      </c>
      <c r="C427" s="42">
        <f t="shared" si="42"/>
        <v>426</v>
      </c>
      <c r="D427" s="38"/>
      <c r="E427" s="38"/>
      <c r="F427" s="38" t="s">
        <v>9</v>
      </c>
      <c r="G427" s="38" t="s">
        <v>9</v>
      </c>
      <c r="H427" s="38"/>
      <c r="I427" s="38"/>
      <c r="J427" s="38"/>
      <c r="K427" s="14" t="s">
        <v>57</v>
      </c>
      <c r="L427" s="14" t="s">
        <v>38</v>
      </c>
      <c r="M427" s="48" t="s">
        <v>216</v>
      </c>
      <c r="N427" s="41" t="s">
        <v>217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41"/>
        <v/>
      </c>
      <c r="C428" s="42">
        <f t="shared" si="42"/>
        <v>427</v>
      </c>
      <c r="D428" s="38"/>
      <c r="E428" s="38"/>
      <c r="F428" s="38"/>
      <c r="G428" s="38" t="s">
        <v>9</v>
      </c>
      <c r="H428" s="38"/>
      <c r="I428" s="38" t="s">
        <v>9</v>
      </c>
      <c r="J428" s="38"/>
      <c r="K428" s="14" t="s">
        <v>18</v>
      </c>
      <c r="L428" s="14" t="s">
        <v>38</v>
      </c>
      <c r="M428" s="20" t="s">
        <v>218</v>
      </c>
      <c r="N428" s="14" t="s">
        <v>219</v>
      </c>
      <c r="O428" s="43" t="s">
        <v>220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41"/>
        <v/>
      </c>
      <c r="C429" s="42">
        <f t="shared" si="42"/>
        <v>428</v>
      </c>
      <c r="D429" s="38"/>
      <c r="E429" s="38"/>
      <c r="F429" s="38"/>
      <c r="G429" s="38"/>
      <c r="H429" s="38"/>
      <c r="I429" s="38" t="s">
        <v>9</v>
      </c>
      <c r="J429" s="38"/>
      <c r="K429" s="53" t="s">
        <v>44</v>
      </c>
      <c r="L429" s="53" t="s">
        <v>32</v>
      </c>
      <c r="M429" s="156" t="s">
        <v>176</v>
      </c>
      <c r="N429" s="53" t="s">
        <v>940</v>
      </c>
      <c r="O429" s="155">
        <v>1</v>
      </c>
      <c r="R429" s="38" t="s">
        <v>195</v>
      </c>
      <c r="S429" s="38"/>
      <c r="T429" s="38"/>
      <c r="W429" s="15"/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41"/>
        <v/>
      </c>
      <c r="C430" s="42">
        <f t="shared" si="42"/>
        <v>429</v>
      </c>
      <c r="D430" s="38"/>
      <c r="E430" s="38"/>
      <c r="F430" s="38"/>
      <c r="G430" s="38"/>
      <c r="H430" s="38"/>
      <c r="I430" s="38" t="s">
        <v>9</v>
      </c>
      <c r="J430" s="38"/>
      <c r="K430" s="53" t="s">
        <v>44</v>
      </c>
      <c r="L430" s="53" t="s">
        <v>32</v>
      </c>
      <c r="M430" s="156" t="s">
        <v>221</v>
      </c>
      <c r="N430" s="53" t="s">
        <v>222</v>
      </c>
      <c r="O430" s="155">
        <v>1</v>
      </c>
      <c r="R430" s="38" t="s">
        <v>195</v>
      </c>
      <c r="S430" s="38"/>
      <c r="T430" s="38"/>
      <c r="W430" s="15"/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41"/>
        <v/>
      </c>
      <c r="C431" s="42">
        <f t="shared" si="42"/>
        <v>430</v>
      </c>
      <c r="D431" s="38"/>
      <c r="E431" s="38"/>
      <c r="F431" s="38" t="s">
        <v>9</v>
      </c>
      <c r="G431" s="38" t="s">
        <v>9</v>
      </c>
      <c r="H431" s="38"/>
      <c r="I431" s="38" t="s">
        <v>9</v>
      </c>
      <c r="J431" s="38"/>
      <c r="K431" s="14" t="s">
        <v>44</v>
      </c>
      <c r="L431" s="14" t="s">
        <v>27</v>
      </c>
      <c r="M431" s="20" t="s">
        <v>223</v>
      </c>
      <c r="N431" s="14" t="s">
        <v>224</v>
      </c>
      <c r="O431" s="43">
        <v>1</v>
      </c>
      <c r="Q431" s="38" t="s">
        <v>9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41"/>
        <v/>
      </c>
      <c r="C432" s="42">
        <f t="shared" si="42"/>
        <v>431</v>
      </c>
      <c r="D432" s="38"/>
      <c r="E432" s="38"/>
      <c r="F432" s="38" t="s">
        <v>9</v>
      </c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225</v>
      </c>
      <c r="N432" s="14" t="s">
        <v>226</v>
      </c>
      <c r="O432" s="43">
        <v>1</v>
      </c>
      <c r="Q432" s="38" t="s">
        <v>9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IF(OR($M432="",NOT($O432="{array}")),"",IFERROR(MATCH(PARAMETERS!$M432,DEFAULT!$B$5:$CI$5,0),""))</f>
        <v/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41"/>
        <v/>
      </c>
      <c r="C433" s="42">
        <f t="shared" si="42"/>
        <v>432</v>
      </c>
      <c r="D433" s="38"/>
      <c r="E433" s="38"/>
      <c r="F433" s="38" t="s">
        <v>9</v>
      </c>
      <c r="G433" s="38" t="s">
        <v>9</v>
      </c>
      <c r="H433" s="38"/>
      <c r="I433" s="38" t="s">
        <v>9</v>
      </c>
      <c r="J433" s="38" t="s">
        <v>9</v>
      </c>
      <c r="K433" s="14" t="s">
        <v>44</v>
      </c>
      <c r="L433" s="14" t="s">
        <v>27</v>
      </c>
      <c r="M433" s="20" t="s">
        <v>227</v>
      </c>
      <c r="N433" s="14" t="s">
        <v>226</v>
      </c>
      <c r="O433" s="43">
        <v>1</v>
      </c>
      <c r="Q433" s="38" t="s">
        <v>9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41"/>
        <v/>
      </c>
      <c r="C434" s="42">
        <f t="shared" si="42"/>
        <v>433</v>
      </c>
      <c r="D434" s="38"/>
      <c r="E434" s="38"/>
      <c r="F434" s="38"/>
      <c r="G434" s="38" t="s">
        <v>9</v>
      </c>
      <c r="H434" s="38"/>
      <c r="I434" s="38" t="s">
        <v>9</v>
      </c>
      <c r="J434" s="38"/>
      <c r="K434" s="14" t="s">
        <v>44</v>
      </c>
      <c r="L434" s="14" t="s">
        <v>27</v>
      </c>
      <c r="M434" s="20" t="s">
        <v>228</v>
      </c>
      <c r="O434" s="43">
        <v>0</v>
      </c>
      <c r="Q434" s="38" t="s">
        <v>229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41"/>
        <v/>
      </c>
      <c r="C435" s="42">
        <f t="shared" si="42"/>
        <v>434</v>
      </c>
      <c r="D435" s="38"/>
      <c r="E435" s="38"/>
      <c r="F435" s="38"/>
      <c r="G435" s="38" t="s">
        <v>9</v>
      </c>
      <c r="H435" s="38"/>
      <c r="I435" s="38" t="s">
        <v>9</v>
      </c>
      <c r="J435" s="38"/>
      <c r="K435" s="14" t="s">
        <v>44</v>
      </c>
      <c r="L435" s="14" t="s">
        <v>27</v>
      </c>
      <c r="M435" s="20" t="s">
        <v>230</v>
      </c>
      <c r="O435" s="43">
        <v>1</v>
      </c>
      <c r="Q435" s="38" t="s">
        <v>229</v>
      </c>
      <c r="R435" s="38" t="s">
        <v>104</v>
      </c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41"/>
        <v/>
      </c>
      <c r="C436" s="42">
        <f t="shared" si="42"/>
        <v>435</v>
      </c>
      <c r="D436" s="38"/>
      <c r="E436" s="38"/>
      <c r="F436" s="38" t="s">
        <v>9</v>
      </c>
      <c r="G436" s="38" t="s">
        <v>9</v>
      </c>
      <c r="H436" s="38"/>
      <c r="I436" s="38" t="s">
        <v>9</v>
      </c>
      <c r="J436" s="38"/>
      <c r="K436" s="14" t="s">
        <v>18</v>
      </c>
      <c r="L436" s="14" t="s">
        <v>27</v>
      </c>
      <c r="M436" s="20" t="s">
        <v>231</v>
      </c>
      <c r="N436" s="14" t="s">
        <v>232</v>
      </c>
      <c r="Q436" s="38" t="s">
        <v>9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 t="s">
        <v>9</v>
      </c>
      <c r="G437" s="38" t="s">
        <v>9</v>
      </c>
      <c r="H437" s="38"/>
      <c r="I437" s="38" t="s">
        <v>9</v>
      </c>
      <c r="J437" s="38" t="s">
        <v>9</v>
      </c>
      <c r="K437" s="14" t="s">
        <v>44</v>
      </c>
      <c r="L437" s="14" t="s">
        <v>38</v>
      </c>
      <c r="M437" s="20" t="s">
        <v>233</v>
      </c>
      <c r="N437" s="14" t="s">
        <v>234</v>
      </c>
      <c r="O437" s="43">
        <v>2</v>
      </c>
      <c r="Q437" s="38" t="s">
        <v>9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 t="s">
        <v>9</v>
      </c>
      <c r="G438" s="38" t="s">
        <v>9</v>
      </c>
      <c r="H438" s="38"/>
      <c r="I438" s="38" t="s">
        <v>9</v>
      </c>
      <c r="J438" s="38"/>
      <c r="K438" s="14" t="s">
        <v>47</v>
      </c>
      <c r="L438" s="14" t="s">
        <v>27</v>
      </c>
      <c r="M438" s="20" t="s">
        <v>235</v>
      </c>
      <c r="N438" s="14" t="s">
        <v>236</v>
      </c>
      <c r="O438" s="43">
        <v>1</v>
      </c>
      <c r="Q438" s="38" t="s">
        <v>9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 t="s">
        <v>9</v>
      </c>
      <c r="J439" s="38"/>
      <c r="K439" s="14" t="s">
        <v>44</v>
      </c>
      <c r="L439" s="14" t="s">
        <v>27</v>
      </c>
      <c r="M439" s="20" t="s">
        <v>1073</v>
      </c>
      <c r="N439" s="14" t="s">
        <v>1074</v>
      </c>
      <c r="O439" s="43">
        <v>8000</v>
      </c>
      <c r="Q439" s="38" t="s">
        <v>9</v>
      </c>
      <c r="R439" s="38" t="s">
        <v>195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41"/>
        <v>V</v>
      </c>
      <c r="C440" s="42">
        <f t="shared" si="42"/>
        <v>439</v>
      </c>
      <c r="D440" s="38"/>
      <c r="E440" s="38"/>
      <c r="F440" s="38"/>
      <c r="G440" s="38"/>
      <c r="H440" s="38"/>
      <c r="I440" s="38" t="s">
        <v>9</v>
      </c>
      <c r="J440" s="38"/>
      <c r="K440" s="53" t="s">
        <v>44</v>
      </c>
      <c r="L440" s="53" t="s">
        <v>32</v>
      </c>
      <c r="M440" s="53" t="s">
        <v>237</v>
      </c>
      <c r="N440" s="53" t="s">
        <v>238</v>
      </c>
      <c r="O440" s="155">
        <v>0</v>
      </c>
      <c r="R440" s="38" t="s">
        <v>195</v>
      </c>
      <c r="S440" s="38"/>
      <c r="T440" s="38"/>
      <c r="W440" s="15"/>
      <c r="Z440" s="59" t="str">
        <f>IF(OR($M440="",NOT($O440="{array}")),"",IFERROR(MATCH(PARAMETERS!$M440,DEFAULT!$B$5:$CI$5,0),""))</f>
        <v/>
      </c>
      <c r="AA440" s="56">
        <f t="shared" si="40"/>
        <v>69</v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>0 | 1 | 2 | 3 | 4 | 5 | 6 | 7 | ...</v>
      </c>
    </row>
    <row r="441" spans="1:29" collapsed="1" x14ac:dyDescent="0.3">
      <c r="A441" s="22" t="s">
        <v>84</v>
      </c>
      <c r="B441" s="41" t="str">
        <f t="shared" si="41"/>
        <v/>
      </c>
      <c r="C441" s="220">
        <f t="shared" si="42"/>
        <v>440</v>
      </c>
      <c r="D441" s="221"/>
      <c r="E441" s="221"/>
      <c r="F441" s="221"/>
      <c r="G441" s="221"/>
      <c r="H441" s="221"/>
      <c r="I441" s="221"/>
      <c r="J441" s="221"/>
      <c r="K441" s="222" t="s">
        <v>57</v>
      </c>
      <c r="L441" s="222" t="s">
        <v>38</v>
      </c>
      <c r="M441" s="223" t="s">
        <v>1042</v>
      </c>
      <c r="N441" s="224" t="s">
        <v>1043</v>
      </c>
      <c r="O441" s="225"/>
      <c r="P441" s="222"/>
      <c r="Q441" s="221"/>
      <c r="R441" s="221" t="s">
        <v>104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outlineLevel="1" x14ac:dyDescent="0.3">
      <c r="A442" s="22" t="s">
        <v>84</v>
      </c>
      <c r="B442" s="41" t="str">
        <f t="shared" si="41"/>
        <v/>
      </c>
      <c r="C442" s="226">
        <f t="shared" si="42"/>
        <v>441</v>
      </c>
      <c r="D442" s="221"/>
      <c r="E442" s="221"/>
      <c r="F442" s="221"/>
      <c r="G442" s="221"/>
      <c r="H442" s="221"/>
      <c r="I442" s="221" t="s">
        <v>9</v>
      </c>
      <c r="J442" s="221" t="s">
        <v>9</v>
      </c>
      <c r="K442" s="222" t="s">
        <v>44</v>
      </c>
      <c r="L442" s="227" t="s">
        <v>38</v>
      </c>
      <c r="M442" s="228" t="s">
        <v>1044</v>
      </c>
      <c r="N442" s="222" t="s">
        <v>1045</v>
      </c>
      <c r="O442" s="225">
        <v>1</v>
      </c>
      <c r="P442" s="222"/>
      <c r="Q442" s="221"/>
      <c r="R442" s="221" t="s">
        <v>195</v>
      </c>
      <c r="S442" s="38"/>
      <c r="T442" s="38"/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outlineLevel="1" x14ac:dyDescent="0.3">
      <c r="A443" s="22" t="s">
        <v>84</v>
      </c>
      <c r="B443" s="41" t="str">
        <f t="shared" si="41"/>
        <v/>
      </c>
      <c r="C443" s="226">
        <f t="shared" si="42"/>
        <v>442</v>
      </c>
      <c r="D443" s="221"/>
      <c r="E443" s="221"/>
      <c r="F443" s="221"/>
      <c r="G443" s="221"/>
      <c r="H443" s="221"/>
      <c r="I443" s="221" t="s">
        <v>9</v>
      </c>
      <c r="J443" s="221" t="s">
        <v>9</v>
      </c>
      <c r="K443" s="222" t="s">
        <v>44</v>
      </c>
      <c r="L443" s="227" t="s">
        <v>38</v>
      </c>
      <c r="M443" s="228" t="s">
        <v>1046</v>
      </c>
      <c r="N443" s="222" t="s">
        <v>1047</v>
      </c>
      <c r="O443" s="225">
        <v>1</v>
      </c>
      <c r="P443" s="222"/>
      <c r="Q443" s="221"/>
      <c r="R443" s="221" t="s">
        <v>195</v>
      </c>
      <c r="S443" s="38"/>
      <c r="T443" s="38"/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outlineLevel="1" x14ac:dyDescent="0.3">
      <c r="A444" s="22" t="s">
        <v>84</v>
      </c>
      <c r="B444" s="41" t="str">
        <f t="shared" si="41"/>
        <v/>
      </c>
      <c r="C444" s="226">
        <f t="shared" si="42"/>
        <v>443</v>
      </c>
      <c r="D444" s="221"/>
      <c r="E444" s="221"/>
      <c r="F444" s="221"/>
      <c r="G444" s="221"/>
      <c r="H444" s="221"/>
      <c r="I444" s="221" t="s">
        <v>9</v>
      </c>
      <c r="J444" s="221" t="s">
        <v>9</v>
      </c>
      <c r="K444" s="222" t="s">
        <v>44</v>
      </c>
      <c r="L444" s="227" t="s">
        <v>38</v>
      </c>
      <c r="M444" s="228" t="s">
        <v>1048</v>
      </c>
      <c r="N444" s="222" t="s">
        <v>1049</v>
      </c>
      <c r="O444" s="225">
        <v>0</v>
      </c>
      <c r="P444" s="222"/>
      <c r="Q444" s="221"/>
      <c r="R444" s="221" t="s">
        <v>195</v>
      </c>
      <c r="S444" s="38"/>
      <c r="T444" s="38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outlineLevel="1" x14ac:dyDescent="0.3">
      <c r="A445" s="22" t="s">
        <v>84</v>
      </c>
      <c r="B445" s="41" t="str">
        <f t="shared" si="41"/>
        <v/>
      </c>
      <c r="C445" s="226">
        <f t="shared" si="42"/>
        <v>444</v>
      </c>
      <c r="D445" s="221"/>
      <c r="E445" s="221"/>
      <c r="F445" s="221"/>
      <c r="G445" s="221"/>
      <c r="H445" s="221"/>
      <c r="I445" s="221" t="s">
        <v>9</v>
      </c>
      <c r="J445" s="221" t="s">
        <v>9</v>
      </c>
      <c r="K445" s="222" t="s">
        <v>44</v>
      </c>
      <c r="L445" s="227" t="s">
        <v>38</v>
      </c>
      <c r="M445" s="228" t="s">
        <v>1050</v>
      </c>
      <c r="N445" s="222" t="s">
        <v>1051</v>
      </c>
      <c r="O445" s="225">
        <v>0</v>
      </c>
      <c r="P445" s="222"/>
      <c r="Q445" s="221"/>
      <c r="R445" s="221" t="s">
        <v>195</v>
      </c>
      <c r="S445" s="38"/>
      <c r="T445" s="38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outlineLevel="1" x14ac:dyDescent="0.3">
      <c r="A446" s="22"/>
      <c r="B446" s="41" t="str">
        <f t="shared" ref="B446:B452" si="43">IF($A446="P",IF(NOT($Z446=""),"A",IF(NOT($AA446=""),"I","")),IF(NOT($AA446=""),IF($A446="G","V","X"),IF(NOT($Z446=""),"A","")))</f>
        <v/>
      </c>
      <c r="C446" s="220">
        <f t="shared" si="42"/>
        <v>445</v>
      </c>
      <c r="D446" s="221"/>
      <c r="E446" s="221"/>
      <c r="F446" s="221"/>
      <c r="G446" s="221"/>
      <c r="H446" s="221"/>
      <c r="I446" s="221" t="s">
        <v>9</v>
      </c>
      <c r="J446" s="221"/>
      <c r="K446" s="222" t="s">
        <v>50</v>
      </c>
      <c r="L446" s="222" t="s">
        <v>38</v>
      </c>
      <c r="M446" s="228" t="s">
        <v>1121</v>
      </c>
      <c r="N446" s="222" t="s">
        <v>1122</v>
      </c>
      <c r="O446" s="225">
        <v>1</v>
      </c>
      <c r="P446" s="222"/>
      <c r="Q446" s="221"/>
      <c r="R446" s="221" t="s">
        <v>195</v>
      </c>
      <c r="S446" s="38"/>
      <c r="T446" s="38"/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x14ac:dyDescent="0.3">
      <c r="A447" s="22"/>
      <c r="B447" s="41" t="str">
        <f t="shared" si="43"/>
        <v/>
      </c>
      <c r="C447" s="42">
        <f t="shared" si="42"/>
        <v>446</v>
      </c>
      <c r="D447" s="38"/>
      <c r="E447" s="38"/>
      <c r="F447" s="38"/>
      <c r="G447" s="38"/>
      <c r="H447" s="38"/>
      <c r="I447" s="38"/>
      <c r="J447" s="38"/>
      <c r="R447" s="38"/>
      <c r="S447" s="38"/>
      <c r="T447" s="38"/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x14ac:dyDescent="0.3">
      <c r="A448" s="22"/>
      <c r="B448" s="41" t="str">
        <f t="shared" si="43"/>
        <v/>
      </c>
      <c r="C448" s="42">
        <f t="shared" si="42"/>
        <v>447</v>
      </c>
      <c r="D448" s="38"/>
      <c r="E448" s="38"/>
      <c r="F448" s="38"/>
      <c r="G448" s="38"/>
      <c r="H448" s="38"/>
      <c r="I448" s="38"/>
      <c r="J448" s="38"/>
      <c r="R448" s="38"/>
      <c r="S448" s="38"/>
      <c r="T448" s="38"/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x14ac:dyDescent="0.3">
      <c r="A449" s="22"/>
      <c r="B449" s="41" t="str">
        <f t="shared" si="43"/>
        <v/>
      </c>
      <c r="C449" s="42">
        <f t="shared" si="42"/>
        <v>448</v>
      </c>
      <c r="D449" s="38"/>
      <c r="E449" s="38"/>
      <c r="F449" s="38"/>
      <c r="G449" s="38"/>
      <c r="H449" s="38"/>
      <c r="I449" s="38"/>
      <c r="J449" s="38"/>
      <c r="R449" s="38"/>
      <c r="S449" s="38"/>
      <c r="T449" s="38"/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x14ac:dyDescent="0.3">
      <c r="A450" s="22"/>
      <c r="B450" s="41" t="str">
        <f t="shared" si="43"/>
        <v/>
      </c>
      <c r="C450" s="42">
        <f t="shared" si="42"/>
        <v>449</v>
      </c>
      <c r="D450" s="38"/>
      <c r="E450" s="38"/>
      <c r="F450" s="38"/>
      <c r="G450" s="38"/>
      <c r="H450" s="38"/>
      <c r="I450" s="38"/>
      <c r="J450" s="38"/>
      <c r="R450" s="38"/>
      <c r="S450" s="38"/>
      <c r="T450" s="38"/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x14ac:dyDescent="0.3">
      <c r="A451" s="22"/>
      <c r="B451" s="41" t="str">
        <f t="shared" si="43"/>
        <v/>
      </c>
      <c r="C451" s="42">
        <f t="shared" si="42"/>
        <v>450</v>
      </c>
      <c r="D451" s="38"/>
      <c r="E451" s="38"/>
      <c r="F451" s="38"/>
      <c r="G451" s="38"/>
      <c r="H451" s="38"/>
      <c r="I451" s="38"/>
      <c r="J451" s="38"/>
      <c r="R451" s="38"/>
      <c r="S451" s="38"/>
      <c r="T451" s="38"/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t="18" thickBot="1" x14ac:dyDescent="0.35">
      <c r="A452" s="22"/>
      <c r="B452" s="41" t="str">
        <f t="shared" si="43"/>
        <v/>
      </c>
      <c r="C452" s="42">
        <f t="shared" si="42"/>
        <v>451</v>
      </c>
      <c r="D452" s="38"/>
      <c r="E452" s="38"/>
      <c r="F452" s="38"/>
      <c r="G452" s="38"/>
      <c r="H452" s="38"/>
      <c r="I452" s="38"/>
      <c r="J452" s="38"/>
      <c r="R452" s="38"/>
      <c r="S452" s="38"/>
      <c r="T452" s="38"/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s="25" customFormat="1" ht="18" thickTop="1" x14ac:dyDescent="0.3">
      <c r="A453" s="35"/>
      <c r="B453" s="25" t="str">
        <f>IF($A453="","",IF($A453="G",IF(NOT($Z453=""),"A",IF(NOT($AA453=""),"V","")),IF($A453="P",IF(NOT($Z453=""),"A",IF(NOT($AA453=""),"I","")))))</f>
        <v/>
      </c>
      <c r="D453" s="44"/>
      <c r="E453" s="44"/>
      <c r="F453" s="44"/>
      <c r="G453" s="44"/>
      <c r="H453" s="44"/>
      <c r="I453" s="44"/>
      <c r="J453" s="44"/>
      <c r="M453" s="47"/>
      <c r="O453" s="45"/>
      <c r="Q453" s="52"/>
      <c r="R453" s="44"/>
      <c r="S453" s="44"/>
      <c r="T453" s="44"/>
      <c r="X453" s="46"/>
      <c r="Z453" s="60"/>
      <c r="AA453" s="61"/>
      <c r="AB453" s="64"/>
    </row>
    <row r="454" spans="1:29" x14ac:dyDescent="0.3">
      <c r="M454" s="20" t="s">
        <v>939</v>
      </c>
      <c r="N454" s="20" t="s">
        <v>933</v>
      </c>
    </row>
    <row r="455" spans="1:29" x14ac:dyDescent="0.3">
      <c r="N455" s="209" t="s">
        <v>934</v>
      </c>
    </row>
    <row r="456" spans="1:29" x14ac:dyDescent="0.3">
      <c r="N456" s="203" t="s">
        <v>935</v>
      </c>
    </row>
    <row r="457" spans="1:29" x14ac:dyDescent="0.3">
      <c r="M457" s="20" t="s">
        <v>938</v>
      </c>
      <c r="N457" s="151" t="s">
        <v>936</v>
      </c>
    </row>
    <row r="458" spans="1:29" x14ac:dyDescent="0.3">
      <c r="N458" s="210" t="s">
        <v>937</v>
      </c>
    </row>
  </sheetData>
  <phoneticPr fontId="7" type="noConversion"/>
  <conditionalFormatting sqref="A409:A452 A2:A407">
    <cfRule type="cellIs" dxfId="7" priority="61" stopIfTrue="1" operator="equal">
      <formula>"G"</formula>
    </cfRule>
    <cfRule type="cellIs" dxfId="6" priority="62" stopIfTrue="1" operator="equal">
      <formula>"P"</formula>
    </cfRule>
  </conditionalFormatting>
  <conditionalFormatting sqref="A424:A425">
    <cfRule type="cellIs" dxfId="5" priority="7" stopIfTrue="1" operator="equal">
      <formula>"G"</formula>
    </cfRule>
    <cfRule type="cellIs" dxfId="4" priority="8" stopIfTrue="1" operator="equal">
      <formula>"P"</formula>
    </cfRule>
  </conditionalFormatting>
  <conditionalFormatting sqref="A425:A426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268:A269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Q409:Q452 D409:J452 D2:J407 Q2:Q68 Q70:Q407">
      <formula1>"x"</formula1>
    </dataValidation>
    <dataValidation type="list" allowBlank="1" showInputMessage="1" showErrorMessage="1" sqref="R409:R452 R2:R407">
      <formula1>Stakeholder</formula1>
    </dataValidation>
    <dataValidation type="list" allowBlank="1" showInputMessage="1" sqref="S409:T452 S2:T407">
      <formula1>read_write</formula1>
    </dataValidation>
    <dataValidation type="list" allowBlank="1" showInputMessage="1" showErrorMessage="1" sqref="K409:K452 K2:K40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09:L452 L2:L407">
      <formula1>"info,model,logic,internal"</formula1>
    </dataValidation>
    <dataValidation type="list" allowBlank="1" showInputMessage="1" sqref="O409:O452 O2:O407">
      <formula1>"empty,{array}"</formula1>
    </dataValidation>
    <dataValidation type="custom" allowBlank="1" showInputMessage="1" showErrorMessage="1" sqref="C409:C452 C2:C407">
      <formula1>"x"</formula1>
    </dataValidation>
    <dataValidation type="list" allowBlank="1" showInputMessage="1" sqref="A409:A452 A2:A40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="115" zoomScaleNormal="115" workbookViewId="0">
      <pane ySplit="1668" activePane="bottomLeft"/>
      <selection activeCell="W1" sqref="H1:W1048576"/>
      <selection pane="bottomLeft" activeCell="B5" sqref="B5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7.109375" style="17" customWidth="1"/>
    <col min="8" max="23" width="7.44140625" style="17" customWidth="1"/>
    <col min="24" max="39" width="7.33203125" style="17" customWidth="1"/>
    <col min="40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47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>IF(CE$3="-","-",IF(CE$3=CD$3,CD$2+1,1))</f>
        <v>-</v>
      </c>
      <c r="CF2" s="34" t="str">
        <f>IF(CF$3="-","-",IF(CF$3=CE$3,CE$2+1,1))</f>
        <v>-</v>
      </c>
      <c r="CG2" s="34" t="str">
        <f>IF(CG$3="-","-",IF(CG$3=CF$3,CF$2+1,1))</f>
        <v>-</v>
      </c>
      <c r="CH2" s="34" t="str">
        <f>IF(CH$3="-","-",IF(CH$3=CG$3,CG$2+1,1))</f>
        <v>-</v>
      </c>
      <c r="CI2" s="34" t="str">
        <f t="shared" si="2"/>
        <v>-</v>
      </c>
      <c r="CJ2" s="247"/>
    </row>
    <row r="3" spans="1:88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I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>IF(CE$5="",CD$3,IFERROR(MATCH(CE$5,prodArrayNames,0),"-"))</f>
        <v>-</v>
      </c>
      <c r="CF3" s="50" t="str">
        <f>IF(CF$5="",CE$3,IFERROR(MATCH(CF$5,prodArrayNames,0),"-"))</f>
        <v>-</v>
      </c>
      <c r="CG3" s="50" t="str">
        <f>IF(CG$5="",CF$3,IFERROR(MATCH(CG$5,prodArrayNames,0),"-"))</f>
        <v>-</v>
      </c>
      <c r="CH3" s="50" t="str">
        <f>IF(CH$5="",CG$3,IFERROR(MATCH(CH$5,prodArrayNames,0),"-"))</f>
        <v>-</v>
      </c>
      <c r="CI3" s="50" t="str">
        <f t="shared" si="5"/>
        <v>-</v>
      </c>
      <c r="CJ3" s="247"/>
    </row>
    <row r="4" spans="1:88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/>
      </c>
      <c r="G4" s="51" t="str">
        <f t="shared" si="6"/>
        <v/>
      </c>
      <c r="H4" s="51" t="str">
        <f t="shared" si="6"/>
        <v/>
      </c>
      <c r="I4" s="51" t="str">
        <f t="shared" si="6"/>
        <v/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I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8AE93A24-5924-1164-</v>
      </c>
      <c r="CG4" s="51" t="str">
        <f t="shared" si="8"/>
        <v/>
      </c>
      <c r="CH4" s="51" t="str">
        <f t="shared" si="8"/>
        <v>8D223E24-3946-1028-</v>
      </c>
      <c r="CI4" s="51" t="str">
        <f t="shared" si="8"/>
        <v/>
      </c>
      <c r="CJ4" s="96"/>
    </row>
    <row r="5" spans="1:88" ht="22.5" customHeight="1" thickTop="1" x14ac:dyDescent="0.3">
      <c r="A5" s="28" t="s">
        <v>87</v>
      </c>
      <c r="B5" s="95" t="s">
        <v>932</v>
      </c>
      <c r="C5" s="95"/>
      <c r="D5" s="95"/>
      <c r="E5" s="95"/>
      <c r="F5" s="95" t="s">
        <v>28</v>
      </c>
      <c r="G5" s="95" t="s">
        <v>28</v>
      </c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954</v>
      </c>
      <c r="BD5" s="95"/>
      <c r="BE5" s="95" t="s">
        <v>1017</v>
      </c>
      <c r="BF5" s="95"/>
      <c r="BG5" s="95" t="s">
        <v>955</v>
      </c>
      <c r="BH5" s="95"/>
      <c r="BI5" s="95" t="s">
        <v>1018</v>
      </c>
      <c r="BJ5" s="95"/>
      <c r="BK5" s="95" t="s">
        <v>956</v>
      </c>
      <c r="BL5" s="95" t="s">
        <v>1015</v>
      </c>
      <c r="BM5" s="95" t="s">
        <v>958</v>
      </c>
      <c r="BN5" s="95" t="s">
        <v>1016</v>
      </c>
      <c r="BO5" s="95" t="s">
        <v>579</v>
      </c>
      <c r="BP5" s="95"/>
      <c r="BQ5" s="95" t="s">
        <v>941</v>
      </c>
      <c r="BR5" s="95" t="s">
        <v>1008</v>
      </c>
      <c r="BS5" s="95"/>
      <c r="BT5" s="95" t="s">
        <v>941</v>
      </c>
      <c r="BU5" s="95" t="s">
        <v>1065</v>
      </c>
      <c r="BV5" s="215" t="s">
        <v>941</v>
      </c>
      <c r="BW5" s="95" t="s">
        <v>664</v>
      </c>
      <c r="BX5" s="215" t="s">
        <v>198</v>
      </c>
      <c r="BY5" s="215" t="s">
        <v>941</v>
      </c>
      <c r="BZ5" s="215" t="s">
        <v>200</v>
      </c>
      <c r="CA5" s="215" t="s">
        <v>941</v>
      </c>
      <c r="CB5" s="215" t="s">
        <v>202</v>
      </c>
      <c r="CC5" s="215" t="s">
        <v>941</v>
      </c>
      <c r="CD5" s="215" t="s">
        <v>193</v>
      </c>
      <c r="CE5" s="215" t="s">
        <v>941</v>
      </c>
      <c r="CF5" s="215" t="s">
        <v>1196</v>
      </c>
      <c r="CG5" s="215" t="s">
        <v>941</v>
      </c>
      <c r="CH5" s="215" t="s">
        <v>206</v>
      </c>
      <c r="CI5" s="215" t="s">
        <v>941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1161</v>
      </c>
      <c r="BL6" s="17" t="s">
        <v>1161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1000</v>
      </c>
      <c r="BR6" s="17">
        <v>2.1000000000000001E-2</v>
      </c>
      <c r="BS6" s="17">
        <v>0.03</v>
      </c>
      <c r="BT6" s="211" t="s">
        <v>1009</v>
      </c>
      <c r="BU6" s="17">
        <v>0</v>
      </c>
      <c r="BV6" s="17" t="s">
        <v>1067</v>
      </c>
      <c r="BW6" s="17">
        <v>-9999</v>
      </c>
      <c r="BX6" s="216">
        <v>96</v>
      </c>
      <c r="BY6" s="217" t="s">
        <v>943</v>
      </c>
      <c r="BZ6" s="216">
        <v>104</v>
      </c>
      <c r="CA6" s="217" t="s">
        <v>944</v>
      </c>
      <c r="CB6" s="216">
        <v>91</v>
      </c>
      <c r="CC6" s="217" t="s">
        <v>945</v>
      </c>
      <c r="CD6" s="216">
        <v>64</v>
      </c>
      <c r="CE6" s="217" t="s">
        <v>946</v>
      </c>
      <c r="CF6" s="216">
        <v>21</v>
      </c>
      <c r="CG6" s="217" t="s">
        <v>1197</v>
      </c>
      <c r="CH6" s="216">
        <v>40</v>
      </c>
      <c r="CI6" s="217" t="s">
        <v>947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1162</v>
      </c>
      <c r="BL7" s="17" t="s">
        <v>1162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1001</v>
      </c>
      <c r="BR7" s="17">
        <v>4.2000000000000003E-2</v>
      </c>
      <c r="BS7" s="17">
        <v>1.4999999999999999E-2</v>
      </c>
      <c r="BT7" s="211" t="s">
        <v>1010</v>
      </c>
      <c r="BU7" s="17">
        <v>0</v>
      </c>
      <c r="BV7" s="17" t="s">
        <v>1068</v>
      </c>
      <c r="BW7" s="17">
        <v>0</v>
      </c>
      <c r="BX7" s="216">
        <v>2</v>
      </c>
      <c r="BY7" s="217" t="s">
        <v>959</v>
      </c>
      <c r="BZ7" s="216">
        <v>62</v>
      </c>
      <c r="CA7" s="217" t="s">
        <v>948</v>
      </c>
      <c r="CB7" s="216">
        <v>82</v>
      </c>
      <c r="CC7" s="217" t="s">
        <v>949</v>
      </c>
      <c r="CD7" s="216">
        <v>77</v>
      </c>
      <c r="CE7" s="217" t="s">
        <v>950</v>
      </c>
      <c r="CF7" s="216"/>
      <c r="CG7" s="217"/>
      <c r="CH7" s="216">
        <v>40</v>
      </c>
      <c r="CI7" s="217" t="s">
        <v>942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1162</v>
      </c>
      <c r="BL8" s="17" t="s">
        <v>1162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1011</v>
      </c>
      <c r="BU8" s="17">
        <v>0</v>
      </c>
      <c r="BV8" s="17" t="s">
        <v>1069</v>
      </c>
      <c r="BW8" s="17">
        <v>-9999</v>
      </c>
      <c r="BX8" s="216">
        <v>3</v>
      </c>
      <c r="BY8" s="217" t="s">
        <v>960</v>
      </c>
      <c r="BZ8" s="216">
        <v>70</v>
      </c>
      <c r="CA8" s="217" t="s">
        <v>961</v>
      </c>
      <c r="CB8" s="216">
        <v>0</v>
      </c>
      <c r="CC8" s="217" t="s">
        <v>962</v>
      </c>
      <c r="CD8" s="216">
        <v>64</v>
      </c>
      <c r="CE8" s="217" t="s">
        <v>963</v>
      </c>
      <c r="CF8" s="216"/>
      <c r="CG8" s="217"/>
      <c r="CH8" s="216">
        <v>62</v>
      </c>
      <c r="CI8" s="217" t="s">
        <v>964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1"/>
      <c r="AF9" s="211"/>
      <c r="AH9" s="211"/>
      <c r="AJ9" s="211"/>
      <c r="AL9" s="211"/>
      <c r="BU9" s="17">
        <v>0</v>
      </c>
      <c r="BV9" s="17" t="s">
        <v>1070</v>
      </c>
      <c r="BW9" s="17">
        <v>0</v>
      </c>
      <c r="BX9" s="216">
        <v>96</v>
      </c>
      <c r="BY9" s="217" t="s">
        <v>965</v>
      </c>
      <c r="BZ9" s="216">
        <v>70</v>
      </c>
      <c r="CA9" s="217" t="s">
        <v>966</v>
      </c>
      <c r="CB9" s="216">
        <v>0</v>
      </c>
      <c r="CC9" s="217" t="s">
        <v>967</v>
      </c>
      <c r="CD9" s="216">
        <v>64</v>
      </c>
      <c r="CE9" s="217" t="s">
        <v>968</v>
      </c>
      <c r="CF9" s="216"/>
      <c r="CG9" s="217"/>
      <c r="CH9" s="216">
        <v>57</v>
      </c>
      <c r="CI9" s="217" t="s">
        <v>969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1"/>
      <c r="AF10" s="211"/>
      <c r="AH10" s="211"/>
      <c r="AJ10" s="211"/>
      <c r="AL10" s="211"/>
      <c r="BU10" s="17">
        <v>90</v>
      </c>
      <c r="BV10" s="17" t="s">
        <v>1071</v>
      </c>
      <c r="BX10" s="216">
        <v>3</v>
      </c>
      <c r="BY10" s="217" t="s">
        <v>970</v>
      </c>
      <c r="BZ10" s="216">
        <v>62</v>
      </c>
      <c r="CA10" s="217" t="s">
        <v>971</v>
      </c>
      <c r="CB10" s="216">
        <v>82</v>
      </c>
      <c r="CC10" s="217" t="s">
        <v>972</v>
      </c>
      <c r="CD10" s="216">
        <v>71</v>
      </c>
      <c r="CE10" s="217" t="s">
        <v>973</v>
      </c>
      <c r="CF10" s="216"/>
      <c r="CG10" s="217"/>
      <c r="CH10" s="216">
        <v>24</v>
      </c>
      <c r="CI10" s="217" t="s">
        <v>974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1"/>
      <c r="AF11" s="211"/>
      <c r="AH11" s="211"/>
      <c r="AJ11" s="211"/>
      <c r="BU11" s="17">
        <v>0</v>
      </c>
      <c r="BV11" s="17" t="s">
        <v>1072</v>
      </c>
      <c r="BX11" s="216">
        <v>100</v>
      </c>
      <c r="BY11" s="217" t="s">
        <v>975</v>
      </c>
      <c r="BZ11" s="216">
        <v>70</v>
      </c>
      <c r="CA11" s="217" t="s">
        <v>976</v>
      </c>
      <c r="CB11" s="216">
        <v>0</v>
      </c>
      <c r="CC11" s="217" t="s">
        <v>977</v>
      </c>
      <c r="CD11" s="216">
        <v>64</v>
      </c>
      <c r="CE11" s="217" t="s">
        <v>978</v>
      </c>
      <c r="CF11" s="216"/>
      <c r="CG11" s="217"/>
      <c r="CH11" s="216">
        <v>24</v>
      </c>
      <c r="CI11" s="217" t="s">
        <v>979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1"/>
      <c r="AF12" s="211"/>
      <c r="AH12" s="211"/>
      <c r="AJ12" s="211"/>
      <c r="BX12" s="216">
        <v>96</v>
      </c>
      <c r="BY12" s="217" t="s">
        <v>1062</v>
      </c>
      <c r="BZ12" s="216">
        <v>62</v>
      </c>
      <c r="CA12" s="217" t="s">
        <v>980</v>
      </c>
      <c r="CB12" s="216">
        <v>82</v>
      </c>
      <c r="CC12" s="217" t="s">
        <v>981</v>
      </c>
      <c r="CD12" s="216">
        <v>71</v>
      </c>
      <c r="CE12" s="217" t="s">
        <v>982</v>
      </c>
      <c r="CF12" s="216"/>
      <c r="CG12" s="217"/>
      <c r="CH12" s="216">
        <v>24</v>
      </c>
      <c r="CI12" s="217" t="s">
        <v>983</v>
      </c>
    </row>
    <row r="13" spans="1:88" ht="22.5" customHeight="1" x14ac:dyDescent="0.3">
      <c r="AD13" s="211"/>
      <c r="AF13" s="211"/>
      <c r="AH13" s="211"/>
      <c r="AJ13" s="211"/>
      <c r="BX13" s="216">
        <v>96</v>
      </c>
      <c r="BY13" s="217" t="s">
        <v>1064</v>
      </c>
      <c r="BZ13" s="216">
        <v>62</v>
      </c>
      <c r="CA13" s="217" t="s">
        <v>984</v>
      </c>
      <c r="CB13" s="216">
        <v>82</v>
      </c>
      <c r="CC13" s="217" t="s">
        <v>985</v>
      </c>
      <c r="CD13" s="216">
        <v>71</v>
      </c>
      <c r="CE13" s="217" t="s">
        <v>986</v>
      </c>
      <c r="CF13" s="216"/>
      <c r="CG13" s="217"/>
      <c r="CH13" s="216">
        <v>24</v>
      </c>
      <c r="CI13" s="217" t="s">
        <v>987</v>
      </c>
    </row>
    <row r="14" spans="1:88" ht="22.5" customHeight="1" x14ac:dyDescent="0.3">
      <c r="AD14" s="211"/>
      <c r="AF14" s="211"/>
      <c r="AH14" s="211"/>
      <c r="AJ14" s="211"/>
      <c r="BX14" s="216">
        <v>96</v>
      </c>
      <c r="BY14" s="217" t="s">
        <v>1063</v>
      </c>
      <c r="BZ14" s="216">
        <v>70</v>
      </c>
      <c r="CA14" s="217" t="s">
        <v>1019</v>
      </c>
      <c r="CB14" s="216">
        <v>91</v>
      </c>
      <c r="CC14" s="217" t="s">
        <v>1022</v>
      </c>
      <c r="CD14" s="216">
        <v>64</v>
      </c>
      <c r="CE14" s="217" t="s">
        <v>1027</v>
      </c>
      <c r="CF14" s="216"/>
      <c r="CG14" s="217"/>
      <c r="CH14" s="216">
        <v>24</v>
      </c>
      <c r="CI14" s="217" t="s">
        <v>988</v>
      </c>
    </row>
    <row r="15" spans="1:88" ht="22.5" customHeight="1" x14ac:dyDescent="0.3">
      <c r="AD15" s="211"/>
      <c r="AF15" s="211"/>
      <c r="AH15" s="211"/>
      <c r="AJ15" s="211"/>
      <c r="BX15" s="216">
        <v>2</v>
      </c>
      <c r="BY15" s="217" t="s">
        <v>1109</v>
      </c>
      <c r="BZ15" s="216">
        <v>62</v>
      </c>
      <c r="CA15" s="217" t="s">
        <v>1020</v>
      </c>
      <c r="CB15" s="216">
        <v>82</v>
      </c>
      <c r="CC15" s="217" t="s">
        <v>1023</v>
      </c>
      <c r="CD15" s="216">
        <v>71</v>
      </c>
      <c r="CE15" s="217" t="s">
        <v>1026</v>
      </c>
      <c r="CF15" s="216"/>
      <c r="CG15" s="217"/>
      <c r="CH15" s="216">
        <v>24</v>
      </c>
      <c r="CI15" s="217" t="s">
        <v>989</v>
      </c>
    </row>
    <row r="16" spans="1:88" ht="22.5" customHeight="1" x14ac:dyDescent="0.3">
      <c r="AD16" s="211"/>
      <c r="AF16" s="211"/>
      <c r="AH16" s="211"/>
      <c r="AJ16" s="211"/>
      <c r="BX16" s="216">
        <v>1</v>
      </c>
      <c r="BY16" s="217" t="s">
        <v>1190</v>
      </c>
      <c r="BZ16" s="216">
        <v>62</v>
      </c>
      <c r="CA16" s="217" t="s">
        <v>1021</v>
      </c>
      <c r="CB16" s="216">
        <v>82</v>
      </c>
      <c r="CC16" s="217" t="s">
        <v>1024</v>
      </c>
      <c r="CD16" s="216">
        <v>71</v>
      </c>
      <c r="CE16" s="217" t="s">
        <v>1025</v>
      </c>
      <c r="CF16" s="216"/>
      <c r="CG16" s="217"/>
      <c r="CH16" s="216">
        <v>62</v>
      </c>
      <c r="CI16" s="217" t="s">
        <v>990</v>
      </c>
    </row>
    <row r="17" spans="30:87" ht="22.5" customHeight="1" x14ac:dyDescent="0.3">
      <c r="AD17" s="211"/>
      <c r="AF17" s="211"/>
      <c r="AH17" s="211"/>
      <c r="AJ17" s="211"/>
      <c r="BX17" s="216">
        <v>2</v>
      </c>
      <c r="BY17" s="217" t="s">
        <v>1191</v>
      </c>
      <c r="BZ17" s="216">
        <v>102</v>
      </c>
      <c r="CA17" s="217" t="s">
        <v>1110</v>
      </c>
      <c r="CB17" s="216">
        <v>102</v>
      </c>
      <c r="CC17" s="217" t="s">
        <v>1111</v>
      </c>
      <c r="CD17" s="216">
        <v>65</v>
      </c>
      <c r="CE17" s="217" t="s">
        <v>1112</v>
      </c>
      <c r="CF17" s="216"/>
      <c r="CG17" s="217"/>
      <c r="CH17" s="216">
        <v>57</v>
      </c>
      <c r="CI17" s="217" t="s">
        <v>991</v>
      </c>
    </row>
    <row r="18" spans="30:87" ht="22.5" customHeight="1" x14ac:dyDescent="0.3">
      <c r="AD18" s="211"/>
      <c r="AF18" s="211"/>
      <c r="AH18" s="211"/>
      <c r="AJ18" s="211"/>
      <c r="BX18" s="216">
        <v>2</v>
      </c>
      <c r="BY18" s="217" t="s">
        <v>1192</v>
      </c>
      <c r="BZ18" s="216">
        <v>70</v>
      </c>
      <c r="CA18" s="217" t="s">
        <v>1193</v>
      </c>
      <c r="CB18" s="216">
        <v>0</v>
      </c>
      <c r="CC18" s="217" t="s">
        <v>1194</v>
      </c>
      <c r="CD18" s="216">
        <v>64</v>
      </c>
      <c r="CE18" s="217" t="s">
        <v>1195</v>
      </c>
      <c r="CF18" s="216"/>
      <c r="CG18" s="217"/>
      <c r="CH18" s="216">
        <v>24</v>
      </c>
      <c r="CI18" s="217" t="s">
        <v>992</v>
      </c>
    </row>
    <row r="19" spans="30:87" ht="22.5" customHeight="1" x14ac:dyDescent="0.3">
      <c r="AD19" s="211"/>
      <c r="AF19" s="211"/>
      <c r="AH19" s="211"/>
      <c r="AJ19" s="211"/>
      <c r="BX19" s="216">
        <v>1</v>
      </c>
      <c r="BY19" s="217" t="s">
        <v>1213</v>
      </c>
      <c r="BZ19" s="216">
        <v>96</v>
      </c>
      <c r="CA19" s="217" t="s">
        <v>1214</v>
      </c>
      <c r="CB19" s="216">
        <v>92</v>
      </c>
      <c r="CC19" s="217" t="s">
        <v>1215</v>
      </c>
      <c r="CD19" s="216">
        <v>64</v>
      </c>
      <c r="CE19" s="217" t="s">
        <v>1216</v>
      </c>
      <c r="CF19" s="216"/>
      <c r="CG19" s="217"/>
      <c r="CH19" s="216">
        <v>24</v>
      </c>
      <c r="CI19" s="217" t="s">
        <v>993</v>
      </c>
    </row>
    <row r="20" spans="30:87" ht="22.5" customHeight="1" x14ac:dyDescent="0.3">
      <c r="AD20" s="211"/>
      <c r="AF20" s="211"/>
      <c r="AH20" s="211"/>
      <c r="AJ20" s="211"/>
      <c r="BX20" s="216">
        <v>1</v>
      </c>
      <c r="BY20" s="217" t="s">
        <v>1217</v>
      </c>
      <c r="BZ20" s="216">
        <v>1</v>
      </c>
      <c r="CA20" s="217" t="s">
        <v>1218</v>
      </c>
      <c r="CB20" s="216">
        <v>91</v>
      </c>
      <c r="CC20" s="217" t="s">
        <v>1219</v>
      </c>
      <c r="CD20" s="216">
        <v>64</v>
      </c>
      <c r="CE20" s="217" t="s">
        <v>1220</v>
      </c>
      <c r="CF20" s="216"/>
      <c r="CG20" s="217"/>
      <c r="CH20" s="216">
        <v>57</v>
      </c>
      <c r="CI20" s="217" t="s">
        <v>994</v>
      </c>
    </row>
    <row r="21" spans="30:87" ht="22.5" customHeight="1" x14ac:dyDescent="0.3">
      <c r="BX21" s="216"/>
      <c r="BY21" s="216"/>
      <c r="BZ21" s="216"/>
      <c r="CA21" s="216"/>
      <c r="CB21" s="216"/>
      <c r="CC21" s="216"/>
      <c r="CD21" s="216"/>
      <c r="CE21" s="216"/>
      <c r="CF21" s="216"/>
      <c r="CG21" s="217"/>
      <c r="CH21" s="216">
        <v>57</v>
      </c>
      <c r="CI21" s="217" t="s">
        <v>995</v>
      </c>
    </row>
    <row r="22" spans="30:87" ht="22.5" customHeight="1" x14ac:dyDescent="0.3">
      <c r="BX22" s="216"/>
      <c r="BY22" s="216"/>
      <c r="BZ22" s="216"/>
      <c r="CA22" s="216"/>
      <c r="CB22" s="216"/>
      <c r="CC22" s="216"/>
      <c r="CD22" s="216"/>
      <c r="CE22" s="216"/>
      <c r="CF22" s="216"/>
      <c r="CG22" s="217"/>
      <c r="CH22" s="216">
        <v>57</v>
      </c>
      <c r="CI22" s="217" t="s">
        <v>996</v>
      </c>
    </row>
    <row r="23" spans="30:87" ht="22.5" customHeight="1" x14ac:dyDescent="0.3">
      <c r="BX23" s="216"/>
      <c r="BY23" s="216"/>
      <c r="BZ23" s="216"/>
      <c r="CA23" s="216"/>
      <c r="CB23" s="216"/>
      <c r="CC23" s="216"/>
      <c r="CD23" s="216"/>
      <c r="CE23" s="216"/>
      <c r="CF23" s="216"/>
      <c r="CG23" s="217"/>
      <c r="CH23" s="216">
        <v>57</v>
      </c>
      <c r="CI23" s="217" t="s">
        <v>997</v>
      </c>
    </row>
    <row r="24" spans="30:87" ht="22.5" customHeight="1" x14ac:dyDescent="0.3">
      <c r="CF24" s="216"/>
      <c r="CG24" s="217"/>
      <c r="CH24" s="216">
        <v>62</v>
      </c>
      <c r="CI24" s="217" t="s">
        <v>1028</v>
      </c>
    </row>
    <row r="25" spans="30:87" ht="22.5" customHeight="1" x14ac:dyDescent="0.3">
      <c r="CF25" s="216"/>
      <c r="CG25" s="217"/>
      <c r="CH25" s="216">
        <v>57</v>
      </c>
      <c r="CI25" s="217" t="s">
        <v>1029</v>
      </c>
    </row>
    <row r="26" spans="30:87" ht="22.5" customHeight="1" x14ac:dyDescent="0.3">
      <c r="CF26" s="216"/>
      <c r="CG26" s="217"/>
      <c r="CH26" s="216">
        <v>24</v>
      </c>
      <c r="CI26" s="217" t="s">
        <v>1030</v>
      </c>
    </row>
    <row r="27" spans="30:87" ht="22.5" customHeight="1" x14ac:dyDescent="0.3">
      <c r="CF27" s="216"/>
      <c r="CG27" s="217"/>
      <c r="CH27" s="216">
        <v>24</v>
      </c>
      <c r="CI27" s="217" t="s">
        <v>1031</v>
      </c>
    </row>
    <row r="28" spans="30:87" ht="22.5" customHeight="1" x14ac:dyDescent="0.3">
      <c r="CF28" s="216"/>
      <c r="CG28" s="217"/>
      <c r="CH28" s="216">
        <v>57</v>
      </c>
      <c r="CI28" s="217" t="s">
        <v>1032</v>
      </c>
    </row>
    <row r="29" spans="30:87" ht="22.5" customHeight="1" x14ac:dyDescent="0.3">
      <c r="CF29" s="216"/>
      <c r="CG29" s="217"/>
      <c r="CH29" s="216">
        <v>57</v>
      </c>
      <c r="CI29" s="217" t="s">
        <v>1033</v>
      </c>
    </row>
    <row r="30" spans="30:87" ht="22.5" customHeight="1" x14ac:dyDescent="0.3">
      <c r="CF30" s="216"/>
      <c r="CG30" s="217"/>
      <c r="CH30" s="216">
        <v>57</v>
      </c>
      <c r="CI30" s="217" t="s">
        <v>1034</v>
      </c>
    </row>
    <row r="31" spans="30:87" ht="22.5" customHeight="1" x14ac:dyDescent="0.3">
      <c r="CF31" s="216"/>
      <c r="CG31" s="217"/>
      <c r="CH31" s="216">
        <v>57</v>
      </c>
      <c r="CI31" s="217" t="s">
        <v>1035</v>
      </c>
    </row>
    <row r="32" spans="30:87" ht="22.5" customHeight="1" x14ac:dyDescent="0.3">
      <c r="CF32" s="216"/>
      <c r="CG32" s="217"/>
      <c r="CH32" s="216">
        <v>40</v>
      </c>
      <c r="CI32" s="217" t="s">
        <v>1285</v>
      </c>
    </row>
    <row r="33" spans="84:87" ht="22.5" customHeight="1" x14ac:dyDescent="0.3">
      <c r="CF33" s="216"/>
      <c r="CG33" s="217"/>
      <c r="CH33" s="216">
        <v>40</v>
      </c>
      <c r="CI33" s="217" t="s">
        <v>1286</v>
      </c>
    </row>
    <row r="34" spans="84:87" ht="22.5" customHeight="1" x14ac:dyDescent="0.3">
      <c r="CF34" s="216"/>
      <c r="CG34" s="217"/>
      <c r="CH34" s="216">
        <v>40</v>
      </c>
      <c r="CI34" s="217" t="s">
        <v>1140</v>
      </c>
    </row>
    <row r="35" spans="84:87" ht="22.5" customHeight="1" x14ac:dyDescent="0.3">
      <c r="CF35" s="216"/>
      <c r="CG35" s="217"/>
      <c r="CH35" s="216">
        <v>40</v>
      </c>
      <c r="CI35" s="217" t="s">
        <v>1287</v>
      </c>
    </row>
    <row r="36" spans="84:87" ht="22.5" customHeight="1" x14ac:dyDescent="0.3">
      <c r="CF36" s="216"/>
      <c r="CG36" s="217"/>
      <c r="CH36" s="216">
        <v>40</v>
      </c>
      <c r="CI36" s="217" t="s">
        <v>1221</v>
      </c>
    </row>
    <row r="37" spans="84:87" ht="22.5" customHeight="1" x14ac:dyDescent="0.3">
      <c r="CF37" s="216"/>
      <c r="CG37" s="217"/>
      <c r="CH37" s="216">
        <v>40</v>
      </c>
      <c r="CI37" s="217" t="s">
        <v>1222</v>
      </c>
    </row>
    <row r="38" spans="84:87" ht="22.5" customHeight="1" x14ac:dyDescent="0.3">
      <c r="CF38" s="216"/>
      <c r="CG38" s="217"/>
      <c r="CH38" s="216">
        <v>40</v>
      </c>
      <c r="CI38" s="217" t="s">
        <v>1223</v>
      </c>
    </row>
    <row r="39" spans="84:87" ht="22.5" customHeight="1" x14ac:dyDescent="0.3">
      <c r="CH39" s="216">
        <v>40</v>
      </c>
      <c r="CI39" s="217" t="s">
        <v>1224</v>
      </c>
    </row>
    <row r="40" spans="84:87" ht="22.5" customHeight="1" x14ac:dyDescent="0.3">
      <c r="CH40" s="216">
        <v>40</v>
      </c>
      <c r="CI40" s="217" t="s">
        <v>1225</v>
      </c>
    </row>
    <row r="41" spans="84:87" ht="22.5" customHeight="1" x14ac:dyDescent="0.3"/>
    <row r="42" spans="84:87" ht="22.5" customHeight="1" x14ac:dyDescent="0.3"/>
    <row r="43" spans="84:87" ht="22.5" customHeight="1" x14ac:dyDescent="0.3"/>
    <row r="44" spans="84:87" ht="22.5" customHeight="1" x14ac:dyDescent="0.3"/>
    <row r="45" spans="84:87" ht="22.5" customHeight="1" x14ac:dyDescent="0.3"/>
    <row r="46" spans="84:87" ht="22.5" customHeight="1" x14ac:dyDescent="0.3"/>
    <row r="47" spans="84:87" ht="22.5" customHeight="1" x14ac:dyDescent="0.3"/>
    <row r="48" spans="84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E8" sqref="E8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16.33203125" style="17" customWidth="1"/>
    <col min="4" max="4" width="4.5546875" style="17" customWidth="1"/>
    <col min="5" max="5" width="17" style="17" customWidth="1"/>
    <col min="6" max="6" width="6.6640625" style="17" customWidth="1"/>
    <col min="7" max="7" width="19.88671875" style="17" customWidth="1"/>
    <col min="8" max="8" width="5.88671875" style="17" customWidth="1"/>
    <col min="9" max="9" width="22.5546875" style="17" customWidth="1"/>
    <col min="10" max="10" width="24.44140625" style="17" customWidth="1"/>
    <col min="11" max="11" width="23.88671875" style="17" customWidth="1"/>
    <col min="12" max="13" width="25.88671875" style="17" customWidth="1"/>
    <col min="14" max="14" width="24.88671875" style="17" bestFit="1" customWidth="1"/>
    <col min="15" max="15" width="15.5546875" style="17" customWidth="1"/>
    <col min="16" max="16" width="17" style="17" customWidth="1"/>
    <col min="17" max="17" width="20.33203125" style="17" bestFit="1" customWidth="1"/>
    <col min="18" max="18" width="3.6640625" style="17" customWidth="1"/>
    <col min="19" max="19" width="17" style="17" customWidth="1"/>
    <col min="20" max="20" width="3.44140625" style="17" customWidth="1"/>
    <col min="21" max="21" width="14.6640625" style="17" customWidth="1"/>
    <col min="22" max="22" width="3.44140625" style="17" customWidth="1"/>
    <col min="23" max="23" width="13.6640625" style="17" customWidth="1"/>
    <col min="24" max="24" width="3.33203125" style="17" customWidth="1"/>
    <col min="25" max="25" width="17" style="17" customWidth="1"/>
    <col min="26" max="26" width="3.109375" style="17" customWidth="1"/>
    <col min="27" max="27" width="17" style="17" customWidth="1"/>
    <col min="28" max="28" width="6.6640625" style="17" customWidth="1"/>
    <col min="29" max="29" width="15.6640625" style="17" customWidth="1"/>
    <col min="30" max="30" width="3.6640625" style="17" customWidth="1"/>
    <col min="31" max="31" width="17" style="17" customWidth="1"/>
    <col min="32" max="32" width="6.33203125" style="17" customWidth="1"/>
    <col min="33" max="36" width="17" style="17" customWidth="1"/>
    <col min="37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SV | SH | BH | GB</v>
      </c>
      <c r="C1" s="50" t="str">
        <f t="shared" si="0"/>
        <v/>
      </c>
      <c r="D1" s="50" t="str">
        <f t="shared" si="0"/>
        <v>- | SV | SH | BH | GB</v>
      </c>
      <c r="E1" s="50" t="str">
        <f t="shared" si="0"/>
        <v/>
      </c>
      <c r="F1" s="50" t="str">
        <f t="shared" si="0"/>
        <v xml:space="preserve">  | - | B | S | T | P | N | L | ...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0,1 | 0,15 | 0,2 | 0,25</v>
      </c>
      <c r="K1" s="50" t="str">
        <f t="shared" si="0"/>
        <v>0,85 | 1,05 | 1,2</v>
      </c>
      <c r="L1" s="50" t="str">
        <f t="shared" si="0"/>
        <v>0,1 | 0,15 | 0,2 | 0,25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0,85 | 1,05 | 1,2</v>
      </c>
      <c r="N1" s="50" t="str">
        <f t="shared" si="1"/>
        <v/>
      </c>
      <c r="O1" s="50" t="str">
        <f t="shared" si="1"/>
        <v/>
      </c>
      <c r="P1" s="50" t="str">
        <f t="shared" si="1"/>
        <v/>
      </c>
      <c r="Q1" s="50" t="str">
        <f t="shared" si="1"/>
        <v/>
      </c>
      <c r="R1" s="50" t="str">
        <f t="shared" si="1"/>
        <v/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ref="C2:L2" si="4">IF(C$3="-","-",IF(C$3=B$3,B$2+1,1))</f>
        <v>-</v>
      </c>
      <c r="D2" s="34" t="str">
        <f t="shared" si="4"/>
        <v>-</v>
      </c>
      <c r="E2" s="34" t="str">
        <f t="shared" si="4"/>
        <v>-</v>
      </c>
      <c r="F2" s="34" t="str">
        <f t="shared" si="4"/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4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>IF(T$3="-","-",IF(T$3=S$3,S$2+1,1))</f>
        <v>-</v>
      </c>
      <c r="U2" s="34" t="str">
        <f>IF(U$3="-","-",IF(U$3=T$3,T$2+1,1))</f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5">IF(AB$3="-","-",IF(AB$3=AA$3,AA$2+1,1))</f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34" t="str">
        <f t="shared" si="5"/>
        <v>-</v>
      </c>
      <c r="BS2" s="94"/>
    </row>
    <row r="3" spans="1:72" x14ac:dyDescent="0.3">
      <c r="A3" s="27" t="s">
        <v>147</v>
      </c>
      <c r="B3" s="50" t="str">
        <f t="shared" ref="B3:L3" si="6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ref="M3:X3" si="7">IF(M$5="",L$3,IFERROR(MATCH(M$5,prodArrayNames,0),"-"))</f>
        <v>-</v>
      </c>
      <c r="N3" s="50" t="str">
        <f t="shared" si="7"/>
        <v>-</v>
      </c>
      <c r="O3" s="50" t="str">
        <f t="shared" si="7"/>
        <v>-</v>
      </c>
      <c r="P3" s="50" t="str">
        <f t="shared" si="7"/>
        <v>-</v>
      </c>
      <c r="Q3" s="50" t="str">
        <f t="shared" si="7"/>
        <v>-</v>
      </c>
      <c r="R3" s="50" t="str">
        <f t="shared" si="7"/>
        <v>-</v>
      </c>
      <c r="S3" s="50" t="str">
        <f t="shared" si="7"/>
        <v>-</v>
      </c>
      <c r="T3" s="50" t="str">
        <f>IF(T$5="",S$3,IFERROR(MATCH(T$5,prodArrayNames,0),"-"))</f>
        <v>-</v>
      </c>
      <c r="U3" s="50" t="str">
        <f>IF(U$5="",T$3,IFERROR(MATCH(U$5,prodArrayNames,0),"-"))</f>
        <v>-</v>
      </c>
      <c r="V3" s="50" t="str">
        <f t="shared" si="7"/>
        <v>-</v>
      </c>
      <c r="W3" s="50" t="str">
        <f t="shared" si="7"/>
        <v>-</v>
      </c>
      <c r="X3" s="50" t="str">
        <f t="shared" si="7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8">IF(AB$5="",AA$3,IFERROR(MATCH(AB$5,prodArrayNames,0),"-"))</f>
        <v>-</v>
      </c>
      <c r="AC3" s="50" t="str">
        <f t="shared" si="8"/>
        <v>-</v>
      </c>
      <c r="AD3" s="50" t="str">
        <f t="shared" si="8"/>
        <v>-</v>
      </c>
      <c r="AE3" s="50" t="str">
        <f t="shared" si="8"/>
        <v>-</v>
      </c>
      <c r="AF3" s="50" t="str">
        <f t="shared" si="8"/>
        <v>-</v>
      </c>
      <c r="AG3" s="50" t="str">
        <f t="shared" si="8"/>
        <v>-</v>
      </c>
      <c r="AH3" s="50" t="str">
        <f t="shared" si="8"/>
        <v>-</v>
      </c>
      <c r="AI3" s="50" t="str">
        <f t="shared" si="8"/>
        <v>-</v>
      </c>
      <c r="AJ3" s="50" t="str">
        <f t="shared" si="8"/>
        <v>-</v>
      </c>
      <c r="AK3" s="50" t="str">
        <f t="shared" si="8"/>
        <v>-</v>
      </c>
      <c r="AL3" s="50" t="str">
        <f t="shared" si="8"/>
        <v>-</v>
      </c>
      <c r="AM3" s="50" t="str">
        <f t="shared" si="8"/>
        <v>-</v>
      </c>
      <c r="AN3" s="50" t="str">
        <f t="shared" si="8"/>
        <v>-</v>
      </c>
      <c r="AO3" s="50" t="str">
        <f t="shared" si="8"/>
        <v>-</v>
      </c>
      <c r="AP3" s="50" t="str">
        <f t="shared" si="8"/>
        <v>-</v>
      </c>
      <c r="AQ3" s="50" t="str">
        <f t="shared" si="8"/>
        <v>-</v>
      </c>
      <c r="AR3" s="50" t="str">
        <f t="shared" si="8"/>
        <v>-</v>
      </c>
      <c r="AS3" s="50" t="str">
        <f t="shared" si="8"/>
        <v>-</v>
      </c>
      <c r="AT3" s="50" t="str">
        <f t="shared" si="8"/>
        <v>-</v>
      </c>
      <c r="AU3" s="50" t="str">
        <f t="shared" si="8"/>
        <v>-</v>
      </c>
      <c r="AV3" s="50" t="str">
        <f t="shared" si="8"/>
        <v>-</v>
      </c>
      <c r="AW3" s="50" t="str">
        <f t="shared" si="8"/>
        <v>-</v>
      </c>
      <c r="AX3" s="50" t="str">
        <f t="shared" si="8"/>
        <v>-</v>
      </c>
      <c r="AY3" s="50" t="str">
        <f t="shared" si="8"/>
        <v>-</v>
      </c>
      <c r="AZ3" s="50" t="str">
        <f t="shared" si="8"/>
        <v>-</v>
      </c>
      <c r="BA3" s="50" t="str">
        <f t="shared" si="8"/>
        <v>-</v>
      </c>
      <c r="BB3" s="50" t="str">
        <f t="shared" si="8"/>
        <v>-</v>
      </c>
      <c r="BC3" s="50" t="str">
        <f t="shared" si="8"/>
        <v>-</v>
      </c>
      <c r="BD3" s="50" t="str">
        <f t="shared" si="8"/>
        <v>-</v>
      </c>
      <c r="BE3" s="50" t="str">
        <f t="shared" si="8"/>
        <v>-</v>
      </c>
      <c r="BF3" s="50" t="str">
        <f t="shared" si="8"/>
        <v>-</v>
      </c>
      <c r="BG3" s="50" t="str">
        <f t="shared" si="8"/>
        <v>-</v>
      </c>
      <c r="BH3" s="50" t="str">
        <f t="shared" si="8"/>
        <v>-</v>
      </c>
      <c r="BI3" s="50" t="str">
        <f t="shared" si="8"/>
        <v>-</v>
      </c>
      <c r="BJ3" s="50" t="str">
        <f t="shared" si="8"/>
        <v>-</v>
      </c>
      <c r="BK3" s="50" t="str">
        <f t="shared" si="8"/>
        <v>-</v>
      </c>
      <c r="BL3" s="50" t="str">
        <f t="shared" si="8"/>
        <v>-</v>
      </c>
      <c r="BM3" s="50" t="str">
        <f t="shared" si="8"/>
        <v>-</v>
      </c>
      <c r="BN3" s="50" t="str">
        <f t="shared" si="8"/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1274</v>
      </c>
      <c r="C5" s="95"/>
      <c r="D5" s="95" t="s">
        <v>1277</v>
      </c>
      <c r="E5" s="95"/>
      <c r="F5" s="95" t="s">
        <v>1252</v>
      </c>
      <c r="G5" s="95"/>
      <c r="H5" s="95" t="s">
        <v>1253</v>
      </c>
      <c r="I5" s="95"/>
      <c r="J5" s="95" t="s">
        <v>1275</v>
      </c>
      <c r="K5" s="95" t="s">
        <v>1276</v>
      </c>
      <c r="L5" s="95" t="s">
        <v>1278</v>
      </c>
      <c r="M5" s="95" t="s">
        <v>1279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237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1145</v>
      </c>
      <c r="C6" s="17" t="s">
        <v>1282</v>
      </c>
      <c r="D6" s="17" t="s">
        <v>1145</v>
      </c>
      <c r="E6" s="17" t="s">
        <v>1282</v>
      </c>
      <c r="F6" s="17" t="s">
        <v>122</v>
      </c>
      <c r="G6" s="17" t="s">
        <v>134</v>
      </c>
      <c r="H6" s="17" t="s">
        <v>122</v>
      </c>
      <c r="I6" s="17" t="s">
        <v>134</v>
      </c>
      <c r="J6" s="17">
        <v>0.1</v>
      </c>
      <c r="K6" s="17">
        <v>0.85</v>
      </c>
      <c r="L6" s="17">
        <v>0.1</v>
      </c>
      <c r="M6" s="17">
        <v>0.85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1245</v>
      </c>
      <c r="C7" s="17" t="s">
        <v>1248</v>
      </c>
      <c r="D7" s="17" t="s">
        <v>1245</v>
      </c>
      <c r="E7" s="17" t="s">
        <v>1248</v>
      </c>
      <c r="F7" s="17" t="s">
        <v>1145</v>
      </c>
      <c r="G7" s="17" t="s">
        <v>1146</v>
      </c>
      <c r="H7" s="17" t="s">
        <v>1145</v>
      </c>
      <c r="I7" s="17" t="s">
        <v>1146</v>
      </c>
      <c r="J7" s="17">
        <v>0.15</v>
      </c>
      <c r="K7" s="17">
        <v>1.05</v>
      </c>
      <c r="L7" s="17">
        <v>0.15</v>
      </c>
      <c r="M7" s="17">
        <v>1.05</v>
      </c>
      <c r="BR7" s="17">
        <v>1</v>
      </c>
      <c r="BS7" s="33"/>
    </row>
    <row r="8" spans="1:72" ht="22.5" customHeight="1" x14ac:dyDescent="0.3">
      <c r="B8" s="17" t="s">
        <v>1246</v>
      </c>
      <c r="C8" s="17" t="s">
        <v>1281</v>
      </c>
      <c r="D8" s="17" t="s">
        <v>1246</v>
      </c>
      <c r="E8" s="17" t="s">
        <v>1281</v>
      </c>
      <c r="F8" s="17" t="s">
        <v>48</v>
      </c>
      <c r="G8" s="17" t="s">
        <v>1177</v>
      </c>
      <c r="H8" s="17" t="s">
        <v>48</v>
      </c>
      <c r="I8" s="17" t="s">
        <v>1177</v>
      </c>
      <c r="J8" s="17">
        <v>0.2</v>
      </c>
      <c r="K8" s="17">
        <v>1.2</v>
      </c>
      <c r="L8" s="17">
        <v>0.2</v>
      </c>
      <c r="M8" s="17">
        <v>1.2</v>
      </c>
      <c r="BR8" s="17">
        <v>2</v>
      </c>
      <c r="BS8" s="33"/>
    </row>
    <row r="9" spans="1:72" ht="22.5" customHeight="1" x14ac:dyDescent="0.3">
      <c r="B9" s="17" t="s">
        <v>1247</v>
      </c>
      <c r="C9" s="17" t="s">
        <v>1249</v>
      </c>
      <c r="D9" s="17" t="s">
        <v>1247</v>
      </c>
      <c r="E9" s="17" t="s">
        <v>1249</v>
      </c>
      <c r="F9" s="17" t="s">
        <v>19</v>
      </c>
      <c r="G9" s="17" t="s">
        <v>1178</v>
      </c>
      <c r="H9" s="17" t="s">
        <v>19</v>
      </c>
      <c r="I9" s="17" t="s">
        <v>1178</v>
      </c>
      <c r="J9" s="17">
        <v>0.25</v>
      </c>
      <c r="L9" s="17">
        <v>0.25</v>
      </c>
      <c r="BR9" s="17">
        <v>3</v>
      </c>
    </row>
    <row r="10" spans="1:72" ht="22.5" customHeight="1" x14ac:dyDescent="0.3">
      <c r="B10" s="17" t="s">
        <v>1251</v>
      </c>
      <c r="C10" s="17" t="s">
        <v>1250</v>
      </c>
      <c r="D10" s="17" t="s">
        <v>1251</v>
      </c>
      <c r="E10" s="17" t="s">
        <v>1250</v>
      </c>
      <c r="F10" s="17" t="s">
        <v>1179</v>
      </c>
      <c r="G10" s="17" t="s">
        <v>1180</v>
      </c>
      <c r="H10" s="17" t="s">
        <v>1179</v>
      </c>
      <c r="I10" s="17" t="s">
        <v>1180</v>
      </c>
      <c r="BR10" s="17">
        <v>4</v>
      </c>
    </row>
    <row r="11" spans="1:72" ht="22.5" customHeight="1" x14ac:dyDescent="0.3">
      <c r="F11" s="17" t="s">
        <v>85</v>
      </c>
      <c r="G11" s="17" t="s">
        <v>1181</v>
      </c>
      <c r="H11" s="17" t="s">
        <v>85</v>
      </c>
      <c r="I11" s="17" t="s">
        <v>1181</v>
      </c>
      <c r="BR11" s="17">
        <v>5</v>
      </c>
    </row>
    <row r="12" spans="1:72" ht="22.5" customHeight="1" x14ac:dyDescent="0.3">
      <c r="F12" s="17" t="s">
        <v>1157</v>
      </c>
      <c r="G12" s="17" t="s">
        <v>1156</v>
      </c>
      <c r="H12" s="17" t="s">
        <v>1157</v>
      </c>
      <c r="I12" s="17" t="s">
        <v>1156</v>
      </c>
      <c r="BR12" s="17">
        <v>6</v>
      </c>
    </row>
    <row r="13" spans="1:72" ht="22.5" customHeight="1" x14ac:dyDescent="0.3">
      <c r="F13" s="17" t="s">
        <v>1147</v>
      </c>
      <c r="G13" s="17" t="s">
        <v>1148</v>
      </c>
      <c r="H13" s="17" t="s">
        <v>1147</v>
      </c>
      <c r="I13" s="17" t="s">
        <v>1148</v>
      </c>
      <c r="BR13" s="17">
        <v>7</v>
      </c>
    </row>
    <row r="14" spans="1:72" ht="22.5" customHeight="1" x14ac:dyDescent="0.3">
      <c r="F14" s="17" t="s">
        <v>1142</v>
      </c>
      <c r="G14" s="17" t="s">
        <v>1149</v>
      </c>
      <c r="H14" s="17" t="s">
        <v>1142</v>
      </c>
      <c r="I14" s="17" t="s">
        <v>1149</v>
      </c>
      <c r="BR14" s="17">
        <v>8</v>
      </c>
    </row>
    <row r="15" spans="1:72" ht="22.5" customHeight="1" x14ac:dyDescent="0.3">
      <c r="F15" s="17" t="s">
        <v>1150</v>
      </c>
      <c r="G15" s="17" t="s">
        <v>1151</v>
      </c>
      <c r="H15" s="17" t="s">
        <v>1150</v>
      </c>
      <c r="I15" s="17" t="s">
        <v>1151</v>
      </c>
    </row>
    <row r="16" spans="1:72" ht="22.5" customHeight="1" x14ac:dyDescent="0.3">
      <c r="F16" s="17" t="s">
        <v>29</v>
      </c>
      <c r="G16" s="17" t="s">
        <v>1155</v>
      </c>
      <c r="H16" s="17" t="s">
        <v>29</v>
      </c>
      <c r="I16" s="17" t="s">
        <v>1155</v>
      </c>
    </row>
    <row r="17" spans="6:14" ht="22.5" customHeight="1" x14ac:dyDescent="0.3">
      <c r="F17" s="17" t="s">
        <v>1143</v>
      </c>
      <c r="G17" s="17" t="s">
        <v>1153</v>
      </c>
      <c r="H17" s="17" t="s">
        <v>1143</v>
      </c>
      <c r="I17" s="17" t="s">
        <v>1153</v>
      </c>
    </row>
    <row r="18" spans="6:14" ht="22.5" customHeight="1" x14ac:dyDescent="0.3">
      <c r="F18" s="17" t="s">
        <v>61</v>
      </c>
      <c r="G18" s="17" t="s">
        <v>1154</v>
      </c>
      <c r="H18" s="17" t="s">
        <v>61</v>
      </c>
      <c r="I18" s="17" t="s">
        <v>1154</v>
      </c>
    </row>
    <row r="19" spans="6:14" ht="22.5" customHeight="1" x14ac:dyDescent="0.3">
      <c r="F19" s="17" t="s">
        <v>84</v>
      </c>
      <c r="G19" s="17" t="s">
        <v>1152</v>
      </c>
      <c r="H19" s="17" t="s">
        <v>84</v>
      </c>
      <c r="I19" s="17" t="s">
        <v>1152</v>
      </c>
    </row>
    <row r="20" spans="6:14" ht="22.5" customHeight="1" x14ac:dyDescent="0.3">
      <c r="F20" s="17" t="s">
        <v>1168</v>
      </c>
      <c r="G20" s="17" t="s">
        <v>1182</v>
      </c>
      <c r="H20" s="17" t="s">
        <v>1168</v>
      </c>
      <c r="I20" s="17" t="s">
        <v>1182</v>
      </c>
    </row>
    <row r="21" spans="6:14" ht="22.5" customHeight="1" x14ac:dyDescent="0.3"/>
    <row r="22" spans="6:14" ht="22.5" customHeight="1" x14ac:dyDescent="0.3"/>
    <row r="23" spans="6:14" ht="22.5" customHeight="1" x14ac:dyDescent="0.3">
      <c r="N23" s="95"/>
    </row>
    <row r="24" spans="6:14" ht="22.5" customHeight="1" x14ac:dyDescent="0.3">
      <c r="N24" s="95"/>
    </row>
    <row r="25" spans="6:14" ht="22.5" customHeight="1" x14ac:dyDescent="0.3">
      <c r="N25" s="95"/>
    </row>
    <row r="26" spans="6:14" ht="22.5" customHeight="1" x14ac:dyDescent="0.3">
      <c r="N26" s="95"/>
    </row>
    <row r="27" spans="6:14" ht="22.5" customHeight="1" x14ac:dyDescent="0.3">
      <c r="N27" s="95"/>
    </row>
    <row r="28" spans="6:14" ht="22.5" customHeight="1" x14ac:dyDescent="0.3">
      <c r="N28" s="95"/>
    </row>
    <row r="29" spans="6:14" ht="22.5" customHeight="1" x14ac:dyDescent="0.3">
      <c r="N29" s="95"/>
    </row>
    <row r="30" spans="6:14" ht="22.5" customHeight="1" x14ac:dyDescent="0.3">
      <c r="N30" s="95"/>
    </row>
    <row r="31" spans="6:14" ht="22.5" customHeight="1" x14ac:dyDescent="0.3">
      <c r="N31" s="95"/>
    </row>
    <row r="32" spans="6:14" ht="22.5" customHeight="1" x14ac:dyDescent="0.3">
      <c r="N32" s="95"/>
    </row>
    <row r="33" spans="14:14" ht="22.5" customHeight="1" x14ac:dyDescent="0.3">
      <c r="N33" s="95"/>
    </row>
    <row r="34" spans="14:14" ht="22.5" customHeight="1" x14ac:dyDescent="0.3">
      <c r="N34" s="95"/>
    </row>
    <row r="35" spans="14:14" ht="22.5" customHeight="1" x14ac:dyDescent="0.3">
      <c r="N35" s="95"/>
    </row>
    <row r="36" spans="14:14" ht="22.5" customHeight="1" x14ac:dyDescent="0.3">
      <c r="N36" s="95"/>
    </row>
    <row r="37" spans="14:14" ht="22.5" customHeight="1" x14ac:dyDescent="0.3">
      <c r="N37" s="95"/>
    </row>
    <row r="38" spans="14:14" ht="22.5" customHeight="1" x14ac:dyDescent="0.3">
      <c r="N38" s="95"/>
    </row>
    <row r="39" spans="14:14" ht="22.5" customHeight="1" x14ac:dyDescent="0.3">
      <c r="N39" s="95"/>
    </row>
    <row r="40" spans="14:14" ht="22.5" customHeight="1" x14ac:dyDescent="0.3">
      <c r="N40" s="95"/>
    </row>
    <row r="41" spans="14:14" ht="22.5" customHeight="1" x14ac:dyDescent="0.3">
      <c r="N41" s="95"/>
    </row>
    <row r="42" spans="14:14" ht="22.5" customHeight="1" x14ac:dyDescent="0.3"/>
    <row r="43" spans="14:14" ht="22.5" customHeight="1" x14ac:dyDescent="0.3"/>
    <row r="44" spans="14:14" ht="22.5" customHeight="1" x14ac:dyDescent="0.3"/>
    <row r="45" spans="14:14" ht="22.5" customHeight="1" x14ac:dyDescent="0.3"/>
    <row r="46" spans="14:14" ht="22.5" customHeight="1" x14ac:dyDescent="0.3"/>
    <row r="47" spans="14:14" ht="22.5" customHeight="1" x14ac:dyDescent="0.3"/>
    <row r="48" spans="14:1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44"/>
  <sheetViews>
    <sheetView zoomScale="110" zoomScaleNormal="110" workbookViewId="0">
      <selection activeCell="E4" sqref="E4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1309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2" t="str">
        <f t="shared" ref="E4:E43" si="0">IF(LEN($C4)-LEN(D4)&lt;0,TEXT(LEN(D4)/LEN($C4),"0 %")&amp;" ("&amp;LEN(D4)-LEN($C4)&amp;")","")</f>
        <v/>
      </c>
    </row>
    <row r="5" spans="1:5" s="123" customFormat="1" x14ac:dyDescent="0.3">
      <c r="A5" s="122" t="s">
        <v>1310</v>
      </c>
      <c r="B5" s="122">
        <v>1</v>
      </c>
      <c r="C5" s="123" t="s">
        <v>1311</v>
      </c>
      <c r="D5" s="123" t="s">
        <v>1311</v>
      </c>
      <c r="E5" s="242" t="str">
        <f t="shared" ref="E5:E15" si="1">IF(LEN($C5)-LEN(D5)&lt;0,TEXT(LEN(D5)/LEN($C5),"0 %")&amp;" ("&amp;LEN(D5)-LEN($C5)&amp;")","")</f>
        <v/>
      </c>
    </row>
    <row r="6" spans="1:5" s="123" customFormat="1" x14ac:dyDescent="0.3">
      <c r="A6" s="122" t="s">
        <v>1310</v>
      </c>
      <c r="B6" s="122">
        <v>2</v>
      </c>
      <c r="C6" s="123" t="s">
        <v>1312</v>
      </c>
      <c r="D6" s="123" t="s">
        <v>1312</v>
      </c>
      <c r="E6" s="242" t="str">
        <f t="shared" si="1"/>
        <v/>
      </c>
    </row>
    <row r="7" spans="1:5" s="123" customFormat="1" x14ac:dyDescent="0.3">
      <c r="A7" s="122" t="s">
        <v>1310</v>
      </c>
      <c r="B7" s="122">
        <v>3</v>
      </c>
      <c r="C7" s="123" t="s">
        <v>1313</v>
      </c>
      <c r="D7" s="123" t="s">
        <v>1313</v>
      </c>
      <c r="E7" s="242" t="str">
        <f t="shared" si="1"/>
        <v/>
      </c>
    </row>
    <row r="8" spans="1:5" s="123" customFormat="1" x14ac:dyDescent="0.3">
      <c r="A8" s="122" t="s">
        <v>1310</v>
      </c>
      <c r="B8" s="122">
        <v>4</v>
      </c>
      <c r="C8" s="123" t="s">
        <v>1314</v>
      </c>
      <c r="D8" s="123" t="s">
        <v>1314</v>
      </c>
      <c r="E8" s="242" t="str">
        <f t="shared" si="1"/>
        <v/>
      </c>
    </row>
    <row r="9" spans="1:5" s="123" customFormat="1" x14ac:dyDescent="0.3">
      <c r="A9" s="122" t="s">
        <v>1310</v>
      </c>
      <c r="B9" s="122">
        <v>5</v>
      </c>
      <c r="C9" s="123" t="s">
        <v>1315</v>
      </c>
      <c r="D9" s="123" t="s">
        <v>1315</v>
      </c>
      <c r="E9" s="242" t="str">
        <f t="shared" si="1"/>
        <v/>
      </c>
    </row>
    <row r="10" spans="1:5" s="123" customFormat="1" x14ac:dyDescent="0.3">
      <c r="A10" s="122" t="s">
        <v>1310</v>
      </c>
      <c r="B10" s="122">
        <v>6</v>
      </c>
      <c r="C10" s="123" t="s">
        <v>1316</v>
      </c>
      <c r="D10" s="123" t="s">
        <v>1316</v>
      </c>
      <c r="E10" s="242" t="str">
        <f t="shared" si="1"/>
        <v/>
      </c>
    </row>
    <row r="11" spans="1:5" s="123" customFormat="1" x14ac:dyDescent="0.3">
      <c r="A11" s="122" t="s">
        <v>1310</v>
      </c>
      <c r="B11" s="122">
        <v>7</v>
      </c>
      <c r="C11" s="123" t="s">
        <v>1317</v>
      </c>
      <c r="D11" s="123" t="s">
        <v>1317</v>
      </c>
      <c r="E11" s="242" t="str">
        <f t="shared" si="1"/>
        <v/>
      </c>
    </row>
    <row r="12" spans="1:5" s="123" customFormat="1" x14ac:dyDescent="0.3">
      <c r="A12" s="122" t="s">
        <v>1310</v>
      </c>
      <c r="B12" s="122">
        <v>8</v>
      </c>
      <c r="C12" s="123" t="s">
        <v>1318</v>
      </c>
      <c r="D12" s="123" t="s">
        <v>1318</v>
      </c>
      <c r="E12" s="242" t="str">
        <f t="shared" si="1"/>
        <v/>
      </c>
    </row>
    <row r="13" spans="1:5" s="123" customFormat="1" x14ac:dyDescent="0.3">
      <c r="A13" s="122" t="s">
        <v>1310</v>
      </c>
      <c r="B13" s="122">
        <v>9</v>
      </c>
      <c r="C13" s="123" t="s">
        <v>1319</v>
      </c>
      <c r="D13" s="123" t="s">
        <v>1319</v>
      </c>
      <c r="E13" s="242" t="str">
        <f t="shared" si="1"/>
        <v/>
      </c>
    </row>
    <row r="14" spans="1:5" s="123" customFormat="1" x14ac:dyDescent="0.3">
      <c r="A14" s="122" t="s">
        <v>1310</v>
      </c>
      <c r="B14" s="122">
        <v>10</v>
      </c>
      <c r="C14" s="123" t="s">
        <v>1320</v>
      </c>
      <c r="D14" s="123" t="s">
        <v>1320</v>
      </c>
      <c r="E14" s="242" t="str">
        <f t="shared" si="1"/>
        <v/>
      </c>
    </row>
    <row r="15" spans="1:5" s="123" customFormat="1" x14ac:dyDescent="0.3">
      <c r="A15" s="122"/>
      <c r="B15" s="122"/>
      <c r="E15" s="242" t="str">
        <f t="shared" si="1"/>
        <v/>
      </c>
    </row>
    <row r="16" spans="1:5" ht="15.6" x14ac:dyDescent="0.3">
      <c r="A16" s="117" t="str">
        <f>"! --- "&amp;INDEX(MLtextDivisions,2)</f>
        <v>! --- User Interface - Tooltip text</v>
      </c>
      <c r="E16" s="242" t="str">
        <f t="shared" si="0"/>
        <v/>
      </c>
    </row>
    <row r="17" spans="1:5" s="123" customFormat="1" x14ac:dyDescent="0.3">
      <c r="A17" s="122" t="s">
        <v>1321</v>
      </c>
      <c r="B17" s="122">
        <v>1</v>
      </c>
      <c r="C17" s="123" t="s">
        <v>1322</v>
      </c>
      <c r="D17" s="123" t="s">
        <v>1322</v>
      </c>
      <c r="E17" s="242" t="str">
        <f t="shared" ref="E17:E34" si="2">IF(LEN($C17)-LEN(D17)&lt;0,TEXT(LEN(D17)/LEN($C17),"0 %")&amp;" ("&amp;LEN(D17)-LEN($C17)&amp;")","")</f>
        <v/>
      </c>
    </row>
    <row r="18" spans="1:5" s="123" customFormat="1" x14ac:dyDescent="0.3">
      <c r="A18" s="122" t="s">
        <v>1321</v>
      </c>
      <c r="B18" s="122">
        <v>2</v>
      </c>
      <c r="C18" s="123" t="s">
        <v>1323</v>
      </c>
      <c r="D18" s="123" t="s">
        <v>1323</v>
      </c>
      <c r="E18" s="242" t="str">
        <f t="shared" si="2"/>
        <v/>
      </c>
    </row>
    <row r="19" spans="1:5" s="123" customFormat="1" x14ac:dyDescent="0.3">
      <c r="A19" s="122" t="s">
        <v>1321</v>
      </c>
      <c r="B19" s="122">
        <v>3</v>
      </c>
      <c r="C19" s="123" t="s">
        <v>1324</v>
      </c>
      <c r="D19" s="123" t="s">
        <v>1324</v>
      </c>
      <c r="E19" s="242" t="str">
        <f t="shared" si="2"/>
        <v/>
      </c>
    </row>
    <row r="20" spans="1:5" s="123" customFormat="1" x14ac:dyDescent="0.3">
      <c r="A20" s="122" t="s">
        <v>1321</v>
      </c>
      <c r="B20" s="122">
        <v>4</v>
      </c>
      <c r="C20" s="123" t="s">
        <v>1325</v>
      </c>
      <c r="D20" s="123" t="s">
        <v>1325</v>
      </c>
      <c r="E20" s="242" t="str">
        <f t="shared" si="2"/>
        <v/>
      </c>
    </row>
    <row r="21" spans="1:5" s="123" customFormat="1" x14ac:dyDescent="0.3">
      <c r="A21" s="122" t="s">
        <v>1321</v>
      </c>
      <c r="B21" s="122">
        <v>5</v>
      </c>
      <c r="C21" s="123" t="s">
        <v>1326</v>
      </c>
      <c r="D21" s="123" t="s">
        <v>1326</v>
      </c>
      <c r="E21" s="242" t="str">
        <f t="shared" si="2"/>
        <v/>
      </c>
    </row>
    <row r="22" spans="1:5" s="123" customFormat="1" x14ac:dyDescent="0.3">
      <c r="A22" s="122" t="s">
        <v>1321</v>
      </c>
      <c r="B22" s="122">
        <v>6</v>
      </c>
      <c r="C22" s="123" t="s">
        <v>1327</v>
      </c>
      <c r="D22" s="123" t="s">
        <v>1327</v>
      </c>
      <c r="E22" s="242" t="str">
        <f t="shared" si="2"/>
        <v/>
      </c>
    </row>
    <row r="23" spans="1:5" s="123" customFormat="1" x14ac:dyDescent="0.3">
      <c r="A23" s="122" t="s">
        <v>1321</v>
      </c>
      <c r="B23" s="122">
        <v>7</v>
      </c>
      <c r="C23" s="123" t="s">
        <v>1328</v>
      </c>
      <c r="D23" s="123" t="s">
        <v>1328</v>
      </c>
      <c r="E23" s="242" t="str">
        <f t="shared" si="2"/>
        <v/>
      </c>
    </row>
    <row r="24" spans="1:5" s="123" customFormat="1" x14ac:dyDescent="0.3">
      <c r="A24" s="122" t="s">
        <v>1321</v>
      </c>
      <c r="B24" s="122">
        <v>8</v>
      </c>
      <c r="C24" s="123" t="s">
        <v>1329</v>
      </c>
      <c r="D24" s="123" t="s">
        <v>1329</v>
      </c>
      <c r="E24" s="242" t="str">
        <f t="shared" si="2"/>
        <v/>
      </c>
    </row>
    <row r="25" spans="1:5" s="123" customFormat="1" x14ac:dyDescent="0.3">
      <c r="A25" s="122" t="s">
        <v>1321</v>
      </c>
      <c r="B25" s="122">
        <v>9</v>
      </c>
      <c r="C25" s="123" t="s">
        <v>1330</v>
      </c>
      <c r="D25" s="123" t="s">
        <v>1330</v>
      </c>
      <c r="E25" s="242" t="str">
        <f t="shared" si="2"/>
        <v/>
      </c>
    </row>
    <row r="26" spans="1:5" s="123" customFormat="1" x14ac:dyDescent="0.3">
      <c r="A26" s="122" t="s">
        <v>1321</v>
      </c>
      <c r="B26" s="122">
        <v>10</v>
      </c>
      <c r="C26" s="123" t="s">
        <v>1331</v>
      </c>
      <c r="D26" s="123" t="s">
        <v>1331</v>
      </c>
      <c r="E26" s="242" t="str">
        <f t="shared" si="2"/>
        <v/>
      </c>
    </row>
    <row r="27" spans="1:5" s="123" customFormat="1" x14ac:dyDescent="0.3">
      <c r="A27" s="122" t="s">
        <v>1321</v>
      </c>
      <c r="B27" s="122">
        <v>11</v>
      </c>
      <c r="C27" s="123" t="s">
        <v>1332</v>
      </c>
      <c r="D27" s="123" t="s">
        <v>1332</v>
      </c>
      <c r="E27" s="242" t="str">
        <f t="shared" si="2"/>
        <v/>
      </c>
    </row>
    <row r="28" spans="1:5" s="123" customFormat="1" x14ac:dyDescent="0.3">
      <c r="A28" s="122" t="s">
        <v>1321</v>
      </c>
      <c r="B28" s="122">
        <v>12</v>
      </c>
      <c r="C28" s="123" t="s">
        <v>1333</v>
      </c>
      <c r="D28" s="123" t="s">
        <v>1333</v>
      </c>
      <c r="E28" s="242" t="str">
        <f t="shared" si="2"/>
        <v/>
      </c>
    </row>
    <row r="29" spans="1:5" s="123" customFormat="1" x14ac:dyDescent="0.3">
      <c r="A29" s="122" t="s">
        <v>1321</v>
      </c>
      <c r="B29" s="122">
        <v>13</v>
      </c>
      <c r="C29" s="123" t="s">
        <v>1242</v>
      </c>
      <c r="D29" s="123" t="s">
        <v>1242</v>
      </c>
      <c r="E29" s="242" t="str">
        <f t="shared" si="2"/>
        <v/>
      </c>
    </row>
    <row r="30" spans="1:5" s="123" customFormat="1" x14ac:dyDescent="0.3">
      <c r="A30" s="122" t="s">
        <v>1321</v>
      </c>
      <c r="B30" s="122">
        <v>14</v>
      </c>
      <c r="C30" s="123" t="s">
        <v>1334</v>
      </c>
      <c r="D30" s="123" t="s">
        <v>1334</v>
      </c>
      <c r="E30" s="242" t="str">
        <f t="shared" si="2"/>
        <v/>
      </c>
    </row>
    <row r="31" spans="1:5" s="123" customFormat="1" x14ac:dyDescent="0.3">
      <c r="A31" s="122" t="s">
        <v>1321</v>
      </c>
      <c r="B31" s="122">
        <v>15</v>
      </c>
      <c r="C31" s="123" t="s">
        <v>1335</v>
      </c>
      <c r="D31" s="123" t="s">
        <v>1335</v>
      </c>
      <c r="E31" s="242" t="str">
        <f t="shared" si="2"/>
        <v/>
      </c>
    </row>
    <row r="32" spans="1:5" s="123" customFormat="1" x14ac:dyDescent="0.3">
      <c r="A32" s="122" t="s">
        <v>1321</v>
      </c>
      <c r="B32" s="122">
        <v>16</v>
      </c>
      <c r="C32" s="123" t="s">
        <v>1336</v>
      </c>
      <c r="D32" s="123" t="s">
        <v>1336</v>
      </c>
      <c r="E32" s="242" t="str">
        <f t="shared" si="2"/>
        <v/>
      </c>
    </row>
    <row r="33" spans="1:5" s="123" customFormat="1" x14ac:dyDescent="0.3">
      <c r="A33" s="122" t="s">
        <v>1321</v>
      </c>
      <c r="B33" s="122">
        <v>17</v>
      </c>
      <c r="C33" s="123" t="s">
        <v>1337</v>
      </c>
      <c r="D33" s="123" t="s">
        <v>1337</v>
      </c>
      <c r="E33" s="242" t="str">
        <f t="shared" si="2"/>
        <v/>
      </c>
    </row>
    <row r="34" spans="1:5" s="123" customFormat="1" x14ac:dyDescent="0.3">
      <c r="A34" s="122"/>
      <c r="B34" s="122"/>
      <c r="E34" s="242" t="str">
        <f t="shared" si="2"/>
        <v/>
      </c>
    </row>
    <row r="35" spans="1:5" ht="15.6" x14ac:dyDescent="0.3">
      <c r="A35" s="117" t="str">
        <f>"! --- "&amp;INDEX(MLtextDivisions,3)</f>
        <v>! --- Parameter Script - VALUES</v>
      </c>
      <c r="E35" s="242" t="str">
        <f t="shared" si="0"/>
        <v/>
      </c>
    </row>
    <row r="36" spans="1:5" s="114" customFormat="1" x14ac:dyDescent="0.3">
      <c r="A36" s="122" t="s">
        <v>1295</v>
      </c>
      <c r="B36" s="115">
        <v>1</v>
      </c>
      <c r="C36" t="s">
        <v>1296</v>
      </c>
      <c r="D36" t="s">
        <v>1297</v>
      </c>
      <c r="E36" s="242" t="str">
        <f t="shared" si="0"/>
        <v/>
      </c>
    </row>
    <row r="37" spans="1:5" s="123" customFormat="1" x14ac:dyDescent="0.3">
      <c r="A37" s="122"/>
      <c r="B37" s="122"/>
      <c r="E37" s="242" t="str">
        <f t="shared" si="0"/>
        <v/>
      </c>
    </row>
    <row r="38" spans="1:5" ht="15.6" x14ac:dyDescent="0.3">
      <c r="A38" s="117" t="str">
        <f>"! --- "&amp;INDEX(MLtextDivisions,4)</f>
        <v>! --- Common Text</v>
      </c>
      <c r="E38" s="242" t="str">
        <f t="shared" si="0"/>
        <v/>
      </c>
    </row>
    <row r="39" spans="1:5" x14ac:dyDescent="0.3">
      <c r="A39" s="122" t="s">
        <v>1288</v>
      </c>
      <c r="B39" s="118">
        <v>1</v>
      </c>
      <c r="C39" t="s">
        <v>1141</v>
      </c>
      <c r="D39" t="s">
        <v>1289</v>
      </c>
      <c r="E39" s="242" t="str">
        <f t="shared" si="0"/>
        <v/>
      </c>
    </row>
    <row r="40" spans="1:5" x14ac:dyDescent="0.3">
      <c r="A40" s="122" t="s">
        <v>1288</v>
      </c>
      <c r="B40" s="118">
        <v>2</v>
      </c>
      <c r="C40" t="s">
        <v>1290</v>
      </c>
      <c r="D40" t="s">
        <v>1290</v>
      </c>
      <c r="E40" s="242" t="str">
        <f t="shared" si="0"/>
        <v/>
      </c>
    </row>
    <row r="41" spans="1:5" x14ac:dyDescent="0.3">
      <c r="A41" s="122" t="s">
        <v>1288</v>
      </c>
      <c r="B41" s="118">
        <v>3</v>
      </c>
      <c r="C41" t="s">
        <v>1291</v>
      </c>
      <c r="D41" t="s">
        <v>1292</v>
      </c>
      <c r="E41" s="242" t="str">
        <f t="shared" si="0"/>
        <v/>
      </c>
    </row>
    <row r="42" spans="1:5" s="123" customFormat="1" x14ac:dyDescent="0.3">
      <c r="A42" s="122" t="s">
        <v>1288</v>
      </c>
      <c r="B42" s="118">
        <v>4</v>
      </c>
      <c r="C42" t="s">
        <v>1293</v>
      </c>
      <c r="D42" t="s">
        <v>1294</v>
      </c>
      <c r="E42" s="242" t="str">
        <f t="shared" si="0"/>
        <v/>
      </c>
    </row>
    <row r="43" spans="1:5" s="123" customFormat="1" ht="15.6" x14ac:dyDescent="0.3">
      <c r="A43" s="121"/>
      <c r="B43" s="122"/>
      <c r="E43" s="242" t="str">
        <f t="shared" si="0"/>
        <v/>
      </c>
    </row>
    <row r="44" spans="1:5" ht="15.6" x14ac:dyDescent="0.3">
      <c r="A44" s="117" t="str">
        <f>"! --- END"</f>
        <v>! --- END</v>
      </c>
      <c r="E44" s="242" t="str">
        <f t="shared" ref="E44" si="3">IF(LEN($C44)-LEN(D44)&lt;0,TEXT(LEN(D44)/LEN($C44),"0 %")&amp;" ("&amp;LEN(D44)-LEN($C44)&amp;")","")</f>
        <v/>
      </c>
    </row>
  </sheetData>
  <sortState ref="A17:E34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R3" sqref="R3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48" t="str">
        <f>"-&gt; PROPERTY-CONTEXT"</f>
        <v>-&gt; PROPERTY-CONTEXT</v>
      </c>
      <c r="F1" s="248"/>
      <c r="G1" s="248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49" t="s">
        <v>125</v>
      </c>
      <c r="T1" s="249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0" t="str">
        <f>'RAW IMPORT'!A1</f>
        <v>Produkt</v>
      </c>
      <c r="B1" s="250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1" t="s">
        <v>96</v>
      </c>
      <c r="B1" s="252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2025-09-08T06:34:26Z</dcterms:modified>
</cp:coreProperties>
</file>